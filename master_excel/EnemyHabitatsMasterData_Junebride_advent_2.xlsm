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8209" codeName="{00000000-0000-0000-0000-000000000000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ishikawa/Desktop/BULL_data/master_excel/"/>
    </mc:Choice>
  </mc:AlternateContent>
  <bookViews>
    <workbookView xWindow="2740" yWindow="460" windowWidth="31940" windowHeight="19540" tabRatio="740" activeTab="8"/>
  </bookViews>
  <sheets>
    <sheet name="output" sheetId="16" r:id="rId1"/>
    <sheet name="floors" sheetId="2" r:id="rId2"/>
    <sheet name="enemy_habitats" sheetId="1" r:id="rId3"/>
    <sheet name="enemy_habitat_S" sheetId="7" r:id="rId4"/>
    <sheet name="enemy_skill_sets" sheetId="9" r:id="rId5"/>
    <sheet name="enemy_skills" sheetId="10" r:id="rId6"/>
    <sheet name="enemy_skill_triggers" sheetId="11" r:id="rId7"/>
    <sheet name="stage_hints_complete" sheetId="19" r:id="rId8"/>
    <sheet name="stage_hints_failure" sheetId="21" r:id="rId9"/>
    <sheet name="stage_bonuses" sheetId="22" r:id="rId10"/>
    <sheet name="bugbonuses" sheetId="18" r:id="rId11"/>
  </sheets>
  <externalReferences>
    <externalReference r:id="rId12"/>
    <externalReference r:id="rId13"/>
    <externalReference r:id="rId14"/>
    <externalReference r:id="rId15"/>
    <externalReference r:id="rId16"/>
  </externalReferences>
  <definedNames>
    <definedName name="_xlnm._FilterDatabase" localSheetId="3" hidden="1">enemy_habitat_S!$B$1:$AA$2</definedName>
    <definedName name="_xlnm._FilterDatabase" localSheetId="2" hidden="1">enemy_habitats!$B$1:$AJ$2</definedName>
    <definedName name="_xlnm._FilterDatabase" localSheetId="4" hidden="1">enemy_skill_sets!$A$1:$R$1</definedName>
    <definedName name="_xlnm._FilterDatabase" localSheetId="6" hidden="1">enemy_skill_triggers!$A$1:$G$1</definedName>
    <definedName name="_xlnm._FilterDatabase" localSheetId="5" hidden="1">enemy_skills!$A$1:$AB$1</definedName>
    <definedName name="_xlnm._FilterDatabase" localSheetId="9" hidden="1">stage_bonuses!$B$1:$I$1</definedName>
    <definedName name="_xlnm._FilterDatabase" localSheetId="7" hidden="1">stage_hints_complete!$B$1:$L$1</definedName>
    <definedName name="_xlnm._FilterDatabase" localSheetId="8" hidden="1">stage_hints_failure!$B$1:$M$5</definedName>
    <definedName name="Excel_BuiltIn__FilterDatabase_6_1" localSheetId="4">[1]unit_skills!#REF!</definedName>
    <definedName name="Excel_BuiltIn__FilterDatabase_6_1" localSheetId="6">[1]unit_skills!#REF!</definedName>
  </definedNames>
  <calcPr calcId="150001" calcMode="manual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111" i="9" l="1"/>
  <c r="N111" i="9"/>
  <c r="M111" i="9"/>
  <c r="L111" i="9"/>
  <c r="K111" i="9"/>
  <c r="J111" i="9"/>
  <c r="I111" i="9"/>
  <c r="H111" i="9"/>
  <c r="G111" i="9"/>
  <c r="E111" i="9"/>
  <c r="D111" i="9"/>
  <c r="A111" i="9"/>
  <c r="O82" i="9"/>
  <c r="N82" i="9"/>
  <c r="M82" i="9"/>
  <c r="L82" i="9"/>
  <c r="K82" i="9"/>
  <c r="J82" i="9"/>
  <c r="I82" i="9"/>
  <c r="H82" i="9"/>
  <c r="G82" i="9"/>
  <c r="E82" i="9"/>
  <c r="D82" i="9"/>
  <c r="A82" i="9"/>
  <c r="O37" i="9"/>
  <c r="N37" i="9"/>
  <c r="M37" i="9"/>
  <c r="L37" i="9"/>
  <c r="K37" i="9"/>
  <c r="J37" i="9"/>
  <c r="I37" i="9"/>
  <c r="H37" i="9"/>
  <c r="G37" i="9"/>
  <c r="E37" i="9"/>
  <c r="D37" i="9"/>
  <c r="A37" i="9"/>
  <c r="O8" i="9"/>
  <c r="N8" i="9"/>
  <c r="M8" i="9"/>
  <c r="L8" i="9"/>
  <c r="K8" i="9"/>
  <c r="J8" i="9"/>
  <c r="I8" i="9"/>
  <c r="H8" i="9"/>
  <c r="G8" i="9"/>
  <c r="E8" i="9"/>
  <c r="D8" i="9"/>
  <c r="A8" i="9"/>
  <c r="A36" i="9"/>
  <c r="J37" i="11"/>
  <c r="J8" i="11"/>
  <c r="C18" i="18"/>
  <c r="D18" i="18"/>
  <c r="C25" i="18"/>
  <c r="D25" i="18"/>
  <c r="C24" i="18"/>
  <c r="D24" i="18"/>
  <c r="C23" i="18"/>
  <c r="D23" i="18"/>
  <c r="C22" i="18"/>
  <c r="D22" i="18"/>
  <c r="C21" i="18"/>
  <c r="D21" i="18"/>
  <c r="C20" i="18"/>
  <c r="D20" i="18"/>
  <c r="C19" i="18"/>
  <c r="D19" i="18"/>
  <c r="C17" i="18"/>
  <c r="D17" i="18"/>
  <c r="C13" i="18"/>
  <c r="D13" i="18"/>
  <c r="C16" i="18"/>
  <c r="D16" i="18"/>
  <c r="C15" i="18"/>
  <c r="D15" i="18"/>
  <c r="C14" i="18"/>
  <c r="D14" i="18"/>
  <c r="C12" i="18"/>
  <c r="D12" i="18"/>
  <c r="C11" i="18"/>
  <c r="D11" i="18"/>
  <c r="C10" i="18"/>
  <c r="D10" i="18"/>
  <c r="C9" i="18"/>
  <c r="D9" i="18"/>
  <c r="C8" i="18"/>
  <c r="D8" i="18"/>
  <c r="C5" i="18"/>
  <c r="D5" i="18"/>
  <c r="C4" i="18"/>
  <c r="D4" i="18"/>
  <c r="C3" i="18"/>
  <c r="D3" i="18"/>
  <c r="C7" i="18"/>
  <c r="D7" i="18"/>
  <c r="C6" i="18"/>
  <c r="D6" i="18"/>
  <c r="C2" i="18"/>
  <c r="D2" i="18"/>
  <c r="N2" i="22"/>
  <c r="G2" i="22"/>
  <c r="F2" i="22"/>
  <c r="D2" i="22"/>
  <c r="C2" i="22"/>
  <c r="A2" i="22"/>
  <c r="N3" i="22"/>
  <c r="G3" i="22"/>
  <c r="F3" i="22"/>
  <c r="D3" i="22"/>
  <c r="C3" i="22"/>
  <c r="A3" i="22"/>
  <c r="B31" i="21"/>
  <c r="I31" i="21"/>
  <c r="J31" i="21"/>
  <c r="G31" i="21"/>
  <c r="F31" i="21"/>
  <c r="D31" i="21"/>
  <c r="C31" i="21"/>
  <c r="B30" i="21"/>
  <c r="I30" i="21"/>
  <c r="J30" i="21"/>
  <c r="G30" i="21"/>
  <c r="F30" i="21"/>
  <c r="D30" i="21"/>
  <c r="C30" i="21"/>
  <c r="B29" i="21"/>
  <c r="I29" i="21"/>
  <c r="J29" i="21"/>
  <c r="G29" i="21"/>
  <c r="F29" i="21"/>
  <c r="D29" i="21"/>
  <c r="C29" i="21"/>
  <c r="B28" i="21"/>
  <c r="I28" i="21"/>
  <c r="J28" i="21"/>
  <c r="G28" i="21"/>
  <c r="F28" i="21"/>
  <c r="D28" i="21"/>
  <c r="C28" i="21"/>
  <c r="B27" i="21"/>
  <c r="I27" i="21"/>
  <c r="J27" i="21"/>
  <c r="G27" i="21"/>
  <c r="F27" i="21"/>
  <c r="D27" i="21"/>
  <c r="C27" i="21"/>
  <c r="B26" i="21"/>
  <c r="I26" i="21"/>
  <c r="J26" i="21"/>
  <c r="G26" i="21"/>
  <c r="F26" i="21"/>
  <c r="D26" i="21"/>
  <c r="C26" i="21"/>
  <c r="B25" i="21"/>
  <c r="I25" i="21"/>
  <c r="J25" i="21"/>
  <c r="G25" i="21"/>
  <c r="F25" i="21"/>
  <c r="D25" i="21"/>
  <c r="C25" i="21"/>
  <c r="B24" i="21"/>
  <c r="I24" i="21"/>
  <c r="J24" i="21"/>
  <c r="G24" i="21"/>
  <c r="F24" i="21"/>
  <c r="D24" i="21"/>
  <c r="C24" i="21"/>
  <c r="B23" i="21"/>
  <c r="I23" i="21"/>
  <c r="J23" i="21"/>
  <c r="G23" i="21"/>
  <c r="F23" i="21"/>
  <c r="D23" i="21"/>
  <c r="C23" i="21"/>
  <c r="B22" i="21"/>
  <c r="I22" i="21"/>
  <c r="J22" i="21"/>
  <c r="G22" i="21"/>
  <c r="F22" i="21"/>
  <c r="D22" i="21"/>
  <c r="C22" i="21"/>
  <c r="B21" i="21"/>
  <c r="I21" i="21"/>
  <c r="J21" i="21"/>
  <c r="G21" i="21"/>
  <c r="F21" i="21"/>
  <c r="D21" i="21"/>
  <c r="C21" i="21"/>
  <c r="B20" i="21"/>
  <c r="I20" i="21"/>
  <c r="J20" i="21"/>
  <c r="G20" i="21"/>
  <c r="F20" i="21"/>
  <c r="D20" i="21"/>
  <c r="C20" i="21"/>
  <c r="B19" i="21"/>
  <c r="I19" i="21"/>
  <c r="J19" i="21"/>
  <c r="G19" i="21"/>
  <c r="F19" i="21"/>
  <c r="D19" i="21"/>
  <c r="C19" i="21"/>
  <c r="B18" i="21"/>
  <c r="I18" i="21"/>
  <c r="J18" i="21"/>
  <c r="G18" i="21"/>
  <c r="F18" i="21"/>
  <c r="D18" i="21"/>
  <c r="C18" i="21"/>
  <c r="B17" i="21"/>
  <c r="I17" i="21"/>
  <c r="J17" i="21"/>
  <c r="G17" i="21"/>
  <c r="F17" i="21"/>
  <c r="D17" i="21"/>
  <c r="C17" i="21"/>
  <c r="B16" i="21"/>
  <c r="I16" i="21"/>
  <c r="J16" i="21"/>
  <c r="G16" i="21"/>
  <c r="F16" i="21"/>
  <c r="D16" i="21"/>
  <c r="C16" i="21"/>
  <c r="B15" i="21"/>
  <c r="I15" i="21"/>
  <c r="J15" i="21"/>
  <c r="G15" i="21"/>
  <c r="F15" i="21"/>
  <c r="D15" i="21"/>
  <c r="C15" i="21"/>
  <c r="B14" i="21"/>
  <c r="I14" i="21"/>
  <c r="J14" i="21"/>
  <c r="G14" i="21"/>
  <c r="F14" i="21"/>
  <c r="D14" i="21"/>
  <c r="C14" i="21"/>
  <c r="B13" i="21"/>
  <c r="I13" i="21"/>
  <c r="J13" i="21"/>
  <c r="G13" i="21"/>
  <c r="F13" i="21"/>
  <c r="D13" i="21"/>
  <c r="C13" i="21"/>
  <c r="B12" i="21"/>
  <c r="I12" i="21"/>
  <c r="J12" i="21"/>
  <c r="G12" i="21"/>
  <c r="F12" i="21"/>
  <c r="D12" i="21"/>
  <c r="C12" i="21"/>
  <c r="B2" i="21"/>
  <c r="C2" i="21"/>
  <c r="D2" i="21"/>
  <c r="F2" i="21"/>
  <c r="G2" i="21"/>
  <c r="I2" i="21"/>
  <c r="J2" i="21"/>
  <c r="B3" i="21"/>
  <c r="C3" i="21"/>
  <c r="D3" i="21"/>
  <c r="F3" i="21"/>
  <c r="G3" i="21"/>
  <c r="I3" i="21"/>
  <c r="J3" i="21"/>
  <c r="B4" i="21"/>
  <c r="C4" i="21"/>
  <c r="D4" i="21"/>
  <c r="F4" i="21"/>
  <c r="G4" i="21"/>
  <c r="I4" i="21"/>
  <c r="J4" i="21"/>
  <c r="B6" i="21"/>
  <c r="C6" i="21"/>
  <c r="D6" i="21"/>
  <c r="F6" i="21"/>
  <c r="G6" i="21"/>
  <c r="I6" i="21"/>
  <c r="J6" i="21"/>
  <c r="B7" i="21"/>
  <c r="C7" i="21"/>
  <c r="D7" i="21"/>
  <c r="F7" i="21"/>
  <c r="G7" i="21"/>
  <c r="I7" i="21"/>
  <c r="J7" i="21"/>
  <c r="B8" i="21"/>
  <c r="C8" i="21"/>
  <c r="D8" i="21"/>
  <c r="F8" i="21"/>
  <c r="G8" i="21"/>
  <c r="I8" i="21"/>
  <c r="J8" i="21"/>
  <c r="B9" i="21"/>
  <c r="C9" i="21"/>
  <c r="D9" i="21"/>
  <c r="F9" i="21"/>
  <c r="G9" i="21"/>
  <c r="I9" i="21"/>
  <c r="J9" i="21"/>
  <c r="B10" i="21"/>
  <c r="C10" i="21"/>
  <c r="D10" i="21"/>
  <c r="F10" i="21"/>
  <c r="G10" i="21"/>
  <c r="I10" i="21"/>
  <c r="J10" i="21"/>
  <c r="B11" i="21"/>
  <c r="C11" i="21"/>
  <c r="D11" i="21"/>
  <c r="F11" i="21"/>
  <c r="G11" i="21"/>
  <c r="I11" i="21"/>
  <c r="J11" i="21"/>
  <c r="M63" i="10"/>
  <c r="T63" i="10"/>
  <c r="W63" i="10"/>
  <c r="V63" i="10"/>
  <c r="X63" i="10"/>
  <c r="U63" i="10"/>
  <c r="Y63" i="10"/>
  <c r="N63" i="10"/>
  <c r="Q63" i="10"/>
  <c r="P63" i="10"/>
  <c r="R63" i="10"/>
  <c r="O63" i="10"/>
  <c r="S63" i="10"/>
  <c r="G63" i="10"/>
  <c r="J63" i="10"/>
  <c r="I63" i="10"/>
  <c r="K63" i="10"/>
  <c r="H63" i="10"/>
  <c r="L63" i="10"/>
  <c r="M62" i="10"/>
  <c r="T62" i="10"/>
  <c r="W62" i="10"/>
  <c r="V62" i="10"/>
  <c r="X62" i="10"/>
  <c r="U62" i="10"/>
  <c r="Y62" i="10"/>
  <c r="N62" i="10"/>
  <c r="Q62" i="10"/>
  <c r="P62" i="10"/>
  <c r="R62" i="10"/>
  <c r="O62" i="10"/>
  <c r="S62" i="10"/>
  <c r="G62" i="10"/>
  <c r="J62" i="10"/>
  <c r="I62" i="10"/>
  <c r="K62" i="10"/>
  <c r="H62" i="10"/>
  <c r="L62" i="10"/>
  <c r="J75" i="11"/>
  <c r="O149" i="9"/>
  <c r="N149" i="9"/>
  <c r="M149" i="9"/>
  <c r="L149" i="9"/>
  <c r="K149" i="9"/>
  <c r="J149" i="9"/>
  <c r="I149" i="9"/>
  <c r="H149" i="9"/>
  <c r="G149" i="9"/>
  <c r="E149" i="9"/>
  <c r="D149" i="9"/>
  <c r="A149" i="9"/>
  <c r="J74" i="11"/>
  <c r="O148" i="9"/>
  <c r="N148" i="9"/>
  <c r="M148" i="9"/>
  <c r="L148" i="9"/>
  <c r="K148" i="9"/>
  <c r="J148" i="9"/>
  <c r="I148" i="9"/>
  <c r="H148" i="9"/>
  <c r="G148" i="9"/>
  <c r="E148" i="9"/>
  <c r="D148" i="9"/>
  <c r="A148" i="9"/>
  <c r="J73" i="11"/>
  <c r="O147" i="9"/>
  <c r="N147" i="9"/>
  <c r="M147" i="9"/>
  <c r="L147" i="9"/>
  <c r="K147" i="9"/>
  <c r="J147" i="9"/>
  <c r="I147" i="9"/>
  <c r="H147" i="9"/>
  <c r="G147" i="9"/>
  <c r="E147" i="9"/>
  <c r="D147" i="9"/>
  <c r="A147" i="9"/>
  <c r="J72" i="11"/>
  <c r="O146" i="9"/>
  <c r="N146" i="9"/>
  <c r="M146" i="9"/>
  <c r="L146" i="9"/>
  <c r="K146" i="9"/>
  <c r="J146" i="9"/>
  <c r="I146" i="9"/>
  <c r="H146" i="9"/>
  <c r="G146" i="9"/>
  <c r="E146" i="9"/>
  <c r="D146" i="9"/>
  <c r="A146" i="9"/>
  <c r="J71" i="11"/>
  <c r="O145" i="9"/>
  <c r="N145" i="9"/>
  <c r="M145" i="9"/>
  <c r="L145" i="9"/>
  <c r="K145" i="9"/>
  <c r="J145" i="9"/>
  <c r="I145" i="9"/>
  <c r="H145" i="9"/>
  <c r="G145" i="9"/>
  <c r="E145" i="9"/>
  <c r="D145" i="9"/>
  <c r="A145" i="9"/>
  <c r="J70" i="11"/>
  <c r="O144" i="9"/>
  <c r="N144" i="9"/>
  <c r="M144" i="9"/>
  <c r="L144" i="9"/>
  <c r="K144" i="9"/>
  <c r="J144" i="9"/>
  <c r="I144" i="9"/>
  <c r="H144" i="9"/>
  <c r="G144" i="9"/>
  <c r="E144" i="9"/>
  <c r="D144" i="9"/>
  <c r="A144" i="9"/>
  <c r="J69" i="11"/>
  <c r="O143" i="9"/>
  <c r="N143" i="9"/>
  <c r="M143" i="9"/>
  <c r="L143" i="9"/>
  <c r="K143" i="9"/>
  <c r="J143" i="9"/>
  <c r="I143" i="9"/>
  <c r="H143" i="9"/>
  <c r="G143" i="9"/>
  <c r="E143" i="9"/>
  <c r="D143" i="9"/>
  <c r="A143" i="9"/>
  <c r="J68" i="11"/>
  <c r="O142" i="9"/>
  <c r="N142" i="9"/>
  <c r="M142" i="9"/>
  <c r="L142" i="9"/>
  <c r="K142" i="9"/>
  <c r="J142" i="9"/>
  <c r="I142" i="9"/>
  <c r="H142" i="9"/>
  <c r="G142" i="9"/>
  <c r="E142" i="9"/>
  <c r="D142" i="9"/>
  <c r="A142" i="9"/>
  <c r="J67" i="11"/>
  <c r="O141" i="9"/>
  <c r="N141" i="9"/>
  <c r="M141" i="9"/>
  <c r="L141" i="9"/>
  <c r="K141" i="9"/>
  <c r="J141" i="9"/>
  <c r="I141" i="9"/>
  <c r="H141" i="9"/>
  <c r="G141" i="9"/>
  <c r="E141" i="9"/>
  <c r="D141" i="9"/>
  <c r="A141" i="9"/>
  <c r="J66" i="11"/>
  <c r="O140" i="9"/>
  <c r="N140" i="9"/>
  <c r="M140" i="9"/>
  <c r="L140" i="9"/>
  <c r="K140" i="9"/>
  <c r="J140" i="9"/>
  <c r="I140" i="9"/>
  <c r="H140" i="9"/>
  <c r="G140" i="9"/>
  <c r="E140" i="9"/>
  <c r="D140" i="9"/>
  <c r="A140" i="9"/>
  <c r="J65" i="11"/>
  <c r="O139" i="9"/>
  <c r="N139" i="9"/>
  <c r="M139" i="9"/>
  <c r="L139" i="9"/>
  <c r="K139" i="9"/>
  <c r="J139" i="9"/>
  <c r="I139" i="9"/>
  <c r="H139" i="9"/>
  <c r="G139" i="9"/>
  <c r="E139" i="9"/>
  <c r="D139" i="9"/>
  <c r="A139" i="9"/>
  <c r="J64" i="11"/>
  <c r="O138" i="9"/>
  <c r="N138" i="9"/>
  <c r="M138" i="9"/>
  <c r="L138" i="9"/>
  <c r="K138" i="9"/>
  <c r="J138" i="9"/>
  <c r="I138" i="9"/>
  <c r="H138" i="9"/>
  <c r="G138" i="9"/>
  <c r="E138" i="9"/>
  <c r="D138" i="9"/>
  <c r="A138" i="9"/>
  <c r="J63" i="11"/>
  <c r="O137" i="9"/>
  <c r="N137" i="9"/>
  <c r="M137" i="9"/>
  <c r="L137" i="9"/>
  <c r="K137" i="9"/>
  <c r="J137" i="9"/>
  <c r="I137" i="9"/>
  <c r="H137" i="9"/>
  <c r="G137" i="9"/>
  <c r="E137" i="9"/>
  <c r="D137" i="9"/>
  <c r="A137" i="9"/>
  <c r="J62" i="11"/>
  <c r="O136" i="9"/>
  <c r="N136" i="9"/>
  <c r="M136" i="9"/>
  <c r="L136" i="9"/>
  <c r="K136" i="9"/>
  <c r="J136" i="9"/>
  <c r="I136" i="9"/>
  <c r="H136" i="9"/>
  <c r="G136" i="9"/>
  <c r="E136" i="9"/>
  <c r="D136" i="9"/>
  <c r="A136" i="9"/>
  <c r="J61" i="11"/>
  <c r="O135" i="9"/>
  <c r="N135" i="9"/>
  <c r="M135" i="9"/>
  <c r="L135" i="9"/>
  <c r="K135" i="9"/>
  <c r="J135" i="9"/>
  <c r="I135" i="9"/>
  <c r="H135" i="9"/>
  <c r="G135" i="9"/>
  <c r="E135" i="9"/>
  <c r="D135" i="9"/>
  <c r="A135" i="9"/>
  <c r="J60" i="11"/>
  <c r="O134" i="9"/>
  <c r="N134" i="9"/>
  <c r="M134" i="9"/>
  <c r="L134" i="9"/>
  <c r="K134" i="9"/>
  <c r="J134" i="9"/>
  <c r="I134" i="9"/>
  <c r="H134" i="9"/>
  <c r="G134" i="9"/>
  <c r="E134" i="9"/>
  <c r="D134" i="9"/>
  <c r="A134" i="9"/>
  <c r="J59" i="11"/>
  <c r="O133" i="9"/>
  <c r="N133" i="9"/>
  <c r="M133" i="9"/>
  <c r="L133" i="9"/>
  <c r="K133" i="9"/>
  <c r="J133" i="9"/>
  <c r="I133" i="9"/>
  <c r="H133" i="9"/>
  <c r="G133" i="9"/>
  <c r="E133" i="9"/>
  <c r="D133" i="9"/>
  <c r="A133" i="9"/>
  <c r="J58" i="11"/>
  <c r="O132" i="9"/>
  <c r="N132" i="9"/>
  <c r="M132" i="9"/>
  <c r="L132" i="9"/>
  <c r="K132" i="9"/>
  <c r="J132" i="9"/>
  <c r="I132" i="9"/>
  <c r="H132" i="9"/>
  <c r="G132" i="9"/>
  <c r="E132" i="9"/>
  <c r="D132" i="9"/>
  <c r="A132" i="9"/>
  <c r="J57" i="11"/>
  <c r="O131" i="9"/>
  <c r="N131" i="9"/>
  <c r="M131" i="9"/>
  <c r="L131" i="9"/>
  <c r="K131" i="9"/>
  <c r="J131" i="9"/>
  <c r="I131" i="9"/>
  <c r="H131" i="9"/>
  <c r="G131" i="9"/>
  <c r="E131" i="9"/>
  <c r="D131" i="9"/>
  <c r="A131" i="9"/>
  <c r="J56" i="11"/>
  <c r="O130" i="9"/>
  <c r="N130" i="9"/>
  <c r="M130" i="9"/>
  <c r="L130" i="9"/>
  <c r="K130" i="9"/>
  <c r="J130" i="9"/>
  <c r="I130" i="9"/>
  <c r="H130" i="9"/>
  <c r="G130" i="9"/>
  <c r="E130" i="9"/>
  <c r="D130" i="9"/>
  <c r="A130" i="9"/>
  <c r="J55" i="11"/>
  <c r="O129" i="9"/>
  <c r="N129" i="9"/>
  <c r="M129" i="9"/>
  <c r="L129" i="9"/>
  <c r="K129" i="9"/>
  <c r="J129" i="9"/>
  <c r="I129" i="9"/>
  <c r="H129" i="9"/>
  <c r="G129" i="9"/>
  <c r="E129" i="9"/>
  <c r="D129" i="9"/>
  <c r="A129" i="9"/>
  <c r="J54" i="11"/>
  <c r="O128" i="9"/>
  <c r="N128" i="9"/>
  <c r="M128" i="9"/>
  <c r="L128" i="9"/>
  <c r="K128" i="9"/>
  <c r="J128" i="9"/>
  <c r="I128" i="9"/>
  <c r="H128" i="9"/>
  <c r="G128" i="9"/>
  <c r="E128" i="9"/>
  <c r="D128" i="9"/>
  <c r="A128" i="9"/>
  <c r="J53" i="11"/>
  <c r="O127" i="9"/>
  <c r="N127" i="9"/>
  <c r="M127" i="9"/>
  <c r="L127" i="9"/>
  <c r="K127" i="9"/>
  <c r="J127" i="9"/>
  <c r="I127" i="9"/>
  <c r="H127" i="9"/>
  <c r="G127" i="9"/>
  <c r="E127" i="9"/>
  <c r="D127" i="9"/>
  <c r="A127" i="9"/>
  <c r="J52" i="11"/>
  <c r="O126" i="9"/>
  <c r="N126" i="9"/>
  <c r="M126" i="9"/>
  <c r="L126" i="9"/>
  <c r="K126" i="9"/>
  <c r="J126" i="9"/>
  <c r="I126" i="9"/>
  <c r="H126" i="9"/>
  <c r="G126" i="9"/>
  <c r="E126" i="9"/>
  <c r="D126" i="9"/>
  <c r="A126" i="9"/>
  <c r="J51" i="11"/>
  <c r="O125" i="9"/>
  <c r="N125" i="9"/>
  <c r="M125" i="9"/>
  <c r="L125" i="9"/>
  <c r="K125" i="9"/>
  <c r="J125" i="9"/>
  <c r="I125" i="9"/>
  <c r="H125" i="9"/>
  <c r="G125" i="9"/>
  <c r="E125" i="9"/>
  <c r="D125" i="9"/>
  <c r="A125" i="9"/>
  <c r="J50" i="11"/>
  <c r="O124" i="9"/>
  <c r="N124" i="9"/>
  <c r="M124" i="9"/>
  <c r="L124" i="9"/>
  <c r="K124" i="9"/>
  <c r="J124" i="9"/>
  <c r="I124" i="9"/>
  <c r="H124" i="9"/>
  <c r="G124" i="9"/>
  <c r="E124" i="9"/>
  <c r="D124" i="9"/>
  <c r="A124" i="9"/>
  <c r="J49" i="11"/>
  <c r="O123" i="9"/>
  <c r="N123" i="9"/>
  <c r="M123" i="9"/>
  <c r="L123" i="9"/>
  <c r="K123" i="9"/>
  <c r="J123" i="9"/>
  <c r="I123" i="9"/>
  <c r="H123" i="9"/>
  <c r="G123" i="9"/>
  <c r="E123" i="9"/>
  <c r="D123" i="9"/>
  <c r="A123" i="9"/>
  <c r="J48" i="11"/>
  <c r="O122" i="9"/>
  <c r="N122" i="9"/>
  <c r="M122" i="9"/>
  <c r="L122" i="9"/>
  <c r="K122" i="9"/>
  <c r="J122" i="9"/>
  <c r="I122" i="9"/>
  <c r="H122" i="9"/>
  <c r="G122" i="9"/>
  <c r="E122" i="9"/>
  <c r="D122" i="9"/>
  <c r="A122" i="9"/>
  <c r="J47" i="11"/>
  <c r="O121" i="9"/>
  <c r="N121" i="9"/>
  <c r="M121" i="9"/>
  <c r="L121" i="9"/>
  <c r="K121" i="9"/>
  <c r="J121" i="9"/>
  <c r="I121" i="9"/>
  <c r="H121" i="9"/>
  <c r="G121" i="9"/>
  <c r="E121" i="9"/>
  <c r="D121" i="9"/>
  <c r="A121" i="9"/>
  <c r="J46" i="11"/>
  <c r="O120" i="9"/>
  <c r="N120" i="9"/>
  <c r="M120" i="9"/>
  <c r="L120" i="9"/>
  <c r="K120" i="9"/>
  <c r="J120" i="9"/>
  <c r="I120" i="9"/>
  <c r="H120" i="9"/>
  <c r="G120" i="9"/>
  <c r="E120" i="9"/>
  <c r="D120" i="9"/>
  <c r="A120" i="9"/>
  <c r="J45" i="11"/>
  <c r="O119" i="9"/>
  <c r="N119" i="9"/>
  <c r="M119" i="9"/>
  <c r="L119" i="9"/>
  <c r="K119" i="9"/>
  <c r="J119" i="9"/>
  <c r="I119" i="9"/>
  <c r="H119" i="9"/>
  <c r="G119" i="9"/>
  <c r="E119" i="9"/>
  <c r="D119" i="9"/>
  <c r="A119" i="9"/>
  <c r="J44" i="11"/>
  <c r="O118" i="9"/>
  <c r="N118" i="9"/>
  <c r="M118" i="9"/>
  <c r="L118" i="9"/>
  <c r="K118" i="9"/>
  <c r="J118" i="9"/>
  <c r="I118" i="9"/>
  <c r="H118" i="9"/>
  <c r="G118" i="9"/>
  <c r="E118" i="9"/>
  <c r="D118" i="9"/>
  <c r="A118" i="9"/>
  <c r="J43" i="11"/>
  <c r="O117" i="9"/>
  <c r="N117" i="9"/>
  <c r="M117" i="9"/>
  <c r="L117" i="9"/>
  <c r="K117" i="9"/>
  <c r="J117" i="9"/>
  <c r="I117" i="9"/>
  <c r="H117" i="9"/>
  <c r="G117" i="9"/>
  <c r="E117" i="9"/>
  <c r="D117" i="9"/>
  <c r="A117" i="9"/>
  <c r="J42" i="11"/>
  <c r="O116" i="9"/>
  <c r="N116" i="9"/>
  <c r="M116" i="9"/>
  <c r="L116" i="9"/>
  <c r="K116" i="9"/>
  <c r="J116" i="9"/>
  <c r="I116" i="9"/>
  <c r="H116" i="9"/>
  <c r="G116" i="9"/>
  <c r="E116" i="9"/>
  <c r="D116" i="9"/>
  <c r="A116" i="9"/>
  <c r="J41" i="11"/>
  <c r="O115" i="9"/>
  <c r="N115" i="9"/>
  <c r="M115" i="9"/>
  <c r="L115" i="9"/>
  <c r="K115" i="9"/>
  <c r="J115" i="9"/>
  <c r="I115" i="9"/>
  <c r="H115" i="9"/>
  <c r="G115" i="9"/>
  <c r="E115" i="9"/>
  <c r="D115" i="9"/>
  <c r="A115" i="9"/>
  <c r="J40" i="11"/>
  <c r="O114" i="9"/>
  <c r="N114" i="9"/>
  <c r="M114" i="9"/>
  <c r="L114" i="9"/>
  <c r="K114" i="9"/>
  <c r="J114" i="9"/>
  <c r="I114" i="9"/>
  <c r="H114" i="9"/>
  <c r="G114" i="9"/>
  <c r="E114" i="9"/>
  <c r="D114" i="9"/>
  <c r="A114" i="9"/>
  <c r="J39" i="11"/>
  <c r="O113" i="9"/>
  <c r="N113" i="9"/>
  <c r="M113" i="9"/>
  <c r="L113" i="9"/>
  <c r="K113" i="9"/>
  <c r="J113" i="9"/>
  <c r="I113" i="9"/>
  <c r="H113" i="9"/>
  <c r="G113" i="9"/>
  <c r="E113" i="9"/>
  <c r="D113" i="9"/>
  <c r="A113" i="9"/>
  <c r="J38" i="11"/>
  <c r="O112" i="9"/>
  <c r="N112" i="9"/>
  <c r="M112" i="9"/>
  <c r="L112" i="9"/>
  <c r="K112" i="9"/>
  <c r="J112" i="9"/>
  <c r="I112" i="9"/>
  <c r="H112" i="9"/>
  <c r="G112" i="9"/>
  <c r="E112" i="9"/>
  <c r="D112" i="9"/>
  <c r="A112" i="9"/>
  <c r="J36" i="11"/>
  <c r="O110" i="9"/>
  <c r="N110" i="9"/>
  <c r="M110" i="9"/>
  <c r="L110" i="9"/>
  <c r="K110" i="9"/>
  <c r="J110" i="9"/>
  <c r="I110" i="9"/>
  <c r="H110" i="9"/>
  <c r="G110" i="9"/>
  <c r="E110" i="9"/>
  <c r="D110" i="9"/>
  <c r="A110" i="9"/>
  <c r="J35" i="11"/>
  <c r="O109" i="9"/>
  <c r="N109" i="9"/>
  <c r="M109" i="9"/>
  <c r="L109" i="9"/>
  <c r="K109" i="9"/>
  <c r="J109" i="9"/>
  <c r="I109" i="9"/>
  <c r="H109" i="9"/>
  <c r="G109" i="9"/>
  <c r="E109" i="9"/>
  <c r="D109" i="9"/>
  <c r="A109" i="9"/>
  <c r="J34" i="11"/>
  <c r="O108" i="9"/>
  <c r="N108" i="9"/>
  <c r="M108" i="9"/>
  <c r="L108" i="9"/>
  <c r="K108" i="9"/>
  <c r="J108" i="9"/>
  <c r="I108" i="9"/>
  <c r="H108" i="9"/>
  <c r="G108" i="9"/>
  <c r="E108" i="9"/>
  <c r="D108" i="9"/>
  <c r="A108" i="9"/>
  <c r="J33" i="11"/>
  <c r="O107" i="9"/>
  <c r="N107" i="9"/>
  <c r="M107" i="9"/>
  <c r="L107" i="9"/>
  <c r="K107" i="9"/>
  <c r="J107" i="9"/>
  <c r="I107" i="9"/>
  <c r="H107" i="9"/>
  <c r="G107" i="9"/>
  <c r="E107" i="9"/>
  <c r="D107" i="9"/>
  <c r="A107" i="9"/>
  <c r="J32" i="11"/>
  <c r="O106" i="9"/>
  <c r="N106" i="9"/>
  <c r="M106" i="9"/>
  <c r="L106" i="9"/>
  <c r="K106" i="9"/>
  <c r="J106" i="9"/>
  <c r="I106" i="9"/>
  <c r="H106" i="9"/>
  <c r="G106" i="9"/>
  <c r="E106" i="9"/>
  <c r="D106" i="9"/>
  <c r="A106" i="9"/>
  <c r="J31" i="11"/>
  <c r="O105" i="9"/>
  <c r="N105" i="9"/>
  <c r="M105" i="9"/>
  <c r="L105" i="9"/>
  <c r="K105" i="9"/>
  <c r="J105" i="9"/>
  <c r="I105" i="9"/>
  <c r="H105" i="9"/>
  <c r="G105" i="9"/>
  <c r="E105" i="9"/>
  <c r="D105" i="9"/>
  <c r="A105" i="9"/>
  <c r="J30" i="11"/>
  <c r="O104" i="9"/>
  <c r="N104" i="9"/>
  <c r="M104" i="9"/>
  <c r="L104" i="9"/>
  <c r="K104" i="9"/>
  <c r="J104" i="9"/>
  <c r="I104" i="9"/>
  <c r="H104" i="9"/>
  <c r="G104" i="9"/>
  <c r="E104" i="9"/>
  <c r="D104" i="9"/>
  <c r="A104" i="9"/>
  <c r="J29" i="11"/>
  <c r="O103" i="9"/>
  <c r="N103" i="9"/>
  <c r="M103" i="9"/>
  <c r="L103" i="9"/>
  <c r="K103" i="9"/>
  <c r="J103" i="9"/>
  <c r="I103" i="9"/>
  <c r="H103" i="9"/>
  <c r="G103" i="9"/>
  <c r="E103" i="9"/>
  <c r="D103" i="9"/>
  <c r="A103" i="9"/>
  <c r="J28" i="11"/>
  <c r="O102" i="9"/>
  <c r="N102" i="9"/>
  <c r="M102" i="9"/>
  <c r="L102" i="9"/>
  <c r="K102" i="9"/>
  <c r="J102" i="9"/>
  <c r="I102" i="9"/>
  <c r="H102" i="9"/>
  <c r="G102" i="9"/>
  <c r="E102" i="9"/>
  <c r="D102" i="9"/>
  <c r="A102" i="9"/>
  <c r="J27" i="11"/>
  <c r="O101" i="9"/>
  <c r="N101" i="9"/>
  <c r="M101" i="9"/>
  <c r="L101" i="9"/>
  <c r="K101" i="9"/>
  <c r="J101" i="9"/>
  <c r="I101" i="9"/>
  <c r="H101" i="9"/>
  <c r="G101" i="9"/>
  <c r="E101" i="9"/>
  <c r="D101" i="9"/>
  <c r="A101" i="9"/>
  <c r="J26" i="11"/>
  <c r="O100" i="9"/>
  <c r="N100" i="9"/>
  <c r="M100" i="9"/>
  <c r="L100" i="9"/>
  <c r="K100" i="9"/>
  <c r="J100" i="9"/>
  <c r="I100" i="9"/>
  <c r="H100" i="9"/>
  <c r="G100" i="9"/>
  <c r="E100" i="9"/>
  <c r="D100" i="9"/>
  <c r="A100" i="9"/>
  <c r="J25" i="11"/>
  <c r="O99" i="9"/>
  <c r="N99" i="9"/>
  <c r="M99" i="9"/>
  <c r="L99" i="9"/>
  <c r="K99" i="9"/>
  <c r="J99" i="9"/>
  <c r="I99" i="9"/>
  <c r="H99" i="9"/>
  <c r="G99" i="9"/>
  <c r="E99" i="9"/>
  <c r="D99" i="9"/>
  <c r="A99" i="9"/>
  <c r="J24" i="11"/>
  <c r="O98" i="9"/>
  <c r="N98" i="9"/>
  <c r="M98" i="9"/>
  <c r="L98" i="9"/>
  <c r="K98" i="9"/>
  <c r="J98" i="9"/>
  <c r="I98" i="9"/>
  <c r="H98" i="9"/>
  <c r="G98" i="9"/>
  <c r="E98" i="9"/>
  <c r="D98" i="9"/>
  <c r="A98" i="9"/>
  <c r="J23" i="11"/>
  <c r="O97" i="9"/>
  <c r="N97" i="9"/>
  <c r="M97" i="9"/>
  <c r="L97" i="9"/>
  <c r="K97" i="9"/>
  <c r="J97" i="9"/>
  <c r="I97" i="9"/>
  <c r="H97" i="9"/>
  <c r="G97" i="9"/>
  <c r="E97" i="9"/>
  <c r="D97" i="9"/>
  <c r="A97" i="9"/>
  <c r="J22" i="11"/>
  <c r="O96" i="9"/>
  <c r="N96" i="9"/>
  <c r="M96" i="9"/>
  <c r="L96" i="9"/>
  <c r="K96" i="9"/>
  <c r="J96" i="9"/>
  <c r="I96" i="9"/>
  <c r="H96" i="9"/>
  <c r="G96" i="9"/>
  <c r="E96" i="9"/>
  <c r="D96" i="9"/>
  <c r="A96" i="9"/>
  <c r="J21" i="11"/>
  <c r="O95" i="9"/>
  <c r="N95" i="9"/>
  <c r="M95" i="9"/>
  <c r="L95" i="9"/>
  <c r="K95" i="9"/>
  <c r="J95" i="9"/>
  <c r="I95" i="9"/>
  <c r="H95" i="9"/>
  <c r="G95" i="9"/>
  <c r="E95" i="9"/>
  <c r="D95" i="9"/>
  <c r="A95" i="9"/>
  <c r="J20" i="11"/>
  <c r="O94" i="9"/>
  <c r="N94" i="9"/>
  <c r="M94" i="9"/>
  <c r="L94" i="9"/>
  <c r="K94" i="9"/>
  <c r="J94" i="9"/>
  <c r="I94" i="9"/>
  <c r="H94" i="9"/>
  <c r="G94" i="9"/>
  <c r="E94" i="9"/>
  <c r="D94" i="9"/>
  <c r="A94" i="9"/>
  <c r="J19" i="11"/>
  <c r="O93" i="9"/>
  <c r="N93" i="9"/>
  <c r="M93" i="9"/>
  <c r="L93" i="9"/>
  <c r="K93" i="9"/>
  <c r="J93" i="9"/>
  <c r="I93" i="9"/>
  <c r="H93" i="9"/>
  <c r="G93" i="9"/>
  <c r="E93" i="9"/>
  <c r="D93" i="9"/>
  <c r="A93" i="9"/>
  <c r="J18" i="11"/>
  <c r="O92" i="9"/>
  <c r="N92" i="9"/>
  <c r="M92" i="9"/>
  <c r="L92" i="9"/>
  <c r="K92" i="9"/>
  <c r="J92" i="9"/>
  <c r="I92" i="9"/>
  <c r="H92" i="9"/>
  <c r="G92" i="9"/>
  <c r="E92" i="9"/>
  <c r="D92" i="9"/>
  <c r="A92" i="9"/>
  <c r="J17" i="11"/>
  <c r="O91" i="9"/>
  <c r="N91" i="9"/>
  <c r="M91" i="9"/>
  <c r="L91" i="9"/>
  <c r="K91" i="9"/>
  <c r="J91" i="9"/>
  <c r="I91" i="9"/>
  <c r="H91" i="9"/>
  <c r="G91" i="9"/>
  <c r="E91" i="9"/>
  <c r="D91" i="9"/>
  <c r="A91" i="9"/>
  <c r="J16" i="11"/>
  <c r="O90" i="9"/>
  <c r="N90" i="9"/>
  <c r="M90" i="9"/>
  <c r="L90" i="9"/>
  <c r="K90" i="9"/>
  <c r="J90" i="9"/>
  <c r="I90" i="9"/>
  <c r="H90" i="9"/>
  <c r="G90" i="9"/>
  <c r="E90" i="9"/>
  <c r="D90" i="9"/>
  <c r="A90" i="9"/>
  <c r="J15" i="11"/>
  <c r="O89" i="9"/>
  <c r="N89" i="9"/>
  <c r="M89" i="9"/>
  <c r="L89" i="9"/>
  <c r="K89" i="9"/>
  <c r="J89" i="9"/>
  <c r="I89" i="9"/>
  <c r="H89" i="9"/>
  <c r="G89" i="9"/>
  <c r="E89" i="9"/>
  <c r="D89" i="9"/>
  <c r="A89" i="9"/>
  <c r="J14" i="11"/>
  <c r="O88" i="9"/>
  <c r="N88" i="9"/>
  <c r="M88" i="9"/>
  <c r="L88" i="9"/>
  <c r="K88" i="9"/>
  <c r="J88" i="9"/>
  <c r="I88" i="9"/>
  <c r="H88" i="9"/>
  <c r="G88" i="9"/>
  <c r="E88" i="9"/>
  <c r="D88" i="9"/>
  <c r="A88" i="9"/>
  <c r="J13" i="11"/>
  <c r="O87" i="9"/>
  <c r="N87" i="9"/>
  <c r="M87" i="9"/>
  <c r="L87" i="9"/>
  <c r="K87" i="9"/>
  <c r="J87" i="9"/>
  <c r="I87" i="9"/>
  <c r="H87" i="9"/>
  <c r="G87" i="9"/>
  <c r="E87" i="9"/>
  <c r="D87" i="9"/>
  <c r="A87" i="9"/>
  <c r="J12" i="11"/>
  <c r="O86" i="9"/>
  <c r="N86" i="9"/>
  <c r="M86" i="9"/>
  <c r="L86" i="9"/>
  <c r="K86" i="9"/>
  <c r="J86" i="9"/>
  <c r="I86" i="9"/>
  <c r="H86" i="9"/>
  <c r="G86" i="9"/>
  <c r="E86" i="9"/>
  <c r="D86" i="9"/>
  <c r="A86" i="9"/>
  <c r="J11" i="11"/>
  <c r="O85" i="9"/>
  <c r="N85" i="9"/>
  <c r="M85" i="9"/>
  <c r="L85" i="9"/>
  <c r="K85" i="9"/>
  <c r="J85" i="9"/>
  <c r="I85" i="9"/>
  <c r="H85" i="9"/>
  <c r="G85" i="9"/>
  <c r="E85" i="9"/>
  <c r="D85" i="9"/>
  <c r="A85" i="9"/>
  <c r="J10" i="11"/>
  <c r="O84" i="9"/>
  <c r="N84" i="9"/>
  <c r="M84" i="9"/>
  <c r="L84" i="9"/>
  <c r="K84" i="9"/>
  <c r="J84" i="9"/>
  <c r="I84" i="9"/>
  <c r="H84" i="9"/>
  <c r="G84" i="9"/>
  <c r="E84" i="9"/>
  <c r="D84" i="9"/>
  <c r="A84" i="9"/>
  <c r="J9" i="11"/>
  <c r="O83" i="9"/>
  <c r="N83" i="9"/>
  <c r="M83" i="9"/>
  <c r="L83" i="9"/>
  <c r="K83" i="9"/>
  <c r="J83" i="9"/>
  <c r="I83" i="9"/>
  <c r="H83" i="9"/>
  <c r="G83" i="9"/>
  <c r="E83" i="9"/>
  <c r="D83" i="9"/>
  <c r="A83" i="9"/>
  <c r="J7" i="11"/>
  <c r="O81" i="9"/>
  <c r="N81" i="9"/>
  <c r="M81" i="9"/>
  <c r="L81" i="9"/>
  <c r="K81" i="9"/>
  <c r="J81" i="9"/>
  <c r="I81" i="9"/>
  <c r="H81" i="9"/>
  <c r="G81" i="9"/>
  <c r="E81" i="9"/>
  <c r="D81" i="9"/>
  <c r="A81" i="9"/>
  <c r="J6" i="11"/>
  <c r="O80" i="9"/>
  <c r="N80" i="9"/>
  <c r="M80" i="9"/>
  <c r="L80" i="9"/>
  <c r="K80" i="9"/>
  <c r="J80" i="9"/>
  <c r="I80" i="9"/>
  <c r="H80" i="9"/>
  <c r="G80" i="9"/>
  <c r="E80" i="9"/>
  <c r="D80" i="9"/>
  <c r="A80" i="9"/>
  <c r="J5" i="11"/>
  <c r="O79" i="9"/>
  <c r="N79" i="9"/>
  <c r="M79" i="9"/>
  <c r="L79" i="9"/>
  <c r="K79" i="9"/>
  <c r="J79" i="9"/>
  <c r="I79" i="9"/>
  <c r="H79" i="9"/>
  <c r="G79" i="9"/>
  <c r="E79" i="9"/>
  <c r="D79" i="9"/>
  <c r="A79" i="9"/>
  <c r="J4" i="11"/>
  <c r="O78" i="9"/>
  <c r="N78" i="9"/>
  <c r="M78" i="9"/>
  <c r="L78" i="9"/>
  <c r="K78" i="9"/>
  <c r="J78" i="9"/>
  <c r="I78" i="9"/>
  <c r="H78" i="9"/>
  <c r="G78" i="9"/>
  <c r="E78" i="9"/>
  <c r="D78" i="9"/>
  <c r="A78" i="9"/>
  <c r="J3" i="11"/>
  <c r="O77" i="9"/>
  <c r="N77" i="9"/>
  <c r="M77" i="9"/>
  <c r="L77" i="9"/>
  <c r="K77" i="9"/>
  <c r="J77" i="9"/>
  <c r="I77" i="9"/>
  <c r="H77" i="9"/>
  <c r="G77" i="9"/>
  <c r="E77" i="9"/>
  <c r="D77" i="9"/>
  <c r="A77" i="9"/>
  <c r="J2" i="11"/>
  <c r="O76" i="9"/>
  <c r="N76" i="9"/>
  <c r="M76" i="9"/>
  <c r="L76" i="9"/>
  <c r="K76" i="9"/>
  <c r="J76" i="9"/>
  <c r="I76" i="9"/>
  <c r="H76" i="9"/>
  <c r="G76" i="9"/>
  <c r="E76" i="9"/>
  <c r="D76" i="9"/>
  <c r="A76" i="9"/>
  <c r="M71" i="10"/>
  <c r="T71" i="10"/>
  <c r="W71" i="10"/>
  <c r="V71" i="10"/>
  <c r="X71" i="10"/>
  <c r="U71" i="10"/>
  <c r="Y71" i="10"/>
  <c r="N71" i="10"/>
  <c r="Q71" i="10"/>
  <c r="P71" i="10"/>
  <c r="R71" i="10"/>
  <c r="O71" i="10"/>
  <c r="S71" i="10"/>
  <c r="G71" i="10"/>
  <c r="J71" i="10"/>
  <c r="I71" i="10"/>
  <c r="K71" i="10"/>
  <c r="H71" i="10"/>
  <c r="L71" i="10"/>
  <c r="M70" i="10"/>
  <c r="T70" i="10"/>
  <c r="W70" i="10"/>
  <c r="V70" i="10"/>
  <c r="X70" i="10"/>
  <c r="U70" i="10"/>
  <c r="Y70" i="10"/>
  <c r="N70" i="10"/>
  <c r="Q70" i="10"/>
  <c r="P70" i="10"/>
  <c r="R70" i="10"/>
  <c r="O70" i="10"/>
  <c r="S70" i="10"/>
  <c r="G70" i="10"/>
  <c r="J70" i="10"/>
  <c r="I70" i="10"/>
  <c r="K70" i="10"/>
  <c r="H70" i="10"/>
  <c r="L70" i="10"/>
  <c r="M69" i="10"/>
  <c r="T69" i="10"/>
  <c r="W69" i="10"/>
  <c r="V69" i="10"/>
  <c r="X69" i="10"/>
  <c r="U69" i="10"/>
  <c r="Y69" i="10"/>
  <c r="N69" i="10"/>
  <c r="Q69" i="10"/>
  <c r="P69" i="10"/>
  <c r="R69" i="10"/>
  <c r="O69" i="10"/>
  <c r="S69" i="10"/>
  <c r="G69" i="10"/>
  <c r="J69" i="10"/>
  <c r="I69" i="10"/>
  <c r="K69" i="10"/>
  <c r="H69" i="10"/>
  <c r="L69" i="10"/>
  <c r="M68" i="10"/>
  <c r="T68" i="10"/>
  <c r="W68" i="10"/>
  <c r="V68" i="10"/>
  <c r="X68" i="10"/>
  <c r="U68" i="10"/>
  <c r="Y68" i="10"/>
  <c r="N68" i="10"/>
  <c r="Q68" i="10"/>
  <c r="P68" i="10"/>
  <c r="R68" i="10"/>
  <c r="O68" i="10"/>
  <c r="S68" i="10"/>
  <c r="G68" i="10"/>
  <c r="J68" i="10"/>
  <c r="I68" i="10"/>
  <c r="K68" i="10"/>
  <c r="H68" i="10"/>
  <c r="L68" i="10"/>
  <c r="M67" i="10"/>
  <c r="T67" i="10"/>
  <c r="W67" i="10"/>
  <c r="V67" i="10"/>
  <c r="X67" i="10"/>
  <c r="U67" i="10"/>
  <c r="Y67" i="10"/>
  <c r="N67" i="10"/>
  <c r="Q67" i="10"/>
  <c r="P67" i="10"/>
  <c r="R67" i="10"/>
  <c r="O67" i="10"/>
  <c r="S67" i="10"/>
  <c r="G67" i="10"/>
  <c r="J67" i="10"/>
  <c r="I67" i="10"/>
  <c r="K67" i="10"/>
  <c r="H67" i="10"/>
  <c r="L67" i="10"/>
  <c r="M66" i="10"/>
  <c r="T66" i="10"/>
  <c r="W66" i="10"/>
  <c r="V66" i="10"/>
  <c r="X66" i="10"/>
  <c r="U66" i="10"/>
  <c r="Y66" i="10"/>
  <c r="N66" i="10"/>
  <c r="Q66" i="10"/>
  <c r="P66" i="10"/>
  <c r="R66" i="10"/>
  <c r="O66" i="10"/>
  <c r="S66" i="10"/>
  <c r="G66" i="10"/>
  <c r="J66" i="10"/>
  <c r="I66" i="10"/>
  <c r="K66" i="10"/>
  <c r="H66" i="10"/>
  <c r="L66" i="10"/>
  <c r="M65" i="10"/>
  <c r="T65" i="10"/>
  <c r="W65" i="10"/>
  <c r="V65" i="10"/>
  <c r="X65" i="10"/>
  <c r="U65" i="10"/>
  <c r="Y65" i="10"/>
  <c r="N65" i="10"/>
  <c r="Q65" i="10"/>
  <c r="P65" i="10"/>
  <c r="R65" i="10"/>
  <c r="O65" i="10"/>
  <c r="S65" i="10"/>
  <c r="G65" i="10"/>
  <c r="J65" i="10"/>
  <c r="I65" i="10"/>
  <c r="K65" i="10"/>
  <c r="H65" i="10"/>
  <c r="L65" i="10"/>
  <c r="M64" i="10"/>
  <c r="T64" i="10"/>
  <c r="W64" i="10"/>
  <c r="V64" i="10"/>
  <c r="X64" i="10"/>
  <c r="U64" i="10"/>
  <c r="Y64" i="10"/>
  <c r="N64" i="10"/>
  <c r="Q64" i="10"/>
  <c r="P64" i="10"/>
  <c r="R64" i="10"/>
  <c r="O64" i="10"/>
  <c r="S64" i="10"/>
  <c r="G64" i="10"/>
  <c r="J64" i="10"/>
  <c r="I64" i="10"/>
  <c r="K64" i="10"/>
  <c r="H64" i="10"/>
  <c r="L64" i="10"/>
  <c r="M61" i="10"/>
  <c r="T61" i="10"/>
  <c r="W61" i="10"/>
  <c r="V61" i="10"/>
  <c r="X61" i="10"/>
  <c r="U61" i="10"/>
  <c r="Y61" i="10"/>
  <c r="N61" i="10"/>
  <c r="Q61" i="10"/>
  <c r="P61" i="10"/>
  <c r="R61" i="10"/>
  <c r="O61" i="10"/>
  <c r="S61" i="10"/>
  <c r="G61" i="10"/>
  <c r="J61" i="10"/>
  <c r="I61" i="10"/>
  <c r="K61" i="10"/>
  <c r="H61" i="10"/>
  <c r="L61" i="10"/>
  <c r="M60" i="10"/>
  <c r="T60" i="10"/>
  <c r="W60" i="10"/>
  <c r="V60" i="10"/>
  <c r="X60" i="10"/>
  <c r="U60" i="10"/>
  <c r="Y60" i="10"/>
  <c r="N60" i="10"/>
  <c r="Q60" i="10"/>
  <c r="P60" i="10"/>
  <c r="R60" i="10"/>
  <c r="O60" i="10"/>
  <c r="S60" i="10"/>
  <c r="G60" i="10"/>
  <c r="J60" i="10"/>
  <c r="I60" i="10"/>
  <c r="K60" i="10"/>
  <c r="H60" i="10"/>
  <c r="L60" i="10"/>
  <c r="M59" i="10"/>
  <c r="T59" i="10"/>
  <c r="W59" i="10"/>
  <c r="V59" i="10"/>
  <c r="X59" i="10"/>
  <c r="U59" i="10"/>
  <c r="Y59" i="10"/>
  <c r="N59" i="10"/>
  <c r="Q59" i="10"/>
  <c r="P59" i="10"/>
  <c r="R59" i="10"/>
  <c r="O59" i="10"/>
  <c r="S59" i="10"/>
  <c r="G59" i="10"/>
  <c r="J59" i="10"/>
  <c r="I59" i="10"/>
  <c r="K59" i="10"/>
  <c r="H59" i="10"/>
  <c r="L59" i="10"/>
  <c r="M58" i="10"/>
  <c r="T58" i="10"/>
  <c r="W58" i="10"/>
  <c r="V58" i="10"/>
  <c r="X58" i="10"/>
  <c r="U58" i="10"/>
  <c r="Y58" i="10"/>
  <c r="N58" i="10"/>
  <c r="Q58" i="10"/>
  <c r="P58" i="10"/>
  <c r="R58" i="10"/>
  <c r="O58" i="10"/>
  <c r="S58" i="10"/>
  <c r="G58" i="10"/>
  <c r="J58" i="10"/>
  <c r="I58" i="10"/>
  <c r="K58" i="10"/>
  <c r="H58" i="10"/>
  <c r="L58" i="10"/>
  <c r="M57" i="10"/>
  <c r="T57" i="10"/>
  <c r="W57" i="10"/>
  <c r="V57" i="10"/>
  <c r="X57" i="10"/>
  <c r="U57" i="10"/>
  <c r="Y57" i="10"/>
  <c r="N57" i="10"/>
  <c r="Q57" i="10"/>
  <c r="P57" i="10"/>
  <c r="R57" i="10"/>
  <c r="O57" i="10"/>
  <c r="S57" i="10"/>
  <c r="G57" i="10"/>
  <c r="J57" i="10"/>
  <c r="I57" i="10"/>
  <c r="K57" i="10"/>
  <c r="H57" i="10"/>
  <c r="L57" i="10"/>
  <c r="M56" i="10"/>
  <c r="T56" i="10"/>
  <c r="W56" i="10"/>
  <c r="V56" i="10"/>
  <c r="X56" i="10"/>
  <c r="U56" i="10"/>
  <c r="Y56" i="10"/>
  <c r="N56" i="10"/>
  <c r="Q56" i="10"/>
  <c r="P56" i="10"/>
  <c r="R56" i="10"/>
  <c r="O56" i="10"/>
  <c r="S56" i="10"/>
  <c r="G56" i="10"/>
  <c r="J56" i="10"/>
  <c r="I56" i="10"/>
  <c r="K56" i="10"/>
  <c r="H56" i="10"/>
  <c r="L56" i="10"/>
  <c r="M55" i="10"/>
  <c r="T55" i="10"/>
  <c r="W55" i="10"/>
  <c r="V55" i="10"/>
  <c r="X55" i="10"/>
  <c r="U55" i="10"/>
  <c r="Y55" i="10"/>
  <c r="N55" i="10"/>
  <c r="Q55" i="10"/>
  <c r="P55" i="10"/>
  <c r="R55" i="10"/>
  <c r="O55" i="10"/>
  <c r="S55" i="10"/>
  <c r="G55" i="10"/>
  <c r="J55" i="10"/>
  <c r="I55" i="10"/>
  <c r="K55" i="10"/>
  <c r="H55" i="10"/>
  <c r="L55" i="10"/>
  <c r="M54" i="10"/>
  <c r="T54" i="10"/>
  <c r="W54" i="10"/>
  <c r="V54" i="10"/>
  <c r="X54" i="10"/>
  <c r="U54" i="10"/>
  <c r="Y54" i="10"/>
  <c r="N54" i="10"/>
  <c r="Q54" i="10"/>
  <c r="P54" i="10"/>
  <c r="R54" i="10"/>
  <c r="O54" i="10"/>
  <c r="S54" i="10"/>
  <c r="G54" i="10"/>
  <c r="J54" i="10"/>
  <c r="I54" i="10"/>
  <c r="K54" i="10"/>
  <c r="H54" i="10"/>
  <c r="L54" i="10"/>
  <c r="M53" i="10"/>
  <c r="T53" i="10"/>
  <c r="W53" i="10"/>
  <c r="V53" i="10"/>
  <c r="X53" i="10"/>
  <c r="U53" i="10"/>
  <c r="Y53" i="10"/>
  <c r="N53" i="10"/>
  <c r="Q53" i="10"/>
  <c r="P53" i="10"/>
  <c r="R53" i="10"/>
  <c r="O53" i="10"/>
  <c r="S53" i="10"/>
  <c r="G53" i="10"/>
  <c r="J53" i="10"/>
  <c r="I53" i="10"/>
  <c r="K53" i="10"/>
  <c r="H53" i="10"/>
  <c r="L53" i="10"/>
  <c r="M52" i="10"/>
  <c r="T52" i="10"/>
  <c r="W52" i="10"/>
  <c r="V52" i="10"/>
  <c r="X52" i="10"/>
  <c r="U52" i="10"/>
  <c r="Y52" i="10"/>
  <c r="N52" i="10"/>
  <c r="Q52" i="10"/>
  <c r="P52" i="10"/>
  <c r="R52" i="10"/>
  <c r="O52" i="10"/>
  <c r="S52" i="10"/>
  <c r="G52" i="10"/>
  <c r="J52" i="10"/>
  <c r="I52" i="10"/>
  <c r="K52" i="10"/>
  <c r="H52" i="10"/>
  <c r="L52" i="10"/>
  <c r="M51" i="10"/>
  <c r="T51" i="10"/>
  <c r="W51" i="10"/>
  <c r="V51" i="10"/>
  <c r="X51" i="10"/>
  <c r="U51" i="10"/>
  <c r="Y51" i="10"/>
  <c r="N51" i="10"/>
  <c r="Q51" i="10"/>
  <c r="P51" i="10"/>
  <c r="R51" i="10"/>
  <c r="O51" i="10"/>
  <c r="S51" i="10"/>
  <c r="G51" i="10"/>
  <c r="J51" i="10"/>
  <c r="I51" i="10"/>
  <c r="K51" i="10"/>
  <c r="H51" i="10"/>
  <c r="L51" i="10"/>
  <c r="M50" i="10"/>
  <c r="T50" i="10"/>
  <c r="W50" i="10"/>
  <c r="V50" i="10"/>
  <c r="X50" i="10"/>
  <c r="U50" i="10"/>
  <c r="Y50" i="10"/>
  <c r="N50" i="10"/>
  <c r="Q50" i="10"/>
  <c r="P50" i="10"/>
  <c r="R50" i="10"/>
  <c r="O50" i="10"/>
  <c r="S50" i="10"/>
  <c r="G50" i="10"/>
  <c r="J50" i="10"/>
  <c r="I50" i="10"/>
  <c r="K50" i="10"/>
  <c r="H50" i="10"/>
  <c r="L50" i="10"/>
  <c r="M49" i="10"/>
  <c r="T49" i="10"/>
  <c r="W49" i="10"/>
  <c r="V49" i="10"/>
  <c r="X49" i="10"/>
  <c r="U49" i="10"/>
  <c r="Y49" i="10"/>
  <c r="N49" i="10"/>
  <c r="Q49" i="10"/>
  <c r="P49" i="10"/>
  <c r="R49" i="10"/>
  <c r="O49" i="10"/>
  <c r="S49" i="10"/>
  <c r="G49" i="10"/>
  <c r="J49" i="10"/>
  <c r="I49" i="10"/>
  <c r="K49" i="10"/>
  <c r="H49" i="10"/>
  <c r="L49" i="10"/>
  <c r="M48" i="10"/>
  <c r="T48" i="10"/>
  <c r="W48" i="10"/>
  <c r="V48" i="10"/>
  <c r="X48" i="10"/>
  <c r="U48" i="10"/>
  <c r="Y48" i="10"/>
  <c r="N48" i="10"/>
  <c r="Q48" i="10"/>
  <c r="P48" i="10"/>
  <c r="R48" i="10"/>
  <c r="O48" i="10"/>
  <c r="S48" i="10"/>
  <c r="G48" i="10"/>
  <c r="J48" i="10"/>
  <c r="I48" i="10"/>
  <c r="K48" i="10"/>
  <c r="H48" i="10"/>
  <c r="L48" i="10"/>
  <c r="V6" i="1"/>
  <c r="V5" i="1"/>
  <c r="V7" i="1"/>
  <c r="T7" i="1"/>
  <c r="T6" i="1"/>
  <c r="T5" i="1"/>
  <c r="V3" i="1"/>
  <c r="V2" i="1"/>
  <c r="T3" i="1"/>
  <c r="T2" i="1"/>
  <c r="V4" i="1"/>
  <c r="T4" i="1"/>
  <c r="A75" i="9"/>
  <c r="D75" i="9"/>
  <c r="E75" i="9"/>
  <c r="G75" i="9"/>
  <c r="H75" i="9"/>
  <c r="I75" i="9"/>
  <c r="J75" i="9"/>
  <c r="K75" i="9"/>
  <c r="L75" i="9"/>
  <c r="M75" i="9"/>
  <c r="N75" i="9"/>
  <c r="O75" i="9"/>
  <c r="G44" i="10"/>
  <c r="J44" i="10"/>
  <c r="I44" i="10"/>
  <c r="K44" i="10"/>
  <c r="H44" i="10"/>
  <c r="L44" i="10"/>
  <c r="V9" i="1"/>
  <c r="V8" i="1"/>
  <c r="W10" i="7"/>
  <c r="W9" i="7"/>
  <c r="W8" i="7"/>
  <c r="U10" i="7"/>
  <c r="U9" i="7"/>
  <c r="U8" i="7"/>
  <c r="V10" i="1"/>
  <c r="T10" i="1"/>
  <c r="T9" i="1"/>
  <c r="T8" i="1"/>
  <c r="W5" i="7"/>
  <c r="W2" i="7"/>
  <c r="W7" i="7"/>
  <c r="W6" i="7"/>
  <c r="W4" i="7"/>
  <c r="W3" i="7"/>
  <c r="U5" i="7"/>
  <c r="E24" i="9"/>
  <c r="X3" i="1"/>
  <c r="E53" i="9"/>
  <c r="E54" i="9"/>
  <c r="X4" i="1"/>
  <c r="E2" i="9"/>
  <c r="X5" i="1"/>
  <c r="X6" i="1"/>
  <c r="X7" i="1"/>
  <c r="X8" i="1"/>
  <c r="X9" i="1"/>
  <c r="X10" i="1"/>
  <c r="X2" i="1"/>
  <c r="O33" i="9"/>
  <c r="N33" i="9"/>
  <c r="M33" i="9"/>
  <c r="L33" i="9"/>
  <c r="K33" i="9"/>
  <c r="J33" i="9"/>
  <c r="I33" i="9"/>
  <c r="H33" i="9"/>
  <c r="G33" i="9"/>
  <c r="E33" i="9"/>
  <c r="D33" i="9"/>
  <c r="A33" i="9"/>
  <c r="O46" i="9"/>
  <c r="N46" i="9"/>
  <c r="M46" i="9"/>
  <c r="L46" i="9"/>
  <c r="K46" i="9"/>
  <c r="J46" i="9"/>
  <c r="I46" i="9"/>
  <c r="H46" i="9"/>
  <c r="G46" i="9"/>
  <c r="E46" i="9"/>
  <c r="D46" i="9"/>
  <c r="A46" i="9"/>
  <c r="O45" i="9"/>
  <c r="N45" i="9"/>
  <c r="M45" i="9"/>
  <c r="L45" i="9"/>
  <c r="K45" i="9"/>
  <c r="J45" i="9"/>
  <c r="I45" i="9"/>
  <c r="H45" i="9"/>
  <c r="G45" i="9"/>
  <c r="E45" i="9"/>
  <c r="D45" i="9"/>
  <c r="A45" i="9"/>
  <c r="O44" i="9"/>
  <c r="N44" i="9"/>
  <c r="M44" i="9"/>
  <c r="L44" i="9"/>
  <c r="K44" i="9"/>
  <c r="J44" i="9"/>
  <c r="I44" i="9"/>
  <c r="H44" i="9"/>
  <c r="G44" i="9"/>
  <c r="E44" i="9"/>
  <c r="D44" i="9"/>
  <c r="A44" i="9"/>
  <c r="O43" i="9"/>
  <c r="N43" i="9"/>
  <c r="M43" i="9"/>
  <c r="L43" i="9"/>
  <c r="K43" i="9"/>
  <c r="J43" i="9"/>
  <c r="I43" i="9"/>
  <c r="H43" i="9"/>
  <c r="G43" i="9"/>
  <c r="E43" i="9"/>
  <c r="D43" i="9"/>
  <c r="A43" i="9"/>
  <c r="O42" i="9"/>
  <c r="N42" i="9"/>
  <c r="M42" i="9"/>
  <c r="L42" i="9"/>
  <c r="K42" i="9"/>
  <c r="J42" i="9"/>
  <c r="I42" i="9"/>
  <c r="H42" i="9"/>
  <c r="G42" i="9"/>
  <c r="E42" i="9"/>
  <c r="D42" i="9"/>
  <c r="A42" i="9"/>
  <c r="O41" i="9"/>
  <c r="N41" i="9"/>
  <c r="M41" i="9"/>
  <c r="L41" i="9"/>
  <c r="K41" i="9"/>
  <c r="J41" i="9"/>
  <c r="I41" i="9"/>
  <c r="H41" i="9"/>
  <c r="G41" i="9"/>
  <c r="E41" i="9"/>
  <c r="D41" i="9"/>
  <c r="A41" i="9"/>
  <c r="O40" i="9"/>
  <c r="N40" i="9"/>
  <c r="M40" i="9"/>
  <c r="L40" i="9"/>
  <c r="K40" i="9"/>
  <c r="J40" i="9"/>
  <c r="I40" i="9"/>
  <c r="H40" i="9"/>
  <c r="G40" i="9"/>
  <c r="E40" i="9"/>
  <c r="D40" i="9"/>
  <c r="A40" i="9"/>
  <c r="O39" i="9"/>
  <c r="N39" i="9"/>
  <c r="M39" i="9"/>
  <c r="L39" i="9"/>
  <c r="K39" i="9"/>
  <c r="J39" i="9"/>
  <c r="I39" i="9"/>
  <c r="H39" i="9"/>
  <c r="G39" i="9"/>
  <c r="E39" i="9"/>
  <c r="D39" i="9"/>
  <c r="A39" i="9"/>
  <c r="O38" i="9"/>
  <c r="N38" i="9"/>
  <c r="M38" i="9"/>
  <c r="L38" i="9"/>
  <c r="K38" i="9"/>
  <c r="J38" i="9"/>
  <c r="I38" i="9"/>
  <c r="H38" i="9"/>
  <c r="G38" i="9"/>
  <c r="E38" i="9"/>
  <c r="D38" i="9"/>
  <c r="A38" i="9"/>
  <c r="O36" i="9"/>
  <c r="N36" i="9"/>
  <c r="M36" i="9"/>
  <c r="L36" i="9"/>
  <c r="K36" i="9"/>
  <c r="J36" i="9"/>
  <c r="I36" i="9"/>
  <c r="H36" i="9"/>
  <c r="G36" i="9"/>
  <c r="E36" i="9"/>
  <c r="D36" i="9"/>
  <c r="O35" i="9"/>
  <c r="N35" i="9"/>
  <c r="M35" i="9"/>
  <c r="L35" i="9"/>
  <c r="K35" i="9"/>
  <c r="J35" i="9"/>
  <c r="I35" i="9"/>
  <c r="H35" i="9"/>
  <c r="G35" i="9"/>
  <c r="E35" i="9"/>
  <c r="D35" i="9"/>
  <c r="A35" i="9"/>
  <c r="O34" i="9"/>
  <c r="N34" i="9"/>
  <c r="M34" i="9"/>
  <c r="L34" i="9"/>
  <c r="K34" i="9"/>
  <c r="J34" i="9"/>
  <c r="I34" i="9"/>
  <c r="H34" i="9"/>
  <c r="G34" i="9"/>
  <c r="E34" i="9"/>
  <c r="D34" i="9"/>
  <c r="A34" i="9"/>
  <c r="O32" i="9"/>
  <c r="N32" i="9"/>
  <c r="M32" i="9"/>
  <c r="L32" i="9"/>
  <c r="K32" i="9"/>
  <c r="J32" i="9"/>
  <c r="I32" i="9"/>
  <c r="H32" i="9"/>
  <c r="G32" i="9"/>
  <c r="E32" i="9"/>
  <c r="D32" i="9"/>
  <c r="A32" i="9"/>
  <c r="A3" i="9"/>
  <c r="A4" i="9"/>
  <c r="O14" i="9"/>
  <c r="N14" i="9"/>
  <c r="M14" i="9"/>
  <c r="L14" i="9"/>
  <c r="K14" i="9"/>
  <c r="J14" i="9"/>
  <c r="I14" i="9"/>
  <c r="H14" i="9"/>
  <c r="G14" i="9"/>
  <c r="E14" i="9"/>
  <c r="D14" i="9"/>
  <c r="A14" i="9"/>
  <c r="O15" i="9"/>
  <c r="N15" i="9"/>
  <c r="M15" i="9"/>
  <c r="L15" i="9"/>
  <c r="K15" i="9"/>
  <c r="J15" i="9"/>
  <c r="I15" i="9"/>
  <c r="H15" i="9"/>
  <c r="G15" i="9"/>
  <c r="E15" i="9"/>
  <c r="D15" i="9"/>
  <c r="A15" i="9"/>
  <c r="O5" i="9"/>
  <c r="N5" i="9"/>
  <c r="M5" i="9"/>
  <c r="L5" i="9"/>
  <c r="K5" i="9"/>
  <c r="J5" i="9"/>
  <c r="I5" i="9"/>
  <c r="H5" i="9"/>
  <c r="G5" i="9"/>
  <c r="E5" i="9"/>
  <c r="D5" i="9"/>
  <c r="A5" i="9"/>
  <c r="O6" i="9"/>
  <c r="N6" i="9"/>
  <c r="M6" i="9"/>
  <c r="L6" i="9"/>
  <c r="K6" i="9"/>
  <c r="J6" i="9"/>
  <c r="I6" i="9"/>
  <c r="H6" i="9"/>
  <c r="G6" i="9"/>
  <c r="E6" i="9"/>
  <c r="D6" i="9"/>
  <c r="A6" i="9"/>
  <c r="O7" i="9"/>
  <c r="N7" i="9"/>
  <c r="M7" i="9"/>
  <c r="L7" i="9"/>
  <c r="K7" i="9"/>
  <c r="J7" i="9"/>
  <c r="I7" i="9"/>
  <c r="H7" i="9"/>
  <c r="G7" i="9"/>
  <c r="E7" i="9"/>
  <c r="D7" i="9"/>
  <c r="A7" i="9"/>
  <c r="O9" i="9"/>
  <c r="N9" i="9"/>
  <c r="M9" i="9"/>
  <c r="L9" i="9"/>
  <c r="K9" i="9"/>
  <c r="J9" i="9"/>
  <c r="I9" i="9"/>
  <c r="H9" i="9"/>
  <c r="G9" i="9"/>
  <c r="E9" i="9"/>
  <c r="D9" i="9"/>
  <c r="A9" i="9"/>
  <c r="O10" i="9"/>
  <c r="N10" i="9"/>
  <c r="M10" i="9"/>
  <c r="L10" i="9"/>
  <c r="K10" i="9"/>
  <c r="J10" i="9"/>
  <c r="I10" i="9"/>
  <c r="H10" i="9"/>
  <c r="G10" i="9"/>
  <c r="E10" i="9"/>
  <c r="D10" i="9"/>
  <c r="A10" i="9"/>
  <c r="O11" i="9"/>
  <c r="N11" i="9"/>
  <c r="M11" i="9"/>
  <c r="L11" i="9"/>
  <c r="K11" i="9"/>
  <c r="J11" i="9"/>
  <c r="I11" i="9"/>
  <c r="H11" i="9"/>
  <c r="G11" i="9"/>
  <c r="E11" i="9"/>
  <c r="D11" i="9"/>
  <c r="A11" i="9"/>
  <c r="O12" i="9"/>
  <c r="N12" i="9"/>
  <c r="M12" i="9"/>
  <c r="L12" i="9"/>
  <c r="K12" i="9"/>
  <c r="J12" i="9"/>
  <c r="I12" i="9"/>
  <c r="H12" i="9"/>
  <c r="G12" i="9"/>
  <c r="E12" i="9"/>
  <c r="D12" i="9"/>
  <c r="A12" i="9"/>
  <c r="O13" i="9"/>
  <c r="N13" i="9"/>
  <c r="M13" i="9"/>
  <c r="L13" i="9"/>
  <c r="K13" i="9"/>
  <c r="J13" i="9"/>
  <c r="I13" i="9"/>
  <c r="H13" i="9"/>
  <c r="G13" i="9"/>
  <c r="E13" i="9"/>
  <c r="D13" i="9"/>
  <c r="A13" i="9"/>
  <c r="A16" i="9"/>
  <c r="D16" i="9"/>
  <c r="E16" i="9"/>
  <c r="G16" i="9"/>
  <c r="H16" i="9"/>
  <c r="I16" i="9"/>
  <c r="J16" i="9"/>
  <c r="K16" i="9"/>
  <c r="L16" i="9"/>
  <c r="M16" i="9"/>
  <c r="N16" i="9"/>
  <c r="O16" i="9"/>
  <c r="O4" i="9"/>
  <c r="N4" i="9"/>
  <c r="M4" i="9"/>
  <c r="L4" i="9"/>
  <c r="K4" i="9"/>
  <c r="J4" i="9"/>
  <c r="I4" i="9"/>
  <c r="H4" i="9"/>
  <c r="G4" i="9"/>
  <c r="E4" i="9"/>
  <c r="D4" i="9"/>
  <c r="O2" i="9"/>
  <c r="N2" i="9"/>
  <c r="M2" i="9"/>
  <c r="L2" i="9"/>
  <c r="K2" i="9"/>
  <c r="J2" i="9"/>
  <c r="I2" i="9"/>
  <c r="H2" i="9"/>
  <c r="G2" i="9"/>
  <c r="D2" i="9"/>
  <c r="A2" i="9"/>
  <c r="N3" i="7"/>
  <c r="O3" i="7"/>
  <c r="P3" i="7"/>
  <c r="Q3" i="7"/>
  <c r="R3" i="7"/>
  <c r="N4" i="7"/>
  <c r="O4" i="7"/>
  <c r="P4" i="7"/>
  <c r="Q4" i="7"/>
  <c r="R4" i="7"/>
  <c r="N5" i="7"/>
  <c r="O5" i="7"/>
  <c r="P5" i="7"/>
  <c r="Q5" i="7"/>
  <c r="R5" i="7"/>
  <c r="N6" i="7"/>
  <c r="O6" i="7"/>
  <c r="P6" i="7"/>
  <c r="Q6" i="7"/>
  <c r="R6" i="7"/>
  <c r="N7" i="7"/>
  <c r="O7" i="7"/>
  <c r="P7" i="7"/>
  <c r="Q7" i="7"/>
  <c r="R7" i="7"/>
  <c r="N8" i="7"/>
  <c r="O8" i="7"/>
  <c r="P8" i="7"/>
  <c r="Q8" i="7"/>
  <c r="R8" i="7"/>
  <c r="N9" i="7"/>
  <c r="O9" i="7"/>
  <c r="P9" i="7"/>
  <c r="Q9" i="7"/>
  <c r="R9" i="7"/>
  <c r="N10" i="7"/>
  <c r="O10" i="7"/>
  <c r="P10" i="7"/>
  <c r="Q10" i="7"/>
  <c r="R10" i="7"/>
  <c r="R2" i="7"/>
  <c r="Q2" i="7"/>
  <c r="P2" i="7"/>
  <c r="O2" i="7"/>
  <c r="N2" i="7"/>
  <c r="G36" i="10"/>
  <c r="H36" i="10"/>
  <c r="I36" i="10"/>
  <c r="K36" i="10"/>
  <c r="J36" i="10"/>
  <c r="M36" i="10"/>
  <c r="T36" i="10"/>
  <c r="U36" i="10"/>
  <c r="V36" i="10"/>
  <c r="X36" i="10"/>
  <c r="W36" i="10"/>
  <c r="A17" i="9"/>
  <c r="D17" i="9"/>
  <c r="E17" i="9"/>
  <c r="G17" i="9"/>
  <c r="H17" i="9"/>
  <c r="I17" i="9"/>
  <c r="J17" i="9"/>
  <c r="K17" i="9"/>
  <c r="L17" i="9"/>
  <c r="M17" i="9"/>
  <c r="N17" i="9"/>
  <c r="O17" i="9"/>
  <c r="A18" i="9"/>
  <c r="D18" i="9"/>
  <c r="E18" i="9"/>
  <c r="G18" i="9"/>
  <c r="H18" i="9"/>
  <c r="I18" i="9"/>
  <c r="J18" i="9"/>
  <c r="K18" i="9"/>
  <c r="L18" i="9"/>
  <c r="M18" i="9"/>
  <c r="N18" i="9"/>
  <c r="O18" i="9"/>
  <c r="A19" i="9"/>
  <c r="D19" i="9"/>
  <c r="E19" i="9"/>
  <c r="G19" i="9"/>
  <c r="H19" i="9"/>
  <c r="I19" i="9"/>
  <c r="J19" i="9"/>
  <c r="K19" i="9"/>
  <c r="L19" i="9"/>
  <c r="M19" i="9"/>
  <c r="N19" i="9"/>
  <c r="O19" i="9"/>
  <c r="A20" i="9"/>
  <c r="D20" i="9"/>
  <c r="E20" i="9"/>
  <c r="G20" i="9"/>
  <c r="H20" i="9"/>
  <c r="I20" i="9"/>
  <c r="J20" i="9"/>
  <c r="K20" i="9"/>
  <c r="L20" i="9"/>
  <c r="M20" i="9"/>
  <c r="N20" i="9"/>
  <c r="O20" i="9"/>
  <c r="A21" i="9"/>
  <c r="D21" i="9"/>
  <c r="E21" i="9"/>
  <c r="G21" i="9"/>
  <c r="H21" i="9"/>
  <c r="I21" i="9"/>
  <c r="J21" i="9"/>
  <c r="K21" i="9"/>
  <c r="L21" i="9"/>
  <c r="M21" i="9"/>
  <c r="N21" i="9"/>
  <c r="O21" i="9"/>
  <c r="A22" i="9"/>
  <c r="D22" i="9"/>
  <c r="E22" i="9"/>
  <c r="G22" i="9"/>
  <c r="H22" i="9"/>
  <c r="I22" i="9"/>
  <c r="J22" i="9"/>
  <c r="K22" i="9"/>
  <c r="L22" i="9"/>
  <c r="M22" i="9"/>
  <c r="N22" i="9"/>
  <c r="O22" i="9"/>
  <c r="A23" i="9"/>
  <c r="D23" i="9"/>
  <c r="E23" i="9"/>
  <c r="G23" i="9"/>
  <c r="H23" i="9"/>
  <c r="I23" i="9"/>
  <c r="J23" i="9"/>
  <c r="K23" i="9"/>
  <c r="L23" i="9"/>
  <c r="M23" i="9"/>
  <c r="N23" i="9"/>
  <c r="O23" i="9"/>
  <c r="A24" i="9"/>
  <c r="D24" i="9"/>
  <c r="G24" i="9"/>
  <c r="H24" i="9"/>
  <c r="I24" i="9"/>
  <c r="J24" i="9"/>
  <c r="K24" i="9"/>
  <c r="L24" i="9"/>
  <c r="M24" i="9"/>
  <c r="N24" i="9"/>
  <c r="O24" i="9"/>
  <c r="A25" i="9"/>
  <c r="D25" i="9"/>
  <c r="E25" i="9"/>
  <c r="G25" i="9"/>
  <c r="H25" i="9"/>
  <c r="I25" i="9"/>
  <c r="J25" i="9"/>
  <c r="K25" i="9"/>
  <c r="L25" i="9"/>
  <c r="M25" i="9"/>
  <c r="N25" i="9"/>
  <c r="O25" i="9"/>
  <c r="A26" i="9"/>
  <c r="D26" i="9"/>
  <c r="E26" i="9"/>
  <c r="G26" i="9"/>
  <c r="H26" i="9"/>
  <c r="I26" i="9"/>
  <c r="J26" i="9"/>
  <c r="K26" i="9"/>
  <c r="L26" i="9"/>
  <c r="M26" i="9"/>
  <c r="N26" i="9"/>
  <c r="O26" i="9"/>
  <c r="A27" i="9"/>
  <c r="D27" i="9"/>
  <c r="E27" i="9"/>
  <c r="G27" i="9"/>
  <c r="H27" i="9"/>
  <c r="I27" i="9"/>
  <c r="J27" i="9"/>
  <c r="K27" i="9"/>
  <c r="L27" i="9"/>
  <c r="M27" i="9"/>
  <c r="N27" i="9"/>
  <c r="O27" i="9"/>
  <c r="A28" i="9"/>
  <c r="D28" i="9"/>
  <c r="E28" i="9"/>
  <c r="G28" i="9"/>
  <c r="H28" i="9"/>
  <c r="I28" i="9"/>
  <c r="J28" i="9"/>
  <c r="K28" i="9"/>
  <c r="L28" i="9"/>
  <c r="M28" i="9"/>
  <c r="N28" i="9"/>
  <c r="O28" i="9"/>
  <c r="A29" i="9"/>
  <c r="D29" i="9"/>
  <c r="E29" i="9"/>
  <c r="G29" i="9"/>
  <c r="H29" i="9"/>
  <c r="I29" i="9"/>
  <c r="J29" i="9"/>
  <c r="K29" i="9"/>
  <c r="L29" i="9"/>
  <c r="M29" i="9"/>
  <c r="N29" i="9"/>
  <c r="O29" i="9"/>
  <c r="A30" i="9"/>
  <c r="D30" i="9"/>
  <c r="E30" i="9"/>
  <c r="G30" i="9"/>
  <c r="H30" i="9"/>
  <c r="I30" i="9"/>
  <c r="J30" i="9"/>
  <c r="K30" i="9"/>
  <c r="L30" i="9"/>
  <c r="M30" i="9"/>
  <c r="N30" i="9"/>
  <c r="O30" i="9"/>
  <c r="A31" i="9"/>
  <c r="D31" i="9"/>
  <c r="E31" i="9"/>
  <c r="G31" i="9"/>
  <c r="H31" i="9"/>
  <c r="I31" i="9"/>
  <c r="J31" i="9"/>
  <c r="K31" i="9"/>
  <c r="L31" i="9"/>
  <c r="M31" i="9"/>
  <c r="N31" i="9"/>
  <c r="O31" i="9"/>
  <c r="A47" i="9"/>
  <c r="D47" i="9"/>
  <c r="E47" i="9"/>
  <c r="G47" i="9"/>
  <c r="H47" i="9"/>
  <c r="I47" i="9"/>
  <c r="J47" i="9"/>
  <c r="K47" i="9"/>
  <c r="L47" i="9"/>
  <c r="M47" i="9"/>
  <c r="N47" i="9"/>
  <c r="O47" i="9"/>
  <c r="A48" i="9"/>
  <c r="D48" i="9"/>
  <c r="E48" i="9"/>
  <c r="G48" i="9"/>
  <c r="H48" i="9"/>
  <c r="I48" i="9"/>
  <c r="J48" i="9"/>
  <c r="K48" i="9"/>
  <c r="L48" i="9"/>
  <c r="M48" i="9"/>
  <c r="N48" i="9"/>
  <c r="O48" i="9"/>
  <c r="A49" i="9"/>
  <c r="D49" i="9"/>
  <c r="E49" i="9"/>
  <c r="G49" i="9"/>
  <c r="H49" i="9"/>
  <c r="I49" i="9"/>
  <c r="J49" i="9"/>
  <c r="K49" i="9"/>
  <c r="L49" i="9"/>
  <c r="M49" i="9"/>
  <c r="N49" i="9"/>
  <c r="O49" i="9"/>
  <c r="A50" i="9"/>
  <c r="D50" i="9"/>
  <c r="E50" i="9"/>
  <c r="G50" i="9"/>
  <c r="H50" i="9"/>
  <c r="I50" i="9"/>
  <c r="J50" i="9"/>
  <c r="K50" i="9"/>
  <c r="L50" i="9"/>
  <c r="M50" i="9"/>
  <c r="N50" i="9"/>
  <c r="O50" i="9"/>
  <c r="A51" i="9"/>
  <c r="D51" i="9"/>
  <c r="E51" i="9"/>
  <c r="G51" i="9"/>
  <c r="H51" i="9"/>
  <c r="I51" i="9"/>
  <c r="J51" i="9"/>
  <c r="K51" i="9"/>
  <c r="L51" i="9"/>
  <c r="M51" i="9"/>
  <c r="N51" i="9"/>
  <c r="O51" i="9"/>
  <c r="A52" i="9"/>
  <c r="D52" i="9"/>
  <c r="E52" i="9"/>
  <c r="G52" i="9"/>
  <c r="H52" i="9"/>
  <c r="I52" i="9"/>
  <c r="J52" i="9"/>
  <c r="K52" i="9"/>
  <c r="L52" i="9"/>
  <c r="M52" i="9"/>
  <c r="N52" i="9"/>
  <c r="O52" i="9"/>
  <c r="A53" i="9"/>
  <c r="D53" i="9"/>
  <c r="G53" i="9"/>
  <c r="H53" i="9"/>
  <c r="I53" i="9"/>
  <c r="J53" i="9"/>
  <c r="K53" i="9"/>
  <c r="L53" i="9"/>
  <c r="M53" i="9"/>
  <c r="N53" i="9"/>
  <c r="O53" i="9"/>
  <c r="A54" i="9"/>
  <c r="D54" i="9"/>
  <c r="G54" i="9"/>
  <c r="H54" i="9"/>
  <c r="I54" i="9"/>
  <c r="J54" i="9"/>
  <c r="K54" i="9"/>
  <c r="L54" i="9"/>
  <c r="M54" i="9"/>
  <c r="N54" i="9"/>
  <c r="O54" i="9"/>
  <c r="A55" i="9"/>
  <c r="D55" i="9"/>
  <c r="E55" i="9"/>
  <c r="G55" i="9"/>
  <c r="H55" i="9"/>
  <c r="I55" i="9"/>
  <c r="J55" i="9"/>
  <c r="K55" i="9"/>
  <c r="L55" i="9"/>
  <c r="M55" i="9"/>
  <c r="N55" i="9"/>
  <c r="O55" i="9"/>
  <c r="A56" i="9"/>
  <c r="D56" i="9"/>
  <c r="E56" i="9"/>
  <c r="G56" i="9"/>
  <c r="H56" i="9"/>
  <c r="I56" i="9"/>
  <c r="J56" i="9"/>
  <c r="K56" i="9"/>
  <c r="L56" i="9"/>
  <c r="M56" i="9"/>
  <c r="N56" i="9"/>
  <c r="O56" i="9"/>
  <c r="A57" i="9"/>
  <c r="D57" i="9"/>
  <c r="E57" i="9"/>
  <c r="G57" i="9"/>
  <c r="H57" i="9"/>
  <c r="I57" i="9"/>
  <c r="J57" i="9"/>
  <c r="K57" i="9"/>
  <c r="L57" i="9"/>
  <c r="M57" i="9"/>
  <c r="N57" i="9"/>
  <c r="O57" i="9"/>
  <c r="A58" i="9"/>
  <c r="D58" i="9"/>
  <c r="E58" i="9"/>
  <c r="G58" i="9"/>
  <c r="H58" i="9"/>
  <c r="I58" i="9"/>
  <c r="J58" i="9"/>
  <c r="K58" i="9"/>
  <c r="L58" i="9"/>
  <c r="M58" i="9"/>
  <c r="N58" i="9"/>
  <c r="O58" i="9"/>
  <c r="A59" i="9"/>
  <c r="D59" i="9"/>
  <c r="E59" i="9"/>
  <c r="G59" i="9"/>
  <c r="H59" i="9"/>
  <c r="I59" i="9"/>
  <c r="J59" i="9"/>
  <c r="K59" i="9"/>
  <c r="L59" i="9"/>
  <c r="M59" i="9"/>
  <c r="N59" i="9"/>
  <c r="O59" i="9"/>
  <c r="A60" i="9"/>
  <c r="D60" i="9"/>
  <c r="E60" i="9"/>
  <c r="G60" i="9"/>
  <c r="H60" i="9"/>
  <c r="I60" i="9"/>
  <c r="J60" i="9"/>
  <c r="K60" i="9"/>
  <c r="L60" i="9"/>
  <c r="M60" i="9"/>
  <c r="N60" i="9"/>
  <c r="O60" i="9"/>
  <c r="A61" i="9"/>
  <c r="D61" i="9"/>
  <c r="E61" i="9"/>
  <c r="G61" i="9"/>
  <c r="H61" i="9"/>
  <c r="I61" i="9"/>
  <c r="J61" i="9"/>
  <c r="K61" i="9"/>
  <c r="L61" i="9"/>
  <c r="M61" i="9"/>
  <c r="N61" i="9"/>
  <c r="O61" i="9"/>
  <c r="A62" i="9"/>
  <c r="D62" i="9"/>
  <c r="E62" i="9"/>
  <c r="G62" i="9"/>
  <c r="H62" i="9"/>
  <c r="I62" i="9"/>
  <c r="J62" i="9"/>
  <c r="K62" i="9"/>
  <c r="L62" i="9"/>
  <c r="M62" i="9"/>
  <c r="N62" i="9"/>
  <c r="O62" i="9"/>
  <c r="A63" i="9"/>
  <c r="D63" i="9"/>
  <c r="E63" i="9"/>
  <c r="G63" i="9"/>
  <c r="H63" i="9"/>
  <c r="I63" i="9"/>
  <c r="J63" i="9"/>
  <c r="K63" i="9"/>
  <c r="L63" i="9"/>
  <c r="M63" i="9"/>
  <c r="N63" i="9"/>
  <c r="O63" i="9"/>
  <c r="A64" i="9"/>
  <c r="D64" i="9"/>
  <c r="E64" i="9"/>
  <c r="G64" i="9"/>
  <c r="H64" i="9"/>
  <c r="I64" i="9"/>
  <c r="J64" i="9"/>
  <c r="K64" i="9"/>
  <c r="L64" i="9"/>
  <c r="M64" i="9"/>
  <c r="N64" i="9"/>
  <c r="O64" i="9"/>
  <c r="A65" i="9"/>
  <c r="D65" i="9"/>
  <c r="E65" i="9"/>
  <c r="G65" i="9"/>
  <c r="H65" i="9"/>
  <c r="I65" i="9"/>
  <c r="J65" i="9"/>
  <c r="K65" i="9"/>
  <c r="L65" i="9"/>
  <c r="M65" i="9"/>
  <c r="N65" i="9"/>
  <c r="O65" i="9"/>
  <c r="A66" i="9"/>
  <c r="D66" i="9"/>
  <c r="E66" i="9"/>
  <c r="G66" i="9"/>
  <c r="H66" i="9"/>
  <c r="I66" i="9"/>
  <c r="J66" i="9"/>
  <c r="K66" i="9"/>
  <c r="L66" i="9"/>
  <c r="M66" i="9"/>
  <c r="N66" i="9"/>
  <c r="O66" i="9"/>
  <c r="A67" i="9"/>
  <c r="D67" i="9"/>
  <c r="E67" i="9"/>
  <c r="G67" i="9"/>
  <c r="H67" i="9"/>
  <c r="I67" i="9"/>
  <c r="J67" i="9"/>
  <c r="K67" i="9"/>
  <c r="L67" i="9"/>
  <c r="M67" i="9"/>
  <c r="N67" i="9"/>
  <c r="O67" i="9"/>
  <c r="A68" i="9"/>
  <c r="D68" i="9"/>
  <c r="E68" i="9"/>
  <c r="G68" i="9"/>
  <c r="H68" i="9"/>
  <c r="I68" i="9"/>
  <c r="J68" i="9"/>
  <c r="K68" i="9"/>
  <c r="L68" i="9"/>
  <c r="M68" i="9"/>
  <c r="N68" i="9"/>
  <c r="O68" i="9"/>
  <c r="A69" i="9"/>
  <c r="D69" i="9"/>
  <c r="E69" i="9"/>
  <c r="G69" i="9"/>
  <c r="H69" i="9"/>
  <c r="I69" i="9"/>
  <c r="J69" i="9"/>
  <c r="K69" i="9"/>
  <c r="L69" i="9"/>
  <c r="M69" i="9"/>
  <c r="N69" i="9"/>
  <c r="O69" i="9"/>
  <c r="A70" i="9"/>
  <c r="D70" i="9"/>
  <c r="E70" i="9"/>
  <c r="G70" i="9"/>
  <c r="H70" i="9"/>
  <c r="I70" i="9"/>
  <c r="J70" i="9"/>
  <c r="K70" i="9"/>
  <c r="L70" i="9"/>
  <c r="M70" i="9"/>
  <c r="N70" i="9"/>
  <c r="O70" i="9"/>
  <c r="A71" i="9"/>
  <c r="D71" i="9"/>
  <c r="E71" i="9"/>
  <c r="G71" i="9"/>
  <c r="H71" i="9"/>
  <c r="I71" i="9"/>
  <c r="J71" i="9"/>
  <c r="K71" i="9"/>
  <c r="L71" i="9"/>
  <c r="M71" i="9"/>
  <c r="N71" i="9"/>
  <c r="O71" i="9"/>
  <c r="A72" i="9"/>
  <c r="D72" i="9"/>
  <c r="E72" i="9"/>
  <c r="G72" i="9"/>
  <c r="H72" i="9"/>
  <c r="I72" i="9"/>
  <c r="J72" i="9"/>
  <c r="K72" i="9"/>
  <c r="L72" i="9"/>
  <c r="M72" i="9"/>
  <c r="N72" i="9"/>
  <c r="O72" i="9"/>
  <c r="A73" i="9"/>
  <c r="D73" i="9"/>
  <c r="E73" i="9"/>
  <c r="G73" i="9"/>
  <c r="H73" i="9"/>
  <c r="I73" i="9"/>
  <c r="J73" i="9"/>
  <c r="K73" i="9"/>
  <c r="L73" i="9"/>
  <c r="M73" i="9"/>
  <c r="N73" i="9"/>
  <c r="O73" i="9"/>
  <c r="A74" i="9"/>
  <c r="D74" i="9"/>
  <c r="E74" i="9"/>
  <c r="G74" i="9"/>
  <c r="H74" i="9"/>
  <c r="I74" i="9"/>
  <c r="J74" i="9"/>
  <c r="K74" i="9"/>
  <c r="L74" i="9"/>
  <c r="M74" i="9"/>
  <c r="N74" i="9"/>
  <c r="O74" i="9"/>
  <c r="G42" i="10"/>
  <c r="H42" i="10"/>
  <c r="I42" i="10"/>
  <c r="J42" i="10"/>
  <c r="K42" i="10"/>
  <c r="L42" i="10"/>
  <c r="M42" i="10"/>
  <c r="N42" i="10"/>
  <c r="O42" i="10"/>
  <c r="P42" i="10"/>
  <c r="Q42" i="10"/>
  <c r="R42" i="10"/>
  <c r="S42" i="10"/>
  <c r="T42" i="10"/>
  <c r="U42" i="10"/>
  <c r="V42" i="10"/>
  <c r="W42" i="10"/>
  <c r="X42" i="10"/>
  <c r="Y42" i="10"/>
  <c r="G43" i="10"/>
  <c r="H43" i="10"/>
  <c r="I43" i="10"/>
  <c r="J43" i="10"/>
  <c r="K43" i="10"/>
  <c r="L43" i="10"/>
  <c r="M43" i="10"/>
  <c r="N43" i="10"/>
  <c r="O43" i="10"/>
  <c r="P43" i="10"/>
  <c r="Q43" i="10"/>
  <c r="R43" i="10"/>
  <c r="S43" i="10"/>
  <c r="T43" i="10"/>
  <c r="U43" i="10"/>
  <c r="V43" i="10"/>
  <c r="W43" i="10"/>
  <c r="X43" i="10"/>
  <c r="Y43" i="10"/>
  <c r="M44" i="10"/>
  <c r="N44" i="10"/>
  <c r="O44" i="10"/>
  <c r="P44" i="10"/>
  <c r="Q44" i="10"/>
  <c r="R44" i="10"/>
  <c r="S44" i="10"/>
  <c r="T44" i="10"/>
  <c r="U44" i="10"/>
  <c r="V44" i="10"/>
  <c r="W44" i="10"/>
  <c r="X44" i="10"/>
  <c r="Y44" i="10"/>
  <c r="G45" i="10"/>
  <c r="H45" i="10"/>
  <c r="I45" i="10"/>
  <c r="J45" i="10"/>
  <c r="K45" i="10"/>
  <c r="L45" i="10"/>
  <c r="M45" i="10"/>
  <c r="N45" i="10"/>
  <c r="O45" i="10"/>
  <c r="P45" i="10"/>
  <c r="Q45" i="10"/>
  <c r="R45" i="10"/>
  <c r="S45" i="10"/>
  <c r="T45" i="10"/>
  <c r="U45" i="10"/>
  <c r="V45" i="10"/>
  <c r="W45" i="10"/>
  <c r="X45" i="10"/>
  <c r="Y45" i="10"/>
  <c r="G46" i="10"/>
  <c r="H46" i="10"/>
  <c r="I46" i="10"/>
  <c r="J46" i="10"/>
  <c r="K46" i="10"/>
  <c r="L46" i="10"/>
  <c r="M46" i="10"/>
  <c r="N46" i="10"/>
  <c r="O46" i="10"/>
  <c r="P46" i="10"/>
  <c r="Q46" i="10"/>
  <c r="R46" i="10"/>
  <c r="S46" i="10"/>
  <c r="T46" i="10"/>
  <c r="U46" i="10"/>
  <c r="V46" i="10"/>
  <c r="W46" i="10"/>
  <c r="X46" i="10"/>
  <c r="Y46" i="10"/>
  <c r="G47" i="10"/>
  <c r="H47" i="10"/>
  <c r="I47" i="10"/>
  <c r="J47" i="10"/>
  <c r="K47" i="10"/>
  <c r="L47" i="10"/>
  <c r="M47" i="10"/>
  <c r="N47" i="10"/>
  <c r="O47" i="10"/>
  <c r="P47" i="10"/>
  <c r="Q47" i="10"/>
  <c r="R47" i="10"/>
  <c r="S47" i="10"/>
  <c r="T47" i="10"/>
  <c r="U47" i="10"/>
  <c r="V47" i="10"/>
  <c r="W47" i="10"/>
  <c r="X47" i="10"/>
  <c r="Y47" i="10"/>
  <c r="G33" i="10"/>
  <c r="H33" i="10"/>
  <c r="I33" i="10"/>
  <c r="J33" i="10"/>
  <c r="K33" i="10"/>
  <c r="L33" i="10"/>
  <c r="M33" i="10"/>
  <c r="N33" i="10"/>
  <c r="O33" i="10"/>
  <c r="P33" i="10"/>
  <c r="Q33" i="10"/>
  <c r="R33" i="10"/>
  <c r="S33" i="10"/>
  <c r="T33" i="10"/>
  <c r="U33" i="10"/>
  <c r="V33" i="10"/>
  <c r="W33" i="10"/>
  <c r="X33" i="10"/>
  <c r="Y33" i="10"/>
  <c r="G34" i="10"/>
  <c r="H34" i="10"/>
  <c r="I34" i="10"/>
  <c r="J34" i="10"/>
  <c r="K34" i="10"/>
  <c r="L34" i="10"/>
  <c r="M34" i="10"/>
  <c r="N34" i="10"/>
  <c r="O34" i="10"/>
  <c r="P34" i="10"/>
  <c r="Q34" i="10"/>
  <c r="R34" i="10"/>
  <c r="S34" i="10"/>
  <c r="T34" i="10"/>
  <c r="U34" i="10"/>
  <c r="V34" i="10"/>
  <c r="W34" i="10"/>
  <c r="X34" i="10"/>
  <c r="Y34" i="10"/>
  <c r="G35" i="10"/>
  <c r="H35" i="10"/>
  <c r="I35" i="10"/>
  <c r="J35" i="10"/>
  <c r="K35" i="10"/>
  <c r="L35" i="10"/>
  <c r="M35" i="10"/>
  <c r="N35" i="10"/>
  <c r="O35" i="10"/>
  <c r="P35" i="10"/>
  <c r="Q35" i="10"/>
  <c r="R35" i="10"/>
  <c r="S35" i="10"/>
  <c r="T35" i="10"/>
  <c r="U35" i="10"/>
  <c r="V35" i="10"/>
  <c r="W35" i="10"/>
  <c r="X35" i="10"/>
  <c r="Y35" i="10"/>
  <c r="G37" i="10"/>
  <c r="H37" i="10"/>
  <c r="I37" i="10"/>
  <c r="J37" i="10"/>
  <c r="K37" i="10"/>
  <c r="L37" i="10"/>
  <c r="M37" i="10"/>
  <c r="N37" i="10"/>
  <c r="O37" i="10"/>
  <c r="P37" i="10"/>
  <c r="Q37" i="10"/>
  <c r="R37" i="10"/>
  <c r="S37" i="10"/>
  <c r="T37" i="10"/>
  <c r="U37" i="10"/>
  <c r="V37" i="10"/>
  <c r="W37" i="10"/>
  <c r="X37" i="10"/>
  <c r="Y37" i="10"/>
  <c r="G38" i="10"/>
  <c r="H38" i="10"/>
  <c r="I38" i="10"/>
  <c r="J38" i="10"/>
  <c r="K38" i="10"/>
  <c r="L38" i="10"/>
  <c r="M38" i="10"/>
  <c r="N38" i="10"/>
  <c r="O38" i="10"/>
  <c r="P38" i="10"/>
  <c r="Q38" i="10"/>
  <c r="R38" i="10"/>
  <c r="S38" i="10"/>
  <c r="T38" i="10"/>
  <c r="U38" i="10"/>
  <c r="V38" i="10"/>
  <c r="W38" i="10"/>
  <c r="X38" i="10"/>
  <c r="Y38" i="10"/>
  <c r="G39" i="10"/>
  <c r="H39" i="10"/>
  <c r="I39" i="10"/>
  <c r="J39" i="10"/>
  <c r="K39" i="10"/>
  <c r="L39" i="10"/>
  <c r="M39" i="10"/>
  <c r="N39" i="10"/>
  <c r="O39" i="10"/>
  <c r="P39" i="10"/>
  <c r="Q39" i="10"/>
  <c r="R39" i="10"/>
  <c r="S39" i="10"/>
  <c r="T39" i="10"/>
  <c r="U39" i="10"/>
  <c r="V39" i="10"/>
  <c r="W39" i="10"/>
  <c r="X39" i="10"/>
  <c r="Y39" i="10"/>
  <c r="G40" i="10"/>
  <c r="H40" i="10"/>
  <c r="I40" i="10"/>
  <c r="J40" i="10"/>
  <c r="K40" i="10"/>
  <c r="L40" i="10"/>
  <c r="M40" i="10"/>
  <c r="N40" i="10"/>
  <c r="O40" i="10"/>
  <c r="P40" i="10"/>
  <c r="Q40" i="10"/>
  <c r="R40" i="10"/>
  <c r="S40" i="10"/>
  <c r="T40" i="10"/>
  <c r="U40" i="10"/>
  <c r="V40" i="10"/>
  <c r="W40" i="10"/>
  <c r="X40" i="10"/>
  <c r="Y40" i="10"/>
  <c r="G41" i="10"/>
  <c r="H41" i="10"/>
  <c r="I41" i="10"/>
  <c r="J41" i="10"/>
  <c r="K41" i="10"/>
  <c r="L41" i="10"/>
  <c r="M41" i="10"/>
  <c r="N41" i="10"/>
  <c r="O41" i="10"/>
  <c r="P41" i="10"/>
  <c r="Q41" i="10"/>
  <c r="R41" i="10"/>
  <c r="S41" i="10"/>
  <c r="T41" i="10"/>
  <c r="U41" i="10"/>
  <c r="V41" i="10"/>
  <c r="W41" i="10"/>
  <c r="X41" i="10"/>
  <c r="Y41" i="10"/>
  <c r="G3" i="10"/>
  <c r="H3" i="10"/>
  <c r="I3" i="10"/>
  <c r="J3" i="10"/>
  <c r="K3" i="10"/>
  <c r="L3" i="10"/>
  <c r="M3" i="10"/>
  <c r="M12" i="10"/>
  <c r="M22" i="10"/>
  <c r="M31" i="10"/>
  <c r="N31" i="10"/>
  <c r="Q31" i="10"/>
  <c r="P31" i="10"/>
  <c r="R31" i="10"/>
  <c r="O31" i="10"/>
  <c r="S31" i="10"/>
  <c r="N22" i="10"/>
  <c r="Q22" i="10"/>
  <c r="P22" i="10"/>
  <c r="R22" i="10"/>
  <c r="O22" i="10"/>
  <c r="S22" i="10"/>
  <c r="N12" i="10"/>
  <c r="Q12" i="10"/>
  <c r="P12" i="10"/>
  <c r="R12" i="10"/>
  <c r="O12" i="10"/>
  <c r="S12" i="10"/>
  <c r="N3" i="10"/>
  <c r="O3" i="10"/>
  <c r="P3" i="10"/>
  <c r="Q3" i="10"/>
  <c r="R3" i="10"/>
  <c r="S3" i="10"/>
  <c r="T3" i="10"/>
  <c r="U3" i="10"/>
  <c r="V3" i="10"/>
  <c r="W3" i="10"/>
  <c r="X3" i="10"/>
  <c r="Y3" i="10"/>
  <c r="G4" i="10"/>
  <c r="H4" i="10"/>
  <c r="I4" i="10"/>
  <c r="J4" i="10"/>
  <c r="K4" i="10"/>
  <c r="L4" i="10"/>
  <c r="M4" i="10"/>
  <c r="M13" i="10"/>
  <c r="M23" i="10"/>
  <c r="M32" i="10"/>
  <c r="N32" i="10"/>
  <c r="Q32" i="10"/>
  <c r="P32" i="10"/>
  <c r="R32" i="10"/>
  <c r="O32" i="10"/>
  <c r="S32" i="10"/>
  <c r="N23" i="10"/>
  <c r="Q23" i="10"/>
  <c r="P23" i="10"/>
  <c r="R23" i="10"/>
  <c r="O23" i="10"/>
  <c r="S23" i="10"/>
  <c r="N13" i="10"/>
  <c r="Q13" i="10"/>
  <c r="P13" i="10"/>
  <c r="R13" i="10"/>
  <c r="O13" i="10"/>
  <c r="S13" i="10"/>
  <c r="N4" i="10"/>
  <c r="O4" i="10"/>
  <c r="P4" i="10"/>
  <c r="Q4" i="10"/>
  <c r="R4" i="10"/>
  <c r="S4" i="10"/>
  <c r="T4" i="10"/>
  <c r="U4" i="10"/>
  <c r="V4" i="10"/>
  <c r="W4" i="10"/>
  <c r="X4" i="10"/>
  <c r="Y4" i="10"/>
  <c r="G5" i="10"/>
  <c r="H5" i="10"/>
  <c r="I5" i="10"/>
  <c r="J5" i="10"/>
  <c r="K5" i="10"/>
  <c r="L5" i="10"/>
  <c r="M5" i="10"/>
  <c r="M14" i="10"/>
  <c r="M24" i="10"/>
  <c r="N24" i="10"/>
  <c r="Q24" i="10"/>
  <c r="P24" i="10"/>
  <c r="R24" i="10"/>
  <c r="O24" i="10"/>
  <c r="S24" i="10"/>
  <c r="N14" i="10"/>
  <c r="Q14" i="10"/>
  <c r="P14" i="10"/>
  <c r="R14" i="10"/>
  <c r="O14" i="10"/>
  <c r="S14" i="10"/>
  <c r="N5" i="10"/>
  <c r="O5" i="10"/>
  <c r="P5" i="10"/>
  <c r="Q5" i="10"/>
  <c r="R5" i="10"/>
  <c r="S5" i="10"/>
  <c r="T5" i="10"/>
  <c r="U5" i="10"/>
  <c r="V5" i="10"/>
  <c r="W5" i="10"/>
  <c r="X5" i="10"/>
  <c r="Y5" i="10"/>
  <c r="G7" i="10"/>
  <c r="H7" i="10"/>
  <c r="I7" i="10"/>
  <c r="J7" i="10"/>
  <c r="K7" i="10"/>
  <c r="L7" i="10"/>
  <c r="M7" i="10"/>
  <c r="M15" i="10"/>
  <c r="M25" i="10"/>
  <c r="N25" i="10"/>
  <c r="Q25" i="10"/>
  <c r="P25" i="10"/>
  <c r="R25" i="10"/>
  <c r="O25" i="10"/>
  <c r="S25" i="10"/>
  <c r="N15" i="10"/>
  <c r="Q15" i="10"/>
  <c r="P15" i="10"/>
  <c r="R15" i="10"/>
  <c r="O15" i="10"/>
  <c r="S15" i="10"/>
  <c r="N7" i="10"/>
  <c r="O7" i="10"/>
  <c r="P7" i="10"/>
  <c r="Q7" i="10"/>
  <c r="R7" i="10"/>
  <c r="S7" i="10"/>
  <c r="T7" i="10"/>
  <c r="U7" i="10"/>
  <c r="V7" i="10"/>
  <c r="W7" i="10"/>
  <c r="X7" i="10"/>
  <c r="Y7" i="10"/>
  <c r="G8" i="10"/>
  <c r="H8" i="10"/>
  <c r="I8" i="10"/>
  <c r="J8" i="10"/>
  <c r="K8" i="10"/>
  <c r="L8" i="10"/>
  <c r="M8" i="10"/>
  <c r="M16" i="10"/>
  <c r="M26" i="10"/>
  <c r="N26" i="10"/>
  <c r="Q26" i="10"/>
  <c r="P26" i="10"/>
  <c r="R26" i="10"/>
  <c r="O26" i="10"/>
  <c r="S26" i="10"/>
  <c r="N16" i="10"/>
  <c r="Q16" i="10"/>
  <c r="P16" i="10"/>
  <c r="R16" i="10"/>
  <c r="O16" i="10"/>
  <c r="S16" i="10"/>
  <c r="N8" i="10"/>
  <c r="O8" i="10"/>
  <c r="P8" i="10"/>
  <c r="Q8" i="10"/>
  <c r="R8" i="10"/>
  <c r="S8" i="10"/>
  <c r="T8" i="10"/>
  <c r="U8" i="10"/>
  <c r="V8" i="10"/>
  <c r="W8" i="10"/>
  <c r="X8" i="10"/>
  <c r="Y8" i="10"/>
  <c r="G6" i="10"/>
  <c r="H6" i="10"/>
  <c r="I6" i="10"/>
  <c r="J6" i="10"/>
  <c r="K6" i="10"/>
  <c r="L6" i="10"/>
  <c r="M6" i="10"/>
  <c r="M17" i="10"/>
  <c r="M27" i="10"/>
  <c r="N27" i="10"/>
  <c r="Q27" i="10"/>
  <c r="P27" i="10"/>
  <c r="R27" i="10"/>
  <c r="O27" i="10"/>
  <c r="S27" i="10"/>
  <c r="N17" i="10"/>
  <c r="Q17" i="10"/>
  <c r="P17" i="10"/>
  <c r="R17" i="10"/>
  <c r="O17" i="10"/>
  <c r="S17" i="10"/>
  <c r="N6" i="10"/>
  <c r="O6" i="10"/>
  <c r="P6" i="10"/>
  <c r="Q6" i="10"/>
  <c r="R6" i="10"/>
  <c r="S6" i="10"/>
  <c r="T6" i="10"/>
  <c r="U6" i="10"/>
  <c r="V6" i="10"/>
  <c r="W6" i="10"/>
  <c r="X6" i="10"/>
  <c r="Y6" i="10"/>
  <c r="G9" i="10"/>
  <c r="H9" i="10"/>
  <c r="I9" i="10"/>
  <c r="J9" i="10"/>
  <c r="K9" i="10"/>
  <c r="L9" i="10"/>
  <c r="M9" i="10"/>
  <c r="M18" i="10"/>
  <c r="N18" i="10"/>
  <c r="Q18" i="10"/>
  <c r="P18" i="10"/>
  <c r="R18" i="10"/>
  <c r="O18" i="10"/>
  <c r="S18" i="10"/>
  <c r="N9" i="10"/>
  <c r="O9" i="10"/>
  <c r="P9" i="10"/>
  <c r="Q9" i="10"/>
  <c r="R9" i="10"/>
  <c r="S9" i="10"/>
  <c r="T9" i="10"/>
  <c r="U9" i="10"/>
  <c r="V9" i="10"/>
  <c r="W9" i="10"/>
  <c r="X9" i="10"/>
  <c r="Y9" i="10"/>
  <c r="M19" i="10"/>
  <c r="M28" i="10"/>
  <c r="N28" i="10"/>
  <c r="Q28" i="10"/>
  <c r="P28" i="10"/>
  <c r="R28" i="10"/>
  <c r="O28" i="10"/>
  <c r="S28" i="10"/>
  <c r="N19" i="10"/>
  <c r="Q19" i="10"/>
  <c r="P19" i="10"/>
  <c r="R19" i="10"/>
  <c r="O19" i="10"/>
  <c r="S19" i="10"/>
  <c r="G10" i="10"/>
  <c r="H10" i="10"/>
  <c r="I10" i="10"/>
  <c r="J10" i="10"/>
  <c r="K10" i="10"/>
  <c r="L10" i="10"/>
  <c r="M10" i="10"/>
  <c r="M20" i="10"/>
  <c r="M29" i="10"/>
  <c r="N29" i="10"/>
  <c r="Q29" i="10"/>
  <c r="P29" i="10"/>
  <c r="R29" i="10"/>
  <c r="O29" i="10"/>
  <c r="S29" i="10"/>
  <c r="N20" i="10"/>
  <c r="Q20" i="10"/>
  <c r="P20" i="10"/>
  <c r="R20" i="10"/>
  <c r="O20" i="10"/>
  <c r="S20" i="10"/>
  <c r="N10" i="10"/>
  <c r="O10" i="10"/>
  <c r="P10" i="10"/>
  <c r="Q10" i="10"/>
  <c r="R10" i="10"/>
  <c r="S10" i="10"/>
  <c r="T10" i="10"/>
  <c r="U10" i="10"/>
  <c r="V10" i="10"/>
  <c r="W10" i="10"/>
  <c r="X10" i="10"/>
  <c r="Y10" i="10"/>
  <c r="G11" i="10"/>
  <c r="H11" i="10"/>
  <c r="I11" i="10"/>
  <c r="J11" i="10"/>
  <c r="K11" i="10"/>
  <c r="L11" i="10"/>
  <c r="M11" i="10"/>
  <c r="M21" i="10"/>
  <c r="M30" i="10"/>
  <c r="N30" i="10"/>
  <c r="Q30" i="10"/>
  <c r="P30" i="10"/>
  <c r="R30" i="10"/>
  <c r="O30" i="10"/>
  <c r="S30" i="10"/>
  <c r="N21" i="10"/>
  <c r="Q21" i="10"/>
  <c r="P21" i="10"/>
  <c r="R21" i="10"/>
  <c r="O21" i="10"/>
  <c r="S21" i="10"/>
  <c r="N11" i="10"/>
  <c r="O11" i="10"/>
  <c r="P11" i="10"/>
  <c r="Q11" i="10"/>
  <c r="R11" i="10"/>
  <c r="S11" i="10"/>
  <c r="T11" i="10"/>
  <c r="U11" i="10"/>
  <c r="V11" i="10"/>
  <c r="W11" i="10"/>
  <c r="X11" i="10"/>
  <c r="Y11" i="10"/>
  <c r="G12" i="10"/>
  <c r="H12" i="10"/>
  <c r="I12" i="10"/>
  <c r="J12" i="10"/>
  <c r="K12" i="10"/>
  <c r="L12" i="10"/>
  <c r="T12" i="10"/>
  <c r="U12" i="10"/>
  <c r="V12" i="10"/>
  <c r="W12" i="10"/>
  <c r="X12" i="10"/>
  <c r="Y12" i="10"/>
  <c r="G13" i="10"/>
  <c r="H13" i="10"/>
  <c r="I13" i="10"/>
  <c r="J13" i="10"/>
  <c r="K13" i="10"/>
  <c r="L13" i="10"/>
  <c r="T13" i="10"/>
  <c r="U13" i="10"/>
  <c r="V13" i="10"/>
  <c r="W13" i="10"/>
  <c r="X13" i="10"/>
  <c r="Y13" i="10"/>
  <c r="G14" i="10"/>
  <c r="H14" i="10"/>
  <c r="I14" i="10"/>
  <c r="J14" i="10"/>
  <c r="K14" i="10"/>
  <c r="L14" i="10"/>
  <c r="T14" i="10"/>
  <c r="U14" i="10"/>
  <c r="V14" i="10"/>
  <c r="W14" i="10"/>
  <c r="X14" i="10"/>
  <c r="Y14" i="10"/>
  <c r="G15" i="10"/>
  <c r="H15" i="10"/>
  <c r="I15" i="10"/>
  <c r="J15" i="10"/>
  <c r="K15" i="10"/>
  <c r="L15" i="10"/>
  <c r="T15" i="10"/>
  <c r="U15" i="10"/>
  <c r="V15" i="10"/>
  <c r="W15" i="10"/>
  <c r="X15" i="10"/>
  <c r="Y15" i="10"/>
  <c r="G16" i="10"/>
  <c r="H16" i="10"/>
  <c r="I16" i="10"/>
  <c r="J16" i="10"/>
  <c r="K16" i="10"/>
  <c r="L16" i="10"/>
  <c r="T16" i="10"/>
  <c r="U16" i="10"/>
  <c r="V16" i="10"/>
  <c r="W16" i="10"/>
  <c r="X16" i="10"/>
  <c r="Y16" i="10"/>
  <c r="G17" i="10"/>
  <c r="H17" i="10"/>
  <c r="I17" i="10"/>
  <c r="J17" i="10"/>
  <c r="K17" i="10"/>
  <c r="L17" i="10"/>
  <c r="T17" i="10"/>
  <c r="U17" i="10"/>
  <c r="V17" i="10"/>
  <c r="W17" i="10"/>
  <c r="X17" i="10"/>
  <c r="Y17" i="10"/>
  <c r="G18" i="10"/>
  <c r="H18" i="10"/>
  <c r="I18" i="10"/>
  <c r="J18" i="10"/>
  <c r="K18" i="10"/>
  <c r="L18" i="10"/>
  <c r="T18" i="10"/>
  <c r="U18" i="10"/>
  <c r="V18" i="10"/>
  <c r="W18" i="10"/>
  <c r="X18" i="10"/>
  <c r="Y18" i="10"/>
  <c r="G19" i="10"/>
  <c r="H19" i="10"/>
  <c r="I19" i="10"/>
  <c r="J19" i="10"/>
  <c r="K19" i="10"/>
  <c r="L19" i="10"/>
  <c r="T19" i="10"/>
  <c r="U19" i="10"/>
  <c r="V19" i="10"/>
  <c r="W19" i="10"/>
  <c r="X19" i="10"/>
  <c r="Y19" i="10"/>
  <c r="G20" i="10"/>
  <c r="H20" i="10"/>
  <c r="I20" i="10"/>
  <c r="J20" i="10"/>
  <c r="K20" i="10"/>
  <c r="L20" i="10"/>
  <c r="T20" i="10"/>
  <c r="U20" i="10"/>
  <c r="V20" i="10"/>
  <c r="W20" i="10"/>
  <c r="X20" i="10"/>
  <c r="Y20" i="10"/>
  <c r="G21" i="10"/>
  <c r="H21" i="10"/>
  <c r="I21" i="10"/>
  <c r="J21" i="10"/>
  <c r="K21" i="10"/>
  <c r="L21" i="10"/>
  <c r="T21" i="10"/>
  <c r="U21" i="10"/>
  <c r="V21" i="10"/>
  <c r="W21" i="10"/>
  <c r="X21" i="10"/>
  <c r="Y21" i="10"/>
  <c r="G22" i="10"/>
  <c r="H22" i="10"/>
  <c r="I22" i="10"/>
  <c r="J22" i="10"/>
  <c r="K22" i="10"/>
  <c r="L22" i="10"/>
  <c r="T22" i="10"/>
  <c r="U22" i="10"/>
  <c r="V22" i="10"/>
  <c r="W22" i="10"/>
  <c r="X22" i="10"/>
  <c r="Y22" i="10"/>
  <c r="G23" i="10"/>
  <c r="H23" i="10"/>
  <c r="I23" i="10"/>
  <c r="J23" i="10"/>
  <c r="K23" i="10"/>
  <c r="L23" i="10"/>
  <c r="T23" i="10"/>
  <c r="U23" i="10"/>
  <c r="V23" i="10"/>
  <c r="W23" i="10"/>
  <c r="X23" i="10"/>
  <c r="Y23" i="10"/>
  <c r="G24" i="10"/>
  <c r="H24" i="10"/>
  <c r="I24" i="10"/>
  <c r="J24" i="10"/>
  <c r="K24" i="10"/>
  <c r="L24" i="10"/>
  <c r="T24" i="10"/>
  <c r="U24" i="10"/>
  <c r="V24" i="10"/>
  <c r="W24" i="10"/>
  <c r="X24" i="10"/>
  <c r="Y24" i="10"/>
  <c r="G25" i="10"/>
  <c r="H25" i="10"/>
  <c r="I25" i="10"/>
  <c r="J25" i="10"/>
  <c r="K25" i="10"/>
  <c r="L25" i="10"/>
  <c r="T25" i="10"/>
  <c r="U25" i="10"/>
  <c r="V25" i="10"/>
  <c r="W25" i="10"/>
  <c r="X25" i="10"/>
  <c r="Y25" i="10"/>
  <c r="G26" i="10"/>
  <c r="H26" i="10"/>
  <c r="I26" i="10"/>
  <c r="J26" i="10"/>
  <c r="K26" i="10"/>
  <c r="L26" i="10"/>
  <c r="T26" i="10"/>
  <c r="U26" i="10"/>
  <c r="V26" i="10"/>
  <c r="W26" i="10"/>
  <c r="X26" i="10"/>
  <c r="Y26" i="10"/>
  <c r="G27" i="10"/>
  <c r="H27" i="10"/>
  <c r="I27" i="10"/>
  <c r="J27" i="10"/>
  <c r="K27" i="10"/>
  <c r="L27" i="10"/>
  <c r="T27" i="10"/>
  <c r="U27" i="10"/>
  <c r="V27" i="10"/>
  <c r="W27" i="10"/>
  <c r="X27" i="10"/>
  <c r="Y27" i="10"/>
  <c r="G28" i="10"/>
  <c r="H28" i="10"/>
  <c r="I28" i="10"/>
  <c r="J28" i="10"/>
  <c r="K28" i="10"/>
  <c r="L28" i="10"/>
  <c r="T28" i="10"/>
  <c r="U28" i="10"/>
  <c r="V28" i="10"/>
  <c r="W28" i="10"/>
  <c r="X28" i="10"/>
  <c r="Y28" i="10"/>
  <c r="G29" i="10"/>
  <c r="H29" i="10"/>
  <c r="I29" i="10"/>
  <c r="J29" i="10"/>
  <c r="K29" i="10"/>
  <c r="L29" i="10"/>
  <c r="T29" i="10"/>
  <c r="U29" i="10"/>
  <c r="V29" i="10"/>
  <c r="W29" i="10"/>
  <c r="X29" i="10"/>
  <c r="Y29" i="10"/>
  <c r="G30" i="10"/>
  <c r="H30" i="10"/>
  <c r="I30" i="10"/>
  <c r="J30" i="10"/>
  <c r="K30" i="10"/>
  <c r="L30" i="10"/>
  <c r="T30" i="10"/>
  <c r="U30" i="10"/>
  <c r="V30" i="10"/>
  <c r="W30" i="10"/>
  <c r="X30" i="10"/>
  <c r="Y30" i="10"/>
  <c r="G31" i="10"/>
  <c r="H31" i="10"/>
  <c r="I31" i="10"/>
  <c r="J31" i="10"/>
  <c r="K31" i="10"/>
  <c r="L31" i="10"/>
  <c r="T31" i="10"/>
  <c r="U31" i="10"/>
  <c r="V31" i="10"/>
  <c r="W31" i="10"/>
  <c r="X31" i="10"/>
  <c r="Y31" i="10"/>
  <c r="G32" i="10"/>
  <c r="H32" i="10"/>
  <c r="I32" i="10"/>
  <c r="J32" i="10"/>
  <c r="K32" i="10"/>
  <c r="L32" i="10"/>
  <c r="T32" i="10"/>
  <c r="U32" i="10"/>
  <c r="V32" i="10"/>
  <c r="W32" i="10"/>
  <c r="X32" i="10"/>
  <c r="Y32" i="10"/>
  <c r="U7" i="7"/>
  <c r="U6" i="7"/>
  <c r="U4" i="7"/>
  <c r="U3" i="7"/>
  <c r="U2" i="7"/>
  <c r="Y3" i="7"/>
  <c r="Y4" i="7"/>
  <c r="Y5" i="7"/>
  <c r="Y6" i="7"/>
  <c r="Y7" i="7"/>
  <c r="Y8" i="7"/>
  <c r="Y9" i="7"/>
  <c r="Y10" i="7"/>
  <c r="Y2" i="7"/>
  <c r="E3" i="9"/>
  <c r="A3" i="7"/>
  <c r="D3" i="7"/>
  <c r="E3" i="7"/>
  <c r="F3" i="7"/>
  <c r="H3" i="7"/>
  <c r="G2" i="2"/>
  <c r="A2" i="2"/>
  <c r="G3" i="2"/>
  <c r="A3" i="2"/>
  <c r="G4" i="2"/>
  <c r="A4" i="2"/>
  <c r="G5" i="2"/>
  <c r="A5" i="2"/>
  <c r="G6" i="2"/>
  <c r="A6" i="2"/>
  <c r="G7" i="2"/>
  <c r="A7" i="2"/>
  <c r="G8" i="2"/>
  <c r="A8" i="2"/>
  <c r="G9" i="2"/>
  <c r="A9" i="2"/>
  <c r="G10" i="2"/>
  <c r="A10" i="2"/>
  <c r="I3" i="7"/>
  <c r="J3" i="7"/>
  <c r="A4" i="7"/>
  <c r="D4" i="7"/>
  <c r="E4" i="7"/>
  <c r="F4" i="7"/>
  <c r="H4" i="7"/>
  <c r="I4" i="7"/>
  <c r="J4" i="7"/>
  <c r="A5" i="7"/>
  <c r="D5" i="7"/>
  <c r="E5" i="7"/>
  <c r="F5" i="7"/>
  <c r="H5" i="7"/>
  <c r="I5" i="7"/>
  <c r="J5" i="7"/>
  <c r="A6" i="7"/>
  <c r="D6" i="7"/>
  <c r="E6" i="7"/>
  <c r="F6" i="7"/>
  <c r="H6" i="7"/>
  <c r="I6" i="7"/>
  <c r="J6" i="7"/>
  <c r="A7" i="7"/>
  <c r="D7" i="7"/>
  <c r="E7" i="7"/>
  <c r="F7" i="7"/>
  <c r="H7" i="7"/>
  <c r="I7" i="7"/>
  <c r="J7" i="7"/>
  <c r="A8" i="7"/>
  <c r="D8" i="7"/>
  <c r="E8" i="7"/>
  <c r="F8" i="7"/>
  <c r="H8" i="7"/>
  <c r="I8" i="7"/>
  <c r="J8" i="7"/>
  <c r="A9" i="7"/>
  <c r="D9" i="7"/>
  <c r="E9" i="7"/>
  <c r="F9" i="7"/>
  <c r="H9" i="7"/>
  <c r="I9" i="7"/>
  <c r="J9" i="7"/>
  <c r="A10" i="7"/>
  <c r="D10" i="7"/>
  <c r="E10" i="7"/>
  <c r="F10" i="7"/>
  <c r="H10" i="7"/>
  <c r="I10" i="7"/>
  <c r="J10" i="7"/>
  <c r="A4" i="1"/>
  <c r="D4" i="1"/>
  <c r="E4" i="1"/>
  <c r="F4" i="1"/>
  <c r="H4" i="1"/>
  <c r="I4" i="1"/>
  <c r="J4" i="1"/>
  <c r="M4" i="1"/>
  <c r="N4" i="1"/>
  <c r="O4" i="1"/>
  <c r="P4" i="1"/>
  <c r="Q4" i="1"/>
  <c r="AD4" i="1"/>
  <c r="AE4" i="1"/>
  <c r="AF4" i="1"/>
  <c r="AG4" i="1"/>
  <c r="AI4" i="1"/>
  <c r="A5" i="1"/>
  <c r="D5" i="1"/>
  <c r="E5" i="1"/>
  <c r="F5" i="1"/>
  <c r="H5" i="1"/>
  <c r="I5" i="1"/>
  <c r="J5" i="1"/>
  <c r="M5" i="1"/>
  <c r="N5" i="1"/>
  <c r="O5" i="1"/>
  <c r="P5" i="1"/>
  <c r="Q5" i="1"/>
  <c r="AE5" i="1"/>
  <c r="AF5" i="1"/>
  <c r="AG5" i="1"/>
  <c r="AI5" i="1"/>
  <c r="A6" i="1"/>
  <c r="D6" i="1"/>
  <c r="E6" i="1"/>
  <c r="F6" i="1"/>
  <c r="H6" i="1"/>
  <c r="I6" i="1"/>
  <c r="J6" i="1"/>
  <c r="M6" i="1"/>
  <c r="N6" i="1"/>
  <c r="O6" i="1"/>
  <c r="P6" i="1"/>
  <c r="Q6" i="1"/>
  <c r="AE6" i="1"/>
  <c r="AF6" i="1"/>
  <c r="AG6" i="1"/>
  <c r="AI6" i="1"/>
  <c r="A7" i="1"/>
  <c r="D7" i="1"/>
  <c r="E7" i="1"/>
  <c r="F7" i="1"/>
  <c r="H7" i="1"/>
  <c r="I7" i="1"/>
  <c r="J7" i="1"/>
  <c r="M7" i="1"/>
  <c r="N7" i="1"/>
  <c r="O7" i="1"/>
  <c r="P7" i="1"/>
  <c r="Q7" i="1"/>
  <c r="AD7" i="1"/>
  <c r="AE7" i="1"/>
  <c r="AF7" i="1"/>
  <c r="AG7" i="1"/>
  <c r="AI7" i="1"/>
  <c r="A8" i="1"/>
  <c r="D8" i="1"/>
  <c r="E8" i="1"/>
  <c r="F8" i="1"/>
  <c r="H8" i="1"/>
  <c r="I8" i="1"/>
  <c r="J8" i="1"/>
  <c r="M8" i="1"/>
  <c r="N8" i="1"/>
  <c r="O8" i="1"/>
  <c r="P8" i="1"/>
  <c r="Q8" i="1"/>
  <c r="AE8" i="1"/>
  <c r="AF8" i="1"/>
  <c r="AG8" i="1"/>
  <c r="AI8" i="1"/>
  <c r="A9" i="1"/>
  <c r="D9" i="1"/>
  <c r="E9" i="1"/>
  <c r="F9" i="1"/>
  <c r="H9" i="1"/>
  <c r="I9" i="1"/>
  <c r="J9" i="1"/>
  <c r="M9" i="1"/>
  <c r="N9" i="1"/>
  <c r="O9" i="1"/>
  <c r="P9" i="1"/>
  <c r="Q9" i="1"/>
  <c r="AE9" i="1"/>
  <c r="AF9" i="1"/>
  <c r="AG9" i="1"/>
  <c r="AI9" i="1"/>
  <c r="A10" i="1"/>
  <c r="D10" i="1"/>
  <c r="E10" i="1"/>
  <c r="F10" i="1"/>
  <c r="H10" i="1"/>
  <c r="I10" i="1"/>
  <c r="J10" i="1"/>
  <c r="M10" i="1"/>
  <c r="N10" i="1"/>
  <c r="O10" i="1"/>
  <c r="P10" i="1"/>
  <c r="Q10" i="1"/>
  <c r="AD10" i="1"/>
  <c r="AE10" i="1"/>
  <c r="AF10" i="1"/>
  <c r="AG10" i="1"/>
  <c r="AI10" i="1"/>
  <c r="H10" i="2"/>
  <c r="E10" i="2"/>
  <c r="D10" i="2"/>
  <c r="H2" i="1"/>
  <c r="H3" i="1"/>
  <c r="B10" i="2"/>
  <c r="H9" i="2"/>
  <c r="E9" i="2"/>
  <c r="D9" i="2"/>
  <c r="B9" i="2"/>
  <c r="H8" i="2"/>
  <c r="E8" i="2"/>
  <c r="D8" i="2"/>
  <c r="B8" i="2"/>
  <c r="H7" i="2"/>
  <c r="E7" i="2"/>
  <c r="D7" i="2"/>
  <c r="B7" i="2"/>
  <c r="H6" i="2"/>
  <c r="E6" i="2"/>
  <c r="D6" i="2"/>
  <c r="B6" i="2"/>
  <c r="H5" i="2"/>
  <c r="E5" i="2"/>
  <c r="D5" i="2"/>
  <c r="B5" i="2"/>
  <c r="E2" i="2"/>
  <c r="B3" i="2"/>
  <c r="D3" i="2"/>
  <c r="E3" i="2"/>
  <c r="H3" i="2"/>
  <c r="B4" i="2"/>
  <c r="D4" i="2"/>
  <c r="E4" i="2"/>
  <c r="H4" i="2"/>
  <c r="N5" i="22"/>
  <c r="G5" i="22"/>
  <c r="F5" i="22"/>
  <c r="D5" i="22"/>
  <c r="C5" i="22"/>
  <c r="A5" i="22"/>
  <c r="E13" i="16"/>
  <c r="N4" i="22"/>
  <c r="G4" i="22"/>
  <c r="F4" i="22"/>
  <c r="D4" i="22"/>
  <c r="C4" i="22"/>
  <c r="A4" i="22"/>
  <c r="B5" i="21"/>
  <c r="I5" i="21"/>
  <c r="J5" i="21"/>
  <c r="G5" i="21"/>
  <c r="F5" i="21"/>
  <c r="D5" i="21"/>
  <c r="C5" i="21"/>
  <c r="E12" i="16"/>
  <c r="E11" i="16"/>
  <c r="E10" i="16"/>
  <c r="O3" i="9"/>
  <c r="N3" i="9"/>
  <c r="M3" i="9"/>
  <c r="L3" i="9"/>
  <c r="K3" i="9"/>
  <c r="J3" i="9"/>
  <c r="I3" i="9"/>
  <c r="H3" i="9"/>
  <c r="G3" i="9"/>
  <c r="D3" i="9"/>
  <c r="E9" i="16"/>
  <c r="AG3" i="1"/>
  <c r="AF3" i="1"/>
  <c r="AE3" i="1"/>
  <c r="AG2" i="1"/>
  <c r="AF2" i="1"/>
  <c r="AE2" i="1"/>
  <c r="Q3" i="1"/>
  <c r="P3" i="1"/>
  <c r="O3" i="1"/>
  <c r="N3" i="1"/>
  <c r="M3" i="1"/>
  <c r="Q2" i="1"/>
  <c r="P2" i="1"/>
  <c r="O2" i="1"/>
  <c r="N2" i="1"/>
  <c r="M2" i="1"/>
  <c r="M2" i="10"/>
  <c r="T2" i="10"/>
  <c r="V2" i="10"/>
  <c r="N2" i="10"/>
  <c r="P2" i="10"/>
  <c r="G2" i="10"/>
  <c r="I2" i="10"/>
  <c r="X2" i="10"/>
  <c r="W2" i="10"/>
  <c r="U2" i="10"/>
  <c r="Y2" i="10"/>
  <c r="R2" i="10"/>
  <c r="Q2" i="10"/>
  <c r="O2" i="10"/>
  <c r="S2" i="10"/>
  <c r="K2" i="10"/>
  <c r="J2" i="10"/>
  <c r="H2" i="10"/>
  <c r="L2" i="10"/>
  <c r="AI2" i="1"/>
  <c r="H2" i="7"/>
  <c r="J2" i="7"/>
  <c r="E8" i="16"/>
  <c r="E7" i="16"/>
  <c r="E6" i="16"/>
  <c r="E5" i="16"/>
  <c r="E4" i="16"/>
  <c r="E3" i="16"/>
  <c r="E2" i="16"/>
  <c r="A3" i="1"/>
  <c r="A2" i="1"/>
  <c r="AI3" i="1"/>
  <c r="J3" i="1"/>
  <c r="I3" i="1"/>
  <c r="D3" i="1"/>
  <c r="F3" i="1"/>
  <c r="E3" i="1"/>
  <c r="A2" i="7"/>
  <c r="I2" i="7"/>
  <c r="D2" i="7"/>
  <c r="F2" i="7"/>
  <c r="E2" i="7"/>
  <c r="J2" i="1"/>
  <c r="I2" i="1"/>
  <c r="D2" i="2"/>
  <c r="H2" i="2"/>
  <c r="D2" i="1"/>
  <c r="E2" i="1"/>
  <c r="F2" i="1"/>
  <c r="B2" i="2"/>
</calcChain>
</file>

<file path=xl/comments1.xml><?xml version="1.0" encoding="utf-8"?>
<comments xmlns="http://schemas.openxmlformats.org/spreadsheetml/2006/main">
  <authors>
    <author>加藤 雅大</author>
  </authors>
  <commentList>
    <comment ref="AP1" authorId="0">
      <text>
        <r>
          <rPr>
            <b/>
            <sz val="10"/>
            <color indexed="81"/>
            <rFont val="ＭＳ Ｐゴシック"/>
            <family val="2"/>
            <charset val="128"/>
          </rPr>
          <t>ドロップするユニットのスキルレベルです</t>
        </r>
      </text>
    </comment>
  </commentList>
</comments>
</file>

<file path=xl/comments2.xml><?xml version="1.0" encoding="utf-8"?>
<comments xmlns="http://schemas.openxmlformats.org/spreadsheetml/2006/main">
  <authors>
    <author>吉澤 曜祐</author>
  </authors>
  <commentList>
    <comment ref="L1" authorId="0">
      <text>
        <r>
          <rPr>
            <b/>
            <sz val="10"/>
            <color indexed="81"/>
            <rFont val="ＭＳ Ｐゴシック"/>
            <family val="2"/>
            <charset val="128"/>
          </rPr>
          <t>HPゲージの番号
※必ず2以上</t>
        </r>
      </text>
    </comment>
  </commentList>
</comments>
</file>

<file path=xl/comments3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F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H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I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L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M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N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O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4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A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B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C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D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E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H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I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5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実際に使う場合は不要な難易度を消し、stage_idに置き換えてください</t>
        </r>
      </text>
    </comment>
  </commentList>
</comments>
</file>

<file path=xl/comments6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quest_id,stage_idの組に対して一意であること</t>
        </r>
      </text>
    </comment>
  </commentList>
</comments>
</file>

<file path=xl/sharedStrings.xml><?xml version="1.0" encoding="utf-8"?>
<sst xmlns="http://schemas.openxmlformats.org/spreadsheetml/2006/main" count="1338" uniqueCount="554">
  <si>
    <t>quest_id</t>
  </si>
  <si>
    <t>stage_id</t>
  </si>
  <si>
    <t>character_id</t>
  </si>
  <si>
    <t>level</t>
  </si>
  <si>
    <t>skill_set_id</t>
    <phoneticPr fontId="5"/>
  </si>
  <si>
    <t>fix_count</t>
  </si>
  <si>
    <t>incidence</t>
  </si>
  <si>
    <t>boss_flg</t>
  </si>
  <si>
    <t>speed</t>
  </si>
  <si>
    <t>drop_unit_id</t>
  </si>
  <si>
    <t>drop_unit_level</t>
  </si>
  <si>
    <t>drop_unit_rare</t>
  </si>
  <si>
    <t>drop_unit_rate</t>
  </si>
  <si>
    <t>floor_id</t>
  </si>
  <si>
    <t>total_size_min</t>
  </si>
  <si>
    <t>total_size_max</t>
  </si>
  <si>
    <t>name</t>
    <phoneticPr fontId="5"/>
  </si>
  <si>
    <t>rare</t>
    <phoneticPr fontId="5"/>
  </si>
  <si>
    <t>name</t>
    <phoneticPr fontId="5"/>
  </si>
  <si>
    <t>floor_id</t>
    <phoneticPr fontId="5"/>
  </si>
  <si>
    <t>name</t>
    <phoneticPr fontId="5"/>
  </si>
  <si>
    <t>name</t>
    <phoneticPr fontId="5"/>
  </si>
  <si>
    <t>skill_set_id</t>
  </si>
  <si>
    <t>drop_label</t>
    <phoneticPr fontId="5"/>
  </si>
  <si>
    <t>color</t>
    <phoneticPr fontId="5"/>
  </si>
  <si>
    <t>size</t>
    <phoneticPr fontId="5"/>
  </si>
  <si>
    <t>character_main_tribe_id</t>
    <phoneticPr fontId="5"/>
  </si>
  <si>
    <t>drop_label</t>
    <phoneticPr fontId="7"/>
  </si>
  <si>
    <t>temp_stage</t>
    <phoneticPr fontId="5"/>
  </si>
  <si>
    <t>temp_habitats</t>
    <phoneticPr fontId="5"/>
  </si>
  <si>
    <t>temp_floor</t>
    <phoneticPr fontId="5"/>
  </si>
  <si>
    <t>スキル</t>
    <phoneticPr fontId="5"/>
  </si>
  <si>
    <t>temp_stage</t>
    <phoneticPr fontId="5"/>
  </si>
  <si>
    <t>位置付け</t>
    <rPh sb="0" eb="3">
      <t>イチヅ</t>
    </rPh>
    <phoneticPr fontId="5"/>
  </si>
  <si>
    <t>name</t>
    <phoneticPr fontId="5"/>
  </si>
  <si>
    <t>temp_floor</t>
    <phoneticPr fontId="5"/>
  </si>
  <si>
    <t>status</t>
    <phoneticPr fontId="5"/>
  </si>
  <si>
    <t>hp_plus</t>
  </si>
  <si>
    <t>hp_plus</t>
    <phoneticPr fontId="5"/>
  </si>
  <si>
    <t>attack_plus</t>
  </si>
  <si>
    <t>attack_plus</t>
    <phoneticPr fontId="5"/>
  </si>
  <si>
    <t>defense_plus</t>
  </si>
  <si>
    <t>defense_plus</t>
    <phoneticPr fontId="5"/>
  </si>
  <si>
    <t>heal_plus</t>
  </si>
  <si>
    <t>heal_plus</t>
    <phoneticPr fontId="5"/>
  </si>
  <si>
    <t>bug</t>
  </si>
  <si>
    <t>bug</t>
    <phoneticPr fontId="5"/>
  </si>
  <si>
    <t>hp_coefficient</t>
  </si>
  <si>
    <t>hp_coefficient</t>
    <phoneticPr fontId="5"/>
  </si>
  <si>
    <t>attack_coefficient</t>
  </si>
  <si>
    <t>attack_coefficient</t>
    <phoneticPr fontId="5"/>
  </si>
  <si>
    <t>defense_correction</t>
  </si>
  <si>
    <t>defense_correction</t>
    <phoneticPr fontId="5"/>
  </si>
  <si>
    <t>null</t>
    <phoneticPr fontId="5"/>
  </si>
  <si>
    <t>seq_no</t>
    <phoneticPr fontId="5"/>
  </si>
  <si>
    <t>state_no</t>
    <phoneticPr fontId="5"/>
  </si>
  <si>
    <t>character_id</t>
    <phoneticPr fontId="5"/>
  </si>
  <si>
    <t>level</t>
    <phoneticPr fontId="5"/>
  </si>
  <si>
    <t>speed</t>
    <phoneticPr fontId="5"/>
  </si>
  <si>
    <t>skill_set_id</t>
    <phoneticPr fontId="5"/>
  </si>
  <si>
    <t>temp_id</t>
    <phoneticPr fontId="5"/>
  </si>
  <si>
    <t>skill_set_id</t>
    <phoneticPr fontId="7"/>
  </si>
  <si>
    <t>skill_id</t>
    <phoneticPr fontId="7"/>
  </si>
  <si>
    <t>name</t>
    <phoneticPr fontId="7"/>
  </si>
  <si>
    <t>comment</t>
    <phoneticPr fontId="7"/>
  </si>
  <si>
    <t>skill_trigger_id</t>
    <phoneticPr fontId="7"/>
  </si>
  <si>
    <t>first_time</t>
    <phoneticPr fontId="5"/>
  </si>
  <si>
    <t>priority</t>
    <phoneticPr fontId="5"/>
  </si>
  <si>
    <t>priority</t>
    <phoneticPr fontId="5"/>
  </si>
  <si>
    <t>invoke_rate</t>
    <phoneticPr fontId="5"/>
  </si>
  <si>
    <t>hp_threshold</t>
    <phoneticPr fontId="5"/>
  </si>
  <si>
    <t>hp_termination</t>
    <phoneticPr fontId="5"/>
  </si>
  <si>
    <t>invoke_times</t>
    <phoneticPr fontId="5"/>
  </si>
  <si>
    <t>every_time_count</t>
    <phoneticPr fontId="5"/>
  </si>
  <si>
    <t>neighbor_dead_id</t>
    <phoneticPr fontId="5"/>
  </si>
  <si>
    <t>invoke_weight</t>
    <phoneticPr fontId="5"/>
  </si>
  <si>
    <t>作成者</t>
    <rPh sb="0" eb="3">
      <t>サクセイシャ</t>
    </rPh>
    <phoneticPr fontId="5"/>
  </si>
  <si>
    <t>更新日</t>
    <rPh sb="0" eb="3">
      <t>コウシンニチジ</t>
    </rPh>
    <phoneticPr fontId="5"/>
  </si>
  <si>
    <t>備考（使用箇所）</t>
    <rPh sb="0" eb="2">
      <t>ビコウ</t>
    </rPh>
    <rPh sb="3" eb="7">
      <t>シヨウカショ</t>
    </rPh>
    <phoneticPr fontId="5"/>
  </si>
  <si>
    <t>enemy_skill_id</t>
  </si>
  <si>
    <t>effect_param</t>
    <phoneticPr fontId="5"/>
  </si>
  <si>
    <t>valid_flg</t>
  </si>
  <si>
    <t>name</t>
    <phoneticPr fontId="7"/>
  </si>
  <si>
    <t>comment</t>
    <phoneticPr fontId="7"/>
  </si>
  <si>
    <t>skill_trigger_id</t>
    <phoneticPr fontId="7"/>
  </si>
  <si>
    <t>first_time</t>
    <phoneticPr fontId="5"/>
  </si>
  <si>
    <t>priority</t>
    <phoneticPr fontId="5"/>
  </si>
  <si>
    <t>invoke_rate</t>
    <phoneticPr fontId="5"/>
  </si>
  <si>
    <t>重複チェック</t>
    <rPh sb="0" eb="2">
      <t>チョウフク</t>
    </rPh>
    <phoneticPr fontId="5"/>
  </si>
  <si>
    <t>null</t>
    <phoneticPr fontId="5"/>
  </si>
  <si>
    <t>enemy_skills</t>
    <phoneticPr fontId="5"/>
  </si>
  <si>
    <t>language</t>
  </si>
  <si>
    <t>name</t>
  </si>
  <si>
    <t>comment</t>
  </si>
  <si>
    <t>skill_trigger_id</t>
  </si>
  <si>
    <t>first_time</t>
  </si>
  <si>
    <t>invoke_rate</t>
  </si>
  <si>
    <t>hp_threshold</t>
  </si>
  <si>
    <t>invoke_times</t>
  </si>
  <si>
    <t>skill_id</t>
  </si>
  <si>
    <t>接頭語</t>
    <rPh sb="0" eb="3">
      <t>セットウゴ</t>
    </rPh>
    <phoneticPr fontId="5"/>
  </si>
  <si>
    <t>識別子</t>
    <rPh sb="0" eb="3">
      <t>シキベツシ</t>
    </rPh>
    <phoneticPr fontId="5"/>
  </si>
  <si>
    <t>形式</t>
    <rPh sb="0" eb="2">
      <t>ケイシキ</t>
    </rPh>
    <phoneticPr fontId="5"/>
  </si>
  <si>
    <t>出力ファイル名</t>
    <rPh sb="0" eb="2">
      <t>シュツリョク</t>
    </rPh>
    <rPh sb="6" eb="7">
      <t>メイ</t>
    </rPh>
    <phoneticPr fontId="5"/>
  </si>
  <si>
    <t>入力シート名</t>
    <rPh sb="0" eb="2">
      <t>ニュウリョク</t>
    </rPh>
    <rPh sb="5" eb="6">
      <t>メイ</t>
    </rPh>
    <phoneticPr fontId="5"/>
  </si>
  <si>
    <t>出力データ</t>
    <rPh sb="0" eb="2">
      <t>シュツリョク</t>
    </rPh>
    <phoneticPr fontId="5"/>
  </si>
  <si>
    <t>floors_</t>
    <phoneticPr fontId="5"/>
  </si>
  <si>
    <t>.tmp</t>
    <phoneticPr fontId="5"/>
  </si>
  <si>
    <t>floors</t>
    <phoneticPr fontId="5"/>
  </si>
  <si>
    <t>enemy_habitats_</t>
    <phoneticPr fontId="5"/>
  </si>
  <si>
    <t>enemy_habitats</t>
    <phoneticPr fontId="5"/>
  </si>
  <si>
    <t>enemy_habitat_S_</t>
    <phoneticPr fontId="5"/>
  </si>
  <si>
    <t>enemy_habitat_S</t>
    <phoneticPr fontId="5"/>
  </si>
  <si>
    <t>enemy_skill_sets_</t>
    <phoneticPr fontId="5"/>
  </si>
  <si>
    <t>enemy_skill_sets</t>
    <phoneticPr fontId="5"/>
  </si>
  <si>
    <t>enemy_skills_tmp_</t>
    <phoneticPr fontId="5"/>
  </si>
  <si>
    <t>.tmp</t>
    <phoneticPr fontId="5"/>
  </si>
  <si>
    <t>enemy_skills_i18n_</t>
    <phoneticPr fontId="5"/>
  </si>
  <si>
    <t>enemy_skills</t>
    <phoneticPr fontId="5"/>
  </si>
  <si>
    <t>enemy_skill_triggers_</t>
    <phoneticPr fontId="5"/>
  </si>
  <si>
    <t>.tmp</t>
    <phoneticPr fontId="5"/>
  </si>
  <si>
    <t>enemy_skill_triggers</t>
    <phoneticPr fontId="5"/>
  </si>
  <si>
    <t>hp_termination</t>
    <phoneticPr fontId="5"/>
  </si>
  <si>
    <t>invoke_weight</t>
    <phoneticPr fontId="5"/>
  </si>
  <si>
    <t>every_time_count</t>
    <phoneticPr fontId="5"/>
  </si>
  <si>
    <t>neighbor_dead_id</t>
    <phoneticPr fontId="5"/>
  </si>
  <si>
    <t>language</t>
    <phoneticPr fontId="5"/>
  </si>
  <si>
    <t>ja</t>
    <phoneticPr fontId="5"/>
  </si>
  <si>
    <t>skill_set_id</t>
    <phoneticPr fontId="5"/>
  </si>
  <si>
    <t>スキル</t>
    <phoneticPr fontId="5"/>
  </si>
  <si>
    <t>出力flg</t>
    <rPh sb="0" eb="2">
      <t>シュツリョク</t>
    </rPh>
    <phoneticPr fontId="5"/>
  </si>
  <si>
    <t>中間文字列１</t>
    <rPh sb="0" eb="2">
      <t>チュウカン</t>
    </rPh>
    <rPh sb="2" eb="5">
      <t>モジレツ</t>
    </rPh>
    <phoneticPr fontId="5"/>
  </si>
  <si>
    <t>効果１文字列</t>
    <rPh sb="0" eb="2">
      <t>コウカ</t>
    </rPh>
    <rPh sb="3" eb="6">
      <t>モジレツ</t>
    </rPh>
    <phoneticPr fontId="5"/>
  </si>
  <si>
    <t>効果１簡易デコード</t>
    <rPh sb="0" eb="2">
      <t>コウカ</t>
    </rPh>
    <rPh sb="3" eb="5">
      <t>カンイ</t>
    </rPh>
    <phoneticPr fontId="5"/>
  </si>
  <si>
    <t>効果２文字列</t>
    <rPh sb="0" eb="2">
      <t>コウカ</t>
    </rPh>
    <rPh sb="3" eb="6">
      <t>モジレツ</t>
    </rPh>
    <phoneticPr fontId="5"/>
  </si>
  <si>
    <t>効果２簡易デコード</t>
    <rPh sb="0" eb="2">
      <t>コウカ</t>
    </rPh>
    <rPh sb="3" eb="5">
      <t>カンイ</t>
    </rPh>
    <phoneticPr fontId="5"/>
  </si>
  <si>
    <t>効果３文字列</t>
    <rPh sb="0" eb="2">
      <t>コウカ</t>
    </rPh>
    <rPh sb="3" eb="6">
      <t>モジレツ</t>
    </rPh>
    <phoneticPr fontId="5"/>
  </si>
  <si>
    <t>効果３簡易デコード</t>
    <rPh sb="0" eb="2">
      <t>コウカ</t>
    </rPh>
    <rPh sb="3" eb="5">
      <t>カンイ</t>
    </rPh>
    <phoneticPr fontId="5"/>
  </si>
  <si>
    <t>効果１efect位置</t>
    <rPh sb="0" eb="2">
      <t>コウカ</t>
    </rPh>
    <rPh sb="8" eb="10">
      <t>イチ</t>
    </rPh>
    <phoneticPr fontId="5"/>
  </si>
  <si>
    <t>効果１target位置</t>
    <rPh sb="0" eb="2">
      <t>コウカ</t>
    </rPh>
    <rPh sb="9" eb="11">
      <t>イチ</t>
    </rPh>
    <phoneticPr fontId="5"/>
  </si>
  <si>
    <t>効果1終了位置</t>
    <rPh sb="0" eb="2">
      <t>コウカ</t>
    </rPh>
    <rPh sb="3" eb="5">
      <t>シュウリョウ</t>
    </rPh>
    <rPh sb="5" eb="7">
      <t>イチ</t>
    </rPh>
    <phoneticPr fontId="5"/>
  </si>
  <si>
    <t>効果1target終了位置</t>
    <rPh sb="0" eb="2">
      <t>コウカ</t>
    </rPh>
    <rPh sb="9" eb="11">
      <t>シュウリョウ</t>
    </rPh>
    <rPh sb="11" eb="13">
      <t>イチ</t>
    </rPh>
    <phoneticPr fontId="5"/>
  </si>
  <si>
    <t>効果2efect位置</t>
    <rPh sb="0" eb="2">
      <t>コウカ</t>
    </rPh>
    <rPh sb="8" eb="10">
      <t>イチ</t>
    </rPh>
    <phoneticPr fontId="5"/>
  </si>
  <si>
    <t>効果2終了位置</t>
    <rPh sb="0" eb="2">
      <t>コウカ</t>
    </rPh>
    <rPh sb="3" eb="5">
      <t>シュウリョウ</t>
    </rPh>
    <rPh sb="5" eb="7">
      <t>イチ</t>
    </rPh>
    <phoneticPr fontId="5"/>
  </si>
  <si>
    <t>効果2target位置</t>
    <rPh sb="0" eb="2">
      <t>コウカ</t>
    </rPh>
    <rPh sb="9" eb="11">
      <t>イチ</t>
    </rPh>
    <phoneticPr fontId="5"/>
  </si>
  <si>
    <t>効果2target終了位置</t>
    <rPh sb="0" eb="2">
      <t>コウカ</t>
    </rPh>
    <rPh sb="9" eb="11">
      <t>シュウリョウ</t>
    </rPh>
    <rPh sb="11" eb="13">
      <t>イチ</t>
    </rPh>
    <phoneticPr fontId="5"/>
  </si>
  <si>
    <t>効果3efect位置</t>
    <rPh sb="0" eb="2">
      <t>コウカ</t>
    </rPh>
    <rPh sb="8" eb="10">
      <t>イチ</t>
    </rPh>
    <phoneticPr fontId="5"/>
  </si>
  <si>
    <t>効果3終了位置</t>
    <rPh sb="0" eb="2">
      <t>コウカ</t>
    </rPh>
    <rPh sb="3" eb="5">
      <t>シュウリョウ</t>
    </rPh>
    <rPh sb="5" eb="7">
      <t>イチ</t>
    </rPh>
    <phoneticPr fontId="5"/>
  </si>
  <si>
    <t>効果3target位置</t>
    <rPh sb="0" eb="2">
      <t>コウカ</t>
    </rPh>
    <rPh sb="9" eb="11">
      <t>イチ</t>
    </rPh>
    <phoneticPr fontId="5"/>
  </si>
  <si>
    <t>効果3target終了位置</t>
    <rPh sb="0" eb="2">
      <t>コウカ</t>
    </rPh>
    <rPh sb="9" eb="11">
      <t>シュウリョウ</t>
    </rPh>
    <rPh sb="11" eb="13">
      <t>イチ</t>
    </rPh>
    <phoneticPr fontId="5"/>
  </si>
  <si>
    <t>quest_id</t>
    <phoneticPr fontId="5"/>
  </si>
  <si>
    <t>stage_id</t>
    <phoneticPr fontId="5"/>
  </si>
  <si>
    <t>temp_stage</t>
    <phoneticPr fontId="7"/>
  </si>
  <si>
    <t>stage_target</t>
    <phoneticPr fontId="5"/>
  </si>
  <si>
    <t>bonus_id</t>
    <phoneticPr fontId="5"/>
  </si>
  <si>
    <t>bonus_type</t>
    <phoneticPr fontId="5"/>
  </si>
  <si>
    <t>bonus_value</t>
    <phoneticPr fontId="5"/>
  </si>
  <si>
    <t>bonus_count</t>
    <phoneticPr fontId="5"/>
  </si>
  <si>
    <t>level</t>
    <phoneticPr fontId="5"/>
  </si>
  <si>
    <t>skill_level</t>
    <phoneticPr fontId="5"/>
  </si>
  <si>
    <t>hp_plus</t>
    <phoneticPr fontId="5"/>
  </si>
  <si>
    <t>attack_plus</t>
    <phoneticPr fontId="5"/>
  </si>
  <si>
    <t>defense_plus</t>
    <phoneticPr fontId="5"/>
  </si>
  <si>
    <t>heal_plus</t>
    <phoneticPr fontId="5"/>
  </si>
  <si>
    <t>bug</t>
    <phoneticPr fontId="5"/>
  </si>
  <si>
    <t>weight</t>
    <phoneticPr fontId="5"/>
  </si>
  <si>
    <t>definite_start_date</t>
    <phoneticPr fontId="5"/>
  </si>
  <si>
    <t>definite_end_date</t>
    <phoneticPr fontId="5"/>
  </si>
  <si>
    <t>null</t>
    <phoneticPr fontId="5"/>
  </si>
  <si>
    <t>2015-03-27 00:00:00</t>
  </si>
  <si>
    <t>2970-01-01 09:00:00</t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</si>
  <si>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</si>
  <si>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t>bugbonuses</t>
    <phoneticPr fontId="5"/>
  </si>
  <si>
    <t>stage_id</t>
    <phoneticPr fontId="5"/>
  </si>
  <si>
    <t>stage_target</t>
    <phoneticPr fontId="5"/>
  </si>
  <si>
    <t>bonus_id</t>
    <phoneticPr fontId="5"/>
  </si>
  <si>
    <t>bonus_type</t>
    <phoneticPr fontId="5"/>
  </si>
  <si>
    <t>stage_bug_bonuses_</t>
    <phoneticPr fontId="5"/>
  </si>
  <si>
    <t>skill_level</t>
    <phoneticPr fontId="5"/>
  </si>
  <si>
    <t>skill_level</t>
    <phoneticPr fontId="5"/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</si>
  <si>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</si>
  <si>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t>quest_id</t>
    <phoneticPr fontId="5"/>
  </si>
  <si>
    <t>hint_id</t>
    <phoneticPr fontId="5"/>
  </si>
  <si>
    <t>floor_id</t>
    <phoneticPr fontId="5"/>
  </si>
  <si>
    <t>hint_type</t>
    <phoneticPr fontId="5"/>
  </si>
  <si>
    <t>hint</t>
    <phoneticPr fontId="5"/>
  </si>
  <si>
    <t>title</t>
    <phoneticPr fontId="5"/>
  </si>
  <si>
    <t>skip</t>
  </si>
  <si>
    <t>hint_type</t>
    <phoneticPr fontId="5"/>
  </si>
  <si>
    <t>quest_id</t>
    <phoneticPr fontId="5"/>
  </si>
  <si>
    <t>name</t>
    <phoneticPr fontId="5"/>
  </si>
  <si>
    <t>stage_id</t>
    <phoneticPr fontId="5"/>
  </si>
  <si>
    <t>name</t>
    <phoneticPr fontId="5"/>
  </si>
  <si>
    <t>floor_id</t>
    <phoneticPr fontId="5"/>
  </si>
  <si>
    <t>tmp_hint_id</t>
    <phoneticPr fontId="5"/>
  </si>
  <si>
    <t>hint_id</t>
    <phoneticPr fontId="5"/>
  </si>
  <si>
    <t>filename</t>
    <phoneticPr fontId="5"/>
  </si>
  <si>
    <t>failure</t>
  </si>
  <si>
    <t>ja</t>
    <phoneticPr fontId="5"/>
  </si>
  <si>
    <t>NULL</t>
    <phoneticPr fontId="5"/>
  </si>
  <si>
    <t>complete</t>
  </si>
  <si>
    <t>stage_hints_data_c_</t>
    <phoneticPr fontId="5"/>
  </si>
  <si>
    <t>stage_hints_data_f_</t>
    <phoneticPr fontId="5"/>
  </si>
  <si>
    <r>
      <t>stage_hints_i18n</t>
    </r>
    <r>
      <rPr>
        <sz val="12"/>
        <color theme="1"/>
        <rFont val="ＭＳ Ｐゴシック"/>
        <family val="2"/>
        <charset val="128"/>
        <scheme val="minor"/>
      </rPr>
      <t>_</t>
    </r>
    <phoneticPr fontId="5"/>
  </si>
  <si>
    <t>hint_id</t>
    <phoneticPr fontId="5"/>
  </si>
  <si>
    <t>language</t>
    <phoneticPr fontId="5"/>
  </si>
  <si>
    <t>hint</t>
    <phoneticPr fontId="5"/>
  </si>
  <si>
    <t>filename</t>
  </si>
  <si>
    <t>title</t>
    <phoneticPr fontId="5"/>
  </si>
  <si>
    <r>
      <t>stage_hints</t>
    </r>
    <r>
      <rPr>
        <sz val="12"/>
        <color theme="1"/>
        <rFont val="ＭＳ Ｐゴシック"/>
        <family val="2"/>
        <charset val="128"/>
        <scheme val="minor"/>
      </rPr>
      <t>_complete</t>
    </r>
    <phoneticPr fontId="5"/>
  </si>
  <si>
    <t>stage_hints_failure</t>
    <phoneticPr fontId="5"/>
  </si>
  <si>
    <t>stage_hints_failure</t>
    <phoneticPr fontId="5"/>
  </si>
  <si>
    <t>temp_id</t>
    <phoneticPr fontId="5"/>
  </si>
  <si>
    <t>quest_id</t>
    <phoneticPr fontId="5"/>
  </si>
  <si>
    <t>name</t>
    <phoneticPr fontId="5"/>
  </si>
  <si>
    <t>stage_id</t>
    <phoneticPr fontId="5"/>
  </si>
  <si>
    <t>name</t>
    <phoneticPr fontId="5"/>
  </si>
  <si>
    <t>stage_target</t>
    <phoneticPr fontId="5"/>
  </si>
  <si>
    <t>bonus_category</t>
    <phoneticPr fontId="5"/>
  </si>
  <si>
    <t>bonus_id</t>
    <phoneticPr fontId="5"/>
  </si>
  <si>
    <t>weight</t>
    <phoneticPr fontId="5"/>
  </si>
  <si>
    <t>bonus_type</t>
    <phoneticPr fontId="5"/>
  </si>
  <si>
    <t>bonus_count</t>
    <phoneticPr fontId="5"/>
  </si>
  <si>
    <t>skill_level</t>
    <phoneticPr fontId="5"/>
  </si>
  <si>
    <t>definite_start_date</t>
    <phoneticPr fontId="5"/>
  </si>
  <si>
    <t>definite_end_date</t>
    <phoneticPr fontId="5"/>
  </si>
  <si>
    <t>everyone</t>
    <phoneticPr fontId="5"/>
  </si>
  <si>
    <t>unit</t>
    <phoneticPr fontId="5"/>
  </si>
  <si>
    <t>2016-5-27 0:00:00</t>
    <phoneticPr fontId="5"/>
  </si>
  <si>
    <t>2970-01-01 09:00:00</t>
    <phoneticPr fontId="5"/>
  </si>
  <si>
    <t>no_continue</t>
    <phoneticPr fontId="5"/>
  </si>
  <si>
    <t>stage_bonuses</t>
    <phoneticPr fontId="5"/>
  </si>
  <si>
    <t>.tmp</t>
    <phoneticPr fontId="5"/>
  </si>
  <si>
    <t>quest_id</t>
    <phoneticPr fontId="5"/>
  </si>
  <si>
    <t>stage_id</t>
    <phoneticPr fontId="5"/>
  </si>
  <si>
    <t>stage_target</t>
    <phoneticPr fontId="5"/>
  </si>
  <si>
    <t>bonus_category</t>
    <phoneticPr fontId="5"/>
  </si>
  <si>
    <t>bonus_id</t>
    <phoneticPr fontId="5"/>
  </si>
  <si>
    <t>bonus_type</t>
    <phoneticPr fontId="5"/>
  </si>
  <si>
    <t>bonus_value</t>
    <phoneticPr fontId="5"/>
  </si>
  <si>
    <t>bonus_count</t>
    <phoneticPr fontId="5"/>
  </si>
  <si>
    <t>level</t>
    <phoneticPr fontId="5"/>
  </si>
  <si>
    <t>skill_level</t>
    <phoneticPr fontId="5"/>
  </si>
  <si>
    <t>hp_plus</t>
    <phoneticPr fontId="5"/>
  </si>
  <si>
    <t>attack_plus</t>
    <phoneticPr fontId="5"/>
  </si>
  <si>
    <t>defense_plus</t>
    <phoneticPr fontId="5"/>
  </si>
  <si>
    <t>heal_plus</t>
    <phoneticPr fontId="5"/>
  </si>
  <si>
    <t>bug</t>
    <phoneticPr fontId="5"/>
  </si>
  <si>
    <t>weight</t>
    <phoneticPr fontId="5"/>
  </si>
  <si>
    <t>definite_start_date</t>
    <phoneticPr fontId="5"/>
  </si>
  <si>
    <t>definite_end_date</t>
    <phoneticPr fontId="5"/>
  </si>
  <si>
    <t>stage_bonuses_</t>
    <phoneticPr fontId="5"/>
  </si>
  <si>
    <t>hp</t>
    <phoneticPr fontId="5"/>
  </si>
  <si>
    <t>attack</t>
    <phoneticPr fontId="5"/>
  </si>
  <si>
    <t>攻略のヒント</t>
    <rPh sb="0" eb="2">
      <t>コウリャク</t>
    </rPh>
    <phoneticPr fontId="5"/>
  </si>
  <si>
    <t>null</t>
    <phoneticPr fontId="5"/>
  </si>
  <si>
    <t>old</t>
  </si>
  <si>
    <t>フォルトゥナがいる場合味方に3ターンスキル短縮のバフ</t>
    <phoneticPr fontId="5"/>
  </si>
  <si>
    <t>他ウェディングキャラがいる場合3ターンの間確率で青ボムパネルがドロップ</t>
    <phoneticPr fontId="5"/>
  </si>
  <si>
    <t>特定エリアを赤パネルに変換+単体ダメージ</t>
    <phoneticPr fontId="5"/>
  </si>
  <si>
    <t>上記何もない場合</t>
    <rPh sb="0" eb="2">
      <t>ジョ</t>
    </rPh>
    <phoneticPr fontId="5"/>
  </si>
  <si>
    <t>赤パネルを4個プロテクト+単体ダメージ</t>
    <phoneticPr fontId="5"/>
  </si>
  <si>
    <t>2連続ダメージ</t>
    <phoneticPr fontId="5"/>
  </si>
  <si>
    <t>3ターン味方の攻撃力50％ダウン+単体ダメージ</t>
    <phoneticPr fontId="5"/>
  </si>
  <si>
    <t>属性パネルをランダムで5個赤パネルに変換+単体ダメージ</t>
    <rPh sb="12" eb="13">
      <t>k</t>
    </rPh>
    <phoneticPr fontId="5"/>
  </si>
  <si>
    <t>ジークフリート</t>
    <phoneticPr fontId="5"/>
  </si>
  <si>
    <t>セリフ+特定エリアを青パネルに変換</t>
    <phoneticPr fontId="5"/>
  </si>
  <si>
    <t>現在HPの3割ダメージ+青パネル4個プロテクト</t>
    <phoneticPr fontId="5"/>
  </si>
  <si>
    <t>特定エリアを青パネルと黄色パネルに変換+ダメージ</t>
    <phoneticPr fontId="5"/>
  </si>
  <si>
    <t>特定エリアをハートパネルに変換</t>
    <phoneticPr fontId="5"/>
  </si>
  <si>
    <t>青パネルを6個プロテクト+ダメージ</t>
    <phoneticPr fontId="5"/>
  </si>
  <si>
    <t>4回連続ダメージ</t>
    <phoneticPr fontId="5"/>
  </si>
  <si>
    <t>属性パネルをランダムで青パネル5個に変換+2連続ダメージ</t>
    <rPh sb="16" eb="17">
      <t>k</t>
    </rPh>
    <phoneticPr fontId="5"/>
  </si>
  <si>
    <t>イズン　バー1本目</t>
    <phoneticPr fontId="5"/>
  </si>
  <si>
    <t>他ウェディングキャラがいる場合3ターンの間青パネルがドロップしやすくなる</t>
    <phoneticPr fontId="5"/>
  </si>
  <si>
    <t>フォルトゥナがいる場合4ターンの間Cパネル生成短縮のバフ</t>
    <phoneticPr fontId="5"/>
  </si>
  <si>
    <t>上記何もない場合</t>
    <rPh sb="0" eb="2">
      <t>ジョ</t>
    </rPh>
    <rPh sb="2" eb="3">
      <t>ナn</t>
    </rPh>
    <phoneticPr fontId="5"/>
  </si>
  <si>
    <t>1ターンの間味方の攻撃力50％ダウン+ダメージ</t>
    <phoneticPr fontId="5"/>
  </si>
  <si>
    <t>黄色パネルを8個プロテクト+クリティカルダメージ</t>
    <phoneticPr fontId="5"/>
  </si>
  <si>
    <t>青パネルを3個プロテクト+ダメージ</t>
    <phoneticPr fontId="5"/>
  </si>
  <si>
    <t>特定エリアを青パネルに変換+ダメージ</t>
    <phoneticPr fontId="5"/>
  </si>
  <si>
    <t>イズン　バー2本目</t>
    <phoneticPr fontId="5"/>
  </si>
  <si>
    <t>属性パネルをランダムで4個青パネルに変換+連続ダメージ</t>
    <rPh sb="12" eb="13">
      <t>k</t>
    </rPh>
    <phoneticPr fontId="5"/>
  </si>
  <si>
    <t>特定のエリアを赤と緑パネルに変換</t>
    <phoneticPr fontId="5"/>
  </si>
  <si>
    <t>5ターンの間赤パネルがプロテクトされた状態で落ちる</t>
    <phoneticPr fontId="5"/>
  </si>
  <si>
    <t>属性パネルをランダムで5個赤パネルに変換+連続ダメージ</t>
    <phoneticPr fontId="5"/>
  </si>
  <si>
    <t>青パネルを5個赤パネルに変換+ダメージ</t>
    <phoneticPr fontId="5"/>
  </si>
  <si>
    <t>特定エリアを赤パネルに変換+ダメージ</t>
    <phoneticPr fontId="5"/>
  </si>
  <si>
    <t>ランダムにパネルを4つプロテクト+現在HPの2割ダメージ</t>
    <phoneticPr fontId="5"/>
  </si>
  <si>
    <t>ガーネット　バー1本目</t>
    <phoneticPr fontId="5"/>
  </si>
  <si>
    <t>状態異常耐性+特定エリアを赤パネルに変換</t>
    <phoneticPr fontId="5"/>
  </si>
  <si>
    <t>赤パネル全てをプロテクト+ダメージ</t>
    <phoneticPr fontId="5"/>
  </si>
  <si>
    <t>1ターンハート無効+ハートパネルドロップ率アップ</t>
    <phoneticPr fontId="5"/>
  </si>
  <si>
    <t>現在HPの4割ダメージ</t>
    <phoneticPr fontId="5"/>
  </si>
  <si>
    <t>1ターンの間ランダムで属性パネルがプロテクトされてドロップ+ダメージ</t>
    <phoneticPr fontId="5"/>
  </si>
  <si>
    <t>赤パネル全てをプロテクト+現在HPの4割ダメージ</t>
    <phoneticPr fontId="5"/>
  </si>
  <si>
    <t>ガーネット　バー2本目</t>
    <phoneticPr fontId="5"/>
  </si>
  <si>
    <t>状態異常耐性+2ターンの間攻撃力アップ</t>
    <phoneticPr fontId="5"/>
  </si>
  <si>
    <t>特定のエリアを赤パネルに変換+ダメージ</t>
    <phoneticPr fontId="5"/>
  </si>
  <si>
    <t>2回連続ダメージ</t>
    <phoneticPr fontId="5"/>
  </si>
  <si>
    <t>青パネルを3個プロテクト+4回連続ダメージ</t>
    <phoneticPr fontId="5"/>
  </si>
  <si>
    <t>味方の攻撃力50％ダウン+5ターンの間青パネルがプロテクトされてドロップ</t>
    <phoneticPr fontId="5"/>
  </si>
  <si>
    <t>3ターンの間赤パネルがプロテクトされてドロップ</t>
    <phoneticPr fontId="5"/>
  </si>
  <si>
    <t>特定エリアを赤パネルに変換+現在HPの4割ダメージ</t>
    <phoneticPr fontId="5"/>
  </si>
  <si>
    <t>特定エリアを赤、青、黄、ハートパネルに変換</t>
    <phoneticPr fontId="5"/>
  </si>
  <si>
    <t>セリフ</t>
    <phoneticPr fontId="5"/>
  </si>
  <si>
    <t>ガーネット　バー3本目</t>
    <phoneticPr fontId="5"/>
  </si>
  <si>
    <t>seq_no</t>
    <phoneticPr fontId="5"/>
  </si>
  <si>
    <t>青パネルを5個赤パネルに変換+ダメージ</t>
  </si>
  <si>
    <t>o</t>
    <phoneticPr fontId="5"/>
  </si>
  <si>
    <t>調整</t>
    <rPh sb="0" eb="2">
      <t>チョウセ</t>
    </rPh>
    <phoneticPr fontId="5"/>
  </si>
  <si>
    <t>血が滾るぜ…！</t>
    <rPh sb="0" eb="1">
      <t>チガ</t>
    </rPh>
    <rPh sb="2" eb="3">
      <t>タギル</t>
    </rPh>
    <phoneticPr fontId="5"/>
  </si>
  <si>
    <t>ランダムでパネルを5個青パネルに変換+
2回連続攻撃</t>
    <rPh sb="10" eb="11">
      <t>コ</t>
    </rPh>
    <rPh sb="11" eb="12">
      <t>ア</t>
    </rPh>
    <rPh sb="21" eb="26">
      <t>k</t>
    </rPh>
    <phoneticPr fontId="5"/>
  </si>
  <si>
    <t>4回連続攻撃</t>
    <rPh sb="1" eb="6">
      <t>k</t>
    </rPh>
    <phoneticPr fontId="5"/>
  </si>
  <si>
    <t>スイレンのブーケもあるんです〜
【特定エリアをハートパネルに変換】</t>
    <rPh sb="17" eb="19">
      <t>トクテ</t>
    </rPh>
    <phoneticPr fontId="5"/>
  </si>
  <si>
    <t>黄パネルを8個プロテクト+クリティカル！</t>
    <rPh sb="0" eb="1">
      <t>キイr</t>
    </rPh>
    <rPh sb="6" eb="7">
      <t>コp</t>
    </rPh>
    <phoneticPr fontId="5"/>
  </si>
  <si>
    <t>5ターンの間赤パネルがプロテクトされてドロップ</t>
    <rPh sb="6" eb="7">
      <t>アカパn</t>
    </rPh>
    <phoneticPr fontId="5"/>
  </si>
  <si>
    <t>ランダムで5個赤パネルに変換+
2回連続攻撃</t>
    <rPh sb="6" eb="7">
      <t>コ</t>
    </rPh>
    <rPh sb="7" eb="8">
      <t>アカパn</t>
    </rPh>
    <rPh sb="17" eb="20">
      <t>k</t>
    </rPh>
    <rPh sb="20" eb="22">
      <t>タンタイコウg</t>
    </rPh>
    <phoneticPr fontId="5"/>
  </si>
  <si>
    <t>青パネルを5個赤パネルに変換+単体攻撃</t>
    <rPh sb="0" eb="1">
      <t>ア</t>
    </rPh>
    <rPh sb="7" eb="8">
      <t>アカパn</t>
    </rPh>
    <rPh sb="15" eb="19">
      <t>タンタイ</t>
    </rPh>
    <phoneticPr fontId="5"/>
  </si>
  <si>
    <t>赤パネルを全てプロテクト+単体攻撃</t>
    <rPh sb="0" eb="1">
      <t>ゼンアk</t>
    </rPh>
    <rPh sb="5" eb="6">
      <t>スベt</t>
    </rPh>
    <rPh sb="13" eb="17">
      <t>タンタ</t>
    </rPh>
    <phoneticPr fontId="5"/>
  </si>
  <si>
    <t>状態異常耐性+
特定エリアを赤パネルに変換</t>
    <rPh sb="0" eb="6">
      <t>ジョ</t>
    </rPh>
    <rPh sb="8" eb="10">
      <t>トクテ</t>
    </rPh>
    <rPh sb="14" eb="15">
      <t>アk</t>
    </rPh>
    <phoneticPr fontId="5"/>
  </si>
  <si>
    <t>2回連続攻撃</t>
    <rPh sb="1" eb="2">
      <t>k</t>
    </rPh>
    <rPh sb="2" eb="6">
      <t>レンゾk</t>
    </rPh>
    <phoneticPr fontId="5"/>
  </si>
  <si>
    <t>楽しませてくれたお礼！
【特定エリアを赤・青・黄・ハートパネルに変換】</t>
    <rPh sb="0" eb="1">
      <t>タノシマ</t>
    </rPh>
    <rPh sb="13" eb="15">
      <t>トクテイ</t>
    </rPh>
    <rPh sb="21" eb="22">
      <t>アk</t>
    </rPh>
    <rPh sb="32" eb="34">
      <t>ヘンカn</t>
    </rPh>
    <phoneticPr fontId="5"/>
  </si>
  <si>
    <t>楽しい時間だった、また会いたいわね</t>
    <rPh sb="0" eb="1">
      <t>タノs</t>
    </rPh>
    <rPh sb="11" eb="12">
      <t>アイt</t>
    </rPh>
    <phoneticPr fontId="5"/>
  </si>
  <si>
    <t>状態異常耐性+
特定エリアを赤・緑パネルに変換</t>
    <rPh sb="0" eb="6">
      <t>ジョウタ</t>
    </rPh>
    <rPh sb="8" eb="10">
      <t>トクテ</t>
    </rPh>
    <rPh sb="14" eb="15">
      <t>アk</t>
    </rPh>
    <rPh sb="16" eb="17">
      <t>ミドr</t>
    </rPh>
    <rPh sb="21" eb="23">
      <t>ヘンカn</t>
    </rPh>
    <phoneticPr fontId="5"/>
  </si>
  <si>
    <t>特定エリアを赤パネルに変換+
単体攻撃</t>
    <rPh sb="0" eb="2">
      <t>トクテ</t>
    </rPh>
    <rPh sb="6" eb="7">
      <t>アk</t>
    </rPh>
    <rPh sb="15" eb="17">
      <t>タンタ</t>
    </rPh>
    <rPh sb="17" eb="19">
      <t>コウゲk</t>
    </rPh>
    <phoneticPr fontId="5"/>
  </si>
  <si>
    <t>青パネルを10個プロテクト+
4回連続攻撃</t>
    <rPh sb="0" eb="1">
      <t>ア</t>
    </rPh>
    <rPh sb="7" eb="8">
      <t>コp</t>
    </rPh>
    <rPh sb="16" eb="21">
      <t>k</t>
    </rPh>
    <phoneticPr fontId="5"/>
  </si>
  <si>
    <t>特定エリアを赤パネルに変換+
赤パネルを8個プロテクト+単体攻撃</t>
    <rPh sb="0" eb="2">
      <t>トクテ</t>
    </rPh>
    <rPh sb="6" eb="7">
      <t>アカパn</t>
    </rPh>
    <rPh sb="15" eb="16">
      <t>アカp</t>
    </rPh>
    <rPh sb="21" eb="22">
      <t>コp</t>
    </rPh>
    <rPh sb="28" eb="32">
      <t>タンタイk</t>
    </rPh>
    <phoneticPr fontId="5"/>
  </si>
  <si>
    <t>お前、ちょっと下がってくれよ…
【2回連続攻撃+全ユニットに1ターンスキルバインド】</t>
    <rPh sb="18" eb="21">
      <t>カイレンゾ</t>
    </rPh>
    <rPh sb="21" eb="23">
      <t>コウゲk</t>
    </rPh>
    <phoneticPr fontId="5"/>
  </si>
  <si>
    <t>花束で耳を塞いでいる
【特定エリアを青・黄パネルに変換+
　2ターンユニット1～2体にスキルバインド+
　2回連続攻撃】</t>
    <rPh sb="0" eb="2">
      <t>ハナタb</t>
    </rPh>
    <rPh sb="3" eb="4">
      <t>ミm</t>
    </rPh>
    <rPh sb="12" eb="14">
      <t>トクテ</t>
    </rPh>
    <rPh sb="18" eb="19">
      <t>ア</t>
    </rPh>
    <rPh sb="20" eb="21">
      <t>キイ</t>
    </rPh>
    <phoneticPr fontId="5"/>
  </si>
  <si>
    <t>青パネルプロテクト+単体攻撃</t>
    <rPh sb="0" eb="1">
      <t>ア</t>
    </rPh>
    <rPh sb="10" eb="14">
      <t>タンタ</t>
    </rPh>
    <phoneticPr fontId="5"/>
  </si>
  <si>
    <t>3ターンの間味方の攻撃力50％DOWN+
Cパネルプロテクト</t>
    <rPh sb="6" eb="8">
      <t>ミカt</t>
    </rPh>
    <rPh sb="9" eb="12">
      <t>コウゲk</t>
    </rPh>
    <phoneticPr fontId="5"/>
  </si>
  <si>
    <t>青パネルを8個プロテクト+全体攻撃</t>
    <rPh sb="0" eb="1">
      <t>ア</t>
    </rPh>
    <rPh sb="6" eb="7">
      <t>コ</t>
    </rPh>
    <rPh sb="13" eb="17">
      <t>ゼンタ</t>
    </rPh>
    <phoneticPr fontId="5"/>
  </si>
  <si>
    <t>ランダムで7個青パネルに変換+2回連続攻撃</t>
    <rPh sb="6" eb="7">
      <t>コ</t>
    </rPh>
    <rPh sb="7" eb="8">
      <t>アオパn</t>
    </rPh>
    <rPh sb="19" eb="21">
      <t>コウゲk</t>
    </rPh>
    <phoneticPr fontId="5"/>
  </si>
  <si>
    <t>り、リンドウのお花です！
【特定エリアを青パネルに変換+
青パネルプロテクト+単体攻撃】</t>
    <rPh sb="14" eb="16">
      <t>トクテ</t>
    </rPh>
    <rPh sb="20" eb="21">
      <t>ア</t>
    </rPh>
    <rPh sb="29" eb="30">
      <t>ア</t>
    </rPh>
    <rPh sb="39" eb="43">
      <t>タンタイk</t>
    </rPh>
    <phoneticPr fontId="5"/>
  </si>
  <si>
    <t>特定エリアを赤パネルに変換+
現在HPの5割ダメージ</t>
    <rPh sb="0" eb="2">
      <t>トクテ</t>
    </rPh>
    <rPh sb="6" eb="7">
      <t>アk</t>
    </rPh>
    <rPh sb="15" eb="17">
      <t>ゲンザ</t>
    </rPh>
    <rPh sb="21" eb="22">
      <t>ワr</t>
    </rPh>
    <phoneticPr fontId="5"/>
  </si>
  <si>
    <t>赤パネルプロテクト+
現在HPの4割ダメージ</t>
    <rPh sb="0" eb="1">
      <t>アカp</t>
    </rPh>
    <rPh sb="11" eb="13">
      <t>ゲンザ</t>
    </rPh>
    <rPh sb="17" eb="18">
      <t>ワリダm</t>
    </rPh>
    <phoneticPr fontId="5"/>
  </si>
  <si>
    <t>ランダムでパネルを10個プロテクト+
現在HPの4割ダメージ</t>
    <rPh sb="11" eb="12">
      <t>コ</t>
    </rPh>
    <rPh sb="19" eb="21">
      <t>ゲンザ</t>
    </rPh>
    <rPh sb="25" eb="26">
      <t>ワr</t>
    </rPh>
    <phoneticPr fontId="5"/>
  </si>
  <si>
    <t>2ターンの間ハートパネル無効+
2ターンの間ハートパネルのドロップ率UP</t>
    <phoneticPr fontId="5"/>
  </si>
  <si>
    <t>ランダムで5個赤パネルに変換+単体攻撃+
2ターン行動頻度UP</t>
    <rPh sb="6" eb="7">
      <t>k</t>
    </rPh>
    <rPh sb="7" eb="8">
      <t>アカパネルニh</t>
    </rPh>
    <rPh sb="15" eb="19">
      <t>タンタ</t>
    </rPh>
    <phoneticPr fontId="5"/>
  </si>
  <si>
    <t>赤パネルプロテクト+単体攻撃</t>
    <rPh sb="0" eb="1">
      <t>アカp</t>
    </rPh>
    <rPh sb="10" eb="12">
      <t>タンタ</t>
    </rPh>
    <rPh sb="12" eb="14">
      <t>コウゲk</t>
    </rPh>
    <phoneticPr fontId="5"/>
  </si>
  <si>
    <t>あ…アサガオのブーケ、どうぞ！
【特定エリアを青・ハートパネルに変換+
　青・ハートパネル5個ずつプロテクト】</t>
    <rPh sb="17" eb="19">
      <t>トクテ</t>
    </rPh>
    <rPh sb="23" eb="24">
      <t>ア</t>
    </rPh>
    <phoneticPr fontId="5"/>
  </si>
  <si>
    <t>あの音どうにかならないんですか〜！
【3ターン黄パネルを吸収して防御力UP】</t>
    <phoneticPr fontId="5"/>
  </si>
  <si>
    <t>俺を…楽しませてくれよ…！
【特定エリアをハートパネルに変換+単体攻撃】</t>
    <rPh sb="0" eb="1">
      <t>オr</t>
    </rPh>
    <rPh sb="3" eb="4">
      <t>タノシm</t>
    </rPh>
    <rPh sb="15" eb="17">
      <t>トクテ</t>
    </rPh>
    <phoneticPr fontId="5"/>
  </si>
  <si>
    <t>3ターン味方の攻撃力50％DOWN+単体攻撃</t>
    <rPh sb="4" eb="6">
      <t>ミカタノコウ</t>
    </rPh>
    <rPh sb="18" eb="22">
      <t>タンタイコウg</t>
    </rPh>
    <phoneticPr fontId="5"/>
  </si>
  <si>
    <t>現在HPの40%ダメージ+
赤・黄パネル6個ずつプロテクト</t>
    <rPh sb="0" eb="2">
      <t>ゲンザ</t>
    </rPh>
    <rPh sb="14" eb="15">
      <t>アカ</t>
    </rPh>
    <rPh sb="16" eb="17">
      <t>ki</t>
    </rPh>
    <rPh sb="21" eb="22">
      <t>コ</t>
    </rPh>
    <phoneticPr fontId="5"/>
  </si>
  <si>
    <t>状態異常耐性+2ターンの間攻撃力UP
+3ターンの間味方の攻撃力50％DOWN</t>
    <rPh sb="0" eb="6">
      <t>ジョ</t>
    </rPh>
    <rPh sb="13" eb="16">
      <t>コウゲキ</t>
    </rPh>
    <phoneticPr fontId="5"/>
  </si>
  <si>
    <t>チェーンソーの駆動音が響き渡る
【現在HPの5割ダメージ】</t>
    <rPh sb="7" eb="10">
      <t>クド</t>
    </rPh>
    <rPh sb="11" eb="12">
      <t>ヒビk</t>
    </rPh>
    <rPh sb="17" eb="19">
      <t>ゲンザ</t>
    </rPh>
    <rPh sb="23" eb="24">
      <t>ワr</t>
    </rPh>
    <phoneticPr fontId="5"/>
  </si>
  <si>
    <t>2ターンの間パネルがプロテクトされてドロップ+
3回連続攻撃</t>
    <phoneticPr fontId="5"/>
  </si>
  <si>
    <t>はい、どうぞ！
【特定エリアを黄・ハートパネルに変換】</t>
    <rPh sb="9" eb="11">
      <t>トクテ</t>
    </rPh>
    <rPh sb="15" eb="16">
      <t>キ</t>
    </rPh>
    <phoneticPr fontId="5"/>
  </si>
  <si>
    <t>5ターンの間青パネルがプロテクトされてドロップ+
全体攻撃</t>
    <rPh sb="6" eb="7">
      <t>アオパn</t>
    </rPh>
    <phoneticPr fontId="5"/>
  </si>
  <si>
    <t>コアなファン</t>
    <phoneticPr fontId="5"/>
  </si>
  <si>
    <t>運命の男性を求め奔走するフォルトゥナ
知らぬ間に愛用の得物で
男性を怖がらせてしまっているため
本懐を遂げられずにいるようです</t>
    <phoneticPr fontId="5"/>
  </si>
  <si>
    <t>フォルトゥナ</t>
    <phoneticPr fontId="5"/>
  </si>
  <si>
    <t>ガーネット</t>
    <phoneticPr fontId="5"/>
  </si>
  <si>
    <t>ガーネットとフォルトゥナはかつて
同じ男性を取り合った恋敵…と思いきや
実はその男性は二人の物騒な武器を恐れ
逃げ出していました</t>
    <phoneticPr fontId="5"/>
  </si>
  <si>
    <t>恋敵</t>
    <phoneticPr fontId="5"/>
  </si>
  <si>
    <t>ジークフリートはHPが半分を切ると
攻撃力DOWNのスキルを使用します
攻撃力UPなどで対応し
スムーズに戦闘を進めましょう</t>
    <phoneticPr fontId="5"/>
  </si>
  <si>
    <t>イズンの2ゲージ目の開幕では
黄パネルを吸収し防御力をUPします
このスキルは特定のユニットを
連れて行くことで回避できます</t>
    <phoneticPr fontId="5"/>
  </si>
  <si>
    <t>ガーネットの3ゲージ目ではパネルを
プロテクトするスキルが多用されます
プロテクトに対応できるユニットを
連れて行きましょう</t>
    <phoneticPr fontId="5"/>
  </si>
  <si>
    <t>イズンの1ゲージ目では
スキルバインド攻撃を使用します
戦闘が長引いてしまう前に
スキルなどを使って突破しましょう</t>
    <phoneticPr fontId="5"/>
  </si>
  <si>
    <t>ガーネットの1ゲージ目では
エリア変換が多用されます
回復を忘れないように注意し
うまく利用しましょう</t>
    <phoneticPr fontId="5"/>
  </si>
  <si>
    <t>ガーネットの2ゲージ目では
ハートパネル無効が使用されます
スキルやCスキルなどで回復できる
ユニットがいると戦いやすくなります</t>
    <phoneticPr fontId="5"/>
  </si>
  <si>
    <t>お前、ちょっと下がってくれよ…
【2回連続攻撃+1ターン全ユニットにスキルバインド】</t>
  </si>
  <si>
    <t>あ…アサガオのブーケ、どうぞ！
【特定エリアを青・ハートパネルに変換+
　青・ハートパネルプロテクト(最大5個ずつ)】</t>
  </si>
  <si>
    <t>黄パネルプロテクト(最大8個)+クリティカル！</t>
  </si>
  <si>
    <t>青パネルプロテクト(最大8個)+全体攻撃</t>
  </si>
  <si>
    <t>属性パネルを青パネルに7個変換+2回連続攻撃</t>
  </si>
  <si>
    <t>属性パネルを青パネルに5個変換+
2回連続攻撃</t>
  </si>
  <si>
    <t>属性パネルを赤パネルに5個変換+
単体攻撃+1ターン行動頻度UP</t>
  </si>
  <si>
    <t>5ターン赤パネルはプロテクトされてドロップ</t>
  </si>
  <si>
    <t>属性パネルを赤パネルに5個変換+
2回連続攻撃</t>
  </si>
  <si>
    <t>特定エリアを赤パネルに変換+単体攻撃</t>
  </si>
  <si>
    <t>属性パネルプロテクト(最大10個)+
残りHPの40%ダメージ！</t>
  </si>
  <si>
    <t>赤パネルプロテクト+単体攻撃</t>
  </si>
  <si>
    <t>2ターンハートパネル無効+
2ターンハートパネルドロップ率UP</t>
  </si>
  <si>
    <t>チェーンソーの駆動音が響き渡る
【残りHPの40%ダメージ！】</t>
  </si>
  <si>
    <t>2ターン属性パネルは確率でプロテクトされてドロップ+
3回連続攻撃</t>
  </si>
  <si>
    <t>赤パネルプロテクト+
残りHPの40%ダメージ！</t>
  </si>
  <si>
    <t>特定エリアを赤パネルに変換+
赤パネルプロテクト(最大8個)+単体攻撃</t>
  </si>
  <si>
    <t>青パネルプロテクト(最大10個)+
4回連続攻撃</t>
  </si>
  <si>
    <t>3ターン赤パネルはプロテクトされてドロップ</t>
  </si>
  <si>
    <t>5ターン青パネルはプロテクトされてドロップ+
全体攻撃</t>
  </si>
  <si>
    <t>特定エリアを赤パネルに変換+
残りHPの50%ダメージ！</t>
  </si>
  <si>
    <t>赤・黄パネルプロテクト(最大6個ずつ)+
残りHPの40%ダメージ！</t>
  </si>
  <si>
    <t>4ターンCパネル生成短縮(効果大)</t>
  </si>
  <si>
    <t>赤パネルプロテクト(最大3個)+単体攻撃</t>
  </si>
  <si>
    <t>赤・黄パネルプロテクト(最大3個ずつ)+
残りHPの30%ダメージ！</t>
  </si>
  <si>
    <t>青パネルプロテクト(最大4個)+単体攻撃</t>
  </si>
  <si>
    <t>黄パネルプロテクト(最大3個)+クリティカル！</t>
  </si>
  <si>
    <t>青パネルプロテクト(最大2個)+全体攻撃</t>
  </si>
  <si>
    <t>3ターン赤パネルは確率でプロテクトされてドロップ</t>
  </si>
  <si>
    <t>属性パネルプロテクト(最大6個)+
残りHPの40%ダメージ！</t>
  </si>
  <si>
    <t>赤パネルプロテクト(最大6個)+単体攻撃</t>
  </si>
  <si>
    <t>1ターンハートパネル無効+
2ターンハートパネルドロップ率UP</t>
  </si>
  <si>
    <t>赤パネルプロテクト(最大4個)+
残りHPの30%ダメージ！</t>
  </si>
  <si>
    <t>特定エリアを赤パネルに変換+
赤パネルプロテクト(最大4個)+単体攻撃</t>
  </si>
  <si>
    <t>青パネルプロテクト(最大5個)+4回連続攻撃</t>
  </si>
  <si>
    <t>2ターン赤パネルは確率でプロテクトされてドロップ</t>
  </si>
  <si>
    <t>2ターン青パネルは確率でプロテクトされてドロップ+
全体攻撃</t>
  </si>
  <si>
    <t>特定エリアを赤パネルに変換+
残りHPの30%ダメージ！</t>
  </si>
  <si>
    <t>全ユニットのスキルターンを3ターン短縮</t>
  </si>
  <si>
    <t>シャクナゲって知ってるか…？</t>
  </si>
  <si>
    <t>お前にこれが壊せるか…！</t>
  </si>
  <si>
    <t>さぁ、熱くなってきたな…</t>
  </si>
  <si>
    <t>邪魔しないでくれよ…！</t>
  </si>
  <si>
    <t>3ターン全ユニットの攻撃力50%DOWN+単体攻撃</t>
  </si>
  <si>
    <t>お、音につられて来ちゃいました…</t>
  </si>
  <si>
    <t>ひゃあっ！こ、怖いです〜！</t>
  </si>
  <si>
    <t>この音なんなんですか〜！</t>
  </si>
  <si>
    <t>うう、耳ふさぎたいです〜…</t>
  </si>
  <si>
    <t>花束で耳を塞いでいる
【特定エリアを青・黄パネルに変換+
　1ターンユニット1～2体にスキルバインド+
　2回連続攻撃】</t>
  </si>
  <si>
    <t>そういえばプレゼントですよ〜</t>
  </si>
  <si>
    <t>スイレンのブーケもあるんです〜
【特定エリアをハートパネルに変換】</t>
  </si>
  <si>
    <t>き、聞き慣れない機械音ですね…</t>
  </si>
  <si>
    <t>青パネルプロテクト+単体攻撃</t>
  </si>
  <si>
    <t>わわ、音が大きいです…！</t>
  </si>
  <si>
    <t>4回連続攻撃</t>
  </si>
  <si>
    <t>え、あの音止めてくださるんですか…？</t>
  </si>
  <si>
    <t>も、もう帰っちゃダメですか〜！？</t>
  </si>
  <si>
    <t>こ、怖いのはいやです〜！</t>
  </si>
  <si>
    <t>あの音どうにかならないんですか〜！
【3ターン黄パネルを吸収して防御力UP】</t>
  </si>
  <si>
    <t>ぼ、暴力はいけません！</t>
  </si>
  <si>
    <t>3ターン全ユニットの攻撃力50%DOWN+
Cパネルプロテクト</t>
  </si>
  <si>
    <t>サザンカのブーケですよ〜！</t>
  </si>
  <si>
    <t>はい、どうぞ！
【特定エリアを黄・ハートパネルに変換】</t>
  </si>
  <si>
    <t>い、痛いのは嫌です…！</t>
  </si>
  <si>
    <t>こっちこないでください〜！</t>
  </si>
  <si>
    <t>お、お返しです…！</t>
  </si>
  <si>
    <t>お花にまみれてください〜！</t>
  </si>
  <si>
    <t>ん？あたしに用事？</t>
  </si>
  <si>
    <t>状態異常耐性+
特定エリアを赤・緑パネルに変換</t>
  </si>
  <si>
    <t>さぁ、これを凌げるかしら！</t>
  </si>
  <si>
    <t>この衣装、可愛いでしょ？</t>
  </si>
  <si>
    <t>あたしの心は燃えてるのよ！</t>
  </si>
  <si>
    <t>一緒にレッドカーペットを歩きましょ？</t>
  </si>
  <si>
    <t>派手に楽しまなきゃ！</t>
  </si>
  <si>
    <t>あれ、まだ続けるの？</t>
  </si>
  <si>
    <t>状態異常耐性+
特定エリアを赤パネルに変換</t>
  </si>
  <si>
    <t>いいわ、そういうの燃えてくる！</t>
  </si>
  <si>
    <t>よそ見の暇なんてないわよ！</t>
  </si>
  <si>
    <t>あたしの得物はどうかしら！</t>
  </si>
  <si>
    <t>まだ終わらないのよ！</t>
  </si>
  <si>
    <t>障害があったほうが燃えるでしょ？</t>
  </si>
  <si>
    <t>まだまだここからよ！</t>
  </si>
  <si>
    <t>いいわね、とっても楽しい！</t>
  </si>
  <si>
    <t>チェーンソーの一閃</t>
  </si>
  <si>
    <t>耐えられるかしら？</t>
  </si>
  <si>
    <t>2回連続攻撃</t>
  </si>
  <si>
    <t>熱い恋したいじゃない！</t>
  </si>
  <si>
    <t>あたしの得物も喜んでるわ！</t>
  </si>
  <si>
    <t>冷めちゃうのは勘弁よ？</t>
  </si>
  <si>
    <t>まだまだ熱くなりたいの！</t>
  </si>
  <si>
    <t>最高のブーケをあげるわ！</t>
  </si>
  <si>
    <t>楽しませてくれたお礼！
【特定エリアを赤・青・黄・ハートパネルに変換】</t>
  </si>
  <si>
    <t>久しぶりに燃えたわ…</t>
  </si>
  <si>
    <t>楽しい時間だった、また会いたいわね</t>
  </si>
  <si>
    <t>あ…アサガオのブーケ、どうぞ！
【特定エリアを青・ハートパネルに変換】</t>
  </si>
  <si>
    <t>2ターン全ユニットの攻撃力50%DOWN+
Cパネルプロテクト</t>
  </si>
  <si>
    <t>状態異常耐性+2ターン攻撃力UP+
2ターン全ユニットの攻撃力50%DOWN</t>
  </si>
  <si>
    <t>[effect:enemy_message, val1:1.2, val2:2.5],[effect:attack_break, target:unit_all, turn:3, val:0.5, calc:mul, animation:attack_break02],[effect:rush, count:1, val:0.7]</t>
  </si>
  <si>
    <t>[effect:enemy_message, val1:1.2, val2:2.2],[effect:force_change_block, new_block:block_blue, target:normal, count:5, val:0, animation:change_block],[effect:rush, count:2, val:0.4]</t>
  </si>
  <si>
    <t>[effect:enemy_message, val1:1.4, val2:3.2],[effect:change_range_block, block_change:1, base_type:0, square_count:5, position01:6, value_h01:4.0, value_w01:3.0, new_block:block_heart, target:normal, count:0, val:0, animation:change_range_block]</t>
  </si>
  <si>
    <t>[effect:enemy_message, val1:1.2, val2:1.2],[effect:rush, count:4, val:0.2]</t>
  </si>
  <si>
    <t>[effect:enemy_message, val1:1.8, val2:1.7],[effect:crash_condition, target:unit_all, turn:4, val:-2, animation:crash_panel_reduce03],[effect:fix_speed, target:myself, turn:1]</t>
  </si>
  <si>
    <t>[effect:enemy_message, val1:1.6, val2:1.6],[effect:fix_speed, target:myself, turn:1]</t>
  </si>
  <si>
    <t>[effect:enemy_message, val1:1.2, val2:3.7],[effect:fix_speed, target:myself, turn:1],[effect:break_enchance_enemy, target:myself, val:500, lowest_val:0, count:-1, status:defense, turn:3, block01:block_yellow, calc:add, animation:enemy_enhance_defense]</t>
  </si>
  <si>
    <t>[effect:enemy_message, val1:1.2, val2:3.0],[effect:attack_break, target:unit_all, turn:3, val:0.5, calc:mul, animation:attack_break02],[effect:panel_freeze, target:crash, count:-1]</t>
  </si>
  <si>
    <t>[effect:enemy_message, val1:1.3, val2:2.6],[effect:change_range_block, block_change:1, base_type:0, square_count:5, position01:6, value_h01:4.0, value_w01:3.0, new_block:block_heart, target:normal, count:0, val:0, animation:change_range_block],[effect:change_range_block, block_change:1, base_type:0, square_count:5, position01:12, value_h01:2, value_w01:1, new_block:block_yellow, target:normal, ignore01:block_positive, count:0, val:0, animation:change_range_block]</t>
  </si>
  <si>
    <t>[effect:enemy_message, val1:1.2, val2:2.2],[effect:force_change_block, new_block:block_blue, target:normal, count:7, val:0, animation:change_block],[effect:rush, count:2, val:0.4]</t>
  </si>
  <si>
    <t>[effect:enemy_message, val1:1.2, val2:2.2],[effect:tolerance, target:myself, turn:-1, count:-1, tolerance_effect:all, animation:enemy_tolerance],[effect:change_range_block, block_change:1, base_type:0, square_count:2, position01:0, value_h01:2, value_w01:1, new_block:block_red, target:block_all, ignore01:block_positive, count:0, val:0, animation:change_range_block],[effect:change_range_block, block_change:1, base_type:0, square_count:2, position01:1, value_h01:2, value_w01:1, new_block:block_green, target:block_all, ignore01:block_positive, count:0, val:0, animation:change_range_block],[effect:fix_speed, target:myself, turn:2]</t>
  </si>
  <si>
    <t>[effect:enemy_message, val1:1.3, val2:2.1],[effect:drop_freeze, turn:5, block_type:normal, block_color:block_red, rate:1.0, animation:drop_protect]</t>
  </si>
  <si>
    <t>[effect:enemy_message, val1:1.8, val2:1.8],[effect:change_range_block, block_change:1, base_type:0, square_count:5, position01:0, position02:2, position03:4, value_h01:5, value_h02:5, value_h03:5, value_w01:1, value_w02:1, value_w03:1, new_block:block_red, target:normal, count:0, val:0, animation:change_range_block],[effect:rush, count:1, val:0.7]</t>
  </si>
  <si>
    <t>[effect:enemy_message, val1:1.2, val2:3.1],[effect:panel_freeze, target:normal, count:10],[effect:damage_gravity, val:0.4, animation:fevergauge_down]</t>
  </si>
  <si>
    <t>[effect:enemy_message, val1:1.2, val2:2.0],[effect:tolerance, target:myself, turn:-1, count:-1, tolerance_effect:all, animation:enemy_tolerance],[effect:change_range_block, block_change:1, base_type:1, square_count:5, position01:12, value_rad01:5.0,  new_block:block_red, target:normal, count:0, val:0, animation:change_range_block],[effect:fix_speed, target:myself, turn:1]</t>
  </si>
  <si>
    <t>[effect:enemy_message, val1:1.6, val2:3.2],[effect:drop_freeze, turn:2, block_type:normal, rate:0.4, animation:drop_protect],[effect:rush, count:3, val:0.25]</t>
  </si>
  <si>
    <t>[effect:enemy_message, val1:1.2, val2:1.2],[effect:rush, count:2, val:0.44]</t>
  </si>
  <si>
    <t>[effect:enemy_message, val1:1.3, val2:2.1],[effect:drop_freeze, turn:3, block_type:normal, block_color:block_red, rate:1.0, animation:drop_protect]</t>
  </si>
  <si>
    <t>[effect:enemy_message, val1:1.2, val2:2.6],[effect:drop_freeze, turn:5, block_type:normal, block_color:block_blue, rate:1.0, animation:drop_protect],[effect:spread, val:0.2]</t>
  </si>
  <si>
    <t>[effect:enemy_message, val1:1.2, val2:2.7],[effect:change_range_block, block_change:1, base_type:0, square_count:5, position01:6, value_h01:4.0, value_w01:3.0, new_block:block_red, target:normal, count:0, val:0, animation:change_range_block],[effect:damage_gravity, val:0.5, animation:fevergauge_down]</t>
  </si>
  <si>
    <t>[effect:enemy_message, val1:1.2, val2:3.4],[effect:change_range_block, block_change:1, base_type:0, square_count:2, position01:0, value_h01:1, value_w01:1, new_block:block_red, target:block_all, ignore01:block_positive, count:0, val:0, animation:change_range_block],[effect:change_range_block, block_change:1, base_type:0, square_count:2, position01:1, value_h01:1, value_w01:1, new_block:block_heart, target:block_all, ignore01:block_positive, count:0, val:0, animation:change_range_block],[effect:change_range_block, block_change:1, base_type:0, square_count:2, position01:2, value_h01:1, value_w01:1, new_block:block_yellow, target:block_all, ignore01:block_positive, count:0, val:0, animation:change_range_block],[effect:change_range_block, block_change:1, base_type:0, square_count:2, position01:3, value_h01:1, value_w01:1, new_block:block_blue, target:block_all, ignore01:block_positive, count:0, val:0, animation:change_range_block]</t>
  </si>
  <si>
    <t>[effect:enemy_message, val1:1.2, val2:3.1],[effect:force_change_block, new_block:block_red, target:normal, count:5, val:0, animation:change_block],[effect:rush, count:1, val:0.6],[effect:freq_turn, target:myself, turn:1, val:1, animation:enemy_freq_turn]</t>
  </si>
  <si>
    <t>[effect:enemy_message, val1:1.2, val2:3.7],[effect:fix_speed, target:myself, turn:1],[effect:break_enchance_enemy, target:myself, val:250, lowest_val:0, count:-1, status:defense, turn:3, block01:block_yellow, calc:add, animation:enemy_enhance_defense]</t>
  </si>
  <si>
    <t>[effect:enemy_message, val1:1.2, val2:3.0],[effect:attack_break, target:unit_all, turn:2, val:0.5, calc:mul, animation:attack_break02],[effect:panel_freeze, target:crash, count:-1]</t>
  </si>
  <si>
    <t>[effect:enemy_message, val1:1.2, val2:3.0],[effect:panel_freeze, target:normal, count:6],[effect:damage_gravity, val:0.4, animation:fevergauge_down]</t>
  </si>
  <si>
    <t>[effect:enemy_message, val1:1.3, val2:3.0],[effect:dis_heart, turn:1, animation:enemy_dis_heart],[effect:change_panel_ratio, turn:2, block_type:heal, val:0.5, animation:block_incidence04]</t>
  </si>
  <si>
    <t>[effect:enemy_message, val1:1.3, val2:3.0],[effect:damage_gravity, val:0.4, animation:fevergauge_down]</t>
  </si>
  <si>
    <t>[effect:enemy_message, val1:1.6, val2:3.2],[effect:drop_freeze, turn:2, block_type:normal, rate:0.2, animation:drop_protect],[effect:rush, count:3, val:0.25]</t>
  </si>
  <si>
    <t>[effect:enemy_message, val1:1.3, val2:2.4],[effect:drop_freeze, turn:2, block_type:normal, block_color:block_red, rate:0.5, animation:drop_protect]</t>
  </si>
  <si>
    <t>[effect:enemy_message, val1:1.2, val2:2.9],[effect:drop_freeze, turn:2, block_type:normal, block_color:block_blue, rate:0.5, animation:drop_protect],[effect:spread, val:0.15]</t>
  </si>
  <si>
    <t>俺を…楽しませてくれよ！
【特定エリアをハートパネルに変換+単体攻撃】</t>
    <phoneticPr fontId="5"/>
  </si>
  <si>
    <t>巨大なチェーンソーを片手に現れ
会場を騒然とさせたガーネット
周囲を怖がらせるつもりはなく
コスプレ感覚で楽しんでいたようです</t>
    <phoneticPr fontId="5"/>
  </si>
  <si>
    <t>巨大なチェーンソーを片手に
突如現れたガーネット
その物騒な姿に周囲は困惑しきりでしたが
一部のアバターからは好評のようでした</t>
    <phoneticPr fontId="5"/>
  </si>
  <si>
    <t>巨大なチェーンソーを片手に現れ
会場を騒然とさせたガーネット
周囲を怖がらせるつもりはなく
コスプレ感覚で楽しんでいたようです</t>
    <phoneticPr fontId="5"/>
  </si>
  <si>
    <t>巨大なチェーンソーを片手に
突如現れたガーネット
その物騒な姿に周囲は困惑しきりでしたが
一部のアバターからは好評のようでした</t>
    <phoneticPr fontId="5"/>
  </si>
  <si>
    <t>人が多くてよく見えねぇ…</t>
    <phoneticPr fontId="5"/>
  </si>
  <si>
    <t>せ、せっかくのイベントなのに〜！</t>
    <phoneticPr fontId="5"/>
  </si>
  <si>
    <t>よそ見する暇なんてないわよ！</t>
    <phoneticPr fontId="5"/>
  </si>
  <si>
    <t>[effect:enemy_message, val1:1.4, val2:3.0],[effect:dis_heart, turn:2, animation:enemy_dis_heart],[effect:change_panel_ratio, turn:2, block_type:heal, val:0.5, animation:block_incidence04]</t>
    <phoneticPr fontId="5"/>
  </si>
  <si>
    <t>あたしの得物はどうかしら！</t>
    <phoneticPr fontId="5"/>
  </si>
  <si>
    <t>ドレスとチェーンソー…
すげぇ組み合わせだよな</t>
    <phoneticPr fontId="5"/>
  </si>
  <si>
    <t>[effect:enemy_message, val1:1.8, val2:1.9],[effect:sp_boost, target:unit_all, val:3, animation:sp_boost_one02],[effect:fix_speed, target:myself, turn:2]</t>
    <phoneticPr fontId="5"/>
  </si>
  <si>
    <t>お前もあの轟音に惹かれて来たのか…？</t>
    <phoneticPr fontId="5"/>
  </si>
  <si>
    <t>なんだ、お前もあいつを見にきたのか？</t>
    <phoneticPr fontId="5"/>
  </si>
  <si>
    <t>[effect:enemy_message, val1:1.8, val2:2.2],[effect:fix_speed, target:myself, turn:2]</t>
    <phoneticPr fontId="5"/>
  </si>
  <si>
    <t>お、新たな見物客か？</t>
    <phoneticPr fontId="5"/>
  </si>
  <si>
    <t>見ろよ、あのでけぇチェーンソー！</t>
    <phoneticPr fontId="5"/>
  </si>
  <si>
    <t>[effect:enemy_message, val1:1.2, val2:1.6],[effect:fix_speed, target:myself, turn:2]</t>
    <phoneticPr fontId="5"/>
  </si>
  <si>
    <t>full_member</t>
    <phoneticPr fontId="5"/>
  </si>
  <si>
    <t>unit</t>
  </si>
  <si>
    <t>item</t>
    <phoneticPr fontId="5"/>
  </si>
  <si>
    <t>[effect:enemy_message, val1:1.4, val2:3.4],[effect:change_range_block, block_change:1, base_type:0, square_count:5, position01:6, value_h01:4.0, value_w01:3.0, new_block:block_heart, target:normal, count:0, val:0, animation:change_range_block],[effect:rush, count:1, val:0.7]</t>
    <phoneticPr fontId="5"/>
  </si>
  <si>
    <t>[effect:enemy_message, val1:1.2, val2:4.1],[effect:rush, count:2, val:0.4],[effect:hungup, target:unit_all, turn:1, rate:1, animation:hungup01]</t>
    <phoneticPr fontId="5"/>
  </si>
  <si>
    <t>[effect:enemy_message, val1:1.7, val2:2.2]</t>
    <phoneticPr fontId="5"/>
  </si>
  <si>
    <t>ガーネットの2ゲージ目では
ハートパネル無効が使用されます
スキルやCスキルなどで回復できる
ユニットがいるといいでしょう</t>
    <phoneticPr fontId="5"/>
  </si>
  <si>
    <t>[effect:enemy_message, val1:1.2, val2:3.1],[effect:force_change_block, new_block:block_red, target:normal, count:5, val:0, animation:change_block],[effect:rush, count:1, val:0.7],[effect:freq_turn, target:myself, turn:1, val:1, animation:enemy_freq_turn]</t>
    <phoneticPr fontId="5"/>
  </si>
  <si>
    <t>[effect:enemy_message, val1:1.3, val2:5.7],[effect:change_range_block, block_change:1, base_type:0, square_count:2, position01:0, value_h01:2, value_w01:1, new_block:block_blue, target:block_all, ignore01:block_positive, count:0, val:0, animation:change_range_block],[effect:change_range_block, block_change:1, base_type:0, square_count:2, position01:1, value_h01:2, value_w01:1, new_block:block_yellow, target:block_all, ignore01:block_positive, count:0, val:0, animation:change_range_block],[effect:damage_abnormal, target:unit_one, val:0.45, status:hungup, turn:1, animation:hungup01],[effect:damage_abnormal, target:unit_one, val:0.45, status:hungup, turn:1, animation:hungup01]</t>
    <phoneticPr fontId="5"/>
  </si>
  <si>
    <t>[effect:enemy_message, val1:1.3, val2:2.1],[effect:force_change_block, new_block:block_red, target:block_blue, count:5, val:0, animation:change_block],[effect:rush, count:1, val:0.7]</t>
    <phoneticPr fontId="5"/>
  </si>
  <si>
    <t>[effect:enemy_message, val1:1.3, val2:3.7],[effect:tolerance, target:myself, turn:-1, count:-1, tolerance_effect:all, animation:enemy_tolerance],[effect:enhance_enemy, target:myself, turn:2, status:attack, val:0.03, calc:mul, animation:enemy_enhance_attack],[effect:attack_break, target:unit_all, turn:3, val:0.5, calc:mul, animation:attack_break02],[effect:fix_speed, target:myself, turn:1]</t>
    <phoneticPr fontId="5"/>
  </si>
  <si>
    <t>状態異常耐性+2ターン攻撃力UP+
3ターン全ユニットの攻撃力50%DOWN</t>
    <phoneticPr fontId="5"/>
  </si>
  <si>
    <t>[effect:enemy_message, val1:1.2, val2:2.1],[effect:force_change_block, new_block:block_red, target:block_blue, count:5, val:0, animation:change_block],[effect:rush, count:1, val:0.7]</t>
    <phoneticPr fontId="5"/>
  </si>
  <si>
    <t>青パネルを赤パネルに5個変換+単体攻撃</t>
    <phoneticPr fontId="5"/>
  </si>
  <si>
    <t>[effect:enemy_message, val1:1.2, val2:2.2],[effect:attack_break, target:unit_all, turn:2, val:0.5, calc:mul, animation:attack_break02],[effect:rush, count:1, val:0.7]</t>
    <phoneticPr fontId="5"/>
  </si>
  <si>
    <t>2ターン全ユニットの攻撃力50%DOWN+単体攻撃</t>
    <rPh sb="4" eb="5">
      <t>ゼンユn</t>
    </rPh>
    <phoneticPr fontId="5"/>
  </si>
  <si>
    <t>[effect:enemy_message, val1:1.3, val2:2.4],[effect:drop_freeze, turn:3, block_type:normal, block_color:block_red, rate:0.4, animation:drop_protect]</t>
    <phoneticPr fontId="5"/>
  </si>
  <si>
    <t>[effect:enemy_message, val1:1.3, val2:3.7],[effect:tolerance, target:myself, turn:-1, count:-1, tolerance_effect:all, animation:enemy_tolerance],[effect:enhance_enemy, target:myself, turn:2, status:attack, val:0.03, calc:mul, animation:enemy_enhance_attack],[effect:attack_break, target:unit_all, turn:2, val:0.5, calc:mul, animation:attack_break02],[effect:fix_speed, target:myself, turn:1]</t>
    <phoneticPr fontId="5"/>
  </si>
  <si>
    <t>[effect:enemy_message, val1:1.2, val2:1.4],[effect:panel_freeze, target:normal, color:block_red, count:-1],[effect:rush, count:1, val:0.7]</t>
    <phoneticPr fontId="5"/>
  </si>
  <si>
    <t>[effect:enemy_message, val1:1.3, val2:3.3],[effect:damage_gravity, val:0.4, animation:fevergauge_down],[effect:panel_freeze, target:normal, color:block_red, count:6],[effect:panel_freeze, target:normal, color:block_yellow, count:6]</t>
    <phoneticPr fontId="5"/>
  </si>
  <si>
    <t>[effect:enemy_message, val1:1.5, val2:1.4],[effect:panel_freeze, target:normal, color:block_blue, count:-1],[effect:rush, count:1, val:0.7]</t>
    <phoneticPr fontId="5"/>
  </si>
  <si>
    <t>[effect:enemy_message, val1:1.2, val2:2.3],[effect:panel_freeze, target:normal, color:block_yellow, count:8],[effect:critical, val:1.2, animation:enemy_critical]</t>
    <phoneticPr fontId="5"/>
  </si>
  <si>
    <t>[effect:enemy_message, val1:1.3, val2:2.0],[effect:panel_freeze, target:normal, color:block_blue, count:8],[effect:spread, val:0.23]</t>
    <phoneticPr fontId="5"/>
  </si>
  <si>
    <t>[effect:enemy_message, val1:1.3, val2:4.2],[effect:change_range_block, block_change:1, base_type:0, square_count:5, position01:6, value_h01:4.0, value_w01:3.0, new_block:block_blue, target:normal, count:0, val:0, animation:change_range_block],[effect:panel_freeze, target:normal, color:block_blue, count:-1],[effect:rush, count:1, val:0.7]</t>
    <phoneticPr fontId="5"/>
  </si>
  <si>
    <t>[effect:enemy_message, val1:1.5, val2:1.4],[effect:panel_freeze, target:normal, color:block_red, count:-1],[effect:rush, count:1, val:0.7]</t>
    <phoneticPr fontId="5"/>
  </si>
  <si>
    <t>[effect:enemy_message, val1:1.2, val2:2.3],[effect:panel_freeze, target:normal, color:block_red, count:-1],[effect:damage_gravity, val:0.4, animation:fevergauge_down]</t>
    <phoneticPr fontId="5"/>
  </si>
  <si>
    <t>[effect:enemy_message, val1:1.2, val2:3.4],[effect:change_range_block, block_change:1, base_type:0, square_count:5, position01:5, position02:15, value_h01:1, value_h02:1, value_w01:5, value_w02:5,  new_block:block_red, target:normal, count:0, val:0, animation:change_range_block],[effect:panel_freeze, target:normal, color:block_red, count:8],[effect:rush, count:1, val:0.7]</t>
    <phoneticPr fontId="5"/>
  </si>
  <si>
    <t>[effect:enemy_message, val1:1.2, val2:2.3],[effect:panel_freeze, target:normal, color:block_blue, count:10],[effect:rush, count:4, val:0.15]</t>
    <phoneticPr fontId="5"/>
  </si>
  <si>
    <t>[effect:enemy_message, val1:1.3, val2:3.3],[effect:damage_gravity, val:0.3, animation:fevergauge_down],[effect:panel_freeze, target:normal, color:block_red, count:3],[effect:panel_freeze, target:normal, color:block_yellow, count:3]</t>
    <phoneticPr fontId="5"/>
  </si>
  <si>
    <t>[effect:enemy_message, val1:1.5, val2:2.0],[effect:panel_freeze, target:normal, color:block_blue, count:4],[effect:rush, count:1, val:0.7]</t>
    <phoneticPr fontId="5"/>
  </si>
  <si>
    <t>[effect:enemy_message, val1:1.2, val2:2.3],[effect:panel_freeze, target:normal, color:block_yellow, count:3],[effect:critical, val:1.1, animation:enemy_critical]</t>
    <phoneticPr fontId="5"/>
  </si>
  <si>
    <t>[effect:enemy_message, val1:1.3, val2:4.8],[effect:change_range_block, block_change:1, base_type:0, square_count:5, position01:6, value_h01:4.0, value_w01:3.0, new_block:block_blue, target:normal, count:0, val:0, animation:change_range_block],[effect:panel_freeze, target:normal, color:block_blue, count:5],[effect:rush, count:1, val:0.7]</t>
    <phoneticPr fontId="5"/>
  </si>
  <si>
    <t>[effect:enemy_message, val1:1.5, val2:2.0],[effect:panel_freeze, target:normal, color:block_red, count:6],[effect:rush, count:1, val:0.7]</t>
    <phoneticPr fontId="5"/>
  </si>
  <si>
    <t>[effect:enemy_message, val1:1.2, val2:2.9],[effect:panel_freeze, target:normal, color:block_red, count:4],[effect:damage_gravity, val:0.3, animation:fevergauge_down]</t>
    <phoneticPr fontId="5"/>
  </si>
  <si>
    <t>[effect:enemy_message, val1:1.2, val2:3.4],[effect:change_range_block, block_change:1, base_type:0, square_count:5, position01:5, position02:15, value_h01:1, value_h02:1, value_w01:5, value_w02:5,  new_block:block_red, target:normal, count:0, val:0, animation:change_range_block],[effect:panel_freeze, target:normal, color:block_red, count:4],[effect:rush, count:1, val:0.6]</t>
    <phoneticPr fontId="5"/>
  </si>
  <si>
    <t>[effect:enemy_message, val1:1.2, val2:2.2],[effect:panel_freeze, target:normal, color:block_blue, count:5],[effect:rush, count:4, val:0.13]</t>
    <phoneticPr fontId="5"/>
  </si>
  <si>
    <t>[effect:enemy_message, val1:1.6, val2:3.4],[effect:change_range_block, block_change:1, base_type:0, square_count:5, position01:6, value_h01:4.0, value_w01:3.0, new_block:block_blue, target:normal, count:0, val:0, animation:change_range_block],[effect:change_range_block, block_change:1, base_type:0, square_count:5, position01:12, value_h01:2, value_w01:1, new_block:block_heart, target:normal, ignore01:block_positive, count:0, val:0, animation:change_range_block],[effect:fix_speed, target:myself, turn:2]</t>
    <phoneticPr fontId="5"/>
  </si>
  <si>
    <t>[effect:enemy_message, val1:1.2, val2:2.2],[effect:force_change_block, new_block:block_red, target:normal, count:5, val:0, animation:change_block],[effect:rush, count:2, val:0.4]</t>
    <phoneticPr fontId="5"/>
  </si>
  <si>
    <t>[effect:enemy_message, val1:1.3, val2:2.0],[effect:panel_freeze, target:normal, color:block_blue, count:2],[effect:spread, val:0.23]</t>
    <phoneticPr fontId="5"/>
  </si>
  <si>
    <t>[effect:enemy_message, val1:1.2, val2:2.0],[effect:panel_freeze, target:normal, color:block_red, count:3],[effect:rush, count:1, val:0.7]</t>
    <phoneticPr fontId="5"/>
  </si>
  <si>
    <t>[effect:enemy_message, val1:1.3, val2:3.0],[effect:damage_gravity, val:0.4, animation:fevergauge_down]</t>
    <phoneticPr fontId="5"/>
  </si>
  <si>
    <t>[effect:enemy_message, val1:1.6, val2:5.7],[effect:change_range_block, block_change:1, base_type:0, square_count:5, position01:6, value_h01:4, value_w01:3, new_block:block_blue, target:normal, count:0, val:0, animation:change_range_block],[effect:change_range_block, block_change:1, base_type:0, square_count:5, position01:12, value_h01:2, value_w01:1, new_block:block_heart, target:normal, count:0, val:0, animation:change_range_block],[effect:panel_freeze, target:normal, color:block_blue, count:5],[effect:panel_freeze, target:normal, color:block_heart, count:5],[effect:fix_speed, target:myself, turn:2]</t>
    <phoneticPr fontId="5"/>
  </si>
  <si>
    <t>[effect:enemy_message, val1:1.2, val2:2.7],[effect:change_range_block, block_change:1, base_type:0, square_count:5, position01:6, value_h01:4.0, value_w01:3.0, new_block:block_red, target:normal, count:0, val:0, animation:change_range_block],[effect:damage_gravity, val:0.3, animation:fevergauge_down]</t>
    <phoneticPr fontId="5"/>
  </si>
  <si>
    <t>祝福の青いバラです〜！
【特定エリアを青パネルに変換+
　青パネルプロテクト+単体攻撃】</t>
    <rPh sb="0" eb="2">
      <t>シュクフ</t>
    </rPh>
    <rPh sb="3" eb="4">
      <t>ア</t>
    </rPh>
    <phoneticPr fontId="5"/>
  </si>
  <si>
    <t>祝福の青いバラです〜！
【特定エリアを青パネルに変換+
　青パネルプロテクト(最大5個)+単体攻撃】</t>
    <rPh sb="0" eb="2">
      <t>シュk</t>
    </rPh>
    <rPh sb="3" eb="4">
      <t>アオ</t>
    </rPh>
    <phoneticPr fontId="5"/>
  </si>
  <si>
    <t>ガーネットとフォルトゥナはかつて
同じ想い人を取り合った恋敵でした
実はその男性は二人の物騒な武器を恐れ
逃げ出していました</t>
    <rPh sb="19" eb="20">
      <t>オモ</t>
    </rPh>
    <phoneticPr fontId="5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</si>
</sst>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_);[Red]\(0\)"/>
    <numFmt numFmtId="177" formatCode="0.0"/>
  </numFmts>
  <fonts count="52" x14ac:knownFonts="1"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sz val="6"/>
      <name val="ＭＳ Ｐゴシック"/>
      <family val="2"/>
      <charset val="128"/>
    </font>
    <font>
      <sz val="10"/>
      <color rgb="FF000000"/>
      <name val="ＭＳ Ｐゴシック"/>
      <family val="3"/>
      <charset val="128"/>
    </font>
    <font>
      <u/>
      <sz val="12"/>
      <color theme="10"/>
      <name val="ＭＳ Ｐゴシック"/>
      <family val="2"/>
      <charset val="128"/>
      <scheme val="minor"/>
    </font>
    <font>
      <u/>
      <sz val="12"/>
      <color theme="11"/>
      <name val="ＭＳ Ｐゴシック"/>
      <family val="2"/>
      <charset val="128"/>
      <scheme val="minor"/>
    </font>
    <font>
      <sz val="10"/>
      <color rgb="FF000000"/>
      <name val="ＭＳ Ｐゴシック"/>
      <family val="3"/>
      <charset val="128"/>
      <scheme val="minor"/>
    </font>
    <font>
      <sz val="10"/>
      <color theme="0"/>
      <name val="ＭＳ Ｐゴシック"/>
      <family val="3"/>
      <charset val="128"/>
    </font>
    <font>
      <sz val="12"/>
      <color theme="0"/>
      <name val="ＭＳ Ｐゴシック"/>
      <family val="2"/>
      <charset val="128"/>
      <scheme val="minor"/>
    </font>
    <font>
      <sz val="10"/>
      <color theme="0"/>
      <name val="ＭＳ Ｐゴシック"/>
      <family val="3"/>
      <charset val="128"/>
      <scheme val="minor"/>
    </font>
    <font>
      <b/>
      <sz val="10"/>
      <color indexed="81"/>
      <name val="ＭＳ Ｐゴシック"/>
      <family val="2"/>
      <charset val="128"/>
    </font>
    <font>
      <sz val="10"/>
      <color theme="1"/>
      <name val="ＭＳ Ｐゴシック"/>
      <family val="3"/>
      <charset val="128"/>
      <scheme val="minor"/>
    </font>
    <font>
      <sz val="10"/>
      <color indexed="81"/>
      <name val="ＭＳ Ｐゴシック"/>
      <family val="3"/>
      <charset val="128"/>
    </font>
    <font>
      <sz val="10"/>
      <color indexed="8"/>
      <name val="Arial"/>
      <family val="2"/>
    </font>
    <font>
      <sz val="12"/>
      <color indexed="8"/>
      <name val="Times New Roman"/>
      <family val="1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8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indexed="8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2"/>
      <color rgb="FF000000"/>
      <name val="ＭＳ Ｐゴシック"/>
      <family val="3"/>
      <charset val="128"/>
      <scheme val="minor"/>
    </font>
    <font>
      <sz val="12"/>
      <name val="ＭＳ Ｐゴシック"/>
      <family val="3"/>
      <charset val="128"/>
      <scheme val="minor"/>
    </font>
    <font>
      <sz val="10"/>
      <color rgb="FF000000"/>
      <name val="Arial"/>
      <family val="2"/>
    </font>
    <font>
      <sz val="10"/>
      <color indexed="8"/>
      <name val="ＭＳ Ｐゴシック"/>
      <family val="3"/>
      <charset val="128"/>
      <scheme val="minor"/>
    </font>
    <font>
      <sz val="9.6"/>
      <color rgb="FF000000"/>
      <name val="Arial"/>
      <family val="2"/>
    </font>
    <font>
      <sz val="9.6"/>
      <color rgb="FF000000"/>
      <name val="ＭＳ Ｐゴシック"/>
      <family val="2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b/>
      <sz val="10"/>
      <color theme="1"/>
      <name val="ＭＳ Ｐゴシック"/>
      <family val="3"/>
      <charset val="128"/>
      <scheme val="minor"/>
    </font>
  </fonts>
  <fills count="41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9847407452621"/>
        <bgColor indexed="59"/>
      </patternFill>
    </fill>
    <fill>
      <patternFill patternType="solid">
        <fgColor theme="0" tint="-0.14999847407452621"/>
        <bgColor indexed="2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indexed="16"/>
        <bgColor indexed="37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DDEBF7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/>
        <bgColor indexed="2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EF6B1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E9FDD"/>
        <bgColor indexed="64"/>
      </patternFill>
    </fill>
  </fills>
  <borders count="3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indexed="8"/>
      </left>
      <right style="thin">
        <color indexed="8"/>
      </right>
      <top/>
      <bottom style="thin">
        <color auto="1"/>
      </bottom>
      <diagonal/>
    </border>
    <border>
      <left style="thin">
        <color indexed="8"/>
      </left>
      <right style="thin">
        <color auto="1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/>
      <bottom style="double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indexed="8"/>
      </left>
      <right/>
      <top/>
      <bottom style="double">
        <color auto="1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double">
        <color auto="1"/>
      </bottom>
      <diagonal/>
    </border>
    <border>
      <left style="thin">
        <color indexed="8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double">
        <color auto="1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double">
        <color auto="1"/>
      </bottom>
      <diagonal/>
    </border>
  </borders>
  <cellStyleXfs count="712">
    <xf numFmtId="0" fontId="0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3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8" fillId="0" borderId="0"/>
    <xf numFmtId="38" fontId="19" fillId="0" borderId="0" applyFill="0" applyBorder="0" applyAlignment="0" applyProtection="0"/>
    <xf numFmtId="0" fontId="20" fillId="8" borderId="0" applyNumberFormat="0" applyBorder="0" applyAlignment="0" applyProtection="0"/>
    <xf numFmtId="0" fontId="21" fillId="9" borderId="0" applyNumberFormat="0" applyBorder="0" applyAlignment="0" applyProtection="0"/>
    <xf numFmtId="0" fontId="22" fillId="0" borderId="0"/>
    <xf numFmtId="0" fontId="23" fillId="0" borderId="0">
      <alignment vertical="center"/>
    </xf>
    <xf numFmtId="0" fontId="24" fillId="0" borderId="0">
      <alignment vertical="center"/>
    </xf>
    <xf numFmtId="0" fontId="25" fillId="10" borderId="0" applyNumberFormat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2" fillId="0" borderId="0"/>
    <xf numFmtId="0" fontId="2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38" fontId="1" fillId="0" borderId="0" applyFont="0" applyFill="0" applyBorder="0" applyAlignment="0" applyProtection="0">
      <alignment vertical="center"/>
    </xf>
    <xf numFmtId="0" fontId="32" fillId="16" borderId="13" applyNumberFormat="0" applyAlignment="0" applyProtection="0"/>
    <xf numFmtId="0" fontId="33" fillId="17" borderId="0" applyNumberFormat="0" applyBorder="0" applyAlignment="0" applyProtection="0"/>
    <xf numFmtId="0" fontId="34" fillId="18" borderId="14" applyNumberFormat="0" applyAlignment="0" applyProtection="0"/>
    <xf numFmtId="0" fontId="35" fillId="0" borderId="0" applyNumberFormat="0" applyFill="0" applyBorder="0" applyAlignment="0" applyProtection="0"/>
    <xf numFmtId="0" fontId="36" fillId="19" borderId="0" applyNumberFormat="0" applyBorder="0" applyAlignment="0" applyProtection="0"/>
    <xf numFmtId="0" fontId="37" fillId="20" borderId="15" applyNumberFormat="0" applyAlignment="0" applyProtection="0"/>
    <xf numFmtId="0" fontId="38" fillId="0" borderId="0" applyNumberFormat="0" applyFill="0" applyBorder="0" applyAlignment="0" applyProtection="0"/>
    <xf numFmtId="0" fontId="39" fillId="0" borderId="16" applyNumberFormat="0" applyFill="0" applyAlignment="0" applyProtection="0"/>
    <xf numFmtId="0" fontId="40" fillId="0" borderId="17" applyNumberFormat="0" applyFill="0" applyAlignment="0" applyProtection="0"/>
    <xf numFmtId="0" fontId="41" fillId="0" borderId="18" applyNumberFormat="0" applyFill="0" applyAlignment="0" applyProtection="0"/>
    <xf numFmtId="0" fontId="41" fillId="0" borderId="0" applyNumberFormat="0" applyFill="0" applyBorder="0" applyAlignment="0" applyProtection="0"/>
    <xf numFmtId="0" fontId="42" fillId="18" borderId="0" applyNumberFormat="0" applyBorder="0" applyAlignment="0" applyProtection="0"/>
    <xf numFmtId="0" fontId="42" fillId="17" borderId="0" applyNumberFormat="0" applyBorder="0" applyAlignment="0" applyProtection="0"/>
    <xf numFmtId="0" fontId="42" fillId="21" borderId="0" applyNumberFormat="0" applyBorder="0" applyAlignment="0" applyProtection="0"/>
    <xf numFmtId="0" fontId="42" fillId="18" borderId="0" applyNumberFormat="0" applyBorder="0" applyAlignment="0" applyProtection="0"/>
    <xf numFmtId="0" fontId="42" fillId="22" borderId="0" applyNumberFormat="0" applyBorder="0" applyAlignment="0" applyProtection="0"/>
    <xf numFmtId="0" fontId="42" fillId="16" borderId="0" applyNumberFormat="0" applyBorder="0" applyAlignment="0" applyProtection="0"/>
    <xf numFmtId="0" fontId="42" fillId="18" borderId="0" applyNumberFormat="0" applyBorder="0" applyAlignment="0" applyProtection="0"/>
    <xf numFmtId="0" fontId="42" fillId="23" borderId="0" applyNumberFormat="0" applyBorder="0" applyAlignment="0" applyProtection="0"/>
    <xf numFmtId="0" fontId="42" fillId="21" borderId="0" applyNumberFormat="0" applyBorder="0" applyAlignment="0" applyProtection="0"/>
    <xf numFmtId="0" fontId="42" fillId="18" borderId="0" applyNumberFormat="0" applyBorder="0" applyAlignment="0" applyProtection="0"/>
    <xf numFmtId="0" fontId="42" fillId="24" borderId="0" applyNumberFormat="0" applyBorder="0" applyAlignment="0" applyProtection="0"/>
    <xf numFmtId="0" fontId="42" fillId="17" borderId="0" applyNumberFormat="0" applyBorder="0" applyAlignment="0" applyProtection="0"/>
    <xf numFmtId="0" fontId="43" fillId="25" borderId="0" applyNumberFormat="0" applyBorder="0" applyAlignment="0" applyProtection="0"/>
    <xf numFmtId="0" fontId="43" fillId="23" borderId="0" applyNumberFormat="0" applyBorder="0" applyAlignment="0" applyProtection="0"/>
    <xf numFmtId="0" fontId="43" fillId="21" borderId="0" applyNumberFormat="0" applyBorder="0" applyAlignment="0" applyProtection="0"/>
    <xf numFmtId="0" fontId="43" fillId="18" borderId="0" applyNumberFormat="0" applyBorder="0" applyAlignment="0" applyProtection="0"/>
    <xf numFmtId="0" fontId="43" fillId="25" borderId="0" applyNumberFormat="0" applyBorder="0" applyAlignment="0" applyProtection="0"/>
    <xf numFmtId="0" fontId="43" fillId="17" borderId="0" applyNumberFormat="0" applyBorder="0" applyAlignment="0" applyProtection="0"/>
    <xf numFmtId="0" fontId="35" fillId="0" borderId="0" applyNumberFormat="0" applyFill="0" applyBorder="0" applyAlignment="0" applyProtection="0"/>
    <xf numFmtId="0" fontId="43" fillId="25" borderId="0" applyNumberFormat="0" applyBorder="0" applyAlignment="0" applyProtection="0"/>
    <xf numFmtId="0" fontId="43" fillId="26" borderId="0" applyNumberFormat="0" applyBorder="0" applyAlignment="0" applyProtection="0"/>
    <xf numFmtId="0" fontId="43" fillId="21" borderId="0" applyNumberFormat="0" applyBorder="0" applyAlignment="0" applyProtection="0"/>
    <xf numFmtId="0" fontId="43" fillId="27" borderId="0" applyNumberFormat="0" applyBorder="0" applyAlignment="0" applyProtection="0"/>
    <xf numFmtId="0" fontId="43" fillId="25" borderId="0" applyNumberFormat="0" applyBorder="0" applyAlignment="0" applyProtection="0"/>
    <xf numFmtId="0" fontId="43" fillId="23" borderId="0" applyNumberFormat="0" applyBorder="0" applyAlignment="0" applyProtection="0"/>
    <xf numFmtId="0" fontId="44" fillId="28" borderId="0" applyNumberFormat="0" applyBorder="0" applyAlignment="0" applyProtection="0"/>
    <xf numFmtId="0" fontId="33" fillId="17" borderId="0" applyNumberFormat="0" applyBorder="0" applyAlignment="0" applyProtection="0"/>
    <xf numFmtId="0" fontId="45" fillId="0" borderId="19" applyNumberFormat="0" applyFill="0" applyAlignment="0" applyProtection="0"/>
    <xf numFmtId="0" fontId="46" fillId="18" borderId="20" applyNumberFormat="0" applyAlignment="0" applyProtection="0"/>
    <xf numFmtId="0" fontId="46" fillId="29" borderId="20" applyNumberFormat="0" applyAlignment="0" applyProtection="0"/>
    <xf numFmtId="0" fontId="34" fillId="17" borderId="14" applyNumberFormat="0" applyAlignment="0" applyProtection="0"/>
    <xf numFmtId="0" fontId="47" fillId="0" borderId="21" applyNumberFormat="0" applyFill="0" applyAlignment="0" applyProtection="0"/>
    <xf numFmtId="0" fontId="48" fillId="29" borderId="14" applyNumberFormat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50" fillId="0" borderId="22" applyNumberFormat="0" applyFill="0" applyAlignment="0" applyProtection="0"/>
    <xf numFmtId="0" fontId="1" fillId="0" borderId="0"/>
    <xf numFmtId="0" fontId="1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</cellStyleXfs>
  <cellXfs count="217">
    <xf numFmtId="0" fontId="0" fillId="0" borderId="0" xfId="0"/>
    <xf numFmtId="0" fontId="4" fillId="2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4" fillId="0" borderId="0" xfId="0" applyFont="1" applyAlignment="1">
      <alignment vertical="center"/>
    </xf>
    <xf numFmtId="0" fontId="6" fillId="5" borderId="3" xfId="0" applyFont="1" applyFill="1" applyBorder="1" applyAlignment="1">
      <alignment vertical="center"/>
    </xf>
    <xf numFmtId="0" fontId="8" fillId="0" borderId="4" xfId="0" applyFont="1" applyBorder="1" applyAlignment="1">
      <alignment vertical="center"/>
    </xf>
    <xf numFmtId="0" fontId="4" fillId="0" borderId="5" xfId="0" applyFont="1" applyBorder="1" applyAlignment="1">
      <alignment vertical="center"/>
    </xf>
    <xf numFmtId="0" fontId="4" fillId="0" borderId="1" xfId="0" applyFont="1" applyFill="1" applyBorder="1" applyAlignment="1">
      <alignment vertical="center"/>
    </xf>
    <xf numFmtId="0" fontId="4" fillId="0" borderId="6" xfId="0" applyFont="1" applyBorder="1" applyAlignment="1">
      <alignment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Fill="1" applyAlignment="1">
      <alignment vertical="center"/>
    </xf>
    <xf numFmtId="0" fontId="6" fillId="5" borderId="1" xfId="0" applyFont="1" applyFill="1" applyBorder="1" applyAlignment="1">
      <alignment vertical="center"/>
    </xf>
    <xf numFmtId="0" fontId="6" fillId="0" borderId="1" xfId="0" applyFont="1" applyFill="1" applyBorder="1" applyAlignment="1">
      <alignment vertical="center"/>
    </xf>
    <xf numFmtId="0" fontId="4" fillId="3" borderId="0" xfId="0" applyFont="1" applyFill="1" applyAlignment="1">
      <alignment horizontal="center" vertical="center"/>
    </xf>
    <xf numFmtId="0" fontId="4" fillId="3" borderId="0" xfId="0" applyFont="1" applyFill="1" applyAlignment="1">
      <alignment vertical="center"/>
    </xf>
    <xf numFmtId="0" fontId="4" fillId="3" borderId="7" xfId="0" applyFont="1" applyFill="1" applyBorder="1" applyAlignment="1">
      <alignment horizontal="center" vertical="center"/>
    </xf>
    <xf numFmtId="0" fontId="12" fillId="7" borderId="0" xfId="0" applyFont="1" applyFill="1" applyAlignment="1">
      <alignment vertical="center"/>
    </xf>
    <xf numFmtId="0" fontId="6" fillId="5" borderId="9" xfId="0" applyFont="1" applyFill="1" applyBorder="1" applyAlignment="1">
      <alignment vertical="center"/>
    </xf>
    <xf numFmtId="0" fontId="6" fillId="5" borderId="7" xfId="0" applyFont="1" applyFill="1" applyBorder="1" applyAlignment="1">
      <alignment vertical="center"/>
    </xf>
    <xf numFmtId="0" fontId="12" fillId="0" borderId="0" xfId="0" applyFont="1" applyFill="1" applyAlignment="1">
      <alignment vertical="center"/>
    </xf>
    <xf numFmtId="0" fontId="4" fillId="0" borderId="1" xfId="0" applyFont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176" fontId="4" fillId="0" borderId="3" xfId="0" applyNumberFormat="1" applyFont="1" applyFill="1" applyBorder="1" applyAlignment="1">
      <alignment horizontal="center" vertical="center"/>
    </xf>
    <xf numFmtId="0" fontId="6" fillId="3" borderId="7" xfId="0" applyFont="1" applyFill="1" applyBorder="1" applyAlignment="1">
      <alignment vertical="center"/>
    </xf>
    <xf numFmtId="0" fontId="4" fillId="3" borderId="1" xfId="0" applyFont="1" applyFill="1" applyBorder="1" applyAlignment="1">
      <alignment vertical="center"/>
    </xf>
    <xf numFmtId="177" fontId="8" fillId="0" borderId="4" xfId="0" applyNumberFormat="1" applyFont="1" applyBorder="1" applyAlignment="1">
      <alignment vertical="center"/>
    </xf>
    <xf numFmtId="0" fontId="4" fillId="2" borderId="7" xfId="0" applyFont="1" applyFill="1" applyBorder="1" applyAlignment="1">
      <alignment horizontal="left" vertical="center"/>
    </xf>
    <xf numFmtId="0" fontId="12" fillId="7" borderId="0" xfId="0" applyFont="1" applyFill="1" applyAlignment="1">
      <alignment horizontal="left" vertical="center"/>
    </xf>
    <xf numFmtId="0" fontId="4" fillId="2" borderId="1" xfId="0" applyFont="1" applyFill="1" applyBorder="1" applyAlignment="1">
      <alignment horizontal="left" vertical="center"/>
    </xf>
    <xf numFmtId="0" fontId="4" fillId="3" borderId="7" xfId="0" applyFont="1" applyFill="1" applyBorder="1" applyAlignment="1">
      <alignment horizontal="left" vertical="center"/>
    </xf>
    <xf numFmtId="0" fontId="4" fillId="3" borderId="1" xfId="0" applyFont="1" applyFill="1" applyBorder="1" applyAlignment="1">
      <alignment horizontal="left" vertical="center"/>
    </xf>
    <xf numFmtId="0" fontId="4" fillId="3" borderId="8" xfId="0" applyFont="1" applyFill="1" applyBorder="1" applyAlignment="1">
      <alignment horizontal="left" vertical="center"/>
    </xf>
    <xf numFmtId="0" fontId="4" fillId="3" borderId="10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left" vertical="center"/>
    </xf>
    <xf numFmtId="0" fontId="6" fillId="4" borderId="7" xfId="0" applyFont="1" applyFill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4" fillId="6" borderId="7" xfId="0" applyFont="1" applyFill="1" applyBorder="1" applyAlignment="1">
      <alignment horizontal="left" vertical="center"/>
    </xf>
    <xf numFmtId="0" fontId="4" fillId="6" borderId="1" xfId="0" applyFont="1" applyFill="1" applyBorder="1" applyAlignment="1">
      <alignment horizontal="left" vertical="center"/>
    </xf>
    <xf numFmtId="0" fontId="6" fillId="0" borderId="7" xfId="0" applyFont="1" applyFill="1" applyBorder="1" applyAlignment="1">
      <alignment vertical="center"/>
    </xf>
    <xf numFmtId="0" fontId="14" fillId="7" borderId="0" xfId="0" applyFont="1" applyFill="1" applyAlignment="1">
      <alignment vertical="center"/>
    </xf>
    <xf numFmtId="0" fontId="16" fillId="6" borderId="7" xfId="0" applyFont="1" applyFill="1" applyBorder="1" applyAlignment="1">
      <alignment horizontal="center" vertical="center"/>
    </xf>
    <xf numFmtId="0" fontId="16" fillId="3" borderId="7" xfId="0" applyFont="1" applyFill="1" applyBorder="1" applyAlignment="1">
      <alignment horizontal="center" vertical="center"/>
    </xf>
    <xf numFmtId="0" fontId="11" fillId="6" borderId="7" xfId="0" applyFont="1" applyFill="1" applyBorder="1" applyAlignment="1">
      <alignment horizontal="center" vertical="center"/>
    </xf>
    <xf numFmtId="0" fontId="11" fillId="3" borderId="7" xfId="0" applyFont="1" applyFill="1" applyBorder="1" applyAlignment="1">
      <alignment horizontal="center" vertical="center"/>
    </xf>
    <xf numFmtId="0" fontId="11" fillId="3" borderId="2" xfId="0" applyFont="1" applyFill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16" fillId="3" borderId="7" xfId="0" applyFont="1" applyFill="1" applyBorder="1" applyAlignment="1">
      <alignment horizontal="left" vertical="center"/>
    </xf>
    <xf numFmtId="0" fontId="16" fillId="0" borderId="7" xfId="0" applyFont="1" applyFill="1" applyBorder="1" applyAlignment="1">
      <alignment vertical="center"/>
    </xf>
    <xf numFmtId="0" fontId="16" fillId="3" borderId="7" xfId="0" applyFont="1" applyFill="1" applyBorder="1" applyAlignment="1">
      <alignment vertical="center"/>
    </xf>
    <xf numFmtId="0" fontId="16" fillId="0" borderId="0" xfId="0" applyFont="1" applyFill="1" applyAlignment="1">
      <alignment vertical="center"/>
    </xf>
    <xf numFmtId="0" fontId="16" fillId="0" borderId="7" xfId="0" applyFont="1" applyFill="1" applyBorder="1" applyAlignment="1">
      <alignment horizontal="left" vertical="center"/>
    </xf>
    <xf numFmtId="0" fontId="16" fillId="0" borderId="7" xfId="0" applyFont="1" applyFill="1" applyBorder="1" applyAlignment="1">
      <alignment horizontal="left" vertical="center" wrapText="1"/>
    </xf>
    <xf numFmtId="14" fontId="16" fillId="0" borderId="7" xfId="0" applyNumberFormat="1" applyFont="1" applyFill="1" applyBorder="1" applyAlignment="1">
      <alignment horizontal="left" vertical="center"/>
    </xf>
    <xf numFmtId="0" fontId="11" fillId="6" borderId="2" xfId="0" applyFont="1" applyFill="1" applyBorder="1" applyAlignment="1">
      <alignment horizontal="center" vertical="center"/>
    </xf>
    <xf numFmtId="0" fontId="14" fillId="7" borderId="0" xfId="0" applyFont="1" applyFill="1" applyAlignment="1">
      <alignment horizontal="center" vertical="center"/>
    </xf>
    <xf numFmtId="0" fontId="13" fillId="11" borderId="7" xfId="0" applyFont="1" applyFill="1" applyBorder="1"/>
    <xf numFmtId="0" fontId="0" fillId="11" borderId="7" xfId="0" applyFill="1" applyBorder="1"/>
    <xf numFmtId="0" fontId="0" fillId="0" borderId="7" xfId="0" applyBorder="1"/>
    <xf numFmtId="0" fontId="0" fillId="6" borderId="7" xfId="0" applyFill="1" applyBorder="1"/>
    <xf numFmtId="0" fontId="26" fillId="12" borderId="7" xfId="0" applyFont="1" applyFill="1" applyBorder="1"/>
    <xf numFmtId="0" fontId="13" fillId="11" borderId="7" xfId="434" applyFont="1" applyFill="1" applyBorder="1" applyAlignment="1"/>
    <xf numFmtId="0" fontId="0" fillId="13" borderId="7" xfId="0" applyFill="1" applyBorder="1"/>
    <xf numFmtId="0" fontId="16" fillId="3" borderId="7" xfId="0" applyFont="1" applyFill="1" applyBorder="1" applyAlignment="1">
      <alignment horizontal="left" vertical="center" wrapText="1"/>
    </xf>
    <xf numFmtId="0" fontId="16" fillId="6" borderId="7" xfId="614" applyFont="1" applyFill="1" applyBorder="1" applyAlignment="1">
      <alignment horizontal="left"/>
    </xf>
    <xf numFmtId="0" fontId="14" fillId="7" borderId="0" xfId="614" applyFont="1" applyFill="1" applyAlignment="1">
      <alignment horizontal="center" vertical="center"/>
    </xf>
    <xf numFmtId="0" fontId="0" fillId="6" borderId="7" xfId="615" applyFont="1" applyFill="1" applyBorder="1"/>
    <xf numFmtId="0" fontId="0" fillId="0" borderId="7" xfId="615" applyFont="1" applyBorder="1"/>
    <xf numFmtId="0" fontId="2" fillId="11" borderId="7" xfId="615" applyFill="1" applyBorder="1"/>
    <xf numFmtId="0" fontId="4" fillId="0" borderId="7" xfId="0" applyFont="1" applyBorder="1" applyAlignment="1">
      <alignment vertical="center"/>
    </xf>
    <xf numFmtId="0" fontId="0" fillId="3" borderId="7" xfId="0" applyFill="1" applyBorder="1"/>
    <xf numFmtId="0" fontId="16" fillId="3" borderId="7" xfId="614" applyFont="1" applyFill="1" applyBorder="1" applyAlignment="1">
      <alignment horizontal="left"/>
    </xf>
    <xf numFmtId="0" fontId="16" fillId="6" borderId="7" xfId="0" applyFont="1" applyFill="1" applyBorder="1" applyAlignment="1">
      <alignment horizontal="center"/>
    </xf>
    <xf numFmtId="56" fontId="16" fillId="6" borderId="7" xfId="0" applyNumberFormat="1" applyFont="1" applyFill="1" applyBorder="1" applyAlignment="1">
      <alignment horizontal="center"/>
    </xf>
    <xf numFmtId="0" fontId="2" fillId="0" borderId="0" xfId="615"/>
    <xf numFmtId="0" fontId="27" fillId="6" borderId="7" xfId="0" applyFont="1" applyFill="1" applyBorder="1" applyAlignment="1">
      <alignment horizontal="center"/>
    </xf>
    <xf numFmtId="0" fontId="16" fillId="3" borderId="7" xfId="0" applyFont="1" applyFill="1" applyBorder="1" applyAlignment="1">
      <alignment horizontal="center"/>
    </xf>
    <xf numFmtId="0" fontId="16" fillId="14" borderId="7" xfId="0" applyFont="1" applyFill="1" applyBorder="1" applyAlignment="1">
      <alignment horizontal="center"/>
    </xf>
    <xf numFmtId="0" fontId="16" fillId="15" borderId="7" xfId="0" applyFont="1" applyFill="1" applyBorder="1" applyAlignment="1">
      <alignment horizontal="center"/>
    </xf>
    <xf numFmtId="0" fontId="0" fillId="15" borderId="7" xfId="0" applyFill="1" applyBorder="1"/>
    <xf numFmtId="0" fontId="27" fillId="0" borderId="7" xfId="0" applyFont="1" applyFill="1" applyBorder="1"/>
    <xf numFmtId="0" fontId="28" fillId="0" borderId="7" xfId="0" applyFont="1" applyFill="1" applyBorder="1"/>
    <xf numFmtId="0" fontId="29" fillId="3" borderId="12" xfId="0" applyFont="1" applyFill="1" applyBorder="1" applyAlignment="1">
      <alignment vertical="center"/>
    </xf>
    <xf numFmtId="0" fontId="30" fillId="0" borderId="7" xfId="0" applyFont="1" applyFill="1" applyBorder="1"/>
    <xf numFmtId="0" fontId="29" fillId="0" borderId="12" xfId="0" applyFont="1" applyFill="1" applyBorder="1" applyAlignment="1">
      <alignment vertical="center"/>
    </xf>
    <xf numFmtId="0" fontId="30" fillId="14" borderId="7" xfId="0" applyFont="1" applyFill="1" applyBorder="1"/>
    <xf numFmtId="0" fontId="31" fillId="0" borderId="7" xfId="0" applyFont="1" applyFill="1" applyBorder="1"/>
    <xf numFmtId="0" fontId="27" fillId="0" borderId="0" xfId="0" applyFont="1" applyFill="1"/>
    <xf numFmtId="0" fontId="16" fillId="30" borderId="7" xfId="0" applyFont="1" applyFill="1" applyBorder="1" applyAlignment="1">
      <alignment horizontal="center"/>
    </xf>
    <xf numFmtId="0" fontId="30" fillId="30" borderId="7" xfId="0" applyFont="1" applyFill="1" applyBorder="1"/>
    <xf numFmtId="0" fontId="16" fillId="13" borderId="7" xfId="0" applyFont="1" applyFill="1" applyBorder="1" applyAlignment="1">
      <alignment horizontal="center"/>
    </xf>
    <xf numFmtId="56" fontId="16" fillId="14" borderId="7" xfId="0" applyNumberFormat="1" applyFont="1" applyFill="1" applyBorder="1" applyAlignment="1">
      <alignment horizontal="center"/>
    </xf>
    <xf numFmtId="0" fontId="16" fillId="6" borderId="7" xfId="11" applyFont="1" applyFill="1" applyBorder="1" applyAlignment="1">
      <alignment horizontal="left"/>
    </xf>
    <xf numFmtId="0" fontId="13" fillId="7" borderId="0" xfId="0" applyFont="1" applyFill="1" applyAlignment="1">
      <alignment horizontal="center"/>
    </xf>
    <xf numFmtId="0" fontId="51" fillId="6" borderId="7" xfId="0" applyFont="1" applyFill="1" applyBorder="1" applyAlignment="1">
      <alignment horizontal="center"/>
    </xf>
    <xf numFmtId="0" fontId="13" fillId="7" borderId="0" xfId="0" applyFont="1" applyFill="1" applyAlignment="1">
      <alignment horizontal="left" indent="1"/>
    </xf>
    <xf numFmtId="0" fontId="30" fillId="3" borderId="7" xfId="0" applyFont="1" applyFill="1" applyBorder="1"/>
    <xf numFmtId="22" fontId="30" fillId="0" borderId="7" xfId="0" quotePrefix="1" applyNumberFormat="1" applyFont="1" applyFill="1" applyBorder="1"/>
    <xf numFmtId="0" fontId="30" fillId="0" borderId="7" xfId="0" quotePrefix="1" applyFont="1" applyFill="1" applyBorder="1"/>
    <xf numFmtId="0" fontId="2" fillId="0" borderId="7" xfId="615" applyBorder="1"/>
    <xf numFmtId="0" fontId="2" fillId="6" borderId="7" xfId="615" applyFill="1" applyBorder="1"/>
    <xf numFmtId="0" fontId="4" fillId="31" borderId="7" xfId="0" applyFont="1" applyFill="1" applyBorder="1" applyAlignment="1">
      <alignment horizontal="left" vertical="center"/>
    </xf>
    <xf numFmtId="1" fontId="32" fillId="31" borderId="7" xfId="0" applyNumberFormat="1" applyFont="1" applyFill="1" applyBorder="1" applyAlignment="1">
      <alignment vertical="center"/>
    </xf>
    <xf numFmtId="0" fontId="4" fillId="31" borderId="0" xfId="0" applyFont="1" applyFill="1" applyAlignment="1">
      <alignment vertical="center"/>
    </xf>
    <xf numFmtId="0" fontId="11" fillId="0" borderId="7" xfId="0" applyFont="1" applyBorder="1" applyAlignment="1">
      <alignment horizontal="center" vertical="center"/>
    </xf>
    <xf numFmtId="0" fontId="6" fillId="32" borderId="9" xfId="0" applyFont="1" applyFill="1" applyBorder="1" applyAlignment="1">
      <alignment vertical="center"/>
    </xf>
    <xf numFmtId="0" fontId="6" fillId="32" borderId="11" xfId="0" applyFont="1" applyFill="1" applyBorder="1" applyAlignment="1">
      <alignment vertical="center"/>
    </xf>
    <xf numFmtId="0" fontId="16" fillId="33" borderId="7" xfId="0" applyFont="1" applyFill="1" applyBorder="1" applyAlignment="1">
      <alignment vertical="center"/>
    </xf>
    <xf numFmtId="0" fontId="16" fillId="34" borderId="7" xfId="0" applyFont="1" applyFill="1" applyBorder="1" applyAlignment="1">
      <alignment vertical="center"/>
    </xf>
    <xf numFmtId="0" fontId="16" fillId="0" borderId="0" xfId="0" applyFont="1" applyFill="1" applyAlignment="1">
      <alignment vertical="center" wrapText="1"/>
    </xf>
    <xf numFmtId="0" fontId="16" fillId="35" borderId="7" xfId="0" applyFont="1" applyFill="1" applyBorder="1" applyAlignment="1">
      <alignment vertical="center"/>
    </xf>
    <xf numFmtId="0" fontId="16" fillId="6" borderId="7" xfId="0" applyFont="1" applyFill="1" applyBorder="1" applyAlignment="1">
      <alignment vertical="center"/>
    </xf>
    <xf numFmtId="0" fontId="16" fillId="36" borderId="7" xfId="0" applyFont="1" applyFill="1" applyBorder="1" applyAlignment="1">
      <alignment vertical="center"/>
    </xf>
    <xf numFmtId="0" fontId="16" fillId="37" borderId="7" xfId="0" applyFont="1" applyFill="1" applyBorder="1" applyAlignment="1">
      <alignment vertical="center"/>
    </xf>
    <xf numFmtId="0" fontId="16" fillId="33" borderId="7" xfId="0" applyFont="1" applyFill="1" applyBorder="1" applyAlignment="1">
      <alignment horizontal="left" vertical="center" wrapText="1"/>
    </xf>
    <xf numFmtId="0" fontId="16" fillId="38" borderId="7" xfId="0" applyFont="1" applyFill="1" applyBorder="1" applyAlignment="1">
      <alignment vertical="center"/>
    </xf>
    <xf numFmtId="0" fontId="4" fillId="13" borderId="6" xfId="0" applyFont="1" applyFill="1" applyBorder="1" applyAlignment="1">
      <alignment vertical="center"/>
    </xf>
    <xf numFmtId="0" fontId="0" fillId="0" borderId="7" xfId="0" applyFont="1" applyFill="1" applyBorder="1" applyAlignment="1">
      <alignment vertical="center"/>
    </xf>
    <xf numFmtId="0" fontId="0" fillId="0" borderId="7" xfId="0" applyFont="1" applyFill="1" applyBorder="1" applyAlignment="1">
      <alignment vertical="center" wrapText="1"/>
    </xf>
    <xf numFmtId="0" fontId="0" fillId="0" borderId="0" xfId="0" applyFont="1" applyFill="1" applyAlignment="1">
      <alignment vertical="center"/>
    </xf>
    <xf numFmtId="0" fontId="4" fillId="0" borderId="12" xfId="0" applyFont="1" applyFill="1" applyBorder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6" fillId="0" borderId="12" xfId="0" applyFont="1" applyFill="1" applyBorder="1" applyAlignment="1">
      <alignment vertical="center"/>
    </xf>
    <xf numFmtId="0" fontId="11" fillId="0" borderId="12" xfId="0" applyFont="1" applyBorder="1" applyAlignment="1">
      <alignment horizontal="center" vertical="center"/>
    </xf>
    <xf numFmtId="0" fontId="8" fillId="0" borderId="23" xfId="0" applyFont="1" applyBorder="1" applyAlignment="1">
      <alignment vertical="center"/>
    </xf>
    <xf numFmtId="177" fontId="8" fillId="0" borderId="23" xfId="0" applyNumberFormat="1" applyFont="1" applyBorder="1" applyAlignment="1">
      <alignment vertical="center"/>
    </xf>
    <xf numFmtId="1" fontId="32" fillId="31" borderId="12" xfId="0" applyNumberFormat="1" applyFont="1" applyFill="1" applyBorder="1" applyAlignment="1">
      <alignment vertical="center"/>
    </xf>
    <xf numFmtId="0" fontId="16" fillId="34" borderId="12" xfId="0" applyFont="1" applyFill="1" applyBorder="1" applyAlignment="1">
      <alignment vertical="center"/>
    </xf>
    <xf numFmtId="0" fontId="6" fillId="32" borderId="24" xfId="0" applyFont="1" applyFill="1" applyBorder="1" applyAlignment="1">
      <alignment vertical="center"/>
    </xf>
    <xf numFmtId="176" fontId="4" fillId="0" borderId="25" xfId="0" applyNumberFormat="1" applyFont="1" applyFill="1" applyBorder="1" applyAlignment="1">
      <alignment horizontal="center" vertical="center"/>
    </xf>
    <xf numFmtId="0" fontId="4" fillId="0" borderId="26" xfId="0" applyFont="1" applyFill="1" applyBorder="1" applyAlignment="1">
      <alignment horizontal="center" vertical="center"/>
    </xf>
    <xf numFmtId="0" fontId="4" fillId="3" borderId="26" xfId="0" applyFont="1" applyFill="1" applyBorder="1" applyAlignment="1">
      <alignment horizontal="center" vertical="center"/>
    </xf>
    <xf numFmtId="0" fontId="6" fillId="5" borderId="25" xfId="0" applyFont="1" applyFill="1" applyBorder="1" applyAlignment="1">
      <alignment vertical="center"/>
    </xf>
    <xf numFmtId="0" fontId="6" fillId="0" borderId="26" xfId="0" applyFont="1" applyFill="1" applyBorder="1" applyAlignment="1">
      <alignment vertical="center"/>
    </xf>
    <xf numFmtId="0" fontId="11" fillId="0" borderId="26" xfId="0" applyFont="1" applyBorder="1" applyAlignment="1">
      <alignment horizontal="center" vertical="center"/>
    </xf>
    <xf numFmtId="0" fontId="6" fillId="5" borderId="27" xfId="0" applyFont="1" applyFill="1" applyBorder="1" applyAlignment="1">
      <alignment vertical="center"/>
    </xf>
    <xf numFmtId="0" fontId="8" fillId="0" borderId="28" xfId="0" applyFont="1" applyBorder="1" applyAlignment="1">
      <alignment vertical="center"/>
    </xf>
    <xf numFmtId="177" fontId="8" fillId="0" borderId="28" xfId="0" applyNumberFormat="1" applyFont="1" applyBorder="1" applyAlignment="1">
      <alignment vertical="center"/>
    </xf>
    <xf numFmtId="1" fontId="32" fillId="31" borderId="26" xfId="0" applyNumberFormat="1" applyFont="1" applyFill="1" applyBorder="1" applyAlignment="1">
      <alignment vertical="center"/>
    </xf>
    <xf numFmtId="0" fontId="16" fillId="37" borderId="26" xfId="0" applyFont="1" applyFill="1" applyBorder="1" applyAlignment="1">
      <alignment vertical="center"/>
    </xf>
    <xf numFmtId="0" fontId="6" fillId="32" borderId="29" xfId="0" applyFont="1" applyFill="1" applyBorder="1" applyAlignment="1">
      <alignment vertical="center"/>
    </xf>
    <xf numFmtId="0" fontId="4" fillId="0" borderId="12" xfId="0" applyFont="1" applyBorder="1" applyAlignment="1">
      <alignment horizontal="center" vertical="center"/>
    </xf>
    <xf numFmtId="0" fontId="16" fillId="33" borderId="12" xfId="0" applyFont="1" applyFill="1" applyBorder="1" applyAlignment="1">
      <alignment vertical="center"/>
    </xf>
    <xf numFmtId="0" fontId="4" fillId="0" borderId="3" xfId="0" applyFont="1" applyBorder="1" applyAlignment="1">
      <alignment vertical="center"/>
    </xf>
    <xf numFmtId="0" fontId="4" fillId="3" borderId="12" xfId="0" applyFont="1" applyFill="1" applyBorder="1" applyAlignment="1">
      <alignment vertical="center"/>
    </xf>
    <xf numFmtId="0" fontId="4" fillId="0" borderId="12" xfId="0" applyFont="1" applyFill="1" applyBorder="1" applyAlignment="1">
      <alignment vertical="center"/>
    </xf>
    <xf numFmtId="0" fontId="4" fillId="0" borderId="30" xfId="0" applyFont="1" applyBorder="1" applyAlignment="1">
      <alignment vertical="center"/>
    </xf>
    <xf numFmtId="0" fontId="4" fillId="0" borderId="12" xfId="0" applyFont="1" applyBorder="1" applyAlignment="1">
      <alignment vertical="center"/>
    </xf>
    <xf numFmtId="0" fontId="4" fillId="0" borderId="7" xfId="0" applyFont="1" applyFill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4" fillId="3" borderId="7" xfId="0" applyFont="1" applyFill="1" applyBorder="1" applyAlignment="1">
      <alignment vertical="center"/>
    </xf>
    <xf numFmtId="0" fontId="4" fillId="0" borderId="7" xfId="0" applyFont="1" applyFill="1" applyBorder="1" applyAlignment="1">
      <alignment vertical="center"/>
    </xf>
    <xf numFmtId="0" fontId="4" fillId="0" borderId="26" xfId="0" applyFont="1" applyBorder="1" applyAlignment="1">
      <alignment horizontal="center" vertical="center"/>
    </xf>
    <xf numFmtId="0" fontId="4" fillId="0" borderId="31" xfId="0" applyFont="1" applyBorder="1" applyAlignment="1">
      <alignment vertical="center"/>
    </xf>
    <xf numFmtId="0" fontId="6" fillId="32" borderId="27" xfId="0" applyFont="1" applyFill="1" applyBorder="1" applyAlignment="1">
      <alignment vertical="center"/>
    </xf>
    <xf numFmtId="0" fontId="4" fillId="3" borderId="26" xfId="0" applyFont="1" applyFill="1" applyBorder="1" applyAlignment="1">
      <alignment vertical="center"/>
    </xf>
    <xf numFmtId="0" fontId="4" fillId="0" borderId="26" xfId="0" applyFont="1" applyFill="1" applyBorder="1" applyAlignment="1">
      <alignment vertical="center"/>
    </xf>
    <xf numFmtId="0" fontId="4" fillId="13" borderId="32" xfId="0" applyFont="1" applyFill="1" applyBorder="1" applyAlignment="1">
      <alignment vertical="center"/>
    </xf>
    <xf numFmtId="0" fontId="4" fillId="0" borderId="26" xfId="0" applyFont="1" applyBorder="1" applyAlignment="1">
      <alignment vertical="center"/>
    </xf>
    <xf numFmtId="0" fontId="16" fillId="0" borderId="0" xfId="0" applyFont="1" applyFill="1" applyBorder="1" applyAlignment="1">
      <alignment horizontal="left" vertical="center"/>
    </xf>
    <xf numFmtId="0" fontId="16" fillId="3" borderId="12" xfId="0" applyFont="1" applyFill="1" applyBorder="1" applyAlignment="1">
      <alignment vertical="center"/>
    </xf>
    <xf numFmtId="0" fontId="0" fillId="0" borderId="26" xfId="0" applyFont="1" applyFill="1" applyBorder="1" applyAlignment="1">
      <alignment vertical="center"/>
    </xf>
    <xf numFmtId="0" fontId="16" fillId="0" borderId="26" xfId="0" applyFont="1" applyFill="1" applyBorder="1" applyAlignment="1">
      <alignment horizontal="left" vertical="center"/>
    </xf>
    <xf numFmtId="0" fontId="16" fillId="0" borderId="26" xfId="0" applyFont="1" applyFill="1" applyBorder="1" applyAlignment="1">
      <alignment horizontal="left" vertical="center" wrapText="1"/>
    </xf>
    <xf numFmtId="0" fontId="16" fillId="3" borderId="26" xfId="0" applyFont="1" applyFill="1" applyBorder="1" applyAlignment="1">
      <alignment horizontal="left" vertical="center" wrapText="1"/>
    </xf>
    <xf numFmtId="0" fontId="16" fillId="3" borderId="26" xfId="0" applyFont="1" applyFill="1" applyBorder="1" applyAlignment="1">
      <alignment vertical="center"/>
    </xf>
    <xf numFmtId="14" fontId="16" fillId="0" borderId="26" xfId="0" applyNumberFormat="1" applyFont="1" applyFill="1" applyBorder="1" applyAlignment="1">
      <alignment horizontal="left" vertical="center"/>
    </xf>
    <xf numFmtId="0" fontId="0" fillId="38" borderId="7" xfId="0" applyFont="1" applyFill="1" applyBorder="1" applyAlignment="1">
      <alignment vertical="center"/>
    </xf>
    <xf numFmtId="0" fontId="16" fillId="3" borderId="12" xfId="0" applyFont="1" applyFill="1" applyBorder="1" applyAlignment="1">
      <alignment horizontal="left" vertical="center"/>
    </xf>
    <xf numFmtId="0" fontId="16" fillId="0" borderId="12" xfId="0" applyFont="1" applyFill="1" applyBorder="1" applyAlignment="1">
      <alignment vertical="center"/>
    </xf>
    <xf numFmtId="0" fontId="14" fillId="7" borderId="0" xfId="0" applyFont="1" applyFill="1" applyBorder="1" applyAlignment="1">
      <alignment vertical="center"/>
    </xf>
    <xf numFmtId="0" fontId="14" fillId="7" borderId="33" xfId="0" applyFont="1" applyFill="1" applyBorder="1" applyAlignment="1">
      <alignment vertical="center"/>
    </xf>
    <xf numFmtId="0" fontId="16" fillId="3" borderId="26" xfId="0" applyFont="1" applyFill="1" applyBorder="1" applyAlignment="1">
      <alignment horizontal="left" vertical="center"/>
    </xf>
    <xf numFmtId="0" fontId="16" fillId="0" borderId="26" xfId="0" applyFont="1" applyFill="1" applyBorder="1" applyAlignment="1">
      <alignment vertical="center"/>
    </xf>
    <xf numFmtId="0" fontId="16" fillId="38" borderId="12" xfId="0" applyFont="1" applyFill="1" applyBorder="1" applyAlignment="1">
      <alignment vertical="center"/>
    </xf>
    <xf numFmtId="0" fontId="16" fillId="39" borderId="7" xfId="0" applyFont="1" applyFill="1" applyBorder="1" applyAlignment="1">
      <alignment vertical="center"/>
    </xf>
    <xf numFmtId="0" fontId="16" fillId="38" borderId="26" xfId="0" applyFont="1" applyFill="1" applyBorder="1" applyAlignment="1">
      <alignment vertical="center"/>
    </xf>
    <xf numFmtId="0" fontId="16" fillId="0" borderId="0" xfId="0" applyFont="1" applyBorder="1" applyAlignment="1">
      <alignment vertical="center"/>
    </xf>
    <xf numFmtId="0" fontId="27" fillId="0" borderId="12" xfId="0" applyFont="1" applyFill="1" applyBorder="1"/>
    <xf numFmtId="0" fontId="28" fillId="0" borderId="12" xfId="0" applyFont="1" applyFill="1" applyBorder="1"/>
    <xf numFmtId="0" fontId="30" fillId="0" borderId="12" xfId="0" applyFont="1" applyFill="1" applyBorder="1"/>
    <xf numFmtId="0" fontId="30" fillId="30" borderId="12" xfId="0" applyFont="1" applyFill="1" applyBorder="1"/>
    <xf numFmtId="0" fontId="30" fillId="14" borderId="12" xfId="0" applyFont="1" applyFill="1" applyBorder="1"/>
    <xf numFmtId="0" fontId="31" fillId="0" borderId="12" xfId="0" applyFont="1" applyFill="1" applyBorder="1"/>
    <xf numFmtId="0" fontId="0" fillId="0" borderId="12" xfId="0" applyBorder="1"/>
    <xf numFmtId="0" fontId="27" fillId="0" borderId="26" xfId="0" applyFont="1" applyFill="1" applyBorder="1"/>
    <xf numFmtId="0" fontId="28" fillId="0" borderId="26" xfId="0" applyFont="1" applyFill="1" applyBorder="1"/>
    <xf numFmtId="0" fontId="29" fillId="3" borderId="26" xfId="0" applyFont="1" applyFill="1" applyBorder="1" applyAlignment="1">
      <alignment vertical="center"/>
    </xf>
    <xf numFmtId="0" fontId="30" fillId="0" borderId="26" xfId="0" applyFont="1" applyFill="1" applyBorder="1"/>
    <xf numFmtId="0" fontId="29" fillId="0" borderId="26" xfId="0" applyFont="1" applyFill="1" applyBorder="1" applyAlignment="1">
      <alignment vertical="center"/>
    </xf>
    <xf numFmtId="0" fontId="30" fillId="30" borderId="26" xfId="0" applyFont="1" applyFill="1" applyBorder="1"/>
    <xf numFmtId="0" fontId="30" fillId="14" borderId="26" xfId="0" applyFont="1" applyFill="1" applyBorder="1"/>
    <xf numFmtId="0" fontId="31" fillId="0" borderId="26" xfId="0" applyFont="1" applyFill="1" applyBorder="1"/>
    <xf numFmtId="0" fontId="0" fillId="0" borderId="26" xfId="0" applyBorder="1"/>
    <xf numFmtId="0" fontId="29" fillId="3" borderId="7" xfId="0" applyFont="1" applyFill="1" applyBorder="1" applyAlignment="1">
      <alignment vertical="center"/>
    </xf>
    <xf numFmtId="0" fontId="29" fillId="0" borderId="7" xfId="0" applyFont="1" applyFill="1" applyBorder="1" applyAlignment="1">
      <alignment vertical="center"/>
    </xf>
    <xf numFmtId="0" fontId="6" fillId="5" borderId="12" xfId="0" applyFont="1" applyFill="1" applyBorder="1" applyAlignment="1">
      <alignment vertical="center"/>
    </xf>
    <xf numFmtId="0" fontId="6" fillId="3" borderId="12" xfId="0" applyFont="1" applyFill="1" applyBorder="1" applyAlignment="1">
      <alignment vertical="center"/>
    </xf>
    <xf numFmtId="0" fontId="6" fillId="5" borderId="26" xfId="0" applyFont="1" applyFill="1" applyBorder="1" applyAlignment="1">
      <alignment vertical="center"/>
    </xf>
    <xf numFmtId="0" fontId="6" fillId="3" borderId="26" xfId="0" applyFont="1" applyFill="1" applyBorder="1" applyAlignment="1">
      <alignment vertical="center"/>
    </xf>
    <xf numFmtId="0" fontId="24" fillId="31" borderId="7" xfId="434" applyFill="1" applyBorder="1" applyAlignment="1"/>
    <xf numFmtId="0" fontId="24" fillId="6" borderId="7" xfId="434" applyFill="1" applyBorder="1" applyAlignment="1"/>
    <xf numFmtId="38" fontId="16" fillId="6" borderId="7" xfId="628" applyFont="1" applyFill="1" applyBorder="1" applyAlignment="1">
      <alignment wrapText="1"/>
    </xf>
    <xf numFmtId="38" fontId="16" fillId="6" borderId="26" xfId="628" applyFont="1" applyFill="1" applyBorder="1" applyAlignment="1">
      <alignment wrapText="1"/>
    </xf>
    <xf numFmtId="38" fontId="16" fillId="38" borderId="7" xfId="628" applyFont="1" applyFill="1" applyBorder="1" applyAlignment="1">
      <alignment wrapText="1"/>
    </xf>
    <xf numFmtId="38" fontId="16" fillId="38" borderId="26" xfId="628" applyFont="1" applyFill="1" applyBorder="1" applyAlignment="1">
      <alignment wrapText="1"/>
    </xf>
    <xf numFmtId="0" fontId="4" fillId="0" borderId="1" xfId="0" applyFont="1" applyBorder="1" applyAlignment="1">
      <alignment horizontal="right" vertical="center"/>
    </xf>
    <xf numFmtId="0" fontId="0" fillId="3" borderId="26" xfId="0" applyFill="1" applyBorder="1"/>
    <xf numFmtId="0" fontId="0" fillId="0" borderId="8" xfId="0" applyBorder="1"/>
    <xf numFmtId="0" fontId="0" fillId="0" borderId="34" xfId="0" applyBorder="1"/>
    <xf numFmtId="0" fontId="0" fillId="0" borderId="10" xfId="0" applyBorder="1"/>
    <xf numFmtId="0" fontId="16" fillId="6" borderId="2" xfId="614" applyFont="1" applyFill="1" applyBorder="1" applyAlignment="1">
      <alignment horizontal="left"/>
    </xf>
    <xf numFmtId="0" fontId="0" fillId="39" borderId="7" xfId="0" applyFill="1" applyBorder="1"/>
    <xf numFmtId="0" fontId="0" fillId="39" borderId="10" xfId="0" applyFill="1" applyBorder="1"/>
    <xf numFmtId="0" fontId="0" fillId="39" borderId="26" xfId="0" applyFill="1" applyBorder="1"/>
    <xf numFmtId="0" fontId="0" fillId="39" borderId="35" xfId="0" applyFill="1" applyBorder="1"/>
    <xf numFmtId="0" fontId="4" fillId="40" borderId="1" xfId="0" applyFont="1" applyFill="1" applyBorder="1" applyAlignment="1">
      <alignment vertical="center"/>
    </xf>
    <xf numFmtId="0" fontId="16" fillId="13" borderId="7" xfId="0" applyFont="1" applyFill="1" applyBorder="1" applyAlignment="1">
      <alignment vertical="center"/>
    </xf>
  </cellXfs>
  <cellStyles count="712">
    <cellStyle name="20% - ANZg1" xfId="640"/>
    <cellStyle name="20% - ANZg2" xfId="641"/>
    <cellStyle name="20% - ANZg3" xfId="642"/>
    <cellStyle name="20% - ANZg4" xfId="643"/>
    <cellStyle name="20% - ANZg5" xfId="644"/>
    <cellStyle name="20% - ANZg6" xfId="645"/>
    <cellStyle name="40% - ANZg1" xfId="646"/>
    <cellStyle name="40% - ANZg2" xfId="647"/>
    <cellStyle name="40% - ANZg3" xfId="648"/>
    <cellStyle name="40% - ANZg4" xfId="649"/>
    <cellStyle name="40% - ANZg5" xfId="650"/>
    <cellStyle name="40% - ANZg6" xfId="651"/>
    <cellStyle name="60% - ANZg1" xfId="652"/>
    <cellStyle name="60% - ANZg2" xfId="653"/>
    <cellStyle name="60% - ANZg3" xfId="654"/>
    <cellStyle name="60% - ANZg4" xfId="655"/>
    <cellStyle name="60% - ANZg5" xfId="656"/>
    <cellStyle name="60% - ANZg6" xfId="657"/>
    <cellStyle name="Excel Built-in Normal" xfId="428"/>
    <cellStyle name="^Cg" xfId="635"/>
    <cellStyle name="`FbN Z" xfId="634"/>
    <cellStyle name="ANZg 1" xfId="659"/>
    <cellStyle name="ANZg 2" xfId="660"/>
    <cellStyle name="ANZg 3" xfId="661"/>
    <cellStyle name="ANZg 4" xfId="662"/>
    <cellStyle name="ANZg 5" xfId="663"/>
    <cellStyle name="ANZg 6" xfId="664"/>
    <cellStyle name="" xfId="629"/>
    <cellStyle name="N Z" xfId="667"/>
    <cellStyle name="_" xfId="630"/>
    <cellStyle name="«¢" xfId="633"/>
    <cellStyle name="vZ" xfId="672"/>
    <cellStyle name="x÷" xfId="674"/>
    <cellStyle name="x¶" xfId="673"/>
    <cellStyle name="ýo_ 1" xfId="675"/>
    <cellStyle name="©oµ 1" xfId="636"/>
    <cellStyle name="©oµ 2" xfId="637"/>
    <cellStyle name="©oµ 3" xfId="638"/>
    <cellStyle name="©oµ 4" xfId="639"/>
    <cellStyle name="v" xfId="671"/>
    <cellStyle name="o_" xfId="668"/>
    <cellStyle name="oÍ" xfId="669"/>
    <cellStyle name="__÷" xfId="632"/>
    <cellStyle name="à¾¶" xfId="658"/>
    <cellStyle name="__" xfId="631"/>
    <cellStyle name="üÍ" xfId="670"/>
    <cellStyle name="Ê" xfId="666"/>
    <cellStyle name="Ç¢" xfId="665"/>
    <cellStyle name="ハイパーリンク" xfId="1" builtinId="8" hidden="1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2" builtinId="8" hidden="1"/>
    <cellStyle name="ハイパーリンク" xfId="14" builtinId="8" hidden="1"/>
    <cellStyle name="ハイパーリンク" xfId="16" builtinId="8" hidden="1"/>
    <cellStyle name="ハイパーリンク" xfId="18" builtinId="8" hidden="1"/>
    <cellStyle name="ハイパーリンク" xfId="20" builtinId="8" hidden="1"/>
    <cellStyle name="ハイパーリンク" xfId="22" builtinId="8" hidden="1"/>
    <cellStyle name="ハイパーリンク" xfId="24" builtinId="8" hidden="1"/>
    <cellStyle name="ハイパーリンク" xfId="26" builtinId="8" hidden="1"/>
    <cellStyle name="ハイパーリンク" xfId="28" builtinId="8" hidden="1"/>
    <cellStyle name="ハイパーリンク" xfId="30" builtinId="8" hidden="1"/>
    <cellStyle name="ハイパーリンク" xfId="32" builtinId="8" hidden="1"/>
    <cellStyle name="ハイパーリンク" xfId="34" builtinId="8" hidden="1"/>
    <cellStyle name="ハイパーリンク" xfId="36" builtinId="8" hidden="1"/>
    <cellStyle name="ハイパーリンク" xfId="38" builtinId="8" hidden="1"/>
    <cellStyle name="ハイパーリンク" xfId="40" builtinId="8" hidden="1"/>
    <cellStyle name="ハイパーリンク" xfId="42" builtinId="8" hidden="1"/>
    <cellStyle name="ハイパーリンク" xfId="44" builtinId="8" hidden="1"/>
    <cellStyle name="ハイパーリンク" xfId="46" builtinId="8" hidden="1"/>
    <cellStyle name="ハイパーリンク" xfId="48" builtinId="8" hidden="1"/>
    <cellStyle name="ハイパーリンク" xfId="50" builtinId="8" hidden="1"/>
    <cellStyle name="ハイパーリンク" xfId="52" builtinId="8" hidden="1"/>
    <cellStyle name="ハイパーリンク" xfId="54" builtinId="8" hidden="1"/>
    <cellStyle name="ハイパーリンク" xfId="56" builtinId="8" hidden="1"/>
    <cellStyle name="ハイパーリンク" xfId="58" builtinId="8" hidden="1"/>
    <cellStyle name="ハイパーリンク" xfId="60" builtinId="8" hidden="1"/>
    <cellStyle name="ハイパーリンク" xfId="62" builtinId="8" hidden="1"/>
    <cellStyle name="ハイパーリンク" xfId="64" builtinId="8" hidden="1"/>
    <cellStyle name="ハイパーリンク" xfId="66" builtinId="8" hidden="1"/>
    <cellStyle name="ハイパーリンク" xfId="68" builtinId="8" hidden="1"/>
    <cellStyle name="ハイパーリンク" xfId="70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桁区切り 2" xfId="429"/>
    <cellStyle name="桁区切り 2 2" xfId="628"/>
    <cellStyle name="標準" xfId="0" builtinId="0"/>
    <cellStyle name="標準 2" xfId="432"/>
    <cellStyle name="標準 2 2" xfId="433"/>
    <cellStyle name="標準 3" xfId="434"/>
    <cellStyle name="標準 4" xfId="11"/>
    <cellStyle name="標準 4 2" xfId="614"/>
    <cellStyle name="標準 5" xfId="676"/>
    <cellStyle name="標準 5 2" xfId="677"/>
    <cellStyle name="標準 6" xfId="615"/>
    <cellStyle name="無題1" xfId="435"/>
    <cellStyle name="表示済みのハイパーリンク" xfId="2" builtinId="9" hidden="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3" builtinId="9" hidden="1"/>
    <cellStyle name="表示済みのハイパーリンク" xfId="15" builtinId="9" hidden="1"/>
    <cellStyle name="表示済みのハイパーリンク" xfId="17" builtinId="9" hidden="1"/>
    <cellStyle name="表示済みのハイパーリンク" xfId="19" builtinId="9" hidden="1"/>
    <cellStyle name="表示済みのハイパーリンク" xfId="21" builtinId="9" hidden="1"/>
    <cellStyle name="表示済みのハイパーリンク" xfId="23" builtinId="9" hidden="1"/>
    <cellStyle name="表示済みのハイパーリンク" xfId="25" builtinId="9" hidden="1"/>
    <cellStyle name="表示済みのハイパーリンク" xfId="27" builtinId="9" hidden="1"/>
    <cellStyle name="表示済みのハイパーリンク" xfId="29" builtinId="9" hidden="1"/>
    <cellStyle name="表示済みのハイパーリンク" xfId="31" builtinId="9" hidden="1"/>
    <cellStyle name="表示済みのハイパーリンク" xfId="33" builtinId="9" hidden="1"/>
    <cellStyle name="表示済みのハイパーリンク" xfId="35" builtinId="9" hidden="1"/>
    <cellStyle name="表示済みのハイパーリンク" xfId="37" builtinId="9" hidden="1"/>
    <cellStyle name="表示済みのハイパーリンク" xfId="39" builtinId="9" hidden="1"/>
    <cellStyle name="表示済みのハイパーリンク" xfId="41" builtinId="9" hidden="1"/>
    <cellStyle name="表示済みのハイパーリンク" xfId="43" builtinId="9" hidden="1"/>
    <cellStyle name="表示済みのハイパーリンク" xfId="45" builtinId="9" hidden="1"/>
    <cellStyle name="表示済みのハイパーリンク" xfId="47" builtinId="9" hidden="1"/>
    <cellStyle name="表示済みのハイパーリンク" xfId="49" builtinId="9" hidden="1"/>
    <cellStyle name="表示済みのハイパーリンク" xfId="51" builtinId="9" hidden="1"/>
    <cellStyle name="表示済みのハイパーリンク" xfId="53" builtinId="9" hidden="1"/>
    <cellStyle name="表示済みのハイパーリンク" xfId="55" builtinId="9" hidden="1"/>
    <cellStyle name="表示済みのハイパーリンク" xfId="57" builtinId="9" hidden="1"/>
    <cellStyle name="表示済みのハイパーリンク" xfId="59" builtinId="9" hidden="1"/>
    <cellStyle name="表示済みのハイパーリンク" xfId="61" builtinId="9" hidden="1"/>
    <cellStyle name="表示済みのハイパーリンク" xfId="63" builtinId="9" hidden="1"/>
    <cellStyle name="表示済みのハイパーリンク" xfId="65" builtinId="9" hidden="1"/>
    <cellStyle name="表示済みのハイパーリンク" xfId="67" builtinId="9" hidden="1"/>
    <cellStyle name="表示済みのハイパーリンク" xfId="69" builtinId="9" hidden="1"/>
    <cellStyle name="表示済みのハイパーリンク" xfId="71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赤字強調" xfId="431"/>
    <cellStyle name="青字強調" xfId="430"/>
  </cellStyles>
  <dxfs count="2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F6B16"/>
      <color rgb="FFFE9FD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calcChain" Target="calcChain.xml"/><Relationship Id="rId21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externalLink" Target="externalLinks/externalLink1.xml"/><Relationship Id="rId13" Type="http://schemas.openxmlformats.org/officeDocument/2006/relationships/externalLink" Target="externalLinks/externalLink2.xml"/><Relationship Id="rId14" Type="http://schemas.openxmlformats.org/officeDocument/2006/relationships/externalLink" Target="externalLinks/externalLink3.xml"/><Relationship Id="rId15" Type="http://schemas.openxmlformats.org/officeDocument/2006/relationships/externalLink" Target="externalLinks/externalLink4.xml"/><Relationship Id="rId16" Type="http://schemas.openxmlformats.org/officeDocument/2006/relationships/externalLink" Target="externalLinks/externalLink5.xml"/><Relationship Id="rId17" Type="http://schemas.openxmlformats.org/officeDocument/2006/relationships/theme" Target="theme/theme1.xml"/><Relationship Id="rId18" Type="http://schemas.openxmlformats.org/officeDocument/2006/relationships/styles" Target="styles.xml"/><Relationship Id="rId1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@/psf/Home/Users/sumi/Desktop/&#20316;&#26989;&#29992;/%20&#12503;&#12525;&#12480;&#12463;&#12488;&#12510;&#12493;&#12540;&#12472;&#12515;/&#12487;&#12540;&#12479;&#12471;&#12540;&#12488;/&#12518;&#12491;&#12483;&#12488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QuestMaster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MasterData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Defini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ユニット基礎設計"/>
      <sheetName val="ユニット"/>
      <sheetName val="characters_i18n"/>
      <sheetName val="unit_levels"/>
      <sheetName val="characters"/>
      <sheetName val="units"/>
      <sheetName val="character_type_i18n"/>
      <sheetName val="character_tribe_i18n"/>
      <sheetName val="awake_materials"/>
      <sheetName val="awake_material_habitats"/>
      <sheetName val="limitbreak_materials"/>
      <sheetName val="unit_skills"/>
      <sheetName val="スキル仕様"/>
      <sheetName val="party_skills"/>
      <sheetName val="パーティスキル仕様"/>
      <sheetName val="パラメータ仕様"/>
      <sheetName val="unit_skill_up_patterns"/>
      <sheetName val="スキルラベル"/>
      <sheetName val="コスト"/>
      <sheetName val="レベル"/>
      <sheetName val="経験値"/>
      <sheetName val="RC6SV"/>
      <sheetName val="属性"/>
      <sheetName val="マナ"/>
      <sheetName val="経験値テーブル"/>
      <sheetName val="素材経験値"/>
      <sheetName val="売却ビット係数"/>
      <sheetName val="Sheet1"/>
      <sheetName val="localized_texts"/>
      <sheetName val="character_types"/>
      <sheetName val="character_tribes"/>
      <sheetName val="mst_evolution"/>
      <sheetName val="group_skills"/>
      <sheetName val="grimoires(extended)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/>
      <sheetData sheetId="23"/>
      <sheetData sheetId="24"/>
      <sheetData sheetId="25"/>
      <sheetData sheetId="26"/>
      <sheetData sheetId="27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マスタ"/>
      <sheetName val="quests"/>
      <sheetName val="stages"/>
      <sheetName val="weekly_quests"/>
      <sheetName val="rank_quests"/>
      <sheetName val="event_quests"/>
      <sheetName val="banners"/>
      <sheetName val="guerilla_quests"/>
      <sheetName val="noon_guerilla_times"/>
      <sheetName val="night_guerilla_times"/>
      <sheetName val="automatic_quest_bonuses"/>
    </sheetNames>
    <sheetDataSet>
      <sheetData sheetId="0"/>
      <sheetData sheetId="1"/>
      <sheetData sheetId="2">
        <row r="1">
          <cell r="A1" t="str">
            <v>quest_id</v>
          </cell>
          <cell r="B1" t="str">
            <v>quest_type</v>
          </cell>
          <cell r="C1" t="str">
            <v>language</v>
          </cell>
          <cell r="D1" t="str">
            <v>name</v>
          </cell>
          <cell r="E1" t="str">
            <v>detail</v>
          </cell>
          <cell r="F1" t="str">
            <v>valid_flg</v>
          </cell>
          <cell r="G1" t="str">
            <v>pay_limit_time</v>
          </cell>
          <cell r="H1" t="str">
            <v>attribute_red</v>
          </cell>
          <cell r="I1" t="str">
            <v>attribute_blue</v>
          </cell>
          <cell r="J1" t="str">
            <v>attribute_green</v>
          </cell>
          <cell r="K1" t="str">
            <v>attribute_yellow</v>
          </cell>
          <cell r="L1" t="str">
            <v>story</v>
          </cell>
          <cell r="M1" t="str">
            <v>story文字数</v>
          </cell>
          <cell r="N1" t="str">
            <v>位置付け</v>
          </cell>
          <cell r="O1" t="str">
            <v>備考</v>
          </cell>
          <cell r="P1" t="str">
            <v>options</v>
          </cell>
          <cell r="Q1" t="str">
            <v>help_myself</v>
          </cell>
          <cell r="R1" t="str">
            <v>preview_start_date</v>
          </cell>
          <cell r="S1" t="str">
            <v>preview_end_date</v>
          </cell>
        </row>
        <row r="2">
          <cell r="A2">
            <v>0</v>
          </cell>
        </row>
        <row r="3">
          <cell r="A3">
            <v>1</v>
          </cell>
        </row>
        <row r="4">
          <cell r="A4">
            <v>2</v>
          </cell>
        </row>
        <row r="5">
          <cell r="A5">
            <v>3</v>
          </cell>
        </row>
        <row r="6">
          <cell r="A6">
            <v>4</v>
          </cell>
        </row>
        <row r="7">
          <cell r="A7">
            <v>5</v>
          </cell>
        </row>
        <row r="8">
          <cell r="A8">
            <v>6</v>
          </cell>
        </row>
        <row r="9">
          <cell r="A9">
            <v>7</v>
          </cell>
        </row>
        <row r="10">
          <cell r="A10">
            <v>8</v>
          </cell>
        </row>
        <row r="11">
          <cell r="A11">
            <v>9</v>
          </cell>
        </row>
        <row r="12">
          <cell r="A12">
            <v>10</v>
          </cell>
        </row>
        <row r="13">
          <cell r="A13">
            <v>11</v>
          </cell>
        </row>
        <row r="14">
          <cell r="A14">
            <v>12</v>
          </cell>
        </row>
        <row r="15">
          <cell r="A15">
            <v>13</v>
          </cell>
        </row>
        <row r="16">
          <cell r="A16">
            <v>14</v>
          </cell>
        </row>
        <row r="17">
          <cell r="A17">
            <v>15</v>
          </cell>
        </row>
        <row r="18">
          <cell r="A18">
            <v>16</v>
          </cell>
        </row>
        <row r="19">
          <cell r="A19">
            <v>17</v>
          </cell>
        </row>
        <row r="20">
          <cell r="A20">
            <v>18</v>
          </cell>
        </row>
        <row r="21">
          <cell r="A21">
            <v>19</v>
          </cell>
        </row>
        <row r="22">
          <cell r="A22">
            <v>20</v>
          </cell>
        </row>
        <row r="23">
          <cell r="A23">
            <v>21</v>
          </cell>
        </row>
        <row r="24">
          <cell r="A24">
            <v>22</v>
          </cell>
        </row>
        <row r="25">
          <cell r="A25">
            <v>23</v>
          </cell>
        </row>
        <row r="26">
          <cell r="A26">
            <v>24</v>
          </cell>
        </row>
        <row r="27">
          <cell r="A27">
            <v>25</v>
          </cell>
        </row>
        <row r="28">
          <cell r="A28">
            <v>26</v>
          </cell>
        </row>
        <row r="29">
          <cell r="A29">
            <v>27</v>
          </cell>
        </row>
        <row r="30">
          <cell r="A30">
            <v>28</v>
          </cell>
        </row>
        <row r="31">
          <cell r="A31">
            <v>29</v>
          </cell>
        </row>
        <row r="32">
          <cell r="A32">
            <v>30</v>
          </cell>
        </row>
        <row r="33">
          <cell r="A33">
            <v>31</v>
          </cell>
        </row>
        <row r="34">
          <cell r="A34">
            <v>10008</v>
          </cell>
        </row>
        <row r="35">
          <cell r="A35">
            <v>10010</v>
          </cell>
        </row>
        <row r="36">
          <cell r="A36">
            <v>10015</v>
          </cell>
        </row>
        <row r="37">
          <cell r="A37">
            <v>10020</v>
          </cell>
        </row>
        <row r="38">
          <cell r="A38">
            <v>10025</v>
          </cell>
        </row>
        <row r="39">
          <cell r="A39">
            <v>10030</v>
          </cell>
        </row>
        <row r="40">
          <cell r="A40">
            <v>10035</v>
          </cell>
        </row>
        <row r="41">
          <cell r="A41">
            <v>10040</v>
          </cell>
        </row>
        <row r="42">
          <cell r="A42">
            <v>10045</v>
          </cell>
        </row>
        <row r="43">
          <cell r="A43">
            <v>10050</v>
          </cell>
        </row>
        <row r="44">
          <cell r="A44">
            <v>10055</v>
          </cell>
        </row>
        <row r="45">
          <cell r="A45">
            <v>10060</v>
          </cell>
        </row>
        <row r="46">
          <cell r="A46">
            <v>10065</v>
          </cell>
        </row>
        <row r="47">
          <cell r="A47">
            <v>10090</v>
          </cell>
        </row>
        <row r="48">
          <cell r="A48">
            <v>10100</v>
          </cell>
        </row>
        <row r="49">
          <cell r="A49">
            <v>11001</v>
          </cell>
        </row>
        <row r="50">
          <cell r="A50">
            <v>11002</v>
          </cell>
        </row>
        <row r="51">
          <cell r="A51">
            <v>11003</v>
          </cell>
        </row>
        <row r="52">
          <cell r="A52">
            <v>11004</v>
          </cell>
        </row>
        <row r="53">
          <cell r="A53">
            <v>11005</v>
          </cell>
        </row>
        <row r="54">
          <cell r="A54">
            <v>11006</v>
          </cell>
        </row>
        <row r="55">
          <cell r="A55">
            <v>11007</v>
          </cell>
        </row>
        <row r="56">
          <cell r="A56">
            <v>11008</v>
          </cell>
        </row>
        <row r="57">
          <cell r="A57">
            <v>11101</v>
          </cell>
        </row>
        <row r="58">
          <cell r="A58">
            <v>11102</v>
          </cell>
        </row>
        <row r="59">
          <cell r="A59">
            <v>11103</v>
          </cell>
        </row>
        <row r="60">
          <cell r="A60">
            <v>11104</v>
          </cell>
        </row>
        <row r="61">
          <cell r="A61">
            <v>11105</v>
          </cell>
        </row>
        <row r="62">
          <cell r="A62">
            <v>11106</v>
          </cell>
        </row>
        <row r="63">
          <cell r="A63">
            <v>11206</v>
          </cell>
        </row>
        <row r="64">
          <cell r="A64">
            <v>11016</v>
          </cell>
        </row>
        <row r="65">
          <cell r="A65">
            <v>11017</v>
          </cell>
        </row>
        <row r="66">
          <cell r="A66">
            <v>11018</v>
          </cell>
        </row>
        <row r="67">
          <cell r="A67">
            <v>11207</v>
          </cell>
        </row>
        <row r="68">
          <cell r="A68">
            <v>11208</v>
          </cell>
        </row>
        <row r="69">
          <cell r="A69">
            <v>11209</v>
          </cell>
        </row>
        <row r="70">
          <cell r="A70">
            <v>11210</v>
          </cell>
        </row>
        <row r="71">
          <cell r="A71">
            <v>11211</v>
          </cell>
        </row>
        <row r="72">
          <cell r="A72">
            <v>11212</v>
          </cell>
        </row>
        <row r="73">
          <cell r="A73">
            <v>11213</v>
          </cell>
        </row>
        <row r="74">
          <cell r="A74">
            <v>11214</v>
          </cell>
        </row>
        <row r="75">
          <cell r="A75">
            <v>11215</v>
          </cell>
        </row>
        <row r="76">
          <cell r="A76">
            <v>11216</v>
          </cell>
        </row>
        <row r="77">
          <cell r="A77">
            <v>11217</v>
          </cell>
        </row>
        <row r="78">
          <cell r="A78">
            <v>11218</v>
          </cell>
        </row>
        <row r="79">
          <cell r="A79">
            <v>11219</v>
          </cell>
        </row>
        <row r="80">
          <cell r="A80">
            <v>11220</v>
          </cell>
        </row>
        <row r="81">
          <cell r="A81">
            <v>11221</v>
          </cell>
        </row>
        <row r="82">
          <cell r="A82">
            <v>11224</v>
          </cell>
        </row>
        <row r="83">
          <cell r="A83">
            <v>11225</v>
          </cell>
        </row>
        <row r="84">
          <cell r="A84">
            <v>11226</v>
          </cell>
        </row>
        <row r="85">
          <cell r="A85">
            <v>11227</v>
          </cell>
        </row>
        <row r="86">
          <cell r="A86">
            <v>11228</v>
          </cell>
        </row>
        <row r="87">
          <cell r="A87">
            <v>11229</v>
          </cell>
        </row>
        <row r="88">
          <cell r="A88">
            <v>11230</v>
          </cell>
        </row>
        <row r="89">
          <cell r="A89">
            <v>11231</v>
          </cell>
        </row>
        <row r="90">
          <cell r="A90">
            <v>12001</v>
          </cell>
        </row>
        <row r="91">
          <cell r="A91">
            <v>12002</v>
          </cell>
        </row>
        <row r="92">
          <cell r="A92">
            <v>12003</v>
          </cell>
        </row>
        <row r="93">
          <cell r="A93">
            <v>12004</v>
          </cell>
        </row>
        <row r="94">
          <cell r="A94">
            <v>13001</v>
          </cell>
        </row>
        <row r="95">
          <cell r="A95">
            <v>13101</v>
          </cell>
        </row>
        <row r="96">
          <cell r="A96">
            <v>13300</v>
          </cell>
        </row>
        <row r="97">
          <cell r="A97">
            <v>13301</v>
          </cell>
        </row>
        <row r="98">
          <cell r="A98">
            <v>13302</v>
          </cell>
        </row>
        <row r="99">
          <cell r="A99">
            <v>13400</v>
          </cell>
        </row>
        <row r="100">
          <cell r="A100">
            <v>14001</v>
          </cell>
        </row>
        <row r="101">
          <cell r="A101">
            <v>14002</v>
          </cell>
        </row>
        <row r="102">
          <cell r="A102">
            <v>14003</v>
          </cell>
        </row>
        <row r="103">
          <cell r="A103">
            <v>14004</v>
          </cell>
        </row>
        <row r="104">
          <cell r="A104">
            <v>14005</v>
          </cell>
        </row>
        <row r="105">
          <cell r="A105">
            <v>14006</v>
          </cell>
        </row>
        <row r="106">
          <cell r="A106">
            <v>15027</v>
          </cell>
        </row>
        <row r="107">
          <cell r="A107">
            <v>15028</v>
          </cell>
        </row>
        <row r="108">
          <cell r="A108">
            <v>15029</v>
          </cell>
        </row>
        <row r="109">
          <cell r="A109">
            <v>15030</v>
          </cell>
        </row>
        <row r="110">
          <cell r="A110">
            <v>15031</v>
          </cell>
        </row>
        <row r="111">
          <cell r="A111">
            <v>20001</v>
          </cell>
        </row>
        <row r="112">
          <cell r="A112">
            <v>20002</v>
          </cell>
        </row>
        <row r="113">
          <cell r="A113">
            <v>20003</v>
          </cell>
        </row>
        <row r="114">
          <cell r="A114">
            <v>20004</v>
          </cell>
        </row>
        <row r="115">
          <cell r="A115">
            <v>20005</v>
          </cell>
        </row>
        <row r="116">
          <cell r="A116">
            <v>20006</v>
          </cell>
        </row>
        <row r="117">
          <cell r="A117">
            <v>20007</v>
          </cell>
        </row>
        <row r="118">
          <cell r="A118">
            <v>20008</v>
          </cell>
        </row>
        <row r="119">
          <cell r="A119">
            <v>20009</v>
          </cell>
        </row>
        <row r="120">
          <cell r="A120">
            <v>20010</v>
          </cell>
        </row>
        <row r="121">
          <cell r="A121">
            <v>20011</v>
          </cell>
        </row>
        <row r="122">
          <cell r="A122">
            <v>20012</v>
          </cell>
        </row>
        <row r="123">
          <cell r="A123">
            <v>20013</v>
          </cell>
        </row>
        <row r="124">
          <cell r="A124">
            <v>20014</v>
          </cell>
        </row>
        <row r="125">
          <cell r="A125">
            <v>20015</v>
          </cell>
        </row>
        <row r="126">
          <cell r="A126">
            <v>20016</v>
          </cell>
        </row>
        <row r="127">
          <cell r="A127">
            <v>20017</v>
          </cell>
        </row>
        <row r="128">
          <cell r="A128">
            <v>20018</v>
          </cell>
        </row>
        <row r="129">
          <cell r="A129">
            <v>20019</v>
          </cell>
        </row>
        <row r="130">
          <cell r="A130">
            <v>20020</v>
          </cell>
        </row>
        <row r="131">
          <cell r="A131">
            <v>20021</v>
          </cell>
        </row>
        <row r="132">
          <cell r="A132">
            <v>20022</v>
          </cell>
        </row>
        <row r="133">
          <cell r="A133">
            <v>30001</v>
          </cell>
        </row>
        <row r="134">
          <cell r="A134">
            <v>30002</v>
          </cell>
        </row>
        <row r="135">
          <cell r="A135">
            <v>30003</v>
          </cell>
        </row>
        <row r="136">
          <cell r="A136">
            <v>30004</v>
          </cell>
        </row>
        <row r="137">
          <cell r="A137">
            <v>30005</v>
          </cell>
        </row>
        <row r="138">
          <cell r="A138">
            <v>30006</v>
          </cell>
        </row>
        <row r="139">
          <cell r="A139">
            <v>30007</v>
          </cell>
        </row>
        <row r="140">
          <cell r="A140">
            <v>30008</v>
          </cell>
        </row>
        <row r="141">
          <cell r="A141">
            <v>30009</v>
          </cell>
        </row>
        <row r="142">
          <cell r="A142">
            <v>30010</v>
          </cell>
        </row>
        <row r="143">
          <cell r="A143">
            <v>30011</v>
          </cell>
        </row>
        <row r="144">
          <cell r="A144">
            <v>30012</v>
          </cell>
        </row>
        <row r="145">
          <cell r="A145">
            <v>30013</v>
          </cell>
        </row>
        <row r="146">
          <cell r="A146">
            <v>30014</v>
          </cell>
        </row>
        <row r="147">
          <cell r="A147">
            <v>30015</v>
          </cell>
        </row>
        <row r="148">
          <cell r="A148">
            <v>30016</v>
          </cell>
        </row>
        <row r="149">
          <cell r="A149">
            <v>30017</v>
          </cell>
        </row>
        <row r="150">
          <cell r="A150">
            <v>30018</v>
          </cell>
        </row>
        <row r="151">
          <cell r="A151">
            <v>30019</v>
          </cell>
        </row>
        <row r="152">
          <cell r="A152">
            <v>30020</v>
          </cell>
        </row>
        <row r="153">
          <cell r="A153">
            <v>30021</v>
          </cell>
        </row>
        <row r="154">
          <cell r="A154">
            <v>30022</v>
          </cell>
        </row>
        <row r="155">
          <cell r="A155">
            <v>30023</v>
          </cell>
        </row>
        <row r="156">
          <cell r="A156">
            <v>30024</v>
          </cell>
        </row>
        <row r="157">
          <cell r="A157">
            <v>30025</v>
          </cell>
        </row>
        <row r="158">
          <cell r="A158">
            <v>30026</v>
          </cell>
        </row>
        <row r="159">
          <cell r="A159">
            <v>30027</v>
          </cell>
        </row>
        <row r="160">
          <cell r="A160">
            <v>30028</v>
          </cell>
        </row>
        <row r="161">
          <cell r="A161">
            <v>30029</v>
          </cell>
        </row>
        <row r="162">
          <cell r="A162">
            <v>30030</v>
          </cell>
        </row>
        <row r="163">
          <cell r="A163">
            <v>30031</v>
          </cell>
        </row>
        <row r="164">
          <cell r="A164">
            <v>30032</v>
          </cell>
        </row>
        <row r="165">
          <cell r="A165">
            <v>30033</v>
          </cell>
        </row>
        <row r="166">
          <cell r="A166">
            <v>30034</v>
          </cell>
        </row>
        <row r="167">
          <cell r="A167">
            <v>30035</v>
          </cell>
        </row>
        <row r="168">
          <cell r="A168">
            <v>30036</v>
          </cell>
        </row>
        <row r="169">
          <cell r="A169">
            <v>30037</v>
          </cell>
        </row>
        <row r="170">
          <cell r="A170">
            <v>30038</v>
          </cell>
        </row>
        <row r="171">
          <cell r="A171">
            <v>30039</v>
          </cell>
        </row>
        <row r="172">
          <cell r="A172">
            <v>30040</v>
          </cell>
        </row>
        <row r="173">
          <cell r="A173">
            <v>30041</v>
          </cell>
        </row>
        <row r="174">
          <cell r="A174">
            <v>30042</v>
          </cell>
        </row>
        <row r="175">
          <cell r="A175">
            <v>30043</v>
          </cell>
        </row>
        <row r="176">
          <cell r="A176">
            <v>30044</v>
          </cell>
        </row>
        <row r="177">
          <cell r="A177">
            <v>30045</v>
          </cell>
        </row>
        <row r="178">
          <cell r="A178">
            <v>30046</v>
          </cell>
        </row>
        <row r="179">
          <cell r="A179">
            <v>30047</v>
          </cell>
        </row>
        <row r="180">
          <cell r="A180">
            <v>30048</v>
          </cell>
        </row>
        <row r="181">
          <cell r="A181">
            <v>30049</v>
          </cell>
        </row>
        <row r="182">
          <cell r="A182">
            <v>30050</v>
          </cell>
        </row>
        <row r="183">
          <cell r="A183">
            <v>38101</v>
          </cell>
        </row>
        <row r="184">
          <cell r="A184">
            <v>39001</v>
          </cell>
        </row>
        <row r="185">
          <cell r="A185">
            <v>39002</v>
          </cell>
        </row>
        <row r="186">
          <cell r="A186">
            <v>39003</v>
          </cell>
        </row>
        <row r="187">
          <cell r="A187">
            <v>39004</v>
          </cell>
        </row>
        <row r="188">
          <cell r="A188">
            <v>39005</v>
          </cell>
        </row>
        <row r="189">
          <cell r="A189">
            <v>39006</v>
          </cell>
        </row>
        <row r="190">
          <cell r="A190">
            <v>39007</v>
          </cell>
        </row>
        <row r="191">
          <cell r="A191">
            <v>39008</v>
          </cell>
        </row>
        <row r="192">
          <cell r="A192">
            <v>39009</v>
          </cell>
        </row>
        <row r="193">
          <cell r="A193">
            <v>39010</v>
          </cell>
        </row>
        <row r="194">
          <cell r="A194">
            <v>39011</v>
          </cell>
        </row>
        <row r="195">
          <cell r="A195">
            <v>39012</v>
          </cell>
        </row>
        <row r="196">
          <cell r="A196">
            <v>39013</v>
          </cell>
        </row>
        <row r="197">
          <cell r="A197">
            <v>39014</v>
          </cell>
        </row>
        <row r="198">
          <cell r="A198">
            <v>40001</v>
          </cell>
        </row>
        <row r="199">
          <cell r="A199">
            <v>40002</v>
          </cell>
        </row>
        <row r="200">
          <cell r="A200">
            <v>40003</v>
          </cell>
        </row>
        <row r="201">
          <cell r="A201">
            <v>40004</v>
          </cell>
        </row>
        <row r="202">
          <cell r="A202">
            <v>40005</v>
          </cell>
        </row>
        <row r="203">
          <cell r="A203">
            <v>40006</v>
          </cell>
        </row>
        <row r="204">
          <cell r="A204">
            <v>40007</v>
          </cell>
        </row>
        <row r="205">
          <cell r="A205">
            <v>40008</v>
          </cell>
        </row>
        <row r="206">
          <cell r="A206">
            <v>40009</v>
          </cell>
        </row>
        <row r="207">
          <cell r="A207">
            <v>40010</v>
          </cell>
        </row>
        <row r="208">
          <cell r="A208">
            <v>40011</v>
          </cell>
        </row>
        <row r="209">
          <cell r="A209">
            <v>40012</v>
          </cell>
        </row>
        <row r="210">
          <cell r="A210">
            <v>40013</v>
          </cell>
        </row>
        <row r="211">
          <cell r="A211">
            <v>40014</v>
          </cell>
        </row>
        <row r="212">
          <cell r="A212">
            <v>40015</v>
          </cell>
        </row>
        <row r="213">
          <cell r="A213">
            <v>40016</v>
          </cell>
        </row>
        <row r="214">
          <cell r="A214">
            <v>40017</v>
          </cell>
        </row>
        <row r="215">
          <cell r="A215">
            <v>40018</v>
          </cell>
        </row>
        <row r="216">
          <cell r="A216">
            <v>40019</v>
          </cell>
        </row>
        <row r="217">
          <cell r="A217">
            <v>40021</v>
          </cell>
        </row>
        <row r="218">
          <cell r="A218">
            <v>40022</v>
          </cell>
        </row>
        <row r="219">
          <cell r="A219">
            <v>40023</v>
          </cell>
        </row>
        <row r="220">
          <cell r="A220">
            <v>40024</v>
          </cell>
        </row>
        <row r="221">
          <cell r="A221">
            <v>40025</v>
          </cell>
        </row>
        <row r="222">
          <cell r="A222">
            <v>40026</v>
          </cell>
        </row>
        <row r="223">
          <cell r="A223">
            <v>40027</v>
          </cell>
        </row>
        <row r="224">
          <cell r="A224">
            <v>40028</v>
          </cell>
        </row>
        <row r="225">
          <cell r="A225">
            <v>40029</v>
          </cell>
        </row>
        <row r="226">
          <cell r="A226">
            <v>40030</v>
          </cell>
        </row>
        <row r="227">
          <cell r="A227">
            <v>40031</v>
          </cell>
        </row>
        <row r="228">
          <cell r="A228">
            <v>40032</v>
          </cell>
        </row>
        <row r="229">
          <cell r="A229">
            <v>40033</v>
          </cell>
        </row>
        <row r="230">
          <cell r="A230">
            <v>40034</v>
          </cell>
        </row>
        <row r="231">
          <cell r="A231">
            <v>40035</v>
          </cell>
        </row>
        <row r="232">
          <cell r="A232">
            <v>40036</v>
          </cell>
        </row>
        <row r="233">
          <cell r="A233">
            <v>40037</v>
          </cell>
        </row>
        <row r="234">
          <cell r="A234">
            <v>40038</v>
          </cell>
        </row>
        <row r="235">
          <cell r="A235">
            <v>40039</v>
          </cell>
        </row>
        <row r="236">
          <cell r="A236">
            <v>40040</v>
          </cell>
        </row>
        <row r="237">
          <cell r="A237">
            <v>40041</v>
          </cell>
        </row>
        <row r="238">
          <cell r="A238">
            <v>40042</v>
          </cell>
        </row>
        <row r="239">
          <cell r="A239">
            <v>40043</v>
          </cell>
        </row>
        <row r="240">
          <cell r="A240">
            <v>40044</v>
          </cell>
        </row>
        <row r="241">
          <cell r="A241">
            <v>40045</v>
          </cell>
        </row>
        <row r="242">
          <cell r="A242">
            <v>40046</v>
          </cell>
        </row>
        <row r="243">
          <cell r="A243">
            <v>48001</v>
          </cell>
        </row>
        <row r="244">
          <cell r="A244">
            <v>48002</v>
          </cell>
        </row>
        <row r="245">
          <cell r="A245">
            <v>48003</v>
          </cell>
        </row>
        <row r="246">
          <cell r="A246">
            <v>48004</v>
          </cell>
        </row>
        <row r="247">
          <cell r="A247">
            <v>48005</v>
          </cell>
        </row>
        <row r="248">
          <cell r="A248">
            <v>48006</v>
          </cell>
        </row>
        <row r="249">
          <cell r="A249">
            <v>48007</v>
          </cell>
        </row>
        <row r="250">
          <cell r="A250">
            <v>48008</v>
          </cell>
        </row>
        <row r="251">
          <cell r="A251">
            <v>48009</v>
          </cell>
        </row>
        <row r="252">
          <cell r="A252">
            <v>48010</v>
          </cell>
        </row>
        <row r="253">
          <cell r="A253">
            <v>48011</v>
          </cell>
        </row>
        <row r="254">
          <cell r="A254">
            <v>48012</v>
          </cell>
        </row>
        <row r="255">
          <cell r="A255">
            <v>48013</v>
          </cell>
        </row>
        <row r="256">
          <cell r="A256">
            <v>48014</v>
          </cell>
        </row>
        <row r="257">
          <cell r="A257">
            <v>48015</v>
          </cell>
        </row>
        <row r="258">
          <cell r="A258">
            <v>48016</v>
          </cell>
        </row>
        <row r="259">
          <cell r="A259">
            <v>48101</v>
          </cell>
        </row>
        <row r="260">
          <cell r="A260">
            <v>48501</v>
          </cell>
        </row>
        <row r="261">
          <cell r="A261">
            <v>48502</v>
          </cell>
        </row>
        <row r="262">
          <cell r="A262">
            <v>48503</v>
          </cell>
        </row>
        <row r="263">
          <cell r="A263">
            <v>48504</v>
          </cell>
        </row>
        <row r="264">
          <cell r="A264">
            <v>48701</v>
          </cell>
        </row>
        <row r="265">
          <cell r="A265">
            <v>48702</v>
          </cell>
        </row>
        <row r="266">
          <cell r="A266">
            <v>48703</v>
          </cell>
        </row>
        <row r="267">
          <cell r="A267">
            <v>41001</v>
          </cell>
        </row>
        <row r="268">
          <cell r="A268">
            <v>41002</v>
          </cell>
        </row>
        <row r="269">
          <cell r="A269">
            <v>41003</v>
          </cell>
        </row>
        <row r="270">
          <cell r="A270">
            <v>41004</v>
          </cell>
        </row>
        <row r="271">
          <cell r="A271">
            <v>41005</v>
          </cell>
        </row>
        <row r="272">
          <cell r="A272">
            <v>41006</v>
          </cell>
        </row>
        <row r="273">
          <cell r="A273">
            <v>41007</v>
          </cell>
        </row>
        <row r="274">
          <cell r="A274">
            <v>41008</v>
          </cell>
        </row>
        <row r="275">
          <cell r="A275">
            <v>41009</v>
          </cell>
        </row>
        <row r="276">
          <cell r="A276">
            <v>41010</v>
          </cell>
        </row>
        <row r="277">
          <cell r="A277">
            <v>41011</v>
          </cell>
        </row>
        <row r="278">
          <cell r="A278">
            <v>41012</v>
          </cell>
        </row>
        <row r="279">
          <cell r="A279">
            <v>41013</v>
          </cell>
        </row>
        <row r="280">
          <cell r="A280">
            <v>41014</v>
          </cell>
        </row>
        <row r="281">
          <cell r="A281">
            <v>41015</v>
          </cell>
        </row>
        <row r="282">
          <cell r="A282">
            <v>47001</v>
          </cell>
        </row>
        <row r="283">
          <cell r="A283">
            <v>47002</v>
          </cell>
        </row>
        <row r="284">
          <cell r="A284">
            <v>47003</v>
          </cell>
        </row>
        <row r="285">
          <cell r="A285">
            <v>47004</v>
          </cell>
        </row>
        <row r="286">
          <cell r="A286">
            <v>47005</v>
          </cell>
        </row>
        <row r="287">
          <cell r="A287">
            <v>47006</v>
          </cell>
        </row>
        <row r="288">
          <cell r="A288">
            <v>47007</v>
          </cell>
        </row>
        <row r="289">
          <cell r="A289">
            <v>47008</v>
          </cell>
        </row>
        <row r="290">
          <cell r="A290">
            <v>47009</v>
          </cell>
        </row>
        <row r="291">
          <cell r="A291">
            <v>47010</v>
          </cell>
        </row>
        <row r="292">
          <cell r="A292">
            <v>47011</v>
          </cell>
        </row>
        <row r="293">
          <cell r="A293">
            <v>47012</v>
          </cell>
        </row>
        <row r="294">
          <cell r="A294">
            <v>47013</v>
          </cell>
        </row>
        <row r="295">
          <cell r="A295">
            <v>47014</v>
          </cell>
        </row>
        <row r="296">
          <cell r="A296">
            <v>47015</v>
          </cell>
        </row>
        <row r="297">
          <cell r="A297">
            <v>47016</v>
          </cell>
        </row>
        <row r="298">
          <cell r="A298">
            <v>49001</v>
          </cell>
        </row>
        <row r="299">
          <cell r="A299">
            <v>49002</v>
          </cell>
        </row>
        <row r="300">
          <cell r="A300">
            <v>49003</v>
          </cell>
        </row>
        <row r="301">
          <cell r="A301">
            <v>49004</v>
          </cell>
        </row>
        <row r="302">
          <cell r="A302">
            <v>49005</v>
          </cell>
        </row>
        <row r="303">
          <cell r="A303">
            <v>49006</v>
          </cell>
        </row>
        <row r="304">
          <cell r="A304">
            <v>49007</v>
          </cell>
        </row>
        <row r="305">
          <cell r="A305">
            <v>49008</v>
          </cell>
        </row>
        <row r="306">
          <cell r="A306">
            <v>49009</v>
          </cell>
        </row>
        <row r="307">
          <cell r="A307">
            <v>49010</v>
          </cell>
        </row>
        <row r="308">
          <cell r="A308">
            <v>49011</v>
          </cell>
        </row>
        <row r="309">
          <cell r="A309">
            <v>49012</v>
          </cell>
        </row>
        <row r="310">
          <cell r="A310">
            <v>49013</v>
          </cell>
        </row>
        <row r="311">
          <cell r="A311">
            <v>49014</v>
          </cell>
        </row>
        <row r="312">
          <cell r="A312">
            <v>49015</v>
          </cell>
        </row>
        <row r="313">
          <cell r="A313">
            <v>49016</v>
          </cell>
        </row>
        <row r="314">
          <cell r="A314">
            <v>50001</v>
          </cell>
        </row>
        <row r="315">
          <cell r="A315">
            <v>50002</v>
          </cell>
        </row>
        <row r="316">
          <cell r="A316">
            <v>50003</v>
          </cell>
        </row>
        <row r="317">
          <cell r="A317">
            <v>50004</v>
          </cell>
        </row>
        <row r="318">
          <cell r="A318">
            <v>50005</v>
          </cell>
        </row>
        <row r="319">
          <cell r="A319">
            <v>50006</v>
          </cell>
        </row>
        <row r="320">
          <cell r="A320">
            <v>50007</v>
          </cell>
        </row>
        <row r="321">
          <cell r="A321">
            <v>50008</v>
          </cell>
        </row>
        <row r="322">
          <cell r="A322">
            <v>50009</v>
          </cell>
        </row>
        <row r="323">
          <cell r="A323">
            <v>50010</v>
          </cell>
        </row>
        <row r="324">
          <cell r="A324">
            <v>50011</v>
          </cell>
        </row>
        <row r="325">
          <cell r="A325">
            <v>50012</v>
          </cell>
        </row>
        <row r="326">
          <cell r="A326">
            <v>50013</v>
          </cell>
        </row>
        <row r="327">
          <cell r="A327">
            <v>50014</v>
          </cell>
        </row>
        <row r="328">
          <cell r="A328">
            <v>50015</v>
          </cell>
        </row>
        <row r="329">
          <cell r="A329">
            <v>50016</v>
          </cell>
        </row>
        <row r="330">
          <cell r="A330">
            <v>51001</v>
          </cell>
        </row>
        <row r="331">
          <cell r="A331">
            <v>51002</v>
          </cell>
        </row>
        <row r="332">
          <cell r="A332">
            <v>58001</v>
          </cell>
        </row>
        <row r="333">
          <cell r="A333">
            <v>58002</v>
          </cell>
        </row>
        <row r="334">
          <cell r="A334">
            <v>58003</v>
          </cell>
        </row>
        <row r="335">
          <cell r="A335">
            <v>58101</v>
          </cell>
        </row>
        <row r="336">
          <cell r="A336">
            <v>59001</v>
          </cell>
        </row>
        <row r="337">
          <cell r="A337">
            <v>59002</v>
          </cell>
        </row>
        <row r="338">
          <cell r="A338">
            <v>59003</v>
          </cell>
        </row>
        <row r="339">
          <cell r="A339">
            <v>60001</v>
          </cell>
        </row>
        <row r="340">
          <cell r="A340">
            <v>60002</v>
          </cell>
        </row>
        <row r="341">
          <cell r="A341">
            <v>60003</v>
          </cell>
        </row>
        <row r="342">
          <cell r="A342">
            <v>60004</v>
          </cell>
        </row>
        <row r="343">
          <cell r="A343">
            <v>60005</v>
          </cell>
        </row>
        <row r="344">
          <cell r="A344">
            <v>60006</v>
          </cell>
        </row>
        <row r="345">
          <cell r="A345">
            <v>60007</v>
          </cell>
        </row>
        <row r="346">
          <cell r="A346">
            <v>60010</v>
          </cell>
        </row>
        <row r="347">
          <cell r="A347">
            <v>60011</v>
          </cell>
        </row>
        <row r="348">
          <cell r="A348">
            <v>61011</v>
          </cell>
        </row>
        <row r="349">
          <cell r="A349">
            <v>60012</v>
          </cell>
        </row>
        <row r="350">
          <cell r="A350">
            <v>60013</v>
          </cell>
        </row>
        <row r="351">
          <cell r="A351">
            <v>60014</v>
          </cell>
        </row>
        <row r="352">
          <cell r="A352">
            <v>60015</v>
          </cell>
        </row>
        <row r="353">
          <cell r="A353">
            <v>60016</v>
          </cell>
        </row>
        <row r="354">
          <cell r="A354">
            <v>60017</v>
          </cell>
        </row>
        <row r="355">
          <cell r="A355">
            <v>60018</v>
          </cell>
        </row>
        <row r="356">
          <cell r="A356">
            <v>60019</v>
          </cell>
        </row>
        <row r="357">
          <cell r="A357">
            <v>60020</v>
          </cell>
        </row>
        <row r="358">
          <cell r="A358">
            <v>60025</v>
          </cell>
        </row>
        <row r="359">
          <cell r="A359">
            <v>60026</v>
          </cell>
        </row>
        <row r="360">
          <cell r="A360">
            <v>60027</v>
          </cell>
        </row>
        <row r="361">
          <cell r="A361">
            <v>60028</v>
          </cell>
        </row>
        <row r="362">
          <cell r="A362">
            <v>60029</v>
          </cell>
        </row>
        <row r="363">
          <cell r="A363">
            <v>60030</v>
          </cell>
        </row>
        <row r="364">
          <cell r="A364">
            <v>60031</v>
          </cell>
        </row>
        <row r="365">
          <cell r="A365">
            <v>60032</v>
          </cell>
        </row>
        <row r="366">
          <cell r="A366">
            <v>61001</v>
          </cell>
        </row>
        <row r="367">
          <cell r="A367">
            <v>65523</v>
          </cell>
        </row>
        <row r="368">
          <cell r="A368">
            <v>65524</v>
          </cell>
        </row>
        <row r="369">
          <cell r="A369">
            <v>65525</v>
          </cell>
        </row>
        <row r="370">
          <cell r="A370">
            <v>65526</v>
          </cell>
        </row>
        <row r="371">
          <cell r="A371">
            <v>65527</v>
          </cell>
        </row>
        <row r="372">
          <cell r="A372">
            <v>65528</v>
          </cell>
        </row>
        <row r="373">
          <cell r="A373">
            <v>65529</v>
          </cell>
        </row>
        <row r="374">
          <cell r="A374">
            <v>65530</v>
          </cell>
        </row>
        <row r="375">
          <cell r="A375">
            <v>65531</v>
          </cell>
        </row>
        <row r="376">
          <cell r="A376">
            <v>65532</v>
          </cell>
        </row>
        <row r="377">
          <cell r="A377">
            <v>65533</v>
          </cell>
        </row>
        <row r="378">
          <cell r="A378">
            <v>65534</v>
          </cell>
        </row>
        <row r="379">
          <cell r="A379">
            <v>65535</v>
          </cell>
        </row>
        <row r="380">
          <cell r="A380">
            <v>60021</v>
          </cell>
        </row>
        <row r="381">
          <cell r="A381">
            <v>60022</v>
          </cell>
        </row>
        <row r="382">
          <cell r="A382">
            <v>60023</v>
          </cell>
        </row>
        <row r="383">
          <cell r="A383">
            <v>60024</v>
          </cell>
        </row>
      </sheetData>
      <sheetData sheetId="3">
        <row r="1">
          <cell r="A1" t="str">
            <v>ID</v>
          </cell>
        </row>
        <row r="2">
          <cell r="A2" t="str">
            <v>temp_stage</v>
          </cell>
          <cell r="B2" t="str">
            <v>valid_flg</v>
          </cell>
          <cell r="C2" t="str">
            <v>quest_id</v>
          </cell>
          <cell r="D2" t="str">
            <v>クエスト名</v>
          </cell>
          <cell r="E2" t="str">
            <v>位置付け</v>
          </cell>
          <cell r="F2" t="str">
            <v>stage_id</v>
          </cell>
          <cell r="G2" t="str">
            <v>language</v>
          </cell>
          <cell r="H2" t="str">
            <v>name</v>
          </cell>
          <cell r="I2" t="str">
            <v>位置付け</v>
          </cell>
          <cell r="J2" t="str">
            <v>thumbnail_character_id</v>
          </cell>
          <cell r="K2" t="str">
            <v>stamina</v>
          </cell>
          <cell r="L2" t="str">
            <v>rank_exp</v>
          </cell>
          <cell r="M2" t="str">
            <v>red_flg</v>
          </cell>
          <cell r="N2" t="str">
            <v>blue_flg</v>
          </cell>
          <cell r="O2" t="str">
            <v>green_flg</v>
          </cell>
          <cell r="P2" t="str">
            <v>yellow_flg</v>
          </cell>
          <cell r="Q2" t="str">
            <v>heal_flg</v>
          </cell>
          <cell r="R2" t="str">
            <v>attack_count</v>
          </cell>
          <cell r="S2" t="str">
            <v>treasure_type</v>
          </cell>
          <cell r="T2" t="str">
            <v>treasure_value</v>
          </cell>
          <cell r="U2" t="str">
            <v>prev_quest_id</v>
          </cell>
          <cell r="V2" t="str">
            <v>prev_stage_id</v>
          </cell>
          <cell r="W2" t="str">
            <v>name</v>
          </cell>
          <cell r="X2" t="str">
            <v>attribute_red</v>
          </cell>
          <cell r="Y2" t="str">
            <v>attribute_blue</v>
          </cell>
          <cell r="Z2" t="str">
            <v>attribute_green</v>
          </cell>
          <cell r="AA2" t="str">
            <v>attribute_yellow</v>
          </cell>
          <cell r="AB2" t="str">
            <v>completable_time</v>
          </cell>
          <cell r="AC2" t="str">
            <v>background</v>
          </cell>
          <cell r="AD2" t="str">
            <v>crash_panel_materials</v>
          </cell>
          <cell r="AE2" t="str">
            <v>stage_target</v>
          </cell>
          <cell r="AF2" t="str">
            <v>bgm</v>
          </cell>
          <cell r="AG2" t="str">
            <v>bgm_boss</v>
          </cell>
          <cell r="AH2" t="str">
            <v>bgm_boss_last</v>
          </cell>
          <cell r="AI2" t="str">
            <v>continue_limit</v>
          </cell>
          <cell r="AJ2" t="str">
            <v>need_rank</v>
          </cell>
          <cell r="AK2" t="str">
            <v>chat_type</v>
          </cell>
          <cell r="AL2" t="str">
            <v>treasure_bug</v>
          </cell>
          <cell r="AM2" t="str">
            <v>stage_type</v>
          </cell>
        </row>
        <row r="3">
          <cell r="A3" t="str">
            <v>0_1</v>
          </cell>
        </row>
        <row r="4">
          <cell r="A4" t="str">
            <v>0_2</v>
          </cell>
        </row>
        <row r="5">
          <cell r="A5" t="str">
            <v>1_1</v>
          </cell>
        </row>
        <row r="6">
          <cell r="A6" t="str">
            <v>1_2</v>
          </cell>
        </row>
        <row r="7">
          <cell r="A7" t="str">
            <v>1_3</v>
          </cell>
        </row>
        <row r="8">
          <cell r="A8" t="str">
            <v>1_4</v>
          </cell>
        </row>
        <row r="9">
          <cell r="A9" t="str">
            <v>2_1</v>
          </cell>
        </row>
        <row r="10">
          <cell r="A10" t="str">
            <v>2_2</v>
          </cell>
        </row>
        <row r="11">
          <cell r="A11" t="str">
            <v>2_3</v>
          </cell>
        </row>
        <row r="12">
          <cell r="A12" t="str">
            <v>2_4</v>
          </cell>
        </row>
        <row r="13">
          <cell r="A13" t="str">
            <v>3_1</v>
          </cell>
        </row>
        <row r="14">
          <cell r="A14" t="str">
            <v>3_2</v>
          </cell>
        </row>
        <row r="15">
          <cell r="A15" t="str">
            <v>3_3</v>
          </cell>
        </row>
        <row r="16">
          <cell r="A16" t="str">
            <v>3_4</v>
          </cell>
        </row>
        <row r="17">
          <cell r="A17" t="str">
            <v>4_1</v>
          </cell>
        </row>
        <row r="18">
          <cell r="A18" t="str">
            <v>4_2</v>
          </cell>
        </row>
        <row r="19">
          <cell r="A19" t="str">
            <v>4_3</v>
          </cell>
        </row>
        <row r="20">
          <cell r="A20" t="str">
            <v>4_4</v>
          </cell>
        </row>
        <row r="21">
          <cell r="A21" t="str">
            <v>5_1</v>
          </cell>
        </row>
        <row r="22">
          <cell r="A22" t="str">
            <v>5_2</v>
          </cell>
        </row>
        <row r="23">
          <cell r="A23" t="str">
            <v>5_3</v>
          </cell>
        </row>
        <row r="24">
          <cell r="A24" t="str">
            <v>5_4</v>
          </cell>
        </row>
        <row r="25">
          <cell r="A25" t="str">
            <v>6_1</v>
          </cell>
        </row>
        <row r="26">
          <cell r="A26" t="str">
            <v>6_2</v>
          </cell>
        </row>
        <row r="27">
          <cell r="A27" t="str">
            <v>6_3</v>
          </cell>
        </row>
        <row r="28">
          <cell r="A28" t="str">
            <v>6_4</v>
          </cell>
        </row>
        <row r="29">
          <cell r="A29" t="str">
            <v>6_5</v>
          </cell>
        </row>
        <row r="30">
          <cell r="A30" t="str">
            <v>6_6</v>
          </cell>
        </row>
        <row r="31">
          <cell r="A31" t="str">
            <v>7_1</v>
          </cell>
        </row>
        <row r="32">
          <cell r="A32" t="str">
            <v>7_2</v>
          </cell>
        </row>
        <row r="33">
          <cell r="A33" t="str">
            <v>7_3</v>
          </cell>
        </row>
        <row r="34">
          <cell r="A34" t="str">
            <v>7_4</v>
          </cell>
        </row>
        <row r="35">
          <cell r="A35" t="str">
            <v>7_5</v>
          </cell>
        </row>
        <row r="36">
          <cell r="A36" t="str">
            <v>7_6</v>
          </cell>
        </row>
        <row r="37">
          <cell r="A37" t="str">
            <v>8_1</v>
          </cell>
        </row>
        <row r="38">
          <cell r="A38" t="str">
            <v>8_2</v>
          </cell>
        </row>
        <row r="39">
          <cell r="A39" t="str">
            <v>8_3</v>
          </cell>
        </row>
        <row r="40">
          <cell r="A40" t="str">
            <v>8_4</v>
          </cell>
        </row>
        <row r="41">
          <cell r="A41" t="str">
            <v>8_5</v>
          </cell>
        </row>
        <row r="42">
          <cell r="A42" t="str">
            <v>8_6</v>
          </cell>
        </row>
        <row r="43">
          <cell r="A43" t="str">
            <v>9_1</v>
          </cell>
        </row>
        <row r="44">
          <cell r="A44" t="str">
            <v>9_2</v>
          </cell>
        </row>
        <row r="45">
          <cell r="A45" t="str">
            <v>9_3</v>
          </cell>
        </row>
        <row r="46">
          <cell r="A46" t="str">
            <v>9_4</v>
          </cell>
        </row>
        <row r="47">
          <cell r="A47" t="str">
            <v>9_5</v>
          </cell>
        </row>
        <row r="48">
          <cell r="A48" t="str">
            <v>9_6</v>
          </cell>
        </row>
        <row r="49">
          <cell r="A49" t="str">
            <v>10_1</v>
          </cell>
        </row>
        <row r="50">
          <cell r="A50" t="str">
            <v>10_2</v>
          </cell>
        </row>
        <row r="51">
          <cell r="A51" t="str">
            <v>10_3</v>
          </cell>
        </row>
        <row r="52">
          <cell r="A52" t="str">
            <v>10_4</v>
          </cell>
        </row>
        <row r="53">
          <cell r="A53" t="str">
            <v>10_5</v>
          </cell>
        </row>
        <row r="54">
          <cell r="A54" t="str">
            <v>10_6</v>
          </cell>
        </row>
        <row r="55">
          <cell r="A55" t="str">
            <v>11_1</v>
          </cell>
        </row>
        <row r="56">
          <cell r="A56" t="str">
            <v>11_2</v>
          </cell>
        </row>
        <row r="57">
          <cell r="A57" t="str">
            <v>11_3</v>
          </cell>
        </row>
        <row r="58">
          <cell r="A58" t="str">
            <v>11_4</v>
          </cell>
        </row>
        <row r="59">
          <cell r="A59" t="str">
            <v>11_5</v>
          </cell>
        </row>
        <row r="60">
          <cell r="A60" t="str">
            <v>11_6</v>
          </cell>
        </row>
        <row r="61">
          <cell r="A61" t="str">
            <v>12_1</v>
          </cell>
        </row>
        <row r="62">
          <cell r="A62" t="str">
            <v>12_2</v>
          </cell>
        </row>
        <row r="63">
          <cell r="A63" t="str">
            <v>12_3</v>
          </cell>
        </row>
        <row r="64">
          <cell r="A64" t="str">
            <v>12_4</v>
          </cell>
        </row>
        <row r="65">
          <cell r="A65" t="str">
            <v>12_5</v>
          </cell>
        </row>
        <row r="66">
          <cell r="A66" t="str">
            <v>12_6</v>
          </cell>
        </row>
        <row r="67">
          <cell r="A67" t="str">
            <v>13_1</v>
          </cell>
        </row>
        <row r="68">
          <cell r="A68" t="str">
            <v>13_2</v>
          </cell>
        </row>
        <row r="69">
          <cell r="A69" t="str">
            <v>13_3</v>
          </cell>
        </row>
        <row r="70">
          <cell r="A70" t="str">
            <v>13_4</v>
          </cell>
        </row>
        <row r="71">
          <cell r="A71" t="str">
            <v>13_5</v>
          </cell>
        </row>
        <row r="72">
          <cell r="A72" t="str">
            <v>13_6</v>
          </cell>
        </row>
        <row r="73">
          <cell r="A73" t="str">
            <v>14_1</v>
          </cell>
        </row>
        <row r="74">
          <cell r="A74" t="str">
            <v>14_2</v>
          </cell>
        </row>
        <row r="75">
          <cell r="A75" t="str">
            <v>14_3</v>
          </cell>
        </row>
        <row r="76">
          <cell r="A76" t="str">
            <v>14_4</v>
          </cell>
        </row>
        <row r="77">
          <cell r="A77" t="str">
            <v>14_5</v>
          </cell>
        </row>
        <row r="78">
          <cell r="A78" t="str">
            <v>14_6</v>
          </cell>
        </row>
        <row r="79">
          <cell r="A79" t="str">
            <v>15_1</v>
          </cell>
        </row>
        <row r="80">
          <cell r="A80" t="str">
            <v>15_2</v>
          </cell>
        </row>
        <row r="81">
          <cell r="A81" t="str">
            <v>15_3</v>
          </cell>
        </row>
        <row r="82">
          <cell r="A82" t="str">
            <v>15_4</v>
          </cell>
        </row>
        <row r="83">
          <cell r="A83" t="str">
            <v>15_5</v>
          </cell>
        </row>
        <row r="84">
          <cell r="A84" t="str">
            <v>15_6</v>
          </cell>
        </row>
        <row r="85">
          <cell r="A85" t="str">
            <v>16_1</v>
          </cell>
        </row>
        <row r="86">
          <cell r="A86" t="str">
            <v>16_2</v>
          </cell>
        </row>
        <row r="87">
          <cell r="A87" t="str">
            <v>16_3</v>
          </cell>
        </row>
        <row r="88">
          <cell r="A88" t="str">
            <v>16_4</v>
          </cell>
        </row>
        <row r="89">
          <cell r="A89" t="str">
            <v>16_5</v>
          </cell>
        </row>
        <row r="90">
          <cell r="A90" t="str">
            <v>16_6</v>
          </cell>
        </row>
        <row r="91">
          <cell r="A91" t="str">
            <v>17_1</v>
          </cell>
        </row>
        <row r="92">
          <cell r="A92" t="str">
            <v>17_2</v>
          </cell>
        </row>
        <row r="93">
          <cell r="A93" t="str">
            <v>17_3</v>
          </cell>
        </row>
        <row r="94">
          <cell r="A94" t="str">
            <v>17_4</v>
          </cell>
        </row>
        <row r="95">
          <cell r="A95" t="str">
            <v>17_5</v>
          </cell>
        </row>
        <row r="96">
          <cell r="A96" t="str">
            <v>17_6</v>
          </cell>
        </row>
        <row r="97">
          <cell r="A97" t="str">
            <v>18_1</v>
          </cell>
        </row>
        <row r="98">
          <cell r="A98" t="str">
            <v>18_2</v>
          </cell>
        </row>
        <row r="99">
          <cell r="A99" t="str">
            <v>18_3</v>
          </cell>
        </row>
        <row r="100">
          <cell r="A100" t="str">
            <v>18_4</v>
          </cell>
        </row>
        <row r="101">
          <cell r="A101" t="str">
            <v>18_5</v>
          </cell>
        </row>
        <row r="102">
          <cell r="A102" t="str">
            <v>18_6</v>
          </cell>
        </row>
        <row r="103">
          <cell r="A103" t="str">
            <v>19_1</v>
          </cell>
        </row>
        <row r="104">
          <cell r="A104" t="str">
            <v>19_2</v>
          </cell>
        </row>
        <row r="105">
          <cell r="A105" t="str">
            <v>19_3</v>
          </cell>
        </row>
        <row r="106">
          <cell r="A106" t="str">
            <v>19_4</v>
          </cell>
        </row>
        <row r="107">
          <cell r="A107" t="str">
            <v>19_5</v>
          </cell>
        </row>
        <row r="108">
          <cell r="A108" t="str">
            <v>19_6</v>
          </cell>
        </row>
        <row r="109">
          <cell r="A109" t="str">
            <v>20_1</v>
          </cell>
        </row>
        <row r="110">
          <cell r="A110" t="str">
            <v>20_2</v>
          </cell>
        </row>
        <row r="111">
          <cell r="A111" t="str">
            <v>20_3</v>
          </cell>
        </row>
        <row r="112">
          <cell r="A112" t="str">
            <v>20_4</v>
          </cell>
        </row>
        <row r="113">
          <cell r="A113" t="str">
            <v>20_5</v>
          </cell>
        </row>
        <row r="114">
          <cell r="A114" t="str">
            <v>20_6</v>
          </cell>
        </row>
        <row r="115">
          <cell r="A115" t="str">
            <v>21_1</v>
          </cell>
        </row>
        <row r="116">
          <cell r="A116" t="str">
            <v>21_2</v>
          </cell>
        </row>
        <row r="117">
          <cell r="A117" t="str">
            <v>21_3</v>
          </cell>
        </row>
        <row r="118">
          <cell r="A118" t="str">
            <v>21_4</v>
          </cell>
        </row>
        <row r="119">
          <cell r="A119" t="str">
            <v>21_5</v>
          </cell>
        </row>
        <row r="120">
          <cell r="A120" t="str">
            <v>21_6</v>
          </cell>
        </row>
        <row r="121">
          <cell r="A121" t="str">
            <v>22_1</v>
          </cell>
        </row>
        <row r="122">
          <cell r="A122" t="str">
            <v>22_2</v>
          </cell>
        </row>
        <row r="123">
          <cell r="A123" t="str">
            <v>22_3</v>
          </cell>
        </row>
        <row r="124">
          <cell r="A124" t="str">
            <v>22_4</v>
          </cell>
        </row>
        <row r="125">
          <cell r="A125" t="str">
            <v>22_5</v>
          </cell>
        </row>
        <row r="126">
          <cell r="A126" t="str">
            <v>22_6</v>
          </cell>
        </row>
        <row r="127">
          <cell r="A127" t="str">
            <v>23_1</v>
          </cell>
        </row>
        <row r="128">
          <cell r="A128" t="str">
            <v>23_2</v>
          </cell>
        </row>
        <row r="129">
          <cell r="A129" t="str">
            <v>23_3</v>
          </cell>
        </row>
        <row r="130">
          <cell r="A130" t="str">
            <v>23_4</v>
          </cell>
        </row>
        <row r="131">
          <cell r="A131" t="str">
            <v>23_5</v>
          </cell>
        </row>
        <row r="132">
          <cell r="A132" t="str">
            <v>23_6</v>
          </cell>
        </row>
        <row r="133">
          <cell r="A133" t="str">
            <v>24_1</v>
          </cell>
        </row>
        <row r="134">
          <cell r="A134" t="str">
            <v>24_2</v>
          </cell>
        </row>
        <row r="135">
          <cell r="A135" t="str">
            <v>24_3</v>
          </cell>
        </row>
        <row r="136">
          <cell r="A136" t="str">
            <v>24_4</v>
          </cell>
        </row>
        <row r="137">
          <cell r="A137" t="str">
            <v>24_5</v>
          </cell>
        </row>
        <row r="138">
          <cell r="A138" t="str">
            <v>24_6</v>
          </cell>
        </row>
        <row r="139">
          <cell r="A139" t="str">
            <v>25_1</v>
          </cell>
        </row>
        <row r="140">
          <cell r="A140" t="str">
            <v>25_2</v>
          </cell>
        </row>
        <row r="141">
          <cell r="A141" t="str">
            <v>25_3</v>
          </cell>
        </row>
        <row r="142">
          <cell r="A142" t="str">
            <v>25_4</v>
          </cell>
        </row>
        <row r="143">
          <cell r="A143" t="str">
            <v>25_5</v>
          </cell>
        </row>
        <row r="144">
          <cell r="A144" t="str">
            <v>25_6</v>
          </cell>
        </row>
        <row r="145">
          <cell r="A145" t="str">
            <v>26_1</v>
          </cell>
        </row>
        <row r="146">
          <cell r="A146" t="str">
            <v>26_2</v>
          </cell>
        </row>
        <row r="147">
          <cell r="A147" t="str">
            <v>26_3</v>
          </cell>
        </row>
        <row r="148">
          <cell r="A148" t="str">
            <v>26_4</v>
          </cell>
        </row>
        <row r="149">
          <cell r="A149" t="str">
            <v>26_5</v>
          </cell>
        </row>
        <row r="150">
          <cell r="A150" t="str">
            <v>26_6</v>
          </cell>
        </row>
        <row r="151">
          <cell r="A151" t="str">
            <v>27_1</v>
          </cell>
        </row>
        <row r="152">
          <cell r="A152" t="str">
            <v>27_2</v>
          </cell>
        </row>
        <row r="153">
          <cell r="A153" t="str">
            <v>27_3</v>
          </cell>
        </row>
        <row r="154">
          <cell r="A154" t="str">
            <v>27_4</v>
          </cell>
        </row>
        <row r="155">
          <cell r="A155" t="str">
            <v>27_5</v>
          </cell>
        </row>
        <row r="156">
          <cell r="A156" t="str">
            <v>27_6</v>
          </cell>
        </row>
        <row r="157">
          <cell r="A157" t="str">
            <v>28_1</v>
          </cell>
        </row>
        <row r="158">
          <cell r="A158" t="str">
            <v>28_2</v>
          </cell>
        </row>
        <row r="159">
          <cell r="A159" t="str">
            <v>28_3</v>
          </cell>
        </row>
        <row r="160">
          <cell r="A160" t="str">
            <v>28_4</v>
          </cell>
        </row>
        <row r="161">
          <cell r="A161" t="str">
            <v>28_5</v>
          </cell>
        </row>
        <row r="162">
          <cell r="A162" t="str">
            <v>28_6</v>
          </cell>
        </row>
        <row r="163">
          <cell r="A163" t="str">
            <v>29_1</v>
          </cell>
        </row>
        <row r="164">
          <cell r="A164" t="str">
            <v>29_2</v>
          </cell>
        </row>
        <row r="165">
          <cell r="A165" t="str">
            <v>29_3</v>
          </cell>
        </row>
        <row r="166">
          <cell r="A166" t="str">
            <v>29_4</v>
          </cell>
        </row>
        <row r="167">
          <cell r="A167" t="str">
            <v>29_5</v>
          </cell>
        </row>
        <row r="168">
          <cell r="A168" t="str">
            <v>29_6</v>
          </cell>
        </row>
        <row r="169">
          <cell r="A169" t="str">
            <v>30_1</v>
          </cell>
        </row>
        <row r="170">
          <cell r="A170" t="str">
            <v>30_2</v>
          </cell>
        </row>
        <row r="171">
          <cell r="A171" t="str">
            <v>30_3</v>
          </cell>
        </row>
        <row r="172">
          <cell r="A172" t="str">
            <v>30_4</v>
          </cell>
        </row>
        <row r="173">
          <cell r="A173" t="str">
            <v>30_5</v>
          </cell>
        </row>
        <row r="174">
          <cell r="A174" t="str">
            <v>30_6</v>
          </cell>
        </row>
        <row r="175">
          <cell r="A175" t="str">
            <v>31_1</v>
          </cell>
        </row>
        <row r="176">
          <cell r="A176" t="str">
            <v>31_2</v>
          </cell>
        </row>
        <row r="177">
          <cell r="A177" t="str">
            <v>31_3</v>
          </cell>
        </row>
        <row r="178">
          <cell r="A178" t="str">
            <v>31_4</v>
          </cell>
        </row>
        <row r="179">
          <cell r="A179" t="str">
            <v>31_5</v>
          </cell>
        </row>
        <row r="180">
          <cell r="A180" t="str">
            <v>31_6</v>
          </cell>
        </row>
        <row r="181">
          <cell r="A181" t="str">
            <v>10008_1</v>
          </cell>
        </row>
        <row r="182">
          <cell r="A182" t="str">
            <v>10010_1</v>
          </cell>
        </row>
        <row r="183">
          <cell r="A183" t="str">
            <v>10015_1</v>
          </cell>
        </row>
        <row r="184">
          <cell r="A184" t="str">
            <v>10020_1</v>
          </cell>
        </row>
        <row r="185">
          <cell r="A185" t="str">
            <v>10025_1</v>
          </cell>
        </row>
        <row r="186">
          <cell r="A186" t="str">
            <v>10030_1</v>
          </cell>
        </row>
        <row r="187">
          <cell r="A187" t="str">
            <v>10035_1</v>
          </cell>
        </row>
        <row r="188">
          <cell r="A188" t="str">
            <v>10040_1</v>
          </cell>
        </row>
        <row r="189">
          <cell r="A189" t="str">
            <v>10045_1</v>
          </cell>
        </row>
        <row r="190">
          <cell r="A190" t="str">
            <v>10050_1</v>
          </cell>
        </row>
        <row r="191">
          <cell r="A191" t="str">
            <v>10055_1</v>
          </cell>
        </row>
        <row r="192">
          <cell r="A192" t="str">
            <v>10060_1</v>
          </cell>
        </row>
        <row r="193">
          <cell r="A193" t="str">
            <v>10065_1</v>
          </cell>
        </row>
        <row r="194">
          <cell r="A194" t="str">
            <v>10090_1</v>
          </cell>
        </row>
        <row r="195">
          <cell r="A195" t="str">
            <v>10100_1</v>
          </cell>
        </row>
        <row r="196">
          <cell r="A196" t="str">
            <v>11001_1</v>
          </cell>
        </row>
        <row r="197">
          <cell r="A197" t="str">
            <v>11001_2</v>
          </cell>
        </row>
        <row r="198">
          <cell r="A198" t="str">
            <v>11001_3</v>
          </cell>
        </row>
        <row r="199">
          <cell r="A199" t="str">
            <v>11001_4</v>
          </cell>
        </row>
        <row r="200">
          <cell r="A200" t="str">
            <v>11001_10</v>
          </cell>
        </row>
        <row r="201">
          <cell r="A201" t="str">
            <v>11002_1</v>
          </cell>
        </row>
        <row r="202">
          <cell r="A202" t="str">
            <v>11002_2</v>
          </cell>
        </row>
        <row r="203">
          <cell r="A203" t="str">
            <v>11002_3</v>
          </cell>
        </row>
        <row r="204">
          <cell r="A204" t="str">
            <v>11002_4</v>
          </cell>
        </row>
        <row r="205">
          <cell r="A205" t="str">
            <v>11002_10</v>
          </cell>
        </row>
        <row r="206">
          <cell r="A206" t="str">
            <v>11003_1</v>
          </cell>
        </row>
        <row r="207">
          <cell r="A207" t="str">
            <v>11003_2</v>
          </cell>
        </row>
        <row r="208">
          <cell r="A208" t="str">
            <v>11003_3</v>
          </cell>
        </row>
        <row r="209">
          <cell r="A209" t="str">
            <v>11003_4</v>
          </cell>
        </row>
        <row r="210">
          <cell r="A210" t="str">
            <v>11003_10</v>
          </cell>
        </row>
        <row r="211">
          <cell r="A211" t="str">
            <v>11004_1</v>
          </cell>
        </row>
        <row r="212">
          <cell r="A212" t="str">
            <v>11004_2</v>
          </cell>
        </row>
        <row r="213">
          <cell r="A213" t="str">
            <v>11004_3</v>
          </cell>
        </row>
        <row r="214">
          <cell r="A214" t="str">
            <v>11004_4</v>
          </cell>
        </row>
        <row r="215">
          <cell r="A215" t="str">
            <v>11004_10</v>
          </cell>
        </row>
        <row r="216">
          <cell r="A216" t="str">
            <v>11005_1</v>
          </cell>
        </row>
        <row r="217">
          <cell r="A217" t="str">
            <v>11005_2</v>
          </cell>
        </row>
        <row r="218">
          <cell r="A218" t="str">
            <v>11005_3</v>
          </cell>
        </row>
        <row r="219">
          <cell r="A219" t="str">
            <v>11005_4</v>
          </cell>
        </row>
        <row r="220">
          <cell r="A220" t="str">
            <v>11006_1</v>
          </cell>
        </row>
        <row r="221">
          <cell r="A221" t="str">
            <v>11006_2</v>
          </cell>
        </row>
        <row r="222">
          <cell r="A222" t="str">
            <v>11006_3</v>
          </cell>
        </row>
        <row r="223">
          <cell r="A223" t="str">
            <v>11006_4</v>
          </cell>
        </row>
        <row r="224">
          <cell r="A224" t="str">
            <v>11007_1</v>
          </cell>
        </row>
        <row r="225">
          <cell r="A225" t="str">
            <v>11007_2</v>
          </cell>
        </row>
        <row r="226">
          <cell r="A226" t="str">
            <v>11007_3</v>
          </cell>
        </row>
        <row r="227">
          <cell r="A227" t="str">
            <v>11007_4</v>
          </cell>
        </row>
        <row r="228">
          <cell r="A228" t="str">
            <v>11007_5</v>
          </cell>
        </row>
        <row r="229">
          <cell r="A229" t="str">
            <v>11008_1</v>
          </cell>
        </row>
        <row r="230">
          <cell r="A230" t="str">
            <v>11008_2</v>
          </cell>
        </row>
        <row r="231">
          <cell r="A231" t="str">
            <v>11008_3</v>
          </cell>
        </row>
        <row r="232">
          <cell r="A232" t="str">
            <v>11008_4</v>
          </cell>
        </row>
        <row r="233">
          <cell r="A233" t="str">
            <v>11008_5</v>
          </cell>
        </row>
        <row r="234">
          <cell r="A234" t="str">
            <v>11016_1</v>
          </cell>
        </row>
        <row r="235">
          <cell r="A235" t="str">
            <v>11017_1</v>
          </cell>
        </row>
        <row r="236">
          <cell r="A236" t="str">
            <v>11018_1</v>
          </cell>
        </row>
        <row r="237">
          <cell r="A237" t="str">
            <v>11101_1</v>
          </cell>
        </row>
        <row r="238">
          <cell r="A238" t="str">
            <v>11101_2</v>
          </cell>
        </row>
        <row r="239">
          <cell r="A239" t="str">
            <v>11101_3</v>
          </cell>
        </row>
        <row r="240">
          <cell r="A240" t="str">
            <v>11101_4</v>
          </cell>
        </row>
        <row r="241">
          <cell r="A241" t="str">
            <v>11101_10</v>
          </cell>
        </row>
        <row r="242">
          <cell r="A242" t="str">
            <v>11102_1</v>
          </cell>
        </row>
        <row r="243">
          <cell r="A243" t="str">
            <v>11102_2</v>
          </cell>
        </row>
        <row r="244">
          <cell r="A244" t="str">
            <v>11102_3</v>
          </cell>
        </row>
        <row r="245">
          <cell r="A245" t="str">
            <v>11102_4</v>
          </cell>
        </row>
        <row r="246">
          <cell r="A246" t="str">
            <v>11102_10</v>
          </cell>
        </row>
        <row r="247">
          <cell r="A247" t="str">
            <v>11103_1</v>
          </cell>
        </row>
        <row r="248">
          <cell r="A248" t="str">
            <v>11103_2</v>
          </cell>
        </row>
        <row r="249">
          <cell r="A249" t="str">
            <v>11103_3</v>
          </cell>
        </row>
        <row r="250">
          <cell r="A250" t="str">
            <v>11103_4</v>
          </cell>
        </row>
        <row r="251">
          <cell r="A251" t="str">
            <v>11103_10</v>
          </cell>
        </row>
        <row r="252">
          <cell r="A252" t="str">
            <v>11104_1</v>
          </cell>
        </row>
        <row r="253">
          <cell r="A253" t="str">
            <v>11104_2</v>
          </cell>
        </row>
        <row r="254">
          <cell r="A254" t="str">
            <v>11104_3</v>
          </cell>
        </row>
        <row r="255">
          <cell r="A255" t="str">
            <v>11104_4</v>
          </cell>
        </row>
        <row r="256">
          <cell r="A256" t="str">
            <v>11104_10</v>
          </cell>
        </row>
        <row r="257">
          <cell r="A257" t="str">
            <v>11105_1</v>
          </cell>
        </row>
        <row r="258">
          <cell r="A258" t="str">
            <v>11105_2</v>
          </cell>
        </row>
        <row r="259">
          <cell r="A259" t="str">
            <v>11105_3</v>
          </cell>
        </row>
        <row r="260">
          <cell r="A260" t="str">
            <v>11105_4</v>
          </cell>
        </row>
        <row r="261">
          <cell r="A261" t="str">
            <v>11106_1</v>
          </cell>
        </row>
        <row r="262">
          <cell r="A262" t="str">
            <v>11106_2</v>
          </cell>
        </row>
        <row r="263">
          <cell r="A263" t="str">
            <v>11106_3</v>
          </cell>
        </row>
        <row r="264">
          <cell r="A264" t="str">
            <v>11206_1</v>
          </cell>
        </row>
        <row r="265">
          <cell r="A265" t="str">
            <v>11206_2</v>
          </cell>
        </row>
        <row r="266">
          <cell r="A266" t="str">
            <v>11206_3</v>
          </cell>
        </row>
        <row r="267">
          <cell r="A267" t="str">
            <v>11207_1</v>
          </cell>
        </row>
        <row r="268">
          <cell r="A268" t="str">
            <v>11207_2</v>
          </cell>
        </row>
        <row r="269">
          <cell r="A269" t="str">
            <v>11208_1</v>
          </cell>
        </row>
        <row r="270">
          <cell r="A270" t="str">
            <v>11208_2</v>
          </cell>
        </row>
        <row r="271">
          <cell r="A271" t="str">
            <v>11209_1</v>
          </cell>
        </row>
        <row r="272">
          <cell r="A272" t="str">
            <v>11209_2</v>
          </cell>
        </row>
        <row r="273">
          <cell r="A273" t="str">
            <v>11212_1</v>
          </cell>
        </row>
        <row r="274">
          <cell r="A274" t="str">
            <v>11213_1</v>
          </cell>
        </row>
        <row r="275">
          <cell r="A275" t="str">
            <v>11214_1</v>
          </cell>
        </row>
        <row r="276">
          <cell r="A276" t="str">
            <v>11214_2</v>
          </cell>
        </row>
        <row r="277">
          <cell r="A277" t="str">
            <v>11214_3</v>
          </cell>
        </row>
        <row r="278">
          <cell r="A278" t="str">
            <v>11215_1</v>
          </cell>
        </row>
        <row r="279">
          <cell r="A279" t="str">
            <v>11216_1</v>
          </cell>
        </row>
        <row r="280">
          <cell r="A280" t="str">
            <v>11217_1</v>
          </cell>
        </row>
        <row r="281">
          <cell r="A281" t="str">
            <v>11218_1</v>
          </cell>
        </row>
        <row r="282">
          <cell r="A282" t="str">
            <v>11219_1</v>
          </cell>
        </row>
        <row r="283">
          <cell r="A283" t="str">
            <v>11220_1</v>
          </cell>
        </row>
        <row r="284">
          <cell r="A284" t="str">
            <v>11221_1</v>
          </cell>
        </row>
        <row r="285">
          <cell r="A285" t="str">
            <v>11224_1</v>
          </cell>
        </row>
        <row r="286">
          <cell r="A286" t="str">
            <v>11225_1</v>
          </cell>
        </row>
        <row r="287">
          <cell r="A287" t="str">
            <v>11226_1</v>
          </cell>
        </row>
        <row r="288">
          <cell r="A288" t="str">
            <v>11226_2</v>
          </cell>
        </row>
        <row r="289">
          <cell r="A289" t="str">
            <v>11226_3</v>
          </cell>
        </row>
        <row r="290">
          <cell r="A290" t="str">
            <v>11226_4</v>
          </cell>
        </row>
        <row r="291">
          <cell r="A291" t="str">
            <v>11226_5</v>
          </cell>
        </row>
        <row r="292">
          <cell r="A292" t="str">
            <v>11226_6</v>
          </cell>
        </row>
        <row r="293">
          <cell r="A293" t="str">
            <v>11226_7</v>
          </cell>
        </row>
        <row r="294">
          <cell r="A294" t="str">
            <v>11226_8</v>
          </cell>
        </row>
        <row r="295">
          <cell r="A295" t="str">
            <v>11227_1</v>
          </cell>
        </row>
        <row r="296">
          <cell r="A296" t="str">
            <v>11227_2</v>
          </cell>
        </row>
        <row r="297">
          <cell r="A297" t="str">
            <v>11228_1</v>
          </cell>
        </row>
        <row r="298">
          <cell r="A298" t="str">
            <v>11229_1</v>
          </cell>
        </row>
        <row r="299">
          <cell r="A299" t="str">
            <v>11230_1</v>
          </cell>
        </row>
        <row r="300">
          <cell r="A300" t="str">
            <v>11230_2</v>
          </cell>
        </row>
        <row r="301">
          <cell r="A301" t="str">
            <v>11231_1</v>
          </cell>
        </row>
        <row r="302">
          <cell r="A302" t="str">
            <v>12001_1</v>
          </cell>
        </row>
        <row r="303">
          <cell r="A303" t="str">
            <v>12001_2</v>
          </cell>
        </row>
        <row r="304">
          <cell r="A304" t="str">
            <v>12001_3</v>
          </cell>
        </row>
        <row r="305">
          <cell r="A305" t="str">
            <v>12002_1</v>
          </cell>
        </row>
        <row r="306">
          <cell r="A306" t="str">
            <v>12002_2</v>
          </cell>
        </row>
        <row r="307">
          <cell r="A307" t="str">
            <v>12003_1</v>
          </cell>
        </row>
        <row r="308">
          <cell r="A308" t="str">
            <v>12003_2</v>
          </cell>
        </row>
        <row r="309">
          <cell r="A309" t="str">
            <v>12003_3</v>
          </cell>
        </row>
        <row r="310">
          <cell r="A310" t="str">
            <v>12003_4</v>
          </cell>
        </row>
        <row r="311">
          <cell r="A311" t="str">
            <v>12004_1</v>
          </cell>
        </row>
        <row r="312">
          <cell r="A312" t="str">
            <v>13001_1</v>
          </cell>
        </row>
        <row r="313">
          <cell r="A313" t="str">
            <v>13001_2</v>
          </cell>
        </row>
        <row r="314">
          <cell r="A314" t="str">
            <v>13001_3</v>
          </cell>
        </row>
        <row r="315">
          <cell r="A315" t="str">
            <v>13001_4</v>
          </cell>
        </row>
        <row r="316">
          <cell r="A316" t="str">
            <v>13001_5</v>
          </cell>
        </row>
        <row r="317">
          <cell r="A317" t="str">
            <v>13001_6</v>
          </cell>
        </row>
        <row r="318">
          <cell r="A318" t="str">
            <v>13001_7</v>
          </cell>
        </row>
        <row r="319">
          <cell r="A319" t="str">
            <v>13001_8</v>
          </cell>
        </row>
        <row r="320">
          <cell r="A320" t="str">
            <v>13001_9</v>
          </cell>
        </row>
        <row r="321">
          <cell r="A321" t="str">
            <v>13001_10</v>
          </cell>
        </row>
        <row r="322">
          <cell r="A322" t="str">
            <v>13001_11</v>
          </cell>
        </row>
        <row r="323">
          <cell r="A323" t="str">
            <v>13001_12</v>
          </cell>
        </row>
        <row r="324">
          <cell r="A324" t="str">
            <v>13001_13</v>
          </cell>
        </row>
        <row r="325">
          <cell r="A325" t="str">
            <v>13001_14</v>
          </cell>
        </row>
        <row r="326">
          <cell r="A326" t="str">
            <v>13001_15</v>
          </cell>
        </row>
        <row r="327">
          <cell r="A327" t="str">
            <v>13001_16</v>
          </cell>
        </row>
        <row r="328">
          <cell r="A328" t="str">
            <v>13001_17</v>
          </cell>
        </row>
        <row r="329">
          <cell r="A329" t="str">
            <v>13001_18</v>
          </cell>
        </row>
        <row r="330">
          <cell r="A330" t="str">
            <v>13001_19</v>
          </cell>
        </row>
        <row r="331">
          <cell r="A331" t="str">
            <v>13001_20</v>
          </cell>
        </row>
        <row r="332">
          <cell r="A332" t="str">
            <v>13001_21</v>
          </cell>
        </row>
        <row r="333">
          <cell r="A333" t="str">
            <v>13001_22</v>
          </cell>
        </row>
        <row r="334">
          <cell r="A334" t="str">
            <v>13001_23</v>
          </cell>
        </row>
        <row r="335">
          <cell r="A335" t="str">
            <v>13001_24</v>
          </cell>
        </row>
        <row r="336">
          <cell r="A336" t="str">
            <v>13001_25</v>
          </cell>
        </row>
        <row r="337">
          <cell r="A337" t="str">
            <v>13101_1</v>
          </cell>
        </row>
        <row r="338">
          <cell r="A338" t="str">
            <v>13101_2</v>
          </cell>
        </row>
        <row r="339">
          <cell r="A339" t="str">
            <v>13101_3</v>
          </cell>
        </row>
        <row r="340">
          <cell r="A340" t="str">
            <v>13101_4</v>
          </cell>
        </row>
        <row r="341">
          <cell r="A341" t="str">
            <v>13101_5</v>
          </cell>
        </row>
        <row r="342">
          <cell r="A342" t="str">
            <v>13101_6</v>
          </cell>
        </row>
        <row r="343">
          <cell r="A343" t="str">
            <v>13101_7</v>
          </cell>
        </row>
        <row r="344">
          <cell r="A344" t="str">
            <v>13101_8</v>
          </cell>
        </row>
        <row r="345">
          <cell r="A345" t="str">
            <v>13101_9</v>
          </cell>
        </row>
        <row r="346">
          <cell r="A346" t="str">
            <v>13101_10</v>
          </cell>
        </row>
        <row r="347">
          <cell r="A347" t="str">
            <v>13101_11</v>
          </cell>
        </row>
        <row r="348">
          <cell r="A348" t="str">
            <v>13101_12</v>
          </cell>
        </row>
        <row r="349">
          <cell r="A349" t="str">
            <v>13101_13</v>
          </cell>
        </row>
        <row r="350">
          <cell r="A350" t="str">
            <v>13101_14</v>
          </cell>
        </row>
        <row r="351">
          <cell r="A351" t="str">
            <v>13101_15</v>
          </cell>
        </row>
        <row r="352">
          <cell r="A352" t="str">
            <v>13101_16</v>
          </cell>
        </row>
        <row r="353">
          <cell r="A353" t="str">
            <v>13101_17</v>
          </cell>
        </row>
        <row r="354">
          <cell r="A354" t="str">
            <v>13101_18</v>
          </cell>
        </row>
        <row r="355">
          <cell r="A355" t="str">
            <v>13101_19</v>
          </cell>
        </row>
        <row r="356">
          <cell r="A356" t="str">
            <v>13101_20</v>
          </cell>
        </row>
        <row r="357">
          <cell r="A357" t="str">
            <v>13101_21</v>
          </cell>
        </row>
        <row r="358">
          <cell r="A358" t="str">
            <v>13101_22</v>
          </cell>
        </row>
        <row r="359">
          <cell r="A359" t="str">
            <v>13101_23</v>
          </cell>
        </row>
        <row r="360">
          <cell r="A360" t="str">
            <v>13101_24</v>
          </cell>
        </row>
        <row r="361">
          <cell r="A361" t="str">
            <v>13101_25</v>
          </cell>
        </row>
        <row r="362">
          <cell r="A362" t="str">
            <v>13300_1</v>
          </cell>
        </row>
        <row r="363">
          <cell r="A363" t="str">
            <v>13300_2</v>
          </cell>
        </row>
        <row r="364">
          <cell r="A364" t="str">
            <v>13300_3</v>
          </cell>
        </row>
        <row r="365">
          <cell r="A365" t="str">
            <v>13300_4</v>
          </cell>
        </row>
        <row r="366">
          <cell r="A366" t="str">
            <v>13300_5</v>
          </cell>
        </row>
        <row r="367">
          <cell r="A367" t="str">
            <v>13300_6</v>
          </cell>
        </row>
        <row r="368">
          <cell r="A368" t="str">
            <v>13300_7</v>
          </cell>
        </row>
        <row r="369">
          <cell r="A369" t="str">
            <v>13300_8</v>
          </cell>
        </row>
        <row r="370">
          <cell r="A370" t="str">
            <v>13300_9</v>
          </cell>
        </row>
        <row r="371">
          <cell r="A371" t="str">
            <v>13300_10</v>
          </cell>
        </row>
        <row r="372">
          <cell r="A372" t="str">
            <v>13300_11</v>
          </cell>
        </row>
        <row r="373">
          <cell r="A373" t="str">
            <v>13300_12</v>
          </cell>
        </row>
        <row r="374">
          <cell r="A374" t="str">
            <v>13300_13</v>
          </cell>
        </row>
        <row r="375">
          <cell r="A375" t="str">
            <v>13300_14</v>
          </cell>
        </row>
        <row r="376">
          <cell r="A376" t="str">
            <v>13300_15</v>
          </cell>
        </row>
        <row r="377">
          <cell r="A377" t="str">
            <v>13301_1</v>
          </cell>
        </row>
        <row r="378">
          <cell r="A378" t="str">
            <v>13301_2</v>
          </cell>
        </row>
        <row r="379">
          <cell r="A379" t="str">
            <v>13301_3</v>
          </cell>
        </row>
        <row r="380">
          <cell r="A380" t="str">
            <v>13301_4</v>
          </cell>
        </row>
        <row r="381">
          <cell r="A381" t="str">
            <v>13301_5</v>
          </cell>
        </row>
        <row r="382">
          <cell r="A382" t="str">
            <v>13301_6</v>
          </cell>
        </row>
        <row r="383">
          <cell r="A383" t="str">
            <v>13301_7</v>
          </cell>
        </row>
        <row r="384">
          <cell r="A384" t="str">
            <v>13301_8</v>
          </cell>
        </row>
        <row r="385">
          <cell r="A385" t="str">
            <v>13301_9</v>
          </cell>
        </row>
        <row r="386">
          <cell r="A386" t="str">
            <v>13301_10</v>
          </cell>
        </row>
        <row r="387">
          <cell r="A387" t="str">
            <v>13301_11</v>
          </cell>
        </row>
        <row r="388">
          <cell r="A388" t="str">
            <v>13301_12</v>
          </cell>
        </row>
        <row r="389">
          <cell r="A389" t="str">
            <v>13301_13</v>
          </cell>
        </row>
        <row r="390">
          <cell r="A390" t="str">
            <v>13301_14</v>
          </cell>
        </row>
        <row r="391">
          <cell r="A391" t="str">
            <v>13301_15</v>
          </cell>
        </row>
        <row r="392">
          <cell r="A392" t="str">
            <v>13302_1</v>
          </cell>
        </row>
        <row r="393">
          <cell r="A393" t="str">
            <v>13302_2</v>
          </cell>
        </row>
        <row r="394">
          <cell r="A394" t="str">
            <v>13302_3</v>
          </cell>
        </row>
        <row r="395">
          <cell r="A395" t="str">
            <v>13302_4</v>
          </cell>
        </row>
        <row r="396">
          <cell r="A396" t="str">
            <v>13302_5</v>
          </cell>
        </row>
        <row r="397">
          <cell r="A397" t="str">
            <v>13302_6</v>
          </cell>
        </row>
        <row r="398">
          <cell r="A398" t="str">
            <v>13302_7</v>
          </cell>
        </row>
        <row r="399">
          <cell r="A399" t="str">
            <v>13302_8</v>
          </cell>
        </row>
        <row r="400">
          <cell r="A400" t="str">
            <v>13302_9</v>
          </cell>
        </row>
        <row r="401">
          <cell r="A401" t="str">
            <v>13302_10</v>
          </cell>
        </row>
        <row r="402">
          <cell r="A402" t="str">
            <v>13302_11</v>
          </cell>
        </row>
        <row r="403">
          <cell r="A403" t="str">
            <v>13302_12</v>
          </cell>
        </row>
        <row r="404">
          <cell r="A404" t="str">
            <v>13302_13</v>
          </cell>
        </row>
        <row r="405">
          <cell r="A405" t="str">
            <v>13302_14</v>
          </cell>
        </row>
        <row r="406">
          <cell r="A406" t="str">
            <v>13302_15</v>
          </cell>
        </row>
        <row r="407">
          <cell r="A407" t="str">
            <v>13400_1</v>
          </cell>
        </row>
        <row r="408">
          <cell r="A408" t="str">
            <v>13400_2</v>
          </cell>
        </row>
        <row r="409">
          <cell r="A409" t="str">
            <v>13400_3</v>
          </cell>
        </row>
        <row r="410">
          <cell r="A410" t="str">
            <v>13400_4</v>
          </cell>
        </row>
        <row r="411">
          <cell r="A411" t="str">
            <v>13400_5</v>
          </cell>
        </row>
        <row r="412">
          <cell r="A412" t="str">
            <v>13400_6</v>
          </cell>
        </row>
        <row r="413">
          <cell r="A413" t="str">
            <v>13400_7</v>
          </cell>
        </row>
        <row r="414">
          <cell r="A414" t="str">
            <v>13400_8</v>
          </cell>
        </row>
        <row r="415">
          <cell r="A415" t="str">
            <v>13400_9</v>
          </cell>
        </row>
        <row r="416">
          <cell r="A416" t="str">
            <v>13400_10</v>
          </cell>
        </row>
        <row r="417">
          <cell r="A417" t="str">
            <v>13400_11</v>
          </cell>
        </row>
        <row r="418">
          <cell r="A418" t="str">
            <v>13400_12</v>
          </cell>
        </row>
        <row r="419">
          <cell r="A419" t="str">
            <v>13400_13</v>
          </cell>
        </row>
        <row r="420">
          <cell r="A420" t="str">
            <v>13400_14</v>
          </cell>
        </row>
        <row r="421">
          <cell r="A421" t="str">
            <v>13400_15</v>
          </cell>
        </row>
        <row r="422">
          <cell r="A422" t="str">
            <v>14001_1</v>
          </cell>
        </row>
        <row r="423">
          <cell r="A423" t="str">
            <v>14001_2</v>
          </cell>
        </row>
        <row r="424">
          <cell r="A424" t="str">
            <v>14001_3</v>
          </cell>
        </row>
        <row r="425">
          <cell r="A425" t="str">
            <v>14001_4</v>
          </cell>
        </row>
        <row r="426">
          <cell r="A426" t="str">
            <v>14001_5</v>
          </cell>
        </row>
        <row r="427">
          <cell r="A427" t="str">
            <v>14001_6</v>
          </cell>
        </row>
        <row r="428">
          <cell r="A428" t="str">
            <v>14001_7</v>
          </cell>
        </row>
        <row r="429">
          <cell r="A429" t="str">
            <v>14001_8</v>
          </cell>
        </row>
        <row r="430">
          <cell r="A430" t="str">
            <v>14002_1</v>
          </cell>
        </row>
        <row r="431">
          <cell r="A431" t="str">
            <v>14002_2</v>
          </cell>
        </row>
        <row r="432">
          <cell r="A432" t="str">
            <v>14003_1</v>
          </cell>
        </row>
        <row r="433">
          <cell r="A433" t="str">
            <v>14003_2</v>
          </cell>
        </row>
        <row r="434">
          <cell r="A434" t="str">
            <v>14003_3</v>
          </cell>
        </row>
        <row r="435">
          <cell r="A435" t="str">
            <v>14003_4</v>
          </cell>
        </row>
        <row r="436">
          <cell r="A436" t="str">
            <v>14004_1</v>
          </cell>
        </row>
        <row r="437">
          <cell r="A437" t="str">
            <v>14004_2</v>
          </cell>
        </row>
        <row r="438">
          <cell r="A438" t="str">
            <v>14004_3</v>
          </cell>
        </row>
        <row r="439">
          <cell r="A439" t="str">
            <v>14004_4</v>
          </cell>
        </row>
        <row r="440">
          <cell r="A440" t="str">
            <v>14005_1</v>
          </cell>
        </row>
        <row r="441">
          <cell r="A441" t="str">
            <v>14006_1</v>
          </cell>
        </row>
        <row r="442">
          <cell r="A442" t="str">
            <v>15027_1</v>
          </cell>
        </row>
        <row r="443">
          <cell r="A443" t="str">
            <v>15027_2</v>
          </cell>
        </row>
        <row r="444">
          <cell r="A444" t="str">
            <v>15027_3</v>
          </cell>
        </row>
        <row r="445">
          <cell r="A445" t="str">
            <v>15027_4</v>
          </cell>
        </row>
        <row r="446">
          <cell r="A446" t="str">
            <v>15028_1</v>
          </cell>
        </row>
        <row r="447">
          <cell r="A447" t="str">
            <v>15028_2</v>
          </cell>
        </row>
        <row r="448">
          <cell r="A448" t="str">
            <v>15028_3</v>
          </cell>
        </row>
        <row r="449">
          <cell r="A449" t="str">
            <v>15028_4</v>
          </cell>
        </row>
        <row r="450">
          <cell r="A450" t="str">
            <v>15029_1</v>
          </cell>
        </row>
        <row r="451">
          <cell r="A451" t="str">
            <v>15029_2</v>
          </cell>
        </row>
        <row r="452">
          <cell r="A452" t="str">
            <v>15029_3</v>
          </cell>
        </row>
        <row r="453">
          <cell r="A453" t="str">
            <v>15029_4</v>
          </cell>
        </row>
        <row r="454">
          <cell r="A454" t="str">
            <v>15030_1</v>
          </cell>
        </row>
        <row r="455">
          <cell r="A455" t="str">
            <v>15030_2</v>
          </cell>
        </row>
        <row r="456">
          <cell r="A456" t="str">
            <v>15030_3</v>
          </cell>
        </row>
        <row r="457">
          <cell r="A457" t="str">
            <v>15030_4</v>
          </cell>
        </row>
        <row r="458">
          <cell r="A458" t="str">
            <v>15031_1</v>
          </cell>
        </row>
        <row r="459">
          <cell r="A459" t="str">
            <v>15031_2</v>
          </cell>
        </row>
        <row r="460">
          <cell r="A460" t="str">
            <v>15031_3</v>
          </cell>
        </row>
        <row r="461">
          <cell r="A461" t="str">
            <v>15031_4</v>
          </cell>
        </row>
        <row r="462">
          <cell r="A462" t="str">
            <v>20001_1</v>
          </cell>
        </row>
        <row r="463">
          <cell r="A463" t="str">
            <v>20001_2</v>
          </cell>
        </row>
        <row r="464">
          <cell r="A464" t="str">
            <v>20001_3</v>
          </cell>
        </row>
        <row r="465">
          <cell r="A465" t="str">
            <v>20002_1</v>
          </cell>
        </row>
        <row r="466">
          <cell r="A466" t="str">
            <v>20002_2</v>
          </cell>
        </row>
        <row r="467">
          <cell r="A467" t="str">
            <v>20002_3</v>
          </cell>
        </row>
        <row r="468">
          <cell r="A468" t="str">
            <v>20003_1</v>
          </cell>
        </row>
        <row r="469">
          <cell r="A469" t="str">
            <v>20003_2</v>
          </cell>
        </row>
        <row r="470">
          <cell r="A470" t="str">
            <v>20003_3</v>
          </cell>
        </row>
        <row r="471">
          <cell r="A471" t="str">
            <v>20004_1</v>
          </cell>
        </row>
        <row r="472">
          <cell r="A472" t="str">
            <v>20004_2</v>
          </cell>
        </row>
        <row r="473">
          <cell r="A473" t="str">
            <v>20004_3</v>
          </cell>
        </row>
        <row r="474">
          <cell r="A474" t="str">
            <v>20005_1</v>
          </cell>
        </row>
        <row r="475">
          <cell r="A475" t="str">
            <v>20005_2</v>
          </cell>
        </row>
        <row r="476">
          <cell r="A476" t="str">
            <v>20005_3</v>
          </cell>
        </row>
        <row r="477">
          <cell r="A477" t="str">
            <v>20006_1</v>
          </cell>
        </row>
        <row r="478">
          <cell r="A478" t="str">
            <v>20006_2</v>
          </cell>
        </row>
        <row r="479">
          <cell r="A479" t="str">
            <v>20006_3</v>
          </cell>
        </row>
        <row r="480">
          <cell r="A480" t="str">
            <v>20007_1</v>
          </cell>
        </row>
        <row r="481">
          <cell r="A481" t="str">
            <v>20007_2</v>
          </cell>
        </row>
        <row r="482">
          <cell r="A482" t="str">
            <v>20007_3</v>
          </cell>
        </row>
        <row r="483">
          <cell r="A483" t="str">
            <v>20008_1</v>
          </cell>
        </row>
        <row r="484">
          <cell r="A484" t="str">
            <v>20008_2</v>
          </cell>
        </row>
        <row r="485">
          <cell r="A485" t="str">
            <v>20008_3</v>
          </cell>
        </row>
        <row r="486">
          <cell r="A486" t="str">
            <v>20009_1</v>
          </cell>
        </row>
        <row r="487">
          <cell r="A487" t="str">
            <v>20009_2</v>
          </cell>
        </row>
        <row r="488">
          <cell r="A488" t="str">
            <v>20009_3</v>
          </cell>
        </row>
        <row r="489">
          <cell r="A489" t="str">
            <v>20010_1</v>
          </cell>
        </row>
        <row r="490">
          <cell r="A490" t="str">
            <v>20010_2</v>
          </cell>
        </row>
        <row r="491">
          <cell r="A491" t="str">
            <v>20010_3</v>
          </cell>
        </row>
        <row r="492">
          <cell r="A492" t="str">
            <v>20011_1</v>
          </cell>
        </row>
        <row r="493">
          <cell r="A493" t="str">
            <v>20011_2</v>
          </cell>
        </row>
        <row r="494">
          <cell r="A494" t="str">
            <v>20011_3</v>
          </cell>
        </row>
        <row r="495">
          <cell r="A495" t="str">
            <v>20012_1</v>
          </cell>
        </row>
        <row r="496">
          <cell r="A496" t="str">
            <v>20012_2</v>
          </cell>
        </row>
        <row r="497">
          <cell r="A497" t="str">
            <v>20012_3</v>
          </cell>
        </row>
        <row r="498">
          <cell r="A498" t="str">
            <v>20013_1</v>
          </cell>
        </row>
        <row r="499">
          <cell r="A499" t="str">
            <v>20013_2</v>
          </cell>
        </row>
        <row r="500">
          <cell r="A500" t="str">
            <v>20013_3</v>
          </cell>
        </row>
        <row r="501">
          <cell r="A501" t="str">
            <v>20014_1</v>
          </cell>
        </row>
        <row r="502">
          <cell r="A502" t="str">
            <v>20014_2</v>
          </cell>
        </row>
        <row r="503">
          <cell r="A503" t="str">
            <v>20014_3</v>
          </cell>
        </row>
        <row r="504">
          <cell r="A504" t="str">
            <v>20015_1</v>
          </cell>
        </row>
        <row r="505">
          <cell r="A505" t="str">
            <v>20015_2</v>
          </cell>
        </row>
        <row r="506">
          <cell r="A506" t="str">
            <v>20015_3</v>
          </cell>
        </row>
        <row r="507">
          <cell r="A507" t="str">
            <v>20016_1</v>
          </cell>
        </row>
        <row r="508">
          <cell r="A508" t="str">
            <v>20016_2</v>
          </cell>
        </row>
        <row r="509">
          <cell r="A509" t="str">
            <v>20016_3</v>
          </cell>
        </row>
        <row r="510">
          <cell r="A510" t="str">
            <v>20017_1</v>
          </cell>
        </row>
        <row r="511">
          <cell r="A511" t="str">
            <v>20017_2</v>
          </cell>
        </row>
        <row r="512">
          <cell r="A512" t="str">
            <v>20017_3</v>
          </cell>
        </row>
        <row r="513">
          <cell r="A513" t="str">
            <v>20018_1</v>
          </cell>
        </row>
        <row r="514">
          <cell r="A514" t="str">
            <v>20018_2</v>
          </cell>
        </row>
        <row r="515">
          <cell r="A515" t="str">
            <v>20018_3</v>
          </cell>
        </row>
        <row r="516">
          <cell r="A516" t="str">
            <v>20019_1</v>
          </cell>
        </row>
        <row r="517">
          <cell r="A517" t="str">
            <v>20019_2</v>
          </cell>
        </row>
        <row r="518">
          <cell r="A518" t="str">
            <v>20019_3</v>
          </cell>
        </row>
        <row r="519">
          <cell r="A519" t="str">
            <v>20020_1</v>
          </cell>
        </row>
        <row r="520">
          <cell r="A520" t="str">
            <v>20020_2</v>
          </cell>
        </row>
        <row r="521">
          <cell r="A521" t="str">
            <v>20020_3</v>
          </cell>
        </row>
        <row r="522">
          <cell r="A522" t="str">
            <v>20021_1</v>
          </cell>
        </row>
        <row r="523">
          <cell r="A523" t="str">
            <v>20021_2</v>
          </cell>
        </row>
        <row r="524">
          <cell r="A524" t="str">
            <v>20021_3</v>
          </cell>
        </row>
        <row r="525">
          <cell r="A525" t="str">
            <v>20022_1</v>
          </cell>
        </row>
        <row r="526">
          <cell r="A526" t="str">
            <v>30001_1</v>
          </cell>
        </row>
        <row r="527">
          <cell r="A527" t="str">
            <v>30001_2</v>
          </cell>
        </row>
        <row r="528">
          <cell r="A528" t="str">
            <v>30001_3</v>
          </cell>
        </row>
        <row r="529">
          <cell r="A529" t="str">
            <v>30002_1</v>
          </cell>
        </row>
        <row r="530">
          <cell r="A530" t="str">
            <v>30002_2</v>
          </cell>
        </row>
        <row r="531">
          <cell r="A531" t="str">
            <v>30002_3</v>
          </cell>
        </row>
        <row r="532">
          <cell r="A532" t="str">
            <v>30003_1</v>
          </cell>
        </row>
        <row r="533">
          <cell r="A533" t="str">
            <v>30003_2</v>
          </cell>
        </row>
        <row r="534">
          <cell r="A534" t="str">
            <v>30003_3</v>
          </cell>
        </row>
        <row r="535">
          <cell r="A535" t="str">
            <v>30004_1</v>
          </cell>
        </row>
        <row r="536">
          <cell r="A536" t="str">
            <v>30004_2</v>
          </cell>
        </row>
        <row r="537">
          <cell r="A537" t="str">
            <v>30004_3</v>
          </cell>
        </row>
        <row r="538">
          <cell r="A538" t="str">
            <v>30005_1</v>
          </cell>
        </row>
        <row r="539">
          <cell r="A539" t="str">
            <v>30005_2</v>
          </cell>
        </row>
        <row r="540">
          <cell r="A540" t="str">
            <v>30005_3</v>
          </cell>
        </row>
        <row r="541">
          <cell r="A541" t="str">
            <v>30006_1</v>
          </cell>
        </row>
        <row r="542">
          <cell r="A542" t="str">
            <v>30006_2</v>
          </cell>
        </row>
        <row r="543">
          <cell r="A543" t="str">
            <v>30006_3</v>
          </cell>
        </row>
        <row r="544">
          <cell r="A544" t="str">
            <v>30007_1</v>
          </cell>
        </row>
        <row r="545">
          <cell r="A545" t="str">
            <v>30007_2</v>
          </cell>
        </row>
        <row r="546">
          <cell r="A546" t="str">
            <v>30007_3</v>
          </cell>
        </row>
        <row r="547">
          <cell r="A547" t="str">
            <v>30008_1</v>
          </cell>
        </row>
        <row r="548">
          <cell r="A548" t="str">
            <v>30008_2</v>
          </cell>
        </row>
        <row r="549">
          <cell r="A549" t="str">
            <v>30008_3</v>
          </cell>
        </row>
        <row r="550">
          <cell r="A550" t="str">
            <v>30009_3</v>
          </cell>
        </row>
        <row r="551">
          <cell r="A551" t="str">
            <v>30009_1</v>
          </cell>
        </row>
        <row r="552">
          <cell r="A552" t="str">
            <v>30009_2</v>
          </cell>
        </row>
        <row r="553">
          <cell r="A553" t="str">
            <v>30010_1</v>
          </cell>
        </row>
        <row r="554">
          <cell r="A554" t="str">
            <v>30010_2</v>
          </cell>
        </row>
        <row r="555">
          <cell r="A555" t="str">
            <v>30010_3</v>
          </cell>
        </row>
        <row r="556">
          <cell r="A556" t="str">
            <v>30011_1</v>
          </cell>
        </row>
        <row r="557">
          <cell r="A557" t="str">
            <v>30011_2</v>
          </cell>
        </row>
        <row r="558">
          <cell r="A558" t="str">
            <v>30011_3</v>
          </cell>
        </row>
        <row r="559">
          <cell r="A559" t="str">
            <v>30012_1</v>
          </cell>
        </row>
        <row r="560">
          <cell r="A560" t="str">
            <v>30012_2</v>
          </cell>
        </row>
        <row r="561">
          <cell r="A561" t="str">
            <v>30012_3</v>
          </cell>
        </row>
        <row r="562">
          <cell r="A562" t="str">
            <v>30013_1</v>
          </cell>
        </row>
        <row r="563">
          <cell r="A563" t="str">
            <v>30013_2</v>
          </cell>
        </row>
        <row r="564">
          <cell r="A564" t="str">
            <v>30014_1</v>
          </cell>
        </row>
        <row r="565">
          <cell r="A565" t="str">
            <v>30014_2</v>
          </cell>
        </row>
        <row r="566">
          <cell r="A566" t="str">
            <v>30015_1</v>
          </cell>
        </row>
        <row r="567">
          <cell r="A567" t="str">
            <v>30015_2</v>
          </cell>
        </row>
        <row r="568">
          <cell r="A568" t="str">
            <v>30016_1</v>
          </cell>
        </row>
        <row r="569">
          <cell r="A569" t="str">
            <v>30016_2</v>
          </cell>
        </row>
        <row r="570">
          <cell r="A570" t="str">
            <v>30017_1</v>
          </cell>
        </row>
        <row r="571">
          <cell r="A571" t="str">
            <v>30017_2</v>
          </cell>
        </row>
        <row r="572">
          <cell r="A572" t="str">
            <v>30018_1</v>
          </cell>
        </row>
        <row r="573">
          <cell r="A573" t="str">
            <v>30018_2</v>
          </cell>
        </row>
        <row r="574">
          <cell r="A574" t="str">
            <v>30019_1</v>
          </cell>
        </row>
        <row r="575">
          <cell r="A575" t="str">
            <v>30019_2</v>
          </cell>
        </row>
        <row r="576">
          <cell r="A576" t="str">
            <v>30020_1</v>
          </cell>
        </row>
        <row r="577">
          <cell r="A577" t="str">
            <v>30020_2</v>
          </cell>
        </row>
        <row r="578">
          <cell r="A578" t="str">
            <v>30021_1</v>
          </cell>
        </row>
        <row r="579">
          <cell r="A579" t="str">
            <v>30021_2</v>
          </cell>
        </row>
        <row r="580">
          <cell r="A580" t="str">
            <v>30021_3</v>
          </cell>
        </row>
        <row r="581">
          <cell r="A581" t="str">
            <v>30022_1</v>
          </cell>
        </row>
        <row r="582">
          <cell r="A582" t="str">
            <v>30022_2</v>
          </cell>
        </row>
        <row r="583">
          <cell r="A583" t="str">
            <v>30023_1</v>
          </cell>
        </row>
        <row r="584">
          <cell r="A584" t="str">
            <v>30023_2</v>
          </cell>
        </row>
        <row r="585">
          <cell r="A585" t="str">
            <v>30023_3</v>
          </cell>
        </row>
        <row r="586">
          <cell r="A586" t="str">
            <v>30024_1</v>
          </cell>
        </row>
        <row r="587">
          <cell r="A587" t="str">
            <v>30024_2</v>
          </cell>
        </row>
        <row r="588">
          <cell r="A588" t="str">
            <v>30024_3</v>
          </cell>
        </row>
        <row r="589">
          <cell r="A589" t="str">
            <v>30025_1</v>
          </cell>
        </row>
        <row r="590">
          <cell r="A590" t="str">
            <v>30025_2</v>
          </cell>
        </row>
        <row r="591">
          <cell r="A591" t="str">
            <v>30025_3</v>
          </cell>
        </row>
        <row r="592">
          <cell r="A592" t="str">
            <v>30026_1</v>
          </cell>
        </row>
        <row r="593">
          <cell r="A593" t="str">
            <v>30026_2</v>
          </cell>
        </row>
        <row r="594">
          <cell r="A594" t="str">
            <v>30026_3</v>
          </cell>
        </row>
        <row r="595">
          <cell r="A595" t="str">
            <v>30027_1</v>
          </cell>
        </row>
        <row r="596">
          <cell r="A596" t="str">
            <v>30027_2</v>
          </cell>
        </row>
        <row r="597">
          <cell r="A597" t="str">
            <v>30027_3</v>
          </cell>
        </row>
        <row r="598">
          <cell r="A598" t="str">
            <v>30028_1</v>
          </cell>
        </row>
        <row r="599">
          <cell r="A599" t="str">
            <v>30028_2</v>
          </cell>
        </row>
        <row r="600">
          <cell r="A600" t="str">
            <v>30028_3</v>
          </cell>
        </row>
        <row r="601">
          <cell r="A601" t="str">
            <v>30029_1</v>
          </cell>
        </row>
        <row r="602">
          <cell r="A602" t="str">
            <v>30029_2</v>
          </cell>
        </row>
        <row r="603">
          <cell r="A603" t="str">
            <v>30029_3</v>
          </cell>
        </row>
        <row r="604">
          <cell r="A604" t="str">
            <v>30030_1</v>
          </cell>
        </row>
        <row r="605">
          <cell r="A605" t="str">
            <v>30030_2</v>
          </cell>
        </row>
        <row r="606">
          <cell r="A606" t="str">
            <v>30030_3</v>
          </cell>
        </row>
        <row r="607">
          <cell r="A607" t="str">
            <v>30031_1</v>
          </cell>
        </row>
        <row r="608">
          <cell r="A608" t="str">
            <v>30031_2</v>
          </cell>
        </row>
        <row r="609">
          <cell r="A609" t="str">
            <v>30031_3</v>
          </cell>
        </row>
        <row r="610">
          <cell r="A610" t="str">
            <v>30032_1</v>
          </cell>
        </row>
        <row r="611">
          <cell r="A611" t="str">
            <v>30032_2</v>
          </cell>
        </row>
        <row r="612">
          <cell r="A612" t="str">
            <v>30032_3</v>
          </cell>
        </row>
        <row r="613">
          <cell r="A613" t="str">
            <v>30033_1</v>
          </cell>
        </row>
        <row r="614">
          <cell r="A614" t="str">
            <v>30033_2</v>
          </cell>
        </row>
        <row r="615">
          <cell r="A615" t="str">
            <v>30033_3</v>
          </cell>
        </row>
        <row r="616">
          <cell r="A616" t="str">
            <v>30034_1</v>
          </cell>
        </row>
        <row r="617">
          <cell r="A617" t="str">
            <v>30034_2</v>
          </cell>
        </row>
        <row r="618">
          <cell r="A618" t="str">
            <v>30034_3</v>
          </cell>
        </row>
        <row r="619">
          <cell r="A619" t="str">
            <v>30035_1</v>
          </cell>
        </row>
        <row r="620">
          <cell r="A620" t="str">
            <v>30035_2</v>
          </cell>
        </row>
        <row r="621">
          <cell r="A621" t="str">
            <v>30035_3</v>
          </cell>
        </row>
        <row r="622">
          <cell r="A622" t="str">
            <v>30036_1</v>
          </cell>
        </row>
        <row r="623">
          <cell r="A623" t="str">
            <v>30036_2</v>
          </cell>
        </row>
        <row r="624">
          <cell r="A624" t="str">
            <v>30036_3</v>
          </cell>
        </row>
        <row r="625">
          <cell r="A625" t="str">
            <v>30037_1</v>
          </cell>
        </row>
        <row r="626">
          <cell r="A626" t="str">
            <v>30037_2</v>
          </cell>
        </row>
        <row r="627">
          <cell r="A627" t="str">
            <v>30037_3</v>
          </cell>
        </row>
        <row r="628">
          <cell r="A628" t="str">
            <v>30038_1</v>
          </cell>
        </row>
        <row r="629">
          <cell r="A629" t="str">
            <v>30038_2</v>
          </cell>
        </row>
        <row r="630">
          <cell r="A630" t="str">
            <v>30038_3</v>
          </cell>
        </row>
        <row r="631">
          <cell r="A631" t="str">
            <v>30039_1</v>
          </cell>
        </row>
        <row r="632">
          <cell r="A632" t="str">
            <v>30039_2</v>
          </cell>
        </row>
        <row r="633">
          <cell r="A633" t="str">
            <v>30039_3</v>
          </cell>
        </row>
        <row r="634">
          <cell r="A634" t="str">
            <v>30040_1</v>
          </cell>
        </row>
        <row r="635">
          <cell r="A635" t="str">
            <v>30040_2</v>
          </cell>
        </row>
        <row r="636">
          <cell r="A636" t="str">
            <v>30040_3</v>
          </cell>
        </row>
        <row r="637">
          <cell r="A637" t="str">
            <v>30041_1</v>
          </cell>
        </row>
        <row r="638">
          <cell r="A638" t="str">
            <v>30041_2</v>
          </cell>
        </row>
        <row r="639">
          <cell r="A639" t="str">
            <v>30041_3</v>
          </cell>
        </row>
        <row r="640">
          <cell r="A640" t="str">
            <v>30042_1</v>
          </cell>
        </row>
        <row r="641">
          <cell r="A641" t="str">
            <v>30042_2</v>
          </cell>
        </row>
        <row r="642">
          <cell r="A642" t="str">
            <v>30042_3</v>
          </cell>
        </row>
        <row r="643">
          <cell r="A643" t="str">
            <v>30043_1</v>
          </cell>
        </row>
        <row r="644">
          <cell r="A644" t="str">
            <v>30043_2</v>
          </cell>
        </row>
        <row r="645">
          <cell r="A645" t="str">
            <v>30043_3</v>
          </cell>
        </row>
        <row r="646">
          <cell r="A646" t="str">
            <v>30044_1</v>
          </cell>
        </row>
        <row r="647">
          <cell r="A647" t="str">
            <v>30044_2</v>
          </cell>
        </row>
        <row r="648">
          <cell r="A648" t="str">
            <v>30044_3</v>
          </cell>
        </row>
        <row r="649">
          <cell r="A649" t="str">
            <v>30045_1</v>
          </cell>
        </row>
        <row r="650">
          <cell r="A650" t="str">
            <v>30045_2</v>
          </cell>
        </row>
        <row r="651">
          <cell r="A651" t="str">
            <v>30045_3</v>
          </cell>
        </row>
        <row r="652">
          <cell r="A652" t="str">
            <v>30046_1</v>
          </cell>
        </row>
        <row r="653">
          <cell r="A653" t="str">
            <v>30046_2</v>
          </cell>
        </row>
        <row r="654">
          <cell r="A654" t="str">
            <v>30046_3</v>
          </cell>
        </row>
        <row r="655">
          <cell r="A655" t="str">
            <v>30047_1</v>
          </cell>
        </row>
        <row r="656">
          <cell r="A656" t="str">
            <v>30047_2</v>
          </cell>
        </row>
        <row r="657">
          <cell r="A657" t="str">
            <v>30047_3</v>
          </cell>
        </row>
        <row r="658">
          <cell r="A658" t="str">
            <v>30048_1</v>
          </cell>
        </row>
        <row r="659">
          <cell r="A659" t="str">
            <v>30048_2</v>
          </cell>
        </row>
        <row r="660">
          <cell r="A660" t="str">
            <v>30048_3</v>
          </cell>
        </row>
        <row r="661">
          <cell r="A661" t="str">
            <v>30049_1</v>
          </cell>
        </row>
        <row r="662">
          <cell r="A662" t="str">
            <v>30049_2</v>
          </cell>
        </row>
        <row r="663">
          <cell r="A663" t="str">
            <v>30049_3</v>
          </cell>
        </row>
        <row r="664">
          <cell r="A664" t="str">
            <v>30050_1</v>
          </cell>
        </row>
        <row r="665">
          <cell r="A665" t="str">
            <v>30050_2</v>
          </cell>
        </row>
        <row r="666">
          <cell r="A666" t="str">
            <v>30050_3</v>
          </cell>
        </row>
        <row r="667">
          <cell r="A667" t="str">
            <v>38101_1</v>
          </cell>
        </row>
        <row r="668">
          <cell r="A668" t="str">
            <v>38101_2</v>
          </cell>
        </row>
        <row r="669">
          <cell r="A669" t="str">
            <v>38101_3</v>
          </cell>
        </row>
        <row r="670">
          <cell r="A670" t="str">
            <v>39001_1</v>
          </cell>
        </row>
        <row r="671">
          <cell r="A671" t="str">
            <v>39001_2</v>
          </cell>
        </row>
        <row r="672">
          <cell r="A672" t="str">
            <v>39001_3</v>
          </cell>
        </row>
        <row r="673">
          <cell r="A673" t="str">
            <v>39001_4</v>
          </cell>
        </row>
        <row r="674">
          <cell r="A674" t="str">
            <v>39001_5</v>
          </cell>
        </row>
        <row r="675">
          <cell r="A675" t="str">
            <v>39002_1</v>
          </cell>
        </row>
        <row r="676">
          <cell r="A676" t="str">
            <v>39002_2</v>
          </cell>
        </row>
        <row r="677">
          <cell r="A677" t="str">
            <v>39002_3</v>
          </cell>
        </row>
        <row r="678">
          <cell r="A678" t="str">
            <v>39002_4</v>
          </cell>
        </row>
        <row r="679">
          <cell r="A679" t="str">
            <v>39003_1</v>
          </cell>
        </row>
        <row r="680">
          <cell r="A680" t="str">
            <v>39003_2</v>
          </cell>
        </row>
        <row r="681">
          <cell r="A681" t="str">
            <v>39003_3</v>
          </cell>
        </row>
        <row r="682">
          <cell r="A682" t="str">
            <v>39003_4</v>
          </cell>
        </row>
        <row r="683">
          <cell r="A683" t="str">
            <v>39004_1</v>
          </cell>
        </row>
        <row r="684">
          <cell r="A684" t="str">
            <v>39004_2</v>
          </cell>
        </row>
        <row r="685">
          <cell r="A685" t="str">
            <v>39004_3</v>
          </cell>
        </row>
        <row r="686">
          <cell r="A686" t="str">
            <v>39004_4</v>
          </cell>
        </row>
        <row r="687">
          <cell r="A687" t="str">
            <v>39005_1</v>
          </cell>
        </row>
        <row r="688">
          <cell r="A688" t="str">
            <v>39005_2</v>
          </cell>
        </row>
        <row r="689">
          <cell r="A689" t="str">
            <v>39005_3</v>
          </cell>
        </row>
        <row r="690">
          <cell r="A690" t="str">
            <v>39005_4</v>
          </cell>
        </row>
        <row r="691">
          <cell r="A691" t="str">
            <v>39005_5</v>
          </cell>
        </row>
        <row r="692">
          <cell r="A692" t="str">
            <v>39006_1</v>
          </cell>
        </row>
        <row r="693">
          <cell r="A693" t="str">
            <v>39006_2</v>
          </cell>
        </row>
        <row r="694">
          <cell r="A694" t="str">
            <v>39006_3</v>
          </cell>
        </row>
        <row r="695">
          <cell r="A695" t="str">
            <v>39006_4</v>
          </cell>
        </row>
        <row r="696">
          <cell r="A696" t="str">
            <v>39007_1</v>
          </cell>
        </row>
        <row r="697">
          <cell r="A697" t="str">
            <v>39007_2</v>
          </cell>
        </row>
        <row r="698">
          <cell r="A698" t="str">
            <v>39007_3</v>
          </cell>
        </row>
        <row r="699">
          <cell r="A699" t="str">
            <v>39007_4</v>
          </cell>
        </row>
        <row r="700">
          <cell r="A700" t="str">
            <v>39008_1</v>
          </cell>
        </row>
        <row r="701">
          <cell r="A701" t="str">
            <v>39008_2</v>
          </cell>
        </row>
        <row r="702">
          <cell r="A702" t="str">
            <v>39008_3</v>
          </cell>
        </row>
        <row r="703">
          <cell r="A703" t="str">
            <v>39008_4</v>
          </cell>
        </row>
        <row r="704">
          <cell r="A704" t="str">
            <v>39008_5</v>
          </cell>
        </row>
        <row r="705">
          <cell r="A705" t="str">
            <v>39009_1</v>
          </cell>
        </row>
        <row r="706">
          <cell r="A706" t="str">
            <v>39009_2</v>
          </cell>
        </row>
        <row r="707">
          <cell r="A707" t="str">
            <v>39009_3</v>
          </cell>
        </row>
        <row r="708">
          <cell r="A708" t="str">
            <v>39009_4</v>
          </cell>
        </row>
        <row r="709">
          <cell r="A709" t="str">
            <v>39009_5</v>
          </cell>
        </row>
        <row r="710">
          <cell r="A710" t="str">
            <v>39010_1</v>
          </cell>
        </row>
        <row r="711">
          <cell r="A711" t="str">
            <v>39010_2</v>
          </cell>
        </row>
        <row r="712">
          <cell r="A712" t="str">
            <v>39010_3</v>
          </cell>
        </row>
        <row r="713">
          <cell r="A713" t="str">
            <v>39010_4</v>
          </cell>
        </row>
        <row r="714">
          <cell r="A714" t="str">
            <v>39011_1</v>
          </cell>
        </row>
        <row r="715">
          <cell r="A715" t="str">
            <v>39011_2</v>
          </cell>
        </row>
        <row r="716">
          <cell r="A716" t="str">
            <v>39011_3</v>
          </cell>
        </row>
        <row r="717">
          <cell r="A717" t="str">
            <v>39011_4</v>
          </cell>
        </row>
        <row r="718">
          <cell r="A718" t="str">
            <v>39012_1</v>
          </cell>
        </row>
        <row r="719">
          <cell r="A719" t="str">
            <v>39012_2</v>
          </cell>
        </row>
        <row r="720">
          <cell r="A720" t="str">
            <v>39012_3</v>
          </cell>
        </row>
        <row r="721">
          <cell r="A721" t="str">
            <v>39012_4</v>
          </cell>
        </row>
        <row r="722">
          <cell r="A722" t="str">
            <v>39012_5</v>
          </cell>
        </row>
        <row r="723">
          <cell r="A723" t="str">
            <v>39013_1</v>
          </cell>
        </row>
        <row r="724">
          <cell r="A724" t="str">
            <v>39013_2</v>
          </cell>
        </row>
        <row r="725">
          <cell r="A725" t="str">
            <v>39013_3</v>
          </cell>
        </row>
        <row r="726">
          <cell r="A726" t="str">
            <v>39013_4</v>
          </cell>
        </row>
        <row r="727">
          <cell r="A727" t="str">
            <v>39014_1</v>
          </cell>
        </row>
        <row r="728">
          <cell r="A728" t="str">
            <v>39014_2</v>
          </cell>
        </row>
        <row r="729">
          <cell r="A729" t="str">
            <v>40001_1</v>
          </cell>
        </row>
        <row r="730">
          <cell r="A730" t="str">
            <v>40002_1</v>
          </cell>
        </row>
        <row r="731">
          <cell r="A731" t="str">
            <v>40002_2</v>
          </cell>
        </row>
        <row r="732">
          <cell r="A732" t="str">
            <v>40002_3</v>
          </cell>
        </row>
        <row r="733">
          <cell r="A733" t="str">
            <v>40003_1</v>
          </cell>
        </row>
        <row r="734">
          <cell r="A734" t="str">
            <v>40004_1</v>
          </cell>
        </row>
        <row r="735">
          <cell r="A735" t="str">
            <v>40005_1</v>
          </cell>
        </row>
        <row r="736">
          <cell r="A736" t="str">
            <v>40006_1</v>
          </cell>
        </row>
        <row r="737">
          <cell r="A737" t="str">
            <v>40007_1</v>
          </cell>
        </row>
        <row r="738">
          <cell r="A738" t="str">
            <v>40008_1</v>
          </cell>
        </row>
        <row r="739">
          <cell r="A739" t="str">
            <v>40009_1</v>
          </cell>
        </row>
        <row r="740">
          <cell r="A740" t="str">
            <v>40010_1</v>
          </cell>
        </row>
        <row r="741">
          <cell r="A741" t="str">
            <v>40011_1</v>
          </cell>
        </row>
        <row r="742">
          <cell r="A742" t="str">
            <v>40012_1</v>
          </cell>
        </row>
        <row r="743">
          <cell r="A743" t="str">
            <v>40013_1</v>
          </cell>
        </row>
        <row r="744">
          <cell r="A744" t="str">
            <v>40014_1</v>
          </cell>
        </row>
        <row r="745">
          <cell r="A745" t="str">
            <v>40015_1</v>
          </cell>
        </row>
        <row r="746">
          <cell r="A746" t="str">
            <v>40016_1</v>
          </cell>
        </row>
        <row r="747">
          <cell r="A747" t="str">
            <v>40016_2</v>
          </cell>
        </row>
        <row r="748">
          <cell r="A748" t="str">
            <v>40017_1</v>
          </cell>
        </row>
        <row r="749">
          <cell r="A749" t="str">
            <v>40017_2</v>
          </cell>
        </row>
        <row r="750">
          <cell r="A750" t="str">
            <v>40017_3</v>
          </cell>
        </row>
        <row r="751">
          <cell r="A751" t="str">
            <v>40018_1</v>
          </cell>
        </row>
        <row r="752">
          <cell r="A752" t="str">
            <v>40018_2</v>
          </cell>
        </row>
        <row r="753">
          <cell r="A753" t="str">
            <v>40018_3</v>
          </cell>
        </row>
        <row r="754">
          <cell r="A754" t="str">
            <v>40019_1</v>
          </cell>
        </row>
        <row r="755">
          <cell r="A755" t="str">
            <v>40019_2</v>
          </cell>
        </row>
        <row r="756">
          <cell r="A756" t="str">
            <v>40019_3</v>
          </cell>
        </row>
        <row r="757">
          <cell r="A757" t="str">
            <v>40021_1</v>
          </cell>
        </row>
        <row r="758">
          <cell r="A758" t="str">
            <v>40021_2</v>
          </cell>
        </row>
        <row r="759">
          <cell r="A759" t="str">
            <v>40022_1</v>
          </cell>
        </row>
        <row r="760">
          <cell r="A760" t="str">
            <v>40022_2</v>
          </cell>
        </row>
        <row r="761">
          <cell r="A761" t="str">
            <v>40023_1</v>
          </cell>
        </row>
        <row r="762">
          <cell r="A762" t="str">
            <v>40023_2</v>
          </cell>
        </row>
        <row r="763">
          <cell r="A763" t="str">
            <v>40024_1</v>
          </cell>
        </row>
        <row r="764">
          <cell r="A764" t="str">
            <v>40024_2</v>
          </cell>
        </row>
        <row r="765">
          <cell r="A765" t="str">
            <v>40025_1</v>
          </cell>
        </row>
        <row r="766">
          <cell r="A766" t="str">
            <v>40025_2</v>
          </cell>
        </row>
        <row r="767">
          <cell r="A767" t="str">
            <v>40026_1</v>
          </cell>
        </row>
        <row r="768">
          <cell r="A768" t="str">
            <v>40026_2</v>
          </cell>
        </row>
        <row r="769">
          <cell r="A769" t="str">
            <v>40027_1</v>
          </cell>
        </row>
        <row r="770">
          <cell r="A770" t="str">
            <v>40027_2</v>
          </cell>
        </row>
        <row r="771">
          <cell r="A771" t="str">
            <v>40028_1</v>
          </cell>
        </row>
        <row r="772">
          <cell r="A772" t="str">
            <v>40028_2</v>
          </cell>
        </row>
        <row r="773">
          <cell r="A773" t="str">
            <v>40029_1</v>
          </cell>
        </row>
        <row r="774">
          <cell r="A774" t="str">
            <v>40029_2</v>
          </cell>
        </row>
        <row r="775">
          <cell r="A775" t="str">
            <v>40030_1</v>
          </cell>
        </row>
        <row r="776">
          <cell r="A776" t="str">
            <v>40030_2</v>
          </cell>
        </row>
        <row r="777">
          <cell r="A777" t="str">
            <v>40031_1</v>
          </cell>
        </row>
        <row r="778">
          <cell r="A778" t="str">
            <v>40031_2</v>
          </cell>
        </row>
        <row r="779">
          <cell r="A779" t="str">
            <v>40032_1</v>
          </cell>
        </row>
        <row r="780">
          <cell r="A780" t="str">
            <v>40032_2</v>
          </cell>
        </row>
        <row r="781">
          <cell r="A781" t="str">
            <v>40033_1</v>
          </cell>
        </row>
        <row r="782">
          <cell r="A782" t="str">
            <v>40033_2</v>
          </cell>
        </row>
        <row r="783">
          <cell r="A783" t="str">
            <v>40034_1</v>
          </cell>
        </row>
        <row r="784">
          <cell r="A784" t="str">
            <v>40034_2</v>
          </cell>
        </row>
        <row r="785">
          <cell r="A785" t="str">
            <v>40035_1</v>
          </cell>
        </row>
        <row r="786">
          <cell r="A786" t="str">
            <v>40035_2</v>
          </cell>
        </row>
        <row r="787">
          <cell r="A787" t="str">
            <v>40036_1</v>
          </cell>
        </row>
        <row r="788">
          <cell r="A788" t="str">
            <v>40036_2</v>
          </cell>
        </row>
        <row r="789">
          <cell r="A789" t="str">
            <v>40037_1</v>
          </cell>
        </row>
        <row r="790">
          <cell r="A790" t="str">
            <v>40037_2</v>
          </cell>
        </row>
        <row r="791">
          <cell r="A791" t="str">
            <v>40038_1</v>
          </cell>
        </row>
        <row r="792">
          <cell r="A792" t="str">
            <v>40038_2</v>
          </cell>
        </row>
        <row r="793">
          <cell r="A793" t="str">
            <v>40039_1</v>
          </cell>
        </row>
        <row r="794">
          <cell r="A794" t="str">
            <v>40039_2</v>
          </cell>
        </row>
        <row r="795">
          <cell r="A795" t="str">
            <v>40040_1</v>
          </cell>
        </row>
        <row r="796">
          <cell r="A796" t="str">
            <v>40040_2</v>
          </cell>
        </row>
        <row r="797">
          <cell r="A797" t="str">
            <v>40041_1</v>
          </cell>
        </row>
        <row r="798">
          <cell r="A798" t="str">
            <v>40041_2</v>
          </cell>
        </row>
        <row r="799">
          <cell r="A799" t="str">
            <v>40042_1</v>
          </cell>
        </row>
        <row r="800">
          <cell r="A800" t="str">
            <v>40042_2</v>
          </cell>
        </row>
        <row r="801">
          <cell r="A801" t="str">
            <v>40043_1</v>
          </cell>
        </row>
        <row r="802">
          <cell r="A802" t="str">
            <v>40043_2</v>
          </cell>
        </row>
        <row r="803">
          <cell r="A803" t="str">
            <v>40044_1</v>
          </cell>
        </row>
        <row r="804">
          <cell r="A804" t="str">
            <v>40044_2</v>
          </cell>
        </row>
        <row r="805">
          <cell r="A805" t="str">
            <v>40045_1</v>
          </cell>
        </row>
        <row r="806">
          <cell r="A806" t="str">
            <v>40045_2</v>
          </cell>
        </row>
        <row r="807">
          <cell r="A807" t="str">
            <v>40046_1</v>
          </cell>
        </row>
        <row r="808">
          <cell r="A808" t="str">
            <v>40046_2</v>
          </cell>
        </row>
        <row r="809">
          <cell r="A809" t="str">
            <v>41001_1</v>
          </cell>
        </row>
        <row r="810">
          <cell r="A810" t="str">
            <v>41001_2</v>
          </cell>
        </row>
        <row r="811">
          <cell r="A811" t="str">
            <v>41001_3</v>
          </cell>
        </row>
        <row r="812">
          <cell r="A812" t="str">
            <v>41001_4</v>
          </cell>
        </row>
        <row r="813">
          <cell r="A813" t="str">
            <v>41002_1</v>
          </cell>
        </row>
        <row r="814">
          <cell r="A814" t="str">
            <v>41002_2</v>
          </cell>
        </row>
        <row r="815">
          <cell r="A815" t="str">
            <v>41002_3</v>
          </cell>
        </row>
        <row r="816">
          <cell r="A816" t="str">
            <v>41002_4</v>
          </cell>
        </row>
        <row r="817">
          <cell r="A817" t="str">
            <v>41003_1</v>
          </cell>
        </row>
        <row r="818">
          <cell r="A818" t="str">
            <v>41003_2</v>
          </cell>
        </row>
        <row r="819">
          <cell r="A819" t="str">
            <v>41003_3</v>
          </cell>
        </row>
        <row r="820">
          <cell r="A820" t="str">
            <v>41003_4</v>
          </cell>
        </row>
        <row r="821">
          <cell r="A821" t="str">
            <v>41004_1</v>
          </cell>
        </row>
        <row r="822">
          <cell r="A822" t="str">
            <v>41004_2</v>
          </cell>
        </row>
        <row r="823">
          <cell r="A823" t="str">
            <v>41004_3</v>
          </cell>
        </row>
        <row r="824">
          <cell r="A824" t="str">
            <v>41005_1</v>
          </cell>
        </row>
        <row r="825">
          <cell r="A825" t="str">
            <v>41005_2</v>
          </cell>
        </row>
        <row r="826">
          <cell r="A826" t="str">
            <v>41005_3</v>
          </cell>
        </row>
        <row r="827">
          <cell r="A827" t="str">
            <v>41006_1</v>
          </cell>
        </row>
        <row r="828">
          <cell r="A828" t="str">
            <v>41006_2</v>
          </cell>
        </row>
        <row r="829">
          <cell r="A829" t="str">
            <v>41006_3</v>
          </cell>
        </row>
        <row r="830">
          <cell r="A830" t="str">
            <v>41007_1</v>
          </cell>
        </row>
        <row r="831">
          <cell r="A831" t="str">
            <v>41007_2</v>
          </cell>
        </row>
        <row r="832">
          <cell r="A832" t="str">
            <v>41007_3</v>
          </cell>
        </row>
        <row r="833">
          <cell r="A833" t="str">
            <v>41008_1</v>
          </cell>
        </row>
        <row r="834">
          <cell r="A834" t="str">
            <v>41008_2</v>
          </cell>
        </row>
        <row r="835">
          <cell r="A835" t="str">
            <v>41008_3</v>
          </cell>
        </row>
        <row r="836">
          <cell r="A836" t="str">
            <v>41009_1</v>
          </cell>
        </row>
        <row r="837">
          <cell r="A837" t="str">
            <v>41009_2</v>
          </cell>
        </row>
        <row r="838">
          <cell r="A838" t="str">
            <v>41009_3</v>
          </cell>
        </row>
        <row r="839">
          <cell r="A839" t="str">
            <v>41010_1</v>
          </cell>
        </row>
        <row r="840">
          <cell r="A840" t="str">
            <v>41010_2</v>
          </cell>
        </row>
        <row r="841">
          <cell r="A841" t="str">
            <v>41010_3</v>
          </cell>
        </row>
        <row r="842">
          <cell r="A842" t="str">
            <v>41011_1</v>
          </cell>
        </row>
        <row r="843">
          <cell r="A843" t="str">
            <v>41011_2</v>
          </cell>
        </row>
        <row r="844">
          <cell r="A844" t="str">
            <v>41012_1</v>
          </cell>
        </row>
        <row r="845">
          <cell r="A845" t="str">
            <v>41012_2</v>
          </cell>
        </row>
        <row r="846">
          <cell r="A846" t="str">
            <v>41013_1</v>
          </cell>
        </row>
        <row r="847">
          <cell r="A847" t="str">
            <v>41013_2</v>
          </cell>
        </row>
        <row r="848">
          <cell r="A848" t="str">
            <v>41014_1</v>
          </cell>
        </row>
        <row r="849">
          <cell r="A849" t="str">
            <v>41014_2</v>
          </cell>
        </row>
        <row r="850">
          <cell r="A850" t="str">
            <v>41015_1</v>
          </cell>
        </row>
        <row r="851">
          <cell r="A851" t="str">
            <v>41015_2</v>
          </cell>
        </row>
        <row r="852">
          <cell r="A852" t="str">
            <v>47001_1</v>
          </cell>
        </row>
        <row r="853">
          <cell r="A853" t="str">
            <v>47001_2</v>
          </cell>
        </row>
        <row r="854">
          <cell r="A854" t="str">
            <v>47002_1</v>
          </cell>
        </row>
        <row r="855">
          <cell r="A855" t="str">
            <v>47002_2</v>
          </cell>
        </row>
        <row r="856">
          <cell r="A856" t="str">
            <v>47003_1</v>
          </cell>
        </row>
        <row r="857">
          <cell r="A857" t="str">
            <v>47003_2</v>
          </cell>
        </row>
        <row r="858">
          <cell r="A858" t="str">
            <v>47003_3</v>
          </cell>
        </row>
        <row r="859">
          <cell r="A859" t="str">
            <v>47003_4</v>
          </cell>
        </row>
        <row r="860">
          <cell r="A860" t="str">
            <v>47004_1</v>
          </cell>
        </row>
        <row r="861">
          <cell r="A861" t="str">
            <v>47004_2</v>
          </cell>
        </row>
        <row r="862">
          <cell r="A862" t="str">
            <v>47004_3</v>
          </cell>
        </row>
        <row r="863">
          <cell r="A863" t="str">
            <v>47004_4</v>
          </cell>
        </row>
        <row r="864">
          <cell r="A864" t="str">
            <v>47005_1</v>
          </cell>
        </row>
        <row r="865">
          <cell r="A865" t="str">
            <v>47006_1</v>
          </cell>
        </row>
        <row r="866">
          <cell r="A866" t="str">
            <v>47006_2</v>
          </cell>
        </row>
        <row r="867">
          <cell r="A867" t="str">
            <v>47007_1</v>
          </cell>
        </row>
        <row r="868">
          <cell r="A868" t="str">
            <v>47007_2</v>
          </cell>
        </row>
        <row r="869">
          <cell r="A869" t="str">
            <v>47008_1</v>
          </cell>
        </row>
        <row r="870">
          <cell r="A870" t="str">
            <v>47008_2</v>
          </cell>
        </row>
        <row r="871">
          <cell r="A871" t="str">
            <v>47009_1</v>
          </cell>
        </row>
        <row r="872">
          <cell r="A872" t="str">
            <v>47009_2</v>
          </cell>
        </row>
        <row r="873">
          <cell r="A873" t="str">
            <v>47010_1</v>
          </cell>
        </row>
        <row r="874">
          <cell r="A874" t="str">
            <v>47010_2</v>
          </cell>
        </row>
        <row r="875">
          <cell r="A875" t="str">
            <v>47011_1</v>
          </cell>
        </row>
        <row r="876">
          <cell r="A876" t="str">
            <v>47012_1</v>
          </cell>
        </row>
        <row r="877">
          <cell r="A877" t="str">
            <v>47012_2</v>
          </cell>
        </row>
        <row r="878">
          <cell r="A878" t="str">
            <v>47013_1</v>
          </cell>
        </row>
        <row r="879">
          <cell r="A879" t="str">
            <v>47013_2</v>
          </cell>
        </row>
        <row r="880">
          <cell r="A880" t="str">
            <v>47013_3</v>
          </cell>
        </row>
        <row r="881">
          <cell r="A881" t="str">
            <v>47013_4</v>
          </cell>
        </row>
        <row r="882">
          <cell r="A882" t="str">
            <v>47014_1</v>
          </cell>
        </row>
        <row r="883">
          <cell r="A883" t="str">
            <v>47014_2</v>
          </cell>
        </row>
        <row r="884">
          <cell r="A884" t="str">
            <v>47014_3</v>
          </cell>
        </row>
        <row r="885">
          <cell r="A885" t="str">
            <v>47015_1</v>
          </cell>
        </row>
        <row r="886">
          <cell r="A886" t="str">
            <v>47015_2</v>
          </cell>
        </row>
        <row r="887">
          <cell r="A887" t="str">
            <v>47015_3</v>
          </cell>
        </row>
        <row r="888">
          <cell r="A888" t="str">
            <v>47016_1</v>
          </cell>
        </row>
        <row r="889">
          <cell r="A889" t="str">
            <v>47016_2</v>
          </cell>
        </row>
        <row r="890">
          <cell r="A890" t="str">
            <v>47016_3</v>
          </cell>
        </row>
        <row r="891">
          <cell r="A891" t="str">
            <v>48001_1</v>
          </cell>
        </row>
        <row r="892">
          <cell r="A892" t="str">
            <v>48002_1</v>
          </cell>
        </row>
        <row r="893">
          <cell r="A893" t="str">
            <v>48002_2</v>
          </cell>
        </row>
        <row r="894">
          <cell r="A894" t="str">
            <v>48002_3</v>
          </cell>
        </row>
        <row r="895">
          <cell r="A895" t="str">
            <v>48003_1</v>
          </cell>
        </row>
        <row r="896">
          <cell r="A896" t="str">
            <v>48003_2</v>
          </cell>
        </row>
        <row r="897">
          <cell r="A897" t="str">
            <v>48004_1</v>
          </cell>
        </row>
        <row r="898">
          <cell r="A898" t="str">
            <v>48004_2</v>
          </cell>
        </row>
        <row r="899">
          <cell r="A899" t="str">
            <v>48005_1</v>
          </cell>
        </row>
        <row r="900">
          <cell r="A900" t="str">
            <v>48005_2</v>
          </cell>
        </row>
        <row r="901">
          <cell r="A901" t="str">
            <v>48006_1</v>
          </cell>
        </row>
        <row r="902">
          <cell r="A902" t="str">
            <v>48006_2</v>
          </cell>
        </row>
        <row r="903">
          <cell r="A903" t="str">
            <v>48007_1</v>
          </cell>
        </row>
        <row r="904">
          <cell r="A904" t="str">
            <v>48007_2</v>
          </cell>
        </row>
        <row r="905">
          <cell r="A905" t="str">
            <v>48008_1</v>
          </cell>
        </row>
        <row r="906">
          <cell r="A906" t="str">
            <v>48008_2</v>
          </cell>
        </row>
        <row r="907">
          <cell r="A907" t="str">
            <v>48009_1</v>
          </cell>
        </row>
        <row r="908">
          <cell r="A908" t="str">
            <v>48009_2</v>
          </cell>
        </row>
        <row r="909">
          <cell r="A909" t="str">
            <v>48010_1</v>
          </cell>
        </row>
        <row r="910">
          <cell r="A910" t="str">
            <v>48011_1</v>
          </cell>
        </row>
        <row r="911">
          <cell r="A911" t="str">
            <v>48011_2</v>
          </cell>
        </row>
        <row r="912">
          <cell r="A912" t="str">
            <v>48012_1</v>
          </cell>
        </row>
        <row r="913">
          <cell r="A913" t="str">
            <v>48012_2</v>
          </cell>
        </row>
        <row r="914">
          <cell r="A914" t="str">
            <v>48013_1</v>
          </cell>
        </row>
        <row r="915">
          <cell r="A915" t="str">
            <v>48013_2</v>
          </cell>
        </row>
        <row r="916">
          <cell r="A916" t="str">
            <v>48014_1</v>
          </cell>
        </row>
        <row r="917">
          <cell r="A917" t="str">
            <v>48014_2</v>
          </cell>
        </row>
        <row r="918">
          <cell r="A918" t="str">
            <v>48015_1</v>
          </cell>
        </row>
        <row r="919">
          <cell r="A919" t="str">
            <v>48015_2</v>
          </cell>
        </row>
        <row r="920">
          <cell r="A920" t="str">
            <v>48016_1</v>
          </cell>
        </row>
        <row r="921">
          <cell r="A921" t="str">
            <v>48016_2</v>
          </cell>
        </row>
        <row r="922">
          <cell r="A922" t="str">
            <v>48101_1</v>
          </cell>
        </row>
        <row r="923">
          <cell r="A923" t="str">
            <v>48101_2</v>
          </cell>
        </row>
        <row r="924">
          <cell r="A924" t="str">
            <v>48501_1</v>
          </cell>
        </row>
        <row r="925">
          <cell r="A925" t="str">
            <v>48501_2</v>
          </cell>
        </row>
        <row r="926">
          <cell r="A926" t="str">
            <v>48502_1</v>
          </cell>
        </row>
        <row r="927">
          <cell r="A927" t="str">
            <v>48502_2</v>
          </cell>
        </row>
        <row r="928">
          <cell r="A928" t="str">
            <v>48503_1</v>
          </cell>
        </row>
        <row r="929">
          <cell r="A929" t="str">
            <v>48503_2</v>
          </cell>
        </row>
        <row r="930">
          <cell r="A930" t="str">
            <v>48504_1</v>
          </cell>
        </row>
        <row r="931">
          <cell r="A931" t="str">
            <v>48504_2</v>
          </cell>
        </row>
        <row r="932">
          <cell r="A932" t="str">
            <v>48701_1</v>
          </cell>
        </row>
        <row r="933">
          <cell r="A933" t="str">
            <v>48701_2</v>
          </cell>
        </row>
        <row r="934">
          <cell r="A934" t="str">
            <v>48702_1</v>
          </cell>
        </row>
        <row r="935">
          <cell r="A935" t="str">
            <v>48702_2</v>
          </cell>
        </row>
        <row r="936">
          <cell r="A936" t="str">
            <v>48703_1</v>
          </cell>
        </row>
        <row r="937">
          <cell r="A937" t="str">
            <v>49001_1</v>
          </cell>
        </row>
        <row r="938">
          <cell r="A938" t="str">
            <v>49002_1</v>
          </cell>
        </row>
        <row r="939">
          <cell r="A939" t="str">
            <v>49002_2</v>
          </cell>
        </row>
        <row r="940">
          <cell r="A940" t="str">
            <v>49003_1</v>
          </cell>
        </row>
        <row r="941">
          <cell r="A941" t="str">
            <v>49003_2</v>
          </cell>
        </row>
        <row r="942">
          <cell r="A942" t="str">
            <v>49004_1</v>
          </cell>
        </row>
        <row r="943">
          <cell r="A943" t="str">
            <v>49004_2</v>
          </cell>
        </row>
        <row r="944">
          <cell r="A944" t="str">
            <v>49004_3</v>
          </cell>
        </row>
        <row r="945">
          <cell r="A945" t="str">
            <v>49005_1</v>
          </cell>
        </row>
        <row r="946">
          <cell r="A946" t="str">
            <v>49006_1</v>
          </cell>
        </row>
        <row r="947">
          <cell r="A947" t="str">
            <v>49006_2</v>
          </cell>
        </row>
        <row r="948">
          <cell r="A948" t="str">
            <v>49007_1</v>
          </cell>
        </row>
        <row r="949">
          <cell r="A949" t="str">
            <v>49007_2</v>
          </cell>
        </row>
        <row r="950">
          <cell r="A950" t="str">
            <v>49007_3</v>
          </cell>
        </row>
        <row r="951">
          <cell r="A951" t="str">
            <v>49008_1</v>
          </cell>
        </row>
        <row r="952">
          <cell r="A952" t="str">
            <v>49009_1</v>
          </cell>
        </row>
        <row r="953">
          <cell r="A953" t="str">
            <v>49010_1</v>
          </cell>
        </row>
        <row r="954">
          <cell r="A954" t="str">
            <v>49011_1</v>
          </cell>
        </row>
        <row r="955">
          <cell r="A955" t="str">
            <v>49012_1</v>
          </cell>
        </row>
        <row r="956">
          <cell r="A956" t="str">
            <v>49013_1</v>
          </cell>
        </row>
        <row r="957">
          <cell r="A957" t="str">
            <v>49014_1</v>
          </cell>
        </row>
        <row r="958">
          <cell r="A958" t="str">
            <v>49014_2</v>
          </cell>
        </row>
        <row r="959">
          <cell r="A959" t="str">
            <v>49015_1</v>
          </cell>
        </row>
        <row r="960">
          <cell r="A960" t="str">
            <v>49015_2</v>
          </cell>
        </row>
        <row r="961">
          <cell r="A961" t="str">
            <v>49015_3</v>
          </cell>
        </row>
        <row r="962">
          <cell r="A962" t="str">
            <v>49016_1</v>
          </cell>
        </row>
        <row r="963">
          <cell r="A963" t="str">
            <v>49016_2</v>
          </cell>
        </row>
        <row r="964">
          <cell r="A964" t="str">
            <v>50001_1</v>
          </cell>
        </row>
        <row r="965">
          <cell r="A965" t="str">
            <v>50002_1</v>
          </cell>
        </row>
        <row r="966">
          <cell r="A966" t="str">
            <v>50003_1</v>
          </cell>
        </row>
        <row r="967">
          <cell r="A967" t="str">
            <v>50004_1</v>
          </cell>
        </row>
        <row r="968">
          <cell r="A968" t="str">
            <v>50005_1</v>
          </cell>
        </row>
        <row r="969">
          <cell r="A969" t="str">
            <v>50006_1</v>
          </cell>
        </row>
        <row r="970">
          <cell r="A970" t="str">
            <v>50007_1</v>
          </cell>
        </row>
        <row r="971">
          <cell r="A971" t="str">
            <v>50008_1</v>
          </cell>
        </row>
        <row r="972">
          <cell r="A972" t="str">
            <v>50009_1</v>
          </cell>
        </row>
        <row r="973">
          <cell r="A973" t="str">
            <v>50010_1</v>
          </cell>
        </row>
        <row r="974">
          <cell r="A974" t="str">
            <v>50011_1</v>
          </cell>
        </row>
        <row r="975">
          <cell r="A975" t="str">
            <v>50012_1</v>
          </cell>
        </row>
        <row r="976">
          <cell r="A976" t="str">
            <v>50013_1</v>
          </cell>
        </row>
        <row r="977">
          <cell r="A977" t="str">
            <v>50014_1</v>
          </cell>
        </row>
        <row r="978">
          <cell r="A978" t="str">
            <v>50015_1</v>
          </cell>
        </row>
        <row r="979">
          <cell r="A979" t="str">
            <v>50016_1</v>
          </cell>
        </row>
        <row r="980">
          <cell r="A980" t="str">
            <v>51001_1</v>
          </cell>
        </row>
        <row r="981">
          <cell r="A981" t="str">
            <v>51002_1</v>
          </cell>
        </row>
        <row r="982">
          <cell r="A982" t="str">
            <v>58001_1</v>
          </cell>
        </row>
        <row r="983">
          <cell r="A983" t="str">
            <v>58002_1</v>
          </cell>
        </row>
        <row r="984">
          <cell r="A984" t="str">
            <v>58003_1</v>
          </cell>
        </row>
        <row r="985">
          <cell r="A985" t="str">
            <v>58101_1</v>
          </cell>
        </row>
        <row r="986">
          <cell r="A986" t="str">
            <v>59001_1</v>
          </cell>
        </row>
        <row r="987">
          <cell r="A987" t="str">
            <v>59002_1</v>
          </cell>
        </row>
        <row r="988">
          <cell r="A988" t="str">
            <v>59003_1</v>
          </cell>
        </row>
        <row r="989">
          <cell r="A989" t="str">
            <v>59003_2</v>
          </cell>
        </row>
        <row r="990">
          <cell r="A990" t="str">
            <v>60001_1</v>
          </cell>
        </row>
        <row r="991">
          <cell r="A991" t="str">
            <v>60002_1</v>
          </cell>
        </row>
        <row r="992">
          <cell r="A992" t="str">
            <v>60002_2</v>
          </cell>
        </row>
        <row r="993">
          <cell r="A993" t="str">
            <v>60003_1</v>
          </cell>
        </row>
        <row r="994">
          <cell r="A994" t="str">
            <v>60003_2</v>
          </cell>
        </row>
        <row r="995">
          <cell r="A995" t="str">
            <v>60003_3</v>
          </cell>
        </row>
        <row r="996">
          <cell r="A996" t="str">
            <v>60004_1</v>
          </cell>
        </row>
        <row r="997">
          <cell r="A997" t="str">
            <v>60005_1</v>
          </cell>
        </row>
        <row r="998">
          <cell r="A998" t="str">
            <v>60006_1</v>
          </cell>
        </row>
        <row r="999">
          <cell r="A999" t="str">
            <v>60006_2</v>
          </cell>
        </row>
        <row r="1000">
          <cell r="A1000" t="str">
            <v>60006_3</v>
          </cell>
        </row>
        <row r="1001">
          <cell r="A1001" t="str">
            <v>60007_1</v>
          </cell>
        </row>
        <row r="1002">
          <cell r="A1002" t="str">
            <v>60007_2</v>
          </cell>
        </row>
        <row r="1003">
          <cell r="A1003" t="str">
            <v>60007_3</v>
          </cell>
        </row>
        <row r="1004">
          <cell r="A1004" t="str">
            <v>60010_1</v>
          </cell>
        </row>
        <row r="1005">
          <cell r="A1005" t="str">
            <v>60011_1</v>
          </cell>
        </row>
        <row r="1006">
          <cell r="A1006" t="str">
            <v>60011_2</v>
          </cell>
        </row>
        <row r="1007">
          <cell r="A1007" t="str">
            <v>60012_1</v>
          </cell>
        </row>
        <row r="1008">
          <cell r="A1008" t="str">
            <v>60013_1</v>
          </cell>
        </row>
        <row r="1009">
          <cell r="A1009" t="str">
            <v>60013_2</v>
          </cell>
        </row>
        <row r="1010">
          <cell r="A1010" t="str">
            <v>60013_3</v>
          </cell>
        </row>
        <row r="1011">
          <cell r="A1011" t="str">
            <v>60014_1</v>
          </cell>
        </row>
        <row r="1012">
          <cell r="A1012" t="str">
            <v>60015_1</v>
          </cell>
        </row>
        <row r="1013">
          <cell r="A1013" t="str">
            <v>60016_1</v>
          </cell>
        </row>
        <row r="1014">
          <cell r="A1014" t="str">
            <v>60017_1</v>
          </cell>
        </row>
        <row r="1015">
          <cell r="A1015" t="str">
            <v>60018_1</v>
          </cell>
        </row>
        <row r="1016">
          <cell r="A1016" t="str">
            <v>60019_1</v>
          </cell>
        </row>
        <row r="1017">
          <cell r="A1017" t="str">
            <v>60020_1</v>
          </cell>
        </row>
        <row r="1018">
          <cell r="A1018" t="str">
            <v>60021_3</v>
          </cell>
        </row>
        <row r="1019">
          <cell r="A1019" t="str">
            <v>60022_3</v>
          </cell>
        </row>
        <row r="1020">
          <cell r="A1020" t="str">
            <v>60023_3</v>
          </cell>
        </row>
        <row r="1021">
          <cell r="A1021" t="str">
            <v>60024_3</v>
          </cell>
        </row>
        <row r="1022">
          <cell r="A1022" t="str">
            <v>60025_1</v>
          </cell>
        </row>
        <row r="1023">
          <cell r="A1023" t="str">
            <v>60026_1</v>
          </cell>
        </row>
        <row r="1024">
          <cell r="A1024" t="str">
            <v>61011_1</v>
          </cell>
        </row>
        <row r="1025">
          <cell r="A1025" t="str">
            <v>60027_1</v>
          </cell>
        </row>
        <row r="1026">
          <cell r="A1026" t="str">
            <v>60028_1</v>
          </cell>
        </row>
        <row r="1027">
          <cell r="A1027" t="str">
            <v>60029_1</v>
          </cell>
        </row>
        <row r="1028">
          <cell r="A1028" t="str">
            <v>60030_1</v>
          </cell>
        </row>
        <row r="1029">
          <cell r="A1029" t="str">
            <v>60031_1</v>
          </cell>
        </row>
        <row r="1030">
          <cell r="A1030" t="str">
            <v>60032_1</v>
          </cell>
        </row>
        <row r="1031">
          <cell r="A1031" t="str">
            <v>61001_1</v>
          </cell>
        </row>
        <row r="1032">
          <cell r="A1032" t="str">
            <v>61001_2</v>
          </cell>
        </row>
        <row r="1033">
          <cell r="A1033" t="str">
            <v>61001_3</v>
          </cell>
        </row>
        <row r="1034">
          <cell r="A1034" t="str">
            <v>61001_4</v>
          </cell>
        </row>
        <row r="1035">
          <cell r="A1035" t="str">
            <v>61001_5</v>
          </cell>
        </row>
        <row r="1036">
          <cell r="A1036" t="str">
            <v>61001_6</v>
          </cell>
        </row>
        <row r="1037">
          <cell r="A1037" t="str">
            <v>61001_7</v>
          </cell>
        </row>
        <row r="1038">
          <cell r="A1038" t="str">
            <v>65523_1</v>
          </cell>
        </row>
        <row r="1039">
          <cell r="A1039" t="str">
            <v>65523_2</v>
          </cell>
        </row>
        <row r="1040">
          <cell r="A1040" t="str">
            <v>65523_3</v>
          </cell>
        </row>
        <row r="1041">
          <cell r="A1041" t="str">
            <v>65524_1</v>
          </cell>
        </row>
        <row r="1042">
          <cell r="A1042" t="str">
            <v>65524_2</v>
          </cell>
        </row>
        <row r="1043">
          <cell r="A1043" t="str">
            <v>65525_1</v>
          </cell>
        </row>
        <row r="1044">
          <cell r="A1044" t="str">
            <v>65526_1</v>
          </cell>
        </row>
        <row r="1045">
          <cell r="A1045" t="str">
            <v>65526_2</v>
          </cell>
        </row>
        <row r="1046">
          <cell r="A1046" t="str">
            <v>65527_1</v>
          </cell>
        </row>
        <row r="1047">
          <cell r="A1047" t="str">
            <v>65528_1</v>
          </cell>
        </row>
        <row r="1048">
          <cell r="A1048" t="str">
            <v>65529_1</v>
          </cell>
        </row>
        <row r="1049">
          <cell r="A1049" t="str">
            <v>65530_1</v>
          </cell>
        </row>
        <row r="1050">
          <cell r="A1050" t="str">
            <v>65531_1</v>
          </cell>
        </row>
        <row r="1051">
          <cell r="A1051" t="str">
            <v>65531_2</v>
          </cell>
        </row>
        <row r="1052">
          <cell r="A1052" t="str">
            <v>65532_1</v>
          </cell>
        </row>
        <row r="1053">
          <cell r="A1053" t="str">
            <v>65532_2</v>
          </cell>
        </row>
        <row r="1054">
          <cell r="A1054" t="str">
            <v>65533_1</v>
          </cell>
        </row>
        <row r="1055">
          <cell r="A1055" t="str">
            <v>65533_2</v>
          </cell>
        </row>
        <row r="1056">
          <cell r="A1056" t="str">
            <v>65534_1</v>
          </cell>
        </row>
        <row r="1057">
          <cell r="A1057" t="str">
            <v>65535_1</v>
          </cell>
        </row>
        <row r="1058">
          <cell r="A1058" t="str">
            <v>65535_2</v>
          </cell>
        </row>
        <row r="1059">
          <cell r="A1059" t="str">
            <v>65535_3</v>
          </cell>
        </row>
        <row r="1060">
          <cell r="A1060" t="str">
            <v>65535_4</v>
          </cell>
        </row>
        <row r="1061">
          <cell r="A1061" t="str">
            <v>65535_5</v>
          </cell>
        </row>
        <row r="1062">
          <cell r="A1062" t="str">
            <v>65535_6</v>
          </cell>
        </row>
        <row r="1063">
          <cell r="A1063" t="str">
            <v>65535_7</v>
          </cell>
        </row>
        <row r="1064">
          <cell r="A1064" t="str">
            <v>65535_8</v>
          </cell>
        </row>
        <row r="1065">
          <cell r="A1065" t="str">
            <v>65535_9</v>
          </cell>
        </row>
        <row r="1066">
          <cell r="A1066" t="str">
            <v>65535_10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enemies"/>
      <sheetName val="enemy_base_stats"/>
      <sheetName val="サイズ別係数"/>
      <sheetName val="ラベル別係数"/>
      <sheetName val="ターン数別攻撃係数"/>
      <sheetName val="特殊モンスターレベル"/>
    </sheetNames>
    <sheetDataSet>
      <sheetData sheetId="0"/>
      <sheetData sheetId="1">
        <row r="1">
          <cell r="A1" t="str">
            <v>character_id</v>
          </cell>
          <cell r="B1" t="str">
            <v>name</v>
          </cell>
          <cell r="C1" t="str">
            <v>rare</v>
          </cell>
          <cell r="D1" t="str">
            <v>color</v>
          </cell>
          <cell r="E1" t="str">
            <v>HP係数</v>
          </cell>
          <cell r="F1" t="str">
            <v>攻撃係数</v>
          </cell>
          <cell r="G1" t="str">
            <v>防御系数</v>
          </cell>
          <cell r="H1" t="str">
            <v>character_type_id</v>
          </cell>
          <cell r="I1" t="str">
            <v>name</v>
          </cell>
          <cell r="J1" t="str">
            <v>HP係数</v>
          </cell>
          <cell r="K1" t="str">
            <v>攻撃係数</v>
          </cell>
          <cell r="L1" t="str">
            <v>防御係数</v>
          </cell>
          <cell r="M1" t="str">
            <v>character_main_tribe_id</v>
          </cell>
          <cell r="N1" t="str">
            <v>name</v>
          </cell>
          <cell r="O1" t="str">
            <v>HP係数</v>
          </cell>
          <cell r="P1" t="str">
            <v>攻撃係数</v>
          </cell>
          <cell r="Q1" t="str">
            <v>防御係数</v>
          </cell>
          <cell r="R1" t="str">
            <v>ラベル</v>
          </cell>
          <cell r="S1" t="str">
            <v>HP係数</v>
          </cell>
          <cell r="T1" t="str">
            <v>攻撃係数</v>
          </cell>
          <cell r="U1" t="str">
            <v>防御係数</v>
          </cell>
          <cell r="V1" t="str">
            <v>speed</v>
          </cell>
          <cell r="W1" t="str">
            <v>攻撃系数</v>
          </cell>
          <cell r="X1" t="str">
            <v>size</v>
          </cell>
          <cell r="Y1" t="str">
            <v>HP係数</v>
          </cell>
          <cell r="Z1" t="str">
            <v>攻撃係数</v>
          </cell>
          <cell r="AA1" t="str">
            <v>防御係数</v>
          </cell>
          <cell r="AB1" t="str">
            <v>skill_set_id</v>
          </cell>
          <cell r="AC1" t="str">
            <v>comment</v>
          </cell>
          <cell r="AD1" t="str">
            <v>HP係数</v>
          </cell>
          <cell r="AE1" t="str">
            <v>攻撃係数</v>
          </cell>
          <cell r="AF1" t="str">
            <v>防御係数</v>
          </cell>
          <cell r="AG1" t="str">
            <v>min_hp</v>
          </cell>
          <cell r="AH1" t="str">
            <v>min_attack</v>
          </cell>
          <cell r="AI1" t="str">
            <v>min_defense</v>
          </cell>
          <cell r="AJ1" t="str">
            <v>max_hp</v>
          </cell>
          <cell r="AK1" t="str">
            <v>max_attack</v>
          </cell>
          <cell r="AL1" t="str">
            <v>max_defense</v>
          </cell>
          <cell r="AM1" t="str">
            <v>base_reward_bits</v>
          </cell>
          <cell r="AN1" t="str">
            <v>base_reward_exp</v>
          </cell>
          <cell r="AO1" t="str">
            <v>skip</v>
          </cell>
          <cell r="AP1" t="str">
            <v>level_test</v>
          </cell>
          <cell r="AQ1" t="str">
            <v>enemy_id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1129</v>
          </cell>
        </row>
        <row r="1131">
          <cell r="A1131">
            <v>1130</v>
          </cell>
        </row>
        <row r="1132">
          <cell r="A1132">
            <v>1131</v>
          </cell>
        </row>
        <row r="1133">
          <cell r="A1133">
            <v>1132</v>
          </cell>
        </row>
        <row r="1134">
          <cell r="A1134">
            <v>1133</v>
          </cell>
        </row>
        <row r="1135">
          <cell r="A1135">
            <v>1134</v>
          </cell>
        </row>
        <row r="1136">
          <cell r="A1136">
            <v>1135</v>
          </cell>
        </row>
        <row r="1137">
          <cell r="A1137">
            <v>1136</v>
          </cell>
        </row>
        <row r="1138">
          <cell r="A1138">
            <v>1137</v>
          </cell>
        </row>
        <row r="1139">
          <cell r="A1139">
            <v>1138</v>
          </cell>
        </row>
        <row r="1140">
          <cell r="A1140">
            <v>1139</v>
          </cell>
        </row>
        <row r="1141">
          <cell r="A1141">
            <v>1140</v>
          </cell>
        </row>
        <row r="1142">
          <cell r="A1142">
            <v>1141</v>
          </cell>
        </row>
        <row r="1143">
          <cell r="A1143">
            <v>1142</v>
          </cell>
        </row>
        <row r="1144">
          <cell r="A1144">
            <v>1143</v>
          </cell>
        </row>
        <row r="1145">
          <cell r="A1145">
            <v>1144</v>
          </cell>
        </row>
        <row r="1146">
          <cell r="A1146">
            <v>1145</v>
          </cell>
        </row>
        <row r="1147">
          <cell r="A1147">
            <v>1146</v>
          </cell>
        </row>
        <row r="1148">
          <cell r="A1148">
            <v>1147</v>
          </cell>
        </row>
        <row r="1149">
          <cell r="A1149">
            <v>1148</v>
          </cell>
        </row>
        <row r="1150">
          <cell r="A1150">
            <v>1149</v>
          </cell>
        </row>
        <row r="1151">
          <cell r="A1151">
            <v>1150</v>
          </cell>
        </row>
        <row r="1152">
          <cell r="A1152">
            <v>1151</v>
          </cell>
        </row>
        <row r="1153">
          <cell r="A1153">
            <v>1152</v>
          </cell>
        </row>
        <row r="1154">
          <cell r="A1154">
            <v>1153</v>
          </cell>
        </row>
        <row r="1155">
          <cell r="A1155">
            <v>1154</v>
          </cell>
        </row>
        <row r="1156">
          <cell r="A1156">
            <v>1155</v>
          </cell>
        </row>
        <row r="1157">
          <cell r="A1157">
            <v>1156</v>
          </cell>
        </row>
        <row r="1158">
          <cell r="A1158">
            <v>1157</v>
          </cell>
        </row>
        <row r="1159">
          <cell r="A1159">
            <v>1158</v>
          </cell>
        </row>
        <row r="1160">
          <cell r="A1160">
            <v>1159</v>
          </cell>
        </row>
        <row r="1161">
          <cell r="A1161">
            <v>1160</v>
          </cell>
        </row>
        <row r="1162">
          <cell r="A1162">
            <v>1161</v>
          </cell>
        </row>
        <row r="1163">
          <cell r="A1163">
            <v>1162</v>
          </cell>
        </row>
        <row r="1164">
          <cell r="A1164">
            <v>1163</v>
          </cell>
        </row>
        <row r="1165">
          <cell r="A1165">
            <v>1164</v>
          </cell>
        </row>
        <row r="1166">
          <cell r="A1166">
            <v>1165</v>
          </cell>
        </row>
        <row r="1167">
          <cell r="A1167">
            <v>1166</v>
          </cell>
        </row>
        <row r="1168">
          <cell r="A1168">
            <v>1167</v>
          </cell>
        </row>
        <row r="1169">
          <cell r="A1169">
            <v>1168</v>
          </cell>
        </row>
        <row r="1170">
          <cell r="A1170">
            <v>1169</v>
          </cell>
        </row>
        <row r="1171">
          <cell r="A1171">
            <v>1170</v>
          </cell>
        </row>
        <row r="1172">
          <cell r="A1172">
            <v>1171</v>
          </cell>
        </row>
        <row r="1173">
          <cell r="A1173">
            <v>1172</v>
          </cell>
        </row>
        <row r="1174">
          <cell r="A1174">
            <v>1173</v>
          </cell>
        </row>
        <row r="1175">
          <cell r="A1175">
            <v>1174</v>
          </cell>
        </row>
        <row r="1176">
          <cell r="A1176">
            <v>1175</v>
          </cell>
        </row>
        <row r="1177">
          <cell r="A1177">
            <v>1176</v>
          </cell>
        </row>
        <row r="1178">
          <cell r="A1178">
            <v>1177</v>
          </cell>
        </row>
        <row r="1179">
          <cell r="A1179">
            <v>1178</v>
          </cell>
        </row>
        <row r="1180">
          <cell r="A1180">
            <v>1179</v>
          </cell>
        </row>
        <row r="1181">
          <cell r="A1181">
            <v>1180</v>
          </cell>
        </row>
        <row r="1182">
          <cell r="A1182">
            <v>1181</v>
          </cell>
        </row>
        <row r="1183">
          <cell r="A1183">
            <v>1182</v>
          </cell>
        </row>
        <row r="1184">
          <cell r="A1184">
            <v>1183</v>
          </cell>
        </row>
        <row r="1185">
          <cell r="A1185">
            <v>1184</v>
          </cell>
        </row>
        <row r="1186">
          <cell r="A1186">
            <v>1185</v>
          </cell>
        </row>
        <row r="1187">
          <cell r="A1187">
            <v>1186</v>
          </cell>
        </row>
        <row r="1188">
          <cell r="A1188">
            <v>1187</v>
          </cell>
        </row>
        <row r="1189">
          <cell r="A1189">
            <v>1188</v>
          </cell>
        </row>
        <row r="1190">
          <cell r="A1190">
            <v>1189</v>
          </cell>
        </row>
        <row r="1191">
          <cell r="A1191">
            <v>1190</v>
          </cell>
        </row>
        <row r="1192">
          <cell r="A1192">
            <v>1191</v>
          </cell>
        </row>
        <row r="1193">
          <cell r="A1193">
            <v>1192</v>
          </cell>
        </row>
        <row r="1194">
          <cell r="A1194">
            <v>1193</v>
          </cell>
        </row>
        <row r="1195">
          <cell r="A1195">
            <v>1194</v>
          </cell>
        </row>
        <row r="1196">
          <cell r="A1196">
            <v>1195</v>
          </cell>
        </row>
        <row r="1197">
          <cell r="A1197">
            <v>1196</v>
          </cell>
        </row>
        <row r="1198">
          <cell r="A1198">
            <v>1197</v>
          </cell>
        </row>
        <row r="1199">
          <cell r="A1199">
            <v>1198</v>
          </cell>
        </row>
        <row r="1200">
          <cell r="A1200">
            <v>1199</v>
          </cell>
        </row>
        <row r="1201">
          <cell r="A1201">
            <v>1200</v>
          </cell>
        </row>
        <row r="1202">
          <cell r="A1202">
            <v>1201</v>
          </cell>
        </row>
        <row r="1203">
          <cell r="A1203">
            <v>1202</v>
          </cell>
        </row>
        <row r="1204">
          <cell r="A1204">
            <v>1203</v>
          </cell>
        </row>
        <row r="1205">
          <cell r="A1205">
            <v>1204</v>
          </cell>
        </row>
        <row r="1206">
          <cell r="A1206">
            <v>1205</v>
          </cell>
        </row>
        <row r="1207">
          <cell r="A1207">
            <v>1206</v>
          </cell>
        </row>
        <row r="1208">
          <cell r="A1208">
            <v>1207</v>
          </cell>
        </row>
        <row r="1209">
          <cell r="A1209">
            <v>1208</v>
          </cell>
        </row>
        <row r="1210">
          <cell r="A1210">
            <v>1209</v>
          </cell>
        </row>
        <row r="1211">
          <cell r="A1211">
            <v>1210</v>
          </cell>
        </row>
        <row r="1212">
          <cell r="A1212">
            <v>1211</v>
          </cell>
        </row>
        <row r="1213">
          <cell r="A1213">
            <v>1212</v>
          </cell>
        </row>
        <row r="1214">
          <cell r="A1214">
            <v>1213</v>
          </cell>
        </row>
        <row r="1215">
          <cell r="A1215">
            <v>1214</v>
          </cell>
        </row>
        <row r="1216">
          <cell r="A1216">
            <v>1215</v>
          </cell>
        </row>
        <row r="1217">
          <cell r="A1217">
            <v>1216</v>
          </cell>
        </row>
        <row r="1218">
          <cell r="A1218">
            <v>1217</v>
          </cell>
        </row>
        <row r="1219">
          <cell r="A1219">
            <v>1218</v>
          </cell>
        </row>
        <row r="1220">
          <cell r="A1220">
            <v>1219</v>
          </cell>
        </row>
        <row r="1221">
          <cell r="A1221">
            <v>1220</v>
          </cell>
        </row>
        <row r="1222">
          <cell r="A1222">
            <v>1221</v>
          </cell>
        </row>
        <row r="1223">
          <cell r="A1223">
            <v>1222</v>
          </cell>
        </row>
        <row r="1224">
          <cell r="A1224">
            <v>1223</v>
          </cell>
        </row>
        <row r="1225">
          <cell r="A1225">
            <v>1224</v>
          </cell>
        </row>
        <row r="1226">
          <cell r="A1226">
            <v>1225</v>
          </cell>
        </row>
        <row r="1227">
          <cell r="A1227">
            <v>1226</v>
          </cell>
        </row>
        <row r="1228">
          <cell r="A1228">
            <v>1227</v>
          </cell>
        </row>
        <row r="1229">
          <cell r="A1229">
            <v>1228</v>
          </cell>
        </row>
        <row r="1230">
          <cell r="A1230">
            <v>1229</v>
          </cell>
        </row>
        <row r="1231">
          <cell r="A1231">
            <v>1230</v>
          </cell>
        </row>
        <row r="1232">
          <cell r="A1232">
            <v>1231</v>
          </cell>
        </row>
        <row r="1233">
          <cell r="A1233">
            <v>1232</v>
          </cell>
        </row>
        <row r="1234">
          <cell r="A1234">
            <v>1233</v>
          </cell>
        </row>
        <row r="1235">
          <cell r="A1235">
            <v>1234</v>
          </cell>
        </row>
        <row r="1236">
          <cell r="A1236">
            <v>1235</v>
          </cell>
        </row>
        <row r="1237">
          <cell r="A1237">
            <v>1236</v>
          </cell>
        </row>
        <row r="1238">
          <cell r="A1238">
            <v>1237</v>
          </cell>
        </row>
        <row r="1239">
          <cell r="A1239">
            <v>1238</v>
          </cell>
        </row>
        <row r="1240">
          <cell r="A1240">
            <v>1239</v>
          </cell>
        </row>
        <row r="1241">
          <cell r="A1241">
            <v>1240</v>
          </cell>
        </row>
        <row r="1242">
          <cell r="A1242">
            <v>1241</v>
          </cell>
        </row>
        <row r="1243">
          <cell r="A1243">
            <v>1242</v>
          </cell>
        </row>
        <row r="1244">
          <cell r="A1244">
            <v>1243</v>
          </cell>
        </row>
        <row r="1245">
          <cell r="A1245">
            <v>1244</v>
          </cell>
        </row>
        <row r="1246">
          <cell r="A1246">
            <v>1245</v>
          </cell>
        </row>
        <row r="1247">
          <cell r="A1247">
            <v>1246</v>
          </cell>
        </row>
        <row r="1248">
          <cell r="A1248">
            <v>1247</v>
          </cell>
        </row>
        <row r="1249">
          <cell r="A1249">
            <v>1248</v>
          </cell>
        </row>
        <row r="1250">
          <cell r="A1250">
            <v>1249</v>
          </cell>
        </row>
        <row r="1251">
          <cell r="A1251">
            <v>1250</v>
          </cell>
        </row>
        <row r="1252">
          <cell r="A1252">
            <v>1251</v>
          </cell>
        </row>
        <row r="1253">
          <cell r="A1253">
            <v>1252</v>
          </cell>
        </row>
        <row r="1254">
          <cell r="A1254">
            <v>1253</v>
          </cell>
        </row>
        <row r="1255">
          <cell r="A1255">
            <v>1254</v>
          </cell>
        </row>
        <row r="1256">
          <cell r="A1256">
            <v>1255</v>
          </cell>
        </row>
        <row r="1257">
          <cell r="A1257">
            <v>1256</v>
          </cell>
        </row>
        <row r="1258">
          <cell r="A1258">
            <v>1257</v>
          </cell>
        </row>
        <row r="1259">
          <cell r="A1259">
            <v>1258</v>
          </cell>
        </row>
        <row r="1260">
          <cell r="A1260">
            <v>1259</v>
          </cell>
        </row>
        <row r="1261">
          <cell r="A1261">
            <v>1260</v>
          </cell>
        </row>
        <row r="1262">
          <cell r="A1262">
            <v>1261</v>
          </cell>
        </row>
        <row r="1263">
          <cell r="A1263">
            <v>1262</v>
          </cell>
        </row>
        <row r="1264">
          <cell r="A1264">
            <v>1263</v>
          </cell>
        </row>
        <row r="1265">
          <cell r="A1265">
            <v>1264</v>
          </cell>
        </row>
        <row r="1266">
          <cell r="A1266">
            <v>1265</v>
          </cell>
        </row>
        <row r="1267">
          <cell r="A1267">
            <v>1266</v>
          </cell>
        </row>
        <row r="1268">
          <cell r="A1268">
            <v>1267</v>
          </cell>
        </row>
        <row r="1269">
          <cell r="A1269">
            <v>1268</v>
          </cell>
        </row>
        <row r="1270">
          <cell r="A1270">
            <v>1269</v>
          </cell>
        </row>
        <row r="1271">
          <cell r="A1271">
            <v>1270</v>
          </cell>
        </row>
        <row r="1272">
          <cell r="A1272">
            <v>1271</v>
          </cell>
        </row>
        <row r="1273">
          <cell r="A1273">
            <v>1272</v>
          </cell>
        </row>
        <row r="1274">
          <cell r="A1274">
            <v>1273</v>
          </cell>
        </row>
        <row r="1275">
          <cell r="A1275">
            <v>1274</v>
          </cell>
        </row>
        <row r="1276">
          <cell r="A1276">
            <v>1275</v>
          </cell>
        </row>
        <row r="1277">
          <cell r="A1277">
            <v>1276</v>
          </cell>
        </row>
        <row r="1278">
          <cell r="A1278">
            <v>1277</v>
          </cell>
        </row>
        <row r="1279">
          <cell r="A1279">
            <v>1278</v>
          </cell>
        </row>
        <row r="1280">
          <cell r="A1280">
            <v>1279</v>
          </cell>
        </row>
        <row r="1281">
          <cell r="A1281">
            <v>1280</v>
          </cell>
        </row>
        <row r="1282">
          <cell r="A1282">
            <v>1281</v>
          </cell>
        </row>
        <row r="1283">
          <cell r="A1283">
            <v>1282</v>
          </cell>
        </row>
        <row r="1284">
          <cell r="A1284">
            <v>1283</v>
          </cell>
        </row>
        <row r="1285">
          <cell r="A1285">
            <v>1284</v>
          </cell>
        </row>
        <row r="1286">
          <cell r="A1286">
            <v>1285</v>
          </cell>
        </row>
        <row r="1287">
          <cell r="A1287">
            <v>1286</v>
          </cell>
        </row>
        <row r="1288">
          <cell r="A1288">
            <v>1287</v>
          </cell>
        </row>
        <row r="1289">
          <cell r="A1289">
            <v>1288</v>
          </cell>
        </row>
        <row r="1290">
          <cell r="A1290">
            <v>1289</v>
          </cell>
        </row>
        <row r="1291">
          <cell r="A1291">
            <v>1290</v>
          </cell>
        </row>
        <row r="1292">
          <cell r="A1292">
            <v>1291</v>
          </cell>
        </row>
        <row r="1293">
          <cell r="A1293">
            <v>1292</v>
          </cell>
        </row>
        <row r="1294">
          <cell r="A1294">
            <v>1293</v>
          </cell>
        </row>
        <row r="1295">
          <cell r="A1295">
            <v>1294</v>
          </cell>
        </row>
        <row r="1296">
          <cell r="A1296">
            <v>1297</v>
          </cell>
        </row>
        <row r="1297">
          <cell r="A1297">
            <v>1298</v>
          </cell>
        </row>
        <row r="1298">
          <cell r="A1298">
            <v>1299</v>
          </cell>
        </row>
        <row r="1299">
          <cell r="A1299">
            <v>1300</v>
          </cell>
        </row>
        <row r="1300">
          <cell r="A1300">
            <v>1301</v>
          </cell>
        </row>
        <row r="1301">
          <cell r="A1301">
            <v>1302</v>
          </cell>
        </row>
        <row r="1302">
          <cell r="A1302">
            <v>1303</v>
          </cell>
        </row>
        <row r="1303">
          <cell r="A1303">
            <v>1304</v>
          </cell>
        </row>
        <row r="1304">
          <cell r="A1304">
            <v>1305</v>
          </cell>
        </row>
        <row r="1305">
          <cell r="A1305">
            <v>1306</v>
          </cell>
        </row>
        <row r="1306">
          <cell r="A1306">
            <v>1307</v>
          </cell>
        </row>
        <row r="1307">
          <cell r="A1307">
            <v>1324</v>
          </cell>
        </row>
        <row r="1308">
          <cell r="A1308">
            <v>1325</v>
          </cell>
        </row>
        <row r="1309">
          <cell r="A1309">
            <v>1326</v>
          </cell>
        </row>
        <row r="1310">
          <cell r="A1310">
            <v>1327</v>
          </cell>
        </row>
        <row r="1311">
          <cell r="A1311">
            <v>1328</v>
          </cell>
        </row>
        <row r="1312">
          <cell r="A1312">
            <v>1329</v>
          </cell>
        </row>
        <row r="1313">
          <cell r="A1313">
            <v>1330</v>
          </cell>
        </row>
        <row r="1314">
          <cell r="A1314">
            <v>1331</v>
          </cell>
        </row>
        <row r="1315">
          <cell r="A1315">
            <v>1332</v>
          </cell>
        </row>
        <row r="1316">
          <cell r="A1316">
            <v>1333</v>
          </cell>
        </row>
        <row r="1317">
          <cell r="A1317">
            <v>1334</v>
          </cell>
        </row>
        <row r="1318">
          <cell r="A1318">
            <v>1335</v>
          </cell>
        </row>
        <row r="1319">
          <cell r="A1319">
            <v>1336</v>
          </cell>
        </row>
        <row r="1320">
          <cell r="A1320">
            <v>1337</v>
          </cell>
        </row>
        <row r="1321">
          <cell r="A1321">
            <v>1338</v>
          </cell>
        </row>
        <row r="1322">
          <cell r="A1322">
            <v>1339</v>
          </cell>
        </row>
        <row r="1323">
          <cell r="A1323">
            <v>1342</v>
          </cell>
        </row>
        <row r="1324">
          <cell r="A1324">
            <v>1343</v>
          </cell>
        </row>
        <row r="1325">
          <cell r="A1325">
            <v>1351</v>
          </cell>
        </row>
        <row r="1326">
          <cell r="A1326">
            <v>1352</v>
          </cell>
        </row>
        <row r="1327">
          <cell r="A1327">
            <v>1353</v>
          </cell>
        </row>
        <row r="1328">
          <cell r="A1328">
            <v>1354</v>
          </cell>
        </row>
        <row r="1329">
          <cell r="A1329">
            <v>1355</v>
          </cell>
        </row>
        <row r="1330">
          <cell r="A1330">
            <v>1356</v>
          </cell>
        </row>
        <row r="1331">
          <cell r="A1331">
            <v>1357</v>
          </cell>
        </row>
        <row r="1332">
          <cell r="A1332">
            <v>1358</v>
          </cell>
        </row>
        <row r="1333">
          <cell r="A1333">
            <v>1359</v>
          </cell>
        </row>
        <row r="1334">
          <cell r="A1334">
            <v>1360</v>
          </cell>
        </row>
        <row r="1335">
          <cell r="A1335">
            <v>1362</v>
          </cell>
        </row>
        <row r="1336">
          <cell r="A1336">
            <v>1363</v>
          </cell>
        </row>
        <row r="1337">
          <cell r="A1337">
            <v>1364</v>
          </cell>
        </row>
        <row r="1338">
          <cell r="A1338">
            <v>1373</v>
          </cell>
        </row>
        <row r="1339">
          <cell r="A1339">
            <v>1374</v>
          </cell>
        </row>
        <row r="1340">
          <cell r="A1340">
            <v>1375</v>
          </cell>
        </row>
        <row r="1341">
          <cell r="A1341">
            <v>1376</v>
          </cell>
        </row>
        <row r="1342">
          <cell r="A1342">
            <v>1379</v>
          </cell>
        </row>
        <row r="1343">
          <cell r="A1343">
            <v>1380</v>
          </cell>
        </row>
        <row r="1344">
          <cell r="A1344">
            <v>1405</v>
          </cell>
        </row>
        <row r="1345">
          <cell r="A1345">
            <v>1407</v>
          </cell>
        </row>
        <row r="1346">
          <cell r="A1346">
            <v>1408</v>
          </cell>
        </row>
        <row r="1347">
          <cell r="A1347">
            <v>1409</v>
          </cell>
        </row>
        <row r="1348">
          <cell r="A1348">
            <v>1410</v>
          </cell>
        </row>
        <row r="1349">
          <cell r="A1349">
            <v>1431</v>
          </cell>
        </row>
        <row r="1350">
          <cell r="A1350">
            <v>1432</v>
          </cell>
        </row>
        <row r="1351">
          <cell r="A1351">
            <v>1436</v>
          </cell>
        </row>
        <row r="1352">
          <cell r="A1352">
            <v>1437</v>
          </cell>
        </row>
        <row r="1353">
          <cell r="A1353">
            <v>1438</v>
          </cell>
        </row>
        <row r="1354">
          <cell r="A1354">
            <v>1439</v>
          </cell>
        </row>
        <row r="1355">
          <cell r="A1355">
            <v>1440</v>
          </cell>
        </row>
        <row r="1356">
          <cell r="A1356">
            <v>1441</v>
          </cell>
        </row>
        <row r="1357">
          <cell r="A1357">
            <v>1442</v>
          </cell>
        </row>
        <row r="1358">
          <cell r="A1358">
            <v>1443</v>
          </cell>
        </row>
        <row r="1359">
          <cell r="A1359">
            <v>1444</v>
          </cell>
        </row>
        <row r="1360">
          <cell r="A1360">
            <v>1445</v>
          </cell>
        </row>
        <row r="1361">
          <cell r="A1361">
            <v>1446</v>
          </cell>
        </row>
        <row r="1362">
          <cell r="A1362">
            <v>1447</v>
          </cell>
        </row>
        <row r="1363">
          <cell r="A1363">
            <v>1448</v>
          </cell>
        </row>
        <row r="1364">
          <cell r="A1364">
            <v>1449</v>
          </cell>
        </row>
        <row r="1365">
          <cell r="A1365">
            <v>1450</v>
          </cell>
        </row>
        <row r="1366">
          <cell r="A1366">
            <v>1451</v>
          </cell>
        </row>
        <row r="1367">
          <cell r="A1367">
            <v>1466</v>
          </cell>
        </row>
        <row r="1368">
          <cell r="A1368">
            <v>1467</v>
          </cell>
        </row>
        <row r="1369">
          <cell r="A1369">
            <v>1468</v>
          </cell>
        </row>
        <row r="1370">
          <cell r="A1370">
            <v>1469</v>
          </cell>
        </row>
        <row r="1371">
          <cell r="A1371">
            <v>1470</v>
          </cell>
        </row>
        <row r="1372">
          <cell r="A1372">
            <v>1471</v>
          </cell>
        </row>
        <row r="1373">
          <cell r="A1373">
            <v>1495</v>
          </cell>
        </row>
        <row r="1374">
          <cell r="A1374">
            <v>1496</v>
          </cell>
        </row>
        <row r="1375">
          <cell r="A1375">
            <v>1497</v>
          </cell>
        </row>
        <row r="1376">
          <cell r="A1376">
            <v>1498</v>
          </cell>
        </row>
        <row r="1377">
          <cell r="A1377">
            <v>1499</v>
          </cell>
        </row>
        <row r="1378">
          <cell r="A1378">
            <v>1500</v>
          </cell>
        </row>
        <row r="1379">
          <cell r="A1379">
            <v>1501</v>
          </cell>
        </row>
        <row r="1380">
          <cell r="A1380">
            <v>1502</v>
          </cell>
        </row>
        <row r="1381">
          <cell r="A1381">
            <v>1503</v>
          </cell>
        </row>
        <row r="1382">
          <cell r="A1382">
            <v>1504</v>
          </cell>
        </row>
        <row r="1383">
          <cell r="A1383">
            <v>1505</v>
          </cell>
        </row>
        <row r="1384">
          <cell r="A1384">
            <v>1506</v>
          </cell>
        </row>
        <row r="1385">
          <cell r="A1385">
            <v>1507</v>
          </cell>
        </row>
        <row r="1386">
          <cell r="A1386">
            <v>1508</v>
          </cell>
        </row>
        <row r="1387">
          <cell r="A1387">
            <v>1509</v>
          </cell>
        </row>
        <row r="1388">
          <cell r="A1388">
            <v>1510</v>
          </cell>
        </row>
        <row r="1389">
          <cell r="A1389">
            <v>1511</v>
          </cell>
        </row>
        <row r="1390">
          <cell r="A1390">
            <v>1512</v>
          </cell>
        </row>
        <row r="1391">
          <cell r="A1391">
            <v>1523</v>
          </cell>
        </row>
        <row r="1392">
          <cell r="A1392">
            <v>1524</v>
          </cell>
        </row>
        <row r="1393">
          <cell r="A1393">
            <v>1525</v>
          </cell>
        </row>
        <row r="1394">
          <cell r="A1394">
            <v>1526</v>
          </cell>
        </row>
        <row r="1395">
          <cell r="A1395">
            <v>1551</v>
          </cell>
        </row>
        <row r="1396">
          <cell r="A1396">
            <v>1552</v>
          </cell>
        </row>
        <row r="1397">
          <cell r="A1397">
            <v>1553</v>
          </cell>
        </row>
        <row r="1398">
          <cell r="A1398">
            <v>1554</v>
          </cell>
        </row>
        <row r="1399">
          <cell r="A1399">
            <v>1555</v>
          </cell>
        </row>
        <row r="1400">
          <cell r="A1400">
            <v>1556</v>
          </cell>
        </row>
        <row r="1401">
          <cell r="A1401">
            <v>1557</v>
          </cell>
        </row>
        <row r="1402">
          <cell r="A1402">
            <v>1558</v>
          </cell>
        </row>
        <row r="1403">
          <cell r="A1403">
            <v>1559</v>
          </cell>
        </row>
        <row r="1404">
          <cell r="A1404">
            <v>1560</v>
          </cell>
        </row>
        <row r="1405">
          <cell r="A1405">
            <v>1561</v>
          </cell>
        </row>
        <row r="1406">
          <cell r="A1406">
            <v>1562</v>
          </cell>
        </row>
        <row r="1407">
          <cell r="A1407">
            <v>1563</v>
          </cell>
        </row>
        <row r="1408">
          <cell r="A1408">
            <v>1564</v>
          </cell>
        </row>
        <row r="1409">
          <cell r="A1409">
            <v>1565</v>
          </cell>
        </row>
        <row r="1410">
          <cell r="A1410">
            <v>1566</v>
          </cell>
        </row>
        <row r="1411">
          <cell r="A1411">
            <v>1567</v>
          </cell>
        </row>
        <row r="1412">
          <cell r="A1412">
            <v>1568</v>
          </cell>
        </row>
        <row r="1413">
          <cell r="A1413">
            <v>1569</v>
          </cell>
        </row>
        <row r="1414">
          <cell r="A1414">
            <v>1570</v>
          </cell>
        </row>
        <row r="1415">
          <cell r="A1415">
            <v>1571</v>
          </cell>
        </row>
        <row r="1416">
          <cell r="A1416">
            <v>1572</v>
          </cell>
        </row>
        <row r="1417">
          <cell r="A1417">
            <v>1573</v>
          </cell>
        </row>
        <row r="1418">
          <cell r="A1418">
            <v>1574</v>
          </cell>
        </row>
        <row r="1419">
          <cell r="A1419">
            <v>1575</v>
          </cell>
        </row>
        <row r="1420">
          <cell r="A1420">
            <v>1576</v>
          </cell>
        </row>
        <row r="1421">
          <cell r="A1421">
            <v>1577</v>
          </cell>
        </row>
        <row r="1422">
          <cell r="A1422">
            <v>1578</v>
          </cell>
        </row>
        <row r="1423">
          <cell r="A1423">
            <v>1579</v>
          </cell>
        </row>
        <row r="1424">
          <cell r="A1424">
            <v>1580</v>
          </cell>
        </row>
        <row r="1425">
          <cell r="A1425">
            <v>1581</v>
          </cell>
        </row>
        <row r="1426">
          <cell r="A1426">
            <v>1582</v>
          </cell>
        </row>
        <row r="1427">
          <cell r="A1427">
            <v>1583</v>
          </cell>
        </row>
        <row r="1428">
          <cell r="A1428">
            <v>1584</v>
          </cell>
        </row>
        <row r="1429">
          <cell r="A1429">
            <v>1585</v>
          </cell>
        </row>
        <row r="1430">
          <cell r="A1430">
            <v>1586</v>
          </cell>
        </row>
        <row r="1431">
          <cell r="A1431">
            <v>1587</v>
          </cell>
        </row>
        <row r="1432">
          <cell r="A1432">
            <v>1588</v>
          </cell>
        </row>
        <row r="1433">
          <cell r="A1433">
            <v>1697</v>
          </cell>
        </row>
        <row r="1434">
          <cell r="A1434">
            <v>1698</v>
          </cell>
        </row>
        <row r="1435">
          <cell r="A1435">
            <v>1699</v>
          </cell>
        </row>
        <row r="1436">
          <cell r="A1436">
            <v>1700</v>
          </cell>
        </row>
        <row r="1437">
          <cell r="A1437">
            <v>1701</v>
          </cell>
        </row>
        <row r="1438">
          <cell r="A1438">
            <v>1702</v>
          </cell>
        </row>
        <row r="1439">
          <cell r="A1439">
            <v>1703</v>
          </cell>
        </row>
        <row r="1440">
          <cell r="A1440">
            <v>1704</v>
          </cell>
        </row>
        <row r="1441">
          <cell r="A1441">
            <v>1705</v>
          </cell>
        </row>
        <row r="1442">
          <cell r="A1442">
            <v>1706</v>
          </cell>
        </row>
        <row r="1443">
          <cell r="A1443">
            <v>1707</v>
          </cell>
        </row>
        <row r="1444">
          <cell r="A1444">
            <v>1708</v>
          </cell>
        </row>
        <row r="1445">
          <cell r="A1445">
            <v>1709</v>
          </cell>
        </row>
        <row r="1446">
          <cell r="A1446">
            <v>1710</v>
          </cell>
        </row>
        <row r="1447">
          <cell r="A1447">
            <v>1711</v>
          </cell>
        </row>
        <row r="1448">
          <cell r="A1448">
            <v>1712</v>
          </cell>
        </row>
        <row r="1449">
          <cell r="A1449">
            <v>1713</v>
          </cell>
        </row>
        <row r="1450">
          <cell r="A1450">
            <v>1714</v>
          </cell>
        </row>
        <row r="1451">
          <cell r="A1451">
            <v>1715</v>
          </cell>
        </row>
        <row r="1452">
          <cell r="A1452">
            <v>1716</v>
          </cell>
        </row>
        <row r="1453">
          <cell r="A1453">
            <v>1717</v>
          </cell>
        </row>
        <row r="1454">
          <cell r="A1454">
            <v>1718</v>
          </cell>
        </row>
        <row r="1455">
          <cell r="A1455">
            <v>1719</v>
          </cell>
        </row>
        <row r="1456">
          <cell r="A1456">
            <v>5001</v>
          </cell>
        </row>
        <row r="1457">
          <cell r="A1457">
            <v>5002</v>
          </cell>
        </row>
        <row r="1458">
          <cell r="A1458">
            <v>5003</v>
          </cell>
        </row>
        <row r="1459">
          <cell r="A1459">
            <v>5004</v>
          </cell>
        </row>
        <row r="1460">
          <cell r="A1460">
            <v>5005</v>
          </cell>
        </row>
        <row r="1461">
          <cell r="A1461">
            <v>5006</v>
          </cell>
        </row>
        <row r="1462">
          <cell r="A1462">
            <v>5007</v>
          </cell>
        </row>
        <row r="1463">
          <cell r="A1463">
            <v>5008</v>
          </cell>
        </row>
        <row r="1464">
          <cell r="A1464">
            <v>5011</v>
          </cell>
        </row>
        <row r="1465">
          <cell r="A1465">
            <v>5012</v>
          </cell>
        </row>
        <row r="1466">
          <cell r="A1466">
            <v>6001</v>
          </cell>
        </row>
        <row r="1467">
          <cell r="A1467">
            <v>6002</v>
          </cell>
        </row>
        <row r="1468">
          <cell r="A1468">
            <v>6003</v>
          </cell>
        </row>
        <row r="1469">
          <cell r="A1469">
            <v>6004</v>
          </cell>
        </row>
        <row r="1470">
          <cell r="A1470">
            <v>6005</v>
          </cell>
        </row>
        <row r="1471">
          <cell r="A1471">
            <v>6006</v>
          </cell>
        </row>
        <row r="1472">
          <cell r="A1472">
            <v>6007</v>
          </cell>
        </row>
        <row r="1473">
          <cell r="A1473">
            <v>6008</v>
          </cell>
        </row>
        <row r="1474">
          <cell r="A1474">
            <v>6009</v>
          </cell>
        </row>
        <row r="1475">
          <cell r="A1475">
            <v>6010</v>
          </cell>
        </row>
        <row r="1476">
          <cell r="A1476">
            <v>6011</v>
          </cell>
        </row>
        <row r="1477">
          <cell r="A1477">
            <v>6012</v>
          </cell>
        </row>
        <row r="1478">
          <cell r="A1478">
            <v>6013</v>
          </cell>
        </row>
        <row r="1479">
          <cell r="A1479">
            <v>6014</v>
          </cell>
        </row>
        <row r="1480">
          <cell r="A1480">
            <v>6015</v>
          </cell>
        </row>
        <row r="1481">
          <cell r="A1481">
            <v>6016</v>
          </cell>
        </row>
        <row r="1482">
          <cell r="A1482">
            <v>6017</v>
          </cell>
        </row>
        <row r="1483">
          <cell r="A1483">
            <v>6018</v>
          </cell>
        </row>
        <row r="1484">
          <cell r="A1484">
            <v>6019</v>
          </cell>
        </row>
        <row r="1485">
          <cell r="A1485">
            <v>6020</v>
          </cell>
        </row>
        <row r="1486">
          <cell r="A1486">
            <v>8001</v>
          </cell>
        </row>
        <row r="1487">
          <cell r="A1487">
            <v>8002</v>
          </cell>
        </row>
        <row r="1488">
          <cell r="A1488">
            <v>8003</v>
          </cell>
        </row>
        <row r="1489">
          <cell r="A1489">
            <v>8004</v>
          </cell>
        </row>
        <row r="1490">
          <cell r="A1490">
            <v>8005</v>
          </cell>
        </row>
        <row r="1491">
          <cell r="A1491">
            <v>8006</v>
          </cell>
        </row>
        <row r="1492">
          <cell r="A1492">
            <v>8007</v>
          </cell>
        </row>
        <row r="1493">
          <cell r="A1493">
            <v>8008</v>
          </cell>
        </row>
        <row r="1494">
          <cell r="A1494">
            <v>8009</v>
          </cell>
        </row>
        <row r="1495">
          <cell r="A1495">
            <v>8010</v>
          </cell>
        </row>
        <row r="1496">
          <cell r="A1496">
            <v>8011</v>
          </cell>
        </row>
        <row r="1497">
          <cell r="A1497">
            <v>8012</v>
          </cell>
        </row>
        <row r="1498">
          <cell r="A1498">
            <v>8013</v>
          </cell>
        </row>
        <row r="1499">
          <cell r="A1499">
            <v>8014</v>
          </cell>
        </row>
        <row r="1500">
          <cell r="A1500">
            <v>8015</v>
          </cell>
        </row>
        <row r="1501">
          <cell r="A1501">
            <v>8016</v>
          </cell>
        </row>
        <row r="1502">
          <cell r="A1502">
            <v>8017</v>
          </cell>
        </row>
        <row r="1503">
          <cell r="A1503">
            <v>8018</v>
          </cell>
        </row>
        <row r="1504">
          <cell r="A1504">
            <v>8019</v>
          </cell>
        </row>
        <row r="1505">
          <cell r="A1505">
            <v>8020</v>
          </cell>
        </row>
        <row r="1506">
          <cell r="A1506">
            <v>8021</v>
          </cell>
        </row>
        <row r="1507">
          <cell r="A1507">
            <v>8022</v>
          </cell>
        </row>
        <row r="1508">
          <cell r="A1508">
            <v>8023</v>
          </cell>
        </row>
        <row r="1509">
          <cell r="A1509">
            <v>8024</v>
          </cell>
        </row>
        <row r="1510">
          <cell r="A1510">
            <v>8025</v>
          </cell>
        </row>
        <row r="1511">
          <cell r="A1511">
            <v>8026</v>
          </cell>
        </row>
        <row r="1512">
          <cell r="A1512">
            <v>8027</v>
          </cell>
        </row>
        <row r="1513">
          <cell r="A1513">
            <v>8028</v>
          </cell>
        </row>
        <row r="1514">
          <cell r="A1514">
            <v>8029</v>
          </cell>
        </row>
        <row r="1515">
          <cell r="A1515">
            <v>8030</v>
          </cell>
        </row>
        <row r="1516">
          <cell r="A1516">
            <v>8031</v>
          </cell>
        </row>
        <row r="1517">
          <cell r="A1517">
            <v>8032</v>
          </cell>
        </row>
        <row r="1518">
          <cell r="A1518">
            <v>8033</v>
          </cell>
        </row>
        <row r="1519">
          <cell r="A1519">
            <v>8034</v>
          </cell>
        </row>
        <row r="1520">
          <cell r="A1520">
            <v>8035</v>
          </cell>
        </row>
        <row r="1521">
          <cell r="A1521">
            <v>8036</v>
          </cell>
        </row>
        <row r="1522">
          <cell r="A1522">
            <v>8037</v>
          </cell>
        </row>
        <row r="1523">
          <cell r="A1523">
            <v>8038</v>
          </cell>
        </row>
        <row r="1524">
          <cell r="A1524">
            <v>8039</v>
          </cell>
        </row>
        <row r="1525">
          <cell r="A1525">
            <v>8040</v>
          </cell>
        </row>
        <row r="1526">
          <cell r="A1526">
            <v>8041</v>
          </cell>
        </row>
        <row r="1527">
          <cell r="A1527">
            <v>8042</v>
          </cell>
        </row>
        <row r="1528">
          <cell r="A1528">
            <v>8043</v>
          </cell>
        </row>
        <row r="1529">
          <cell r="A1529">
            <v>8044</v>
          </cell>
        </row>
        <row r="1530">
          <cell r="A1530">
            <v>8045</v>
          </cell>
        </row>
        <row r="1531">
          <cell r="A1531">
            <v>8046</v>
          </cell>
        </row>
        <row r="1532">
          <cell r="A1532">
            <v>8047</v>
          </cell>
        </row>
        <row r="1533">
          <cell r="A1533">
            <v>8048</v>
          </cell>
        </row>
        <row r="1534">
          <cell r="A1534">
            <v>8049</v>
          </cell>
        </row>
        <row r="1535">
          <cell r="A1535">
            <v>8050</v>
          </cell>
        </row>
        <row r="1536">
          <cell r="A1536">
            <v>8051</v>
          </cell>
        </row>
        <row r="1537">
          <cell r="A1537">
            <v>8052</v>
          </cell>
        </row>
        <row r="1538">
          <cell r="A1538">
            <v>8053</v>
          </cell>
        </row>
        <row r="1539">
          <cell r="A1539">
            <v>8054</v>
          </cell>
        </row>
        <row r="1540">
          <cell r="A1540">
            <v>8055</v>
          </cell>
        </row>
        <row r="1541">
          <cell r="A1541">
            <v>8056</v>
          </cell>
        </row>
        <row r="1542">
          <cell r="A1542">
            <v>8057</v>
          </cell>
        </row>
        <row r="1543">
          <cell r="A1543">
            <v>8058</v>
          </cell>
        </row>
        <row r="1544">
          <cell r="A1544">
            <v>8059</v>
          </cell>
        </row>
        <row r="1545">
          <cell r="A1545">
            <v>8060</v>
          </cell>
        </row>
        <row r="1546">
          <cell r="A1546">
            <v>8061</v>
          </cell>
        </row>
        <row r="1547">
          <cell r="A1547">
            <v>8062</v>
          </cell>
        </row>
        <row r="1548">
          <cell r="A1548">
            <v>8063</v>
          </cell>
        </row>
        <row r="1549">
          <cell r="A1549">
            <v>8064</v>
          </cell>
        </row>
        <row r="1550">
          <cell r="A1550">
            <v>8065</v>
          </cell>
        </row>
        <row r="1551">
          <cell r="A1551">
            <v>8066</v>
          </cell>
        </row>
        <row r="1552">
          <cell r="A1552">
            <v>8067</v>
          </cell>
        </row>
        <row r="1553">
          <cell r="A1553">
            <v>8068</v>
          </cell>
        </row>
        <row r="1554">
          <cell r="A1554">
            <v>8069</v>
          </cell>
        </row>
        <row r="1555">
          <cell r="A1555">
            <v>8070</v>
          </cell>
        </row>
        <row r="1556">
          <cell r="A1556">
            <v>8071</v>
          </cell>
        </row>
        <row r="1557">
          <cell r="A1557">
            <v>8072</v>
          </cell>
        </row>
        <row r="1558">
          <cell r="A1558">
            <v>8073</v>
          </cell>
        </row>
        <row r="1559">
          <cell r="A1559">
            <v>8074</v>
          </cell>
        </row>
        <row r="1560">
          <cell r="A1560">
            <v>8077</v>
          </cell>
        </row>
        <row r="1561">
          <cell r="A1561">
            <v>8078</v>
          </cell>
        </row>
        <row r="1562">
          <cell r="A1562">
            <v>8079</v>
          </cell>
        </row>
        <row r="1563">
          <cell r="A1563">
            <v>8080</v>
          </cell>
        </row>
        <row r="1564">
          <cell r="A1564">
            <v>8081</v>
          </cell>
        </row>
        <row r="1565">
          <cell r="A1565">
            <v>8082</v>
          </cell>
        </row>
        <row r="1566">
          <cell r="A1566">
            <v>8083</v>
          </cell>
        </row>
        <row r="1567">
          <cell r="A1567">
            <v>8084</v>
          </cell>
        </row>
        <row r="1568">
          <cell r="A1568">
            <v>8085</v>
          </cell>
        </row>
        <row r="1569">
          <cell r="A1569">
            <v>8086</v>
          </cell>
        </row>
        <row r="1570">
          <cell r="A1570">
            <v>8087</v>
          </cell>
        </row>
        <row r="1571">
          <cell r="A1571">
            <v>8088</v>
          </cell>
        </row>
        <row r="1572">
          <cell r="A1572">
            <v>8089</v>
          </cell>
        </row>
        <row r="1573">
          <cell r="A1573">
            <v>8090</v>
          </cell>
        </row>
        <row r="1574">
          <cell r="A1574">
            <v>8095</v>
          </cell>
        </row>
        <row r="1575">
          <cell r="A1575">
            <v>8096</v>
          </cell>
        </row>
        <row r="1576">
          <cell r="A1576">
            <v>8097</v>
          </cell>
        </row>
        <row r="1577">
          <cell r="A1577">
            <v>8098</v>
          </cell>
        </row>
        <row r="1578">
          <cell r="A1578">
            <v>8099</v>
          </cell>
        </row>
        <row r="1579">
          <cell r="A1579">
            <v>8100</v>
          </cell>
        </row>
        <row r="1580">
          <cell r="A1580">
            <v>8101</v>
          </cell>
        </row>
        <row r="1581">
          <cell r="A1581">
            <v>8102</v>
          </cell>
        </row>
        <row r="1582">
          <cell r="A1582">
            <v>8103</v>
          </cell>
        </row>
        <row r="1583">
          <cell r="A1583">
            <v>8104</v>
          </cell>
        </row>
        <row r="1584">
          <cell r="A1584">
            <v>8105</v>
          </cell>
        </row>
        <row r="1585">
          <cell r="A1585">
            <v>8106</v>
          </cell>
        </row>
        <row r="1586">
          <cell r="A1586">
            <v>8111</v>
          </cell>
        </row>
        <row r="1587">
          <cell r="A1587">
            <v>8112</v>
          </cell>
        </row>
        <row r="1588">
          <cell r="A1588">
            <v>8113</v>
          </cell>
        </row>
        <row r="1589">
          <cell r="A1589">
            <v>8114</v>
          </cell>
        </row>
        <row r="1590">
          <cell r="A1590">
            <v>8115</v>
          </cell>
        </row>
        <row r="1591">
          <cell r="A1591">
            <v>8116</v>
          </cell>
        </row>
        <row r="1592">
          <cell r="A1592">
            <v>8117</v>
          </cell>
        </row>
        <row r="1593">
          <cell r="A1593">
            <v>8118</v>
          </cell>
        </row>
        <row r="1594">
          <cell r="A1594">
            <v>8119</v>
          </cell>
        </row>
        <row r="1595">
          <cell r="A1595">
            <v>8120</v>
          </cell>
        </row>
        <row r="1596">
          <cell r="A1596">
            <v>8121</v>
          </cell>
        </row>
        <row r="1597">
          <cell r="A1597">
            <v>8122</v>
          </cell>
        </row>
        <row r="1598">
          <cell r="A1598">
            <v>8127</v>
          </cell>
        </row>
        <row r="1599">
          <cell r="A1599">
            <v>8128</v>
          </cell>
        </row>
        <row r="1600">
          <cell r="A1600">
            <v>8129</v>
          </cell>
        </row>
        <row r="1601">
          <cell r="A1601">
            <v>8130</v>
          </cell>
        </row>
        <row r="1602">
          <cell r="A1602">
            <v>8131</v>
          </cell>
        </row>
        <row r="1603">
          <cell r="A1603">
            <v>8132</v>
          </cell>
        </row>
        <row r="1604">
          <cell r="A1604">
            <v>8133</v>
          </cell>
        </row>
        <row r="1605">
          <cell r="A1605">
            <v>8134</v>
          </cell>
        </row>
        <row r="1606">
          <cell r="A1606">
            <v>8135</v>
          </cell>
        </row>
        <row r="1607">
          <cell r="A1607">
            <v>8136</v>
          </cell>
        </row>
        <row r="1608">
          <cell r="A1608">
            <v>8137</v>
          </cell>
        </row>
        <row r="1609">
          <cell r="A1609">
            <v>8138</v>
          </cell>
        </row>
        <row r="1610">
          <cell r="A1610">
            <v>9001</v>
          </cell>
        </row>
        <row r="1611">
          <cell r="A1611">
            <v>9002</v>
          </cell>
        </row>
        <row r="1612">
          <cell r="A1612">
            <v>9003</v>
          </cell>
        </row>
        <row r="1613">
          <cell r="A1613">
            <v>9004</v>
          </cell>
        </row>
        <row r="1614">
          <cell r="A1614">
            <v>9005</v>
          </cell>
        </row>
        <row r="1615">
          <cell r="A1615">
            <v>9006</v>
          </cell>
        </row>
        <row r="1616">
          <cell r="A1616">
            <v>9007</v>
          </cell>
        </row>
        <row r="1617">
          <cell r="A1617">
            <v>9008</v>
          </cell>
        </row>
        <row r="1618">
          <cell r="A1618">
            <v>10101</v>
          </cell>
        </row>
        <row r="1619">
          <cell r="A1619">
            <v>10102</v>
          </cell>
        </row>
        <row r="1620">
          <cell r="A1620">
            <v>10103</v>
          </cell>
        </row>
      </sheetData>
      <sheetData sheetId="2"/>
      <sheetData sheetId="3"/>
      <sheetData sheetId="4"/>
      <sheetData sheetId="5"/>
      <sheetData sheetId="6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  <cell r="N1" t="str">
            <v>name</v>
          </cell>
          <cell r="O1" t="str">
            <v>character_sub_tribe_id</v>
          </cell>
          <cell r="P1" t="str">
            <v>name</v>
          </cell>
          <cell r="Q1" t="str">
            <v>スキルタイプ</v>
          </cell>
          <cell r="R1" t="str">
            <v>valid_flg</v>
          </cell>
          <cell r="S1" t="str">
            <v>category</v>
          </cell>
          <cell r="T1" t="str">
            <v>awaketype</v>
          </cell>
          <cell r="U1" t="str">
            <v>flavor_text</v>
          </cell>
          <cell r="V1" t="str">
            <v>obtain_message</v>
          </cell>
          <cell r="W1" t="str">
            <v>awaken_message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1129</v>
          </cell>
        </row>
        <row r="1131">
          <cell r="A1131">
            <v>1130</v>
          </cell>
        </row>
        <row r="1132">
          <cell r="A1132">
            <v>1131</v>
          </cell>
        </row>
        <row r="1133">
          <cell r="A1133">
            <v>1132</v>
          </cell>
        </row>
        <row r="1134">
          <cell r="A1134">
            <v>1133</v>
          </cell>
        </row>
        <row r="1135">
          <cell r="A1135">
            <v>1134</v>
          </cell>
        </row>
        <row r="1136">
          <cell r="A1136">
            <v>1135</v>
          </cell>
        </row>
        <row r="1137">
          <cell r="A1137">
            <v>1136</v>
          </cell>
        </row>
        <row r="1138">
          <cell r="A1138">
            <v>1137</v>
          </cell>
        </row>
        <row r="1139">
          <cell r="A1139">
            <v>1138</v>
          </cell>
        </row>
        <row r="1140">
          <cell r="A1140">
            <v>1139</v>
          </cell>
        </row>
        <row r="1141">
          <cell r="A1141">
            <v>1140</v>
          </cell>
        </row>
        <row r="1142">
          <cell r="A1142">
            <v>1141</v>
          </cell>
        </row>
        <row r="1143">
          <cell r="A1143">
            <v>1142</v>
          </cell>
        </row>
        <row r="1144">
          <cell r="A1144">
            <v>1143</v>
          </cell>
        </row>
        <row r="1145">
          <cell r="A1145">
            <v>1144</v>
          </cell>
        </row>
        <row r="1146">
          <cell r="A1146">
            <v>1145</v>
          </cell>
        </row>
        <row r="1147">
          <cell r="A1147">
            <v>1146</v>
          </cell>
        </row>
        <row r="1148">
          <cell r="A1148">
            <v>1147</v>
          </cell>
        </row>
        <row r="1149">
          <cell r="A1149">
            <v>1148</v>
          </cell>
        </row>
        <row r="1150">
          <cell r="A1150">
            <v>1149</v>
          </cell>
        </row>
        <row r="1151">
          <cell r="A1151">
            <v>1150</v>
          </cell>
        </row>
        <row r="1152">
          <cell r="A1152">
            <v>1151</v>
          </cell>
        </row>
        <row r="1153">
          <cell r="A1153">
            <v>1152</v>
          </cell>
        </row>
        <row r="1154">
          <cell r="A1154">
            <v>1153</v>
          </cell>
        </row>
        <row r="1155">
          <cell r="A1155">
            <v>1154</v>
          </cell>
        </row>
        <row r="1156">
          <cell r="A1156">
            <v>1155</v>
          </cell>
        </row>
        <row r="1157">
          <cell r="A1157">
            <v>1156</v>
          </cell>
        </row>
        <row r="1158">
          <cell r="A1158">
            <v>1157</v>
          </cell>
        </row>
        <row r="1159">
          <cell r="A1159">
            <v>1158</v>
          </cell>
        </row>
        <row r="1160">
          <cell r="A1160">
            <v>1159</v>
          </cell>
        </row>
        <row r="1161">
          <cell r="A1161">
            <v>1160</v>
          </cell>
        </row>
        <row r="1162">
          <cell r="A1162">
            <v>1161</v>
          </cell>
        </row>
        <row r="1163">
          <cell r="A1163">
            <v>1162</v>
          </cell>
        </row>
        <row r="1164">
          <cell r="A1164">
            <v>1163</v>
          </cell>
        </row>
        <row r="1165">
          <cell r="A1165">
            <v>1164</v>
          </cell>
        </row>
        <row r="1166">
          <cell r="A1166">
            <v>1165</v>
          </cell>
        </row>
        <row r="1167">
          <cell r="A1167">
            <v>1166</v>
          </cell>
        </row>
        <row r="1168">
          <cell r="A1168">
            <v>1167</v>
          </cell>
        </row>
        <row r="1169">
          <cell r="A1169">
            <v>1168</v>
          </cell>
        </row>
        <row r="1170">
          <cell r="A1170">
            <v>1169</v>
          </cell>
        </row>
        <row r="1171">
          <cell r="A1171">
            <v>1170</v>
          </cell>
        </row>
        <row r="1172">
          <cell r="A1172">
            <v>1171</v>
          </cell>
        </row>
        <row r="1173">
          <cell r="A1173">
            <v>1172</v>
          </cell>
        </row>
        <row r="1174">
          <cell r="A1174">
            <v>1173</v>
          </cell>
        </row>
        <row r="1175">
          <cell r="A1175">
            <v>1174</v>
          </cell>
        </row>
        <row r="1176">
          <cell r="A1176">
            <v>1175</v>
          </cell>
        </row>
        <row r="1177">
          <cell r="A1177">
            <v>1176</v>
          </cell>
        </row>
        <row r="1178">
          <cell r="A1178">
            <v>1177</v>
          </cell>
        </row>
        <row r="1179">
          <cell r="A1179">
            <v>1178</v>
          </cell>
        </row>
        <row r="1180">
          <cell r="A1180">
            <v>1179</v>
          </cell>
        </row>
        <row r="1181">
          <cell r="A1181">
            <v>1180</v>
          </cell>
        </row>
        <row r="1182">
          <cell r="A1182">
            <v>1181</v>
          </cell>
        </row>
        <row r="1183">
          <cell r="A1183">
            <v>1182</v>
          </cell>
        </row>
        <row r="1184">
          <cell r="A1184">
            <v>1183</v>
          </cell>
        </row>
        <row r="1185">
          <cell r="A1185">
            <v>1184</v>
          </cell>
        </row>
        <row r="1186">
          <cell r="A1186">
            <v>1185</v>
          </cell>
        </row>
        <row r="1187">
          <cell r="A1187">
            <v>1186</v>
          </cell>
        </row>
        <row r="1188">
          <cell r="A1188">
            <v>1187</v>
          </cell>
        </row>
        <row r="1189">
          <cell r="A1189">
            <v>1188</v>
          </cell>
        </row>
        <row r="1190">
          <cell r="A1190">
            <v>1189</v>
          </cell>
        </row>
        <row r="1191">
          <cell r="A1191">
            <v>1190</v>
          </cell>
        </row>
        <row r="1192">
          <cell r="A1192">
            <v>1191</v>
          </cell>
        </row>
        <row r="1193">
          <cell r="A1193">
            <v>1192</v>
          </cell>
        </row>
        <row r="1194">
          <cell r="A1194">
            <v>1193</v>
          </cell>
        </row>
        <row r="1195">
          <cell r="A1195">
            <v>1194</v>
          </cell>
        </row>
        <row r="1196">
          <cell r="A1196">
            <v>1195</v>
          </cell>
        </row>
        <row r="1197">
          <cell r="A1197">
            <v>1196</v>
          </cell>
        </row>
        <row r="1198">
          <cell r="A1198">
            <v>1197</v>
          </cell>
        </row>
        <row r="1199">
          <cell r="A1199">
            <v>1198</v>
          </cell>
        </row>
        <row r="1200">
          <cell r="A1200">
            <v>1199</v>
          </cell>
        </row>
        <row r="1201">
          <cell r="A1201">
            <v>1200</v>
          </cell>
        </row>
        <row r="1202">
          <cell r="A1202">
            <v>1201</v>
          </cell>
        </row>
        <row r="1203">
          <cell r="A1203">
            <v>1202</v>
          </cell>
        </row>
        <row r="1204">
          <cell r="A1204">
            <v>1203</v>
          </cell>
        </row>
        <row r="1205">
          <cell r="A1205">
            <v>1204</v>
          </cell>
        </row>
        <row r="1206">
          <cell r="A1206">
            <v>1205</v>
          </cell>
        </row>
        <row r="1207">
          <cell r="A1207">
            <v>1206</v>
          </cell>
        </row>
        <row r="1208">
          <cell r="A1208">
            <v>1207</v>
          </cell>
        </row>
        <row r="1209">
          <cell r="A1209">
            <v>1208</v>
          </cell>
        </row>
        <row r="1210">
          <cell r="A1210">
            <v>1209</v>
          </cell>
        </row>
        <row r="1211">
          <cell r="A1211">
            <v>1210</v>
          </cell>
        </row>
        <row r="1212">
          <cell r="A1212">
            <v>1211</v>
          </cell>
        </row>
        <row r="1213">
          <cell r="A1213">
            <v>1212</v>
          </cell>
        </row>
        <row r="1214">
          <cell r="A1214">
            <v>1213</v>
          </cell>
        </row>
        <row r="1215">
          <cell r="A1215">
            <v>1214</v>
          </cell>
        </row>
        <row r="1216">
          <cell r="A1216">
            <v>1215</v>
          </cell>
        </row>
        <row r="1217">
          <cell r="A1217">
            <v>1216</v>
          </cell>
        </row>
        <row r="1218">
          <cell r="A1218">
            <v>1217</v>
          </cell>
        </row>
        <row r="1219">
          <cell r="A1219">
            <v>1218</v>
          </cell>
        </row>
        <row r="1220">
          <cell r="A1220">
            <v>1219</v>
          </cell>
        </row>
        <row r="1221">
          <cell r="A1221">
            <v>1220</v>
          </cell>
        </row>
        <row r="1222">
          <cell r="A1222">
            <v>1221</v>
          </cell>
        </row>
        <row r="1223">
          <cell r="A1223">
            <v>1222</v>
          </cell>
        </row>
        <row r="1224">
          <cell r="A1224">
            <v>1223</v>
          </cell>
        </row>
        <row r="1225">
          <cell r="A1225">
            <v>1224</v>
          </cell>
        </row>
        <row r="1226">
          <cell r="A1226">
            <v>1225</v>
          </cell>
        </row>
        <row r="1227">
          <cell r="A1227">
            <v>1226</v>
          </cell>
        </row>
        <row r="1228">
          <cell r="A1228">
            <v>1227</v>
          </cell>
        </row>
        <row r="1229">
          <cell r="A1229">
            <v>1228</v>
          </cell>
        </row>
        <row r="1230">
          <cell r="A1230">
            <v>1229</v>
          </cell>
        </row>
        <row r="1231">
          <cell r="A1231">
            <v>1230</v>
          </cell>
        </row>
        <row r="1232">
          <cell r="A1232">
            <v>1231</v>
          </cell>
        </row>
        <row r="1233">
          <cell r="A1233">
            <v>1232</v>
          </cell>
        </row>
        <row r="1234">
          <cell r="A1234">
            <v>1233</v>
          </cell>
        </row>
        <row r="1235">
          <cell r="A1235">
            <v>1234</v>
          </cell>
        </row>
        <row r="1236">
          <cell r="A1236">
            <v>1235</v>
          </cell>
        </row>
        <row r="1237">
          <cell r="A1237">
            <v>1236</v>
          </cell>
        </row>
        <row r="1238">
          <cell r="A1238">
            <v>1237</v>
          </cell>
        </row>
        <row r="1239">
          <cell r="A1239">
            <v>1238</v>
          </cell>
        </row>
        <row r="1240">
          <cell r="A1240">
            <v>1239</v>
          </cell>
        </row>
        <row r="1241">
          <cell r="A1241">
            <v>1240</v>
          </cell>
        </row>
        <row r="1242">
          <cell r="A1242">
            <v>1241</v>
          </cell>
        </row>
        <row r="1243">
          <cell r="A1243">
            <v>1242</v>
          </cell>
        </row>
        <row r="1244">
          <cell r="A1244">
            <v>1243</v>
          </cell>
        </row>
        <row r="1245">
          <cell r="A1245">
            <v>1244</v>
          </cell>
        </row>
        <row r="1246">
          <cell r="A1246">
            <v>1245</v>
          </cell>
        </row>
        <row r="1247">
          <cell r="A1247">
            <v>1246</v>
          </cell>
        </row>
        <row r="1248">
          <cell r="A1248">
            <v>1247</v>
          </cell>
        </row>
        <row r="1249">
          <cell r="A1249">
            <v>1248</v>
          </cell>
        </row>
        <row r="1250">
          <cell r="A1250">
            <v>1249</v>
          </cell>
        </row>
        <row r="1251">
          <cell r="A1251">
            <v>1250</v>
          </cell>
        </row>
        <row r="1252">
          <cell r="A1252">
            <v>1251</v>
          </cell>
        </row>
        <row r="1253">
          <cell r="A1253">
            <v>1252</v>
          </cell>
        </row>
        <row r="1254">
          <cell r="A1254">
            <v>1253</v>
          </cell>
        </row>
        <row r="1255">
          <cell r="A1255">
            <v>1254</v>
          </cell>
        </row>
        <row r="1256">
          <cell r="A1256">
            <v>1255</v>
          </cell>
        </row>
        <row r="1257">
          <cell r="A1257">
            <v>1256</v>
          </cell>
        </row>
        <row r="1258">
          <cell r="A1258">
            <v>1257</v>
          </cell>
        </row>
        <row r="1259">
          <cell r="A1259">
            <v>1258</v>
          </cell>
        </row>
        <row r="1260">
          <cell r="A1260">
            <v>1259</v>
          </cell>
        </row>
        <row r="1261">
          <cell r="A1261">
            <v>1260</v>
          </cell>
        </row>
        <row r="1262">
          <cell r="A1262">
            <v>1261</v>
          </cell>
        </row>
        <row r="1263">
          <cell r="A1263">
            <v>1262</v>
          </cell>
        </row>
        <row r="1264">
          <cell r="A1264">
            <v>1263</v>
          </cell>
        </row>
        <row r="1265">
          <cell r="A1265">
            <v>1264</v>
          </cell>
        </row>
        <row r="1266">
          <cell r="A1266">
            <v>1265</v>
          </cell>
        </row>
        <row r="1267">
          <cell r="A1267">
            <v>1266</v>
          </cell>
        </row>
        <row r="1268">
          <cell r="A1268">
            <v>1267</v>
          </cell>
        </row>
        <row r="1269">
          <cell r="A1269">
            <v>1268</v>
          </cell>
        </row>
        <row r="1270">
          <cell r="A1270">
            <v>1269</v>
          </cell>
        </row>
        <row r="1271">
          <cell r="A1271">
            <v>1270</v>
          </cell>
        </row>
        <row r="1272">
          <cell r="A1272">
            <v>1271</v>
          </cell>
        </row>
        <row r="1273">
          <cell r="A1273">
            <v>1272</v>
          </cell>
        </row>
        <row r="1274">
          <cell r="A1274">
            <v>1273</v>
          </cell>
        </row>
        <row r="1275">
          <cell r="A1275">
            <v>1274</v>
          </cell>
        </row>
        <row r="1276">
          <cell r="A1276">
            <v>1275</v>
          </cell>
        </row>
        <row r="1277">
          <cell r="A1277">
            <v>1276</v>
          </cell>
        </row>
        <row r="1278">
          <cell r="A1278">
            <v>1277</v>
          </cell>
        </row>
        <row r="1279">
          <cell r="A1279">
            <v>1278</v>
          </cell>
        </row>
        <row r="1280">
          <cell r="A1280">
            <v>1279</v>
          </cell>
        </row>
        <row r="1281">
          <cell r="A1281">
            <v>1280</v>
          </cell>
        </row>
        <row r="1282">
          <cell r="A1282">
            <v>1281</v>
          </cell>
        </row>
        <row r="1283">
          <cell r="A1283">
            <v>1282</v>
          </cell>
        </row>
        <row r="1284">
          <cell r="A1284">
            <v>1283</v>
          </cell>
        </row>
        <row r="1285">
          <cell r="A1285">
            <v>1284</v>
          </cell>
        </row>
        <row r="1286">
          <cell r="A1286">
            <v>1285</v>
          </cell>
        </row>
        <row r="1287">
          <cell r="A1287">
            <v>1286</v>
          </cell>
        </row>
        <row r="1288">
          <cell r="A1288">
            <v>1287</v>
          </cell>
        </row>
        <row r="1289">
          <cell r="A1289">
            <v>1288</v>
          </cell>
        </row>
        <row r="1290">
          <cell r="A1290">
            <v>1289</v>
          </cell>
        </row>
        <row r="1291">
          <cell r="A1291">
            <v>1290</v>
          </cell>
        </row>
        <row r="1292">
          <cell r="A1292">
            <v>1291</v>
          </cell>
        </row>
        <row r="1293">
          <cell r="A1293">
            <v>1292</v>
          </cell>
        </row>
        <row r="1294">
          <cell r="A1294">
            <v>1293</v>
          </cell>
        </row>
        <row r="1295">
          <cell r="A1295">
            <v>1294</v>
          </cell>
        </row>
        <row r="1296">
          <cell r="A1296">
            <v>1295</v>
          </cell>
        </row>
        <row r="1297">
          <cell r="A1297">
            <v>1296</v>
          </cell>
        </row>
        <row r="1298">
          <cell r="A1298">
            <v>1297</v>
          </cell>
        </row>
        <row r="1299">
          <cell r="A1299">
            <v>1298</v>
          </cell>
        </row>
        <row r="1300">
          <cell r="A1300">
            <v>1299</v>
          </cell>
        </row>
        <row r="1301">
          <cell r="A1301">
            <v>1300</v>
          </cell>
        </row>
        <row r="1302">
          <cell r="A1302">
            <v>1301</v>
          </cell>
        </row>
        <row r="1303">
          <cell r="A1303">
            <v>1302</v>
          </cell>
        </row>
        <row r="1304">
          <cell r="A1304">
            <v>1303</v>
          </cell>
        </row>
        <row r="1305">
          <cell r="A1305">
            <v>1304</v>
          </cell>
        </row>
        <row r="1306">
          <cell r="A1306">
            <v>1305</v>
          </cell>
        </row>
        <row r="1307">
          <cell r="A1307">
            <v>1306</v>
          </cell>
        </row>
        <row r="1308">
          <cell r="A1308">
            <v>1307</v>
          </cell>
        </row>
        <row r="1309">
          <cell r="A1309">
            <v>1308</v>
          </cell>
        </row>
        <row r="1310">
          <cell r="A1310">
            <v>1309</v>
          </cell>
        </row>
        <row r="1311">
          <cell r="A1311">
            <v>1310</v>
          </cell>
        </row>
        <row r="1312">
          <cell r="A1312">
            <v>1311</v>
          </cell>
        </row>
        <row r="1313">
          <cell r="A1313">
            <v>1312</v>
          </cell>
        </row>
        <row r="1314">
          <cell r="A1314">
            <v>1313</v>
          </cell>
        </row>
        <row r="1315">
          <cell r="A1315">
            <v>1314</v>
          </cell>
        </row>
        <row r="1316">
          <cell r="A1316">
            <v>1315</v>
          </cell>
        </row>
        <row r="1317">
          <cell r="A1317">
            <v>1316</v>
          </cell>
        </row>
        <row r="1318">
          <cell r="A1318">
            <v>1317</v>
          </cell>
        </row>
        <row r="1319">
          <cell r="A1319">
            <v>1318</v>
          </cell>
        </row>
        <row r="1320">
          <cell r="A1320">
            <v>1319</v>
          </cell>
        </row>
        <row r="1321">
          <cell r="A1321">
            <v>1320</v>
          </cell>
        </row>
        <row r="1322">
          <cell r="A1322">
            <v>1321</v>
          </cell>
        </row>
        <row r="1323">
          <cell r="A1323">
            <v>1322</v>
          </cell>
        </row>
        <row r="1324">
          <cell r="A1324">
            <v>1323</v>
          </cell>
        </row>
        <row r="1325">
          <cell r="A1325">
            <v>1324</v>
          </cell>
        </row>
        <row r="1326">
          <cell r="A1326">
            <v>1325</v>
          </cell>
        </row>
        <row r="1327">
          <cell r="A1327">
            <v>1326</v>
          </cell>
        </row>
        <row r="1328">
          <cell r="A1328">
            <v>1327</v>
          </cell>
        </row>
        <row r="1329">
          <cell r="A1329">
            <v>1328</v>
          </cell>
        </row>
        <row r="1330">
          <cell r="A1330">
            <v>1329</v>
          </cell>
        </row>
        <row r="1331">
          <cell r="A1331">
            <v>1330</v>
          </cell>
        </row>
        <row r="1332">
          <cell r="A1332">
            <v>1331</v>
          </cell>
        </row>
        <row r="1333">
          <cell r="A1333">
            <v>1332</v>
          </cell>
        </row>
        <row r="1334">
          <cell r="A1334">
            <v>1333</v>
          </cell>
        </row>
        <row r="1335">
          <cell r="A1335">
            <v>1334</v>
          </cell>
        </row>
        <row r="1336">
          <cell r="A1336">
            <v>1335</v>
          </cell>
        </row>
        <row r="1337">
          <cell r="A1337">
            <v>1336</v>
          </cell>
        </row>
        <row r="1338">
          <cell r="A1338">
            <v>1337</v>
          </cell>
        </row>
        <row r="1339">
          <cell r="A1339">
            <v>1338</v>
          </cell>
        </row>
        <row r="1340">
          <cell r="A1340">
            <v>1339</v>
          </cell>
        </row>
        <row r="1341">
          <cell r="A1341">
            <v>1340</v>
          </cell>
        </row>
        <row r="1342">
          <cell r="A1342">
            <v>1341</v>
          </cell>
        </row>
        <row r="1343">
          <cell r="A1343">
            <v>1342</v>
          </cell>
        </row>
        <row r="1344">
          <cell r="A1344">
            <v>1343</v>
          </cell>
        </row>
        <row r="1345">
          <cell r="A1345">
            <v>1344</v>
          </cell>
        </row>
        <row r="1346">
          <cell r="A1346">
            <v>1345</v>
          </cell>
        </row>
        <row r="1347">
          <cell r="A1347">
            <v>1346</v>
          </cell>
        </row>
        <row r="1348">
          <cell r="A1348">
            <v>1347</v>
          </cell>
        </row>
        <row r="1349">
          <cell r="A1349">
            <v>1348</v>
          </cell>
        </row>
        <row r="1350">
          <cell r="A1350">
            <v>1349</v>
          </cell>
        </row>
        <row r="1351">
          <cell r="A1351">
            <v>1350</v>
          </cell>
        </row>
        <row r="1352">
          <cell r="A1352">
            <v>1351</v>
          </cell>
        </row>
        <row r="1353">
          <cell r="A1353">
            <v>1352</v>
          </cell>
        </row>
        <row r="1354">
          <cell r="A1354">
            <v>1353</v>
          </cell>
        </row>
        <row r="1355">
          <cell r="A1355">
            <v>1354</v>
          </cell>
        </row>
        <row r="1356">
          <cell r="A1356">
            <v>1355</v>
          </cell>
        </row>
        <row r="1357">
          <cell r="A1357">
            <v>1356</v>
          </cell>
        </row>
        <row r="1358">
          <cell r="A1358">
            <v>1357</v>
          </cell>
        </row>
        <row r="1359">
          <cell r="A1359">
            <v>1358</v>
          </cell>
        </row>
        <row r="1360">
          <cell r="A1360">
            <v>1359</v>
          </cell>
        </row>
        <row r="1361">
          <cell r="A1361">
            <v>1360</v>
          </cell>
        </row>
        <row r="1362">
          <cell r="A1362">
            <v>1361</v>
          </cell>
        </row>
        <row r="1363">
          <cell r="A1363">
            <v>1362</v>
          </cell>
        </row>
        <row r="1364">
          <cell r="A1364">
            <v>1363</v>
          </cell>
        </row>
        <row r="1365">
          <cell r="A1365">
            <v>1364</v>
          </cell>
        </row>
        <row r="1366">
          <cell r="A1366">
            <v>1365</v>
          </cell>
        </row>
        <row r="1367">
          <cell r="A1367">
            <v>1366</v>
          </cell>
        </row>
        <row r="1368">
          <cell r="A1368">
            <v>1367</v>
          </cell>
        </row>
        <row r="1369">
          <cell r="A1369">
            <v>1368</v>
          </cell>
        </row>
        <row r="1370">
          <cell r="A1370">
            <v>1369</v>
          </cell>
        </row>
        <row r="1371">
          <cell r="A1371">
            <v>1370</v>
          </cell>
        </row>
        <row r="1372">
          <cell r="A1372">
            <v>1373</v>
          </cell>
        </row>
        <row r="1373">
          <cell r="A1373">
            <v>1374</v>
          </cell>
        </row>
        <row r="1374">
          <cell r="A1374">
            <v>1375</v>
          </cell>
        </row>
        <row r="1375">
          <cell r="A1375">
            <v>1376</v>
          </cell>
        </row>
        <row r="1376">
          <cell r="A1376">
            <v>1377</v>
          </cell>
        </row>
        <row r="1377">
          <cell r="A1377">
            <v>1378</v>
          </cell>
        </row>
        <row r="1378">
          <cell r="A1378">
            <v>1379</v>
          </cell>
        </row>
        <row r="1379">
          <cell r="A1379">
            <v>1380</v>
          </cell>
        </row>
        <row r="1380">
          <cell r="A1380">
            <v>1381</v>
          </cell>
        </row>
        <row r="1381">
          <cell r="A1381">
            <v>1382</v>
          </cell>
        </row>
        <row r="1382">
          <cell r="A1382">
            <v>1383</v>
          </cell>
        </row>
        <row r="1383">
          <cell r="A1383">
            <v>1384</v>
          </cell>
        </row>
        <row r="1384">
          <cell r="A1384">
            <v>1385</v>
          </cell>
        </row>
        <row r="1385">
          <cell r="A1385">
            <v>1386</v>
          </cell>
        </row>
        <row r="1386">
          <cell r="A1386">
            <v>1387</v>
          </cell>
        </row>
        <row r="1387">
          <cell r="A1387">
            <v>1388</v>
          </cell>
        </row>
        <row r="1388">
          <cell r="A1388">
            <v>1389</v>
          </cell>
        </row>
        <row r="1389">
          <cell r="A1389">
            <v>1390</v>
          </cell>
        </row>
        <row r="1390">
          <cell r="A1390">
            <v>1393</v>
          </cell>
        </row>
        <row r="1391">
          <cell r="A1391">
            <v>1394</v>
          </cell>
        </row>
        <row r="1392">
          <cell r="A1392">
            <v>1395</v>
          </cell>
        </row>
        <row r="1393">
          <cell r="A1393">
            <v>1399</v>
          </cell>
        </row>
        <row r="1394">
          <cell r="A1394">
            <v>1400</v>
          </cell>
        </row>
        <row r="1395">
          <cell r="A1395">
            <v>1401</v>
          </cell>
        </row>
        <row r="1396">
          <cell r="A1396">
            <v>1402</v>
          </cell>
        </row>
        <row r="1397">
          <cell r="A1397">
            <v>1403</v>
          </cell>
        </row>
        <row r="1398">
          <cell r="A1398">
            <v>1404</v>
          </cell>
        </row>
        <row r="1399">
          <cell r="A1399">
            <v>1405</v>
          </cell>
        </row>
        <row r="1400">
          <cell r="A1400">
            <v>1406</v>
          </cell>
        </row>
        <row r="1401">
          <cell r="A1401">
            <v>1407</v>
          </cell>
        </row>
        <row r="1402">
          <cell r="A1402">
            <v>1408</v>
          </cell>
        </row>
        <row r="1403">
          <cell r="A1403">
            <v>1409</v>
          </cell>
        </row>
        <row r="1404">
          <cell r="A1404">
            <v>1410</v>
          </cell>
        </row>
        <row r="1405">
          <cell r="A1405">
            <v>1411</v>
          </cell>
        </row>
        <row r="1406">
          <cell r="A1406">
            <v>1412</v>
          </cell>
        </row>
        <row r="1407">
          <cell r="A1407">
            <v>1413</v>
          </cell>
        </row>
        <row r="1408">
          <cell r="A1408">
            <v>1414</v>
          </cell>
        </row>
        <row r="1409">
          <cell r="A1409">
            <v>1415</v>
          </cell>
        </row>
        <row r="1410">
          <cell r="A1410">
            <v>1416</v>
          </cell>
        </row>
        <row r="1411">
          <cell r="A1411">
            <v>1417</v>
          </cell>
        </row>
        <row r="1412">
          <cell r="A1412">
            <v>1418</v>
          </cell>
        </row>
        <row r="1413">
          <cell r="A1413">
            <v>1419</v>
          </cell>
        </row>
        <row r="1414">
          <cell r="A1414">
            <v>1420</v>
          </cell>
        </row>
        <row r="1415">
          <cell r="A1415">
            <v>1421</v>
          </cell>
        </row>
        <row r="1416">
          <cell r="A1416">
            <v>1422</v>
          </cell>
        </row>
        <row r="1417">
          <cell r="A1417">
            <v>1423</v>
          </cell>
        </row>
        <row r="1418">
          <cell r="A1418">
            <v>1424</v>
          </cell>
        </row>
        <row r="1419">
          <cell r="A1419">
            <v>1425</v>
          </cell>
        </row>
        <row r="1420">
          <cell r="A1420">
            <v>1426</v>
          </cell>
        </row>
        <row r="1421">
          <cell r="A1421">
            <v>1427</v>
          </cell>
        </row>
        <row r="1422">
          <cell r="A1422">
            <v>1428</v>
          </cell>
        </row>
        <row r="1423">
          <cell r="A1423">
            <v>1431</v>
          </cell>
        </row>
        <row r="1424">
          <cell r="A1424">
            <v>1432</v>
          </cell>
        </row>
        <row r="1425">
          <cell r="A1425">
            <v>1433</v>
          </cell>
        </row>
        <row r="1426">
          <cell r="A1426">
            <v>1434</v>
          </cell>
        </row>
        <row r="1427">
          <cell r="A1427">
            <v>1435</v>
          </cell>
        </row>
        <row r="1428">
          <cell r="A1428">
            <v>1436</v>
          </cell>
        </row>
        <row r="1429">
          <cell r="A1429">
            <v>1437</v>
          </cell>
        </row>
        <row r="1430">
          <cell r="A1430">
            <v>1438</v>
          </cell>
        </row>
        <row r="1431">
          <cell r="A1431">
            <v>1439</v>
          </cell>
        </row>
        <row r="1432">
          <cell r="A1432">
            <v>1440</v>
          </cell>
        </row>
        <row r="1433">
          <cell r="A1433">
            <v>1441</v>
          </cell>
        </row>
        <row r="1434">
          <cell r="A1434">
            <v>1442</v>
          </cell>
        </row>
        <row r="1435">
          <cell r="A1435">
            <v>1443</v>
          </cell>
        </row>
        <row r="1436">
          <cell r="A1436">
            <v>1444</v>
          </cell>
        </row>
        <row r="1437">
          <cell r="A1437">
            <v>1445</v>
          </cell>
        </row>
        <row r="1438">
          <cell r="A1438">
            <v>1446</v>
          </cell>
        </row>
        <row r="1439">
          <cell r="A1439">
            <v>1447</v>
          </cell>
        </row>
        <row r="1440">
          <cell r="A1440">
            <v>1448</v>
          </cell>
        </row>
        <row r="1441">
          <cell r="A1441">
            <v>1449</v>
          </cell>
        </row>
        <row r="1442">
          <cell r="A1442">
            <v>1450</v>
          </cell>
        </row>
        <row r="1443">
          <cell r="A1443">
            <v>1451</v>
          </cell>
        </row>
        <row r="1444">
          <cell r="A1444">
            <v>1452</v>
          </cell>
        </row>
        <row r="1445">
          <cell r="A1445">
            <v>1453</v>
          </cell>
        </row>
        <row r="1446">
          <cell r="A1446">
            <v>1454</v>
          </cell>
        </row>
        <row r="1447">
          <cell r="A1447">
            <v>1455</v>
          </cell>
        </row>
        <row r="1448">
          <cell r="A1448">
            <v>1456</v>
          </cell>
        </row>
        <row r="1449">
          <cell r="A1449">
            <v>1457</v>
          </cell>
        </row>
        <row r="1450">
          <cell r="A1450">
            <v>1458</v>
          </cell>
        </row>
        <row r="1451">
          <cell r="A1451">
            <v>1459</v>
          </cell>
        </row>
        <row r="1452">
          <cell r="A1452">
            <v>1460</v>
          </cell>
        </row>
        <row r="1453">
          <cell r="A1453">
            <v>1461</v>
          </cell>
        </row>
        <row r="1454">
          <cell r="A1454">
            <v>1462</v>
          </cell>
        </row>
        <row r="1455">
          <cell r="A1455">
            <v>1463</v>
          </cell>
        </row>
        <row r="1456">
          <cell r="A1456">
            <v>1464</v>
          </cell>
        </row>
        <row r="1457">
          <cell r="A1457">
            <v>1465</v>
          </cell>
        </row>
        <row r="1458">
          <cell r="A1458">
            <v>1466</v>
          </cell>
        </row>
        <row r="1459">
          <cell r="A1459">
            <v>1467</v>
          </cell>
        </row>
        <row r="1460">
          <cell r="A1460">
            <v>1468</v>
          </cell>
        </row>
        <row r="1461">
          <cell r="A1461">
            <v>1469</v>
          </cell>
        </row>
        <row r="1462">
          <cell r="A1462">
            <v>1470</v>
          </cell>
        </row>
        <row r="1463">
          <cell r="A1463">
            <v>1471</v>
          </cell>
        </row>
        <row r="1464">
          <cell r="A1464">
            <v>1488</v>
          </cell>
        </row>
        <row r="1465">
          <cell r="A1465">
            <v>1489</v>
          </cell>
        </row>
        <row r="1466">
          <cell r="A1466">
            <v>1490</v>
          </cell>
        </row>
        <row r="1467">
          <cell r="A1467">
            <v>1491</v>
          </cell>
        </row>
        <row r="1468">
          <cell r="A1468">
            <v>1495</v>
          </cell>
        </row>
        <row r="1469">
          <cell r="A1469">
            <v>1496</v>
          </cell>
        </row>
        <row r="1470">
          <cell r="A1470">
            <v>1497</v>
          </cell>
        </row>
        <row r="1471">
          <cell r="A1471">
            <v>1498</v>
          </cell>
        </row>
        <row r="1472">
          <cell r="A1472">
            <v>1499</v>
          </cell>
        </row>
        <row r="1473">
          <cell r="A1473">
            <v>1500</v>
          </cell>
        </row>
        <row r="1474">
          <cell r="A1474">
            <v>1501</v>
          </cell>
        </row>
        <row r="1475">
          <cell r="A1475">
            <v>1502</v>
          </cell>
        </row>
        <row r="1476">
          <cell r="A1476">
            <v>1503</v>
          </cell>
        </row>
        <row r="1477">
          <cell r="A1477">
            <v>1504</v>
          </cell>
        </row>
        <row r="1478">
          <cell r="A1478">
            <v>1505</v>
          </cell>
        </row>
        <row r="1479">
          <cell r="A1479">
            <v>1506</v>
          </cell>
        </row>
        <row r="1480">
          <cell r="A1480">
            <v>1507</v>
          </cell>
        </row>
        <row r="1481">
          <cell r="A1481">
            <v>1508</v>
          </cell>
        </row>
        <row r="1482">
          <cell r="A1482">
            <v>1509</v>
          </cell>
        </row>
        <row r="1483">
          <cell r="A1483">
            <v>1510</v>
          </cell>
        </row>
        <row r="1484">
          <cell r="A1484">
            <v>1511</v>
          </cell>
        </row>
        <row r="1485">
          <cell r="A1485">
            <v>1512</v>
          </cell>
        </row>
        <row r="1486">
          <cell r="A1486">
            <v>1513</v>
          </cell>
        </row>
        <row r="1487">
          <cell r="A1487">
            <v>1514</v>
          </cell>
        </row>
        <row r="1488">
          <cell r="A1488">
            <v>1515</v>
          </cell>
        </row>
        <row r="1489">
          <cell r="A1489">
            <v>1516</v>
          </cell>
        </row>
        <row r="1490">
          <cell r="A1490">
            <v>1517</v>
          </cell>
        </row>
        <row r="1491">
          <cell r="A1491">
            <v>1518</v>
          </cell>
        </row>
        <row r="1492">
          <cell r="A1492">
            <v>1519</v>
          </cell>
        </row>
        <row r="1493">
          <cell r="A1493">
            <v>1520</v>
          </cell>
        </row>
        <row r="1494">
          <cell r="A1494">
            <v>1521</v>
          </cell>
        </row>
        <row r="1495">
          <cell r="A1495">
            <v>1522</v>
          </cell>
        </row>
        <row r="1496">
          <cell r="A1496">
            <v>1523</v>
          </cell>
        </row>
        <row r="1497">
          <cell r="A1497">
            <v>1524</v>
          </cell>
        </row>
        <row r="1498">
          <cell r="A1498">
            <v>1525</v>
          </cell>
        </row>
        <row r="1499">
          <cell r="A1499">
            <v>1526</v>
          </cell>
        </row>
        <row r="1500">
          <cell r="A1500">
            <v>1527</v>
          </cell>
        </row>
        <row r="1501">
          <cell r="A1501">
            <v>1528</v>
          </cell>
        </row>
        <row r="1502">
          <cell r="A1502">
            <v>1529</v>
          </cell>
        </row>
        <row r="1503">
          <cell r="A1503">
            <v>1530</v>
          </cell>
        </row>
        <row r="1504">
          <cell r="A1504">
            <v>1531</v>
          </cell>
        </row>
        <row r="1505">
          <cell r="A1505">
            <v>1532</v>
          </cell>
        </row>
        <row r="1506">
          <cell r="A1506">
            <v>1533</v>
          </cell>
        </row>
        <row r="1507">
          <cell r="A1507">
            <v>1534</v>
          </cell>
        </row>
        <row r="1508">
          <cell r="A1508">
            <v>1535</v>
          </cell>
        </row>
        <row r="1509">
          <cell r="A1509">
            <v>1536</v>
          </cell>
        </row>
        <row r="1510">
          <cell r="A1510">
            <v>1537</v>
          </cell>
        </row>
        <row r="1511">
          <cell r="A1511">
            <v>1538</v>
          </cell>
        </row>
        <row r="1512">
          <cell r="A1512">
            <v>1539</v>
          </cell>
        </row>
        <row r="1513">
          <cell r="A1513">
            <v>1540</v>
          </cell>
        </row>
        <row r="1514">
          <cell r="A1514">
            <v>1541</v>
          </cell>
        </row>
        <row r="1515">
          <cell r="A1515">
            <v>1542</v>
          </cell>
        </row>
        <row r="1516">
          <cell r="A1516">
            <v>1543</v>
          </cell>
        </row>
        <row r="1517">
          <cell r="A1517">
            <v>1544</v>
          </cell>
        </row>
        <row r="1518">
          <cell r="A1518">
            <v>1545</v>
          </cell>
        </row>
        <row r="1519">
          <cell r="A1519">
            <v>1546</v>
          </cell>
        </row>
        <row r="1520">
          <cell r="A1520">
            <v>1547</v>
          </cell>
        </row>
        <row r="1521">
          <cell r="A1521">
            <v>1548</v>
          </cell>
        </row>
        <row r="1522">
          <cell r="A1522">
            <v>1549</v>
          </cell>
        </row>
        <row r="1523">
          <cell r="A1523">
            <v>1550</v>
          </cell>
        </row>
        <row r="1524">
          <cell r="A1524">
            <v>1551</v>
          </cell>
        </row>
        <row r="1525">
          <cell r="A1525">
            <v>1552</v>
          </cell>
        </row>
        <row r="1526">
          <cell r="A1526">
            <v>1553</v>
          </cell>
        </row>
        <row r="1527">
          <cell r="A1527">
            <v>1554</v>
          </cell>
        </row>
        <row r="1528">
          <cell r="A1528">
            <v>1555</v>
          </cell>
        </row>
        <row r="1529">
          <cell r="A1529">
            <v>1556</v>
          </cell>
        </row>
        <row r="1530">
          <cell r="A1530">
            <v>1557</v>
          </cell>
        </row>
        <row r="1531">
          <cell r="A1531">
            <v>1558</v>
          </cell>
        </row>
        <row r="1532">
          <cell r="A1532">
            <v>1559</v>
          </cell>
        </row>
        <row r="1533">
          <cell r="A1533">
            <v>1560</v>
          </cell>
        </row>
        <row r="1534">
          <cell r="A1534">
            <v>1561</v>
          </cell>
        </row>
        <row r="1535">
          <cell r="A1535">
            <v>1562</v>
          </cell>
        </row>
        <row r="1536">
          <cell r="A1536">
            <v>1563</v>
          </cell>
        </row>
        <row r="1537">
          <cell r="A1537">
            <v>1564</v>
          </cell>
        </row>
        <row r="1538">
          <cell r="A1538">
            <v>1565</v>
          </cell>
        </row>
        <row r="1539">
          <cell r="A1539">
            <v>1566</v>
          </cell>
        </row>
        <row r="1540">
          <cell r="A1540">
            <v>1567</v>
          </cell>
        </row>
        <row r="1541">
          <cell r="A1541">
            <v>1568</v>
          </cell>
        </row>
        <row r="1542">
          <cell r="A1542">
            <v>1569</v>
          </cell>
        </row>
        <row r="1543">
          <cell r="A1543">
            <v>1570</v>
          </cell>
        </row>
        <row r="1544">
          <cell r="A1544">
            <v>1571</v>
          </cell>
        </row>
        <row r="1545">
          <cell r="A1545">
            <v>1572</v>
          </cell>
        </row>
        <row r="1546">
          <cell r="A1546">
            <v>1573</v>
          </cell>
        </row>
        <row r="1547">
          <cell r="A1547">
            <v>1574</v>
          </cell>
        </row>
        <row r="1548">
          <cell r="A1548">
            <v>1575</v>
          </cell>
        </row>
        <row r="1549">
          <cell r="A1549">
            <v>1576</v>
          </cell>
        </row>
        <row r="1550">
          <cell r="A1550">
            <v>1577</v>
          </cell>
        </row>
        <row r="1551">
          <cell r="A1551">
            <v>1578</v>
          </cell>
        </row>
        <row r="1552">
          <cell r="A1552">
            <v>1579</v>
          </cell>
        </row>
        <row r="1553">
          <cell r="A1553">
            <v>1580</v>
          </cell>
        </row>
        <row r="1554">
          <cell r="A1554">
            <v>1581</v>
          </cell>
        </row>
        <row r="1555">
          <cell r="A1555">
            <v>1582</v>
          </cell>
        </row>
        <row r="1556">
          <cell r="A1556">
            <v>1583</v>
          </cell>
        </row>
        <row r="1557">
          <cell r="A1557">
            <v>1584</v>
          </cell>
        </row>
        <row r="1558">
          <cell r="A1558">
            <v>1585</v>
          </cell>
        </row>
        <row r="1559">
          <cell r="A1559">
            <v>1586</v>
          </cell>
        </row>
        <row r="1560">
          <cell r="A1560">
            <v>1587</v>
          </cell>
        </row>
        <row r="1561">
          <cell r="A1561">
            <v>1588</v>
          </cell>
        </row>
        <row r="1562">
          <cell r="A1562">
            <v>1603</v>
          </cell>
        </row>
        <row r="1563">
          <cell r="A1563">
            <v>1604</v>
          </cell>
        </row>
        <row r="1564">
          <cell r="A1564">
            <v>1613</v>
          </cell>
        </row>
        <row r="1565">
          <cell r="A1565">
            <v>1614</v>
          </cell>
        </row>
        <row r="1566">
          <cell r="A1566">
            <v>1615</v>
          </cell>
        </row>
        <row r="1567">
          <cell r="A1567">
            <v>1616</v>
          </cell>
        </row>
        <row r="1568">
          <cell r="A1568">
            <v>1617</v>
          </cell>
        </row>
        <row r="1569">
          <cell r="A1569">
            <v>1618</v>
          </cell>
        </row>
        <row r="1570">
          <cell r="A1570">
            <v>1619</v>
          </cell>
        </row>
        <row r="1571">
          <cell r="A1571">
            <v>1620</v>
          </cell>
        </row>
        <row r="1572">
          <cell r="A1572">
            <v>1621</v>
          </cell>
        </row>
        <row r="1573">
          <cell r="A1573">
            <v>1622</v>
          </cell>
        </row>
        <row r="1574">
          <cell r="A1574">
            <v>1623</v>
          </cell>
        </row>
        <row r="1575">
          <cell r="A1575">
            <v>1624</v>
          </cell>
        </row>
        <row r="1576">
          <cell r="A1576">
            <v>1687</v>
          </cell>
        </row>
        <row r="1577">
          <cell r="A1577">
            <v>1688</v>
          </cell>
        </row>
        <row r="1578">
          <cell r="A1578">
            <v>1689</v>
          </cell>
        </row>
        <row r="1579">
          <cell r="A1579">
            <v>1690</v>
          </cell>
        </row>
        <row r="1580">
          <cell r="A1580">
            <v>1691</v>
          </cell>
        </row>
        <row r="1581">
          <cell r="A1581">
            <v>1692</v>
          </cell>
        </row>
        <row r="1582">
          <cell r="A1582">
            <v>1693</v>
          </cell>
        </row>
        <row r="1583">
          <cell r="A1583">
            <v>1694</v>
          </cell>
        </row>
        <row r="1584">
          <cell r="A1584">
            <v>1695</v>
          </cell>
        </row>
        <row r="1585">
          <cell r="A1585">
            <v>1696</v>
          </cell>
        </row>
        <row r="1586">
          <cell r="A1586">
            <v>1697</v>
          </cell>
        </row>
        <row r="1587">
          <cell r="A1587">
            <v>1698</v>
          </cell>
        </row>
        <row r="1588">
          <cell r="A1588">
            <v>1699</v>
          </cell>
        </row>
        <row r="1589">
          <cell r="A1589">
            <v>1700</v>
          </cell>
        </row>
        <row r="1590">
          <cell r="A1590">
            <v>1701</v>
          </cell>
        </row>
        <row r="1591">
          <cell r="A1591">
            <v>1702</v>
          </cell>
        </row>
        <row r="1592">
          <cell r="A1592">
            <v>1703</v>
          </cell>
        </row>
        <row r="1593">
          <cell r="A1593">
            <v>1704</v>
          </cell>
        </row>
        <row r="1594">
          <cell r="A1594">
            <v>1705</v>
          </cell>
        </row>
        <row r="1595">
          <cell r="A1595">
            <v>1706</v>
          </cell>
        </row>
        <row r="1596">
          <cell r="A1596">
            <v>1707</v>
          </cell>
        </row>
        <row r="1597">
          <cell r="A1597">
            <v>1708</v>
          </cell>
        </row>
        <row r="1598">
          <cell r="A1598">
            <v>1709</v>
          </cell>
        </row>
        <row r="1599">
          <cell r="A1599">
            <v>1710</v>
          </cell>
        </row>
        <row r="1600">
          <cell r="A1600">
            <v>1711</v>
          </cell>
        </row>
        <row r="1601">
          <cell r="A1601">
            <v>1712</v>
          </cell>
        </row>
        <row r="1602">
          <cell r="A1602">
            <v>1713</v>
          </cell>
        </row>
        <row r="1603">
          <cell r="A1603">
            <v>1714</v>
          </cell>
        </row>
        <row r="1604">
          <cell r="A1604">
            <v>1715</v>
          </cell>
        </row>
        <row r="1605">
          <cell r="A1605">
            <v>1716</v>
          </cell>
        </row>
        <row r="1606">
          <cell r="A1606">
            <v>1717</v>
          </cell>
        </row>
        <row r="1607">
          <cell r="A1607">
            <v>1718</v>
          </cell>
        </row>
        <row r="1608">
          <cell r="A1608">
            <v>1719</v>
          </cell>
        </row>
        <row r="1609">
          <cell r="A1609">
            <v>5001</v>
          </cell>
        </row>
        <row r="1610">
          <cell r="A1610">
            <v>5002</v>
          </cell>
        </row>
        <row r="1611">
          <cell r="A1611">
            <v>5003</v>
          </cell>
        </row>
        <row r="1612">
          <cell r="A1612">
            <v>5004</v>
          </cell>
        </row>
        <row r="1613">
          <cell r="A1613">
            <v>5005</v>
          </cell>
        </row>
        <row r="1614">
          <cell r="A1614">
            <v>5006</v>
          </cell>
        </row>
        <row r="1615">
          <cell r="A1615">
            <v>5007</v>
          </cell>
        </row>
        <row r="1616">
          <cell r="A1616">
            <v>5008</v>
          </cell>
        </row>
        <row r="1617">
          <cell r="A1617">
            <v>5009</v>
          </cell>
        </row>
        <row r="1618">
          <cell r="A1618">
            <v>5010</v>
          </cell>
        </row>
        <row r="1619">
          <cell r="A1619">
            <v>5011</v>
          </cell>
        </row>
        <row r="1620">
          <cell r="A1620">
            <v>5012</v>
          </cell>
        </row>
        <row r="1621">
          <cell r="A1621">
            <v>6001</v>
          </cell>
        </row>
        <row r="1622">
          <cell r="A1622">
            <v>6002</v>
          </cell>
        </row>
        <row r="1623">
          <cell r="A1623">
            <v>6003</v>
          </cell>
        </row>
        <row r="1624">
          <cell r="A1624">
            <v>6004</v>
          </cell>
        </row>
        <row r="1625">
          <cell r="A1625">
            <v>6005</v>
          </cell>
        </row>
        <row r="1626">
          <cell r="A1626">
            <v>6006</v>
          </cell>
        </row>
        <row r="1627">
          <cell r="A1627">
            <v>6007</v>
          </cell>
        </row>
        <row r="1628">
          <cell r="A1628">
            <v>6008</v>
          </cell>
        </row>
        <row r="1629">
          <cell r="A1629">
            <v>6009</v>
          </cell>
        </row>
        <row r="1630">
          <cell r="A1630">
            <v>6010</v>
          </cell>
        </row>
        <row r="1631">
          <cell r="A1631">
            <v>6011</v>
          </cell>
        </row>
        <row r="1632">
          <cell r="A1632">
            <v>6012</v>
          </cell>
        </row>
        <row r="1633">
          <cell r="A1633">
            <v>6013</v>
          </cell>
        </row>
        <row r="1634">
          <cell r="A1634">
            <v>6014</v>
          </cell>
        </row>
        <row r="1635">
          <cell r="A1635">
            <v>6015</v>
          </cell>
        </row>
        <row r="1636">
          <cell r="A1636">
            <v>6016</v>
          </cell>
        </row>
        <row r="1637">
          <cell r="A1637">
            <v>6017</v>
          </cell>
        </row>
        <row r="1638">
          <cell r="A1638">
            <v>6018</v>
          </cell>
        </row>
        <row r="1639">
          <cell r="A1639">
            <v>6019</v>
          </cell>
        </row>
        <row r="1640">
          <cell r="A1640">
            <v>6020</v>
          </cell>
        </row>
        <row r="1641">
          <cell r="A1641">
            <v>8001</v>
          </cell>
        </row>
        <row r="1642">
          <cell r="A1642">
            <v>8002</v>
          </cell>
        </row>
        <row r="1643">
          <cell r="A1643">
            <v>8003</v>
          </cell>
        </row>
        <row r="1644">
          <cell r="A1644">
            <v>8004</v>
          </cell>
        </row>
        <row r="1645">
          <cell r="A1645">
            <v>8005</v>
          </cell>
        </row>
        <row r="1646">
          <cell r="A1646">
            <v>8006</v>
          </cell>
        </row>
        <row r="1647">
          <cell r="A1647">
            <v>8007</v>
          </cell>
        </row>
        <row r="1648">
          <cell r="A1648">
            <v>8008</v>
          </cell>
        </row>
        <row r="1649">
          <cell r="A1649">
            <v>8009</v>
          </cell>
        </row>
        <row r="1650">
          <cell r="A1650">
            <v>8010</v>
          </cell>
        </row>
        <row r="1651">
          <cell r="A1651">
            <v>8011</v>
          </cell>
        </row>
        <row r="1652">
          <cell r="A1652">
            <v>8012</v>
          </cell>
        </row>
        <row r="1653">
          <cell r="A1653">
            <v>8013</v>
          </cell>
        </row>
        <row r="1654">
          <cell r="A1654">
            <v>8014</v>
          </cell>
        </row>
        <row r="1655">
          <cell r="A1655">
            <v>8015</v>
          </cell>
        </row>
        <row r="1656">
          <cell r="A1656">
            <v>8016</v>
          </cell>
        </row>
        <row r="1657">
          <cell r="A1657">
            <v>8017</v>
          </cell>
        </row>
        <row r="1658">
          <cell r="A1658">
            <v>8018</v>
          </cell>
        </row>
        <row r="1659">
          <cell r="A1659">
            <v>8019</v>
          </cell>
        </row>
        <row r="1660">
          <cell r="A1660">
            <v>8020</v>
          </cell>
        </row>
        <row r="1661">
          <cell r="A1661">
            <v>8021</v>
          </cell>
        </row>
        <row r="1662">
          <cell r="A1662">
            <v>8022</v>
          </cell>
        </row>
        <row r="1663">
          <cell r="A1663">
            <v>8023</v>
          </cell>
        </row>
        <row r="1664">
          <cell r="A1664">
            <v>8024</v>
          </cell>
        </row>
        <row r="1665">
          <cell r="A1665">
            <v>8025</v>
          </cell>
        </row>
        <row r="1666">
          <cell r="A1666">
            <v>8026</v>
          </cell>
        </row>
        <row r="1667">
          <cell r="A1667">
            <v>8027</v>
          </cell>
        </row>
        <row r="1668">
          <cell r="A1668">
            <v>8028</v>
          </cell>
        </row>
        <row r="1669">
          <cell r="A1669">
            <v>8029</v>
          </cell>
        </row>
        <row r="1670">
          <cell r="A1670">
            <v>8030</v>
          </cell>
        </row>
        <row r="1671">
          <cell r="A1671">
            <v>8031</v>
          </cell>
        </row>
        <row r="1672">
          <cell r="A1672">
            <v>8032</v>
          </cell>
        </row>
        <row r="1673">
          <cell r="A1673">
            <v>8033</v>
          </cell>
        </row>
        <row r="1674">
          <cell r="A1674">
            <v>8034</v>
          </cell>
        </row>
        <row r="1675">
          <cell r="A1675">
            <v>8035</v>
          </cell>
        </row>
        <row r="1676">
          <cell r="A1676">
            <v>8036</v>
          </cell>
        </row>
        <row r="1677">
          <cell r="A1677">
            <v>8037</v>
          </cell>
        </row>
        <row r="1678">
          <cell r="A1678">
            <v>8038</v>
          </cell>
        </row>
        <row r="1679">
          <cell r="A1679">
            <v>8039</v>
          </cell>
        </row>
        <row r="1680">
          <cell r="A1680">
            <v>8040</v>
          </cell>
        </row>
        <row r="1681">
          <cell r="A1681">
            <v>8041</v>
          </cell>
        </row>
        <row r="1682">
          <cell r="A1682">
            <v>8042</v>
          </cell>
        </row>
        <row r="1683">
          <cell r="A1683">
            <v>8043</v>
          </cell>
        </row>
        <row r="1684">
          <cell r="A1684">
            <v>8044</v>
          </cell>
        </row>
        <row r="1685">
          <cell r="A1685">
            <v>8045</v>
          </cell>
        </row>
        <row r="1686">
          <cell r="A1686">
            <v>8046</v>
          </cell>
        </row>
        <row r="1687">
          <cell r="A1687">
            <v>8047</v>
          </cell>
        </row>
        <row r="1688">
          <cell r="A1688">
            <v>8048</v>
          </cell>
        </row>
        <row r="1689">
          <cell r="A1689">
            <v>8049</v>
          </cell>
        </row>
        <row r="1690">
          <cell r="A1690">
            <v>8050</v>
          </cell>
        </row>
        <row r="1691">
          <cell r="A1691">
            <v>8051</v>
          </cell>
        </row>
        <row r="1692">
          <cell r="A1692">
            <v>8052</v>
          </cell>
        </row>
        <row r="1693">
          <cell r="A1693">
            <v>8053</v>
          </cell>
        </row>
        <row r="1694">
          <cell r="A1694">
            <v>8054</v>
          </cell>
        </row>
        <row r="1695">
          <cell r="A1695">
            <v>8055</v>
          </cell>
        </row>
        <row r="1696">
          <cell r="A1696">
            <v>8056</v>
          </cell>
        </row>
        <row r="1697">
          <cell r="A1697">
            <v>8057</v>
          </cell>
        </row>
        <row r="1698">
          <cell r="A1698">
            <v>8058</v>
          </cell>
        </row>
        <row r="1699">
          <cell r="A1699">
            <v>8059</v>
          </cell>
        </row>
        <row r="1700">
          <cell r="A1700">
            <v>8060</v>
          </cell>
        </row>
        <row r="1701">
          <cell r="A1701">
            <v>8061</v>
          </cell>
        </row>
        <row r="1702">
          <cell r="A1702">
            <v>8062</v>
          </cell>
        </row>
        <row r="1703">
          <cell r="A1703">
            <v>8063</v>
          </cell>
        </row>
        <row r="1704">
          <cell r="A1704">
            <v>8064</v>
          </cell>
        </row>
        <row r="1705">
          <cell r="A1705">
            <v>8065</v>
          </cell>
        </row>
        <row r="1706">
          <cell r="A1706">
            <v>8066</v>
          </cell>
        </row>
        <row r="1707">
          <cell r="A1707">
            <v>8067</v>
          </cell>
        </row>
        <row r="1708">
          <cell r="A1708">
            <v>8068</v>
          </cell>
        </row>
        <row r="1709">
          <cell r="A1709">
            <v>8069</v>
          </cell>
        </row>
        <row r="1710">
          <cell r="A1710">
            <v>8070</v>
          </cell>
        </row>
        <row r="1711">
          <cell r="A1711">
            <v>8071</v>
          </cell>
        </row>
        <row r="1712">
          <cell r="A1712">
            <v>8072</v>
          </cell>
        </row>
        <row r="1713">
          <cell r="A1713">
            <v>8073</v>
          </cell>
        </row>
        <row r="1714">
          <cell r="A1714">
            <v>8074</v>
          </cell>
        </row>
        <row r="1715">
          <cell r="A1715">
            <v>8075</v>
          </cell>
        </row>
        <row r="1716">
          <cell r="A1716">
            <v>8076</v>
          </cell>
        </row>
        <row r="1717">
          <cell r="A1717">
            <v>8077</v>
          </cell>
        </row>
        <row r="1718">
          <cell r="A1718">
            <v>8078</v>
          </cell>
        </row>
        <row r="1719">
          <cell r="A1719">
            <v>8079</v>
          </cell>
        </row>
        <row r="1720">
          <cell r="A1720">
            <v>8080</v>
          </cell>
        </row>
        <row r="1721">
          <cell r="A1721">
            <v>8081</v>
          </cell>
        </row>
        <row r="1722">
          <cell r="A1722">
            <v>8082</v>
          </cell>
        </row>
        <row r="1723">
          <cell r="A1723">
            <v>8083</v>
          </cell>
        </row>
        <row r="1724">
          <cell r="A1724">
            <v>8084</v>
          </cell>
        </row>
        <row r="1725">
          <cell r="A1725">
            <v>8085</v>
          </cell>
        </row>
        <row r="1726">
          <cell r="A1726">
            <v>8086</v>
          </cell>
        </row>
        <row r="1727">
          <cell r="A1727">
            <v>8087</v>
          </cell>
        </row>
        <row r="1728">
          <cell r="A1728">
            <v>8088</v>
          </cell>
        </row>
        <row r="1729">
          <cell r="A1729">
            <v>8089</v>
          </cell>
        </row>
        <row r="1730">
          <cell r="A1730">
            <v>8090</v>
          </cell>
        </row>
        <row r="1731">
          <cell r="A1731">
            <v>8095</v>
          </cell>
        </row>
        <row r="1732">
          <cell r="A1732">
            <v>8096</v>
          </cell>
        </row>
        <row r="1733">
          <cell r="A1733">
            <v>8097</v>
          </cell>
        </row>
        <row r="1734">
          <cell r="A1734">
            <v>8098</v>
          </cell>
        </row>
        <row r="1735">
          <cell r="A1735">
            <v>8099</v>
          </cell>
        </row>
        <row r="1736">
          <cell r="A1736">
            <v>8100</v>
          </cell>
        </row>
        <row r="1737">
          <cell r="A1737">
            <v>8101</v>
          </cell>
        </row>
        <row r="1738">
          <cell r="A1738">
            <v>8102</v>
          </cell>
        </row>
        <row r="1739">
          <cell r="A1739">
            <v>8103</v>
          </cell>
        </row>
        <row r="1740">
          <cell r="A1740">
            <v>8104</v>
          </cell>
        </row>
        <row r="1741">
          <cell r="A1741">
            <v>8105</v>
          </cell>
        </row>
        <row r="1742">
          <cell r="A1742">
            <v>8106</v>
          </cell>
        </row>
        <row r="1743">
          <cell r="A1743">
            <v>8111</v>
          </cell>
        </row>
        <row r="1744">
          <cell r="A1744">
            <v>8112</v>
          </cell>
        </row>
        <row r="1745">
          <cell r="A1745">
            <v>8113</v>
          </cell>
        </row>
        <row r="1746">
          <cell r="A1746">
            <v>8114</v>
          </cell>
        </row>
        <row r="1747">
          <cell r="A1747">
            <v>8115</v>
          </cell>
        </row>
        <row r="1748">
          <cell r="A1748">
            <v>8116</v>
          </cell>
        </row>
        <row r="1749">
          <cell r="A1749">
            <v>8117</v>
          </cell>
        </row>
        <row r="1750">
          <cell r="A1750">
            <v>8118</v>
          </cell>
        </row>
        <row r="1751">
          <cell r="A1751">
            <v>8119</v>
          </cell>
        </row>
        <row r="1752">
          <cell r="A1752">
            <v>8120</v>
          </cell>
        </row>
        <row r="1753">
          <cell r="A1753">
            <v>8121</v>
          </cell>
        </row>
        <row r="1754">
          <cell r="A1754">
            <v>8122</v>
          </cell>
        </row>
        <row r="1755">
          <cell r="A1755">
            <v>8123</v>
          </cell>
        </row>
        <row r="1756">
          <cell r="A1756">
            <v>8124</v>
          </cell>
        </row>
        <row r="1757">
          <cell r="A1757">
            <v>8125</v>
          </cell>
        </row>
        <row r="1758">
          <cell r="A1758">
            <v>8126</v>
          </cell>
        </row>
        <row r="1759">
          <cell r="A1759">
            <v>8127</v>
          </cell>
        </row>
        <row r="1760">
          <cell r="A1760">
            <v>8128</v>
          </cell>
        </row>
        <row r="1761">
          <cell r="A1761">
            <v>8129</v>
          </cell>
        </row>
        <row r="1762">
          <cell r="A1762">
            <v>8130</v>
          </cell>
        </row>
        <row r="1763">
          <cell r="A1763">
            <v>8131</v>
          </cell>
        </row>
        <row r="1764">
          <cell r="A1764">
            <v>8132</v>
          </cell>
        </row>
        <row r="1765">
          <cell r="A1765">
            <v>8133</v>
          </cell>
        </row>
        <row r="1766">
          <cell r="A1766">
            <v>8134</v>
          </cell>
        </row>
        <row r="1767">
          <cell r="A1767">
            <v>8135</v>
          </cell>
        </row>
        <row r="1768">
          <cell r="A1768">
            <v>8136</v>
          </cell>
        </row>
        <row r="1769">
          <cell r="A1769">
            <v>8137</v>
          </cell>
        </row>
        <row r="1770">
          <cell r="A1770">
            <v>8138</v>
          </cell>
        </row>
        <row r="1771">
          <cell r="A1771">
            <v>9001</v>
          </cell>
        </row>
        <row r="1772">
          <cell r="A1772">
            <v>9002</v>
          </cell>
        </row>
        <row r="1773">
          <cell r="A1773">
            <v>9003</v>
          </cell>
        </row>
        <row r="1774">
          <cell r="A1774">
            <v>9004</v>
          </cell>
        </row>
        <row r="1775">
          <cell r="A1775">
            <v>9005</v>
          </cell>
        </row>
        <row r="1776">
          <cell r="A1776">
            <v>9006</v>
          </cell>
        </row>
        <row r="1777">
          <cell r="A1777">
            <v>9007</v>
          </cell>
        </row>
        <row r="1778">
          <cell r="A1778">
            <v>9008</v>
          </cell>
        </row>
        <row r="1779">
          <cell r="A1779">
            <v>9009</v>
          </cell>
        </row>
        <row r="1780">
          <cell r="A1780">
            <v>9010</v>
          </cell>
        </row>
        <row r="1781">
          <cell r="A1781">
            <v>9011</v>
          </cell>
        </row>
        <row r="1782">
          <cell r="A1782">
            <v>9012</v>
          </cell>
        </row>
        <row r="1783">
          <cell r="A1783">
            <v>10001</v>
          </cell>
        </row>
        <row r="1784">
          <cell r="A1784">
            <v>10002</v>
          </cell>
        </row>
        <row r="1785">
          <cell r="A1785">
            <v>10003</v>
          </cell>
        </row>
        <row r="1786">
          <cell r="A1786">
            <v>10004</v>
          </cell>
        </row>
        <row r="1787">
          <cell r="A1787">
            <v>10005</v>
          </cell>
        </row>
        <row r="1788">
          <cell r="A1788">
            <v>10006</v>
          </cell>
        </row>
        <row r="1789">
          <cell r="A1789">
            <v>10007</v>
          </cell>
        </row>
        <row r="1790">
          <cell r="A1790">
            <v>10008</v>
          </cell>
        </row>
        <row r="1791">
          <cell r="A1791">
            <v>10009</v>
          </cell>
        </row>
        <row r="1792">
          <cell r="A1792">
            <v>10010</v>
          </cell>
        </row>
        <row r="1793">
          <cell r="A1793">
            <v>10011</v>
          </cell>
        </row>
        <row r="1794">
          <cell r="A1794">
            <v>10012</v>
          </cell>
        </row>
        <row r="1795">
          <cell r="A1795">
            <v>10013</v>
          </cell>
        </row>
        <row r="1796">
          <cell r="A1796">
            <v>10014</v>
          </cell>
        </row>
        <row r="1797">
          <cell r="A1797">
            <v>10015</v>
          </cell>
        </row>
        <row r="1798">
          <cell r="A1798">
            <v>10016</v>
          </cell>
        </row>
        <row r="1799">
          <cell r="A1799">
            <v>10017</v>
          </cell>
        </row>
        <row r="1800">
          <cell r="A1800">
            <v>10018</v>
          </cell>
        </row>
        <row r="1801">
          <cell r="A1801">
            <v>10019</v>
          </cell>
        </row>
        <row r="1802">
          <cell r="A1802">
            <v>10020</v>
          </cell>
        </row>
        <row r="1803">
          <cell r="A1803">
            <v>10021</v>
          </cell>
        </row>
        <row r="1804">
          <cell r="A1804">
            <v>10022</v>
          </cell>
        </row>
        <row r="1805">
          <cell r="A1805">
            <v>10023</v>
          </cell>
        </row>
        <row r="1806">
          <cell r="A1806">
            <v>10024</v>
          </cell>
        </row>
        <row r="1807">
          <cell r="A1807">
            <v>10025</v>
          </cell>
        </row>
        <row r="1808">
          <cell r="A1808">
            <v>10026</v>
          </cell>
        </row>
        <row r="1809">
          <cell r="A1809">
            <v>10027</v>
          </cell>
        </row>
        <row r="1810">
          <cell r="A1810">
            <v>10028</v>
          </cell>
        </row>
        <row r="1811">
          <cell r="A1811">
            <v>10029</v>
          </cell>
        </row>
        <row r="1812">
          <cell r="A1812">
            <v>10030</v>
          </cell>
        </row>
        <row r="1813">
          <cell r="A1813">
            <v>10031</v>
          </cell>
        </row>
        <row r="1814">
          <cell r="A1814">
            <v>10032</v>
          </cell>
        </row>
        <row r="1815">
          <cell r="A1815">
            <v>10033</v>
          </cell>
        </row>
        <row r="1816">
          <cell r="A1816">
            <v>10034</v>
          </cell>
        </row>
        <row r="1817">
          <cell r="A1817">
            <v>10035</v>
          </cell>
        </row>
        <row r="1818">
          <cell r="A1818">
            <v>10036</v>
          </cell>
        </row>
        <row r="1819">
          <cell r="A1819">
            <v>10037</v>
          </cell>
        </row>
        <row r="1820">
          <cell r="A1820">
            <v>10038</v>
          </cell>
        </row>
        <row r="1821">
          <cell r="A1821">
            <v>10039</v>
          </cell>
        </row>
        <row r="1822">
          <cell r="A1822">
            <v>10040</v>
          </cell>
        </row>
        <row r="1823">
          <cell r="A1823">
            <v>10041</v>
          </cell>
        </row>
        <row r="1824">
          <cell r="A1824">
            <v>10042</v>
          </cell>
        </row>
        <row r="1825">
          <cell r="A1825">
            <v>10043</v>
          </cell>
        </row>
        <row r="1826">
          <cell r="A1826">
            <v>10044</v>
          </cell>
        </row>
        <row r="1827">
          <cell r="A1827">
            <v>10045</v>
          </cell>
        </row>
        <row r="1828">
          <cell r="A1828">
            <v>10046</v>
          </cell>
        </row>
        <row r="1829">
          <cell r="A1829">
            <v>10047</v>
          </cell>
        </row>
        <row r="1830">
          <cell r="A1830">
            <v>10048</v>
          </cell>
        </row>
        <row r="1831">
          <cell r="A1831">
            <v>10049</v>
          </cell>
        </row>
        <row r="1832">
          <cell r="A1832">
            <v>10050</v>
          </cell>
        </row>
        <row r="1833">
          <cell r="A1833">
            <v>10051</v>
          </cell>
        </row>
        <row r="1834">
          <cell r="A1834">
            <v>10052</v>
          </cell>
        </row>
        <row r="1835">
          <cell r="A1835">
            <v>10053</v>
          </cell>
        </row>
        <row r="1836">
          <cell r="A1836">
            <v>10054</v>
          </cell>
        </row>
        <row r="1837">
          <cell r="A1837">
            <v>10055</v>
          </cell>
        </row>
        <row r="1838">
          <cell r="A1838">
            <v>10056</v>
          </cell>
        </row>
        <row r="1839">
          <cell r="A1839">
            <v>10057</v>
          </cell>
        </row>
        <row r="1840">
          <cell r="A1840">
            <v>10058</v>
          </cell>
        </row>
        <row r="1841">
          <cell r="A1841">
            <v>10059</v>
          </cell>
        </row>
        <row r="1842">
          <cell r="A1842">
            <v>10060</v>
          </cell>
        </row>
        <row r="1843">
          <cell r="A1843">
            <v>10061</v>
          </cell>
        </row>
        <row r="1844">
          <cell r="A1844">
            <v>10062</v>
          </cell>
        </row>
        <row r="1845">
          <cell r="A1845">
            <v>10063</v>
          </cell>
        </row>
        <row r="1846">
          <cell r="A1846">
            <v>10064</v>
          </cell>
        </row>
        <row r="1847">
          <cell r="A1847">
            <v>10065</v>
          </cell>
        </row>
        <row r="1848">
          <cell r="A1848">
            <v>10066</v>
          </cell>
        </row>
        <row r="1849">
          <cell r="A1849">
            <v>10067</v>
          </cell>
        </row>
        <row r="1850">
          <cell r="A1850">
            <v>10068</v>
          </cell>
        </row>
        <row r="1851">
          <cell r="A1851">
            <v>10069</v>
          </cell>
        </row>
        <row r="1852">
          <cell r="A1852">
            <v>10070</v>
          </cell>
        </row>
        <row r="1853">
          <cell r="A1853">
            <v>10071</v>
          </cell>
        </row>
        <row r="1854">
          <cell r="A1854">
            <v>10072</v>
          </cell>
        </row>
        <row r="1855">
          <cell r="A1855">
            <v>10073</v>
          </cell>
        </row>
        <row r="1856">
          <cell r="A1856">
            <v>10074</v>
          </cell>
        </row>
        <row r="1857">
          <cell r="A1857">
            <v>10075</v>
          </cell>
        </row>
        <row r="1858">
          <cell r="A1858">
            <v>10076</v>
          </cell>
        </row>
        <row r="1859">
          <cell r="A1859">
            <v>10077</v>
          </cell>
        </row>
        <row r="1860">
          <cell r="A1860">
            <v>10078</v>
          </cell>
        </row>
        <row r="1861">
          <cell r="A1861">
            <v>10079</v>
          </cell>
        </row>
        <row r="1862">
          <cell r="A1862">
            <v>10080</v>
          </cell>
        </row>
        <row r="1863">
          <cell r="A1863">
            <v>10081</v>
          </cell>
        </row>
        <row r="1864">
          <cell r="A1864">
            <v>10082</v>
          </cell>
        </row>
        <row r="1865">
          <cell r="A1865">
            <v>10083</v>
          </cell>
        </row>
        <row r="1866">
          <cell r="A1866">
            <v>10084</v>
          </cell>
        </row>
        <row r="1867">
          <cell r="A1867">
            <v>10085</v>
          </cell>
        </row>
        <row r="1868">
          <cell r="A1868">
            <v>10086</v>
          </cell>
        </row>
        <row r="1869">
          <cell r="A1869">
            <v>10087</v>
          </cell>
        </row>
        <row r="1870">
          <cell r="A1870">
            <v>10088</v>
          </cell>
        </row>
        <row r="1871">
          <cell r="A1871">
            <v>10089</v>
          </cell>
        </row>
        <row r="1872">
          <cell r="A1872">
            <v>10090</v>
          </cell>
        </row>
        <row r="1873">
          <cell r="A1873">
            <v>10101</v>
          </cell>
        </row>
        <row r="1874">
          <cell r="A1874">
            <v>10102</v>
          </cell>
        </row>
        <row r="1875">
          <cell r="A1875">
            <v>10103</v>
          </cell>
        </row>
      </sheetData>
      <sheetData sheetId="4"/>
      <sheetData sheetId="5"/>
      <sheetData sheetId="6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finitions"/>
      <sheetName val="skilldef"/>
    </sheetNames>
    <sheetDataSet>
      <sheetData sheetId="0"/>
      <sheetData sheetId="1">
        <row r="1">
          <cell r="A1" t="str">
            <v>effect</v>
          </cell>
          <cell r="C1" t="str">
            <v>target</v>
          </cell>
        </row>
        <row r="2">
          <cell r="A2" t="str">
            <v>rush</v>
          </cell>
          <cell r="B2" t="str">
            <v>連続攻撃</v>
          </cell>
          <cell r="C2" t="str">
            <v>enemy_one</v>
          </cell>
          <cell r="D2" t="str">
            <v>敵単体に</v>
          </cell>
        </row>
        <row r="3">
          <cell r="A3" t="str">
            <v>critical</v>
          </cell>
          <cell r="B3" t="str">
            <v>大攻撃</v>
          </cell>
          <cell r="C3" t="str">
            <v>enemy_all</v>
          </cell>
          <cell r="D3" t="str">
            <v>敵全体に</v>
          </cell>
        </row>
        <row r="4">
          <cell r="A4" t="str">
            <v>spread</v>
          </cell>
          <cell r="B4" t="str">
            <v>全体攻撃</v>
          </cell>
          <cell r="C4" t="str">
            <v>enemy_red</v>
          </cell>
          <cell r="D4" t="str">
            <v>赤の敵に</v>
          </cell>
        </row>
        <row r="5">
          <cell r="A5" t="str">
            <v>kamikaze</v>
          </cell>
          <cell r="B5" t="str">
            <v>自爆</v>
          </cell>
          <cell r="C5" t="str">
            <v>enemy_green</v>
          </cell>
          <cell r="D5" t="str">
            <v>緑の敵に</v>
          </cell>
        </row>
        <row r="6">
          <cell r="A6" t="str">
            <v>damage_gravity</v>
          </cell>
          <cell r="B6" t="str">
            <v>割合ダメージ</v>
          </cell>
          <cell r="C6" t="str">
            <v>enemy_blue</v>
          </cell>
          <cell r="D6" t="str">
            <v>青の敵に</v>
          </cell>
        </row>
        <row r="7">
          <cell r="A7" t="str">
            <v>damage_hp</v>
          </cell>
          <cell r="B7" t="str">
            <v>HP準拠ダメージ</v>
          </cell>
          <cell r="C7" t="str">
            <v>enemy_yellow</v>
          </cell>
          <cell r="D7" t="str">
            <v>黄の敵に</v>
          </cell>
        </row>
        <row r="8">
          <cell r="A8" t="str">
            <v>damage_anti_color</v>
          </cell>
          <cell r="B8" t="str">
            <v>属性キラー</v>
          </cell>
          <cell r="C8" t="str">
            <v>unit_one</v>
          </cell>
          <cell r="D8" t="str">
            <v>味方単体に</v>
          </cell>
        </row>
        <row r="9">
          <cell r="A9" t="str">
            <v>damage_anti_tribe</v>
          </cell>
          <cell r="B9" t="str">
            <v>種族キラー</v>
          </cell>
          <cell r="C9" t="str">
            <v>unit_all</v>
          </cell>
          <cell r="D9" t="str">
            <v>味方全体に</v>
          </cell>
        </row>
        <row r="10">
          <cell r="A10" t="str">
            <v>damage_anti_type</v>
          </cell>
          <cell r="B10" t="str">
            <v>タイプキラー</v>
          </cell>
          <cell r="C10" t="str">
            <v>unit_red</v>
          </cell>
          <cell r="D10" t="str">
            <v>赤の味方に</v>
          </cell>
        </row>
        <row r="11">
          <cell r="A11" t="str">
            <v>damage_status_break</v>
          </cell>
          <cell r="B11" t="str">
            <v>直接ダメージ＋ステータス解除</v>
          </cell>
          <cell r="C11" t="str">
            <v>unit_green</v>
          </cell>
          <cell r="D11" t="str">
            <v>緑の味方に</v>
          </cell>
        </row>
        <row r="12">
          <cell r="A12" t="str">
            <v>charge</v>
          </cell>
          <cell r="B12" t="str">
            <v>溜め</v>
          </cell>
          <cell r="C12" t="str">
            <v>unit_blue</v>
          </cell>
          <cell r="D12" t="str">
            <v>青の味方に</v>
          </cell>
        </row>
        <row r="13">
          <cell r="A13" t="str">
            <v>enhance_enemy</v>
          </cell>
          <cell r="B13" t="str">
            <v>ステータス強化</v>
          </cell>
          <cell r="C13" t="str">
            <v>unit_yellow</v>
          </cell>
          <cell r="D13" t="str">
            <v>黄の味方に</v>
          </cell>
        </row>
        <row r="14">
          <cell r="A14" t="str">
            <v>freq_turn</v>
          </cell>
          <cell r="B14" t="str">
            <v>攻撃頻度がUP</v>
          </cell>
          <cell r="C14" t="str">
            <v>unit_attack</v>
          </cell>
          <cell r="D14" t="str">
            <v>攻撃タイプの味方に</v>
          </cell>
        </row>
        <row r="15">
          <cell r="A15" t="str">
            <v>tolerance</v>
          </cell>
          <cell r="B15" t="str">
            <v>状態異常耐性</v>
          </cell>
          <cell r="C15" t="str">
            <v>unit_balance</v>
          </cell>
          <cell r="D15" t="str">
            <v>バランスタイプの味方に</v>
          </cell>
        </row>
        <row r="16">
          <cell r="A16" t="str">
            <v>tolerance</v>
          </cell>
          <cell r="B16" t="str">
            <v>状態異常予防</v>
          </cell>
          <cell r="C16" t="str">
            <v>unit_hp</v>
          </cell>
          <cell r="D16" t="str">
            <v>体力タイプの味方に</v>
          </cell>
        </row>
        <row r="17">
          <cell r="A17" t="str">
            <v>enemy_counter</v>
          </cell>
          <cell r="B17" t="str">
            <v>カウンター</v>
          </cell>
          <cell r="C17" t="str">
            <v>unit_heal</v>
          </cell>
          <cell r="D17" t="str">
            <v>回復タイプの味方に</v>
          </cell>
        </row>
        <row r="18">
          <cell r="A18" t="str">
            <v>barrier_attack_skill_color</v>
          </cell>
          <cell r="B18" t="str">
            <v>一定ターン特定属性のユニットの攻撃スキルダメージを軽減／無効／反射</v>
          </cell>
          <cell r="C18" t="str">
            <v>unit_human</v>
          </cell>
          <cell r="D18" t="str">
            <v>ヒューマンの味方に</v>
          </cell>
        </row>
        <row r="19">
          <cell r="A19" t="str">
            <v>barrier_attack_skill_tribe</v>
          </cell>
          <cell r="B19" t="str">
            <v>一定ターン特定種族のユニットの攻撃スキルダメージを軽減／無効／反射</v>
          </cell>
          <cell r="C19" t="str">
            <v>unit_dragon</v>
          </cell>
          <cell r="D19" t="str">
            <v>ドラゴンの味方に</v>
          </cell>
        </row>
        <row r="20">
          <cell r="A20" t="str">
            <v>barrier_attack_skill_type</v>
          </cell>
          <cell r="B20" t="str">
            <v>一定ターン特定タイプのユニットの攻撃スキルダメージを軽減／無効／反射</v>
          </cell>
          <cell r="C20" t="str">
            <v>unit_animal</v>
          </cell>
          <cell r="D20" t="str">
            <v>アニマルの味方に</v>
          </cell>
        </row>
        <row r="21">
          <cell r="A21" t="str">
            <v>degrade_unit</v>
          </cell>
          <cell r="B21" t="str">
            <v>ステータスDOWN</v>
          </cell>
          <cell r="C21" t="str">
            <v>unit_robo</v>
          </cell>
          <cell r="D21" t="str">
            <v>ロボットの味方に</v>
          </cell>
        </row>
        <row r="22">
          <cell r="A22" t="str">
            <v>sleep</v>
          </cell>
          <cell r="B22" t="str">
            <v>スリープ</v>
          </cell>
          <cell r="C22" t="str">
            <v>unit_god</v>
          </cell>
          <cell r="D22" t="str">
            <v>ゴッドの味方に</v>
          </cell>
        </row>
        <row r="23">
          <cell r="A23" t="str">
            <v>hungup</v>
          </cell>
          <cell r="B23" t="str">
            <v>ハングアップ</v>
          </cell>
          <cell r="C23" t="str">
            <v>unit_other</v>
          </cell>
          <cell r="D23" t="str">
            <v>それ以外の味方に</v>
          </cell>
        </row>
        <row r="24">
          <cell r="A24" t="str">
            <v>virus</v>
          </cell>
          <cell r="B24" t="str">
            <v>ウィルス</v>
          </cell>
          <cell r="C24" t="str">
            <v>unit_right</v>
          </cell>
          <cell r="D24" t="str">
            <v>右の味方に</v>
          </cell>
        </row>
        <row r="25">
          <cell r="A25" t="str">
            <v>time_limit</v>
          </cell>
          <cell r="B25" t="str">
            <v>タップ制限時間</v>
          </cell>
          <cell r="C25" t="str">
            <v>unit_left</v>
          </cell>
          <cell r="D25" t="str">
            <v>左の味方に</v>
          </cell>
        </row>
        <row r="26">
          <cell r="A26" t="str">
            <v>dis_heart</v>
          </cell>
          <cell r="B26" t="str">
            <v>ディスハート</v>
          </cell>
          <cell r="C26" t="str">
            <v>unit_both</v>
          </cell>
          <cell r="D26" t="str">
            <v>両方の味方に</v>
          </cell>
        </row>
        <row r="27">
          <cell r="A27" t="str">
            <v>dis_panel</v>
          </cell>
          <cell r="B27" t="str">
            <v>ディスパネル</v>
          </cell>
          <cell r="C27" t="str">
            <v>player</v>
          </cell>
          <cell r="D27" t="str">
            <v>プレイヤーに</v>
          </cell>
        </row>
        <row r="28">
          <cell r="A28" t="str">
            <v>dark</v>
          </cell>
          <cell r="B28" t="str">
            <v>暗黒</v>
          </cell>
          <cell r="C28" t="str">
            <v>myself</v>
          </cell>
          <cell r="D28" t="str">
            <v>自分自身に</v>
          </cell>
        </row>
        <row r="29">
          <cell r="A29" t="str">
            <v>degrade_crash</v>
          </cell>
          <cell r="B29" t="str">
            <v>クラッシュパネル生成条件増加</v>
          </cell>
          <cell r="C29" t="str">
            <v>random_block</v>
          </cell>
          <cell r="D29" t="str">
            <v>ランダムなパネルを</v>
          </cell>
        </row>
        <row r="30">
          <cell r="A30" t="str">
            <v>change_block</v>
          </cell>
          <cell r="B30" t="str">
            <v>ブロック変換</v>
          </cell>
          <cell r="C30" t="str">
            <v>block_red</v>
          </cell>
          <cell r="D30" t="str">
            <v>赤パネルを</v>
          </cell>
        </row>
        <row r="31">
          <cell r="A31" t="str">
            <v>drop_block</v>
          </cell>
          <cell r="B31" t="str">
            <v>特定ブロックの割合ドロップ</v>
          </cell>
          <cell r="C31" t="str">
            <v>block_green</v>
          </cell>
          <cell r="D31" t="str">
            <v>緑パネルを</v>
          </cell>
        </row>
        <row r="32">
          <cell r="A32" t="str">
            <v>heal</v>
          </cell>
          <cell r="B32" t="str">
            <v>回復</v>
          </cell>
          <cell r="C32" t="str">
            <v>block_blue</v>
          </cell>
          <cell r="D32" t="str">
            <v>青パネルを</v>
          </cell>
        </row>
        <row r="33">
          <cell r="A33" t="str">
            <v>fix_speed</v>
          </cell>
          <cell r="B33" t="str">
            <v>行動値設定</v>
          </cell>
          <cell r="C33" t="str">
            <v>block_yellow</v>
          </cell>
          <cell r="D33" t="str">
            <v>黄色パネルを</v>
          </cell>
        </row>
        <row r="34">
          <cell r="A34" t="str">
            <v>nothing</v>
          </cell>
          <cell r="B34" t="str">
            <v>何もしない</v>
          </cell>
          <cell r="C34" t="str">
            <v>block_heart</v>
          </cell>
          <cell r="D34" t="str">
            <v>ハートパネルを</v>
          </cell>
        </row>
        <row r="35">
          <cell r="A35" t="str">
            <v>degrade_fever</v>
          </cell>
          <cell r="B35" t="str">
            <v>フィーバーゲージ減少</v>
          </cell>
        </row>
      </sheetData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comments" Target="../comments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5.vml"/><Relationship Id="rId2" Type="http://schemas.openxmlformats.org/officeDocument/2006/relationships/comments" Target="../comments5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6.vml"/><Relationship Id="rId2" Type="http://schemas.openxmlformats.org/officeDocument/2006/relationships/comments" Target="../comments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/>
  <dimension ref="A1:AD13"/>
  <sheetViews>
    <sheetView workbookViewId="0">
      <selection activeCell="C38" sqref="C38"/>
    </sheetView>
  </sheetViews>
  <sheetFormatPr baseColWidth="12" defaultRowHeight="15" x14ac:dyDescent="0.15"/>
  <cols>
    <col min="2" max="2" width="14.83203125" bestFit="1" customWidth="1"/>
    <col min="5" max="5" width="26.83203125" bestFit="1" customWidth="1"/>
    <col min="6" max="6" width="22.1640625" bestFit="1" customWidth="1"/>
  </cols>
  <sheetData>
    <row r="1" spans="1:30" x14ac:dyDescent="0.15">
      <c r="A1" s="60" t="s">
        <v>130</v>
      </c>
      <c r="B1" s="55" t="s">
        <v>100</v>
      </c>
      <c r="C1" s="55" t="s">
        <v>101</v>
      </c>
      <c r="D1" s="55" t="s">
        <v>102</v>
      </c>
      <c r="E1" s="55" t="s">
        <v>103</v>
      </c>
      <c r="F1" s="55" t="s">
        <v>104</v>
      </c>
      <c r="G1" s="55" t="s">
        <v>105</v>
      </c>
      <c r="H1" s="55"/>
      <c r="I1" s="55"/>
      <c r="J1" s="55"/>
      <c r="K1" s="55"/>
      <c r="L1" s="56"/>
      <c r="M1" s="56"/>
      <c r="N1" s="56"/>
      <c r="O1" s="56"/>
      <c r="P1" s="56"/>
      <c r="Q1" s="56"/>
      <c r="R1" s="56"/>
      <c r="S1" s="56"/>
      <c r="T1" s="56"/>
      <c r="U1" s="56"/>
      <c r="V1" s="56"/>
      <c r="W1" s="56"/>
      <c r="X1" s="56"/>
      <c r="Y1" s="56"/>
      <c r="Z1" s="56"/>
      <c r="AA1" s="56"/>
      <c r="AB1" s="56"/>
      <c r="AC1" s="56"/>
      <c r="AD1" s="56"/>
    </row>
    <row r="2" spans="1:30" x14ac:dyDescent="0.15">
      <c r="A2" s="200" t="s">
        <v>256</v>
      </c>
      <c r="B2" s="57" t="s">
        <v>106</v>
      </c>
      <c r="C2" s="61">
        <v>47016</v>
      </c>
      <c r="D2" s="57" t="s">
        <v>107</v>
      </c>
      <c r="E2" s="56" t="str">
        <f>B2&amp;C2&amp;D2</f>
        <v>floors_47016.tmp</v>
      </c>
      <c r="F2" s="57" t="s">
        <v>108</v>
      </c>
      <c r="G2" s="58" t="s">
        <v>0</v>
      </c>
      <c r="H2" s="58" t="s">
        <v>1</v>
      </c>
      <c r="I2" s="58" t="s">
        <v>13</v>
      </c>
      <c r="J2" s="58" t="s">
        <v>14</v>
      </c>
      <c r="K2" s="58" t="s">
        <v>15</v>
      </c>
      <c r="L2" s="57"/>
      <c r="M2" s="57"/>
      <c r="N2" s="57"/>
      <c r="O2" s="57"/>
      <c r="P2" s="57"/>
      <c r="Q2" s="57"/>
      <c r="R2" s="57"/>
      <c r="S2" s="57"/>
      <c r="T2" s="57"/>
      <c r="U2" s="57"/>
      <c r="V2" s="57"/>
      <c r="W2" s="57"/>
      <c r="X2" s="57"/>
      <c r="Y2" s="57"/>
      <c r="Z2" s="57"/>
      <c r="AA2" s="57"/>
      <c r="AB2" s="57"/>
      <c r="AC2" s="57"/>
      <c r="AD2" s="57"/>
    </row>
    <row r="3" spans="1:30" x14ac:dyDescent="0.15">
      <c r="A3" s="200" t="s">
        <v>256</v>
      </c>
      <c r="B3" s="57" t="s">
        <v>109</v>
      </c>
      <c r="C3" s="61">
        <v>47016</v>
      </c>
      <c r="D3" s="57" t="s">
        <v>107</v>
      </c>
      <c r="E3" s="56" t="str">
        <f>B3&amp;C3&amp;D3</f>
        <v>enemy_habitats_47016.tmp</v>
      </c>
      <c r="F3" s="57" t="s">
        <v>110</v>
      </c>
      <c r="G3" s="58" t="s">
        <v>0</v>
      </c>
      <c r="H3" s="58" t="s">
        <v>1</v>
      </c>
      <c r="I3" s="58" t="s">
        <v>13</v>
      </c>
      <c r="J3" s="58" t="s">
        <v>2</v>
      </c>
      <c r="K3" s="58" t="s">
        <v>3</v>
      </c>
      <c r="L3" s="58" t="s">
        <v>47</v>
      </c>
      <c r="M3" s="58" t="s">
        <v>49</v>
      </c>
      <c r="N3" s="58" t="s">
        <v>51</v>
      </c>
      <c r="O3" s="58" t="s">
        <v>22</v>
      </c>
      <c r="P3" s="58" t="s">
        <v>5</v>
      </c>
      <c r="Q3" s="58" t="s">
        <v>6</v>
      </c>
      <c r="R3" s="58" t="s">
        <v>7</v>
      </c>
      <c r="S3" s="58" t="s">
        <v>8</v>
      </c>
      <c r="T3" s="58" t="s">
        <v>9</v>
      </c>
      <c r="U3" s="58" t="s">
        <v>10</v>
      </c>
      <c r="V3" s="58" t="s">
        <v>11</v>
      </c>
      <c r="W3" s="58" t="s">
        <v>12</v>
      </c>
      <c r="X3" s="58" t="s">
        <v>37</v>
      </c>
      <c r="Y3" s="58" t="s">
        <v>39</v>
      </c>
      <c r="Z3" s="58" t="s">
        <v>41</v>
      </c>
      <c r="AA3" s="58" t="s">
        <v>43</v>
      </c>
      <c r="AB3" s="58" t="s">
        <v>45</v>
      </c>
      <c r="AC3" s="58" t="s">
        <v>54</v>
      </c>
      <c r="AD3" s="58" t="s">
        <v>178</v>
      </c>
    </row>
    <row r="4" spans="1:30" x14ac:dyDescent="0.15">
      <c r="A4" s="200" t="s">
        <v>256</v>
      </c>
      <c r="B4" s="57" t="s">
        <v>111</v>
      </c>
      <c r="C4" s="61">
        <v>47016</v>
      </c>
      <c r="D4" s="57" t="s">
        <v>107</v>
      </c>
      <c r="E4" s="56" t="str">
        <f>B4&amp;C4&amp;D4</f>
        <v>enemy_habitat_S_47016.tmp</v>
      </c>
      <c r="F4" s="57" t="s">
        <v>112</v>
      </c>
      <c r="G4" s="58" t="s">
        <v>0</v>
      </c>
      <c r="H4" s="58" t="s">
        <v>1</v>
      </c>
      <c r="I4" s="58" t="s">
        <v>13</v>
      </c>
      <c r="J4" s="58" t="s">
        <v>54</v>
      </c>
      <c r="K4" s="58" t="s">
        <v>55</v>
      </c>
      <c r="L4" s="58" t="s">
        <v>56</v>
      </c>
      <c r="M4" s="58" t="s">
        <v>57</v>
      </c>
      <c r="N4" s="58" t="s">
        <v>58</v>
      </c>
      <c r="O4" s="58" t="s">
        <v>59</v>
      </c>
      <c r="P4" s="58" t="s">
        <v>48</v>
      </c>
      <c r="Q4" s="58" t="s">
        <v>50</v>
      </c>
      <c r="R4" s="58" t="s">
        <v>52</v>
      </c>
      <c r="S4" s="57"/>
      <c r="T4" s="57"/>
      <c r="U4" s="57"/>
      <c r="V4" s="57"/>
      <c r="W4" s="57"/>
      <c r="X4" s="57"/>
      <c r="Y4" s="57"/>
      <c r="Z4" s="57"/>
      <c r="AA4" s="57"/>
      <c r="AB4" s="57"/>
      <c r="AC4" s="57"/>
      <c r="AD4" s="57"/>
    </row>
    <row r="5" spans="1:30" x14ac:dyDescent="0.15">
      <c r="A5" s="200" t="s">
        <v>256</v>
      </c>
      <c r="B5" s="57" t="s">
        <v>113</v>
      </c>
      <c r="C5" s="61">
        <v>47016</v>
      </c>
      <c r="D5" s="57" t="s">
        <v>107</v>
      </c>
      <c r="E5" s="56" t="str">
        <f>B5&amp;C5&amp;D5</f>
        <v>enemy_skill_sets_47016.tmp</v>
      </c>
      <c r="F5" s="57" t="s">
        <v>114</v>
      </c>
      <c r="G5" s="59" t="s">
        <v>22</v>
      </c>
      <c r="H5" s="59" t="s">
        <v>99</v>
      </c>
      <c r="I5" s="59" t="s">
        <v>94</v>
      </c>
      <c r="J5" s="57"/>
      <c r="K5" s="57"/>
      <c r="L5" s="57"/>
      <c r="M5" s="57"/>
      <c r="N5" s="57"/>
      <c r="O5" s="57"/>
      <c r="P5" s="57"/>
      <c r="Q5" s="57"/>
      <c r="R5" s="57"/>
      <c r="S5" s="57"/>
      <c r="T5" s="57"/>
      <c r="U5" s="57"/>
      <c r="V5" s="57"/>
      <c r="W5" s="57"/>
      <c r="X5" s="57"/>
      <c r="Y5" s="57"/>
      <c r="Z5" s="57"/>
      <c r="AA5" s="57"/>
      <c r="AB5" s="57"/>
      <c r="AC5" s="57"/>
      <c r="AD5" s="57"/>
    </row>
    <row r="6" spans="1:30" x14ac:dyDescent="0.15">
      <c r="A6" s="200" t="s">
        <v>256</v>
      </c>
      <c r="B6" s="57" t="s">
        <v>115</v>
      </c>
      <c r="C6" s="61">
        <v>47016</v>
      </c>
      <c r="D6" s="57" t="s">
        <v>116</v>
      </c>
      <c r="E6" s="56" t="str">
        <f t="shared" ref="E6:E10" si="0">B6&amp;C6&amp;D6</f>
        <v>enemy_skills_tmp_47016.tmp</v>
      </c>
      <c r="F6" s="57" t="s">
        <v>90</v>
      </c>
      <c r="G6" s="58" t="s">
        <v>79</v>
      </c>
      <c r="H6" s="58" t="s">
        <v>80</v>
      </c>
      <c r="I6" s="58" t="s">
        <v>81</v>
      </c>
      <c r="J6" s="57"/>
      <c r="K6" s="57"/>
      <c r="L6" s="57"/>
      <c r="M6" s="57"/>
      <c r="N6" s="57"/>
      <c r="O6" s="57"/>
      <c r="P6" s="57"/>
      <c r="Q6" s="57"/>
      <c r="R6" s="57"/>
      <c r="S6" s="57"/>
      <c r="T6" s="57"/>
      <c r="U6" s="57"/>
      <c r="V6" s="57"/>
      <c r="W6" s="57"/>
      <c r="X6" s="57"/>
      <c r="Y6" s="57"/>
      <c r="Z6" s="57"/>
      <c r="AA6" s="57"/>
      <c r="AB6" s="57"/>
      <c r="AC6" s="57"/>
      <c r="AD6" s="57"/>
    </row>
    <row r="7" spans="1:30" x14ac:dyDescent="0.15">
      <c r="A7" s="200" t="s">
        <v>256</v>
      </c>
      <c r="B7" s="57" t="s">
        <v>117</v>
      </c>
      <c r="C7" s="61">
        <v>47016</v>
      </c>
      <c r="D7" s="57" t="s">
        <v>107</v>
      </c>
      <c r="E7" s="56" t="str">
        <f>B7&amp;C7&amp;D7</f>
        <v>enemy_skills_i18n_47016.tmp</v>
      </c>
      <c r="F7" s="57" t="s">
        <v>118</v>
      </c>
      <c r="G7" s="58" t="s">
        <v>79</v>
      </c>
      <c r="H7" s="58" t="s">
        <v>91</v>
      </c>
      <c r="I7" s="58" t="s">
        <v>92</v>
      </c>
      <c r="J7" s="58" t="s">
        <v>93</v>
      </c>
      <c r="K7" s="57"/>
      <c r="L7" s="57"/>
      <c r="M7" s="57"/>
      <c r="N7" s="57"/>
      <c r="O7" s="57"/>
      <c r="P7" s="57"/>
      <c r="Q7" s="57"/>
      <c r="R7" s="57"/>
      <c r="S7" s="57"/>
      <c r="T7" s="57"/>
      <c r="U7" s="57"/>
      <c r="V7" s="57"/>
      <c r="W7" s="57"/>
      <c r="X7" s="57"/>
      <c r="Y7" s="57"/>
      <c r="Z7" s="57"/>
      <c r="AA7" s="57"/>
      <c r="AB7" s="57"/>
      <c r="AC7" s="57"/>
      <c r="AD7" s="57"/>
    </row>
    <row r="8" spans="1:30" x14ac:dyDescent="0.15">
      <c r="A8" s="200" t="s">
        <v>256</v>
      </c>
      <c r="B8" s="57" t="s">
        <v>119</v>
      </c>
      <c r="C8" s="61">
        <v>47016</v>
      </c>
      <c r="D8" s="57" t="s">
        <v>120</v>
      </c>
      <c r="E8" s="56" t="str">
        <f t="shared" si="0"/>
        <v>enemy_skill_triggers_47016.tmp</v>
      </c>
      <c r="F8" s="57" t="s">
        <v>121</v>
      </c>
      <c r="G8" s="58" t="s">
        <v>94</v>
      </c>
      <c r="H8" s="58" t="s">
        <v>95</v>
      </c>
      <c r="I8" s="58" t="s">
        <v>96</v>
      </c>
      <c r="J8" s="58" t="s">
        <v>97</v>
      </c>
      <c r="K8" s="58" t="s">
        <v>122</v>
      </c>
      <c r="L8" s="58" t="s">
        <v>98</v>
      </c>
      <c r="M8" s="58" t="s">
        <v>123</v>
      </c>
      <c r="N8" s="58" t="s">
        <v>124</v>
      </c>
      <c r="O8" s="58" t="s">
        <v>125</v>
      </c>
      <c r="P8" s="58" t="s">
        <v>67</v>
      </c>
      <c r="Q8" s="57"/>
      <c r="R8" s="57"/>
      <c r="S8" s="57"/>
      <c r="T8" s="57"/>
      <c r="U8" s="57"/>
      <c r="V8" s="57"/>
      <c r="W8" s="57"/>
      <c r="X8" s="57"/>
      <c r="Y8" s="57"/>
      <c r="Z8" s="57"/>
      <c r="AA8" s="57"/>
      <c r="AB8" s="57"/>
      <c r="AC8" s="57"/>
      <c r="AD8" s="57"/>
    </row>
    <row r="9" spans="1:30" x14ac:dyDescent="0.15">
      <c r="A9" s="200" t="s">
        <v>256</v>
      </c>
      <c r="B9" s="66" t="s">
        <v>177</v>
      </c>
      <c r="C9" s="61">
        <v>47016</v>
      </c>
      <c r="D9" s="66" t="s">
        <v>171</v>
      </c>
      <c r="E9" s="67" t="str">
        <f t="shared" si="0"/>
        <v>stage_bug_bonuses_47016.tmp</v>
      </c>
      <c r="F9" s="66" t="s">
        <v>172</v>
      </c>
      <c r="G9" s="63" t="s">
        <v>150</v>
      </c>
      <c r="H9" s="63" t="s">
        <v>173</v>
      </c>
      <c r="I9" s="63" t="s">
        <v>174</v>
      </c>
      <c r="J9" s="65" t="s">
        <v>175</v>
      </c>
      <c r="K9" s="63" t="s">
        <v>176</v>
      </c>
      <c r="L9" s="63" t="s">
        <v>156</v>
      </c>
      <c r="M9" s="63" t="s">
        <v>157</v>
      </c>
      <c r="N9" s="63" t="s">
        <v>158</v>
      </c>
      <c r="O9" s="63" t="s">
        <v>159</v>
      </c>
      <c r="P9" s="63" t="s">
        <v>160</v>
      </c>
      <c r="Q9" s="63" t="s">
        <v>161</v>
      </c>
      <c r="R9" s="63" t="s">
        <v>162</v>
      </c>
      <c r="S9" s="63" t="s">
        <v>163</v>
      </c>
      <c r="T9" s="63" t="s">
        <v>164</v>
      </c>
      <c r="U9" s="63" t="s">
        <v>165</v>
      </c>
      <c r="V9" s="63" t="s">
        <v>166</v>
      </c>
      <c r="W9" s="63" t="s">
        <v>167</v>
      </c>
      <c r="X9" s="57"/>
      <c r="Y9" s="57"/>
      <c r="Z9" s="57"/>
      <c r="AA9" s="57"/>
      <c r="AB9" s="57"/>
      <c r="AC9" s="57"/>
      <c r="AD9" s="57"/>
    </row>
    <row r="10" spans="1:30" s="73" customFormat="1" x14ac:dyDescent="0.15">
      <c r="A10" s="199" t="s">
        <v>187</v>
      </c>
      <c r="B10" s="66" t="s">
        <v>201</v>
      </c>
      <c r="C10" s="61">
        <v>47016</v>
      </c>
      <c r="D10" s="66" t="s">
        <v>180</v>
      </c>
      <c r="E10" s="67" t="str">
        <f t="shared" si="0"/>
        <v>stage_hints_data_c_47016.tmp</v>
      </c>
      <c r="F10" s="66" t="s">
        <v>209</v>
      </c>
      <c r="G10" s="71" t="s">
        <v>181</v>
      </c>
      <c r="H10" s="71" t="s">
        <v>173</v>
      </c>
      <c r="I10" s="72" t="s">
        <v>182</v>
      </c>
      <c r="J10" s="65" t="s">
        <v>183</v>
      </c>
      <c r="K10" s="65" t="s">
        <v>184</v>
      </c>
      <c r="L10" s="98"/>
      <c r="M10" s="98"/>
      <c r="N10" s="98"/>
      <c r="O10" s="98"/>
      <c r="P10" s="98"/>
      <c r="Q10" s="98"/>
      <c r="R10" s="98"/>
      <c r="S10" s="98"/>
      <c r="T10" s="98"/>
      <c r="U10" s="98"/>
      <c r="V10" s="98"/>
      <c r="W10" s="98"/>
      <c r="X10" s="98"/>
      <c r="Y10" s="98"/>
      <c r="Z10" s="98"/>
      <c r="AA10" s="98"/>
      <c r="AB10" s="98"/>
      <c r="AC10" s="98"/>
      <c r="AD10" s="98"/>
    </row>
    <row r="11" spans="1:30" s="73" customFormat="1" x14ac:dyDescent="0.15">
      <c r="A11" s="200" t="s">
        <v>256</v>
      </c>
      <c r="B11" s="66" t="s">
        <v>202</v>
      </c>
      <c r="C11" s="61">
        <v>47016</v>
      </c>
      <c r="D11" s="66" t="s">
        <v>171</v>
      </c>
      <c r="E11" s="67" t="str">
        <f t="shared" ref="E11:E13" si="1">B11&amp;C11&amp;D11</f>
        <v>stage_hints_data_f_47016.tmp</v>
      </c>
      <c r="F11" s="66" t="s">
        <v>210</v>
      </c>
      <c r="G11" s="71" t="s">
        <v>181</v>
      </c>
      <c r="H11" s="71" t="s">
        <v>173</v>
      </c>
      <c r="I11" s="72" t="s">
        <v>182</v>
      </c>
      <c r="J11" s="65" t="s">
        <v>183</v>
      </c>
      <c r="K11" s="65" t="s">
        <v>184</v>
      </c>
      <c r="L11" s="98"/>
      <c r="M11" s="98"/>
      <c r="N11" s="98"/>
      <c r="O11" s="98"/>
      <c r="P11" s="98"/>
      <c r="Q11" s="98"/>
      <c r="R11" s="98"/>
      <c r="S11" s="98"/>
      <c r="T11" s="98"/>
      <c r="U11" s="98"/>
      <c r="V11" s="98"/>
      <c r="W11" s="98"/>
      <c r="X11" s="98"/>
      <c r="Y11" s="98"/>
      <c r="Z11" s="98"/>
      <c r="AA11" s="98"/>
      <c r="AB11" s="98"/>
      <c r="AC11" s="98"/>
      <c r="AD11" s="98"/>
    </row>
    <row r="12" spans="1:30" s="73" customFormat="1" x14ac:dyDescent="0.15">
      <c r="A12" s="200" t="s">
        <v>256</v>
      </c>
      <c r="B12" s="66" t="s">
        <v>203</v>
      </c>
      <c r="C12" s="61">
        <v>47016</v>
      </c>
      <c r="D12" s="66" t="s">
        <v>171</v>
      </c>
      <c r="E12" s="67" t="str">
        <f t="shared" si="1"/>
        <v>stage_hints_i18n_47016.tmp</v>
      </c>
      <c r="F12" s="66" t="s">
        <v>211</v>
      </c>
      <c r="G12" s="72" t="s">
        <v>204</v>
      </c>
      <c r="H12" s="91" t="s">
        <v>205</v>
      </c>
      <c r="I12" s="71" t="s">
        <v>206</v>
      </c>
      <c r="J12" s="99" t="s">
        <v>207</v>
      </c>
      <c r="K12" s="65" t="s">
        <v>208</v>
      </c>
      <c r="L12" s="98"/>
      <c r="M12" s="98"/>
      <c r="N12" s="98"/>
      <c r="O12" s="98"/>
      <c r="P12" s="98"/>
      <c r="Q12" s="98"/>
      <c r="R12" s="98"/>
      <c r="S12" s="98"/>
      <c r="T12" s="98"/>
      <c r="U12" s="98"/>
      <c r="V12" s="98"/>
      <c r="W12" s="98"/>
      <c r="X12" s="98"/>
      <c r="Y12" s="98"/>
      <c r="Z12" s="98"/>
      <c r="AA12" s="98"/>
      <c r="AB12" s="98"/>
      <c r="AC12" s="98"/>
      <c r="AD12" s="98"/>
    </row>
    <row r="13" spans="1:30" s="73" customFormat="1" x14ac:dyDescent="0.15">
      <c r="A13" s="200" t="s">
        <v>256</v>
      </c>
      <c r="B13" s="66" t="s">
        <v>251</v>
      </c>
      <c r="C13" s="61">
        <v>47016</v>
      </c>
      <c r="D13" s="66" t="s">
        <v>232</v>
      </c>
      <c r="E13" s="67" t="str">
        <f t="shared" si="1"/>
        <v>stage_bonuses_47016.tmp</v>
      </c>
      <c r="F13" s="66" t="s">
        <v>231</v>
      </c>
      <c r="G13" s="71" t="s">
        <v>233</v>
      </c>
      <c r="H13" s="71" t="s">
        <v>234</v>
      </c>
      <c r="I13" s="71" t="s">
        <v>235</v>
      </c>
      <c r="J13" s="71" t="s">
        <v>236</v>
      </c>
      <c r="K13" s="71" t="s">
        <v>237</v>
      </c>
      <c r="L13" s="71" t="s">
        <v>238</v>
      </c>
      <c r="M13" s="71" t="s">
        <v>239</v>
      </c>
      <c r="N13" s="71" t="s">
        <v>240</v>
      </c>
      <c r="O13" s="71" t="s">
        <v>241</v>
      </c>
      <c r="P13" s="71" t="s">
        <v>242</v>
      </c>
      <c r="Q13" s="71" t="s">
        <v>243</v>
      </c>
      <c r="R13" s="71" t="s">
        <v>244</v>
      </c>
      <c r="S13" s="71" t="s">
        <v>245</v>
      </c>
      <c r="T13" s="71" t="s">
        <v>246</v>
      </c>
      <c r="U13" s="71" t="s">
        <v>247</v>
      </c>
      <c r="V13" s="71" t="s">
        <v>248</v>
      </c>
      <c r="W13" s="71" t="s">
        <v>249</v>
      </c>
      <c r="X13" s="71" t="s">
        <v>250</v>
      </c>
      <c r="Y13" s="98"/>
      <c r="Z13" s="98"/>
      <c r="AA13" s="98"/>
      <c r="AB13" s="98"/>
      <c r="AC13" s="98"/>
      <c r="AD13" s="98"/>
    </row>
  </sheetData>
  <phoneticPr fontId="5"/>
  <dataValidations count="1">
    <dataValidation type="list" allowBlank="1" showInputMessage="1" showErrorMessage="1" sqref="A2:A13">
      <formula1>"new,old,skip,both"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rgb="FF0000FF"/>
    <outlinePr summaryBelow="0" summaryRight="0"/>
  </sheetPr>
  <dimension ref="A1:K10"/>
  <sheetViews>
    <sheetView showGridLines="0" workbookViewId="0">
      <pane ySplit="1" topLeftCell="A2" activePane="bottomLeft" state="frozen"/>
      <selection activeCell="V2" sqref="V2:X34"/>
      <selection pane="bottomLeft" activeCell="C2" sqref="C2"/>
    </sheetView>
  </sheetViews>
  <sheetFormatPr baseColWidth="12" defaultColWidth="13" defaultRowHeight="21" customHeight="1" outlineLevelCol="1" x14ac:dyDescent="0.15"/>
  <cols>
    <col min="1" max="1" width="8.83203125" style="19" bestFit="1" customWidth="1"/>
    <col min="2" max="2" width="5" style="19" bestFit="1" customWidth="1"/>
    <col min="3" max="3" width="7.1640625" style="3" bestFit="1" customWidth="1"/>
    <col min="4" max="5" width="10.33203125" style="3" customWidth="1" outlineLevel="1"/>
    <col min="6" max="6" width="7" style="3" bestFit="1" customWidth="1"/>
    <col min="7" max="7" width="8.83203125" style="19" customWidth="1" outlineLevel="1"/>
    <col min="8" max="8" width="25" style="3" customWidth="1" outlineLevel="1"/>
    <col min="9" max="9" width="6.5" style="3" bestFit="1" customWidth="1"/>
    <col min="10" max="10" width="11" style="3" bestFit="1" customWidth="1"/>
    <col min="11" max="11" width="11.33203125" style="3" bestFit="1" customWidth="1"/>
    <col min="12" max="16384" width="13" style="3"/>
  </cols>
  <sheetData>
    <row r="1" spans="1:11" ht="21" customHeight="1" x14ac:dyDescent="0.15">
      <c r="A1" s="16" t="s">
        <v>30</v>
      </c>
      <c r="B1" s="16" t="s">
        <v>36</v>
      </c>
      <c r="C1" s="1" t="s">
        <v>0</v>
      </c>
      <c r="D1" s="2" t="s">
        <v>18</v>
      </c>
      <c r="E1" s="15" t="s">
        <v>33</v>
      </c>
      <c r="F1" s="1" t="s">
        <v>1</v>
      </c>
      <c r="G1" s="23" t="s">
        <v>32</v>
      </c>
      <c r="H1" s="15" t="s">
        <v>34</v>
      </c>
      <c r="I1" s="1" t="s">
        <v>13</v>
      </c>
      <c r="J1" s="1" t="s">
        <v>14</v>
      </c>
      <c r="K1" s="1" t="s">
        <v>15</v>
      </c>
    </row>
    <row r="2" spans="1:11" ht="21" customHeight="1" x14ac:dyDescent="0.15">
      <c r="A2" s="16" t="str">
        <f>G2&amp;"-"&amp;I2</f>
        <v>47016_1-1</v>
      </c>
      <c r="B2" s="16" t="str">
        <f>IF(COUNTIF(enemy_habitats!$H:$H,A2),"OK","NG")</f>
        <v>OK</v>
      </c>
      <c r="C2" s="7">
        <v>47016</v>
      </c>
      <c r="D2" s="11" t="str">
        <f ca="1">VLOOKUP($C2,OFFSET([2]quests!$A$1,0,0,COUNTA([2]quests!$A:$A),MATCH(D$1,[2]quests!$1:$1,0)-MATCH($C$1,[2]quests!$1:$1,0)+1),MATCH(D$1,[2]quests!$1:$1,0)-MATCH($C$1,[2]quests!$1:$1,0)+1,FALSE)</f>
        <v>嫁入り道具はチェーンソー</v>
      </c>
      <c r="E2" s="18" t="str">
        <f ca="1">VLOOKUP($C2,OFFSET([2]quests!$A$1,0,0,COUNTA([2]quests!$A:$A),MATCH(E$1,[2]quests!$1:$1,0)-MATCH($C$1,[2]quests!$1:$1,0)+1),MATCH(E$1,[2]quests!$1:$1,0)-MATCH($C$1,[2]quests!$1:$1,0)+1,FALSE)</f>
        <v>季節イベント</v>
      </c>
      <c r="F2" s="21">
        <v>1</v>
      </c>
      <c r="G2" s="23" t="str">
        <f>C2&amp;"_"&amp;F2</f>
        <v>47016_1</v>
      </c>
      <c r="H2" s="15" t="str">
        <f ca="1">VLOOKUP($G2,OFFSET([2]stages!$A$1,0,0,COUNTA([2]stages!$A:$A),MATCH(H$1,[2]stages!$2:$2,0)-MATCH($G$1,[2]stages!$2:$2,0)+1),MATCH(H$1,[2]stages!$2:$2,0)-MATCH($G$1,[2]stages!$2:$2,0)+1,FALSE)</f>
        <v>【上級】嫁入り道具はチェーンソー</v>
      </c>
      <c r="I2" s="21">
        <v>1</v>
      </c>
      <c r="J2" s="12">
        <v>60</v>
      </c>
      <c r="K2" s="12">
        <v>60</v>
      </c>
    </row>
    <row r="3" spans="1:11" ht="21" customHeight="1" x14ac:dyDescent="0.15">
      <c r="A3" s="16" t="str">
        <f t="shared" ref="A3:A4" si="0">G3&amp;"-"&amp;I3</f>
        <v>47016_1-2</v>
      </c>
      <c r="B3" s="16" t="str">
        <f>IF(COUNTIF(enemy_habitats!$H:$H,A3),"OK","NG")</f>
        <v>OK</v>
      </c>
      <c r="C3" s="7">
        <v>47016</v>
      </c>
      <c r="D3" s="11" t="str">
        <f ca="1">VLOOKUP($C3,OFFSET([2]quests!$A$1,0,0,COUNTA([2]quests!$A:$A),MATCH(D$1,[2]quests!$1:$1,0)-MATCH($C$1,[2]quests!$1:$1,0)+1),MATCH(D$1,[2]quests!$1:$1,0)-MATCH($C$1,[2]quests!$1:$1,0)+1,FALSE)</f>
        <v>嫁入り道具はチェーンソー</v>
      </c>
      <c r="E3" s="18" t="str">
        <f ca="1">VLOOKUP($C3,OFFSET([2]quests!$A$1,0,0,COUNTA([2]quests!$A:$A),MATCH(E$1,[2]quests!$1:$1,0)-MATCH($C$1,[2]quests!$1:$1,0)+1),MATCH(E$1,[2]quests!$1:$1,0)-MATCH($C$1,[2]quests!$1:$1,0)+1,FALSE)</f>
        <v>季節イベント</v>
      </c>
      <c r="F3" s="21">
        <v>1</v>
      </c>
      <c r="G3" s="23" t="str">
        <f t="shared" ref="G3:G4" si="1">C3&amp;"_"&amp;F3</f>
        <v>47016_1</v>
      </c>
      <c r="H3" s="15" t="str">
        <f ca="1">VLOOKUP($G3,OFFSET([2]stages!$A$1,0,0,COUNTA([2]stages!$A:$A),MATCH(H$1,[2]stages!$2:$2,0)-MATCH($G$1,[2]stages!$2:$2,0)+1),MATCH(H$1,[2]stages!$2:$2,0)-MATCH($G$1,[2]stages!$2:$2,0)+1,FALSE)</f>
        <v>【上級】嫁入り道具はチェーンソー</v>
      </c>
      <c r="I3" s="21">
        <v>2</v>
      </c>
      <c r="J3" s="12">
        <v>60</v>
      </c>
      <c r="K3" s="12">
        <v>60</v>
      </c>
    </row>
    <row r="4" spans="1:11" ht="21" customHeight="1" thickBot="1" x14ac:dyDescent="0.2">
      <c r="A4" s="16" t="str">
        <f t="shared" si="0"/>
        <v>47016_1-3</v>
      </c>
      <c r="B4" s="16" t="str">
        <f>IF(COUNTIF(enemy_habitats!$H:$H,A4),"OK","NG")</f>
        <v>OK</v>
      </c>
      <c r="C4" s="155">
        <v>47016</v>
      </c>
      <c r="D4" s="197" t="str">
        <f ca="1">VLOOKUP($C4,OFFSET([2]quests!$A$1,0,0,COUNTA([2]quests!$A:$A),MATCH(D$1,[2]quests!$1:$1,0)-MATCH($C$1,[2]quests!$1:$1,0)+1),MATCH(D$1,[2]quests!$1:$1,0)-MATCH($C$1,[2]quests!$1:$1,0)+1,FALSE)</f>
        <v>嫁入り道具はチェーンソー</v>
      </c>
      <c r="E4" s="197" t="str">
        <f ca="1">VLOOKUP($C4,OFFSET([2]quests!$A$1,0,0,COUNTA([2]quests!$A:$A),MATCH(E$1,[2]quests!$1:$1,0)-MATCH($C$1,[2]quests!$1:$1,0)+1),MATCH(E$1,[2]quests!$1:$1,0)-MATCH($C$1,[2]quests!$1:$1,0)+1,FALSE)</f>
        <v>季節イベント</v>
      </c>
      <c r="F4" s="129">
        <v>1</v>
      </c>
      <c r="G4" s="198" t="str">
        <f t="shared" si="1"/>
        <v>47016_1</v>
      </c>
      <c r="H4" s="130" t="str">
        <f ca="1">VLOOKUP($G4,OFFSET([2]stages!$A$1,0,0,COUNTA([2]stages!$A:$A),MATCH(H$1,[2]stages!$2:$2,0)-MATCH($G$1,[2]stages!$2:$2,0)+1),MATCH(H$1,[2]stages!$2:$2,0)-MATCH($G$1,[2]stages!$2:$2,0)+1,FALSE)</f>
        <v>【上級】嫁入り道具はチェーンソー</v>
      </c>
      <c r="I4" s="129">
        <v>3</v>
      </c>
      <c r="J4" s="132">
        <v>60</v>
      </c>
      <c r="K4" s="132">
        <v>60</v>
      </c>
    </row>
    <row r="5" spans="1:11" ht="21" customHeight="1" thickTop="1" x14ac:dyDescent="0.15">
      <c r="A5" s="16" t="str">
        <f>G5&amp;"-"&amp;I5</f>
        <v>47016_2-1</v>
      </c>
      <c r="B5" s="16" t="str">
        <f>IF(COUNTIF(enemy_habitats!$H:$H,A5),"OK","NG")</f>
        <v>OK</v>
      </c>
      <c r="C5" s="144">
        <v>47016</v>
      </c>
      <c r="D5" s="195" t="str">
        <f ca="1">VLOOKUP($C5,OFFSET([2]quests!$A$1,0,0,COUNTA([2]quests!$A:$A),MATCH(D$1,[2]quests!$1:$1,0)-MATCH($C$1,[2]quests!$1:$1,0)+1),MATCH(D$1,[2]quests!$1:$1,0)-MATCH($C$1,[2]quests!$1:$1,0)+1,FALSE)</f>
        <v>嫁入り道具はチェーンソー</v>
      </c>
      <c r="E5" s="195" t="str">
        <f ca="1">VLOOKUP($C5,OFFSET([2]quests!$A$1,0,0,COUNTA([2]quests!$A:$A),MATCH(E$1,[2]quests!$1:$1,0)-MATCH($C$1,[2]quests!$1:$1,0)+1),MATCH(E$1,[2]quests!$1:$1,0)-MATCH($C$1,[2]quests!$1:$1,0)+1,FALSE)</f>
        <v>季節イベント</v>
      </c>
      <c r="F5" s="119">
        <v>2</v>
      </c>
      <c r="G5" s="196" t="str">
        <f>C5&amp;"_"&amp;F5</f>
        <v>47016_2</v>
      </c>
      <c r="H5" s="120" t="str">
        <f ca="1">VLOOKUP($G5,OFFSET([2]stages!$A$1,0,0,COUNTA([2]stages!$A:$A),MATCH(H$1,[2]stages!$2:$2,0)-MATCH($G$1,[2]stages!$2:$2,0)+1),MATCH(H$1,[2]stages!$2:$2,0)-MATCH($G$1,[2]stages!$2:$2,0)+1,FALSE)</f>
        <v>【超級】嫁入り道具はチェーンソー</v>
      </c>
      <c r="I5" s="119">
        <v>1</v>
      </c>
      <c r="J5" s="121">
        <v>60</v>
      </c>
      <c r="K5" s="121">
        <v>60</v>
      </c>
    </row>
    <row r="6" spans="1:11" ht="21" customHeight="1" x14ac:dyDescent="0.15">
      <c r="A6" s="16" t="str">
        <f t="shared" ref="A6:A7" si="2">G6&amp;"-"&amp;I6</f>
        <v>47016_2-2</v>
      </c>
      <c r="B6" s="16" t="str">
        <f>IF(COUNTIF(enemy_habitats!$H:$H,A6),"OK","NG")</f>
        <v>OK</v>
      </c>
      <c r="C6" s="7">
        <v>47016</v>
      </c>
      <c r="D6" s="11" t="str">
        <f ca="1">VLOOKUP($C6,OFFSET([2]quests!$A$1,0,0,COUNTA([2]quests!$A:$A),MATCH(D$1,[2]quests!$1:$1,0)-MATCH($C$1,[2]quests!$1:$1,0)+1),MATCH(D$1,[2]quests!$1:$1,0)-MATCH($C$1,[2]quests!$1:$1,0)+1,FALSE)</f>
        <v>嫁入り道具はチェーンソー</v>
      </c>
      <c r="E6" s="18" t="str">
        <f ca="1">VLOOKUP($C6,OFFSET([2]quests!$A$1,0,0,COUNTA([2]quests!$A:$A),MATCH(E$1,[2]quests!$1:$1,0)-MATCH($C$1,[2]quests!$1:$1,0)+1),MATCH(E$1,[2]quests!$1:$1,0)-MATCH($C$1,[2]quests!$1:$1,0)+1,FALSE)</f>
        <v>季節イベント</v>
      </c>
      <c r="F6" s="21">
        <v>2</v>
      </c>
      <c r="G6" s="23" t="str">
        <f t="shared" ref="G6:G7" si="3">C6&amp;"_"&amp;F6</f>
        <v>47016_2</v>
      </c>
      <c r="H6" s="15" t="str">
        <f ca="1">VLOOKUP($G6,OFFSET([2]stages!$A$1,0,0,COUNTA([2]stages!$A:$A),MATCH(H$1,[2]stages!$2:$2,0)-MATCH($G$1,[2]stages!$2:$2,0)+1),MATCH(H$1,[2]stages!$2:$2,0)-MATCH($G$1,[2]stages!$2:$2,0)+1,FALSE)</f>
        <v>【超級】嫁入り道具はチェーンソー</v>
      </c>
      <c r="I6" s="21">
        <v>2</v>
      </c>
      <c r="J6" s="12">
        <v>60</v>
      </c>
      <c r="K6" s="12">
        <v>60</v>
      </c>
    </row>
    <row r="7" spans="1:11" ht="21" customHeight="1" thickBot="1" x14ac:dyDescent="0.2">
      <c r="A7" s="16" t="str">
        <f t="shared" si="2"/>
        <v>47016_2-3</v>
      </c>
      <c r="B7" s="16" t="str">
        <f>IF(COUNTIF(enemy_habitats!$H:$H,A7),"OK","NG")</f>
        <v>OK</v>
      </c>
      <c r="C7" s="155">
        <v>47016</v>
      </c>
      <c r="D7" s="197" t="str">
        <f ca="1">VLOOKUP($C7,OFFSET([2]quests!$A$1,0,0,COUNTA([2]quests!$A:$A),MATCH(D$1,[2]quests!$1:$1,0)-MATCH($C$1,[2]quests!$1:$1,0)+1),MATCH(D$1,[2]quests!$1:$1,0)-MATCH($C$1,[2]quests!$1:$1,0)+1,FALSE)</f>
        <v>嫁入り道具はチェーンソー</v>
      </c>
      <c r="E7" s="197" t="str">
        <f ca="1">VLOOKUP($C7,OFFSET([2]quests!$A$1,0,0,COUNTA([2]quests!$A:$A),MATCH(E$1,[2]quests!$1:$1,0)-MATCH($C$1,[2]quests!$1:$1,0)+1),MATCH(E$1,[2]quests!$1:$1,0)-MATCH($C$1,[2]quests!$1:$1,0)+1,FALSE)</f>
        <v>季節イベント</v>
      </c>
      <c r="F7" s="129">
        <v>2</v>
      </c>
      <c r="G7" s="198" t="str">
        <f t="shared" si="3"/>
        <v>47016_2</v>
      </c>
      <c r="H7" s="130" t="str">
        <f ca="1">VLOOKUP($G7,OFFSET([2]stages!$A$1,0,0,COUNTA([2]stages!$A:$A),MATCH(H$1,[2]stages!$2:$2,0)-MATCH($G$1,[2]stages!$2:$2,0)+1),MATCH(H$1,[2]stages!$2:$2,0)-MATCH($G$1,[2]stages!$2:$2,0)+1,FALSE)</f>
        <v>【超級】嫁入り道具はチェーンソー</v>
      </c>
      <c r="I7" s="129">
        <v>3</v>
      </c>
      <c r="J7" s="132">
        <v>60</v>
      </c>
      <c r="K7" s="132">
        <v>60</v>
      </c>
    </row>
    <row r="8" spans="1:11" ht="21" customHeight="1" thickTop="1" x14ac:dyDescent="0.15">
      <c r="A8" s="16" t="str">
        <f>G8&amp;"-"&amp;I8</f>
        <v>47016_3-1</v>
      </c>
      <c r="B8" s="16" t="str">
        <f>IF(COUNTIF(enemy_habitats!$H:$H,A8),"OK","NG")</f>
        <v>OK</v>
      </c>
      <c r="C8" s="144">
        <v>47016</v>
      </c>
      <c r="D8" s="195" t="str">
        <f ca="1">VLOOKUP($C8,OFFSET([2]quests!$A$1,0,0,COUNTA([2]quests!$A:$A),MATCH(D$1,[2]quests!$1:$1,0)-MATCH($C$1,[2]quests!$1:$1,0)+1),MATCH(D$1,[2]quests!$1:$1,0)-MATCH($C$1,[2]quests!$1:$1,0)+1,FALSE)</f>
        <v>嫁入り道具はチェーンソー</v>
      </c>
      <c r="E8" s="195" t="str">
        <f ca="1">VLOOKUP($C8,OFFSET([2]quests!$A$1,0,0,COUNTA([2]quests!$A:$A),MATCH(E$1,[2]quests!$1:$1,0)-MATCH($C$1,[2]quests!$1:$1,0)+1),MATCH(E$1,[2]quests!$1:$1,0)-MATCH($C$1,[2]quests!$1:$1,0)+1,FALSE)</f>
        <v>季節イベント</v>
      </c>
      <c r="F8" s="119">
        <v>3</v>
      </c>
      <c r="G8" s="196" t="str">
        <f>C8&amp;"_"&amp;F8</f>
        <v>47016_3</v>
      </c>
      <c r="H8" s="120" t="str">
        <f ca="1">VLOOKUP($G8,OFFSET([2]stages!$A$1,0,0,COUNTA([2]stages!$A:$A),MATCH(H$1,[2]stages!$2:$2,0)-MATCH($G$1,[2]stages!$2:$2,0)+1),MATCH(H$1,[2]stages!$2:$2,0)-MATCH($G$1,[2]stages!$2:$2,0)+1,FALSE)</f>
        <v>【ｳｨｻﾞ】嫁入り道具はチェーンソー</v>
      </c>
      <c r="I8" s="119">
        <v>1</v>
      </c>
      <c r="J8" s="121">
        <v>60</v>
      </c>
      <c r="K8" s="121">
        <v>60</v>
      </c>
    </row>
    <row r="9" spans="1:11" ht="21" customHeight="1" x14ac:dyDescent="0.15">
      <c r="A9" s="16" t="str">
        <f t="shared" ref="A9:A10" si="4">G9&amp;"-"&amp;I9</f>
        <v>47016_3-2</v>
      </c>
      <c r="B9" s="16" t="str">
        <f>IF(COUNTIF(enemy_habitats!$H:$H,A9),"OK","NG")</f>
        <v>OK</v>
      </c>
      <c r="C9" s="7">
        <v>47016</v>
      </c>
      <c r="D9" s="11" t="str">
        <f ca="1">VLOOKUP($C9,OFFSET([2]quests!$A$1,0,0,COUNTA([2]quests!$A:$A),MATCH(D$1,[2]quests!$1:$1,0)-MATCH($C$1,[2]quests!$1:$1,0)+1),MATCH(D$1,[2]quests!$1:$1,0)-MATCH($C$1,[2]quests!$1:$1,0)+1,FALSE)</f>
        <v>嫁入り道具はチェーンソー</v>
      </c>
      <c r="E9" s="18" t="str">
        <f ca="1">VLOOKUP($C9,OFFSET([2]quests!$A$1,0,0,COUNTA([2]quests!$A:$A),MATCH(E$1,[2]quests!$1:$1,0)-MATCH($C$1,[2]quests!$1:$1,0)+1),MATCH(E$1,[2]quests!$1:$1,0)-MATCH($C$1,[2]quests!$1:$1,0)+1,FALSE)</f>
        <v>季節イベント</v>
      </c>
      <c r="F9" s="21">
        <v>3</v>
      </c>
      <c r="G9" s="23" t="str">
        <f t="shared" ref="G9:G10" si="5">C9&amp;"_"&amp;F9</f>
        <v>47016_3</v>
      </c>
      <c r="H9" s="15" t="str">
        <f ca="1">VLOOKUP($G9,OFFSET([2]stages!$A$1,0,0,COUNTA([2]stages!$A:$A),MATCH(H$1,[2]stages!$2:$2,0)-MATCH($G$1,[2]stages!$2:$2,0)+1),MATCH(H$1,[2]stages!$2:$2,0)-MATCH($G$1,[2]stages!$2:$2,0)+1,FALSE)</f>
        <v>【ｳｨｻﾞ】嫁入り道具はチェーンソー</v>
      </c>
      <c r="I9" s="21">
        <v>2</v>
      </c>
      <c r="J9" s="12">
        <v>60</v>
      </c>
      <c r="K9" s="12">
        <v>60</v>
      </c>
    </row>
    <row r="10" spans="1:11" ht="21" customHeight="1" x14ac:dyDescent="0.15">
      <c r="A10" s="16" t="str">
        <f t="shared" si="4"/>
        <v>47016_3-3</v>
      </c>
      <c r="B10" s="16" t="str">
        <f>IF(COUNTIF(enemy_habitats!$H:$H,A10),"OK","NG")</f>
        <v>OK</v>
      </c>
      <c r="C10" s="7">
        <v>47016</v>
      </c>
      <c r="D10" s="11" t="str">
        <f ca="1">VLOOKUP($C10,OFFSET([2]quests!$A$1,0,0,COUNTA([2]quests!$A:$A),MATCH(D$1,[2]quests!$1:$1,0)-MATCH($C$1,[2]quests!$1:$1,0)+1),MATCH(D$1,[2]quests!$1:$1,0)-MATCH($C$1,[2]quests!$1:$1,0)+1,FALSE)</f>
        <v>嫁入り道具はチェーンソー</v>
      </c>
      <c r="E10" s="18" t="str">
        <f ca="1">VLOOKUP($C10,OFFSET([2]quests!$A$1,0,0,COUNTA([2]quests!$A:$A),MATCH(E$1,[2]quests!$1:$1,0)-MATCH($C$1,[2]quests!$1:$1,0)+1),MATCH(E$1,[2]quests!$1:$1,0)-MATCH($C$1,[2]quests!$1:$1,0)+1,FALSE)</f>
        <v>季節イベント</v>
      </c>
      <c r="F10" s="21">
        <v>3</v>
      </c>
      <c r="G10" s="23" t="str">
        <f t="shared" si="5"/>
        <v>47016_3</v>
      </c>
      <c r="H10" s="15" t="str">
        <f ca="1">VLOOKUP($G10,OFFSET([2]stages!$A$1,0,0,COUNTA([2]stages!$A:$A),MATCH(H$1,[2]stages!$2:$2,0)-MATCH($G$1,[2]stages!$2:$2,0)+1),MATCH(H$1,[2]stages!$2:$2,0)-MATCH($G$1,[2]stages!$2:$2,0)+1,FALSE)</f>
        <v>【ｳｨｻﾞ】嫁入り道具はチェーンソー</v>
      </c>
      <c r="I10" s="21">
        <v>3</v>
      </c>
      <c r="J10" s="12">
        <v>60</v>
      </c>
      <c r="K10" s="12">
        <v>60</v>
      </c>
    </row>
  </sheetData>
  <sheetProtection selectLockedCells="1" selectUnlockedCells="1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>
    <tabColor rgb="FF0000FF"/>
    <outlinePr summaryBelow="0" summaryRight="0"/>
  </sheetPr>
  <dimension ref="A1:AP10"/>
  <sheetViews>
    <sheetView showGridLines="0" workbookViewId="0">
      <pane xSplit="17" ySplit="1" topLeftCell="Y2" activePane="bottomRight" state="frozen"/>
      <selection pane="topRight" activeCell="N1" sqref="N1"/>
      <selection pane="bottomLeft" activeCell="A2" sqref="A2"/>
      <selection pane="bottomRight" activeCell="B2" sqref="B2"/>
    </sheetView>
  </sheetViews>
  <sheetFormatPr baseColWidth="12" defaultColWidth="13" defaultRowHeight="21" customHeight="1" outlineLevelCol="1" x14ac:dyDescent="0.15"/>
  <cols>
    <col min="1" max="1" width="15.83203125" style="19" bestFit="1" customWidth="1"/>
    <col min="2" max="2" width="10.83203125" style="3" bestFit="1" customWidth="1"/>
    <col min="3" max="3" width="10.6640625" style="3" bestFit="1" customWidth="1" collapsed="1"/>
    <col min="4" max="4" width="13" style="14" hidden="1" customWidth="1" outlineLevel="1"/>
    <col min="5" max="5" width="11.6640625" style="3" hidden="1" customWidth="1" outlineLevel="1"/>
    <col min="6" max="6" width="16.1640625" style="3" hidden="1" customWidth="1" outlineLevel="1"/>
    <col min="7" max="7" width="10" style="3" bestFit="1" customWidth="1" collapsed="1"/>
    <col min="8" max="10" width="12.33203125" style="3" hidden="1" customWidth="1" outlineLevel="1"/>
    <col min="11" max="11" width="12.33203125" style="3" customWidth="1"/>
    <col min="12" max="12" width="13.5" style="9" bestFit="1" customWidth="1" collapsed="1"/>
    <col min="13" max="13" width="8.83203125" style="3" hidden="1" customWidth="1" outlineLevel="1"/>
    <col min="14" max="14" width="8.6640625" style="3" hidden="1" customWidth="1" outlineLevel="1"/>
    <col min="15" max="15" width="12" style="3" hidden="1" customWidth="1" outlineLevel="1"/>
    <col min="16" max="16" width="21" style="3" hidden="1" customWidth="1" outlineLevel="1"/>
    <col min="17" max="17" width="8" style="3" hidden="1" customWidth="1" outlineLevel="1"/>
    <col min="18" max="18" width="8.33203125" style="3" bestFit="1" customWidth="1"/>
    <col min="19" max="19" width="14.83203125" style="3" bestFit="1" customWidth="1"/>
    <col min="20" max="20" width="14.83203125" style="102" customWidth="1"/>
    <col min="21" max="21" width="17.5" style="3" bestFit="1" customWidth="1"/>
    <col min="22" max="22" width="17.5" style="3" customWidth="1"/>
    <col min="23" max="23" width="18.33203125" style="3" bestFit="1" customWidth="1"/>
    <col min="24" max="24" width="10" style="3" customWidth="1"/>
    <col min="25" max="25" width="12.1640625" style="3" customWidth="1" outlineLevel="1"/>
    <col min="26" max="26" width="11.33203125" style="3" bestFit="1" customWidth="1"/>
    <col min="27" max="27" width="11.6640625" style="3" bestFit="1" customWidth="1"/>
    <col min="28" max="28" width="10.6640625" style="3" bestFit="1" customWidth="1"/>
    <col min="29" max="29" width="9.33203125" style="3" bestFit="1" customWidth="1"/>
    <col min="30" max="30" width="13" style="3" bestFit="1" customWidth="1"/>
    <col min="31" max="31" width="21.83203125" style="13" customWidth="1" outlineLevel="1"/>
    <col min="32" max="32" width="8" style="14" bestFit="1" customWidth="1" outlineLevel="1"/>
    <col min="33" max="33" width="12" style="14" bestFit="1" customWidth="1" outlineLevel="1"/>
    <col min="34" max="34" width="15" style="10" bestFit="1" customWidth="1" collapsed="1"/>
    <col min="35" max="36" width="14.83203125" style="3" bestFit="1" customWidth="1"/>
    <col min="37" max="37" width="6.6640625" style="3" bestFit="1" customWidth="1"/>
    <col min="38" max="38" width="9.33203125" style="3" bestFit="1" customWidth="1"/>
    <col min="39" max="39" width="10.33203125" style="3" bestFit="1" customWidth="1"/>
    <col min="40" max="40" width="7.6640625" style="3" bestFit="1" customWidth="1"/>
    <col min="41" max="41" width="4" style="3" bestFit="1" customWidth="1"/>
    <col min="42" max="16384" width="13" style="3"/>
  </cols>
  <sheetData>
    <row r="1" spans="1:42" s="35" customFormat="1" ht="21" customHeight="1" x14ac:dyDescent="0.15">
      <c r="A1" s="27" t="s">
        <v>29</v>
      </c>
      <c r="B1" s="28" t="s">
        <v>0</v>
      </c>
      <c r="C1" s="28" t="s">
        <v>1</v>
      </c>
      <c r="D1" s="29" t="s">
        <v>28</v>
      </c>
      <c r="E1" s="30" t="s">
        <v>20</v>
      </c>
      <c r="F1" s="30" t="s">
        <v>20</v>
      </c>
      <c r="G1" s="28" t="s">
        <v>19</v>
      </c>
      <c r="H1" s="29" t="s">
        <v>35</v>
      </c>
      <c r="I1" s="29" t="s">
        <v>14</v>
      </c>
      <c r="J1" s="29" t="s">
        <v>15</v>
      </c>
      <c r="K1" s="36" t="s">
        <v>54</v>
      </c>
      <c r="L1" s="37" t="s">
        <v>2</v>
      </c>
      <c r="M1" s="31" t="s">
        <v>21</v>
      </c>
      <c r="N1" s="29" t="s">
        <v>24</v>
      </c>
      <c r="O1" s="29" t="s">
        <v>23</v>
      </c>
      <c r="P1" s="32" t="s">
        <v>26</v>
      </c>
      <c r="Q1" s="30" t="s">
        <v>25</v>
      </c>
      <c r="R1" s="28" t="s">
        <v>3</v>
      </c>
      <c r="S1" s="26" t="s">
        <v>48</v>
      </c>
      <c r="T1" s="100" t="s">
        <v>252</v>
      </c>
      <c r="U1" s="26" t="s">
        <v>50</v>
      </c>
      <c r="V1" s="100" t="s">
        <v>253</v>
      </c>
      <c r="W1" s="26" t="s">
        <v>52</v>
      </c>
      <c r="X1" s="29" t="s">
        <v>31</v>
      </c>
      <c r="Y1" s="28" t="s">
        <v>4</v>
      </c>
      <c r="Z1" s="28" t="s">
        <v>5</v>
      </c>
      <c r="AA1" s="28" t="s">
        <v>6</v>
      </c>
      <c r="AB1" s="28" t="s">
        <v>7</v>
      </c>
      <c r="AC1" s="28" t="s">
        <v>8</v>
      </c>
      <c r="AD1" s="33" t="s">
        <v>9</v>
      </c>
      <c r="AE1" s="34" t="s">
        <v>16</v>
      </c>
      <c r="AF1" s="34" t="s">
        <v>17</v>
      </c>
      <c r="AG1" s="34" t="s">
        <v>27</v>
      </c>
      <c r="AH1" s="33" t="s">
        <v>10</v>
      </c>
      <c r="AI1" s="28" t="s">
        <v>11</v>
      </c>
      <c r="AJ1" s="28" t="s">
        <v>12</v>
      </c>
      <c r="AK1" s="28" t="s">
        <v>38</v>
      </c>
      <c r="AL1" s="28" t="s">
        <v>40</v>
      </c>
      <c r="AM1" s="28" t="s">
        <v>42</v>
      </c>
      <c r="AN1" s="28" t="s">
        <v>44</v>
      </c>
      <c r="AO1" s="28" t="s">
        <v>46</v>
      </c>
      <c r="AP1" s="36" t="s">
        <v>179</v>
      </c>
    </row>
    <row r="2" spans="1:42" ht="21" customHeight="1" x14ac:dyDescent="0.15">
      <c r="A2" s="16" t="str">
        <f t="shared" ref="A2:A10" si="0">B2&amp;"_"&amp;C2&amp;"-"&amp;G2&amp;"/"&amp;L2&amp;"&lt;lv"&amp;R2&amp;"&gt;s"&amp;AC2</f>
        <v>47016_1-1/1713&lt;lv30&gt;s2</v>
      </c>
      <c r="B2" s="22">
        <v>47016</v>
      </c>
      <c r="C2" s="21">
        <v>1</v>
      </c>
      <c r="D2" s="2" t="str">
        <f>B2&amp;"_"&amp;C2</f>
        <v>47016_1</v>
      </c>
      <c r="E2" s="4" t="str">
        <f ca="1">VLOOKUP($B2,OFFSET([2]quests!$A$1,0,0,COUNTA([2]quests!$A:$A),MATCH(E$1,[2]quests!$1:$1,0)-MATCH($B$1,[2]quests!$1:$1,0)+1),MATCH(E$1,[2]quests!$1:$1,0)-MATCH($B$1,[2]quests!$1:$1,0)+1,FALSE)</f>
        <v>嫁入り道具はチェーンソー</v>
      </c>
      <c r="F2" s="4" t="str">
        <f ca="1">VLOOKUP($D2,OFFSET([2]stages!$A$1,0,0,COUNTA([2]stages!$A:$A),MATCH(F$1,[2]stages!$2:$2,0)-MATCH($D$1,[2]stages!$2:$2,0)+1),MATCH(F$1,[2]stages!$2:$2,0)-MATCH($D$1,[2]stages!$2:$2,0)+1,FALSE)</f>
        <v>【上級】嫁入り道具はチェーンソー</v>
      </c>
      <c r="G2" s="21">
        <v>1</v>
      </c>
      <c r="H2" s="15" t="str">
        <f>B2&amp;"_"&amp;C2&amp;"-"&amp;G2</f>
        <v>47016_1-1</v>
      </c>
      <c r="I2" s="4">
        <f ca="1">VLOOKUP($H2,OFFSET(floors!$A$1,0,0,COUNTA(floors!$A:$A),MATCH(I$1,floors!$1:$1,0)-MATCH($H$1,floors!$1:$1,0)+1),MATCH(I$1,floors!$1:$1,0)-MATCH($H$1,floors!$1:$1,0)+1,FALSE)</f>
        <v>60</v>
      </c>
      <c r="J2" s="4">
        <f ca="1">VLOOKUP($H2,OFFSET(floors!$A$1,0,0,COUNTA(floors!$A:$A),MATCH(J$1,floors!$1:$1,0)-MATCH($H$1,floors!$1:$1,0)+1),MATCH(J$1,floors!$1:$1,0)-MATCH($H$1,floors!$1:$1,0)+1,FALSE)</f>
        <v>60</v>
      </c>
      <c r="K2" s="38" t="s">
        <v>53</v>
      </c>
      <c r="L2" s="20">
        <v>1713</v>
      </c>
      <c r="M2" s="17" t="str">
        <f ca="1">VLOOKUP($L2,OFFSET([3]enemies!$A$1,0,0,COUNTA([3]enemies!$A:$A),MATCH(M$1,[3]enemies!$1:$1,0)-MATCH($L$1,[3]enemies!$1:$1,0)+1),MATCH(M$1,[3]enemies!$1:$1,0)-MATCH($L$1,[3]enemies!$1:$1,0)+1,FALSE)</f>
        <v>誓約の挙剣 ジークフリート</v>
      </c>
      <c r="N2" s="17" t="str">
        <f ca="1">VLOOKUP($L2,OFFSET([3]enemies!$A$1,0,0,COUNTA([3]enemies!$A:$A),MATCH(N$1,[3]enemies!$1:$1,0)-MATCH($L$1,[3]enemies!$1:$1,0)+1),MATCH(N$1,[3]enemies!$1:$1,0)-MATCH($L$1,[3]enemies!$1:$1,0)+1,FALSE)</f>
        <v>red</v>
      </c>
      <c r="O2" s="17" t="str">
        <f ca="1">VLOOKUP($L2,OFFSET([4]characters!$A$1,0,0,COUNTA([4]characters!$A:$A),MATCH(O$1,[4]characters!$1:$1,0)-MATCH($L$1,[4]characters!$1:$1,0)+1),MATCH(O$1,[4]characters!$1:$1,0)-MATCH($L$1,[4]characters!$1:$1,0)+1,FALSE)</f>
        <v>PremiumS</v>
      </c>
      <c r="P2" s="17" t="str">
        <f ca="1">VLOOKUP($L2,OFFSET([3]enemies!$A$1,0,0,COUNTA([3]enemies!$A:$A),MATCH(P$1,[3]enemies!$1:$1,0)-MATCH($L$1,[3]enemies!$1:$1,0)+1),MATCH(P$1,[3]enemies!$1:$1,0)-MATCH($L$1,[3]enemies!$1:$1,0)+1,FALSE)</f>
        <v>human</v>
      </c>
      <c r="Q2" s="17">
        <f ca="1">VLOOKUP($L2,OFFSET([3]enemies!$A$1,0,0,COUNTA([3]enemies!$A:$A),MATCH(Q$1,[3]enemies!$1:$1,0)-MATCH($L$1,[3]enemies!$1:$1,0)+1),MATCH(Q$1,[3]enemies!$1:$1,0)-MATCH($L$1,[3]enemies!$1:$1,0)+1,FALSE)</f>
        <v>60</v>
      </c>
      <c r="R2" s="5">
        <v>30</v>
      </c>
      <c r="S2" s="124">
        <v>2</v>
      </c>
      <c r="T2" s="101">
        <f>4563*S2</f>
        <v>9126</v>
      </c>
      <c r="U2" s="124">
        <v>1.4</v>
      </c>
      <c r="V2" s="101">
        <f>3186*U2</f>
        <v>4460.3999999999996</v>
      </c>
      <c r="W2" s="5">
        <v>0</v>
      </c>
      <c r="X2" s="4" t="str">
        <f ca="1">VLOOKUP($Y2,OFFSET(enemy_skill_sets!$B$1,0,0,COUNTA(enemy_skill_sets!$B:$B),MATCH(M$1,enemy_skill_sets!$1:$1,0)-MATCH($Y$1,enemy_skill_sets!$1:$1,0)+2),MATCH(M$1,enemy_skill_sets!$1:$1,0)-MATCH($Y$1,enemy_skill_sets!$1:$1,0)+2,FALSE)</f>
        <v>全ユニットのスキルターンを3ターン短縮</v>
      </c>
      <c r="Y2" s="114">
        <v>47016200</v>
      </c>
      <c r="Z2" s="6">
        <v>1</v>
      </c>
      <c r="AA2" s="6">
        <v>100</v>
      </c>
      <c r="AB2" s="6">
        <v>1</v>
      </c>
      <c r="AC2" s="104">
        <v>2</v>
      </c>
      <c r="AD2" s="215">
        <v>1717</v>
      </c>
      <c r="AE2" s="4" t="str">
        <f ca="1">VLOOKUP($AD2,OFFSET([4]characters!$A$1,0,0,COUNTA([4]characters!$A:$A),MATCH(AE$1,[4]characters!$1:$1,0)-MATCH("character_id",[4]characters!$1:$1,0)+1),MATCH(AE$1,[4]characters!$1:$1,0)-MATCH("character_id",[4]characters!$1:$1,0)+1,FALSE)</f>
        <v>ラブリーエンジェル</v>
      </c>
      <c r="AF2" s="4">
        <f ca="1">VLOOKUP($AD2,OFFSET([4]characters!$A$1,0,0,COUNTA([4]characters!$A:$A),MATCH(AF$1,[4]characters!$1:$1,0)-MATCH("character_id",[4]characters!$1:$1,0)+1),MATCH(AF$1,[4]characters!$1:$1,0)-MATCH("character_id",[4]characters!$1:$1,0)+1,FALSE)</f>
        <v>4</v>
      </c>
      <c r="AG2" s="4" t="str">
        <f ca="1">VLOOKUP($AD2,OFFSET([4]characters!$A$1,0,0,COUNTA([4]characters!$A:$A),MATCH(AG$1,[4]characters!$1:$1,0)-MATCH("character_id",[4]characters!$1:$1,0)+1),MATCH(AG$1,[4]characters!$1:$1,0)-MATCH("character_id",[4]characters!$1:$1,0)+1,FALSE)</f>
        <v>Material</v>
      </c>
      <c r="AH2" s="7">
        <v>1</v>
      </c>
      <c r="AI2" s="24">
        <f ca="1">AF2</f>
        <v>4</v>
      </c>
      <c r="AJ2" s="8">
        <v>65</v>
      </c>
      <c r="AK2" s="7">
        <v>0</v>
      </c>
      <c r="AL2" s="7">
        <v>0</v>
      </c>
      <c r="AM2" s="7">
        <v>0</v>
      </c>
      <c r="AN2" s="7">
        <v>0</v>
      </c>
      <c r="AO2" s="7">
        <v>1</v>
      </c>
      <c r="AP2" s="68">
        <v>1</v>
      </c>
    </row>
    <row r="3" spans="1:42" ht="21" customHeight="1" x14ac:dyDescent="0.15">
      <c r="A3" s="16" t="str">
        <f t="shared" si="0"/>
        <v>47016_1-2/1709&lt;lv40&gt;s2</v>
      </c>
      <c r="B3" s="22">
        <v>47016</v>
      </c>
      <c r="C3" s="147">
        <v>1</v>
      </c>
      <c r="D3" s="15" t="str">
        <f>B3&amp;"_"&amp;C3</f>
        <v>47016_1</v>
      </c>
      <c r="E3" s="4" t="str">
        <f ca="1">VLOOKUP($B3,OFFSET([2]quests!$A$1,0,0,COUNTA([2]quests!$A:$A),MATCH(E$1,[2]quests!$1:$1,0)-MATCH($B$1,[2]quests!$1:$1,0)+1),MATCH(E$1,[2]quests!$1:$1,0)-MATCH($B$1,[2]quests!$1:$1,0)+1,FALSE)</f>
        <v>嫁入り道具はチェーンソー</v>
      </c>
      <c r="F3" s="4" t="str">
        <f ca="1">VLOOKUP($D3,OFFSET([2]stages!$A$1,0,0,COUNTA([2]stages!$A:$A),MATCH(F$1,[2]stages!$2:$2,0)-MATCH($D$1,[2]stages!$2:$2,0)+1),MATCH(F$1,[2]stages!$2:$2,0)-MATCH($D$1,[2]stages!$2:$2,0)+1,FALSE)</f>
        <v>【上級】嫁入り道具はチェーンソー</v>
      </c>
      <c r="G3" s="147">
        <v>2</v>
      </c>
      <c r="H3" s="15" t="str">
        <f>B3&amp;"_"&amp;C3&amp;"-"&amp;G3</f>
        <v>47016_1-2</v>
      </c>
      <c r="I3" s="4">
        <f ca="1">VLOOKUP($H3,OFFSET(floors!$A$1,0,0,COUNTA(floors!$A:$A),MATCH(I$1,floors!$1:$1,0)-MATCH($H$1,floors!$1:$1,0)+1),MATCH(I$1,floors!$1:$1,0)-MATCH($H$1,floors!$1:$1,0)+1,FALSE)</f>
        <v>60</v>
      </c>
      <c r="J3" s="4">
        <f ca="1">VLOOKUP($H3,OFFSET(floors!$A$1,0,0,COUNTA(floors!$A:$A),MATCH(J$1,floors!$1:$1,0)-MATCH($H$1,floors!$1:$1,0)+1),MATCH(J$1,floors!$1:$1,0)-MATCH($H$1,floors!$1:$1,0)+1,FALSE)</f>
        <v>60</v>
      </c>
      <c r="K3" s="38">
        <v>1</v>
      </c>
      <c r="L3" s="148">
        <v>1709</v>
      </c>
      <c r="M3" s="17" t="str">
        <f ca="1">VLOOKUP($L3,OFFSET([3]enemies!$A$1,0,0,COUNTA([3]enemies!$A:$A),MATCH(M$1,[3]enemies!$1:$1,0)-MATCH($L$1,[3]enemies!$1:$1,0)+1),MATCH(M$1,[3]enemies!$1:$1,0)-MATCH($L$1,[3]enemies!$1:$1,0)+1,FALSE)</f>
        <v>情花降る神婦 イズン</v>
      </c>
      <c r="N3" s="17" t="str">
        <f ca="1">VLOOKUP($L3,OFFSET([3]enemies!$A$1,0,0,COUNTA([3]enemies!$A:$A),MATCH(N$1,[3]enemies!$1:$1,0)-MATCH($L$1,[3]enemies!$1:$1,0)+1),MATCH(N$1,[3]enemies!$1:$1,0)-MATCH($L$1,[3]enemies!$1:$1,0)+1,FALSE)</f>
        <v>blue</v>
      </c>
      <c r="O3" s="17" t="str">
        <f ca="1">VLOOKUP($L3,OFFSET([4]characters!$A$1,0,0,COUNTA([4]characters!$A:$A),MATCH(O$1,[4]characters!$1:$1,0)-MATCH($L$1,[4]characters!$1:$1,0)+1),MATCH(O$1,[4]characters!$1:$1,0)-MATCH($L$1,[4]characters!$1:$1,0)+1,FALSE)</f>
        <v>PremiumSS</v>
      </c>
      <c r="P3" s="17" t="str">
        <f ca="1">VLOOKUP($L3,OFFSET([3]enemies!$A$1,0,0,COUNTA([3]enemies!$A:$A),MATCH(P$1,[3]enemies!$1:$1,0)-MATCH($L$1,[3]enemies!$1:$1,0)+1),MATCH(P$1,[3]enemies!$1:$1,0)-MATCH($L$1,[3]enemies!$1:$1,0)+1,FALSE)</f>
        <v>god</v>
      </c>
      <c r="Q3" s="17">
        <f ca="1">VLOOKUP($L3,OFFSET([3]enemies!$A$1,0,0,COUNTA([3]enemies!$A:$A),MATCH(Q$1,[3]enemies!$1:$1,0)-MATCH($L$1,[3]enemies!$1:$1,0)+1),MATCH(Q$1,[3]enemies!$1:$1,0)-MATCH($L$1,[3]enemies!$1:$1,0)+1,FALSE)</f>
        <v>60</v>
      </c>
      <c r="R3" s="5">
        <v>40</v>
      </c>
      <c r="S3" s="25">
        <v>1.6</v>
      </c>
      <c r="T3" s="101">
        <f>5210*S3</f>
        <v>8336</v>
      </c>
      <c r="U3" s="25">
        <v>0.8</v>
      </c>
      <c r="V3" s="101">
        <f>4066*U3</f>
        <v>3252.8</v>
      </c>
      <c r="W3" s="5">
        <v>0</v>
      </c>
      <c r="X3" s="4" t="str">
        <f ca="1">VLOOKUP($Y3,OFFSET(enemy_skill_sets!$B$1,0,0,COUNTA(enemy_skill_sets!$B:$B),MATCH(M$1,enemy_skill_sets!$1:$1,0)-MATCH($Y$1,enemy_skill_sets!$1:$1,0)+2),MATCH(M$1,enemy_skill_sets!$1:$1,0)-MATCH($Y$1,enemy_skill_sets!$1:$1,0)+2,FALSE)</f>
        <v>あ…アサガオのブーケ、どうぞ！_x000D_【特定エリアを青・ハートパネルに変換】</v>
      </c>
      <c r="Y3" s="114">
        <v>47016201</v>
      </c>
      <c r="Z3" s="6">
        <v>1</v>
      </c>
      <c r="AA3" s="6">
        <v>100</v>
      </c>
      <c r="AB3" s="6">
        <v>1</v>
      </c>
      <c r="AC3" s="104">
        <v>2</v>
      </c>
      <c r="AD3" s="215">
        <v>1717</v>
      </c>
      <c r="AE3" s="4" t="str">
        <f ca="1">VLOOKUP($AD3,OFFSET([4]characters!$A$1,0,0,COUNTA([4]characters!$A:$A),MATCH(AE$1,[4]characters!$1:$1,0)-MATCH("character_id",[4]characters!$1:$1,0)+1),MATCH(AE$1,[4]characters!$1:$1,0)-MATCH("character_id",[4]characters!$1:$1,0)+1,FALSE)</f>
        <v>ラブリーエンジェル</v>
      </c>
      <c r="AF3" s="4">
        <f ca="1">VLOOKUP($AD3,OFFSET([4]characters!$A$1,0,0,COUNTA([4]characters!$A:$A),MATCH(AF$1,[4]characters!$1:$1,0)-MATCH("character_id",[4]characters!$1:$1,0)+1),MATCH(AF$1,[4]characters!$1:$1,0)-MATCH("character_id",[4]characters!$1:$1,0)+1,FALSE)</f>
        <v>4</v>
      </c>
      <c r="AG3" s="4" t="str">
        <f ca="1">VLOOKUP($AD3,OFFSET([4]characters!$A$1,0,0,COUNTA([4]characters!$A:$A),MATCH(AG$1,[4]characters!$1:$1,0)-MATCH("character_id",[4]characters!$1:$1,0)+1),MATCH(AG$1,[4]characters!$1:$1,0)-MATCH("character_id",[4]characters!$1:$1,0)+1,FALSE)</f>
        <v>Material</v>
      </c>
      <c r="AH3" s="150">
        <v>1</v>
      </c>
      <c r="AI3" s="149">
        <f ca="1">AF3</f>
        <v>4</v>
      </c>
      <c r="AJ3" s="8">
        <v>65</v>
      </c>
      <c r="AK3" s="150">
        <v>0</v>
      </c>
      <c r="AL3" s="150">
        <v>0</v>
      </c>
      <c r="AM3" s="150">
        <v>0</v>
      </c>
      <c r="AN3" s="150">
        <v>0</v>
      </c>
      <c r="AO3" s="150">
        <v>1</v>
      </c>
      <c r="AP3" s="68">
        <v>1</v>
      </c>
    </row>
    <row r="4" spans="1:42" ht="21" customHeight="1" thickBot="1" x14ac:dyDescent="0.2">
      <c r="A4" s="16" t="str">
        <f t="shared" si="0"/>
        <v>47016_1-3/1697&lt;lv40&gt;s2</v>
      </c>
      <c r="B4" s="128">
        <v>47016</v>
      </c>
      <c r="C4" s="129">
        <v>1</v>
      </c>
      <c r="D4" s="130" t="str">
        <f t="shared" ref="D4:D10" si="1">B4&amp;"_"&amp;C4</f>
        <v>47016_1</v>
      </c>
      <c r="E4" s="131" t="str">
        <f ca="1">VLOOKUP($B4,OFFSET([2]quests!$A$1,0,0,COUNTA([2]quests!$A:$A),MATCH(E$1,[2]quests!$1:$1,0)-MATCH($B$1,[2]quests!$1:$1,0)+1),MATCH(E$1,[2]quests!$1:$1,0)-MATCH($B$1,[2]quests!$1:$1,0)+1,FALSE)</f>
        <v>嫁入り道具はチェーンソー</v>
      </c>
      <c r="F4" s="131" t="str">
        <f ca="1">VLOOKUP($D4,OFFSET([2]stages!$A$1,0,0,COUNTA([2]stages!$A:$A),MATCH(F$1,[2]stages!$2:$2,0)-MATCH($D$1,[2]stages!$2:$2,0)+1),MATCH(F$1,[2]stages!$2:$2,0)-MATCH($D$1,[2]stages!$2:$2,0)+1,FALSE)</f>
        <v>【上級】嫁入り道具はチェーンソー</v>
      </c>
      <c r="G4" s="129">
        <v>3</v>
      </c>
      <c r="H4" s="130" t="str">
        <f t="shared" ref="H4:H10" si="2">B4&amp;"_"&amp;C4&amp;"-"&amp;G4</f>
        <v>47016_1-3</v>
      </c>
      <c r="I4" s="131">
        <f ca="1">VLOOKUP($H4,OFFSET(floors!$A$1,0,0,COUNTA(floors!$A:$A),MATCH(I$1,floors!$1:$1,0)-MATCH($H$1,floors!$1:$1,0)+1),MATCH(I$1,floors!$1:$1,0)-MATCH($H$1,floors!$1:$1,0)+1,FALSE)</f>
        <v>60</v>
      </c>
      <c r="J4" s="131">
        <f ca="1">VLOOKUP($H4,OFFSET(floors!$A$1,0,0,COUNTA(floors!$A:$A),MATCH(J$1,floors!$1:$1,0)-MATCH($H$1,floors!$1:$1,0)+1),MATCH(J$1,floors!$1:$1,0)-MATCH($H$1,floors!$1:$1,0)+1,FALSE)</f>
        <v>60</v>
      </c>
      <c r="K4" s="132">
        <v>2</v>
      </c>
      <c r="L4" s="151">
        <v>1697</v>
      </c>
      <c r="M4" s="134" t="str">
        <f ca="1">VLOOKUP($L4,OFFSET([3]enemies!$A$1,0,0,COUNTA([3]enemies!$A:$A),MATCH(M$1,[3]enemies!$1:$1,0)-MATCH($L$1,[3]enemies!$1:$1,0)+1),MATCH(M$1,[3]enemies!$1:$1,0)-MATCH($L$1,[3]enemies!$1:$1,0)+1,FALSE)</f>
        <v>駆動する機会 ガーネット</v>
      </c>
      <c r="N4" s="134" t="str">
        <f ca="1">VLOOKUP($L4,OFFSET([3]enemies!$A$1,0,0,COUNTA([3]enemies!$A:$A),MATCH(N$1,[3]enemies!$1:$1,0)-MATCH($L$1,[3]enemies!$1:$1,0)+1),MATCH(N$1,[3]enemies!$1:$1,0)-MATCH($L$1,[3]enemies!$1:$1,0)+1,FALSE)</f>
        <v>red</v>
      </c>
      <c r="O4" s="134" t="str">
        <f ca="1">VLOOKUP($L4,OFFSET([4]characters!$A$1,0,0,COUNTA([4]characters!$A:$A),MATCH(O$1,[4]characters!$1:$1,0)-MATCH($L$1,[4]characters!$1:$1,0)+1),MATCH(O$1,[4]characters!$1:$1,0)-MATCH($L$1,[4]characters!$1:$1,0)+1,FALSE)</f>
        <v>DropWizS</v>
      </c>
      <c r="P4" s="134" t="str">
        <f ca="1">VLOOKUP($L4,OFFSET([3]enemies!$A$1,0,0,COUNTA([3]enemies!$A:$A),MATCH(P$1,[3]enemies!$1:$1,0)-MATCH($L$1,[3]enemies!$1:$1,0)+1),MATCH(P$1,[3]enemies!$1:$1,0)-MATCH($L$1,[3]enemies!$1:$1,0)+1,FALSE)</f>
        <v>human</v>
      </c>
      <c r="Q4" s="134">
        <f ca="1">VLOOKUP($L4,OFFSET([3]enemies!$A$1,0,0,COUNTA([3]enemies!$A:$A),MATCH(Q$1,[3]enemies!$1:$1,0)-MATCH($L$1,[3]enemies!$1:$1,0)+1),MATCH(Q$1,[3]enemies!$1:$1,0)-MATCH($L$1,[3]enemies!$1:$1,0)+1,FALSE)</f>
        <v>60</v>
      </c>
      <c r="R4" s="135">
        <v>40</v>
      </c>
      <c r="S4" s="136">
        <v>2</v>
      </c>
      <c r="T4" s="137">
        <f>7949*S4</f>
        <v>15898</v>
      </c>
      <c r="U4" s="136">
        <v>0.9</v>
      </c>
      <c r="V4" s="137">
        <f>3616*U4</f>
        <v>3254.4</v>
      </c>
      <c r="W4" s="135">
        <v>0</v>
      </c>
      <c r="X4" s="131" t="str">
        <f ca="1">VLOOKUP($Y4,OFFSET(enemy_skill_sets!$B$1,0,0,COUNTA(enemy_skill_sets!$B:$B),MATCH(M$1,enemy_skill_sets!$1:$1,0)-MATCH($Y$1,enemy_skill_sets!$1:$1,0)+2),MATCH(M$1,enemy_skill_sets!$1:$1,0)-MATCH($Y$1,enemy_skill_sets!$1:$1,0)+2,FALSE)</f>
        <v>状態異常耐性+_x000D_特定エリアを赤・緑パネルに変換</v>
      </c>
      <c r="Y4" s="175">
        <v>47016203</v>
      </c>
      <c r="Z4" s="152">
        <v>1</v>
      </c>
      <c r="AA4" s="152">
        <v>100</v>
      </c>
      <c r="AB4" s="152">
        <v>1</v>
      </c>
      <c r="AC4" s="153">
        <v>2</v>
      </c>
      <c r="AD4" s="154">
        <f t="shared" ref="AD4:AD10" si="3">L4</f>
        <v>1697</v>
      </c>
      <c r="AE4" s="131" t="str">
        <f ca="1">VLOOKUP($AD4,OFFSET([4]characters!$A$1,0,0,COUNTA([4]characters!$A:$A),MATCH(AE$1,[4]characters!$1:$1,0)-MATCH("character_id",[4]characters!$1:$1,0)+1),MATCH(AE$1,[4]characters!$1:$1,0)-MATCH("character_id",[4]characters!$1:$1,0)+1,FALSE)</f>
        <v>駆動する機会 ガーネット</v>
      </c>
      <c r="AF4" s="131">
        <f ca="1">VLOOKUP($AD4,OFFSET([4]characters!$A$1,0,0,COUNTA([4]characters!$A:$A),MATCH(AF$1,[4]characters!$1:$1,0)-MATCH("character_id",[4]characters!$1:$1,0)+1),MATCH(AF$1,[4]characters!$1:$1,0)-MATCH("character_id",[4]characters!$1:$1,0)+1,FALSE)</f>
        <v>6</v>
      </c>
      <c r="AG4" s="131" t="str">
        <f ca="1">VLOOKUP($AD4,OFFSET([4]characters!$A$1,0,0,COUNTA([4]characters!$A:$A),MATCH(AG$1,[4]characters!$1:$1,0)-MATCH("character_id",[4]characters!$1:$1,0)+1),MATCH(AG$1,[4]characters!$1:$1,0)-MATCH("character_id",[4]characters!$1:$1,0)+1,FALSE)</f>
        <v>DropWizS</v>
      </c>
      <c r="AH4" s="155">
        <v>1</v>
      </c>
      <c r="AI4" s="154">
        <f t="shared" ref="AI4:AI10" ca="1" si="4">AF4</f>
        <v>6</v>
      </c>
      <c r="AJ4" s="156">
        <v>25</v>
      </c>
      <c r="AK4" s="155">
        <v>0</v>
      </c>
      <c r="AL4" s="155">
        <v>0</v>
      </c>
      <c r="AM4" s="155">
        <v>0</v>
      </c>
      <c r="AN4" s="155">
        <v>0</v>
      </c>
      <c r="AO4" s="155">
        <v>1</v>
      </c>
      <c r="AP4" s="157">
        <v>1</v>
      </c>
    </row>
    <row r="5" spans="1:42" ht="21" customHeight="1" thickTop="1" x14ac:dyDescent="0.15">
      <c r="A5" s="16" t="str">
        <f t="shared" si="0"/>
        <v>47016_2-1/1713&lt;lv50&gt;s2</v>
      </c>
      <c r="B5" s="22">
        <v>47016</v>
      </c>
      <c r="C5" s="119">
        <v>2</v>
      </c>
      <c r="D5" s="120" t="str">
        <f t="shared" si="1"/>
        <v>47016_2</v>
      </c>
      <c r="E5" s="4" t="str">
        <f ca="1">VLOOKUP($B5,OFFSET([2]quests!$A$1,0,0,COUNTA([2]quests!$A:$A),MATCH(E$1,[2]quests!$1:$1,0)-MATCH($B$1,[2]quests!$1:$1,0)+1),MATCH(E$1,[2]quests!$1:$1,0)-MATCH($B$1,[2]quests!$1:$1,0)+1,FALSE)</f>
        <v>嫁入り道具はチェーンソー</v>
      </c>
      <c r="F5" s="4" t="str">
        <f ca="1">VLOOKUP($D5,OFFSET([2]stages!$A$1,0,0,COUNTA([2]stages!$A:$A),MATCH(F$1,[2]stages!$2:$2,0)-MATCH($D$1,[2]stages!$2:$2,0)+1),MATCH(F$1,[2]stages!$2:$2,0)-MATCH($D$1,[2]stages!$2:$2,0)+1,FALSE)</f>
        <v>【超級】嫁入り道具はチェーンソー</v>
      </c>
      <c r="G5" s="119">
        <v>1</v>
      </c>
      <c r="H5" s="120" t="str">
        <f t="shared" si="2"/>
        <v>47016_2-1</v>
      </c>
      <c r="I5" s="4">
        <f ca="1">VLOOKUP($H5,OFFSET(floors!$A$1,0,0,COUNTA(floors!$A:$A),MATCH(I$1,floors!$1:$1,0)-MATCH($H$1,floors!$1:$1,0)+1),MATCH(I$1,floors!$1:$1,0)-MATCH($H$1,floors!$1:$1,0)+1,FALSE)</f>
        <v>60</v>
      </c>
      <c r="J5" s="4">
        <f ca="1">VLOOKUP($H5,OFFSET(floors!$A$1,0,0,COUNTA(floors!$A:$A),MATCH(J$1,floors!$1:$1,0)-MATCH($H$1,floors!$1:$1,0)+1),MATCH(J$1,floors!$1:$1,0)-MATCH($H$1,floors!$1:$1,0)+1,FALSE)</f>
        <v>60</v>
      </c>
      <c r="K5" s="121" t="s">
        <v>53</v>
      </c>
      <c r="L5" s="140">
        <v>1713</v>
      </c>
      <c r="M5" s="17" t="str">
        <f ca="1">VLOOKUP($L5,OFFSET([3]enemies!$A$1,0,0,COUNTA([3]enemies!$A:$A),MATCH(M$1,[3]enemies!$1:$1,0)-MATCH($L$1,[3]enemies!$1:$1,0)+1),MATCH(M$1,[3]enemies!$1:$1,0)-MATCH($L$1,[3]enemies!$1:$1,0)+1,FALSE)</f>
        <v>誓約の挙剣 ジークフリート</v>
      </c>
      <c r="N5" s="17" t="str">
        <f ca="1">VLOOKUP($L5,OFFSET([3]enemies!$A$1,0,0,COUNTA([3]enemies!$A:$A),MATCH(N$1,[3]enemies!$1:$1,0)-MATCH($L$1,[3]enemies!$1:$1,0)+1),MATCH(N$1,[3]enemies!$1:$1,0)-MATCH($L$1,[3]enemies!$1:$1,0)+1,FALSE)</f>
        <v>red</v>
      </c>
      <c r="O5" s="17" t="str">
        <f ca="1">VLOOKUP($L5,OFFSET([4]characters!$A$1,0,0,COUNTA([4]characters!$A:$A),MATCH(O$1,[4]characters!$1:$1,0)-MATCH($L$1,[4]characters!$1:$1,0)+1),MATCH(O$1,[4]characters!$1:$1,0)-MATCH($L$1,[4]characters!$1:$1,0)+1,FALSE)</f>
        <v>PremiumS</v>
      </c>
      <c r="P5" s="17" t="str">
        <f ca="1">VLOOKUP($L5,OFFSET([3]enemies!$A$1,0,0,COUNTA([3]enemies!$A:$A),MATCH(P$1,[3]enemies!$1:$1,0)-MATCH($L$1,[3]enemies!$1:$1,0)+1),MATCH(P$1,[3]enemies!$1:$1,0)-MATCH($L$1,[3]enemies!$1:$1,0)+1,FALSE)</f>
        <v>human</v>
      </c>
      <c r="Q5" s="17">
        <f ca="1">VLOOKUP($L5,OFFSET([3]enemies!$A$1,0,0,COUNTA([3]enemies!$A:$A),MATCH(Q$1,[3]enemies!$1:$1,0)-MATCH($L$1,[3]enemies!$1:$1,0)+1),MATCH(Q$1,[3]enemies!$1:$1,0)-MATCH($L$1,[3]enemies!$1:$1,0)+1,FALSE)</f>
        <v>60</v>
      </c>
      <c r="R5" s="123">
        <v>50</v>
      </c>
      <c r="S5" s="124">
        <v>2.8</v>
      </c>
      <c r="T5" s="125">
        <f>4755*S5</f>
        <v>13314</v>
      </c>
      <c r="U5" s="124">
        <v>1.4</v>
      </c>
      <c r="V5" s="125">
        <f>3320*U5</f>
        <v>4648</v>
      </c>
      <c r="W5" s="123">
        <v>0</v>
      </c>
      <c r="X5" s="4" t="str">
        <f ca="1">VLOOKUP($Y5,OFFSET(enemy_skill_sets!$B$1,0,0,COUNTA(enemy_skill_sets!$B:$B),MATCH(M$1,enemy_skill_sets!$1:$1,0)-MATCH($Y$1,enemy_skill_sets!$1:$1,0)+2),MATCH(M$1,enemy_skill_sets!$1:$1,0)-MATCH($Y$1,enemy_skill_sets!$1:$1,0)+2,FALSE)</f>
        <v>全ユニットのスキルターンを3ターン短縮</v>
      </c>
      <c r="Y5" s="173">
        <v>47016200</v>
      </c>
      <c r="Z5" s="142">
        <v>1</v>
      </c>
      <c r="AA5" s="142">
        <v>100</v>
      </c>
      <c r="AB5" s="142">
        <v>1</v>
      </c>
      <c r="AC5" s="104">
        <v>2</v>
      </c>
      <c r="AD5" s="215">
        <v>1717</v>
      </c>
      <c r="AE5" s="4" t="str">
        <f ca="1">VLOOKUP($AD5,OFFSET([4]characters!$A$1,0,0,COUNTA([4]characters!$A:$A),MATCH(AE$1,[4]characters!$1:$1,0)-MATCH("character_id",[4]characters!$1:$1,0)+1),MATCH(AE$1,[4]characters!$1:$1,0)-MATCH("character_id",[4]characters!$1:$1,0)+1,FALSE)</f>
        <v>ラブリーエンジェル</v>
      </c>
      <c r="AF5" s="4">
        <f ca="1">VLOOKUP($AD5,OFFSET([4]characters!$A$1,0,0,COUNTA([4]characters!$A:$A),MATCH(AF$1,[4]characters!$1:$1,0)-MATCH("character_id",[4]characters!$1:$1,0)+1),MATCH(AF$1,[4]characters!$1:$1,0)-MATCH("character_id",[4]characters!$1:$1,0)+1,FALSE)</f>
        <v>4</v>
      </c>
      <c r="AG5" s="4" t="str">
        <f ca="1">VLOOKUP($AD5,OFFSET([4]characters!$A$1,0,0,COUNTA([4]characters!$A:$A),MATCH(AG$1,[4]characters!$1:$1,0)-MATCH("character_id",[4]characters!$1:$1,0)+1),MATCH(AG$1,[4]characters!$1:$1,0)-MATCH("character_id",[4]characters!$1:$1,0)+1,FALSE)</f>
        <v>Material</v>
      </c>
      <c r="AH5" s="144">
        <v>1</v>
      </c>
      <c r="AI5" s="143">
        <f t="shared" ca="1" si="4"/>
        <v>4</v>
      </c>
      <c r="AJ5" s="145">
        <v>75</v>
      </c>
      <c r="AK5" s="144">
        <v>0</v>
      </c>
      <c r="AL5" s="144">
        <v>0</v>
      </c>
      <c r="AM5" s="144">
        <v>0</v>
      </c>
      <c r="AN5" s="144">
        <v>0</v>
      </c>
      <c r="AO5" s="144">
        <v>1</v>
      </c>
      <c r="AP5" s="146">
        <v>1</v>
      </c>
    </row>
    <row r="6" spans="1:42" ht="21" customHeight="1" x14ac:dyDescent="0.15">
      <c r="A6" s="16" t="str">
        <f t="shared" si="0"/>
        <v>47016_2-2/1709&lt;lv60&gt;s2</v>
      </c>
      <c r="B6" s="22">
        <v>47016</v>
      </c>
      <c r="C6" s="21">
        <v>2</v>
      </c>
      <c r="D6" s="2" t="str">
        <f t="shared" si="1"/>
        <v>47016_2</v>
      </c>
      <c r="E6" s="4" t="str">
        <f ca="1">VLOOKUP($B6,OFFSET([2]quests!$A$1,0,0,COUNTA([2]quests!$A:$A),MATCH(E$1,[2]quests!$1:$1,0)-MATCH($B$1,[2]quests!$1:$1,0)+1),MATCH(E$1,[2]quests!$1:$1,0)-MATCH($B$1,[2]quests!$1:$1,0)+1,FALSE)</f>
        <v>嫁入り道具はチェーンソー</v>
      </c>
      <c r="F6" s="4" t="str">
        <f ca="1">VLOOKUP($D6,OFFSET([2]stages!$A$1,0,0,COUNTA([2]stages!$A:$A),MATCH(F$1,[2]stages!$2:$2,0)-MATCH($D$1,[2]stages!$2:$2,0)+1),MATCH(F$1,[2]stages!$2:$2,0)-MATCH($D$1,[2]stages!$2:$2,0)+1,FALSE)</f>
        <v>【超級】嫁入り道具はチェーンソー</v>
      </c>
      <c r="G6" s="21">
        <v>2</v>
      </c>
      <c r="H6" s="15" t="str">
        <f t="shared" si="2"/>
        <v>47016_2-2</v>
      </c>
      <c r="I6" s="4">
        <f ca="1">VLOOKUP($H6,OFFSET(floors!$A$1,0,0,COUNTA(floors!$A:$A),MATCH(I$1,floors!$1:$1,0)-MATCH($H$1,floors!$1:$1,0)+1),MATCH(I$1,floors!$1:$1,0)-MATCH($H$1,floors!$1:$1,0)+1,FALSE)</f>
        <v>60</v>
      </c>
      <c r="J6" s="4">
        <f ca="1">VLOOKUP($H6,OFFSET(floors!$A$1,0,0,COUNTA(floors!$A:$A),MATCH(J$1,floors!$1:$1,0)-MATCH($H$1,floors!$1:$1,0)+1),MATCH(J$1,floors!$1:$1,0)-MATCH($H$1,floors!$1:$1,0)+1,FALSE)</f>
        <v>60</v>
      </c>
      <c r="K6" s="38">
        <v>3</v>
      </c>
      <c r="L6" s="20">
        <v>1709</v>
      </c>
      <c r="M6" s="17" t="str">
        <f ca="1">VLOOKUP($L6,OFFSET([3]enemies!$A$1,0,0,COUNTA([3]enemies!$A:$A),MATCH(M$1,[3]enemies!$1:$1,0)-MATCH($L$1,[3]enemies!$1:$1,0)+1),MATCH(M$1,[3]enemies!$1:$1,0)-MATCH($L$1,[3]enemies!$1:$1,0)+1,FALSE)</f>
        <v>情花降る神婦 イズン</v>
      </c>
      <c r="N6" s="17" t="str">
        <f ca="1">VLOOKUP($L6,OFFSET([3]enemies!$A$1,0,0,COUNTA([3]enemies!$A:$A),MATCH(N$1,[3]enemies!$1:$1,0)-MATCH($L$1,[3]enemies!$1:$1,0)+1),MATCH(N$1,[3]enemies!$1:$1,0)-MATCH($L$1,[3]enemies!$1:$1,0)+1,FALSE)</f>
        <v>blue</v>
      </c>
      <c r="O6" s="17" t="str">
        <f ca="1">VLOOKUP($L6,OFFSET([4]characters!$A$1,0,0,COUNTA([4]characters!$A:$A),MATCH(O$1,[4]characters!$1:$1,0)-MATCH($L$1,[4]characters!$1:$1,0)+1),MATCH(O$1,[4]characters!$1:$1,0)-MATCH($L$1,[4]characters!$1:$1,0)+1,FALSE)</f>
        <v>PremiumSS</v>
      </c>
      <c r="P6" s="17" t="str">
        <f ca="1">VLOOKUP($L6,OFFSET([3]enemies!$A$1,0,0,COUNTA([3]enemies!$A:$A),MATCH(P$1,[3]enemies!$1:$1,0)-MATCH($L$1,[3]enemies!$1:$1,0)+1),MATCH(P$1,[3]enemies!$1:$1,0)-MATCH($L$1,[3]enemies!$1:$1,0)+1,FALSE)</f>
        <v>god</v>
      </c>
      <c r="Q6" s="17">
        <f ca="1">VLOOKUP($L6,OFFSET([3]enemies!$A$1,0,0,COUNTA([3]enemies!$A:$A),MATCH(Q$1,[3]enemies!$1:$1,0)-MATCH($L$1,[3]enemies!$1:$1,0)+1),MATCH(Q$1,[3]enemies!$1:$1,0)-MATCH($L$1,[3]enemies!$1:$1,0)+1,FALSE)</f>
        <v>60</v>
      </c>
      <c r="R6" s="5">
        <v>60</v>
      </c>
      <c r="S6" s="25">
        <v>2</v>
      </c>
      <c r="T6" s="101">
        <f>5388*S6</f>
        <v>10776</v>
      </c>
      <c r="U6" s="25">
        <v>0.8</v>
      </c>
      <c r="V6" s="101">
        <f>4204*U6</f>
        <v>3363.2000000000003</v>
      </c>
      <c r="W6" s="5">
        <v>0</v>
      </c>
      <c r="X6" s="4" t="str">
        <f ca="1">VLOOKUP($Y6,OFFSET(enemy_skill_sets!$B$1,0,0,COUNTA(enemy_skill_sets!$B:$B),MATCH(M$1,enemy_skill_sets!$1:$1,0)-MATCH($Y$1,enemy_skill_sets!$1:$1,0)+2),MATCH(M$1,enemy_skill_sets!$1:$1,0)-MATCH($Y$1,enemy_skill_sets!$1:$1,0)+2,FALSE)</f>
        <v>あ…アサガオのブーケ、どうぞ！_x000D_【特定エリアを青・ハートパネルに変換】</v>
      </c>
      <c r="Y6" s="114">
        <v>47016201</v>
      </c>
      <c r="Z6" s="6">
        <v>1</v>
      </c>
      <c r="AA6" s="6">
        <v>100</v>
      </c>
      <c r="AB6" s="6">
        <v>1</v>
      </c>
      <c r="AC6" s="104">
        <v>2</v>
      </c>
      <c r="AD6" s="215">
        <v>1717</v>
      </c>
      <c r="AE6" s="4" t="str">
        <f ca="1">VLOOKUP($AD6,OFFSET([4]characters!$A$1,0,0,COUNTA([4]characters!$A:$A),MATCH(AE$1,[4]characters!$1:$1,0)-MATCH("character_id",[4]characters!$1:$1,0)+1),MATCH(AE$1,[4]characters!$1:$1,0)-MATCH("character_id",[4]characters!$1:$1,0)+1,FALSE)</f>
        <v>ラブリーエンジェル</v>
      </c>
      <c r="AF6" s="4">
        <f ca="1">VLOOKUP($AD6,OFFSET([4]characters!$A$1,0,0,COUNTA([4]characters!$A:$A),MATCH(AF$1,[4]characters!$1:$1,0)-MATCH("character_id",[4]characters!$1:$1,0)+1),MATCH(AF$1,[4]characters!$1:$1,0)-MATCH("character_id",[4]characters!$1:$1,0)+1,FALSE)</f>
        <v>4</v>
      </c>
      <c r="AG6" s="4" t="str">
        <f ca="1">VLOOKUP($AD6,OFFSET([4]characters!$A$1,0,0,COUNTA([4]characters!$A:$A),MATCH(AG$1,[4]characters!$1:$1,0)-MATCH("character_id",[4]characters!$1:$1,0)+1),MATCH(AG$1,[4]characters!$1:$1,0)-MATCH("character_id",[4]characters!$1:$1,0)+1,FALSE)</f>
        <v>Material</v>
      </c>
      <c r="AH6" s="7">
        <v>1</v>
      </c>
      <c r="AI6" s="24">
        <f t="shared" ca="1" si="4"/>
        <v>4</v>
      </c>
      <c r="AJ6" s="8">
        <v>75</v>
      </c>
      <c r="AK6" s="7">
        <v>0</v>
      </c>
      <c r="AL6" s="7">
        <v>0</v>
      </c>
      <c r="AM6" s="7">
        <v>0</v>
      </c>
      <c r="AN6" s="7">
        <v>0</v>
      </c>
      <c r="AO6" s="7">
        <v>1</v>
      </c>
      <c r="AP6" s="68">
        <v>1</v>
      </c>
    </row>
    <row r="7" spans="1:42" ht="21" customHeight="1" thickBot="1" x14ac:dyDescent="0.2">
      <c r="A7" s="16" t="str">
        <f t="shared" si="0"/>
        <v>47016_2-3/1697&lt;lv60&gt;s2</v>
      </c>
      <c r="B7" s="128">
        <v>47016</v>
      </c>
      <c r="C7" s="129">
        <v>2</v>
      </c>
      <c r="D7" s="130" t="str">
        <f t="shared" si="1"/>
        <v>47016_2</v>
      </c>
      <c r="E7" s="131" t="str">
        <f ca="1">VLOOKUP($B7,OFFSET([2]quests!$A$1,0,0,COUNTA([2]quests!$A:$A),MATCH(E$1,[2]quests!$1:$1,0)-MATCH($B$1,[2]quests!$1:$1,0)+1),MATCH(E$1,[2]quests!$1:$1,0)-MATCH($B$1,[2]quests!$1:$1,0)+1,FALSE)</f>
        <v>嫁入り道具はチェーンソー</v>
      </c>
      <c r="F7" s="131" t="str">
        <f ca="1">VLOOKUP($D7,OFFSET([2]stages!$A$1,0,0,COUNTA([2]stages!$A:$A),MATCH(F$1,[2]stages!$2:$2,0)-MATCH($D$1,[2]stages!$2:$2,0)+1),MATCH(F$1,[2]stages!$2:$2,0)-MATCH($D$1,[2]stages!$2:$2,0)+1,FALSE)</f>
        <v>【超級】嫁入り道具はチェーンソー</v>
      </c>
      <c r="G7" s="129">
        <v>3</v>
      </c>
      <c r="H7" s="130" t="str">
        <f t="shared" si="2"/>
        <v>47016_2-3</v>
      </c>
      <c r="I7" s="131">
        <f ca="1">VLOOKUP($H7,OFFSET(floors!$A$1,0,0,COUNTA(floors!$A:$A),MATCH(I$1,floors!$1:$1,0)-MATCH($H$1,floors!$1:$1,0)+1),MATCH(I$1,floors!$1:$1,0)-MATCH($H$1,floors!$1:$1,0)+1,FALSE)</f>
        <v>60</v>
      </c>
      <c r="J7" s="131">
        <f ca="1">VLOOKUP($H7,OFFSET(floors!$A$1,0,0,COUNTA(floors!$A:$A),MATCH(J$1,floors!$1:$1,0)-MATCH($H$1,floors!$1:$1,0)+1),MATCH(J$1,floors!$1:$1,0)-MATCH($H$1,floors!$1:$1,0)+1,FALSE)</f>
        <v>60</v>
      </c>
      <c r="K7" s="132">
        <v>4</v>
      </c>
      <c r="L7" s="151">
        <v>1697</v>
      </c>
      <c r="M7" s="134" t="str">
        <f ca="1">VLOOKUP($L7,OFFSET([3]enemies!$A$1,0,0,COUNTA([3]enemies!$A:$A),MATCH(M$1,[3]enemies!$1:$1,0)-MATCH($L$1,[3]enemies!$1:$1,0)+1),MATCH(M$1,[3]enemies!$1:$1,0)-MATCH($L$1,[3]enemies!$1:$1,0)+1,FALSE)</f>
        <v>駆動する機会 ガーネット</v>
      </c>
      <c r="N7" s="134" t="str">
        <f ca="1">VLOOKUP($L7,OFFSET([3]enemies!$A$1,0,0,COUNTA([3]enemies!$A:$A),MATCH(N$1,[3]enemies!$1:$1,0)-MATCH($L$1,[3]enemies!$1:$1,0)+1),MATCH(N$1,[3]enemies!$1:$1,0)-MATCH($L$1,[3]enemies!$1:$1,0)+1,FALSE)</f>
        <v>red</v>
      </c>
      <c r="O7" s="134" t="str">
        <f ca="1">VLOOKUP($L7,OFFSET([4]characters!$A$1,0,0,COUNTA([4]characters!$A:$A),MATCH(O$1,[4]characters!$1:$1,0)-MATCH($L$1,[4]characters!$1:$1,0)+1),MATCH(O$1,[4]characters!$1:$1,0)-MATCH($L$1,[4]characters!$1:$1,0)+1,FALSE)</f>
        <v>DropWizS</v>
      </c>
      <c r="P7" s="134" t="str">
        <f ca="1">VLOOKUP($L7,OFFSET([3]enemies!$A$1,0,0,COUNTA([3]enemies!$A:$A),MATCH(P$1,[3]enemies!$1:$1,0)-MATCH($L$1,[3]enemies!$1:$1,0)+1),MATCH(P$1,[3]enemies!$1:$1,0)-MATCH($L$1,[3]enemies!$1:$1,0)+1,FALSE)</f>
        <v>human</v>
      </c>
      <c r="Q7" s="134">
        <f ca="1">VLOOKUP($L7,OFFSET([3]enemies!$A$1,0,0,COUNTA([3]enemies!$A:$A),MATCH(Q$1,[3]enemies!$1:$1,0)-MATCH($L$1,[3]enemies!$1:$1,0)+1),MATCH(Q$1,[3]enemies!$1:$1,0)-MATCH($L$1,[3]enemies!$1:$1,0)+1,FALSE)</f>
        <v>60</v>
      </c>
      <c r="R7" s="135">
        <v>60</v>
      </c>
      <c r="S7" s="136">
        <v>3.1</v>
      </c>
      <c r="T7" s="137">
        <f>8220*S7</f>
        <v>25482</v>
      </c>
      <c r="U7" s="136">
        <v>0.9</v>
      </c>
      <c r="V7" s="137">
        <f>3739*U7</f>
        <v>3365.1</v>
      </c>
      <c r="W7" s="135">
        <v>0</v>
      </c>
      <c r="X7" s="131" t="str">
        <f ca="1">VLOOKUP($Y7,OFFSET(enemy_skill_sets!$B$1,0,0,COUNTA(enemy_skill_sets!$B:$B),MATCH(M$1,enemy_skill_sets!$1:$1,0)-MATCH($Y$1,enemy_skill_sets!$1:$1,0)+2),MATCH(M$1,enemy_skill_sets!$1:$1,0)-MATCH($Y$1,enemy_skill_sets!$1:$1,0)+2,FALSE)</f>
        <v>状態異常耐性+_x000D_特定エリアを赤・緑パネルに変換</v>
      </c>
      <c r="Y7" s="175">
        <v>47016203</v>
      </c>
      <c r="Z7" s="152">
        <v>1</v>
      </c>
      <c r="AA7" s="152">
        <v>100</v>
      </c>
      <c r="AB7" s="152">
        <v>1</v>
      </c>
      <c r="AC7" s="153">
        <v>2</v>
      </c>
      <c r="AD7" s="154">
        <f t="shared" si="3"/>
        <v>1697</v>
      </c>
      <c r="AE7" s="131" t="str">
        <f ca="1">VLOOKUP($AD7,OFFSET([4]characters!$A$1,0,0,COUNTA([4]characters!$A:$A),MATCH(AE$1,[4]characters!$1:$1,0)-MATCH("character_id",[4]characters!$1:$1,0)+1),MATCH(AE$1,[4]characters!$1:$1,0)-MATCH("character_id",[4]characters!$1:$1,0)+1,FALSE)</f>
        <v>駆動する機会 ガーネット</v>
      </c>
      <c r="AF7" s="131">
        <f ca="1">VLOOKUP($AD7,OFFSET([4]characters!$A$1,0,0,COUNTA([4]characters!$A:$A),MATCH(AF$1,[4]characters!$1:$1,0)-MATCH("character_id",[4]characters!$1:$1,0)+1),MATCH(AF$1,[4]characters!$1:$1,0)-MATCH("character_id",[4]characters!$1:$1,0)+1,FALSE)</f>
        <v>6</v>
      </c>
      <c r="AG7" s="131" t="str">
        <f ca="1">VLOOKUP($AD7,OFFSET([4]characters!$A$1,0,0,COUNTA([4]characters!$A:$A),MATCH(AG$1,[4]characters!$1:$1,0)-MATCH("character_id",[4]characters!$1:$1,0)+1),MATCH(AG$1,[4]characters!$1:$1,0)-MATCH("character_id",[4]characters!$1:$1,0)+1,FALSE)</f>
        <v>DropWizS</v>
      </c>
      <c r="AH7" s="155">
        <v>1</v>
      </c>
      <c r="AI7" s="154">
        <f t="shared" ca="1" si="4"/>
        <v>6</v>
      </c>
      <c r="AJ7" s="156">
        <v>55</v>
      </c>
      <c r="AK7" s="155">
        <v>0</v>
      </c>
      <c r="AL7" s="155">
        <v>0</v>
      </c>
      <c r="AM7" s="155">
        <v>0</v>
      </c>
      <c r="AN7" s="155">
        <v>0</v>
      </c>
      <c r="AO7" s="155">
        <v>1</v>
      </c>
      <c r="AP7" s="157">
        <v>1</v>
      </c>
    </row>
    <row r="8" spans="1:42" ht="21" customHeight="1" thickTop="1" x14ac:dyDescent="0.15">
      <c r="A8" s="16" t="str">
        <f t="shared" si="0"/>
        <v>47016_3-1/1713&lt;lv80&gt;s2</v>
      </c>
      <c r="B8" s="22">
        <v>47016</v>
      </c>
      <c r="C8" s="119">
        <v>3</v>
      </c>
      <c r="D8" s="120" t="str">
        <f t="shared" si="1"/>
        <v>47016_3</v>
      </c>
      <c r="E8" s="4" t="str">
        <f ca="1">VLOOKUP($B8,OFFSET([2]quests!$A$1,0,0,COUNTA([2]quests!$A:$A),MATCH(E$1,[2]quests!$1:$1,0)-MATCH($B$1,[2]quests!$1:$1,0)+1),MATCH(E$1,[2]quests!$1:$1,0)-MATCH($B$1,[2]quests!$1:$1,0)+1,FALSE)</f>
        <v>嫁入り道具はチェーンソー</v>
      </c>
      <c r="F8" s="4" t="str">
        <f ca="1">VLOOKUP($D8,OFFSET([2]stages!$A$1,0,0,COUNTA([2]stages!$A:$A),MATCH(F$1,[2]stages!$2:$2,0)-MATCH($D$1,[2]stages!$2:$2,0)+1),MATCH(F$1,[2]stages!$2:$2,0)-MATCH($D$1,[2]stages!$2:$2,0)+1,FALSE)</f>
        <v>【ｳｨｻﾞ】嫁入り道具はチェーンソー</v>
      </c>
      <c r="G8" s="119">
        <v>1</v>
      </c>
      <c r="H8" s="120" t="str">
        <f t="shared" si="2"/>
        <v>47016_3-1</v>
      </c>
      <c r="I8" s="4">
        <f ca="1">VLOOKUP($H8,OFFSET(floors!$A$1,0,0,COUNTA(floors!$A:$A),MATCH(I$1,floors!$1:$1,0)-MATCH($H$1,floors!$1:$1,0)+1),MATCH(I$1,floors!$1:$1,0)-MATCH($H$1,floors!$1:$1,0)+1,FALSE)</f>
        <v>60</v>
      </c>
      <c r="J8" s="4">
        <f ca="1">VLOOKUP($H8,OFFSET(floors!$A$1,0,0,COUNTA(floors!$A:$A),MATCH(J$1,floors!$1:$1,0)-MATCH($H$1,floors!$1:$1,0)+1),MATCH(J$1,floors!$1:$1,0)-MATCH($H$1,floors!$1:$1,0)+1,FALSE)</f>
        <v>60</v>
      </c>
      <c r="K8" s="121" t="s">
        <v>53</v>
      </c>
      <c r="L8" s="140">
        <v>1713</v>
      </c>
      <c r="M8" s="17" t="str">
        <f ca="1">VLOOKUP($L8,OFFSET([3]enemies!$A$1,0,0,COUNTA([3]enemies!$A:$A),MATCH(M$1,[3]enemies!$1:$1,0)-MATCH($L$1,[3]enemies!$1:$1,0)+1),MATCH(M$1,[3]enemies!$1:$1,0)-MATCH($L$1,[3]enemies!$1:$1,0)+1,FALSE)</f>
        <v>誓約の挙剣 ジークフリート</v>
      </c>
      <c r="N8" s="17" t="str">
        <f ca="1">VLOOKUP($L8,OFFSET([3]enemies!$A$1,0,0,COUNTA([3]enemies!$A:$A),MATCH(N$1,[3]enemies!$1:$1,0)-MATCH($L$1,[3]enemies!$1:$1,0)+1),MATCH(N$1,[3]enemies!$1:$1,0)-MATCH($L$1,[3]enemies!$1:$1,0)+1,FALSE)</f>
        <v>red</v>
      </c>
      <c r="O8" s="17" t="str">
        <f ca="1">VLOOKUP($L8,OFFSET([4]characters!$A$1,0,0,COUNTA([4]characters!$A:$A),MATCH(O$1,[4]characters!$1:$1,0)-MATCH($L$1,[4]characters!$1:$1,0)+1),MATCH(O$1,[4]characters!$1:$1,0)-MATCH($L$1,[4]characters!$1:$1,0)+1,FALSE)</f>
        <v>PremiumS</v>
      </c>
      <c r="P8" s="17" t="str">
        <f ca="1">VLOOKUP($L8,OFFSET([3]enemies!$A$1,0,0,COUNTA([3]enemies!$A:$A),MATCH(P$1,[3]enemies!$1:$1,0)-MATCH($L$1,[3]enemies!$1:$1,0)+1),MATCH(P$1,[3]enemies!$1:$1,0)-MATCH($L$1,[3]enemies!$1:$1,0)+1,FALSE)</f>
        <v>human</v>
      </c>
      <c r="Q8" s="17">
        <f ca="1">VLOOKUP($L8,OFFSET([3]enemies!$A$1,0,0,COUNTA([3]enemies!$A:$A),MATCH(Q$1,[3]enemies!$1:$1,0)-MATCH($L$1,[3]enemies!$1:$1,0)+1),MATCH(Q$1,[3]enemies!$1:$1,0)-MATCH($L$1,[3]enemies!$1:$1,0)+1,FALSE)</f>
        <v>60</v>
      </c>
      <c r="R8" s="123">
        <v>80</v>
      </c>
      <c r="S8" s="124">
        <v>2.9</v>
      </c>
      <c r="T8" s="125">
        <f>130237*S8</f>
        <v>377687.3</v>
      </c>
      <c r="U8" s="124">
        <v>1.7</v>
      </c>
      <c r="V8" s="125">
        <f>8987*U8</f>
        <v>15277.9</v>
      </c>
      <c r="W8" s="123">
        <v>0</v>
      </c>
      <c r="X8" s="4" t="str">
        <f ca="1">VLOOKUP($Y8,OFFSET(enemy_skill_sets!$B$1,0,0,COUNTA(enemy_skill_sets!$B:$B),MATCH(M$1,enemy_skill_sets!$1:$1,0)-MATCH($Y$1,enemy_skill_sets!$1:$1,0)+2),MATCH(M$1,enemy_skill_sets!$1:$1,0)-MATCH($Y$1,enemy_skill_sets!$1:$1,0)+2,FALSE)</f>
        <v>全ユニットのスキルターンを3ターン短縮</v>
      </c>
      <c r="Y8" s="141">
        <v>47016100</v>
      </c>
      <c r="Z8" s="142">
        <v>1</v>
      </c>
      <c r="AA8" s="142">
        <v>100</v>
      </c>
      <c r="AB8" s="142">
        <v>1</v>
      </c>
      <c r="AC8" s="104">
        <v>2</v>
      </c>
      <c r="AD8" s="215">
        <v>1717</v>
      </c>
      <c r="AE8" s="4" t="str">
        <f ca="1">VLOOKUP($AD8,OFFSET([4]characters!$A$1,0,0,COUNTA([4]characters!$A:$A),MATCH(AE$1,[4]characters!$1:$1,0)-MATCH("character_id",[4]characters!$1:$1,0)+1),MATCH(AE$1,[4]characters!$1:$1,0)-MATCH("character_id",[4]characters!$1:$1,0)+1,FALSE)</f>
        <v>ラブリーエンジェル</v>
      </c>
      <c r="AF8" s="4">
        <f ca="1">VLOOKUP($AD8,OFFSET([4]characters!$A$1,0,0,COUNTA([4]characters!$A:$A),MATCH(AF$1,[4]characters!$1:$1,0)-MATCH("character_id",[4]characters!$1:$1,0)+1),MATCH(AF$1,[4]characters!$1:$1,0)-MATCH("character_id",[4]characters!$1:$1,0)+1,FALSE)</f>
        <v>4</v>
      </c>
      <c r="AG8" s="4" t="str">
        <f ca="1">VLOOKUP($AD8,OFFSET([4]characters!$A$1,0,0,COUNTA([4]characters!$A:$A),MATCH(AG$1,[4]characters!$1:$1,0)-MATCH("character_id",[4]characters!$1:$1,0)+1),MATCH(AG$1,[4]characters!$1:$1,0)-MATCH("character_id",[4]characters!$1:$1,0)+1,FALSE)</f>
        <v>Material</v>
      </c>
      <c r="AH8" s="144">
        <v>1</v>
      </c>
      <c r="AI8" s="143">
        <f t="shared" ca="1" si="4"/>
        <v>4</v>
      </c>
      <c r="AJ8" s="145">
        <v>85</v>
      </c>
      <c r="AK8" s="144">
        <v>0</v>
      </c>
      <c r="AL8" s="144">
        <v>0</v>
      </c>
      <c r="AM8" s="144">
        <v>0</v>
      </c>
      <c r="AN8" s="144">
        <v>0</v>
      </c>
      <c r="AO8" s="144">
        <v>1</v>
      </c>
      <c r="AP8" s="146">
        <v>1</v>
      </c>
    </row>
    <row r="9" spans="1:42" ht="21" customHeight="1" x14ac:dyDescent="0.15">
      <c r="A9" s="16" t="str">
        <f t="shared" si="0"/>
        <v>47016_3-2/1709&lt;lv99&gt;s2</v>
      </c>
      <c r="B9" s="22">
        <v>47016</v>
      </c>
      <c r="C9" s="21">
        <v>3</v>
      </c>
      <c r="D9" s="2" t="str">
        <f t="shared" si="1"/>
        <v>47016_3</v>
      </c>
      <c r="E9" s="4" t="str">
        <f ca="1">VLOOKUP($B9,OFFSET([2]quests!$A$1,0,0,COUNTA([2]quests!$A:$A),MATCH(E$1,[2]quests!$1:$1,0)-MATCH($B$1,[2]quests!$1:$1,0)+1),MATCH(E$1,[2]quests!$1:$1,0)-MATCH($B$1,[2]quests!$1:$1,0)+1,FALSE)</f>
        <v>嫁入り道具はチェーンソー</v>
      </c>
      <c r="F9" s="4" t="str">
        <f ca="1">VLOOKUP($D9,OFFSET([2]stages!$A$1,0,0,COUNTA([2]stages!$A:$A),MATCH(F$1,[2]stages!$2:$2,0)-MATCH($D$1,[2]stages!$2:$2,0)+1),MATCH(F$1,[2]stages!$2:$2,0)-MATCH($D$1,[2]stages!$2:$2,0)+1,FALSE)</f>
        <v>【ｳｨｻﾞ】嫁入り道具はチェーンソー</v>
      </c>
      <c r="G9" s="21">
        <v>2</v>
      </c>
      <c r="H9" s="15" t="str">
        <f t="shared" si="2"/>
        <v>47016_3-2</v>
      </c>
      <c r="I9" s="4">
        <f ca="1">VLOOKUP($H9,OFFSET(floors!$A$1,0,0,COUNTA(floors!$A:$A),MATCH(I$1,floors!$1:$1,0)-MATCH($H$1,floors!$1:$1,0)+1),MATCH(I$1,floors!$1:$1,0)-MATCH($H$1,floors!$1:$1,0)+1,FALSE)</f>
        <v>60</v>
      </c>
      <c r="J9" s="4">
        <f ca="1">VLOOKUP($H9,OFFSET(floors!$A$1,0,0,COUNTA(floors!$A:$A),MATCH(J$1,floors!$1:$1,0)-MATCH($H$1,floors!$1:$1,0)+1),MATCH(J$1,floors!$1:$1,0)-MATCH($H$1,floors!$1:$1,0)+1,FALSE)</f>
        <v>60</v>
      </c>
      <c r="K9" s="38">
        <v>5</v>
      </c>
      <c r="L9" s="20">
        <v>1709</v>
      </c>
      <c r="M9" s="17" t="str">
        <f ca="1">VLOOKUP($L9,OFFSET([3]enemies!$A$1,0,0,COUNTA([3]enemies!$A:$A),MATCH(M$1,[3]enemies!$1:$1,0)-MATCH($L$1,[3]enemies!$1:$1,0)+1),MATCH(M$1,[3]enemies!$1:$1,0)-MATCH($L$1,[3]enemies!$1:$1,0)+1,FALSE)</f>
        <v>情花降る神婦 イズン</v>
      </c>
      <c r="N9" s="17" t="str">
        <f ca="1">VLOOKUP($L9,OFFSET([3]enemies!$A$1,0,0,COUNTA([3]enemies!$A:$A),MATCH(N$1,[3]enemies!$1:$1,0)-MATCH($L$1,[3]enemies!$1:$1,0)+1),MATCH(N$1,[3]enemies!$1:$1,0)-MATCH($L$1,[3]enemies!$1:$1,0)+1,FALSE)</f>
        <v>blue</v>
      </c>
      <c r="O9" s="17" t="str">
        <f ca="1">VLOOKUP($L9,OFFSET([4]characters!$A$1,0,0,COUNTA([4]characters!$A:$A),MATCH(O$1,[4]characters!$1:$1,0)-MATCH($L$1,[4]characters!$1:$1,0)+1),MATCH(O$1,[4]characters!$1:$1,0)-MATCH($L$1,[4]characters!$1:$1,0)+1,FALSE)</f>
        <v>PremiumSS</v>
      </c>
      <c r="P9" s="17" t="str">
        <f ca="1">VLOOKUP($L9,OFFSET([3]enemies!$A$1,0,0,COUNTA([3]enemies!$A:$A),MATCH(P$1,[3]enemies!$1:$1,0)-MATCH($L$1,[3]enemies!$1:$1,0)+1),MATCH(P$1,[3]enemies!$1:$1,0)-MATCH($L$1,[3]enemies!$1:$1,0)+1,FALSE)</f>
        <v>god</v>
      </c>
      <c r="Q9" s="17">
        <f ca="1">VLOOKUP($L9,OFFSET([3]enemies!$A$1,0,0,COUNTA([3]enemies!$A:$A),MATCH(Q$1,[3]enemies!$1:$1,0)-MATCH($L$1,[3]enemies!$1:$1,0)+1),MATCH(Q$1,[3]enemies!$1:$1,0)-MATCH($L$1,[3]enemies!$1:$1,0)+1,FALSE)</f>
        <v>60</v>
      </c>
      <c r="R9" s="5">
        <v>99</v>
      </c>
      <c r="S9" s="25">
        <v>2.2000000000000002</v>
      </c>
      <c r="T9" s="101">
        <f>147615*S9</f>
        <v>324753</v>
      </c>
      <c r="U9" s="25">
        <v>0.8</v>
      </c>
      <c r="V9" s="101">
        <f>9873*U9</f>
        <v>7898.4000000000005</v>
      </c>
      <c r="W9" s="5">
        <v>0</v>
      </c>
      <c r="X9" s="4" t="str">
        <f ca="1">VLOOKUP($Y9,OFFSET(enemy_skill_sets!$B$1,0,0,COUNTA(enemy_skill_sets!$B:$B),MATCH(M$1,enemy_skill_sets!$1:$1,0)-MATCH($Y$1,enemy_skill_sets!$1:$1,0)+2),MATCH(M$1,enemy_skill_sets!$1:$1,0)-MATCH($Y$1,enemy_skill_sets!$1:$1,0)+2,FALSE)</f>
        <v>あ…アサガオのブーケ、どうぞ！_x000D_【特定エリアを青・ハートパネルに変換+_x000D_　青・ハートパネルプロテクト(最大5個ずつ)】</v>
      </c>
      <c r="Y9" s="110">
        <v>47016101</v>
      </c>
      <c r="Z9" s="6">
        <v>1</v>
      </c>
      <c r="AA9" s="6">
        <v>100</v>
      </c>
      <c r="AB9" s="6">
        <v>1</v>
      </c>
      <c r="AC9" s="104">
        <v>2</v>
      </c>
      <c r="AD9" s="215">
        <v>1717</v>
      </c>
      <c r="AE9" s="4" t="str">
        <f ca="1">VLOOKUP($AD9,OFFSET([4]characters!$A$1,0,0,COUNTA([4]characters!$A:$A),MATCH(AE$1,[4]characters!$1:$1,0)-MATCH("character_id",[4]characters!$1:$1,0)+1),MATCH(AE$1,[4]characters!$1:$1,0)-MATCH("character_id",[4]characters!$1:$1,0)+1,FALSE)</f>
        <v>ラブリーエンジェル</v>
      </c>
      <c r="AF9" s="4">
        <f ca="1">VLOOKUP($AD9,OFFSET([4]characters!$A$1,0,0,COUNTA([4]characters!$A:$A),MATCH(AF$1,[4]characters!$1:$1,0)-MATCH("character_id",[4]characters!$1:$1,0)+1),MATCH(AF$1,[4]characters!$1:$1,0)-MATCH("character_id",[4]characters!$1:$1,0)+1,FALSE)</f>
        <v>4</v>
      </c>
      <c r="AG9" s="4" t="str">
        <f ca="1">VLOOKUP($AD9,OFFSET([4]characters!$A$1,0,0,COUNTA([4]characters!$A:$A),MATCH(AG$1,[4]characters!$1:$1,0)-MATCH("character_id",[4]characters!$1:$1,0)+1),MATCH(AG$1,[4]characters!$1:$1,0)-MATCH("character_id",[4]characters!$1:$1,0)+1,FALSE)</f>
        <v>Material</v>
      </c>
      <c r="AH9" s="7">
        <v>1</v>
      </c>
      <c r="AI9" s="24">
        <f t="shared" ca="1" si="4"/>
        <v>4</v>
      </c>
      <c r="AJ9" s="8">
        <v>85</v>
      </c>
      <c r="AK9" s="7">
        <v>0</v>
      </c>
      <c r="AL9" s="7">
        <v>0</v>
      </c>
      <c r="AM9" s="7">
        <v>0</v>
      </c>
      <c r="AN9" s="7">
        <v>0</v>
      </c>
      <c r="AO9" s="7">
        <v>1</v>
      </c>
      <c r="AP9" s="68">
        <v>1</v>
      </c>
    </row>
    <row r="10" spans="1:42" ht="21" customHeight="1" x14ac:dyDescent="0.15">
      <c r="A10" s="16" t="str">
        <f t="shared" si="0"/>
        <v>47016_3-3/1697&lt;lv99&gt;s2</v>
      </c>
      <c r="B10" s="22">
        <v>47016</v>
      </c>
      <c r="C10" s="21">
        <v>3</v>
      </c>
      <c r="D10" s="2" t="str">
        <f t="shared" si="1"/>
        <v>47016_3</v>
      </c>
      <c r="E10" s="4" t="str">
        <f ca="1">VLOOKUP($B10,OFFSET([2]quests!$A$1,0,0,COUNTA([2]quests!$A:$A),MATCH(E$1,[2]quests!$1:$1,0)-MATCH($B$1,[2]quests!$1:$1,0)+1),MATCH(E$1,[2]quests!$1:$1,0)-MATCH($B$1,[2]quests!$1:$1,0)+1,FALSE)</f>
        <v>嫁入り道具はチェーンソー</v>
      </c>
      <c r="F10" s="4" t="str">
        <f ca="1">VLOOKUP($D10,OFFSET([2]stages!$A$1,0,0,COUNTA([2]stages!$A:$A),MATCH(F$1,[2]stages!$2:$2,0)-MATCH($D$1,[2]stages!$2:$2,0)+1),MATCH(F$1,[2]stages!$2:$2,0)-MATCH($D$1,[2]stages!$2:$2,0)+1,FALSE)</f>
        <v>【ｳｨｻﾞ】嫁入り道具はチェーンソー</v>
      </c>
      <c r="G10" s="21">
        <v>3</v>
      </c>
      <c r="H10" s="15" t="str">
        <f t="shared" si="2"/>
        <v>47016_3-3</v>
      </c>
      <c r="I10" s="4">
        <f ca="1">VLOOKUP($H10,OFFSET(floors!$A$1,0,0,COUNTA(floors!$A:$A),MATCH(I$1,floors!$1:$1,0)-MATCH($H$1,floors!$1:$1,0)+1),MATCH(I$1,floors!$1:$1,0)-MATCH($H$1,floors!$1:$1,0)+1,FALSE)</f>
        <v>60</v>
      </c>
      <c r="J10" s="4">
        <f ca="1">VLOOKUP($H10,OFFSET(floors!$A$1,0,0,COUNTA(floors!$A:$A),MATCH(J$1,floors!$1:$1,0)-MATCH($H$1,floors!$1:$1,0)+1),MATCH(J$1,floors!$1:$1,0)-MATCH($H$1,floors!$1:$1,0)+1,FALSE)</f>
        <v>60</v>
      </c>
      <c r="K10" s="38">
        <v>6</v>
      </c>
      <c r="L10" s="20">
        <v>1697</v>
      </c>
      <c r="M10" s="17" t="str">
        <f ca="1">VLOOKUP($L10,OFFSET([3]enemies!$A$1,0,0,COUNTA([3]enemies!$A:$A),MATCH(M$1,[3]enemies!$1:$1,0)-MATCH($L$1,[3]enemies!$1:$1,0)+1),MATCH(M$1,[3]enemies!$1:$1,0)-MATCH($L$1,[3]enemies!$1:$1,0)+1,FALSE)</f>
        <v>駆動する機会 ガーネット</v>
      </c>
      <c r="N10" s="17" t="str">
        <f ca="1">VLOOKUP($L10,OFFSET([3]enemies!$A$1,0,0,COUNTA([3]enemies!$A:$A),MATCH(N$1,[3]enemies!$1:$1,0)-MATCH($L$1,[3]enemies!$1:$1,0)+1),MATCH(N$1,[3]enemies!$1:$1,0)-MATCH($L$1,[3]enemies!$1:$1,0)+1,FALSE)</f>
        <v>red</v>
      </c>
      <c r="O10" s="17" t="str">
        <f ca="1">VLOOKUP($L10,OFFSET([4]characters!$A$1,0,0,COUNTA([4]characters!$A:$A),MATCH(O$1,[4]characters!$1:$1,0)-MATCH($L$1,[4]characters!$1:$1,0)+1),MATCH(O$1,[4]characters!$1:$1,0)-MATCH($L$1,[4]characters!$1:$1,0)+1,FALSE)</f>
        <v>DropWizS</v>
      </c>
      <c r="P10" s="17" t="str">
        <f ca="1">VLOOKUP($L10,OFFSET([3]enemies!$A$1,0,0,COUNTA([3]enemies!$A:$A),MATCH(P$1,[3]enemies!$1:$1,0)-MATCH($L$1,[3]enemies!$1:$1,0)+1),MATCH(P$1,[3]enemies!$1:$1,0)-MATCH($L$1,[3]enemies!$1:$1,0)+1,FALSE)</f>
        <v>human</v>
      </c>
      <c r="Q10" s="17">
        <f ca="1">VLOOKUP($L10,OFFSET([3]enemies!$A$1,0,0,COUNTA([3]enemies!$A:$A),MATCH(Q$1,[3]enemies!$1:$1,0)-MATCH($L$1,[3]enemies!$1:$1,0)+1),MATCH(Q$1,[3]enemies!$1:$1,0)-MATCH($L$1,[3]enemies!$1:$1,0)+1,FALSE)</f>
        <v>60</v>
      </c>
      <c r="R10" s="5">
        <v>99</v>
      </c>
      <c r="S10" s="25">
        <v>2.9</v>
      </c>
      <c r="T10" s="101">
        <f>160599*S10</f>
        <v>465737.1</v>
      </c>
      <c r="U10" s="25">
        <v>0.8</v>
      </c>
      <c r="V10" s="101">
        <f>14740*U10</f>
        <v>11792</v>
      </c>
      <c r="W10" s="5">
        <v>0</v>
      </c>
      <c r="X10" s="4" t="str">
        <f ca="1">VLOOKUP($Y10,OFFSET(enemy_skill_sets!$B$1,0,0,COUNTA(enemy_skill_sets!$B:$B),MATCH(M$1,enemy_skill_sets!$1:$1,0)-MATCH($Y$1,enemy_skill_sets!$1:$1,0)+2),MATCH(M$1,enemy_skill_sets!$1:$1,0)-MATCH($Y$1,enemy_skill_sets!$1:$1,0)+2,FALSE)</f>
        <v>状態異常耐性+_x000D_特定エリアを赤・緑パネルに変換</v>
      </c>
      <c r="Y10" s="109">
        <v>47016103</v>
      </c>
      <c r="Z10" s="6">
        <v>1</v>
      </c>
      <c r="AA10" s="6">
        <v>100</v>
      </c>
      <c r="AB10" s="6">
        <v>1</v>
      </c>
      <c r="AC10" s="104">
        <v>2</v>
      </c>
      <c r="AD10" s="24">
        <f t="shared" si="3"/>
        <v>1697</v>
      </c>
      <c r="AE10" s="4" t="str">
        <f ca="1">VLOOKUP($AD10,OFFSET([4]characters!$A$1,0,0,COUNTA([4]characters!$A:$A),MATCH(AE$1,[4]characters!$1:$1,0)-MATCH("character_id",[4]characters!$1:$1,0)+1),MATCH(AE$1,[4]characters!$1:$1,0)-MATCH("character_id",[4]characters!$1:$1,0)+1,FALSE)</f>
        <v>駆動する機会 ガーネット</v>
      </c>
      <c r="AF10" s="4">
        <f ca="1">VLOOKUP($AD10,OFFSET([4]characters!$A$1,0,0,COUNTA([4]characters!$A:$A),MATCH(AF$1,[4]characters!$1:$1,0)-MATCH("character_id",[4]characters!$1:$1,0)+1),MATCH(AF$1,[4]characters!$1:$1,0)-MATCH("character_id",[4]characters!$1:$1,0)+1,FALSE)</f>
        <v>6</v>
      </c>
      <c r="AG10" s="4" t="str">
        <f ca="1">VLOOKUP($AD10,OFFSET([4]characters!$A$1,0,0,COUNTA([4]characters!$A:$A),MATCH(AG$1,[4]characters!$1:$1,0)-MATCH("character_id",[4]characters!$1:$1,0)+1),MATCH(AG$1,[4]characters!$1:$1,0)-MATCH("character_id",[4]characters!$1:$1,0)+1,FALSE)</f>
        <v>DropWizS</v>
      </c>
      <c r="AH10" s="7">
        <v>1</v>
      </c>
      <c r="AI10" s="24">
        <f t="shared" ca="1" si="4"/>
        <v>6</v>
      </c>
      <c r="AJ10" s="115">
        <v>80</v>
      </c>
      <c r="AK10" s="7">
        <v>0</v>
      </c>
      <c r="AL10" s="7">
        <v>0</v>
      </c>
      <c r="AM10" s="7">
        <v>0</v>
      </c>
      <c r="AN10" s="7">
        <v>0</v>
      </c>
      <c r="AO10" s="7">
        <v>1</v>
      </c>
      <c r="AP10" s="68">
        <v>1</v>
      </c>
    </row>
  </sheetData>
  <sheetProtection selectLockedCells="1" selectUnlockedCells="1"/>
  <autoFilter ref="B1:AJ2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>
    <tabColor rgb="FF0000FF"/>
    <outlinePr summaryBelow="0" summaryRight="0"/>
  </sheetPr>
  <dimension ref="A1:AA10"/>
  <sheetViews>
    <sheetView showGridLines="0" workbookViewId="0">
      <pane xSplit="18" ySplit="1" topLeftCell="S2" activePane="bottomRight" state="frozen"/>
      <selection activeCell="E25" sqref="E25"/>
      <selection pane="topRight" activeCell="E25" sqref="E25"/>
      <selection pane="bottomLeft" activeCell="E25" sqref="E25"/>
      <selection pane="bottomRight" activeCell="M10" sqref="M10"/>
    </sheetView>
  </sheetViews>
  <sheetFormatPr baseColWidth="12" defaultColWidth="13" defaultRowHeight="21" customHeight="1" outlineLevelCol="1" x14ac:dyDescent="0.15"/>
  <cols>
    <col min="1" max="1" width="17" style="19" bestFit="1" customWidth="1"/>
    <col min="2" max="2" width="10.83203125" style="3" bestFit="1" customWidth="1"/>
    <col min="3" max="3" width="10.6640625" style="3" bestFit="1" customWidth="1" collapsed="1"/>
    <col min="4" max="4" width="13" style="14" hidden="1" customWidth="1" outlineLevel="1"/>
    <col min="5" max="5" width="11.6640625" style="3" hidden="1" customWidth="1" outlineLevel="1"/>
    <col min="6" max="6" width="16.1640625" style="3" hidden="1" customWidth="1" outlineLevel="1"/>
    <col min="7" max="7" width="10" style="3" bestFit="1" customWidth="1" collapsed="1"/>
    <col min="8" max="10" width="12.33203125" style="3" hidden="1" customWidth="1" outlineLevel="1"/>
    <col min="11" max="11" width="12.33203125" style="3" customWidth="1"/>
    <col min="12" max="12" width="11" style="3" bestFit="1" customWidth="1"/>
    <col min="13" max="13" width="13.5" style="9" bestFit="1" customWidth="1" collapsed="1"/>
    <col min="14" max="14" width="8.83203125" style="3" hidden="1" customWidth="1" outlineLevel="1"/>
    <col min="15" max="15" width="8.6640625" style="3" hidden="1" customWidth="1" outlineLevel="1"/>
    <col min="16" max="16" width="12" style="3" hidden="1" customWidth="1" outlineLevel="1"/>
    <col min="17" max="17" width="21" style="3" hidden="1" customWidth="1" outlineLevel="1"/>
    <col min="18" max="18" width="8" style="3" hidden="1" customWidth="1" outlineLevel="1"/>
    <col min="19" max="19" width="8.33203125" style="3" bestFit="1" customWidth="1"/>
    <col min="20" max="20" width="14.83203125" style="3" bestFit="1" customWidth="1"/>
    <col min="21" max="21" width="14.83203125" style="3" customWidth="1"/>
    <col min="22" max="22" width="17.5" style="3" bestFit="1" customWidth="1"/>
    <col min="23" max="23" width="17.5" style="3" customWidth="1"/>
    <col min="24" max="24" width="18.33203125" style="3" bestFit="1" customWidth="1"/>
    <col min="25" max="25" width="16.6640625" style="3" customWidth="1"/>
    <col min="26" max="26" width="10" style="3" bestFit="1" customWidth="1" outlineLevel="1"/>
    <col min="27" max="27" width="9.33203125" style="3" bestFit="1" customWidth="1"/>
    <col min="28" max="16384" width="13" style="3"/>
  </cols>
  <sheetData>
    <row r="1" spans="1:27" s="35" customFormat="1" ht="21" customHeight="1" x14ac:dyDescent="0.15">
      <c r="A1" s="27" t="s">
        <v>29</v>
      </c>
      <c r="B1" s="28" t="s">
        <v>0</v>
      </c>
      <c r="C1" s="28" t="s">
        <v>1</v>
      </c>
      <c r="D1" s="29" t="s">
        <v>28</v>
      </c>
      <c r="E1" s="30" t="s">
        <v>16</v>
      </c>
      <c r="F1" s="30" t="s">
        <v>16</v>
      </c>
      <c r="G1" s="28" t="s">
        <v>19</v>
      </c>
      <c r="H1" s="29" t="s">
        <v>30</v>
      </c>
      <c r="I1" s="29" t="s">
        <v>14</v>
      </c>
      <c r="J1" s="29" t="s">
        <v>15</v>
      </c>
      <c r="K1" s="36" t="s">
        <v>307</v>
      </c>
      <c r="L1" s="36" t="s">
        <v>55</v>
      </c>
      <c r="M1" s="37" t="s">
        <v>2</v>
      </c>
      <c r="N1" s="31" t="s">
        <v>16</v>
      </c>
      <c r="O1" s="29" t="s">
        <v>24</v>
      </c>
      <c r="P1" s="29" t="s">
        <v>23</v>
      </c>
      <c r="Q1" s="32" t="s">
        <v>26</v>
      </c>
      <c r="R1" s="30" t="s">
        <v>25</v>
      </c>
      <c r="S1" s="28" t="s">
        <v>3</v>
      </c>
      <c r="T1" s="26" t="s">
        <v>48</v>
      </c>
      <c r="U1" s="100" t="s">
        <v>252</v>
      </c>
      <c r="V1" s="26" t="s">
        <v>50</v>
      </c>
      <c r="W1" s="100" t="s">
        <v>253</v>
      </c>
      <c r="X1" s="26" t="s">
        <v>52</v>
      </c>
      <c r="Y1" s="28" t="s">
        <v>129</v>
      </c>
      <c r="Z1" s="29" t="s">
        <v>128</v>
      </c>
      <c r="AA1" s="28" t="s">
        <v>8</v>
      </c>
    </row>
    <row r="2" spans="1:27" ht="20" customHeight="1" x14ac:dyDescent="0.15">
      <c r="A2" s="16" t="str">
        <f>B2&amp;"_"&amp;C2&amp;"-"&amp;G2&amp;"/"&amp;M2&amp;"&lt;lv"&amp;S2&amp;"&gt;sq"&amp;K2&amp;"st"&amp;L2</f>
        <v>47016_1-2/1709&lt;lv40&gt;sq1st2</v>
      </c>
      <c r="B2" s="22">
        <v>47016</v>
      </c>
      <c r="C2" s="21">
        <v>1</v>
      </c>
      <c r="D2" s="2" t="str">
        <f>B2&amp;"_"&amp;C2</f>
        <v>47016_1</v>
      </c>
      <c r="E2" s="4" t="str">
        <f ca="1">VLOOKUP($B2,OFFSET([2]quests!$A$1,0,0,COUNTA([2]quests!$A:$A),MATCH(E$1,[2]quests!$1:$1,0)-MATCH($B$1,[2]quests!$1:$1,0)+1),MATCH(E$1,[2]quests!$1:$1,0)-MATCH($B$1,[2]quests!$1:$1,0)+1,FALSE)</f>
        <v>嫁入り道具はチェーンソー</v>
      </c>
      <c r="F2" s="4" t="str">
        <f ca="1">VLOOKUP($D2,OFFSET([2]stages!$A$1,0,0,COUNTA([2]stages!$A:$A),MATCH(F$1,[2]stages!$2:$2,0)-MATCH($D$1,[2]stages!$2:$2,0)+1),MATCH(F$1,[2]stages!$2:$2,0)-MATCH($D$1,[2]stages!$2:$2,0)+1,FALSE)</f>
        <v>【上級】嫁入り道具はチェーンソー</v>
      </c>
      <c r="G2" s="21">
        <v>2</v>
      </c>
      <c r="H2" s="15" t="str">
        <f>B2&amp;"_"&amp;C2&amp;"-"&amp;G2</f>
        <v>47016_1-2</v>
      </c>
      <c r="I2" s="4">
        <f ca="1">VLOOKUP($H2,OFFSET(floors!$A$1,0,0,COUNTA(floors!$A:$A),MATCH(I$1,floors!$1:$1,0)-MATCH($H$1,floors!$1:$1,0)+1),MATCH(I$1,floors!$1:$1,0)-MATCH($H$1,floors!$1:$1,0)+1,FALSE)</f>
        <v>60</v>
      </c>
      <c r="J2" s="4">
        <f ca="1">VLOOKUP($H2,OFFSET(floors!$A$1,0,0,COUNTA(floors!$A:$A),MATCH(J$1,floors!$1:$1,0)-MATCH($H$1,floors!$1:$1,0)+1),MATCH(J$1,floors!$1:$1,0)-MATCH($H$1,floors!$1:$1,0)+1,FALSE)</f>
        <v>60</v>
      </c>
      <c r="K2" s="38">
        <v>1</v>
      </c>
      <c r="L2" s="38">
        <v>2</v>
      </c>
      <c r="M2" s="20">
        <v>1709</v>
      </c>
      <c r="N2" s="17" t="str">
        <f ca="1">VLOOKUP($M2,OFFSET([3]enemies!$A$1,0,0,COUNTA([3]enemies!$A:$A),MATCH(N$1,[3]enemies!$1:$1,0)-MATCH($M$1,[3]enemies!$1:$1,0)+1),MATCH(N$1,[3]enemies!$1:$1,0)-MATCH($M$1,[3]enemies!$1:$1,0)+1,FALSE)</f>
        <v>情花降る神婦 イズン</v>
      </c>
      <c r="O2" s="17" t="str">
        <f ca="1">VLOOKUP($M2,OFFSET([3]enemies!$A$1,0,0,COUNTA([3]enemies!$A:$A),MATCH(O$1,[3]enemies!$1:$1,0)-MATCH($M$1,[3]enemies!$1:$1,0)+1),MATCH(O$1,[3]enemies!$1:$1,0)-MATCH($M$1,[3]enemies!$1:$1,0)+1,FALSE)</f>
        <v>blue</v>
      </c>
      <c r="P2" s="17" t="str">
        <f ca="1">VLOOKUP($M2,OFFSET([4]characters!$A$1,0,0,COUNTA([4]characters!$A:$A),MATCH(P$1,[4]characters!$1:$1,0)-MATCH($M$1,[4]characters!$1:$1,0)+1),MATCH(P$1,[4]characters!$1:$1,0)-MATCH($M$1,[4]characters!$1:$1,0)+1,FALSE)</f>
        <v>PremiumSS</v>
      </c>
      <c r="Q2" s="17" t="str">
        <f ca="1">VLOOKUP($M2,OFFSET([3]enemies!$A$1,0,0,COUNTA([3]enemies!$A:$A),MATCH(Q$1,[3]enemies!$1:$1,0)-MATCH($M$1,[3]enemies!$1:$1,0)+1),MATCH(Q$1,[3]enemies!$1:$1,0)-MATCH($M$1,[3]enemies!$1:$1,0)+1,FALSE)</f>
        <v>god</v>
      </c>
      <c r="R2" s="17">
        <f ca="1">VLOOKUP($M2,OFFSET([3]enemies!$A$1,0,0,COUNTA([3]enemies!$A:$A),MATCH(R$1,[3]enemies!$1:$1,0)-MATCH($M$1,[3]enemies!$1:$1,0)+1),MATCH(R$1,[3]enemies!$1:$1,0)-MATCH($M$1,[3]enemies!$1:$1,0)+1,FALSE)</f>
        <v>60</v>
      </c>
      <c r="S2" s="5">
        <v>40</v>
      </c>
      <c r="T2" s="124">
        <v>1.8</v>
      </c>
      <c r="U2" s="101">
        <f>5978*T2</f>
        <v>10760.4</v>
      </c>
      <c r="V2" s="124">
        <v>0.6</v>
      </c>
      <c r="W2" s="101">
        <f>4517*V2</f>
        <v>2710.2</v>
      </c>
      <c r="X2" s="5">
        <v>0</v>
      </c>
      <c r="Y2" s="4" t="str">
        <f ca="1">VLOOKUP($Z2,OFFSET(enemy_skill_sets!$B$1,0,0,COUNTA(enemy_skill_sets!$B:$B),MATCH(N$1,enemy_skill_sets!$1:$1,0)-MATCH($Z$1,enemy_skill_sets!$1:$1,0)+2),MATCH(N$1,enemy_skill_sets!$1:$1,0)-MATCH($Z$1,enemy_skill_sets!$1:$1,0)+2,FALSE)</f>
        <v>4ターンCパネル生成短縮(効果大)</v>
      </c>
      <c r="Z2" s="114">
        <v>47016202</v>
      </c>
      <c r="AA2" s="105">
        <v>1</v>
      </c>
    </row>
    <row r="3" spans="1:27" ht="20" customHeight="1" x14ac:dyDescent="0.15">
      <c r="A3" s="16" t="str">
        <f t="shared" ref="A3:A10" si="0">B3&amp;"_"&amp;C3&amp;"-"&amp;G3&amp;"/"&amp;M3&amp;"&lt;lv"&amp;S3&amp;"&gt;sq"&amp;K3&amp;"st"&amp;L3</f>
        <v>47016_1-3/1697&lt;lv40&gt;sq2st2</v>
      </c>
      <c r="B3" s="22">
        <v>47016</v>
      </c>
      <c r="C3" s="21">
        <v>1</v>
      </c>
      <c r="D3" s="2" t="str">
        <f t="shared" ref="D3:D10" si="1">B3&amp;"_"&amp;C3</f>
        <v>47016_1</v>
      </c>
      <c r="E3" s="4" t="str">
        <f ca="1">VLOOKUP($B3,OFFSET([2]quests!$A$1,0,0,COUNTA([2]quests!$A:$A),MATCH(E$1,[2]quests!$1:$1,0)-MATCH($B$1,[2]quests!$1:$1,0)+1),MATCH(E$1,[2]quests!$1:$1,0)-MATCH($B$1,[2]quests!$1:$1,0)+1,FALSE)</f>
        <v>嫁入り道具はチェーンソー</v>
      </c>
      <c r="F3" s="4" t="str">
        <f ca="1">VLOOKUP($D3,OFFSET([2]stages!$A$1,0,0,COUNTA([2]stages!$A:$A),MATCH(F$1,[2]stages!$2:$2,0)-MATCH($D$1,[2]stages!$2:$2,0)+1),MATCH(F$1,[2]stages!$2:$2,0)-MATCH($D$1,[2]stages!$2:$2,0)+1,FALSE)</f>
        <v>【上級】嫁入り道具はチェーンソー</v>
      </c>
      <c r="G3" s="21">
        <v>3</v>
      </c>
      <c r="H3" s="15" t="str">
        <f t="shared" ref="H3:H10" si="2">B3&amp;"_"&amp;C3&amp;"-"&amp;G3</f>
        <v>47016_1-3</v>
      </c>
      <c r="I3" s="4">
        <f ca="1">VLOOKUP($H3,OFFSET(floors!$A$1,0,0,COUNTA(floors!$A:$A),MATCH(I$1,floors!$1:$1,0)-MATCH($H$1,floors!$1:$1,0)+1),MATCH(I$1,floors!$1:$1,0)-MATCH($H$1,floors!$1:$1,0)+1,FALSE)</f>
        <v>60</v>
      </c>
      <c r="J3" s="4">
        <f ca="1">VLOOKUP($H3,OFFSET(floors!$A$1,0,0,COUNTA(floors!$A:$A),MATCH(J$1,floors!$1:$1,0)-MATCH($H$1,floors!$1:$1,0)+1),MATCH(J$1,floors!$1:$1,0)-MATCH($H$1,floors!$1:$1,0)+1,FALSE)</f>
        <v>60</v>
      </c>
      <c r="K3" s="38">
        <v>2</v>
      </c>
      <c r="L3" s="38">
        <v>2</v>
      </c>
      <c r="M3" s="20">
        <v>1697</v>
      </c>
      <c r="N3" s="17" t="str">
        <f ca="1">VLOOKUP($M3,OFFSET([3]enemies!$A$1,0,0,COUNTA([3]enemies!$A:$A),MATCH(N$1,[3]enemies!$1:$1,0)-MATCH($M$1,[3]enemies!$1:$1,0)+1),MATCH(N$1,[3]enemies!$1:$1,0)-MATCH($M$1,[3]enemies!$1:$1,0)+1,FALSE)</f>
        <v>駆動する機会 ガーネット</v>
      </c>
      <c r="O3" s="17" t="str">
        <f ca="1">VLOOKUP($M3,OFFSET([3]enemies!$A$1,0,0,COUNTA([3]enemies!$A:$A),MATCH(O$1,[3]enemies!$1:$1,0)-MATCH($M$1,[3]enemies!$1:$1,0)+1),MATCH(O$1,[3]enemies!$1:$1,0)-MATCH($M$1,[3]enemies!$1:$1,0)+1,FALSE)</f>
        <v>red</v>
      </c>
      <c r="P3" s="17" t="str">
        <f ca="1">VLOOKUP($M3,OFFSET([4]characters!$A$1,0,0,COUNTA([4]characters!$A:$A),MATCH(P$1,[4]characters!$1:$1,0)-MATCH($M$1,[4]characters!$1:$1,0)+1),MATCH(P$1,[4]characters!$1:$1,0)-MATCH($M$1,[4]characters!$1:$1,0)+1,FALSE)</f>
        <v>DropWizS</v>
      </c>
      <c r="Q3" s="17" t="str">
        <f ca="1">VLOOKUP($M3,OFFSET([3]enemies!$A$1,0,0,COUNTA([3]enemies!$A:$A),MATCH(Q$1,[3]enemies!$1:$1,0)-MATCH($M$1,[3]enemies!$1:$1,0)+1),MATCH(Q$1,[3]enemies!$1:$1,0)-MATCH($M$1,[3]enemies!$1:$1,0)+1,FALSE)</f>
        <v>human</v>
      </c>
      <c r="R3" s="17">
        <f ca="1">VLOOKUP($M3,OFFSET([3]enemies!$A$1,0,0,COUNTA([3]enemies!$A:$A),MATCH(R$1,[3]enemies!$1:$1,0)-MATCH($M$1,[3]enemies!$1:$1,0)+1),MATCH(R$1,[3]enemies!$1:$1,0)-MATCH($M$1,[3]enemies!$1:$1,0)+1,FALSE)</f>
        <v>60</v>
      </c>
      <c r="S3" s="5">
        <v>40</v>
      </c>
      <c r="T3" s="25">
        <v>2.5</v>
      </c>
      <c r="U3" s="101">
        <f>5028*T3</f>
        <v>12570</v>
      </c>
      <c r="V3" s="25">
        <v>0.8</v>
      </c>
      <c r="W3" s="101">
        <f>5028*V3</f>
        <v>4022.4</v>
      </c>
      <c r="X3" s="5">
        <v>0</v>
      </c>
      <c r="Y3" s="4" t="str">
        <f ca="1">VLOOKUP($Z3,OFFSET(enemy_skill_sets!$B$1,0,0,COUNTA(enemy_skill_sets!$B:$B),MATCH(N$1,enemy_skill_sets!$1:$1,0)-MATCH($Z$1,enemy_skill_sets!$1:$1,0)+2),MATCH(N$1,enemy_skill_sets!$1:$1,0)-MATCH($Z$1,enemy_skill_sets!$1:$1,0)+2,FALSE)</f>
        <v>状態異常耐性+_x000D_特定エリアを赤パネルに変換</v>
      </c>
      <c r="Z3" s="114">
        <v>47016204</v>
      </c>
      <c r="AA3" s="105">
        <v>1</v>
      </c>
    </row>
    <row r="4" spans="1:27" ht="20" customHeight="1" thickBot="1" x14ac:dyDescent="0.2">
      <c r="A4" s="16" t="str">
        <f t="shared" si="0"/>
        <v>47016_1-3/1697&lt;lv40&gt;sq2st3</v>
      </c>
      <c r="B4" s="128">
        <v>47016</v>
      </c>
      <c r="C4" s="129">
        <v>1</v>
      </c>
      <c r="D4" s="130" t="str">
        <f t="shared" si="1"/>
        <v>47016_1</v>
      </c>
      <c r="E4" s="131" t="str">
        <f ca="1">VLOOKUP($B4,OFFSET([2]quests!$A$1,0,0,COUNTA([2]quests!$A:$A),MATCH(E$1,[2]quests!$1:$1,0)-MATCH($B$1,[2]quests!$1:$1,0)+1),MATCH(E$1,[2]quests!$1:$1,0)-MATCH($B$1,[2]quests!$1:$1,0)+1,FALSE)</f>
        <v>嫁入り道具はチェーンソー</v>
      </c>
      <c r="F4" s="131" t="str">
        <f ca="1">VLOOKUP($D4,OFFSET([2]stages!$A$1,0,0,COUNTA([2]stages!$A:$A),MATCH(F$1,[2]stages!$2:$2,0)-MATCH($D$1,[2]stages!$2:$2,0)+1),MATCH(F$1,[2]stages!$2:$2,0)-MATCH($D$1,[2]stages!$2:$2,0)+1,FALSE)</f>
        <v>【上級】嫁入り道具はチェーンソー</v>
      </c>
      <c r="G4" s="129">
        <v>3</v>
      </c>
      <c r="H4" s="130" t="str">
        <f t="shared" si="2"/>
        <v>47016_1-3</v>
      </c>
      <c r="I4" s="131">
        <f ca="1">VLOOKUP($H4,OFFSET(floors!$A$1,0,0,COUNTA(floors!$A:$A),MATCH(I$1,floors!$1:$1,0)-MATCH($H$1,floors!$1:$1,0)+1),MATCH(I$1,floors!$1:$1,0)-MATCH($H$1,floors!$1:$1,0)+1,FALSE)</f>
        <v>60</v>
      </c>
      <c r="J4" s="131">
        <f ca="1">VLOOKUP($H4,OFFSET(floors!$A$1,0,0,COUNTA(floors!$A:$A),MATCH(J$1,floors!$1:$1,0)-MATCH($H$1,floors!$1:$1,0)+1),MATCH(J$1,floors!$1:$1,0)-MATCH($H$1,floors!$1:$1,0)+1,FALSE)</f>
        <v>60</v>
      </c>
      <c r="K4" s="132">
        <v>2</v>
      </c>
      <c r="L4" s="132">
        <v>3</v>
      </c>
      <c r="M4" s="133">
        <v>1697</v>
      </c>
      <c r="N4" s="134" t="str">
        <f ca="1">VLOOKUP($M4,OFFSET([3]enemies!$A$1,0,0,COUNTA([3]enemies!$A:$A),MATCH(N$1,[3]enemies!$1:$1,0)-MATCH($M$1,[3]enemies!$1:$1,0)+1),MATCH(N$1,[3]enemies!$1:$1,0)-MATCH($M$1,[3]enemies!$1:$1,0)+1,FALSE)</f>
        <v>駆動する機会 ガーネット</v>
      </c>
      <c r="O4" s="134" t="str">
        <f ca="1">VLOOKUP($M4,OFFSET([3]enemies!$A$1,0,0,COUNTA([3]enemies!$A:$A),MATCH(O$1,[3]enemies!$1:$1,0)-MATCH($M$1,[3]enemies!$1:$1,0)+1),MATCH(O$1,[3]enemies!$1:$1,0)-MATCH($M$1,[3]enemies!$1:$1,0)+1,FALSE)</f>
        <v>red</v>
      </c>
      <c r="P4" s="134" t="str">
        <f ca="1">VLOOKUP($M4,OFFSET([4]characters!$A$1,0,0,COUNTA([4]characters!$A:$A),MATCH(P$1,[4]characters!$1:$1,0)-MATCH($M$1,[4]characters!$1:$1,0)+1),MATCH(P$1,[4]characters!$1:$1,0)-MATCH($M$1,[4]characters!$1:$1,0)+1,FALSE)</f>
        <v>DropWizS</v>
      </c>
      <c r="Q4" s="134" t="str">
        <f ca="1">VLOOKUP($M4,OFFSET([3]enemies!$A$1,0,0,COUNTA([3]enemies!$A:$A),MATCH(Q$1,[3]enemies!$1:$1,0)-MATCH($M$1,[3]enemies!$1:$1,0)+1),MATCH(Q$1,[3]enemies!$1:$1,0)-MATCH($M$1,[3]enemies!$1:$1,0)+1,FALSE)</f>
        <v>human</v>
      </c>
      <c r="R4" s="134">
        <f ca="1">VLOOKUP($M4,OFFSET([3]enemies!$A$1,0,0,COUNTA([3]enemies!$A:$A),MATCH(R$1,[3]enemies!$1:$1,0)-MATCH($M$1,[3]enemies!$1:$1,0)+1),MATCH(R$1,[3]enemies!$1:$1,0)-MATCH($M$1,[3]enemies!$1:$1,0)+1,FALSE)</f>
        <v>60</v>
      </c>
      <c r="S4" s="135">
        <v>40</v>
      </c>
      <c r="T4" s="136">
        <v>2.5</v>
      </c>
      <c r="U4" s="137">
        <f>5028*T4</f>
        <v>12570</v>
      </c>
      <c r="V4" s="136">
        <v>0.8</v>
      </c>
      <c r="W4" s="137">
        <f>5028*V4</f>
        <v>4022.4</v>
      </c>
      <c r="X4" s="135">
        <v>0</v>
      </c>
      <c r="Y4" s="131" t="str">
        <f ca="1">VLOOKUP($Z4,OFFSET(enemy_skill_sets!$B$1,0,0,COUNTA(enemy_skill_sets!$B:$B),MATCH(N$1,enemy_skill_sets!$1:$1,0)-MATCH($Z$1,enemy_skill_sets!$1:$1,0)+2),MATCH(N$1,enemy_skill_sets!$1:$1,0)-MATCH($Z$1,enemy_skill_sets!$1:$1,0)+2,FALSE)</f>
        <v>状態異常耐性+2ターン攻撃力UP+_x000D_2ターン全ユニットの攻撃力50%DOWN</v>
      </c>
      <c r="Z4" s="175">
        <v>47016205</v>
      </c>
      <c r="AA4" s="139">
        <v>1</v>
      </c>
    </row>
    <row r="5" spans="1:27" ht="20" customHeight="1" thickTop="1" x14ac:dyDescent="0.15">
      <c r="A5" s="16" t="str">
        <f t="shared" si="0"/>
        <v>47016_2-2/1709&lt;lv60&gt;sq3st2</v>
      </c>
      <c r="B5" s="22">
        <v>47016</v>
      </c>
      <c r="C5" s="119">
        <v>2</v>
      </c>
      <c r="D5" s="120" t="str">
        <f t="shared" si="1"/>
        <v>47016_2</v>
      </c>
      <c r="E5" s="4" t="str">
        <f ca="1">VLOOKUP($B5,OFFSET([2]quests!$A$1,0,0,COUNTA([2]quests!$A:$A),MATCH(E$1,[2]quests!$1:$1,0)-MATCH($B$1,[2]quests!$1:$1,0)+1),MATCH(E$1,[2]quests!$1:$1,0)-MATCH($B$1,[2]quests!$1:$1,0)+1,FALSE)</f>
        <v>嫁入り道具はチェーンソー</v>
      </c>
      <c r="F5" s="4" t="str">
        <f ca="1">VLOOKUP($D5,OFFSET([2]stages!$A$1,0,0,COUNTA([2]stages!$A:$A),MATCH(F$1,[2]stages!$2:$2,0)-MATCH($D$1,[2]stages!$2:$2,0)+1),MATCH(F$1,[2]stages!$2:$2,0)-MATCH($D$1,[2]stages!$2:$2,0)+1,FALSE)</f>
        <v>【超級】嫁入り道具はチェーンソー</v>
      </c>
      <c r="G5" s="119">
        <v>2</v>
      </c>
      <c r="H5" s="120" t="str">
        <f t="shared" si="2"/>
        <v>47016_2-2</v>
      </c>
      <c r="I5" s="4">
        <f ca="1">VLOOKUP($H5,OFFSET(floors!$A$1,0,0,COUNTA(floors!$A:$A),MATCH(I$1,floors!$1:$1,0)-MATCH($H$1,floors!$1:$1,0)+1),MATCH(I$1,floors!$1:$1,0)-MATCH($H$1,floors!$1:$1,0)+1,FALSE)</f>
        <v>60</v>
      </c>
      <c r="J5" s="4">
        <f ca="1">VLOOKUP($H5,OFFSET(floors!$A$1,0,0,COUNTA(floors!$A:$A),MATCH(J$1,floors!$1:$1,0)-MATCH($H$1,floors!$1:$1,0)+1),MATCH(J$1,floors!$1:$1,0)-MATCH($H$1,floors!$1:$1,0)+1,FALSE)</f>
        <v>60</v>
      </c>
      <c r="K5" s="121">
        <v>3</v>
      </c>
      <c r="L5" s="121">
        <v>2</v>
      </c>
      <c r="M5" s="122">
        <v>1709</v>
      </c>
      <c r="N5" s="17" t="str">
        <f ca="1">VLOOKUP($M5,OFFSET([3]enemies!$A$1,0,0,COUNTA([3]enemies!$A:$A),MATCH(N$1,[3]enemies!$1:$1,0)-MATCH($M$1,[3]enemies!$1:$1,0)+1),MATCH(N$1,[3]enemies!$1:$1,0)-MATCH($M$1,[3]enemies!$1:$1,0)+1,FALSE)</f>
        <v>情花降る神婦 イズン</v>
      </c>
      <c r="O5" s="17" t="str">
        <f ca="1">VLOOKUP($M5,OFFSET([3]enemies!$A$1,0,0,COUNTA([3]enemies!$A:$A),MATCH(O$1,[3]enemies!$1:$1,0)-MATCH($M$1,[3]enemies!$1:$1,0)+1),MATCH(O$1,[3]enemies!$1:$1,0)-MATCH($M$1,[3]enemies!$1:$1,0)+1,FALSE)</f>
        <v>blue</v>
      </c>
      <c r="P5" s="17" t="str">
        <f ca="1">VLOOKUP($M5,OFFSET([4]characters!$A$1,0,0,COUNTA([4]characters!$A:$A),MATCH(P$1,[4]characters!$1:$1,0)-MATCH($M$1,[4]characters!$1:$1,0)+1),MATCH(P$1,[4]characters!$1:$1,0)-MATCH($M$1,[4]characters!$1:$1,0)+1,FALSE)</f>
        <v>PremiumSS</v>
      </c>
      <c r="Q5" s="17" t="str">
        <f ca="1">VLOOKUP($M5,OFFSET([3]enemies!$A$1,0,0,COUNTA([3]enemies!$A:$A),MATCH(Q$1,[3]enemies!$1:$1,0)-MATCH($M$1,[3]enemies!$1:$1,0)+1),MATCH(Q$1,[3]enemies!$1:$1,0)-MATCH($M$1,[3]enemies!$1:$1,0)+1,FALSE)</f>
        <v>god</v>
      </c>
      <c r="R5" s="17">
        <f ca="1">VLOOKUP($M5,OFFSET([3]enemies!$A$1,0,0,COUNTA([3]enemies!$A:$A),MATCH(R$1,[3]enemies!$1:$1,0)-MATCH($M$1,[3]enemies!$1:$1,0)+1),MATCH(R$1,[3]enemies!$1:$1,0)-MATCH($M$1,[3]enemies!$1:$1,0)+1,FALSE)</f>
        <v>60</v>
      </c>
      <c r="S5" s="123">
        <v>60</v>
      </c>
      <c r="T5" s="124">
        <v>2.2000000000000002</v>
      </c>
      <c r="U5" s="125">
        <f>5978*T5</f>
        <v>13151.6</v>
      </c>
      <c r="V5" s="124">
        <v>0.6</v>
      </c>
      <c r="W5" s="125">
        <f>4517*V5</f>
        <v>2710.2</v>
      </c>
      <c r="X5" s="123">
        <v>0</v>
      </c>
      <c r="Y5" s="4" t="str">
        <f ca="1">VLOOKUP($Z5,OFFSET(enemy_skill_sets!$B$1,0,0,COUNTA(enemy_skill_sets!$B:$B),MATCH(N$1,enemy_skill_sets!$1:$1,0)-MATCH($Z$1,enemy_skill_sets!$1:$1,0)+2),MATCH(N$1,enemy_skill_sets!$1:$1,0)-MATCH($Z$1,enemy_skill_sets!$1:$1,0)+2,FALSE)</f>
        <v>4ターンCパネル生成短縮(効果大)</v>
      </c>
      <c r="Z5" s="173">
        <v>47016202</v>
      </c>
      <c r="AA5" s="127">
        <v>1</v>
      </c>
    </row>
    <row r="6" spans="1:27" ht="20" customHeight="1" x14ac:dyDescent="0.15">
      <c r="A6" s="16" t="str">
        <f t="shared" si="0"/>
        <v>47016_2-3/1697&lt;lv60&gt;sq4st2</v>
      </c>
      <c r="B6" s="22">
        <v>47016</v>
      </c>
      <c r="C6" s="21">
        <v>2</v>
      </c>
      <c r="D6" s="2" t="str">
        <f t="shared" si="1"/>
        <v>47016_2</v>
      </c>
      <c r="E6" s="4" t="str">
        <f ca="1">VLOOKUP($B6,OFFSET([2]quests!$A$1,0,0,COUNTA([2]quests!$A:$A),MATCH(E$1,[2]quests!$1:$1,0)-MATCH($B$1,[2]quests!$1:$1,0)+1),MATCH(E$1,[2]quests!$1:$1,0)-MATCH($B$1,[2]quests!$1:$1,0)+1,FALSE)</f>
        <v>嫁入り道具はチェーンソー</v>
      </c>
      <c r="F6" s="4" t="str">
        <f ca="1">VLOOKUP($D6,OFFSET([2]stages!$A$1,0,0,COUNTA([2]stages!$A:$A),MATCH(F$1,[2]stages!$2:$2,0)-MATCH($D$1,[2]stages!$2:$2,0)+1),MATCH(F$1,[2]stages!$2:$2,0)-MATCH($D$1,[2]stages!$2:$2,0)+1,FALSE)</f>
        <v>【超級】嫁入り道具はチェーンソー</v>
      </c>
      <c r="G6" s="21">
        <v>3</v>
      </c>
      <c r="H6" s="15" t="str">
        <f t="shared" si="2"/>
        <v>47016_2-3</v>
      </c>
      <c r="I6" s="4">
        <f ca="1">VLOOKUP($H6,OFFSET(floors!$A$1,0,0,COUNTA(floors!$A:$A),MATCH(I$1,floors!$1:$1,0)-MATCH($H$1,floors!$1:$1,0)+1),MATCH(I$1,floors!$1:$1,0)-MATCH($H$1,floors!$1:$1,0)+1,FALSE)</f>
        <v>60</v>
      </c>
      <c r="J6" s="4">
        <f ca="1">VLOOKUP($H6,OFFSET(floors!$A$1,0,0,COUNTA(floors!$A:$A),MATCH(J$1,floors!$1:$1,0)-MATCH($H$1,floors!$1:$1,0)+1),MATCH(J$1,floors!$1:$1,0)-MATCH($H$1,floors!$1:$1,0)+1,FALSE)</f>
        <v>60</v>
      </c>
      <c r="K6" s="38">
        <v>4</v>
      </c>
      <c r="L6" s="38">
        <v>2</v>
      </c>
      <c r="M6" s="103">
        <v>1697</v>
      </c>
      <c r="N6" s="17" t="str">
        <f ca="1">VLOOKUP($M6,OFFSET([3]enemies!$A$1,0,0,COUNTA([3]enemies!$A:$A),MATCH(N$1,[3]enemies!$1:$1,0)-MATCH($M$1,[3]enemies!$1:$1,0)+1),MATCH(N$1,[3]enemies!$1:$1,0)-MATCH($M$1,[3]enemies!$1:$1,0)+1,FALSE)</f>
        <v>駆動する機会 ガーネット</v>
      </c>
      <c r="O6" s="17" t="str">
        <f ca="1">VLOOKUP($M6,OFFSET([3]enemies!$A$1,0,0,COUNTA([3]enemies!$A:$A),MATCH(O$1,[3]enemies!$1:$1,0)-MATCH($M$1,[3]enemies!$1:$1,0)+1),MATCH(O$1,[3]enemies!$1:$1,0)-MATCH($M$1,[3]enemies!$1:$1,0)+1,FALSE)</f>
        <v>red</v>
      </c>
      <c r="P6" s="17" t="str">
        <f ca="1">VLOOKUP($M6,OFFSET([4]characters!$A$1,0,0,COUNTA([4]characters!$A:$A),MATCH(P$1,[4]characters!$1:$1,0)-MATCH($M$1,[4]characters!$1:$1,0)+1),MATCH(P$1,[4]characters!$1:$1,0)-MATCH($M$1,[4]characters!$1:$1,0)+1,FALSE)</f>
        <v>DropWizS</v>
      </c>
      <c r="Q6" s="17" t="str">
        <f ca="1">VLOOKUP($M6,OFFSET([3]enemies!$A$1,0,0,COUNTA([3]enemies!$A:$A),MATCH(Q$1,[3]enemies!$1:$1,0)-MATCH($M$1,[3]enemies!$1:$1,0)+1),MATCH(Q$1,[3]enemies!$1:$1,0)-MATCH($M$1,[3]enemies!$1:$1,0)+1,FALSE)</f>
        <v>human</v>
      </c>
      <c r="R6" s="17">
        <f ca="1">VLOOKUP($M6,OFFSET([3]enemies!$A$1,0,0,COUNTA([3]enemies!$A:$A),MATCH(R$1,[3]enemies!$1:$1,0)-MATCH($M$1,[3]enemies!$1:$1,0)+1),MATCH(R$1,[3]enemies!$1:$1,0)-MATCH($M$1,[3]enemies!$1:$1,0)+1,FALSE)</f>
        <v>60</v>
      </c>
      <c r="S6" s="5">
        <v>60</v>
      </c>
      <c r="T6" s="25">
        <v>3.5</v>
      </c>
      <c r="U6" s="101">
        <f>5028*T6</f>
        <v>17598</v>
      </c>
      <c r="V6" s="25">
        <v>0.8</v>
      </c>
      <c r="W6" s="101">
        <f>5028*V6</f>
        <v>4022.4</v>
      </c>
      <c r="X6" s="5">
        <v>0</v>
      </c>
      <c r="Y6" s="4" t="str">
        <f ca="1">VLOOKUP($Z6,OFFSET(enemy_skill_sets!$B$1,0,0,COUNTA(enemy_skill_sets!$B:$B),MATCH(N$1,enemy_skill_sets!$1:$1,0)-MATCH($Z$1,enemy_skill_sets!$1:$1,0)+2),MATCH(N$1,enemy_skill_sets!$1:$1,0)-MATCH($Z$1,enemy_skill_sets!$1:$1,0)+2,FALSE)</f>
        <v>状態異常耐性+_x000D_特定エリアを赤パネルに変換</v>
      </c>
      <c r="Z6" s="114">
        <v>47016204</v>
      </c>
      <c r="AA6" s="105">
        <v>1</v>
      </c>
    </row>
    <row r="7" spans="1:27" ht="20" customHeight="1" thickBot="1" x14ac:dyDescent="0.2">
      <c r="A7" s="16" t="str">
        <f t="shared" si="0"/>
        <v>47016_2-3/1697&lt;lv60&gt;sq4st3</v>
      </c>
      <c r="B7" s="128">
        <v>47016</v>
      </c>
      <c r="C7" s="129">
        <v>2</v>
      </c>
      <c r="D7" s="130" t="str">
        <f t="shared" si="1"/>
        <v>47016_2</v>
      </c>
      <c r="E7" s="131" t="str">
        <f ca="1">VLOOKUP($B7,OFFSET([2]quests!$A$1,0,0,COUNTA([2]quests!$A:$A),MATCH(E$1,[2]quests!$1:$1,0)-MATCH($B$1,[2]quests!$1:$1,0)+1),MATCH(E$1,[2]quests!$1:$1,0)-MATCH($B$1,[2]quests!$1:$1,0)+1,FALSE)</f>
        <v>嫁入り道具はチェーンソー</v>
      </c>
      <c r="F7" s="131" t="str">
        <f ca="1">VLOOKUP($D7,OFFSET([2]stages!$A$1,0,0,COUNTA([2]stages!$A:$A),MATCH(F$1,[2]stages!$2:$2,0)-MATCH($D$1,[2]stages!$2:$2,0)+1),MATCH(F$1,[2]stages!$2:$2,0)-MATCH($D$1,[2]stages!$2:$2,0)+1,FALSE)</f>
        <v>【超級】嫁入り道具はチェーンソー</v>
      </c>
      <c r="G7" s="129">
        <v>3</v>
      </c>
      <c r="H7" s="130" t="str">
        <f t="shared" si="2"/>
        <v>47016_2-3</v>
      </c>
      <c r="I7" s="131">
        <f ca="1">VLOOKUP($H7,OFFSET(floors!$A$1,0,0,COUNTA(floors!$A:$A),MATCH(I$1,floors!$1:$1,0)-MATCH($H$1,floors!$1:$1,0)+1),MATCH(I$1,floors!$1:$1,0)-MATCH($H$1,floors!$1:$1,0)+1,FALSE)</f>
        <v>60</v>
      </c>
      <c r="J7" s="131">
        <f ca="1">VLOOKUP($H7,OFFSET(floors!$A$1,0,0,COUNTA(floors!$A:$A),MATCH(J$1,floors!$1:$1,0)-MATCH($H$1,floors!$1:$1,0)+1),MATCH(J$1,floors!$1:$1,0)-MATCH($H$1,floors!$1:$1,0)+1,FALSE)</f>
        <v>60</v>
      </c>
      <c r="K7" s="132">
        <v>4</v>
      </c>
      <c r="L7" s="132">
        <v>3</v>
      </c>
      <c r="M7" s="133">
        <v>1697</v>
      </c>
      <c r="N7" s="134" t="str">
        <f ca="1">VLOOKUP($M7,OFFSET([3]enemies!$A$1,0,0,COUNTA([3]enemies!$A:$A),MATCH(N$1,[3]enemies!$1:$1,0)-MATCH($M$1,[3]enemies!$1:$1,0)+1),MATCH(N$1,[3]enemies!$1:$1,0)-MATCH($M$1,[3]enemies!$1:$1,0)+1,FALSE)</f>
        <v>駆動する機会 ガーネット</v>
      </c>
      <c r="O7" s="134" t="str">
        <f ca="1">VLOOKUP($M7,OFFSET([3]enemies!$A$1,0,0,COUNTA([3]enemies!$A:$A),MATCH(O$1,[3]enemies!$1:$1,0)-MATCH($M$1,[3]enemies!$1:$1,0)+1),MATCH(O$1,[3]enemies!$1:$1,0)-MATCH($M$1,[3]enemies!$1:$1,0)+1,FALSE)</f>
        <v>red</v>
      </c>
      <c r="P7" s="134" t="str">
        <f ca="1">VLOOKUP($M7,OFFSET([4]characters!$A$1,0,0,COUNTA([4]characters!$A:$A),MATCH(P$1,[4]characters!$1:$1,0)-MATCH($M$1,[4]characters!$1:$1,0)+1),MATCH(P$1,[4]characters!$1:$1,0)-MATCH($M$1,[4]characters!$1:$1,0)+1,FALSE)</f>
        <v>DropWizS</v>
      </c>
      <c r="Q7" s="134" t="str">
        <f ca="1">VLOOKUP($M7,OFFSET([3]enemies!$A$1,0,0,COUNTA([3]enemies!$A:$A),MATCH(Q$1,[3]enemies!$1:$1,0)-MATCH($M$1,[3]enemies!$1:$1,0)+1),MATCH(Q$1,[3]enemies!$1:$1,0)-MATCH($M$1,[3]enemies!$1:$1,0)+1,FALSE)</f>
        <v>human</v>
      </c>
      <c r="R7" s="134">
        <f ca="1">VLOOKUP($M7,OFFSET([3]enemies!$A$1,0,0,COUNTA([3]enemies!$A:$A),MATCH(R$1,[3]enemies!$1:$1,0)-MATCH($M$1,[3]enemies!$1:$1,0)+1),MATCH(R$1,[3]enemies!$1:$1,0)-MATCH($M$1,[3]enemies!$1:$1,0)+1,FALSE)</f>
        <v>60</v>
      </c>
      <c r="S7" s="135">
        <v>60</v>
      </c>
      <c r="T7" s="136">
        <v>3.5</v>
      </c>
      <c r="U7" s="137">
        <f>5028*T7</f>
        <v>17598</v>
      </c>
      <c r="V7" s="136">
        <v>0.8</v>
      </c>
      <c r="W7" s="137">
        <f>5028*V7</f>
        <v>4022.4</v>
      </c>
      <c r="X7" s="135">
        <v>0</v>
      </c>
      <c r="Y7" s="131" t="str">
        <f ca="1">VLOOKUP($Z7,OFFSET(enemy_skill_sets!$B$1,0,0,COUNTA(enemy_skill_sets!$B:$B),MATCH(N$1,enemy_skill_sets!$1:$1,0)-MATCH($Z$1,enemy_skill_sets!$1:$1,0)+2),MATCH(N$1,enemy_skill_sets!$1:$1,0)-MATCH($Z$1,enemy_skill_sets!$1:$1,0)+2,FALSE)</f>
        <v>状態異常耐性+2ターン攻撃力UP+_x000D_2ターン全ユニットの攻撃力50%DOWN</v>
      </c>
      <c r="Z7" s="175">
        <v>47016205</v>
      </c>
      <c r="AA7" s="139">
        <v>1</v>
      </c>
    </row>
    <row r="8" spans="1:27" ht="20" customHeight="1" thickTop="1" x14ac:dyDescent="0.15">
      <c r="A8" s="16" t="str">
        <f t="shared" si="0"/>
        <v>47016_3-2/1709&lt;lv99&gt;sq5st2</v>
      </c>
      <c r="B8" s="22">
        <v>47016</v>
      </c>
      <c r="C8" s="119">
        <v>3</v>
      </c>
      <c r="D8" s="120" t="str">
        <f t="shared" si="1"/>
        <v>47016_3</v>
      </c>
      <c r="E8" s="4" t="str">
        <f ca="1">VLOOKUP($B8,OFFSET([2]quests!$A$1,0,0,COUNTA([2]quests!$A:$A),MATCH(E$1,[2]quests!$1:$1,0)-MATCH($B$1,[2]quests!$1:$1,0)+1),MATCH(E$1,[2]quests!$1:$1,0)-MATCH($B$1,[2]quests!$1:$1,0)+1,FALSE)</f>
        <v>嫁入り道具はチェーンソー</v>
      </c>
      <c r="F8" s="4" t="str">
        <f ca="1">VLOOKUP($D8,OFFSET([2]stages!$A$1,0,0,COUNTA([2]stages!$A:$A),MATCH(F$1,[2]stages!$2:$2,0)-MATCH($D$1,[2]stages!$2:$2,0)+1),MATCH(F$1,[2]stages!$2:$2,0)-MATCH($D$1,[2]stages!$2:$2,0)+1,FALSE)</f>
        <v>【ｳｨｻﾞ】嫁入り道具はチェーンソー</v>
      </c>
      <c r="G8" s="119">
        <v>2</v>
      </c>
      <c r="H8" s="120" t="str">
        <f t="shared" si="2"/>
        <v>47016_3-2</v>
      </c>
      <c r="I8" s="4">
        <f ca="1">VLOOKUP($H8,OFFSET(floors!$A$1,0,0,COUNTA(floors!$A:$A),MATCH(I$1,floors!$1:$1,0)-MATCH($H$1,floors!$1:$1,0)+1),MATCH(I$1,floors!$1:$1,0)-MATCH($H$1,floors!$1:$1,0)+1,FALSE)</f>
        <v>60</v>
      </c>
      <c r="J8" s="4">
        <f ca="1">VLOOKUP($H8,OFFSET(floors!$A$1,0,0,COUNTA(floors!$A:$A),MATCH(J$1,floors!$1:$1,0)-MATCH($H$1,floors!$1:$1,0)+1),MATCH(J$1,floors!$1:$1,0)-MATCH($H$1,floors!$1:$1,0)+1,FALSE)</f>
        <v>60</v>
      </c>
      <c r="K8" s="121">
        <v>5</v>
      </c>
      <c r="L8" s="121">
        <v>2</v>
      </c>
      <c r="M8" s="122">
        <v>1709</v>
      </c>
      <c r="N8" s="17" t="str">
        <f ca="1">VLOOKUP($M8,OFFSET([3]enemies!$A$1,0,0,COUNTA([3]enemies!$A:$A),MATCH(N$1,[3]enemies!$1:$1,0)-MATCH($M$1,[3]enemies!$1:$1,0)+1),MATCH(N$1,[3]enemies!$1:$1,0)-MATCH($M$1,[3]enemies!$1:$1,0)+1,FALSE)</f>
        <v>情花降る神婦 イズン</v>
      </c>
      <c r="O8" s="17" t="str">
        <f ca="1">VLOOKUP($M8,OFFSET([3]enemies!$A$1,0,0,COUNTA([3]enemies!$A:$A),MATCH(O$1,[3]enemies!$1:$1,0)-MATCH($M$1,[3]enemies!$1:$1,0)+1),MATCH(O$1,[3]enemies!$1:$1,0)-MATCH($M$1,[3]enemies!$1:$1,0)+1,FALSE)</f>
        <v>blue</v>
      </c>
      <c r="P8" s="17" t="str">
        <f ca="1">VLOOKUP($M8,OFFSET([4]characters!$A$1,0,0,COUNTA([4]characters!$A:$A),MATCH(P$1,[4]characters!$1:$1,0)-MATCH($M$1,[4]characters!$1:$1,0)+1),MATCH(P$1,[4]characters!$1:$1,0)-MATCH($M$1,[4]characters!$1:$1,0)+1,FALSE)</f>
        <v>PremiumSS</v>
      </c>
      <c r="Q8" s="17" t="str">
        <f ca="1">VLOOKUP($M8,OFFSET([3]enemies!$A$1,0,0,COUNTA([3]enemies!$A:$A),MATCH(Q$1,[3]enemies!$1:$1,0)-MATCH($M$1,[3]enemies!$1:$1,0)+1),MATCH(Q$1,[3]enemies!$1:$1,0)-MATCH($M$1,[3]enemies!$1:$1,0)+1,FALSE)</f>
        <v>god</v>
      </c>
      <c r="R8" s="17">
        <f ca="1">VLOOKUP($M8,OFFSET([3]enemies!$A$1,0,0,COUNTA([3]enemies!$A:$A),MATCH(R$1,[3]enemies!$1:$1,0)-MATCH($M$1,[3]enemies!$1:$1,0)+1),MATCH(R$1,[3]enemies!$1:$1,0)-MATCH($M$1,[3]enemies!$1:$1,0)+1,FALSE)</f>
        <v>60</v>
      </c>
      <c r="S8" s="123">
        <v>99</v>
      </c>
      <c r="T8" s="124">
        <v>2.4</v>
      </c>
      <c r="U8" s="125">
        <f>147615*T8</f>
        <v>354276</v>
      </c>
      <c r="V8" s="124">
        <v>0.8</v>
      </c>
      <c r="W8" s="125">
        <f>9873*V8</f>
        <v>7898.4000000000005</v>
      </c>
      <c r="X8" s="123">
        <v>0</v>
      </c>
      <c r="Y8" s="4" t="str">
        <f ca="1">VLOOKUP($Z8,OFFSET(enemy_skill_sets!$B$1,0,0,COUNTA(enemy_skill_sets!$B:$B),MATCH(N$1,enemy_skill_sets!$1:$1,0)-MATCH($Z$1,enemy_skill_sets!$1:$1,0)+2),MATCH(N$1,enemy_skill_sets!$1:$1,0)-MATCH($Z$1,enemy_skill_sets!$1:$1,0)+2,FALSE)</f>
        <v>4ターンCパネル生成短縮(効果大)</v>
      </c>
      <c r="Z8" s="126">
        <v>47016102</v>
      </c>
      <c r="AA8" s="127">
        <v>1</v>
      </c>
    </row>
    <row r="9" spans="1:27" ht="20" customHeight="1" x14ac:dyDescent="0.15">
      <c r="A9" s="16" t="str">
        <f t="shared" si="0"/>
        <v>47016_3-3/1697&lt;lv99&gt;sq6st2</v>
      </c>
      <c r="B9" s="22">
        <v>47016</v>
      </c>
      <c r="C9" s="21">
        <v>3</v>
      </c>
      <c r="D9" s="2" t="str">
        <f t="shared" si="1"/>
        <v>47016_3</v>
      </c>
      <c r="E9" s="4" t="str">
        <f ca="1">VLOOKUP($B9,OFFSET([2]quests!$A$1,0,0,COUNTA([2]quests!$A:$A),MATCH(E$1,[2]quests!$1:$1,0)-MATCH($B$1,[2]quests!$1:$1,0)+1),MATCH(E$1,[2]quests!$1:$1,0)-MATCH($B$1,[2]quests!$1:$1,0)+1,FALSE)</f>
        <v>嫁入り道具はチェーンソー</v>
      </c>
      <c r="F9" s="4" t="str">
        <f ca="1">VLOOKUP($D9,OFFSET([2]stages!$A$1,0,0,COUNTA([2]stages!$A:$A),MATCH(F$1,[2]stages!$2:$2,0)-MATCH($D$1,[2]stages!$2:$2,0)+1),MATCH(F$1,[2]stages!$2:$2,0)-MATCH($D$1,[2]stages!$2:$2,0)+1,FALSE)</f>
        <v>【ｳｨｻﾞ】嫁入り道具はチェーンソー</v>
      </c>
      <c r="G9" s="21">
        <v>3</v>
      </c>
      <c r="H9" s="15" t="str">
        <f t="shared" si="2"/>
        <v>47016_3-3</v>
      </c>
      <c r="I9" s="4">
        <f ca="1">VLOOKUP($H9,OFFSET(floors!$A$1,0,0,COUNTA(floors!$A:$A),MATCH(I$1,floors!$1:$1,0)-MATCH($H$1,floors!$1:$1,0)+1),MATCH(I$1,floors!$1:$1,0)-MATCH($H$1,floors!$1:$1,0)+1,FALSE)</f>
        <v>60</v>
      </c>
      <c r="J9" s="4">
        <f ca="1">VLOOKUP($H9,OFFSET(floors!$A$1,0,0,COUNTA(floors!$A:$A),MATCH(J$1,floors!$1:$1,0)-MATCH($H$1,floors!$1:$1,0)+1),MATCH(J$1,floors!$1:$1,0)-MATCH($H$1,floors!$1:$1,0)+1,FALSE)</f>
        <v>60</v>
      </c>
      <c r="K9" s="38">
        <v>6</v>
      </c>
      <c r="L9" s="38">
        <v>2</v>
      </c>
      <c r="M9" s="103">
        <v>1697</v>
      </c>
      <c r="N9" s="17" t="str">
        <f ca="1">VLOOKUP($M9,OFFSET([3]enemies!$A$1,0,0,COUNTA([3]enemies!$A:$A),MATCH(N$1,[3]enemies!$1:$1,0)-MATCH($M$1,[3]enemies!$1:$1,0)+1),MATCH(N$1,[3]enemies!$1:$1,0)-MATCH($M$1,[3]enemies!$1:$1,0)+1,FALSE)</f>
        <v>駆動する機会 ガーネット</v>
      </c>
      <c r="O9" s="17" t="str">
        <f ca="1">VLOOKUP($M9,OFFSET([3]enemies!$A$1,0,0,COUNTA([3]enemies!$A:$A),MATCH(O$1,[3]enemies!$1:$1,0)-MATCH($M$1,[3]enemies!$1:$1,0)+1),MATCH(O$1,[3]enemies!$1:$1,0)-MATCH($M$1,[3]enemies!$1:$1,0)+1,FALSE)</f>
        <v>red</v>
      </c>
      <c r="P9" s="17" t="str">
        <f ca="1">VLOOKUP($M9,OFFSET([4]characters!$A$1,0,0,COUNTA([4]characters!$A:$A),MATCH(P$1,[4]characters!$1:$1,0)-MATCH($M$1,[4]characters!$1:$1,0)+1),MATCH(P$1,[4]characters!$1:$1,0)-MATCH($M$1,[4]characters!$1:$1,0)+1,FALSE)</f>
        <v>DropWizS</v>
      </c>
      <c r="Q9" s="17" t="str">
        <f ca="1">VLOOKUP($M9,OFFSET([3]enemies!$A$1,0,0,COUNTA([3]enemies!$A:$A),MATCH(Q$1,[3]enemies!$1:$1,0)-MATCH($M$1,[3]enemies!$1:$1,0)+1),MATCH(Q$1,[3]enemies!$1:$1,0)-MATCH($M$1,[3]enemies!$1:$1,0)+1,FALSE)</f>
        <v>human</v>
      </c>
      <c r="R9" s="17">
        <f ca="1">VLOOKUP($M9,OFFSET([3]enemies!$A$1,0,0,COUNTA([3]enemies!$A:$A),MATCH(R$1,[3]enemies!$1:$1,0)-MATCH($M$1,[3]enemies!$1:$1,0)+1),MATCH(R$1,[3]enemies!$1:$1,0)-MATCH($M$1,[3]enemies!$1:$1,0)+1,FALSE)</f>
        <v>60</v>
      </c>
      <c r="S9" s="5">
        <v>99</v>
      </c>
      <c r="T9" s="25">
        <v>3.2</v>
      </c>
      <c r="U9" s="101">
        <f>160599*T9</f>
        <v>513916.80000000005</v>
      </c>
      <c r="V9" s="25">
        <v>0.8</v>
      </c>
      <c r="W9" s="101">
        <f>14740*V9</f>
        <v>11792</v>
      </c>
      <c r="X9" s="5">
        <v>0</v>
      </c>
      <c r="Y9" s="4" t="str">
        <f ca="1">VLOOKUP($Z9,OFFSET(enemy_skill_sets!$B$1,0,0,COUNTA(enemy_skill_sets!$B:$B),MATCH(N$1,enemy_skill_sets!$1:$1,0)-MATCH($Z$1,enemy_skill_sets!$1:$1,0)+2),MATCH(N$1,enemy_skill_sets!$1:$1,0)-MATCH($Z$1,enemy_skill_sets!$1:$1,0)+2,FALSE)</f>
        <v>状態異常耐性+_x000D_特定エリアを赤パネルに変換</v>
      </c>
      <c r="Z9" s="111">
        <v>47016104</v>
      </c>
      <c r="AA9" s="105">
        <v>1</v>
      </c>
    </row>
    <row r="10" spans="1:27" ht="20" customHeight="1" x14ac:dyDescent="0.15">
      <c r="A10" s="16" t="str">
        <f t="shared" si="0"/>
        <v>47016_3-3/1697&lt;lv99&gt;sq6st3</v>
      </c>
      <c r="B10" s="22">
        <v>47016</v>
      </c>
      <c r="C10" s="21">
        <v>3</v>
      </c>
      <c r="D10" s="2" t="str">
        <f t="shared" si="1"/>
        <v>47016_3</v>
      </c>
      <c r="E10" s="4" t="str">
        <f ca="1">VLOOKUP($B10,OFFSET([2]quests!$A$1,0,0,COUNTA([2]quests!$A:$A),MATCH(E$1,[2]quests!$1:$1,0)-MATCH($B$1,[2]quests!$1:$1,0)+1),MATCH(E$1,[2]quests!$1:$1,0)-MATCH($B$1,[2]quests!$1:$1,0)+1,FALSE)</f>
        <v>嫁入り道具はチェーンソー</v>
      </c>
      <c r="F10" s="4" t="str">
        <f ca="1">VLOOKUP($D10,OFFSET([2]stages!$A$1,0,0,COUNTA([2]stages!$A:$A),MATCH(F$1,[2]stages!$2:$2,0)-MATCH($D$1,[2]stages!$2:$2,0)+1),MATCH(F$1,[2]stages!$2:$2,0)-MATCH($D$1,[2]stages!$2:$2,0)+1,FALSE)</f>
        <v>【ｳｨｻﾞ】嫁入り道具はチェーンソー</v>
      </c>
      <c r="G10" s="21">
        <v>3</v>
      </c>
      <c r="H10" s="15" t="str">
        <f t="shared" si="2"/>
        <v>47016_3-3</v>
      </c>
      <c r="I10" s="4">
        <f ca="1">VLOOKUP($H10,OFFSET(floors!$A$1,0,0,COUNTA(floors!$A:$A),MATCH(I$1,floors!$1:$1,0)-MATCH($H$1,floors!$1:$1,0)+1),MATCH(I$1,floors!$1:$1,0)-MATCH($H$1,floors!$1:$1,0)+1,FALSE)</f>
        <v>60</v>
      </c>
      <c r="J10" s="4">
        <f ca="1">VLOOKUP($H10,OFFSET(floors!$A$1,0,0,COUNTA(floors!$A:$A),MATCH(J$1,floors!$1:$1,0)-MATCH($H$1,floors!$1:$1,0)+1),MATCH(J$1,floors!$1:$1,0)-MATCH($H$1,floors!$1:$1,0)+1,FALSE)</f>
        <v>60</v>
      </c>
      <c r="K10" s="38">
        <v>6</v>
      </c>
      <c r="L10" s="38">
        <v>3</v>
      </c>
      <c r="M10" s="103">
        <v>1697</v>
      </c>
      <c r="N10" s="17" t="str">
        <f ca="1">VLOOKUP($M10,OFFSET([3]enemies!$A$1,0,0,COUNTA([3]enemies!$A:$A),MATCH(N$1,[3]enemies!$1:$1,0)-MATCH($M$1,[3]enemies!$1:$1,0)+1),MATCH(N$1,[3]enemies!$1:$1,0)-MATCH($M$1,[3]enemies!$1:$1,0)+1,FALSE)</f>
        <v>駆動する機会 ガーネット</v>
      </c>
      <c r="O10" s="17" t="str">
        <f ca="1">VLOOKUP($M10,OFFSET([3]enemies!$A$1,0,0,COUNTA([3]enemies!$A:$A),MATCH(O$1,[3]enemies!$1:$1,0)-MATCH($M$1,[3]enemies!$1:$1,0)+1),MATCH(O$1,[3]enemies!$1:$1,0)-MATCH($M$1,[3]enemies!$1:$1,0)+1,FALSE)</f>
        <v>red</v>
      </c>
      <c r="P10" s="17" t="str">
        <f ca="1">VLOOKUP($M10,OFFSET([4]characters!$A$1,0,0,COUNTA([4]characters!$A:$A),MATCH(P$1,[4]characters!$1:$1,0)-MATCH($M$1,[4]characters!$1:$1,0)+1),MATCH(P$1,[4]characters!$1:$1,0)-MATCH($M$1,[4]characters!$1:$1,0)+1,FALSE)</f>
        <v>DropWizS</v>
      </c>
      <c r="Q10" s="17" t="str">
        <f ca="1">VLOOKUP($M10,OFFSET([3]enemies!$A$1,0,0,COUNTA([3]enemies!$A:$A),MATCH(Q$1,[3]enemies!$1:$1,0)-MATCH($M$1,[3]enemies!$1:$1,0)+1),MATCH(Q$1,[3]enemies!$1:$1,0)-MATCH($M$1,[3]enemies!$1:$1,0)+1,FALSE)</f>
        <v>human</v>
      </c>
      <c r="R10" s="17">
        <f ca="1">VLOOKUP($M10,OFFSET([3]enemies!$A$1,0,0,COUNTA([3]enemies!$A:$A),MATCH(R$1,[3]enemies!$1:$1,0)-MATCH($M$1,[3]enemies!$1:$1,0)+1),MATCH(R$1,[3]enemies!$1:$1,0)-MATCH($M$1,[3]enemies!$1:$1,0)+1,FALSE)</f>
        <v>60</v>
      </c>
      <c r="S10" s="5">
        <v>99</v>
      </c>
      <c r="T10" s="25">
        <v>3.6</v>
      </c>
      <c r="U10" s="101">
        <f>160599*T10</f>
        <v>578156.4</v>
      </c>
      <c r="V10" s="25">
        <v>0.9</v>
      </c>
      <c r="W10" s="101">
        <f>14740*V10</f>
        <v>13266</v>
      </c>
      <c r="X10" s="5">
        <v>0</v>
      </c>
      <c r="Y10" s="4" t="str">
        <f ca="1">VLOOKUP($Z10,OFFSET(enemy_skill_sets!$B$1,0,0,COUNTA(enemy_skill_sets!$B:$B),MATCH(N$1,enemy_skill_sets!$1:$1,0)-MATCH($Z$1,enemy_skill_sets!$1:$1,0)+2),MATCH(N$1,enemy_skill_sets!$1:$1,0)-MATCH($Z$1,enemy_skill_sets!$1:$1,0)+2,FALSE)</f>
        <v>状態異常耐性+2ターン攻撃力UP+_x000D_3ターン全ユニットの攻撃力50%DOWN</v>
      </c>
      <c r="Z10" s="112">
        <v>47016105</v>
      </c>
      <c r="AA10" s="105">
        <v>1</v>
      </c>
    </row>
  </sheetData>
  <sheetProtection selectLockedCells="1" selectUnlockedCells="1"/>
  <autoFilter ref="B1:AA2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ignoredErrors>
    <ignoredError sqref="U5" formula="1"/>
  </ignoredErrors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 enableFormatConditionsCalculation="0">
    <tabColor rgb="FF0000FF"/>
    <outlinePr summaryBelow="0" summaryRight="0"/>
  </sheetPr>
  <dimension ref="A1:R149"/>
  <sheetViews>
    <sheetView showGridLines="0" zoomScale="95" zoomScaleNormal="95" zoomScalePageLayoutView="95" workbookViewId="0">
      <pane xSplit="5" ySplit="1" topLeftCell="F42" activePane="bottomRight" state="frozen"/>
      <selection pane="topRight"/>
      <selection pane="bottomLeft"/>
      <selection pane="bottomRight" activeCell="Q19" sqref="Q19"/>
    </sheetView>
  </sheetViews>
  <sheetFormatPr baseColWidth="12" defaultColWidth="12.83203125" defaultRowHeight="21" customHeight="1" outlineLevelCol="1" x14ac:dyDescent="0.15"/>
  <cols>
    <col min="1" max="1" width="11.33203125" style="39" customWidth="1"/>
    <col min="2" max="2" width="15.5" style="49" customWidth="1"/>
    <col min="3" max="3" width="16" style="49" customWidth="1"/>
    <col min="4" max="4" width="18.5" style="49" customWidth="1" outlineLevel="1"/>
    <col min="5" max="5" width="51.1640625" style="49" customWidth="1" outlineLevel="1"/>
    <col min="6" max="6" width="16.33203125" style="49" customWidth="1"/>
    <col min="7" max="7" width="8.33203125" style="49" customWidth="1" outlineLevel="1"/>
    <col min="8" max="9" width="12.83203125" style="49" customWidth="1" outlineLevel="1"/>
    <col min="10" max="10" width="17.6640625" style="49" customWidth="1" outlineLevel="1"/>
    <col min="11" max="15" width="12.83203125" style="49" customWidth="1" outlineLevel="1"/>
    <col min="16" max="16" width="8.33203125" style="45" bestFit="1" customWidth="1"/>
    <col min="17" max="17" width="9.6640625" style="45" customWidth="1"/>
    <col min="18" max="18" width="56.5" style="45" bestFit="1" customWidth="1"/>
    <col min="19" max="16384" width="12.83203125" style="45"/>
  </cols>
  <sheetData>
    <row r="1" spans="1:18" ht="21" customHeight="1" x14ac:dyDescent="0.15">
      <c r="A1" s="39" t="s">
        <v>60</v>
      </c>
      <c r="B1" s="40" t="s">
        <v>61</v>
      </c>
      <c r="C1" s="40" t="s">
        <v>62</v>
      </c>
      <c r="D1" s="41" t="s">
        <v>63</v>
      </c>
      <c r="E1" s="41" t="s">
        <v>64</v>
      </c>
      <c r="F1" s="42" t="s">
        <v>65</v>
      </c>
      <c r="G1" s="43" t="s">
        <v>66</v>
      </c>
      <c r="H1" s="43" t="s">
        <v>68</v>
      </c>
      <c r="I1" s="43" t="s">
        <v>69</v>
      </c>
      <c r="J1" s="43" t="s">
        <v>70</v>
      </c>
      <c r="K1" s="44" t="s">
        <v>71</v>
      </c>
      <c r="L1" s="44" t="s">
        <v>72</v>
      </c>
      <c r="M1" s="43" t="s">
        <v>73</v>
      </c>
      <c r="N1" s="43" t="s">
        <v>74</v>
      </c>
      <c r="O1" s="43" t="s">
        <v>75</v>
      </c>
      <c r="P1" s="41" t="s">
        <v>76</v>
      </c>
      <c r="Q1" s="41" t="s">
        <v>77</v>
      </c>
      <c r="R1" s="41" t="s">
        <v>78</v>
      </c>
    </row>
    <row r="2" spans="1:18" ht="21" customHeight="1" x14ac:dyDescent="0.15">
      <c r="A2" s="39" t="str">
        <f t="shared" ref="A2:A4" si="0">B2&amp;"_"&amp;C2</f>
        <v>47016100_47016100</v>
      </c>
      <c r="B2" s="106">
        <v>47016100</v>
      </c>
      <c r="C2" s="106">
        <v>47016100</v>
      </c>
      <c r="D2" s="46" t="str">
        <f ca="1">VLOOKUP($C2,OFFSET(enemy_skills!$A$1,0,0,COUNTA(enemy_skills!$A:$A),MATCH(D$1,enemy_skills!$1:$1,0)-MATCH("enemy_skill_id",enemy_skills!$1:$1,0)+1),MATCH(D$1,enemy_skills!$1:$1,0)-MATCH("enemy_skill_id",enemy_skills!$1:$1,0)+1,FALSE)</f>
        <v>お前もあの轟音に惹かれて来たのか…？</v>
      </c>
      <c r="E2" s="46" t="str">
        <f ca="1">VLOOKUP($C2,OFFSET(enemy_skills!$A$1,0,0,COUNTA(enemy_skills!$A:$A),MATCH(E$1,enemy_skills!$1:$1,0)-MATCH("enemy_skill_id",enemy_skills!$1:$1,0)+1),MATCH(E$1,enemy_skills!$1:$1,0)-MATCH("enemy_skill_id",enemy_skills!$1:$1,0)+1,FALSE)</f>
        <v>全ユニットのスキルターンを3ターン短縮</v>
      </c>
      <c r="F2" s="47">
        <v>47016100</v>
      </c>
      <c r="G2" s="48">
        <f ca="1">VLOOKUP($F2,OFFSET(enemy_skill_triggers!$A$1,0,0,COUNTA(enemy_skill_triggers!$A:$A),MATCH(G$1,enemy_skill_triggers!$1:$1,0)-MATCH($F$1,enemy_skill_triggers!$1:$1,0)+1),MATCH(G$1,enemy_skill_triggers!$1:$1,0)-MATCH($F$1,enemy_skill_triggers!$1:$1,0)+1,FALSE)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" s="48">
        <f ca="1">VLOOKUP($F2,OFFSET(enemy_skill_triggers!$A$1,0,0,COUNTA(enemy_skill_triggers!$A:$A),MATCH(H$1,enemy_skill_triggers!$1:$1,0)-MATCH($F$1,enemy_skill_triggers!$1:$1,0)+1),MATCH(H$1,enemy_skill_triggers!$1:$1,0)-MATCH($F$1,enemy_skill_triggers!$1:$1,0)+1,FALSE)</f>
        <v>500</v>
      </c>
      <c r="I2" s="48">
        <f ca="1">VLOOKUP($F2,OFFSET(enemy_skill_triggers!$A$1,0,0,COUNTA(enemy_skill_triggers!$A:$A),MATCH(I$1,enemy_skill_triggers!$1:$1,0)-MATCH($F$1,enemy_skill_triggers!$1:$1,0)+1),MATCH(I$1,enemy_skill_triggers!$1:$1,0)-MATCH($F$1,enemy_skill_triggers!$1:$1,0)+1,FALSE)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" s="48" t="str">
        <f ca="1">VLOOKUP($F2,OFFSET(enemy_skill_triggers!$A$1,0,0,COUNTA(enemy_skill_triggers!$A:$A),MATCH(J$1,enemy_skill_triggers!$1:$1,0)-MATCH($F$1,enemy_skill_triggers!$1:$1,0)+1),MATCH(J$1,enemy_skill_triggers!$1:$1,0)-MATCH($F$1,enemy_skill_triggers!$1:$1,0)+1,FALSE)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" s="48" t="str">
        <f ca="1">VLOOKUP($F2,OFFSET(enemy_skill_triggers!$A$1,0,0,COUNTA(enemy_skill_triggers!$A:$A),MATCH(K$1,enemy_skill_triggers!$1:$1,0)-MATCH($F$1,enemy_skill_triggers!$1:$1,0)+1),MATCH(K$1,enemy_skill_triggers!$1:$1,0)-MATCH($F$1,enemy_skill_triggers!$1:$1,0)+1,FALSE)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" s="48">
        <f ca="1">VLOOKUP($F2,OFFSET(enemy_skill_triggers!$A$1,0,0,COUNTA(enemy_skill_triggers!$A:$A),MATCH(L$1,enemy_skill_triggers!$1:$1,0)-MATCH($F$1,enemy_skill_triggers!$1:$1,0)+1),MATCH(L$1,enemy_skill_triggers!$1:$1,0)-MATCH($F$1,enemy_skill_triggers!$1:$1,0)+1,FALSE)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" s="48" t="str">
        <f ca="1">VLOOKUP($F2,OFFSET(enemy_skill_triggers!$A$1,0,0,COUNTA(enemy_skill_triggers!$A:$A),MATCH(M$1,enemy_skill_triggers!$1:$1,0)-MATCH($F$1,enemy_skill_triggers!$1:$1,0)+1),MATCH(M$1,enemy_skill_triggers!$1:$1,0)-MATCH($F$1,enemy_skill_triggers!$1:$1,0)+1,FALSE)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" s="48">
        <f ca="1">VLOOKUP($F2,OFFSET(enemy_skill_triggers!$A$1,0,0,COUNTA(enemy_skill_triggers!$A:$A),MATCH(N$1,enemy_skill_triggers!$1:$1,0)-MATCH($F$1,enemy_skill_triggers!$1:$1,0)+1),MATCH(N$1,enemy_skill_triggers!$1:$1,0)-MATCH($F$1,enemy_skill_triggers!$1:$1,0)+1,FALSE)</f>
        <v>1701</v>
      </c>
      <c r="O2" s="48">
        <f ca="1">VLOOKUP($F2,OFFSET(enemy_skill_triggers!$A$1,0,0,COUNTA(enemy_skill_triggers!$A:$A),MATCH(O$1,enemy_skill_triggers!$1:$1,0)-MATCH($F$1,enemy_skill_triggers!$1:$1,0)+1),MATCH(O$1,enemy_skill_triggers!$1:$1,0)-MATCH($F$1,enemy_skill_triggers!$1:$1,0)+1,FALSE)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" s="47"/>
      <c r="Q2" s="47"/>
      <c r="R2" s="47"/>
    </row>
    <row r="3" spans="1:18" ht="21" customHeight="1" x14ac:dyDescent="0.15">
      <c r="A3" s="39" t="str">
        <f t="shared" si="0"/>
        <v>47016100_47016100</v>
      </c>
      <c r="B3" s="106">
        <v>47016100</v>
      </c>
      <c r="C3" s="106">
        <v>47016100</v>
      </c>
      <c r="D3" s="46" t="str">
        <f ca="1">VLOOKUP($C3,OFFSET(enemy_skills!$A$1,0,0,COUNTA(enemy_skills!$A:$A),MATCH(D$1,enemy_skills!$1:$1,0)-MATCH("enemy_skill_id",enemy_skills!$1:$1,0)+1),MATCH(D$1,enemy_skills!$1:$1,0)-MATCH("enemy_skill_id",enemy_skills!$1:$1,0)+1,FALSE)</f>
        <v>お前もあの轟音に惹かれて来たのか…？</v>
      </c>
      <c r="E3" s="46" t="str">
        <f ca="1">VLOOKUP($C3,OFFSET(enemy_skills!$A$1,0,0,COUNTA(enemy_skills!$A:$A),MATCH(E$1,enemy_skills!$1:$1,0)-MATCH("enemy_skill_id",enemy_skills!$1:$1,0)+1),MATCH(E$1,enemy_skills!$1:$1,0)-MATCH("enemy_skill_id",enemy_skills!$1:$1,0)+1,FALSE)</f>
        <v>全ユニットのスキルターンを3ターン短縮</v>
      </c>
      <c r="F3" s="47">
        <v>47016101</v>
      </c>
      <c r="G3" s="48">
        <f ca="1">VLOOKUP($F3,OFFSET(enemy_skill_triggers!$A$1,0,0,COUNTA(enemy_skill_triggers!$A:$A),MATCH(G$1,enemy_skill_triggers!$1:$1,0)-MATCH($F$1,enemy_skill_triggers!$1:$1,0)+1),MATCH(G$1,enemy_skill_triggers!$1:$1,0)-MATCH($F$1,enemy_skill_triggers!$1:$1,0)+1,FALSE)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" s="48">
        <f ca="1">VLOOKUP($F3,OFFSET(enemy_skill_triggers!$A$1,0,0,COUNTA(enemy_skill_triggers!$A:$A),MATCH(H$1,enemy_skill_triggers!$1:$1,0)-MATCH($F$1,enemy_skill_triggers!$1:$1,0)+1),MATCH(H$1,enemy_skill_triggers!$1:$1,0)-MATCH($F$1,enemy_skill_triggers!$1:$1,0)+1,FALSE)</f>
        <v>490</v>
      </c>
      <c r="I3" s="48">
        <f ca="1">VLOOKUP($F3,OFFSET(enemy_skill_triggers!$A$1,0,0,COUNTA(enemy_skill_triggers!$A:$A),MATCH(I$1,enemy_skill_triggers!$1:$1,0)-MATCH($F$1,enemy_skill_triggers!$1:$1,0)+1),MATCH(I$1,enemy_skill_triggers!$1:$1,0)-MATCH($F$1,enemy_skill_triggers!$1:$1,0)+1,FALSE)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" s="48" t="str">
        <f ca="1">VLOOKUP($F3,OFFSET(enemy_skill_triggers!$A$1,0,0,COUNTA(enemy_skill_triggers!$A:$A),MATCH(J$1,enemy_skill_triggers!$1:$1,0)-MATCH($F$1,enemy_skill_triggers!$1:$1,0)+1),MATCH(J$1,enemy_skill_triggers!$1:$1,0)-MATCH($F$1,enemy_skill_triggers!$1:$1,0)+1,FALSE)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" s="48" t="str">
        <f ca="1">VLOOKUP($F3,OFFSET(enemy_skill_triggers!$A$1,0,0,COUNTA(enemy_skill_triggers!$A:$A),MATCH(K$1,enemy_skill_triggers!$1:$1,0)-MATCH($F$1,enemy_skill_triggers!$1:$1,0)+1),MATCH(K$1,enemy_skill_triggers!$1:$1,0)-MATCH($F$1,enemy_skill_triggers!$1:$1,0)+1,FALSE)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" s="48">
        <f ca="1">VLOOKUP($F3,OFFSET(enemy_skill_triggers!$A$1,0,0,COUNTA(enemy_skill_triggers!$A:$A),MATCH(L$1,enemy_skill_triggers!$1:$1,0)-MATCH($F$1,enemy_skill_triggers!$1:$1,0)+1),MATCH(L$1,enemy_skill_triggers!$1:$1,0)-MATCH($F$1,enemy_skill_triggers!$1:$1,0)+1,FALSE)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" s="48" t="str">
        <f ca="1">VLOOKUP($F3,OFFSET(enemy_skill_triggers!$A$1,0,0,COUNTA(enemy_skill_triggers!$A:$A),MATCH(M$1,enemy_skill_triggers!$1:$1,0)-MATCH($F$1,enemy_skill_triggers!$1:$1,0)+1),MATCH(M$1,enemy_skill_triggers!$1:$1,0)-MATCH($F$1,enemy_skill_triggers!$1:$1,0)+1,FALSE)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" s="48">
        <f ca="1">VLOOKUP($F3,OFFSET(enemy_skill_triggers!$A$1,0,0,COUNTA(enemy_skill_triggers!$A:$A),MATCH(N$1,enemy_skill_triggers!$1:$1,0)-MATCH($F$1,enemy_skill_triggers!$1:$1,0)+1),MATCH(N$1,enemy_skill_triggers!$1:$1,0)-MATCH($F$1,enemy_skill_triggers!$1:$1,0)+1,FALSE)</f>
        <v>1702</v>
      </c>
      <c r="O3" s="48">
        <f ca="1">VLOOKUP($F3,OFFSET(enemy_skill_triggers!$A$1,0,0,COUNTA(enemy_skill_triggers!$A:$A),MATCH(O$1,enemy_skill_triggers!$1:$1,0)-MATCH($F$1,enemy_skill_triggers!$1:$1,0)+1),MATCH(O$1,enemy_skill_triggers!$1:$1,0)-MATCH($F$1,enemy_skill_triggers!$1:$1,0)+1,FALSE)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" s="47"/>
      <c r="Q3" s="47"/>
      <c r="R3" s="47"/>
    </row>
    <row r="4" spans="1:18" ht="21" customHeight="1" x14ac:dyDescent="0.15">
      <c r="A4" s="39" t="str">
        <f t="shared" si="0"/>
        <v>47016100_47016101</v>
      </c>
      <c r="B4" s="106">
        <v>47016100</v>
      </c>
      <c r="C4" s="106">
        <v>47016101</v>
      </c>
      <c r="D4" s="46" t="str">
        <f ca="1">VLOOKUP($C4,OFFSET(enemy_skills!$A$1,0,0,COUNTA(enemy_skills!$A:$A),MATCH(D$1,enemy_skills!$1:$1,0)-MATCH("enemy_skill_id",enemy_skills!$1:$1,0)+1),MATCH(D$1,enemy_skills!$1:$1,0)-MATCH("enemy_skill_id",enemy_skills!$1:$1,0)+1,FALSE)</f>
        <v>なんだ、お前もあいつを見にきたのか？</v>
      </c>
      <c r="E4" s="46" t="str">
        <f ca="1">VLOOKUP($C4,OFFSET(enemy_skills!$A$1,0,0,COUNTA(enemy_skills!$A:$A),MATCH(E$1,enemy_skills!$1:$1,0)-MATCH("enemy_skill_id",enemy_skills!$1:$1,0)+1),MATCH(E$1,enemy_skills!$1:$1,0)-MATCH("enemy_skill_id",enemy_skills!$1:$1,0)+1,FALSE)</f>
        <v>ドレスとチェーンソー…_x000D_すげぇ組み合わせだよな</v>
      </c>
      <c r="F4" s="47">
        <v>47016102</v>
      </c>
      <c r="G4" s="48">
        <f ca="1">VLOOKUP($F4,OFFSET(enemy_skill_triggers!$A$1,0,0,COUNTA(enemy_skill_triggers!$A:$A),MATCH(G$1,enemy_skill_triggers!$1:$1,0)-MATCH($F$1,enemy_skill_triggers!$1:$1,0)+1),MATCH(G$1,enemy_skill_triggers!$1:$1,0)-MATCH($F$1,enemy_skill_triggers!$1:$1,0)+1,FALSE)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" s="48">
        <f ca="1">VLOOKUP($F4,OFFSET(enemy_skill_triggers!$A$1,0,0,COUNTA(enemy_skill_triggers!$A:$A),MATCH(H$1,enemy_skill_triggers!$1:$1,0)-MATCH($F$1,enemy_skill_triggers!$1:$1,0)+1),MATCH(H$1,enemy_skill_triggers!$1:$1,0)-MATCH($F$1,enemy_skill_triggers!$1:$1,0)+1,FALSE)</f>
        <v>480</v>
      </c>
      <c r="I4" s="48">
        <f ca="1">VLOOKUP($F4,OFFSET(enemy_skill_triggers!$A$1,0,0,COUNTA(enemy_skill_triggers!$A:$A),MATCH(I$1,enemy_skill_triggers!$1:$1,0)-MATCH($F$1,enemy_skill_triggers!$1:$1,0)+1),MATCH(I$1,enemy_skill_triggers!$1:$1,0)-MATCH($F$1,enemy_skill_triggers!$1:$1,0)+1,FALSE)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" s="48" t="str">
        <f ca="1">VLOOKUP($F4,OFFSET(enemy_skill_triggers!$A$1,0,0,COUNTA(enemy_skill_triggers!$A:$A),MATCH(J$1,enemy_skill_triggers!$1:$1,0)-MATCH($F$1,enemy_skill_triggers!$1:$1,0)+1),MATCH(J$1,enemy_skill_triggers!$1:$1,0)-MATCH($F$1,enemy_skill_triggers!$1:$1,0)+1,FALSE)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" s="48" t="str">
        <f ca="1">VLOOKUP($F4,OFFSET(enemy_skill_triggers!$A$1,0,0,COUNTA(enemy_skill_triggers!$A:$A),MATCH(K$1,enemy_skill_triggers!$1:$1,0)-MATCH($F$1,enemy_skill_triggers!$1:$1,0)+1),MATCH(K$1,enemy_skill_triggers!$1:$1,0)-MATCH($F$1,enemy_skill_triggers!$1:$1,0)+1,FALSE)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" s="48">
        <f ca="1">VLOOKUP($F4,OFFSET(enemy_skill_triggers!$A$1,0,0,COUNTA(enemy_skill_triggers!$A:$A),MATCH(L$1,enemy_skill_triggers!$1:$1,0)-MATCH($F$1,enemy_skill_triggers!$1:$1,0)+1),MATCH(L$1,enemy_skill_triggers!$1:$1,0)-MATCH($F$1,enemy_skill_triggers!$1:$1,0)+1,FALSE)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" s="48" t="str">
        <f ca="1">VLOOKUP($F4,OFFSET(enemy_skill_triggers!$A$1,0,0,COUNTA(enemy_skill_triggers!$A:$A),MATCH(M$1,enemy_skill_triggers!$1:$1,0)-MATCH($F$1,enemy_skill_triggers!$1:$1,0)+1),MATCH(M$1,enemy_skill_triggers!$1:$1,0)-MATCH($F$1,enemy_skill_triggers!$1:$1,0)+1,FALSE)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" s="48">
        <f ca="1">VLOOKUP($F4,OFFSET(enemy_skill_triggers!$A$1,0,0,COUNTA(enemy_skill_triggers!$A:$A),MATCH(N$1,enemy_skill_triggers!$1:$1,0)-MATCH($F$1,enemy_skill_triggers!$1:$1,0)+1),MATCH(N$1,enemy_skill_triggers!$1:$1,0)-MATCH($F$1,enemy_skill_triggers!$1:$1,0)+1,FALSE)</f>
        <v>1703</v>
      </c>
      <c r="O4" s="48">
        <f ca="1">VLOOKUP($F4,OFFSET(enemy_skill_triggers!$A$1,0,0,COUNTA(enemy_skill_triggers!$A:$A),MATCH(O$1,enemy_skill_triggers!$1:$1,0)-MATCH($F$1,enemy_skill_triggers!$1:$1,0)+1),MATCH(O$1,enemy_skill_triggers!$1:$1,0)-MATCH($F$1,enemy_skill_triggers!$1:$1,0)+1,FALSE)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" s="47"/>
      <c r="Q4" s="47"/>
      <c r="R4" s="47"/>
    </row>
    <row r="5" spans="1:18" ht="21" customHeight="1" x14ac:dyDescent="0.15">
      <c r="A5" s="39" t="str">
        <f t="shared" ref="A5:A16" si="1">B5&amp;"_"&amp;C5</f>
        <v>47016100_47016101</v>
      </c>
      <c r="B5" s="106">
        <v>47016100</v>
      </c>
      <c r="C5" s="106">
        <v>47016101</v>
      </c>
      <c r="D5" s="46" t="str">
        <f ca="1">VLOOKUP($C5,OFFSET(enemy_skills!$A$1,0,0,COUNTA(enemy_skills!$A:$A),MATCH(D$1,enemy_skills!$1:$1,0)-MATCH("enemy_skill_id",enemy_skills!$1:$1,0)+1),MATCH(D$1,enemy_skills!$1:$1,0)-MATCH("enemy_skill_id",enemy_skills!$1:$1,0)+1,FALSE)</f>
        <v>なんだ、お前もあいつを見にきたのか？</v>
      </c>
      <c r="E5" s="46" t="str">
        <f ca="1">VLOOKUP($C5,OFFSET(enemy_skills!$A$1,0,0,COUNTA(enemy_skills!$A:$A),MATCH(E$1,enemy_skills!$1:$1,0)-MATCH("enemy_skill_id",enemy_skills!$1:$1,0)+1),MATCH(E$1,enemy_skills!$1:$1,0)-MATCH("enemy_skill_id",enemy_skills!$1:$1,0)+1,FALSE)</f>
        <v>ドレスとチェーンソー…_x000D_すげぇ組み合わせだよな</v>
      </c>
      <c r="F5" s="47">
        <v>47016103</v>
      </c>
      <c r="G5" s="48">
        <f ca="1">VLOOKUP($F5,OFFSET(enemy_skill_triggers!$A$1,0,0,COUNTA(enemy_skill_triggers!$A:$A),MATCH(G$1,enemy_skill_triggers!$1:$1,0)-MATCH($F$1,enemy_skill_triggers!$1:$1,0)+1),MATCH(G$1,enemy_skill_triggers!$1:$1,0)-MATCH($F$1,enemy_skill_triggers!$1:$1,0)+1,FALSE)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" s="48">
        <f ca="1">VLOOKUP($F5,OFFSET(enemy_skill_triggers!$A$1,0,0,COUNTA(enemy_skill_triggers!$A:$A),MATCH(H$1,enemy_skill_triggers!$1:$1,0)-MATCH($F$1,enemy_skill_triggers!$1:$1,0)+1),MATCH(H$1,enemy_skill_triggers!$1:$1,0)-MATCH($F$1,enemy_skill_triggers!$1:$1,0)+1,FALSE)</f>
        <v>470</v>
      </c>
      <c r="I5" s="48">
        <f ca="1">VLOOKUP($F5,OFFSET(enemy_skill_triggers!$A$1,0,0,COUNTA(enemy_skill_triggers!$A:$A),MATCH(I$1,enemy_skill_triggers!$1:$1,0)-MATCH($F$1,enemy_skill_triggers!$1:$1,0)+1),MATCH(I$1,enemy_skill_triggers!$1:$1,0)-MATCH($F$1,enemy_skill_triggers!$1:$1,0)+1,FALSE)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" s="48" t="str">
        <f ca="1">VLOOKUP($F5,OFFSET(enemy_skill_triggers!$A$1,0,0,COUNTA(enemy_skill_triggers!$A:$A),MATCH(J$1,enemy_skill_triggers!$1:$1,0)-MATCH($F$1,enemy_skill_triggers!$1:$1,0)+1),MATCH(J$1,enemy_skill_triggers!$1:$1,0)-MATCH($F$1,enemy_skill_triggers!$1:$1,0)+1,FALSE)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" s="48" t="str">
        <f ca="1">VLOOKUP($F5,OFFSET(enemy_skill_triggers!$A$1,0,0,COUNTA(enemy_skill_triggers!$A:$A),MATCH(K$1,enemy_skill_triggers!$1:$1,0)-MATCH($F$1,enemy_skill_triggers!$1:$1,0)+1),MATCH(K$1,enemy_skill_triggers!$1:$1,0)-MATCH($F$1,enemy_skill_triggers!$1:$1,0)+1,FALSE)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" s="48">
        <f ca="1">VLOOKUP($F5,OFFSET(enemy_skill_triggers!$A$1,0,0,COUNTA(enemy_skill_triggers!$A:$A),MATCH(L$1,enemy_skill_triggers!$1:$1,0)-MATCH($F$1,enemy_skill_triggers!$1:$1,0)+1),MATCH(L$1,enemy_skill_triggers!$1:$1,0)-MATCH($F$1,enemy_skill_triggers!$1:$1,0)+1,FALSE)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" s="48" t="str">
        <f ca="1">VLOOKUP($F5,OFFSET(enemy_skill_triggers!$A$1,0,0,COUNTA(enemy_skill_triggers!$A:$A),MATCH(M$1,enemy_skill_triggers!$1:$1,0)-MATCH($F$1,enemy_skill_triggers!$1:$1,0)+1),MATCH(M$1,enemy_skill_triggers!$1:$1,0)-MATCH($F$1,enemy_skill_triggers!$1:$1,0)+1,FALSE)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" s="48">
        <f ca="1">VLOOKUP($F5,OFFSET(enemy_skill_triggers!$A$1,0,0,COUNTA(enemy_skill_triggers!$A:$A),MATCH(N$1,enemy_skill_triggers!$1:$1,0)-MATCH($F$1,enemy_skill_triggers!$1:$1,0)+1),MATCH(N$1,enemy_skill_triggers!$1:$1,0)-MATCH($F$1,enemy_skill_triggers!$1:$1,0)+1,FALSE)</f>
        <v>1704</v>
      </c>
      <c r="O5" s="48">
        <f ca="1">VLOOKUP($F5,OFFSET(enemy_skill_triggers!$A$1,0,0,COUNTA(enemy_skill_triggers!$A:$A),MATCH(O$1,enemy_skill_triggers!$1:$1,0)-MATCH($F$1,enemy_skill_triggers!$1:$1,0)+1),MATCH(O$1,enemy_skill_triggers!$1:$1,0)-MATCH($F$1,enemy_skill_triggers!$1:$1,0)+1,FALSE)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" s="47"/>
      <c r="Q5" s="47"/>
      <c r="R5" s="47"/>
    </row>
    <row r="6" spans="1:18" ht="21" customHeight="1" x14ac:dyDescent="0.15">
      <c r="A6" s="39" t="str">
        <f t="shared" ref="A6" si="2">B6&amp;"_"&amp;C6</f>
        <v>47016100_47016101</v>
      </c>
      <c r="B6" s="106">
        <v>47016100</v>
      </c>
      <c r="C6" s="106">
        <v>47016101</v>
      </c>
      <c r="D6" s="46" t="str">
        <f ca="1">VLOOKUP($C6,OFFSET(enemy_skills!$A$1,0,0,COUNTA(enemy_skills!$A:$A),MATCH(D$1,enemy_skills!$1:$1,0)-MATCH("enemy_skill_id",enemy_skills!$1:$1,0)+1),MATCH(D$1,enemy_skills!$1:$1,0)-MATCH("enemy_skill_id",enemy_skills!$1:$1,0)+1,FALSE)</f>
        <v>なんだ、お前もあいつを見にきたのか？</v>
      </c>
      <c r="E6" s="46" t="str">
        <f ca="1">VLOOKUP($C6,OFFSET(enemy_skills!$A$1,0,0,COUNTA(enemy_skills!$A:$A),MATCH(E$1,enemy_skills!$1:$1,0)-MATCH("enemy_skill_id",enemy_skills!$1:$1,0)+1),MATCH(E$1,enemy_skills!$1:$1,0)-MATCH("enemy_skill_id",enemy_skills!$1:$1,0)+1,FALSE)</f>
        <v>ドレスとチェーンソー…_x000D_すげぇ組み合わせだよな</v>
      </c>
      <c r="F6" s="47">
        <v>47016104</v>
      </c>
      <c r="G6" s="48">
        <f ca="1">VLOOKUP($F6,OFFSET(enemy_skill_triggers!$A$1,0,0,COUNTA(enemy_skill_triggers!$A:$A),MATCH(G$1,enemy_skill_triggers!$1:$1,0)-MATCH($F$1,enemy_skill_triggers!$1:$1,0)+1),MATCH(G$1,enemy_skill_triggers!$1:$1,0)-MATCH($F$1,enemy_skill_triggers!$1:$1,0)+1,FALSE)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6" s="48">
        <f ca="1">VLOOKUP($F6,OFFSET(enemy_skill_triggers!$A$1,0,0,COUNTA(enemy_skill_triggers!$A:$A),MATCH(H$1,enemy_skill_triggers!$1:$1,0)-MATCH($F$1,enemy_skill_triggers!$1:$1,0)+1),MATCH(H$1,enemy_skill_triggers!$1:$1,0)-MATCH($F$1,enemy_skill_triggers!$1:$1,0)+1,FALSE)</f>
        <v>460</v>
      </c>
      <c r="I6" s="48">
        <f ca="1">VLOOKUP($F6,OFFSET(enemy_skill_triggers!$A$1,0,0,COUNTA(enemy_skill_triggers!$A:$A),MATCH(I$1,enemy_skill_triggers!$1:$1,0)-MATCH($F$1,enemy_skill_triggers!$1:$1,0)+1),MATCH(I$1,enemy_skill_triggers!$1:$1,0)-MATCH($F$1,enemy_skill_triggers!$1:$1,0)+1,FALSE)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" s="48" t="str">
        <f ca="1">VLOOKUP($F6,OFFSET(enemy_skill_triggers!$A$1,0,0,COUNTA(enemy_skill_triggers!$A:$A),MATCH(J$1,enemy_skill_triggers!$1:$1,0)-MATCH($F$1,enemy_skill_triggers!$1:$1,0)+1),MATCH(J$1,enemy_skill_triggers!$1:$1,0)-MATCH($F$1,enemy_skill_triggers!$1:$1,0)+1,FALSE)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" s="48" t="str">
        <f ca="1">VLOOKUP($F6,OFFSET(enemy_skill_triggers!$A$1,0,0,COUNTA(enemy_skill_triggers!$A:$A),MATCH(K$1,enemy_skill_triggers!$1:$1,0)-MATCH($F$1,enemy_skill_triggers!$1:$1,0)+1),MATCH(K$1,enemy_skill_triggers!$1:$1,0)-MATCH($F$1,enemy_skill_triggers!$1:$1,0)+1,FALSE)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" s="48">
        <f ca="1">VLOOKUP($F6,OFFSET(enemy_skill_triggers!$A$1,0,0,COUNTA(enemy_skill_triggers!$A:$A),MATCH(L$1,enemy_skill_triggers!$1:$1,0)-MATCH($F$1,enemy_skill_triggers!$1:$1,0)+1),MATCH(L$1,enemy_skill_triggers!$1:$1,0)-MATCH($F$1,enemy_skill_triggers!$1:$1,0)+1,FALSE)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" s="48" t="str">
        <f ca="1">VLOOKUP($F6,OFFSET(enemy_skill_triggers!$A$1,0,0,COUNTA(enemy_skill_triggers!$A:$A),MATCH(M$1,enemy_skill_triggers!$1:$1,0)-MATCH($F$1,enemy_skill_triggers!$1:$1,0)+1),MATCH(M$1,enemy_skill_triggers!$1:$1,0)-MATCH($F$1,enemy_skill_triggers!$1:$1,0)+1,FALSE)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" s="48">
        <f ca="1">VLOOKUP($F6,OFFSET(enemy_skill_triggers!$A$1,0,0,COUNTA(enemy_skill_triggers!$A:$A),MATCH(N$1,enemy_skill_triggers!$1:$1,0)-MATCH($F$1,enemy_skill_triggers!$1:$1,0)+1),MATCH(N$1,enemy_skill_triggers!$1:$1,0)-MATCH($F$1,enemy_skill_triggers!$1:$1,0)+1,FALSE)</f>
        <v>1705</v>
      </c>
      <c r="O6" s="48">
        <f ca="1">VLOOKUP($F6,OFFSET(enemy_skill_triggers!$A$1,0,0,COUNTA(enemy_skill_triggers!$A:$A),MATCH(O$1,enemy_skill_triggers!$1:$1,0)-MATCH($F$1,enemy_skill_triggers!$1:$1,0)+1),MATCH(O$1,enemy_skill_triggers!$1:$1,0)-MATCH($F$1,enemy_skill_triggers!$1:$1,0)+1,FALSE)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" s="47"/>
      <c r="Q6" s="47"/>
      <c r="R6" s="47"/>
    </row>
    <row r="7" spans="1:18" ht="21" customHeight="1" x14ac:dyDescent="0.15">
      <c r="A7" s="39" t="str">
        <f t="shared" si="1"/>
        <v>47016100_47016101</v>
      </c>
      <c r="B7" s="106">
        <v>47016100</v>
      </c>
      <c r="C7" s="106">
        <v>47016101</v>
      </c>
      <c r="D7" s="46" t="str">
        <f ca="1">VLOOKUP($C7,OFFSET(enemy_skills!$A$1,0,0,COUNTA(enemy_skills!$A:$A),MATCH(D$1,enemy_skills!$1:$1,0)-MATCH("enemy_skill_id",enemy_skills!$1:$1,0)+1),MATCH(D$1,enemy_skills!$1:$1,0)-MATCH("enemy_skill_id",enemy_skills!$1:$1,0)+1,FALSE)</f>
        <v>なんだ、お前もあいつを見にきたのか？</v>
      </c>
      <c r="E7" s="46" t="str">
        <f ca="1">VLOOKUP($C7,OFFSET(enemy_skills!$A$1,0,0,COUNTA(enemy_skills!$A:$A),MATCH(E$1,enemy_skills!$1:$1,0)-MATCH("enemy_skill_id",enemy_skills!$1:$1,0)+1),MATCH(E$1,enemy_skills!$1:$1,0)-MATCH("enemy_skill_id",enemy_skills!$1:$1,0)+1,FALSE)</f>
        <v>ドレスとチェーンソー…_x000D_すげぇ組み合わせだよな</v>
      </c>
      <c r="F7" s="47">
        <v>47016105</v>
      </c>
      <c r="G7" s="48">
        <f ca="1">VLOOKUP($F7,OFFSET(enemy_skill_triggers!$A$1,0,0,COUNTA(enemy_skill_triggers!$A:$A),MATCH(G$1,enemy_skill_triggers!$1:$1,0)-MATCH($F$1,enemy_skill_triggers!$1:$1,0)+1),MATCH(G$1,enemy_skill_triggers!$1:$1,0)-MATCH($F$1,enemy_skill_triggers!$1:$1,0)+1,FALSE)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7" s="48">
        <f ca="1">VLOOKUP($F7,OFFSET(enemy_skill_triggers!$A$1,0,0,COUNTA(enemy_skill_triggers!$A:$A),MATCH(H$1,enemy_skill_triggers!$1:$1,0)-MATCH($F$1,enemy_skill_triggers!$1:$1,0)+1),MATCH(H$1,enemy_skill_triggers!$1:$1,0)-MATCH($F$1,enemy_skill_triggers!$1:$1,0)+1,FALSE)</f>
        <v>450</v>
      </c>
      <c r="I7" s="48">
        <f ca="1">VLOOKUP($F7,OFFSET(enemy_skill_triggers!$A$1,0,0,COUNTA(enemy_skill_triggers!$A:$A),MATCH(I$1,enemy_skill_triggers!$1:$1,0)-MATCH($F$1,enemy_skill_triggers!$1:$1,0)+1),MATCH(I$1,enemy_skill_triggers!$1:$1,0)-MATCH($F$1,enemy_skill_triggers!$1:$1,0)+1,FALSE)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" s="48" t="str">
        <f ca="1">VLOOKUP($F7,OFFSET(enemy_skill_triggers!$A$1,0,0,COUNTA(enemy_skill_triggers!$A:$A),MATCH(J$1,enemy_skill_triggers!$1:$1,0)-MATCH($F$1,enemy_skill_triggers!$1:$1,0)+1),MATCH(J$1,enemy_skill_triggers!$1:$1,0)-MATCH($F$1,enemy_skill_triggers!$1:$1,0)+1,FALSE)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" s="48" t="str">
        <f ca="1">VLOOKUP($F7,OFFSET(enemy_skill_triggers!$A$1,0,0,COUNTA(enemy_skill_triggers!$A:$A),MATCH(K$1,enemy_skill_triggers!$1:$1,0)-MATCH($F$1,enemy_skill_triggers!$1:$1,0)+1),MATCH(K$1,enemy_skill_triggers!$1:$1,0)-MATCH($F$1,enemy_skill_triggers!$1:$1,0)+1,FALSE)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" s="48">
        <f ca="1">VLOOKUP($F7,OFFSET(enemy_skill_triggers!$A$1,0,0,COUNTA(enemy_skill_triggers!$A:$A),MATCH(L$1,enemy_skill_triggers!$1:$1,0)-MATCH($F$1,enemy_skill_triggers!$1:$1,0)+1),MATCH(L$1,enemy_skill_triggers!$1:$1,0)-MATCH($F$1,enemy_skill_triggers!$1:$1,0)+1,FALSE)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" s="48" t="str">
        <f ca="1">VLOOKUP($F7,OFFSET(enemy_skill_triggers!$A$1,0,0,COUNTA(enemy_skill_triggers!$A:$A),MATCH(M$1,enemy_skill_triggers!$1:$1,0)-MATCH($F$1,enemy_skill_triggers!$1:$1,0)+1),MATCH(M$1,enemy_skill_triggers!$1:$1,0)-MATCH($F$1,enemy_skill_triggers!$1:$1,0)+1,FALSE)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" s="48">
        <f ca="1">VLOOKUP($F7,OFFSET(enemy_skill_triggers!$A$1,0,0,COUNTA(enemy_skill_triggers!$A:$A),MATCH(N$1,enemy_skill_triggers!$1:$1,0)-MATCH($F$1,enemy_skill_triggers!$1:$1,0)+1),MATCH(N$1,enemy_skill_triggers!$1:$1,0)-MATCH($F$1,enemy_skill_triggers!$1:$1,0)+1,FALSE)</f>
        <v>1706</v>
      </c>
      <c r="O7" s="48">
        <f ca="1">VLOOKUP($F7,OFFSET(enemy_skill_triggers!$A$1,0,0,COUNTA(enemy_skill_triggers!$A:$A),MATCH(O$1,enemy_skill_triggers!$1:$1,0)-MATCH($F$1,enemy_skill_triggers!$1:$1,0)+1),MATCH(O$1,enemy_skill_triggers!$1:$1,0)-MATCH($F$1,enemy_skill_triggers!$1:$1,0)+1,FALSE)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" s="47"/>
      <c r="Q7" s="47"/>
      <c r="R7" s="47"/>
    </row>
    <row r="8" spans="1:18" ht="21" customHeight="1" x14ac:dyDescent="0.15">
      <c r="A8" s="39" t="str">
        <f t="shared" si="1"/>
        <v>47016100_47016101</v>
      </c>
      <c r="B8" s="106">
        <v>47016100</v>
      </c>
      <c r="C8" s="106">
        <v>47016101</v>
      </c>
      <c r="D8" s="46" t="str">
        <f ca="1">VLOOKUP($C8,OFFSET(enemy_skills!$A$1,0,0,COUNTA(enemy_skills!$A:$A),MATCH(D$1,enemy_skills!$1:$1,0)-MATCH("enemy_skill_id",enemy_skills!$1:$1,0)+1),MATCH(D$1,enemy_skills!$1:$1,0)-MATCH("enemy_skill_id",enemy_skills!$1:$1,0)+1,FALSE)</f>
        <v>なんだ、お前もあいつを見にきたのか？</v>
      </c>
      <c r="E8" s="46" t="str">
        <f ca="1">VLOOKUP($C8,OFFSET(enemy_skills!$A$1,0,0,COUNTA(enemy_skills!$A:$A),MATCH(E$1,enemy_skills!$1:$1,0)-MATCH("enemy_skill_id",enemy_skills!$1:$1,0)+1),MATCH(E$1,enemy_skills!$1:$1,0)-MATCH("enemy_skill_id",enemy_skills!$1:$1,0)+1,FALSE)</f>
        <v>ドレスとチェーンソー…_x000D_すげぇ組み合わせだよな</v>
      </c>
      <c r="F8" s="47">
        <v>47016175</v>
      </c>
      <c r="G8" s="48">
        <f ca="1">VLOOKUP($F8,OFFSET(enemy_skill_triggers!$A$1,0,0,COUNTA(enemy_skill_triggers!$A:$A),MATCH(G$1,enemy_skill_triggers!$1:$1,0)-MATCH($F$1,enemy_skill_triggers!$1:$1,0)+1),MATCH(G$1,enemy_skill_triggers!$1:$1,0)-MATCH($F$1,enemy_skill_triggers!$1:$1,0)+1,FALSE)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8" s="48">
        <f ca="1">VLOOKUP($F8,OFFSET(enemy_skill_triggers!$A$1,0,0,COUNTA(enemy_skill_triggers!$A:$A),MATCH(H$1,enemy_skill_triggers!$1:$1,0)-MATCH($F$1,enemy_skill_triggers!$1:$1,0)+1),MATCH(H$1,enemy_skill_triggers!$1:$1,0)-MATCH($F$1,enemy_skill_triggers!$1:$1,0)+1,FALSE)</f>
        <v>445</v>
      </c>
      <c r="I8" s="48">
        <f ca="1">VLOOKUP($F8,OFFSET(enemy_skill_triggers!$A$1,0,0,COUNTA(enemy_skill_triggers!$A:$A),MATCH(I$1,enemy_skill_triggers!$1:$1,0)-MATCH($F$1,enemy_skill_triggers!$1:$1,0)+1),MATCH(I$1,enemy_skill_triggers!$1:$1,0)-MATCH($F$1,enemy_skill_triggers!$1:$1,0)+1,FALSE)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" s="48" t="str">
        <f ca="1">VLOOKUP($F8,OFFSET(enemy_skill_triggers!$A$1,0,0,COUNTA(enemy_skill_triggers!$A:$A),MATCH(J$1,enemy_skill_triggers!$1:$1,0)-MATCH($F$1,enemy_skill_triggers!$1:$1,0)+1),MATCH(J$1,enemy_skill_triggers!$1:$1,0)-MATCH($F$1,enemy_skill_triggers!$1:$1,0)+1,FALSE)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" s="48" t="str">
        <f ca="1">VLOOKUP($F8,OFFSET(enemy_skill_triggers!$A$1,0,0,COUNTA(enemy_skill_triggers!$A:$A),MATCH(K$1,enemy_skill_triggers!$1:$1,0)-MATCH($F$1,enemy_skill_triggers!$1:$1,0)+1),MATCH(K$1,enemy_skill_triggers!$1:$1,0)-MATCH($F$1,enemy_skill_triggers!$1:$1,0)+1,FALSE)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" s="48">
        <f ca="1">VLOOKUP($F8,OFFSET(enemy_skill_triggers!$A$1,0,0,COUNTA(enemy_skill_triggers!$A:$A),MATCH(L$1,enemy_skill_triggers!$1:$1,0)-MATCH($F$1,enemy_skill_triggers!$1:$1,0)+1),MATCH(L$1,enemy_skill_triggers!$1:$1,0)-MATCH($F$1,enemy_skill_triggers!$1:$1,0)+1,FALSE)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" s="48" t="str">
        <f ca="1">VLOOKUP($F8,OFFSET(enemy_skill_triggers!$A$1,0,0,COUNTA(enemy_skill_triggers!$A:$A),MATCH(M$1,enemy_skill_triggers!$1:$1,0)-MATCH($F$1,enemy_skill_triggers!$1:$1,0)+1),MATCH(M$1,enemy_skill_triggers!$1:$1,0)-MATCH($F$1,enemy_skill_triggers!$1:$1,0)+1,FALSE)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" s="48">
        <f ca="1">VLOOKUP($F8,OFFSET(enemy_skill_triggers!$A$1,0,0,COUNTA(enemy_skill_triggers!$A:$A),MATCH(N$1,enemy_skill_triggers!$1:$1,0)-MATCH($F$1,enemy_skill_triggers!$1:$1,0)+1),MATCH(N$1,enemy_skill_triggers!$1:$1,0)-MATCH($F$1,enemy_skill_triggers!$1:$1,0)+1,FALSE)</f>
        <v>1707</v>
      </c>
      <c r="O8" s="48">
        <f ca="1">VLOOKUP($F8,OFFSET(enemy_skill_triggers!$A$1,0,0,COUNTA(enemy_skill_triggers!$A:$A),MATCH(O$1,enemy_skill_triggers!$1:$1,0)-MATCH($F$1,enemy_skill_triggers!$1:$1,0)+1),MATCH(O$1,enemy_skill_triggers!$1:$1,0)-MATCH($F$1,enemy_skill_triggers!$1:$1,0)+1,FALSE)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" s="47"/>
      <c r="Q8" s="47"/>
      <c r="R8" s="47"/>
    </row>
    <row r="9" spans="1:18" ht="21" customHeight="1" x14ac:dyDescent="0.15">
      <c r="A9" s="39" t="str">
        <f t="shared" ref="A9" si="3">B9&amp;"_"&amp;C9</f>
        <v>47016100_47016101</v>
      </c>
      <c r="B9" s="106">
        <v>47016100</v>
      </c>
      <c r="C9" s="106">
        <v>47016101</v>
      </c>
      <c r="D9" s="46" t="str">
        <f ca="1">VLOOKUP($C9,OFFSET(enemy_skills!$A$1,0,0,COUNTA(enemy_skills!$A:$A),MATCH(D$1,enemy_skills!$1:$1,0)-MATCH("enemy_skill_id",enemy_skills!$1:$1,0)+1),MATCH(D$1,enemy_skills!$1:$1,0)-MATCH("enemy_skill_id",enemy_skills!$1:$1,0)+1,FALSE)</f>
        <v>なんだ、お前もあいつを見にきたのか？</v>
      </c>
      <c r="E9" s="46" t="str">
        <f ca="1">VLOOKUP($C9,OFFSET(enemy_skills!$A$1,0,0,COUNTA(enemy_skills!$A:$A),MATCH(E$1,enemy_skills!$1:$1,0)-MATCH("enemy_skill_id",enemy_skills!$1:$1,0)+1),MATCH(E$1,enemy_skills!$1:$1,0)-MATCH("enemy_skill_id",enemy_skills!$1:$1,0)+1,FALSE)</f>
        <v>ドレスとチェーンソー…_x000D_すげぇ組み合わせだよな</v>
      </c>
      <c r="F9" s="47">
        <v>47016106</v>
      </c>
      <c r="G9" s="48">
        <f ca="1">VLOOKUP($F9,OFFSET(enemy_skill_triggers!$A$1,0,0,COUNTA(enemy_skill_triggers!$A:$A),MATCH(G$1,enemy_skill_triggers!$1:$1,0)-MATCH($F$1,enemy_skill_triggers!$1:$1,0)+1),MATCH(G$1,enemy_skill_triggers!$1:$1,0)-MATCH($F$1,enemy_skill_triggers!$1:$1,0)+1,FALSE)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9" s="48">
        <f ca="1">VLOOKUP($F9,OFFSET(enemy_skill_triggers!$A$1,0,0,COUNTA(enemy_skill_triggers!$A:$A),MATCH(H$1,enemy_skill_triggers!$1:$1,0)-MATCH($F$1,enemy_skill_triggers!$1:$1,0)+1),MATCH(H$1,enemy_skill_triggers!$1:$1,0)-MATCH($F$1,enemy_skill_triggers!$1:$1,0)+1,FALSE)</f>
        <v>440</v>
      </c>
      <c r="I9" s="48">
        <f ca="1">VLOOKUP($F9,OFFSET(enemy_skill_triggers!$A$1,0,0,COUNTA(enemy_skill_triggers!$A:$A),MATCH(I$1,enemy_skill_triggers!$1:$1,0)-MATCH($F$1,enemy_skill_triggers!$1:$1,0)+1),MATCH(I$1,enemy_skill_triggers!$1:$1,0)-MATCH($F$1,enemy_skill_triggers!$1:$1,0)+1,FALSE)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" s="48" t="str">
        <f ca="1">VLOOKUP($F9,OFFSET(enemy_skill_triggers!$A$1,0,0,COUNTA(enemy_skill_triggers!$A:$A),MATCH(J$1,enemy_skill_triggers!$1:$1,0)-MATCH($F$1,enemy_skill_triggers!$1:$1,0)+1),MATCH(J$1,enemy_skill_triggers!$1:$1,0)-MATCH($F$1,enemy_skill_triggers!$1:$1,0)+1,FALSE)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" s="48" t="str">
        <f ca="1">VLOOKUP($F9,OFFSET(enemy_skill_triggers!$A$1,0,0,COUNTA(enemy_skill_triggers!$A:$A),MATCH(K$1,enemy_skill_triggers!$1:$1,0)-MATCH($F$1,enemy_skill_triggers!$1:$1,0)+1),MATCH(K$1,enemy_skill_triggers!$1:$1,0)-MATCH($F$1,enemy_skill_triggers!$1:$1,0)+1,FALSE)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" s="48">
        <f ca="1">VLOOKUP($F9,OFFSET(enemy_skill_triggers!$A$1,0,0,COUNTA(enemy_skill_triggers!$A:$A),MATCH(L$1,enemy_skill_triggers!$1:$1,0)-MATCH($F$1,enemy_skill_triggers!$1:$1,0)+1),MATCH(L$1,enemy_skill_triggers!$1:$1,0)-MATCH($F$1,enemy_skill_triggers!$1:$1,0)+1,FALSE)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9" s="48" t="str">
        <f ca="1">VLOOKUP($F9,OFFSET(enemy_skill_triggers!$A$1,0,0,COUNTA(enemy_skill_triggers!$A:$A),MATCH(M$1,enemy_skill_triggers!$1:$1,0)-MATCH($F$1,enemy_skill_triggers!$1:$1,0)+1),MATCH(M$1,enemy_skill_triggers!$1:$1,0)-MATCH($F$1,enemy_skill_triggers!$1:$1,0)+1,FALSE)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" s="48">
        <f ca="1">VLOOKUP($F9,OFFSET(enemy_skill_triggers!$A$1,0,0,COUNTA(enemy_skill_triggers!$A:$A),MATCH(N$1,enemy_skill_triggers!$1:$1,0)-MATCH($F$1,enemy_skill_triggers!$1:$1,0)+1),MATCH(N$1,enemy_skill_triggers!$1:$1,0)-MATCH($F$1,enemy_skill_triggers!$1:$1,0)+1,FALSE)</f>
        <v>1708</v>
      </c>
      <c r="O9" s="48">
        <f ca="1">VLOOKUP($F9,OFFSET(enemy_skill_triggers!$A$1,0,0,COUNTA(enemy_skill_triggers!$A:$A),MATCH(O$1,enemy_skill_triggers!$1:$1,0)-MATCH($F$1,enemy_skill_triggers!$1:$1,0)+1),MATCH(O$1,enemy_skill_triggers!$1:$1,0)-MATCH($F$1,enemy_skill_triggers!$1:$1,0)+1,FALSE)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" s="47"/>
      <c r="Q9" s="47"/>
      <c r="R9" s="47"/>
    </row>
    <row r="10" spans="1:18" ht="21" customHeight="1" x14ac:dyDescent="0.15">
      <c r="A10" s="39" t="str">
        <f t="shared" si="1"/>
        <v>47016100_47016101</v>
      </c>
      <c r="B10" s="106">
        <v>47016100</v>
      </c>
      <c r="C10" s="106">
        <v>47016101</v>
      </c>
      <c r="D10" s="46" t="str">
        <f ca="1">VLOOKUP($C10,OFFSET(enemy_skills!$A$1,0,0,COUNTA(enemy_skills!$A:$A),MATCH(D$1,enemy_skills!$1:$1,0)-MATCH("enemy_skill_id",enemy_skills!$1:$1,0)+1),MATCH(D$1,enemy_skills!$1:$1,0)-MATCH("enemy_skill_id",enemy_skills!$1:$1,0)+1,FALSE)</f>
        <v>なんだ、お前もあいつを見にきたのか？</v>
      </c>
      <c r="E10" s="46" t="str">
        <f ca="1">VLOOKUP($C10,OFFSET(enemy_skills!$A$1,0,0,COUNTA(enemy_skills!$A:$A),MATCH(E$1,enemy_skills!$1:$1,0)-MATCH("enemy_skill_id",enemy_skills!$1:$1,0)+1),MATCH(E$1,enemy_skills!$1:$1,0)-MATCH("enemy_skill_id",enemy_skills!$1:$1,0)+1,FALSE)</f>
        <v>ドレスとチェーンソー…_x000D_すげぇ組み合わせだよな</v>
      </c>
      <c r="F10" s="47">
        <v>47016107</v>
      </c>
      <c r="G10" s="48">
        <f ca="1">VLOOKUP($F10,OFFSET(enemy_skill_triggers!$A$1,0,0,COUNTA(enemy_skill_triggers!$A:$A),MATCH(G$1,enemy_skill_triggers!$1:$1,0)-MATCH($F$1,enemy_skill_triggers!$1:$1,0)+1),MATCH(G$1,enemy_skill_triggers!$1:$1,0)-MATCH($F$1,enemy_skill_triggers!$1:$1,0)+1,FALSE)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0" s="48">
        <f ca="1">VLOOKUP($F10,OFFSET(enemy_skill_triggers!$A$1,0,0,COUNTA(enemy_skill_triggers!$A:$A),MATCH(H$1,enemy_skill_triggers!$1:$1,0)-MATCH($F$1,enemy_skill_triggers!$1:$1,0)+1),MATCH(H$1,enemy_skill_triggers!$1:$1,0)-MATCH($F$1,enemy_skill_triggers!$1:$1,0)+1,FALSE)</f>
        <v>430</v>
      </c>
      <c r="I10" s="48">
        <f ca="1">VLOOKUP($F10,OFFSET(enemy_skill_triggers!$A$1,0,0,COUNTA(enemy_skill_triggers!$A:$A),MATCH(I$1,enemy_skill_triggers!$1:$1,0)-MATCH($F$1,enemy_skill_triggers!$1:$1,0)+1),MATCH(I$1,enemy_skill_triggers!$1:$1,0)-MATCH($F$1,enemy_skill_triggers!$1:$1,0)+1,FALSE)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" s="48" t="str">
        <f ca="1">VLOOKUP($F10,OFFSET(enemy_skill_triggers!$A$1,0,0,COUNTA(enemy_skill_triggers!$A:$A),MATCH(J$1,enemy_skill_triggers!$1:$1,0)-MATCH($F$1,enemy_skill_triggers!$1:$1,0)+1),MATCH(J$1,enemy_skill_triggers!$1:$1,0)-MATCH($F$1,enemy_skill_triggers!$1:$1,0)+1,FALSE)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" s="48" t="str">
        <f ca="1">VLOOKUP($F10,OFFSET(enemy_skill_triggers!$A$1,0,0,COUNTA(enemy_skill_triggers!$A:$A),MATCH(K$1,enemy_skill_triggers!$1:$1,0)-MATCH($F$1,enemy_skill_triggers!$1:$1,0)+1),MATCH(K$1,enemy_skill_triggers!$1:$1,0)-MATCH($F$1,enemy_skill_triggers!$1:$1,0)+1,FALSE)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" s="48">
        <f ca="1">VLOOKUP($F10,OFFSET(enemy_skill_triggers!$A$1,0,0,COUNTA(enemy_skill_triggers!$A:$A),MATCH(L$1,enemy_skill_triggers!$1:$1,0)-MATCH($F$1,enemy_skill_triggers!$1:$1,0)+1),MATCH(L$1,enemy_skill_triggers!$1:$1,0)-MATCH($F$1,enemy_skill_triggers!$1:$1,0)+1,FALSE)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0" s="48" t="str">
        <f ca="1">VLOOKUP($F10,OFFSET(enemy_skill_triggers!$A$1,0,0,COUNTA(enemy_skill_triggers!$A:$A),MATCH(M$1,enemy_skill_triggers!$1:$1,0)-MATCH($F$1,enemy_skill_triggers!$1:$1,0)+1),MATCH(M$1,enemy_skill_triggers!$1:$1,0)-MATCH($F$1,enemy_skill_triggers!$1:$1,0)+1,FALSE)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0" s="48">
        <f ca="1">VLOOKUP($F10,OFFSET(enemy_skill_triggers!$A$1,0,0,COUNTA(enemy_skill_triggers!$A:$A),MATCH(N$1,enemy_skill_triggers!$1:$1,0)-MATCH($F$1,enemy_skill_triggers!$1:$1,0)+1),MATCH(N$1,enemy_skill_triggers!$1:$1,0)-MATCH($F$1,enemy_skill_triggers!$1:$1,0)+1,FALSE)</f>
        <v>1709</v>
      </c>
      <c r="O10" s="48">
        <f ca="1">VLOOKUP($F10,OFFSET(enemy_skill_triggers!$A$1,0,0,COUNTA(enemy_skill_triggers!$A:$A),MATCH(O$1,enemy_skill_triggers!$1:$1,0)-MATCH($F$1,enemy_skill_triggers!$1:$1,0)+1),MATCH(O$1,enemy_skill_triggers!$1:$1,0)-MATCH($F$1,enemy_skill_triggers!$1:$1,0)+1,FALSE)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" s="47"/>
      <c r="Q10" s="47"/>
      <c r="R10" s="47"/>
    </row>
    <row r="11" spans="1:18" ht="21" customHeight="1" x14ac:dyDescent="0.15">
      <c r="A11" s="39" t="str">
        <f t="shared" ref="A11" si="4">B11&amp;"_"&amp;C11</f>
        <v>47016100_47016101</v>
      </c>
      <c r="B11" s="106">
        <v>47016100</v>
      </c>
      <c r="C11" s="106">
        <v>47016101</v>
      </c>
      <c r="D11" s="46" t="str">
        <f ca="1">VLOOKUP($C11,OFFSET(enemy_skills!$A$1,0,0,COUNTA(enemy_skills!$A:$A),MATCH(D$1,enemy_skills!$1:$1,0)-MATCH("enemy_skill_id",enemy_skills!$1:$1,0)+1),MATCH(D$1,enemy_skills!$1:$1,0)-MATCH("enemy_skill_id",enemy_skills!$1:$1,0)+1,FALSE)</f>
        <v>なんだ、お前もあいつを見にきたのか？</v>
      </c>
      <c r="E11" s="46" t="str">
        <f ca="1">VLOOKUP($C11,OFFSET(enemy_skills!$A$1,0,0,COUNTA(enemy_skills!$A:$A),MATCH(E$1,enemy_skills!$1:$1,0)-MATCH("enemy_skill_id",enemy_skills!$1:$1,0)+1),MATCH(E$1,enemy_skills!$1:$1,0)-MATCH("enemy_skill_id",enemy_skills!$1:$1,0)+1,FALSE)</f>
        <v>ドレスとチェーンソー…_x000D_すげぇ組み合わせだよな</v>
      </c>
      <c r="F11" s="47">
        <v>47016108</v>
      </c>
      <c r="G11" s="48">
        <f ca="1">VLOOKUP($F11,OFFSET(enemy_skill_triggers!$A$1,0,0,COUNTA(enemy_skill_triggers!$A:$A),MATCH(G$1,enemy_skill_triggers!$1:$1,0)-MATCH($F$1,enemy_skill_triggers!$1:$1,0)+1),MATCH(G$1,enemy_skill_triggers!$1:$1,0)-MATCH($F$1,enemy_skill_triggers!$1:$1,0)+1,FALSE)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1" s="48">
        <f ca="1">VLOOKUP($F11,OFFSET(enemy_skill_triggers!$A$1,0,0,COUNTA(enemy_skill_triggers!$A:$A),MATCH(H$1,enemy_skill_triggers!$1:$1,0)-MATCH($F$1,enemy_skill_triggers!$1:$1,0)+1),MATCH(H$1,enemy_skill_triggers!$1:$1,0)-MATCH($F$1,enemy_skill_triggers!$1:$1,0)+1,FALSE)</f>
        <v>420</v>
      </c>
      <c r="I11" s="48">
        <f ca="1">VLOOKUP($F11,OFFSET(enemy_skill_triggers!$A$1,0,0,COUNTA(enemy_skill_triggers!$A:$A),MATCH(I$1,enemy_skill_triggers!$1:$1,0)-MATCH($F$1,enemy_skill_triggers!$1:$1,0)+1),MATCH(I$1,enemy_skill_triggers!$1:$1,0)-MATCH($F$1,enemy_skill_triggers!$1:$1,0)+1,FALSE)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1" s="48" t="str">
        <f ca="1">VLOOKUP($F11,OFFSET(enemy_skill_triggers!$A$1,0,0,COUNTA(enemy_skill_triggers!$A:$A),MATCH(J$1,enemy_skill_triggers!$1:$1,0)-MATCH($F$1,enemy_skill_triggers!$1:$1,0)+1),MATCH(J$1,enemy_skill_triggers!$1:$1,0)-MATCH($F$1,enemy_skill_triggers!$1:$1,0)+1,FALSE)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" s="48" t="str">
        <f ca="1">VLOOKUP($F11,OFFSET(enemy_skill_triggers!$A$1,0,0,COUNTA(enemy_skill_triggers!$A:$A),MATCH(K$1,enemy_skill_triggers!$1:$1,0)-MATCH($F$1,enemy_skill_triggers!$1:$1,0)+1),MATCH(K$1,enemy_skill_triggers!$1:$1,0)-MATCH($F$1,enemy_skill_triggers!$1:$1,0)+1,FALSE)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" s="48">
        <f ca="1">VLOOKUP($F11,OFFSET(enemy_skill_triggers!$A$1,0,0,COUNTA(enemy_skill_triggers!$A:$A),MATCH(L$1,enemy_skill_triggers!$1:$1,0)-MATCH($F$1,enemy_skill_triggers!$1:$1,0)+1),MATCH(L$1,enemy_skill_triggers!$1:$1,0)-MATCH($F$1,enemy_skill_triggers!$1:$1,0)+1,FALSE)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1" s="48" t="str">
        <f ca="1">VLOOKUP($F11,OFFSET(enemy_skill_triggers!$A$1,0,0,COUNTA(enemy_skill_triggers!$A:$A),MATCH(M$1,enemy_skill_triggers!$1:$1,0)-MATCH($F$1,enemy_skill_triggers!$1:$1,0)+1),MATCH(M$1,enemy_skill_triggers!$1:$1,0)-MATCH($F$1,enemy_skill_triggers!$1:$1,0)+1,FALSE)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1" s="48">
        <f ca="1">VLOOKUP($F11,OFFSET(enemy_skill_triggers!$A$1,0,0,COUNTA(enemy_skill_triggers!$A:$A),MATCH(N$1,enemy_skill_triggers!$1:$1,0)-MATCH($F$1,enemy_skill_triggers!$1:$1,0)+1),MATCH(N$1,enemy_skill_triggers!$1:$1,0)-MATCH($F$1,enemy_skill_triggers!$1:$1,0)+1,FALSE)</f>
        <v>1710</v>
      </c>
      <c r="O11" s="48">
        <f ca="1">VLOOKUP($F11,OFFSET(enemy_skill_triggers!$A$1,0,0,COUNTA(enemy_skill_triggers!$A:$A),MATCH(O$1,enemy_skill_triggers!$1:$1,0)-MATCH($F$1,enemy_skill_triggers!$1:$1,0)+1),MATCH(O$1,enemy_skill_triggers!$1:$1,0)-MATCH($F$1,enemy_skill_triggers!$1:$1,0)+1,FALSE)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1" s="47"/>
      <c r="Q11" s="47"/>
      <c r="R11" s="47"/>
    </row>
    <row r="12" spans="1:18" ht="21" customHeight="1" x14ac:dyDescent="0.15">
      <c r="A12" s="39" t="str">
        <f t="shared" si="1"/>
        <v>47016100_47016101</v>
      </c>
      <c r="B12" s="106">
        <v>47016100</v>
      </c>
      <c r="C12" s="106">
        <v>47016101</v>
      </c>
      <c r="D12" s="46" t="str">
        <f ca="1">VLOOKUP($C12,OFFSET(enemy_skills!$A$1,0,0,COUNTA(enemy_skills!$A:$A),MATCH(D$1,enemy_skills!$1:$1,0)-MATCH("enemy_skill_id",enemy_skills!$1:$1,0)+1),MATCH(D$1,enemy_skills!$1:$1,0)-MATCH("enemy_skill_id",enemy_skills!$1:$1,0)+1,FALSE)</f>
        <v>なんだ、お前もあいつを見にきたのか？</v>
      </c>
      <c r="E12" s="46" t="str">
        <f ca="1">VLOOKUP($C12,OFFSET(enemy_skills!$A$1,0,0,COUNTA(enemy_skills!$A:$A),MATCH(E$1,enemy_skills!$1:$1,0)-MATCH("enemy_skill_id",enemy_skills!$1:$1,0)+1),MATCH(E$1,enemy_skills!$1:$1,0)-MATCH("enemy_skill_id",enemy_skills!$1:$1,0)+1,FALSE)</f>
        <v>ドレスとチェーンソー…_x000D_すげぇ組み合わせだよな</v>
      </c>
      <c r="F12" s="47">
        <v>47016109</v>
      </c>
      <c r="G12" s="48">
        <f ca="1">VLOOKUP($F12,OFFSET(enemy_skill_triggers!$A$1,0,0,COUNTA(enemy_skill_triggers!$A:$A),MATCH(G$1,enemy_skill_triggers!$1:$1,0)-MATCH($F$1,enemy_skill_triggers!$1:$1,0)+1),MATCH(G$1,enemy_skill_triggers!$1:$1,0)-MATCH($F$1,enemy_skill_triggers!$1:$1,0)+1,FALSE)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2" s="48">
        <f ca="1">VLOOKUP($F12,OFFSET(enemy_skill_triggers!$A$1,0,0,COUNTA(enemy_skill_triggers!$A:$A),MATCH(H$1,enemy_skill_triggers!$1:$1,0)-MATCH($F$1,enemy_skill_triggers!$1:$1,0)+1),MATCH(H$1,enemy_skill_triggers!$1:$1,0)-MATCH($F$1,enemy_skill_triggers!$1:$1,0)+1,FALSE)</f>
        <v>410</v>
      </c>
      <c r="I12" s="48">
        <f ca="1">VLOOKUP($F12,OFFSET(enemy_skill_triggers!$A$1,0,0,COUNTA(enemy_skill_triggers!$A:$A),MATCH(I$1,enemy_skill_triggers!$1:$1,0)-MATCH($F$1,enemy_skill_triggers!$1:$1,0)+1),MATCH(I$1,enemy_skill_triggers!$1:$1,0)-MATCH($F$1,enemy_skill_triggers!$1:$1,0)+1,FALSE)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2" s="48" t="str">
        <f ca="1">VLOOKUP($F12,OFFSET(enemy_skill_triggers!$A$1,0,0,COUNTA(enemy_skill_triggers!$A:$A),MATCH(J$1,enemy_skill_triggers!$1:$1,0)-MATCH($F$1,enemy_skill_triggers!$1:$1,0)+1),MATCH(J$1,enemy_skill_triggers!$1:$1,0)-MATCH($F$1,enemy_skill_triggers!$1:$1,0)+1,FALSE)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2" s="48" t="str">
        <f ca="1">VLOOKUP($F12,OFFSET(enemy_skill_triggers!$A$1,0,0,COUNTA(enemy_skill_triggers!$A:$A),MATCH(K$1,enemy_skill_triggers!$1:$1,0)-MATCH($F$1,enemy_skill_triggers!$1:$1,0)+1),MATCH(K$1,enemy_skill_triggers!$1:$1,0)-MATCH($F$1,enemy_skill_triggers!$1:$1,0)+1,FALSE)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" s="48">
        <f ca="1">VLOOKUP($F12,OFFSET(enemy_skill_triggers!$A$1,0,0,COUNTA(enemy_skill_triggers!$A:$A),MATCH(L$1,enemy_skill_triggers!$1:$1,0)-MATCH($F$1,enemy_skill_triggers!$1:$1,0)+1),MATCH(L$1,enemy_skill_triggers!$1:$1,0)-MATCH($F$1,enemy_skill_triggers!$1:$1,0)+1,FALSE)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2" s="48" t="str">
        <f ca="1">VLOOKUP($F12,OFFSET(enemy_skill_triggers!$A$1,0,0,COUNTA(enemy_skill_triggers!$A:$A),MATCH(M$1,enemy_skill_triggers!$1:$1,0)-MATCH($F$1,enemy_skill_triggers!$1:$1,0)+1),MATCH(M$1,enemy_skill_triggers!$1:$1,0)-MATCH($F$1,enemy_skill_triggers!$1:$1,0)+1,FALSE)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2" s="48">
        <f ca="1">VLOOKUP($F12,OFFSET(enemy_skill_triggers!$A$1,0,0,COUNTA(enemy_skill_triggers!$A:$A),MATCH(N$1,enemy_skill_triggers!$1:$1,0)-MATCH($F$1,enemy_skill_triggers!$1:$1,0)+1),MATCH(N$1,enemy_skill_triggers!$1:$1,0)-MATCH($F$1,enemy_skill_triggers!$1:$1,0)+1,FALSE)</f>
        <v>1711</v>
      </c>
      <c r="O12" s="48">
        <f ca="1">VLOOKUP($F12,OFFSET(enemy_skill_triggers!$A$1,0,0,COUNTA(enemy_skill_triggers!$A:$A),MATCH(O$1,enemy_skill_triggers!$1:$1,0)-MATCH($F$1,enemy_skill_triggers!$1:$1,0)+1),MATCH(O$1,enemy_skill_triggers!$1:$1,0)-MATCH($F$1,enemy_skill_triggers!$1:$1,0)+1,FALSE)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2" s="47"/>
      <c r="Q12" s="47"/>
      <c r="R12" s="47"/>
    </row>
    <row r="13" spans="1:18" ht="21" customHeight="1" x14ac:dyDescent="0.15">
      <c r="A13" s="39" t="str">
        <f t="shared" ref="A13:A15" si="5">B13&amp;"_"&amp;C13</f>
        <v>47016100_47016101</v>
      </c>
      <c r="B13" s="106">
        <v>47016100</v>
      </c>
      <c r="C13" s="106">
        <v>47016101</v>
      </c>
      <c r="D13" s="46" t="str">
        <f ca="1">VLOOKUP($C13,OFFSET(enemy_skills!$A$1,0,0,COUNTA(enemy_skills!$A:$A),MATCH(D$1,enemy_skills!$1:$1,0)-MATCH("enemy_skill_id",enemy_skills!$1:$1,0)+1),MATCH(D$1,enemy_skills!$1:$1,0)-MATCH("enemy_skill_id",enemy_skills!$1:$1,0)+1,FALSE)</f>
        <v>なんだ、お前もあいつを見にきたのか？</v>
      </c>
      <c r="E13" s="46" t="str">
        <f ca="1">VLOOKUP($C13,OFFSET(enemy_skills!$A$1,0,0,COUNTA(enemy_skills!$A:$A),MATCH(E$1,enemy_skills!$1:$1,0)-MATCH("enemy_skill_id",enemy_skills!$1:$1,0)+1),MATCH(E$1,enemy_skills!$1:$1,0)-MATCH("enemy_skill_id",enemy_skills!$1:$1,0)+1,FALSE)</f>
        <v>ドレスとチェーンソー…_x000D_すげぇ組み合わせだよな</v>
      </c>
      <c r="F13" s="47">
        <v>47016110</v>
      </c>
      <c r="G13" s="48">
        <f ca="1">VLOOKUP($F13,OFFSET(enemy_skill_triggers!$A$1,0,0,COUNTA(enemy_skill_triggers!$A:$A),MATCH(G$1,enemy_skill_triggers!$1:$1,0)-MATCH($F$1,enemy_skill_triggers!$1:$1,0)+1),MATCH(G$1,enemy_skill_triggers!$1:$1,0)-MATCH($F$1,enemy_skill_triggers!$1:$1,0)+1,FALSE)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3" s="48">
        <f ca="1">VLOOKUP($F13,OFFSET(enemy_skill_triggers!$A$1,0,0,COUNTA(enemy_skill_triggers!$A:$A),MATCH(H$1,enemy_skill_triggers!$1:$1,0)-MATCH($F$1,enemy_skill_triggers!$1:$1,0)+1),MATCH(H$1,enemy_skill_triggers!$1:$1,0)-MATCH($F$1,enemy_skill_triggers!$1:$1,0)+1,FALSE)</f>
        <v>400</v>
      </c>
      <c r="I13" s="48">
        <f ca="1">VLOOKUP($F13,OFFSET(enemy_skill_triggers!$A$1,0,0,COUNTA(enemy_skill_triggers!$A:$A),MATCH(I$1,enemy_skill_triggers!$1:$1,0)-MATCH($F$1,enemy_skill_triggers!$1:$1,0)+1),MATCH(I$1,enemy_skill_triggers!$1:$1,0)-MATCH($F$1,enemy_skill_triggers!$1:$1,0)+1,FALSE)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3" s="48" t="str">
        <f ca="1">VLOOKUP($F13,OFFSET(enemy_skill_triggers!$A$1,0,0,COUNTA(enemy_skill_triggers!$A:$A),MATCH(J$1,enemy_skill_triggers!$1:$1,0)-MATCH($F$1,enemy_skill_triggers!$1:$1,0)+1),MATCH(J$1,enemy_skill_triggers!$1:$1,0)-MATCH($F$1,enemy_skill_triggers!$1:$1,0)+1,FALSE)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3" s="48" t="str">
        <f ca="1">VLOOKUP($F13,OFFSET(enemy_skill_triggers!$A$1,0,0,COUNTA(enemy_skill_triggers!$A:$A),MATCH(K$1,enemy_skill_triggers!$1:$1,0)-MATCH($F$1,enemy_skill_triggers!$1:$1,0)+1),MATCH(K$1,enemy_skill_triggers!$1:$1,0)-MATCH($F$1,enemy_skill_triggers!$1:$1,0)+1,FALSE)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3" s="48">
        <f ca="1">VLOOKUP($F13,OFFSET(enemy_skill_triggers!$A$1,0,0,COUNTA(enemy_skill_triggers!$A:$A),MATCH(L$1,enemy_skill_triggers!$1:$1,0)-MATCH($F$1,enemy_skill_triggers!$1:$1,0)+1),MATCH(L$1,enemy_skill_triggers!$1:$1,0)-MATCH($F$1,enemy_skill_triggers!$1:$1,0)+1,FALSE)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3" s="48" t="str">
        <f ca="1">VLOOKUP($F13,OFFSET(enemy_skill_triggers!$A$1,0,0,COUNTA(enemy_skill_triggers!$A:$A),MATCH(M$1,enemy_skill_triggers!$1:$1,0)-MATCH($F$1,enemy_skill_triggers!$1:$1,0)+1),MATCH(M$1,enemy_skill_triggers!$1:$1,0)-MATCH($F$1,enemy_skill_triggers!$1:$1,0)+1,FALSE)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3" s="48">
        <f ca="1">VLOOKUP($F13,OFFSET(enemy_skill_triggers!$A$1,0,0,COUNTA(enemy_skill_triggers!$A:$A),MATCH(N$1,enemy_skill_triggers!$1:$1,0)-MATCH($F$1,enemy_skill_triggers!$1:$1,0)+1),MATCH(N$1,enemy_skill_triggers!$1:$1,0)-MATCH($F$1,enemy_skill_triggers!$1:$1,0)+1,FALSE)</f>
        <v>1712</v>
      </c>
      <c r="O13" s="48">
        <f ca="1">VLOOKUP($F13,OFFSET(enemy_skill_triggers!$A$1,0,0,COUNTA(enemy_skill_triggers!$A:$A),MATCH(O$1,enemy_skill_triggers!$1:$1,0)-MATCH($F$1,enemy_skill_triggers!$1:$1,0)+1),MATCH(O$1,enemy_skill_triggers!$1:$1,0)-MATCH($F$1,enemy_skill_triggers!$1:$1,0)+1,FALSE)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3" s="47"/>
      <c r="Q13" s="47"/>
      <c r="R13" s="47"/>
    </row>
    <row r="14" spans="1:18" ht="21" customHeight="1" x14ac:dyDescent="0.15">
      <c r="A14" s="39" t="str">
        <f t="shared" ref="A14" si="6">B14&amp;"_"&amp;C14</f>
        <v>47016100_47016101</v>
      </c>
      <c r="B14" s="106">
        <v>47016100</v>
      </c>
      <c r="C14" s="106">
        <v>47016101</v>
      </c>
      <c r="D14" s="46" t="str">
        <f ca="1">VLOOKUP($C14,OFFSET(enemy_skills!$A$1,0,0,COUNTA(enemy_skills!$A:$A),MATCH(D$1,enemy_skills!$1:$1,0)-MATCH("enemy_skill_id",enemy_skills!$1:$1,0)+1),MATCH(D$1,enemy_skills!$1:$1,0)-MATCH("enemy_skill_id",enemy_skills!$1:$1,0)+1,FALSE)</f>
        <v>なんだ、お前もあいつを見にきたのか？</v>
      </c>
      <c r="E14" s="46" t="str">
        <f ca="1">VLOOKUP($C14,OFFSET(enemy_skills!$A$1,0,0,COUNTA(enemy_skills!$A:$A),MATCH(E$1,enemy_skills!$1:$1,0)-MATCH("enemy_skill_id",enemy_skills!$1:$1,0)+1),MATCH(E$1,enemy_skills!$1:$1,0)-MATCH("enemy_skill_id",enemy_skills!$1:$1,0)+1,FALSE)</f>
        <v>ドレスとチェーンソー…_x000D_すげぇ組み合わせだよな</v>
      </c>
      <c r="F14" s="47">
        <v>47016111</v>
      </c>
      <c r="G14" s="48">
        <f ca="1">VLOOKUP($F14,OFFSET(enemy_skill_triggers!$A$1,0,0,COUNTA(enemy_skill_triggers!$A:$A),MATCH(G$1,enemy_skill_triggers!$1:$1,0)-MATCH($F$1,enemy_skill_triggers!$1:$1,0)+1),MATCH(G$1,enemy_skill_triggers!$1:$1,0)-MATCH($F$1,enemy_skill_triggers!$1:$1,0)+1,FALSE)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4" s="48">
        <f ca="1">VLOOKUP($F14,OFFSET(enemy_skill_triggers!$A$1,0,0,COUNTA(enemy_skill_triggers!$A:$A),MATCH(H$1,enemy_skill_triggers!$1:$1,0)-MATCH($F$1,enemy_skill_triggers!$1:$1,0)+1),MATCH(H$1,enemy_skill_triggers!$1:$1,0)-MATCH($F$1,enemy_skill_triggers!$1:$1,0)+1,FALSE)</f>
        <v>390</v>
      </c>
      <c r="I14" s="48">
        <f ca="1">VLOOKUP($F14,OFFSET(enemy_skill_triggers!$A$1,0,0,COUNTA(enemy_skill_triggers!$A:$A),MATCH(I$1,enemy_skill_triggers!$1:$1,0)-MATCH($F$1,enemy_skill_triggers!$1:$1,0)+1),MATCH(I$1,enemy_skill_triggers!$1:$1,0)-MATCH($F$1,enemy_skill_triggers!$1:$1,0)+1,FALSE)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4" s="48" t="str">
        <f ca="1">VLOOKUP($F14,OFFSET(enemy_skill_triggers!$A$1,0,0,COUNTA(enemy_skill_triggers!$A:$A),MATCH(J$1,enemy_skill_triggers!$1:$1,0)-MATCH($F$1,enemy_skill_triggers!$1:$1,0)+1),MATCH(J$1,enemy_skill_triggers!$1:$1,0)-MATCH($F$1,enemy_skill_triggers!$1:$1,0)+1,FALSE)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4" s="48" t="str">
        <f ca="1">VLOOKUP($F14,OFFSET(enemy_skill_triggers!$A$1,0,0,COUNTA(enemy_skill_triggers!$A:$A),MATCH(K$1,enemy_skill_triggers!$1:$1,0)-MATCH($F$1,enemy_skill_triggers!$1:$1,0)+1),MATCH(K$1,enemy_skill_triggers!$1:$1,0)-MATCH($F$1,enemy_skill_triggers!$1:$1,0)+1,FALSE)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4" s="48">
        <f ca="1">VLOOKUP($F14,OFFSET(enemy_skill_triggers!$A$1,0,0,COUNTA(enemy_skill_triggers!$A:$A),MATCH(L$1,enemy_skill_triggers!$1:$1,0)-MATCH($F$1,enemy_skill_triggers!$1:$1,0)+1),MATCH(L$1,enemy_skill_triggers!$1:$1,0)-MATCH($F$1,enemy_skill_triggers!$1:$1,0)+1,FALSE)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4" s="48" t="str">
        <f ca="1">VLOOKUP($F14,OFFSET(enemy_skill_triggers!$A$1,0,0,COUNTA(enemy_skill_triggers!$A:$A),MATCH(M$1,enemy_skill_triggers!$1:$1,0)-MATCH($F$1,enemy_skill_triggers!$1:$1,0)+1),MATCH(M$1,enemy_skill_triggers!$1:$1,0)-MATCH($F$1,enemy_skill_triggers!$1:$1,0)+1,FALSE)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4" s="48">
        <f ca="1">VLOOKUP($F14,OFFSET(enemy_skill_triggers!$A$1,0,0,COUNTA(enemy_skill_triggers!$A:$A),MATCH(N$1,enemy_skill_triggers!$1:$1,0)-MATCH($F$1,enemy_skill_triggers!$1:$1,0)+1),MATCH(N$1,enemy_skill_triggers!$1:$1,0)-MATCH($F$1,enemy_skill_triggers!$1:$1,0)+1,FALSE)</f>
        <v>1713</v>
      </c>
      <c r="O14" s="48">
        <f ca="1">VLOOKUP($F14,OFFSET(enemy_skill_triggers!$A$1,0,0,COUNTA(enemy_skill_triggers!$A:$A),MATCH(O$1,enemy_skill_triggers!$1:$1,0)-MATCH($F$1,enemy_skill_triggers!$1:$1,0)+1),MATCH(O$1,enemy_skill_triggers!$1:$1,0)-MATCH($F$1,enemy_skill_triggers!$1:$1,0)+1,FALSE)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4" s="47"/>
      <c r="Q14" s="47"/>
      <c r="R14" s="47"/>
    </row>
    <row r="15" spans="1:18" ht="21" customHeight="1" x14ac:dyDescent="0.15">
      <c r="A15" s="39" t="str">
        <f t="shared" si="5"/>
        <v>47016100_47016101</v>
      </c>
      <c r="B15" s="106">
        <v>47016100</v>
      </c>
      <c r="C15" s="106">
        <v>47016101</v>
      </c>
      <c r="D15" s="46" t="str">
        <f ca="1">VLOOKUP($C15,OFFSET(enemy_skills!$A$1,0,0,COUNTA(enemy_skills!$A:$A),MATCH(D$1,enemy_skills!$1:$1,0)-MATCH("enemy_skill_id",enemy_skills!$1:$1,0)+1),MATCH(D$1,enemy_skills!$1:$1,0)-MATCH("enemy_skill_id",enemy_skills!$1:$1,0)+1,FALSE)</f>
        <v>なんだ、お前もあいつを見にきたのか？</v>
      </c>
      <c r="E15" s="46" t="str">
        <f ca="1">VLOOKUP($C15,OFFSET(enemy_skills!$A$1,0,0,COUNTA(enemy_skills!$A:$A),MATCH(E$1,enemy_skills!$1:$1,0)-MATCH("enemy_skill_id",enemy_skills!$1:$1,0)+1),MATCH(E$1,enemy_skills!$1:$1,0)-MATCH("enemy_skill_id",enemy_skills!$1:$1,0)+1,FALSE)</f>
        <v>ドレスとチェーンソー…_x000D_すげぇ組み合わせだよな</v>
      </c>
      <c r="F15" s="47">
        <v>47016112</v>
      </c>
      <c r="G15" s="48">
        <f ca="1">VLOOKUP($F15,OFFSET(enemy_skill_triggers!$A$1,0,0,COUNTA(enemy_skill_triggers!$A:$A),MATCH(G$1,enemy_skill_triggers!$1:$1,0)-MATCH($F$1,enemy_skill_triggers!$1:$1,0)+1),MATCH(G$1,enemy_skill_triggers!$1:$1,0)-MATCH($F$1,enemy_skill_triggers!$1:$1,0)+1,FALSE)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5" s="48">
        <f ca="1">VLOOKUP($F15,OFFSET(enemy_skill_triggers!$A$1,0,0,COUNTA(enemy_skill_triggers!$A:$A),MATCH(H$1,enemy_skill_triggers!$1:$1,0)-MATCH($F$1,enemy_skill_triggers!$1:$1,0)+1),MATCH(H$1,enemy_skill_triggers!$1:$1,0)-MATCH($F$1,enemy_skill_triggers!$1:$1,0)+1,FALSE)</f>
        <v>380</v>
      </c>
      <c r="I15" s="48">
        <f ca="1">VLOOKUP($F15,OFFSET(enemy_skill_triggers!$A$1,0,0,COUNTA(enemy_skill_triggers!$A:$A),MATCH(I$1,enemy_skill_triggers!$1:$1,0)-MATCH($F$1,enemy_skill_triggers!$1:$1,0)+1),MATCH(I$1,enemy_skill_triggers!$1:$1,0)-MATCH($F$1,enemy_skill_triggers!$1:$1,0)+1,FALSE)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5" s="48" t="str">
        <f ca="1">VLOOKUP($F15,OFFSET(enemy_skill_triggers!$A$1,0,0,COUNTA(enemy_skill_triggers!$A:$A),MATCH(J$1,enemy_skill_triggers!$1:$1,0)-MATCH($F$1,enemy_skill_triggers!$1:$1,0)+1),MATCH(J$1,enemy_skill_triggers!$1:$1,0)-MATCH($F$1,enemy_skill_triggers!$1:$1,0)+1,FALSE)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5" s="48" t="str">
        <f ca="1">VLOOKUP($F15,OFFSET(enemy_skill_triggers!$A$1,0,0,COUNTA(enemy_skill_triggers!$A:$A),MATCH(K$1,enemy_skill_triggers!$1:$1,0)-MATCH($F$1,enemy_skill_triggers!$1:$1,0)+1),MATCH(K$1,enemy_skill_triggers!$1:$1,0)-MATCH($F$1,enemy_skill_triggers!$1:$1,0)+1,FALSE)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5" s="48">
        <f ca="1">VLOOKUP($F15,OFFSET(enemy_skill_triggers!$A$1,0,0,COUNTA(enemy_skill_triggers!$A:$A),MATCH(L$1,enemy_skill_triggers!$1:$1,0)-MATCH($F$1,enemy_skill_triggers!$1:$1,0)+1),MATCH(L$1,enemy_skill_triggers!$1:$1,0)-MATCH($F$1,enemy_skill_triggers!$1:$1,0)+1,FALSE)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5" s="48" t="str">
        <f ca="1">VLOOKUP($F15,OFFSET(enemy_skill_triggers!$A$1,0,0,COUNTA(enemy_skill_triggers!$A:$A),MATCH(M$1,enemy_skill_triggers!$1:$1,0)-MATCH($F$1,enemy_skill_triggers!$1:$1,0)+1),MATCH(M$1,enemy_skill_triggers!$1:$1,0)-MATCH($F$1,enemy_skill_triggers!$1:$1,0)+1,FALSE)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5" s="48">
        <f ca="1">VLOOKUP($F15,OFFSET(enemy_skill_triggers!$A$1,0,0,COUNTA(enemy_skill_triggers!$A:$A),MATCH(N$1,enemy_skill_triggers!$1:$1,0)-MATCH($F$1,enemy_skill_triggers!$1:$1,0)+1),MATCH(N$1,enemy_skill_triggers!$1:$1,0)-MATCH($F$1,enemy_skill_triggers!$1:$1,0)+1,FALSE)</f>
        <v>1714</v>
      </c>
      <c r="O15" s="48">
        <f ca="1">VLOOKUP($F15,OFFSET(enemy_skill_triggers!$A$1,0,0,COUNTA(enemy_skill_triggers!$A:$A),MATCH(O$1,enemy_skill_triggers!$1:$1,0)-MATCH($F$1,enemy_skill_triggers!$1:$1,0)+1),MATCH(O$1,enemy_skill_triggers!$1:$1,0)-MATCH($F$1,enemy_skill_triggers!$1:$1,0)+1,FALSE)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5" s="47"/>
      <c r="Q15" s="47"/>
      <c r="R15" s="47"/>
    </row>
    <row r="16" spans="1:18" ht="21" customHeight="1" x14ac:dyDescent="0.15">
      <c r="A16" s="39" t="str">
        <f t="shared" si="1"/>
        <v>47016100_47016101</v>
      </c>
      <c r="B16" s="106">
        <v>47016100</v>
      </c>
      <c r="C16" s="106">
        <v>47016101</v>
      </c>
      <c r="D16" s="46" t="str">
        <f ca="1">VLOOKUP($C16,OFFSET(enemy_skills!$A$1,0,0,COUNTA(enemy_skills!$A:$A),MATCH(D$1,enemy_skills!$1:$1,0)-MATCH("enemy_skill_id",enemy_skills!$1:$1,0)+1),MATCH(D$1,enemy_skills!$1:$1,0)-MATCH("enemy_skill_id",enemy_skills!$1:$1,0)+1,FALSE)</f>
        <v>なんだ、お前もあいつを見にきたのか？</v>
      </c>
      <c r="E16" s="46" t="str">
        <f ca="1">VLOOKUP($C16,OFFSET(enemy_skills!$A$1,0,0,COUNTA(enemy_skills!$A:$A),MATCH(E$1,enemy_skills!$1:$1,0)-MATCH("enemy_skill_id",enemy_skills!$1:$1,0)+1),MATCH(E$1,enemy_skills!$1:$1,0)-MATCH("enemy_skill_id",enemy_skills!$1:$1,0)+1,FALSE)</f>
        <v>ドレスとチェーンソー…_x000D_すげぇ組み合わせだよな</v>
      </c>
      <c r="F16" s="47">
        <v>47016113</v>
      </c>
      <c r="G16" s="48">
        <f ca="1">VLOOKUP($F16,OFFSET(enemy_skill_triggers!$A$1,0,0,COUNTA(enemy_skill_triggers!$A:$A),MATCH(G$1,enemy_skill_triggers!$1:$1,0)-MATCH($F$1,enemy_skill_triggers!$1:$1,0)+1),MATCH(G$1,enemy_skill_triggers!$1:$1,0)-MATCH($F$1,enemy_skill_triggers!$1:$1,0)+1,FALSE)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6" s="48">
        <f ca="1">VLOOKUP($F16,OFFSET(enemy_skill_triggers!$A$1,0,0,COUNTA(enemy_skill_triggers!$A:$A),MATCH(H$1,enemy_skill_triggers!$1:$1,0)-MATCH($F$1,enemy_skill_triggers!$1:$1,0)+1),MATCH(H$1,enemy_skill_triggers!$1:$1,0)-MATCH($F$1,enemy_skill_triggers!$1:$1,0)+1,FALSE)</f>
        <v>370</v>
      </c>
      <c r="I16" s="48">
        <f ca="1">VLOOKUP($F16,OFFSET(enemy_skill_triggers!$A$1,0,0,COUNTA(enemy_skill_triggers!$A:$A),MATCH(I$1,enemy_skill_triggers!$1:$1,0)-MATCH($F$1,enemy_skill_triggers!$1:$1,0)+1),MATCH(I$1,enemy_skill_triggers!$1:$1,0)-MATCH($F$1,enemy_skill_triggers!$1:$1,0)+1,FALSE)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6" s="48" t="str">
        <f ca="1">VLOOKUP($F16,OFFSET(enemy_skill_triggers!$A$1,0,0,COUNTA(enemy_skill_triggers!$A:$A),MATCH(J$1,enemy_skill_triggers!$1:$1,0)-MATCH($F$1,enemy_skill_triggers!$1:$1,0)+1),MATCH(J$1,enemy_skill_triggers!$1:$1,0)-MATCH($F$1,enemy_skill_triggers!$1:$1,0)+1,FALSE)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6" s="48" t="str">
        <f ca="1">VLOOKUP($F16,OFFSET(enemy_skill_triggers!$A$1,0,0,COUNTA(enemy_skill_triggers!$A:$A),MATCH(K$1,enemy_skill_triggers!$1:$1,0)-MATCH($F$1,enemy_skill_triggers!$1:$1,0)+1),MATCH(K$1,enemy_skill_triggers!$1:$1,0)-MATCH($F$1,enemy_skill_triggers!$1:$1,0)+1,FALSE)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6" s="48">
        <f ca="1">VLOOKUP($F16,OFFSET(enemy_skill_triggers!$A$1,0,0,COUNTA(enemy_skill_triggers!$A:$A),MATCH(L$1,enemy_skill_triggers!$1:$1,0)-MATCH($F$1,enemy_skill_triggers!$1:$1,0)+1),MATCH(L$1,enemy_skill_triggers!$1:$1,0)-MATCH($F$1,enemy_skill_triggers!$1:$1,0)+1,FALSE)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6" s="48" t="str">
        <f ca="1">VLOOKUP($F16,OFFSET(enemy_skill_triggers!$A$1,0,0,COUNTA(enemy_skill_triggers!$A:$A),MATCH(M$1,enemy_skill_triggers!$1:$1,0)-MATCH($F$1,enemy_skill_triggers!$1:$1,0)+1),MATCH(M$1,enemy_skill_triggers!$1:$1,0)-MATCH($F$1,enemy_skill_triggers!$1:$1,0)+1,FALSE)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6" s="48">
        <f ca="1">VLOOKUP($F16,OFFSET(enemy_skill_triggers!$A$1,0,0,COUNTA(enemy_skill_triggers!$A:$A),MATCH(N$1,enemy_skill_triggers!$1:$1,0)-MATCH($F$1,enemy_skill_triggers!$1:$1,0)+1),MATCH(N$1,enemy_skill_triggers!$1:$1,0)-MATCH($F$1,enemy_skill_triggers!$1:$1,0)+1,FALSE)</f>
        <v>1715</v>
      </c>
      <c r="O16" s="48">
        <f ca="1">VLOOKUP($F16,OFFSET(enemy_skill_triggers!$A$1,0,0,COUNTA(enemy_skill_triggers!$A:$A),MATCH(O$1,enemy_skill_triggers!$1:$1,0)-MATCH($F$1,enemy_skill_triggers!$1:$1,0)+1),MATCH(O$1,enemy_skill_triggers!$1:$1,0)-MATCH($F$1,enemy_skill_triggers!$1:$1,0)+1,FALSE)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6" s="47"/>
      <c r="Q16" s="47"/>
      <c r="R16" s="47"/>
    </row>
    <row r="17" spans="1:18" ht="21" customHeight="1" x14ac:dyDescent="0.15">
      <c r="A17" s="39" t="str">
        <f t="shared" ref="A17:A74" si="7">B17&amp;"_"&amp;C17</f>
        <v>47016100_47016101</v>
      </c>
      <c r="B17" s="106">
        <v>47016100</v>
      </c>
      <c r="C17" s="106">
        <v>47016101</v>
      </c>
      <c r="D17" s="46" t="str">
        <f ca="1">VLOOKUP($C17,OFFSET(enemy_skills!$A$1,0,0,COUNTA(enemy_skills!$A:$A),MATCH(D$1,enemy_skills!$1:$1,0)-MATCH("enemy_skill_id",enemy_skills!$1:$1,0)+1),MATCH(D$1,enemy_skills!$1:$1,0)-MATCH("enemy_skill_id",enemy_skills!$1:$1,0)+1,FALSE)</f>
        <v>なんだ、お前もあいつを見にきたのか？</v>
      </c>
      <c r="E17" s="46" t="str">
        <f ca="1">VLOOKUP($C17,OFFSET(enemy_skills!$A$1,0,0,COUNTA(enemy_skills!$A:$A),MATCH(E$1,enemy_skills!$1:$1,0)-MATCH("enemy_skill_id",enemy_skills!$1:$1,0)+1),MATCH(E$1,enemy_skills!$1:$1,0)-MATCH("enemy_skill_id",enemy_skills!$1:$1,0)+1,FALSE)</f>
        <v>ドレスとチェーンソー…_x000D_すげぇ組み合わせだよな</v>
      </c>
      <c r="F17" s="47">
        <v>47016114</v>
      </c>
      <c r="G17" s="48">
        <f ca="1">VLOOKUP($F17,OFFSET(enemy_skill_triggers!$A$1,0,0,COUNTA(enemy_skill_triggers!$A:$A),MATCH(G$1,enemy_skill_triggers!$1:$1,0)-MATCH($F$1,enemy_skill_triggers!$1:$1,0)+1),MATCH(G$1,enemy_skill_triggers!$1:$1,0)-MATCH($F$1,enemy_skill_triggers!$1:$1,0)+1,FALSE)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7" s="48">
        <f ca="1">VLOOKUP($F17,OFFSET(enemy_skill_triggers!$A$1,0,0,COUNTA(enemy_skill_triggers!$A:$A),MATCH(H$1,enemy_skill_triggers!$1:$1,0)-MATCH($F$1,enemy_skill_triggers!$1:$1,0)+1),MATCH(H$1,enemy_skill_triggers!$1:$1,0)-MATCH($F$1,enemy_skill_triggers!$1:$1,0)+1,FALSE)</f>
        <v>360</v>
      </c>
      <c r="I17" s="48">
        <f ca="1">VLOOKUP($F17,OFFSET(enemy_skill_triggers!$A$1,0,0,COUNTA(enemy_skill_triggers!$A:$A),MATCH(I$1,enemy_skill_triggers!$1:$1,0)-MATCH($F$1,enemy_skill_triggers!$1:$1,0)+1),MATCH(I$1,enemy_skill_triggers!$1:$1,0)-MATCH($F$1,enemy_skill_triggers!$1:$1,0)+1,FALSE)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7" s="48" t="str">
        <f ca="1">VLOOKUP($F17,OFFSET(enemy_skill_triggers!$A$1,0,0,COUNTA(enemy_skill_triggers!$A:$A),MATCH(J$1,enemy_skill_triggers!$1:$1,0)-MATCH($F$1,enemy_skill_triggers!$1:$1,0)+1),MATCH(J$1,enemy_skill_triggers!$1:$1,0)-MATCH($F$1,enemy_skill_triggers!$1:$1,0)+1,FALSE)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7" s="48" t="str">
        <f ca="1">VLOOKUP($F17,OFFSET(enemy_skill_triggers!$A$1,0,0,COUNTA(enemy_skill_triggers!$A:$A),MATCH(K$1,enemy_skill_triggers!$1:$1,0)-MATCH($F$1,enemy_skill_triggers!$1:$1,0)+1),MATCH(K$1,enemy_skill_triggers!$1:$1,0)-MATCH($F$1,enemy_skill_triggers!$1:$1,0)+1,FALSE)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7" s="48">
        <f ca="1">VLOOKUP($F17,OFFSET(enemy_skill_triggers!$A$1,0,0,COUNTA(enemy_skill_triggers!$A:$A),MATCH(L$1,enemy_skill_triggers!$1:$1,0)-MATCH($F$1,enemy_skill_triggers!$1:$1,0)+1),MATCH(L$1,enemy_skill_triggers!$1:$1,0)-MATCH($F$1,enemy_skill_triggers!$1:$1,0)+1,FALSE)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7" s="48" t="str">
        <f ca="1">VLOOKUP($F17,OFFSET(enemy_skill_triggers!$A$1,0,0,COUNTA(enemy_skill_triggers!$A:$A),MATCH(M$1,enemy_skill_triggers!$1:$1,0)-MATCH($F$1,enemy_skill_triggers!$1:$1,0)+1),MATCH(M$1,enemy_skill_triggers!$1:$1,0)-MATCH($F$1,enemy_skill_triggers!$1:$1,0)+1,FALSE)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7" s="48">
        <f ca="1">VLOOKUP($F17,OFFSET(enemy_skill_triggers!$A$1,0,0,COUNTA(enemy_skill_triggers!$A:$A),MATCH(N$1,enemy_skill_triggers!$1:$1,0)-MATCH($F$1,enemy_skill_triggers!$1:$1,0)+1),MATCH(N$1,enemy_skill_triggers!$1:$1,0)-MATCH($F$1,enemy_skill_triggers!$1:$1,0)+1,FALSE)</f>
        <v>1716</v>
      </c>
      <c r="O17" s="48">
        <f ca="1">VLOOKUP($F17,OFFSET(enemy_skill_triggers!$A$1,0,0,COUNTA(enemy_skill_triggers!$A:$A),MATCH(O$1,enemy_skill_triggers!$1:$1,0)-MATCH($F$1,enemy_skill_triggers!$1:$1,0)+1),MATCH(O$1,enemy_skill_triggers!$1:$1,0)-MATCH($F$1,enemy_skill_triggers!$1:$1,0)+1,FALSE)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7" s="47"/>
      <c r="Q17" s="47"/>
      <c r="R17" s="47"/>
    </row>
    <row r="18" spans="1:18" ht="21" customHeight="1" x14ac:dyDescent="0.15">
      <c r="A18" s="39" t="str">
        <f t="shared" si="7"/>
        <v>47016100_47016102</v>
      </c>
      <c r="B18" s="106">
        <v>47016100</v>
      </c>
      <c r="C18" s="106">
        <v>47016102</v>
      </c>
      <c r="D18" s="46" t="str">
        <f ca="1">VLOOKUP($C18,OFFSET(enemy_skills!$A$1,0,0,COUNTA(enemy_skills!$A:$A),MATCH(D$1,enemy_skills!$1:$1,0)-MATCH("enemy_skill_id",enemy_skills!$1:$1,0)+1),MATCH(D$1,enemy_skills!$1:$1,0)-MATCH("enemy_skill_id",enemy_skills!$1:$1,0)+1,FALSE)</f>
        <v>お、新たな見物客か？</v>
      </c>
      <c r="E18" s="46" t="str">
        <f ca="1">VLOOKUP($C18,OFFSET(enemy_skills!$A$1,0,0,COUNTA(enemy_skills!$A:$A),MATCH(E$1,enemy_skills!$1:$1,0)-MATCH("enemy_skill_id",enemy_skills!$1:$1,0)+1),MATCH(E$1,enemy_skills!$1:$1,0)-MATCH("enemy_skill_id",enemy_skills!$1:$1,0)+1,FALSE)</f>
        <v>見ろよ、あのでけぇチェーンソー！</v>
      </c>
      <c r="F18" s="47">
        <v>47016115</v>
      </c>
      <c r="G18" s="48">
        <f ca="1">VLOOKUP($F18,OFFSET(enemy_skill_triggers!$A$1,0,0,COUNTA(enemy_skill_triggers!$A:$A),MATCH(G$1,enemy_skill_triggers!$1:$1,0)-MATCH($F$1,enemy_skill_triggers!$1:$1,0)+1),MATCH(G$1,enemy_skill_triggers!$1:$1,0)-MATCH($F$1,enemy_skill_triggers!$1:$1,0)+1,FALSE)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8" s="48">
        <f ca="1">VLOOKUP($F18,OFFSET(enemy_skill_triggers!$A$1,0,0,COUNTA(enemy_skill_triggers!$A:$A),MATCH(H$1,enemy_skill_triggers!$1:$1,0)-MATCH($F$1,enemy_skill_triggers!$1:$1,0)+1),MATCH(H$1,enemy_skill_triggers!$1:$1,0)-MATCH($F$1,enemy_skill_triggers!$1:$1,0)+1,FALSE)</f>
        <v>320</v>
      </c>
      <c r="I18" s="48">
        <f ca="1">VLOOKUP($F18,OFFSET(enemy_skill_triggers!$A$1,0,0,COUNTA(enemy_skill_triggers!$A:$A),MATCH(I$1,enemy_skill_triggers!$1:$1,0)-MATCH($F$1,enemy_skill_triggers!$1:$1,0)+1),MATCH(I$1,enemy_skill_triggers!$1:$1,0)-MATCH($F$1,enemy_skill_triggers!$1:$1,0)+1,FALSE)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8" s="48" t="str">
        <f ca="1">VLOOKUP($F18,OFFSET(enemy_skill_triggers!$A$1,0,0,COUNTA(enemy_skill_triggers!$A:$A),MATCH(J$1,enemy_skill_triggers!$1:$1,0)-MATCH($F$1,enemy_skill_triggers!$1:$1,0)+1),MATCH(J$1,enemy_skill_triggers!$1:$1,0)-MATCH($F$1,enemy_skill_triggers!$1:$1,0)+1,FALSE)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8" s="48" t="str">
        <f ca="1">VLOOKUP($F18,OFFSET(enemy_skill_triggers!$A$1,0,0,COUNTA(enemy_skill_triggers!$A:$A),MATCH(K$1,enemy_skill_triggers!$1:$1,0)-MATCH($F$1,enemy_skill_triggers!$1:$1,0)+1),MATCH(K$1,enemy_skill_triggers!$1:$1,0)-MATCH($F$1,enemy_skill_triggers!$1:$1,0)+1,FALSE)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8" s="48">
        <f ca="1">VLOOKUP($F18,OFFSET(enemy_skill_triggers!$A$1,0,0,COUNTA(enemy_skill_triggers!$A:$A),MATCH(L$1,enemy_skill_triggers!$1:$1,0)-MATCH($F$1,enemy_skill_triggers!$1:$1,0)+1),MATCH(L$1,enemy_skill_triggers!$1:$1,0)-MATCH($F$1,enemy_skill_triggers!$1:$1,0)+1,FALSE)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8" s="48" t="str">
        <f ca="1">VLOOKUP($F18,OFFSET(enemy_skill_triggers!$A$1,0,0,COUNTA(enemy_skill_triggers!$A:$A),MATCH(M$1,enemy_skill_triggers!$1:$1,0)-MATCH($F$1,enemy_skill_triggers!$1:$1,0)+1),MATCH(M$1,enemy_skill_triggers!$1:$1,0)-MATCH($F$1,enemy_skill_triggers!$1:$1,0)+1,FALSE)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8" s="48" t="str">
        <f ca="1">VLOOKUP($F18,OFFSET(enemy_skill_triggers!$A$1,0,0,COUNTA(enemy_skill_triggers!$A:$A),MATCH(N$1,enemy_skill_triggers!$1:$1,0)-MATCH($F$1,enemy_skill_triggers!$1:$1,0)+1),MATCH(N$1,enemy_skill_triggers!$1:$1,0)-MATCH($F$1,enemy_skill_triggers!$1:$1,0)+1,FALSE)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8" s="48">
        <f ca="1">VLOOKUP($F18,OFFSET(enemy_skill_triggers!$A$1,0,0,COUNTA(enemy_skill_triggers!$A:$A),MATCH(O$1,enemy_skill_triggers!$1:$1,0)-MATCH($F$1,enemy_skill_triggers!$1:$1,0)+1),MATCH(O$1,enemy_skill_triggers!$1:$1,0)-MATCH($F$1,enemy_skill_triggers!$1:$1,0)+1,FALSE)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8" s="47"/>
      <c r="Q18" s="47"/>
      <c r="R18" s="47"/>
    </row>
    <row r="19" spans="1:18" ht="21" customHeight="1" x14ac:dyDescent="0.15">
      <c r="A19" s="39" t="str">
        <f t="shared" si="7"/>
        <v>47016100_47016103</v>
      </c>
      <c r="B19" s="106">
        <v>47016100</v>
      </c>
      <c r="C19" s="106">
        <v>47016103</v>
      </c>
      <c r="D19" s="46" t="str">
        <f ca="1">VLOOKUP($C19,OFFSET(enemy_skills!$A$1,0,0,COUNTA(enemy_skills!$A:$A),MATCH(D$1,enemy_skills!$1:$1,0)-MATCH("enemy_skill_id",enemy_skills!$1:$1,0)+1),MATCH(D$1,enemy_skills!$1:$1,0)-MATCH("enemy_skill_id",enemy_skills!$1:$1,0)+1,FALSE)</f>
        <v>シャクナゲって知ってるか…？</v>
      </c>
      <c r="E19" s="46" t="str">
        <f ca="1">VLOOKUP($C19,OFFSET(enemy_skills!$A$1,0,0,COUNTA(enemy_skills!$A:$A),MATCH(E$1,enemy_skills!$1:$1,0)-MATCH("enemy_skill_id",enemy_skills!$1:$1,0)+1),MATCH(E$1,enemy_skills!$1:$1,0)-MATCH("enemy_skill_id",enemy_skills!$1:$1,0)+1,FALSE)</f>
        <v>俺を…楽しませてくれよ！_x000D_【特定エリアをハートパネルに変換+単体攻撃】</v>
      </c>
      <c r="F19" s="47">
        <v>47016116</v>
      </c>
      <c r="G19" s="48">
        <f ca="1">VLOOKUP($F19,OFFSET(enemy_skill_triggers!$A$1,0,0,COUNTA(enemy_skill_triggers!$A:$A),MATCH(G$1,enemy_skill_triggers!$1:$1,0)-MATCH($F$1,enemy_skill_triggers!$1:$1,0)+1),MATCH(G$1,enemy_skill_triggers!$1:$1,0)-MATCH($F$1,enemy_skill_triggers!$1:$1,0)+1,FALSE)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9" s="48">
        <f ca="1">VLOOKUP($F19,OFFSET(enemy_skill_triggers!$A$1,0,0,COUNTA(enemy_skill_triggers!$A:$A),MATCH(H$1,enemy_skill_triggers!$1:$1,0)-MATCH($F$1,enemy_skill_triggers!$1:$1,0)+1),MATCH(H$1,enemy_skill_triggers!$1:$1,0)-MATCH($F$1,enemy_skill_triggers!$1:$1,0)+1,FALSE)</f>
        <v>310</v>
      </c>
      <c r="I19" s="48">
        <f ca="1">VLOOKUP($F19,OFFSET(enemy_skill_triggers!$A$1,0,0,COUNTA(enemy_skill_triggers!$A:$A),MATCH(I$1,enemy_skill_triggers!$1:$1,0)-MATCH($F$1,enemy_skill_triggers!$1:$1,0)+1),MATCH(I$1,enemy_skill_triggers!$1:$1,0)-MATCH($F$1,enemy_skill_triggers!$1:$1,0)+1,FALSE)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9" s="48" t="str">
        <f ca="1">VLOOKUP($F19,OFFSET(enemy_skill_triggers!$A$1,0,0,COUNTA(enemy_skill_triggers!$A:$A),MATCH(J$1,enemy_skill_triggers!$1:$1,0)-MATCH($F$1,enemy_skill_triggers!$1:$1,0)+1),MATCH(J$1,enemy_skill_triggers!$1:$1,0)-MATCH($F$1,enemy_skill_triggers!$1:$1,0)+1,FALSE)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9" s="48" t="str">
        <f ca="1">VLOOKUP($F19,OFFSET(enemy_skill_triggers!$A$1,0,0,COUNTA(enemy_skill_triggers!$A:$A),MATCH(K$1,enemy_skill_triggers!$1:$1,0)-MATCH($F$1,enemy_skill_triggers!$1:$1,0)+1),MATCH(K$1,enemy_skill_triggers!$1:$1,0)-MATCH($F$1,enemy_skill_triggers!$1:$1,0)+1,FALSE)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9" s="48">
        <f ca="1">VLOOKUP($F19,OFFSET(enemy_skill_triggers!$A$1,0,0,COUNTA(enemy_skill_triggers!$A:$A),MATCH(L$1,enemy_skill_triggers!$1:$1,0)-MATCH($F$1,enemy_skill_triggers!$1:$1,0)+1),MATCH(L$1,enemy_skill_triggers!$1:$1,0)-MATCH($F$1,enemy_skill_triggers!$1:$1,0)+1,FALSE)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9" s="48">
        <f ca="1">VLOOKUP($F19,OFFSET(enemy_skill_triggers!$A$1,0,0,COUNTA(enemy_skill_triggers!$A:$A),MATCH(M$1,enemy_skill_triggers!$1:$1,0)-MATCH($F$1,enemy_skill_triggers!$1:$1,0)+1),MATCH(M$1,enemy_skill_triggers!$1:$1,0)-MATCH($F$1,enemy_skill_triggers!$1:$1,0)+1,FALSE)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9" s="48" t="str">
        <f ca="1">VLOOKUP($F19,OFFSET(enemy_skill_triggers!$A$1,0,0,COUNTA(enemy_skill_triggers!$A:$A),MATCH(N$1,enemy_skill_triggers!$1:$1,0)-MATCH($F$1,enemy_skill_triggers!$1:$1,0)+1),MATCH(N$1,enemy_skill_triggers!$1:$1,0)-MATCH($F$1,enemy_skill_triggers!$1:$1,0)+1,FALSE)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9" s="48">
        <f ca="1">VLOOKUP($F19,OFFSET(enemy_skill_triggers!$A$1,0,0,COUNTA(enemy_skill_triggers!$A:$A),MATCH(O$1,enemy_skill_triggers!$1:$1,0)-MATCH($F$1,enemy_skill_triggers!$1:$1,0)+1),MATCH(O$1,enemy_skill_triggers!$1:$1,0)-MATCH($F$1,enemy_skill_triggers!$1:$1,0)+1,FALSE)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9" s="47"/>
      <c r="Q19" s="47"/>
      <c r="R19" s="47"/>
    </row>
    <row r="20" spans="1:18" ht="21" customHeight="1" x14ac:dyDescent="0.15">
      <c r="A20" s="39" t="str">
        <f t="shared" si="7"/>
        <v>47016100_47016104</v>
      </c>
      <c r="B20" s="106">
        <v>47016100</v>
      </c>
      <c r="C20" s="106">
        <v>47016104</v>
      </c>
      <c r="D20" s="46" t="str">
        <f ca="1">VLOOKUP($C20,OFFSET(enemy_skills!$A$1,0,0,COUNTA(enemy_skills!$A:$A),MATCH(D$1,enemy_skills!$1:$1,0)-MATCH("enemy_skill_id",enemy_skills!$1:$1,0)+1),MATCH(D$1,enemy_skills!$1:$1,0)-MATCH("enemy_skill_id",enemy_skills!$1:$1,0)+1,FALSE)</f>
        <v>人が多くてよく見えねぇ…</v>
      </c>
      <c r="E20" s="46" t="str">
        <f ca="1">VLOOKUP($C20,OFFSET(enemy_skills!$A$1,0,0,COUNTA(enemy_skills!$A:$A),MATCH(E$1,enemy_skills!$1:$1,0)-MATCH("enemy_skill_id",enemy_skills!$1:$1,0)+1),MATCH(E$1,enemy_skills!$1:$1,0)-MATCH("enemy_skill_id",enemy_skills!$1:$1,0)+1,FALSE)</f>
        <v>お前、ちょっと下がってくれよ…_x000D_【2回連続攻撃+1ターン全ユニットにスキルバインド】</v>
      </c>
      <c r="F20" s="47">
        <v>47016117</v>
      </c>
      <c r="G20" s="48">
        <f ca="1">VLOOKUP($F20,OFFSET(enemy_skill_triggers!$A$1,0,0,COUNTA(enemy_skill_triggers!$A:$A),MATCH(G$1,enemy_skill_triggers!$1:$1,0)-MATCH($F$1,enemy_skill_triggers!$1:$1,0)+1),MATCH(G$1,enemy_skill_triggers!$1:$1,0)-MATCH($F$1,enemy_skill_triggers!$1:$1,0)+1,FALSE)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0" s="48">
        <f ca="1">VLOOKUP($F20,OFFSET(enemy_skill_triggers!$A$1,0,0,COUNTA(enemy_skill_triggers!$A:$A),MATCH(H$1,enemy_skill_triggers!$1:$1,0)-MATCH($F$1,enemy_skill_triggers!$1:$1,0)+1),MATCH(H$1,enemy_skill_triggers!$1:$1,0)-MATCH($F$1,enemy_skill_triggers!$1:$1,0)+1,FALSE)</f>
        <v>120</v>
      </c>
      <c r="I20" s="48">
        <f ca="1">VLOOKUP($F20,OFFSET(enemy_skill_triggers!$A$1,0,0,COUNTA(enemy_skill_triggers!$A:$A),MATCH(I$1,enemy_skill_triggers!$1:$1,0)-MATCH($F$1,enemy_skill_triggers!$1:$1,0)+1),MATCH(I$1,enemy_skill_triggers!$1:$1,0)-MATCH($F$1,enemy_skill_triggers!$1:$1,0)+1,FALSE)</f>
        <v>33</v>
      </c>
      <c r="J20" s="48" t="str">
        <f ca="1">VLOOKUP($F20,OFFSET(enemy_skill_triggers!$A$1,0,0,COUNTA(enemy_skill_triggers!$A:$A),MATCH(J$1,enemy_skill_triggers!$1:$1,0)-MATCH($F$1,enemy_skill_triggers!$1:$1,0)+1),MATCH(J$1,enemy_skill_triggers!$1:$1,0)-MATCH($F$1,enemy_skill_triggers!$1:$1,0)+1,FALSE)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0" s="48" t="str">
        <f ca="1">VLOOKUP($F20,OFFSET(enemy_skill_triggers!$A$1,0,0,COUNTA(enemy_skill_triggers!$A:$A),MATCH(K$1,enemy_skill_triggers!$1:$1,0)-MATCH($F$1,enemy_skill_triggers!$1:$1,0)+1),MATCH(K$1,enemy_skill_triggers!$1:$1,0)-MATCH($F$1,enemy_skill_triggers!$1:$1,0)+1,FALSE)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0" s="48">
        <f ca="1">VLOOKUP($F20,OFFSET(enemy_skill_triggers!$A$1,0,0,COUNTA(enemy_skill_triggers!$A:$A),MATCH(L$1,enemy_skill_triggers!$1:$1,0)-MATCH($F$1,enemy_skill_triggers!$1:$1,0)+1),MATCH(L$1,enemy_skill_triggers!$1:$1,0)-MATCH($F$1,enemy_skill_triggers!$1:$1,0)+1,FALSE)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0" s="48" t="str">
        <f ca="1">VLOOKUP($F20,OFFSET(enemy_skill_triggers!$A$1,0,0,COUNTA(enemy_skill_triggers!$A:$A),MATCH(M$1,enemy_skill_triggers!$1:$1,0)-MATCH($F$1,enemy_skill_triggers!$1:$1,0)+1),MATCH(M$1,enemy_skill_triggers!$1:$1,0)-MATCH($F$1,enemy_skill_triggers!$1:$1,0)+1,FALSE)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0" s="48" t="str">
        <f ca="1">VLOOKUP($F20,OFFSET(enemy_skill_triggers!$A$1,0,0,COUNTA(enemy_skill_triggers!$A:$A),MATCH(N$1,enemy_skill_triggers!$1:$1,0)-MATCH($F$1,enemy_skill_triggers!$1:$1,0)+1),MATCH(N$1,enemy_skill_triggers!$1:$1,0)-MATCH($F$1,enemy_skill_triggers!$1:$1,0)+1,FALSE)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0" s="48">
        <f ca="1">VLOOKUP($F20,OFFSET(enemy_skill_triggers!$A$1,0,0,COUNTA(enemy_skill_triggers!$A:$A),MATCH(O$1,enemy_skill_triggers!$1:$1,0)-MATCH($F$1,enemy_skill_triggers!$1:$1,0)+1),MATCH(O$1,enemy_skill_triggers!$1:$1,0)-MATCH($F$1,enemy_skill_triggers!$1:$1,0)+1,FALSE)</f>
        <v>33</v>
      </c>
      <c r="P20" s="47"/>
      <c r="Q20" s="47"/>
      <c r="R20" s="47"/>
    </row>
    <row r="21" spans="1:18" ht="21" customHeight="1" x14ac:dyDescent="0.15">
      <c r="A21" s="39" t="str">
        <f t="shared" si="7"/>
        <v>47016100_47016105</v>
      </c>
      <c r="B21" s="106">
        <v>47016100</v>
      </c>
      <c r="C21" s="106">
        <v>47016105</v>
      </c>
      <c r="D21" s="46" t="str">
        <f ca="1">VLOOKUP($C21,OFFSET(enemy_skills!$A$1,0,0,COUNTA(enemy_skills!$A:$A),MATCH(D$1,enemy_skills!$1:$1,0)-MATCH("enemy_skill_id",enemy_skills!$1:$1,0)+1),MATCH(D$1,enemy_skills!$1:$1,0)-MATCH("enemy_skill_id",enemy_skills!$1:$1,0)+1,FALSE)</f>
        <v>お前にこれが壊せるか…！</v>
      </c>
      <c r="E21" s="46" t="str">
        <f ca="1">VLOOKUP($C21,OFFSET(enemy_skills!$A$1,0,0,COUNTA(enemy_skills!$A:$A),MATCH(E$1,enemy_skills!$1:$1,0)-MATCH("enemy_skill_id",enemy_skills!$1:$1,0)+1),MATCH(E$1,enemy_skills!$1:$1,0)-MATCH("enemy_skill_id",enemy_skills!$1:$1,0)+1,FALSE)</f>
        <v>赤パネルプロテクト+単体攻撃</v>
      </c>
      <c r="F21" s="47">
        <v>47016119</v>
      </c>
      <c r="G21" s="48">
        <f ca="1">VLOOKUP($F21,OFFSET(enemy_skill_triggers!$A$1,0,0,COUNTA(enemy_skill_triggers!$A:$A),MATCH(G$1,enemy_skill_triggers!$1:$1,0)-MATCH($F$1,enemy_skill_triggers!$1:$1,0)+1),MATCH(G$1,enemy_skill_triggers!$1:$1,0)-MATCH($F$1,enemy_skill_triggers!$1:$1,0)+1,FALSE)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1" s="48">
        <f ca="1">VLOOKUP($F21,OFFSET(enemy_skill_triggers!$A$1,0,0,COUNTA(enemy_skill_triggers!$A:$A),MATCH(H$1,enemy_skill_triggers!$1:$1,0)-MATCH($F$1,enemy_skill_triggers!$1:$1,0)+1),MATCH(H$1,enemy_skill_triggers!$1:$1,0)-MATCH($F$1,enemy_skill_triggers!$1:$1,0)+1,FALSE)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21" s="48">
        <f ca="1">VLOOKUP($F21,OFFSET(enemy_skill_triggers!$A$1,0,0,COUNTA(enemy_skill_triggers!$A:$A),MATCH(I$1,enemy_skill_triggers!$1:$1,0)-MATCH($F$1,enemy_skill_triggers!$1:$1,0)+1),MATCH(I$1,enemy_skill_triggers!$1:$1,0)-MATCH($F$1,enemy_skill_triggers!$1:$1,0)+1,FALSE)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1" s="48" t="str">
        <f ca="1">VLOOKUP($F21,OFFSET(enemy_skill_triggers!$A$1,0,0,COUNTA(enemy_skill_triggers!$A:$A),MATCH(J$1,enemy_skill_triggers!$1:$1,0)-MATCH($F$1,enemy_skill_triggers!$1:$1,0)+1),MATCH(J$1,enemy_skill_triggers!$1:$1,0)-MATCH($F$1,enemy_skill_triggers!$1:$1,0)+1,FALSE)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1" s="48" t="str">
        <f ca="1">VLOOKUP($F21,OFFSET(enemy_skill_triggers!$A$1,0,0,COUNTA(enemy_skill_triggers!$A:$A),MATCH(K$1,enemy_skill_triggers!$1:$1,0)-MATCH($F$1,enemy_skill_triggers!$1:$1,0)+1),MATCH(K$1,enemy_skill_triggers!$1:$1,0)-MATCH($F$1,enemy_skill_triggers!$1:$1,0)+1,FALSE)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1" s="48" t="str">
        <f ca="1">VLOOKUP($F21,OFFSET(enemy_skill_triggers!$A$1,0,0,COUNTA(enemy_skill_triggers!$A:$A),MATCH(L$1,enemy_skill_triggers!$1:$1,0)-MATCH($F$1,enemy_skill_triggers!$1:$1,0)+1),MATCH(L$1,enemy_skill_triggers!$1:$1,0)-MATCH($F$1,enemy_skill_triggers!$1:$1,0)+1,FALSE)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1" s="48" t="str">
        <f ca="1">VLOOKUP($F21,OFFSET(enemy_skill_triggers!$A$1,0,0,COUNTA(enemy_skill_triggers!$A:$A),MATCH(M$1,enemy_skill_triggers!$1:$1,0)-MATCH($F$1,enemy_skill_triggers!$1:$1,0)+1),MATCH(M$1,enemy_skill_triggers!$1:$1,0)-MATCH($F$1,enemy_skill_triggers!$1:$1,0)+1,FALSE)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1" s="48" t="str">
        <f ca="1">VLOOKUP($F21,OFFSET(enemy_skill_triggers!$A$1,0,0,COUNTA(enemy_skill_triggers!$A:$A),MATCH(N$1,enemy_skill_triggers!$1:$1,0)-MATCH($F$1,enemy_skill_triggers!$1:$1,0)+1),MATCH(N$1,enemy_skill_triggers!$1:$1,0)-MATCH($F$1,enemy_skill_triggers!$1:$1,0)+1,FALSE)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1" s="48">
        <f ca="1">VLOOKUP($F21,OFFSET(enemy_skill_triggers!$A$1,0,0,COUNTA(enemy_skill_triggers!$A:$A),MATCH(O$1,enemy_skill_triggers!$1:$1,0)-MATCH($F$1,enemy_skill_triggers!$1:$1,0)+1),MATCH(O$1,enemy_skill_triggers!$1:$1,0)-MATCH($F$1,enemy_skill_triggers!$1:$1,0)+1,FALSE)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1" s="47"/>
      <c r="Q21" s="47"/>
      <c r="R21" s="47"/>
    </row>
    <row r="22" spans="1:18" ht="21" customHeight="1" x14ac:dyDescent="0.15">
      <c r="A22" s="39" t="str">
        <f t="shared" si="7"/>
        <v>47016100_47016106</v>
      </c>
      <c r="B22" s="106">
        <v>47016100</v>
      </c>
      <c r="C22" s="106">
        <v>47016106</v>
      </c>
      <c r="D22" s="46" t="str">
        <f ca="1">VLOOKUP($C22,OFFSET(enemy_skills!$A$1,0,0,COUNTA(enemy_skills!$A:$A),MATCH(D$1,enemy_skills!$1:$1,0)-MATCH("enemy_skill_id",enemy_skills!$1:$1,0)+1),MATCH(D$1,enemy_skills!$1:$1,0)-MATCH("enemy_skill_id",enemy_skills!$1:$1,0)+1,FALSE)</f>
        <v>さぁ、熱くなってきたな…</v>
      </c>
      <c r="E22" s="46" t="str">
        <f ca="1">VLOOKUP($C22,OFFSET(enemy_skills!$A$1,0,0,COUNTA(enemy_skills!$A:$A),MATCH(E$1,enemy_skills!$1:$1,0)-MATCH("enemy_skill_id",enemy_skills!$1:$1,0)+1),MATCH(E$1,enemy_skills!$1:$1,0)-MATCH("enemy_skill_id",enemy_skills!$1:$1,0)+1,FALSE)</f>
        <v>属性パネルを赤パネルに5個変換+_x000D_単体攻撃+1ターン行動頻度UP</v>
      </c>
      <c r="F22" s="47">
        <v>47016118</v>
      </c>
      <c r="G22" s="48">
        <f ca="1">VLOOKUP($F22,OFFSET(enemy_skill_triggers!$A$1,0,0,COUNTA(enemy_skill_triggers!$A:$A),MATCH(G$1,enemy_skill_triggers!$1:$1,0)-MATCH($F$1,enemy_skill_triggers!$1:$1,0)+1),MATCH(G$1,enemy_skill_triggers!$1:$1,0)-MATCH($F$1,enemy_skill_triggers!$1:$1,0)+1,FALSE)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2" s="48">
        <f ca="1">VLOOKUP($F22,OFFSET(enemy_skill_triggers!$A$1,0,0,COUNTA(enemy_skill_triggers!$A:$A),MATCH(H$1,enemy_skill_triggers!$1:$1,0)-MATCH($F$1,enemy_skill_triggers!$1:$1,0)+1),MATCH(H$1,enemy_skill_triggers!$1:$1,0)-MATCH($F$1,enemy_skill_triggers!$1:$1,0)+1,FALSE)</f>
        <v>110</v>
      </c>
      <c r="I22" s="48">
        <f ca="1">VLOOKUP($F22,OFFSET(enemy_skill_triggers!$A$1,0,0,COUNTA(enemy_skill_triggers!$A:$A),MATCH(I$1,enemy_skill_triggers!$1:$1,0)-MATCH($F$1,enemy_skill_triggers!$1:$1,0)+1),MATCH(I$1,enemy_skill_triggers!$1:$1,0)-MATCH($F$1,enemy_skill_triggers!$1:$1,0)+1,FALSE)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22" s="48" t="str">
        <f ca="1">VLOOKUP($F22,OFFSET(enemy_skill_triggers!$A$1,0,0,COUNTA(enemy_skill_triggers!$A:$A),MATCH(J$1,enemy_skill_triggers!$1:$1,0)-MATCH($F$1,enemy_skill_triggers!$1:$1,0)+1),MATCH(J$1,enemy_skill_triggers!$1:$1,0)-MATCH($F$1,enemy_skill_triggers!$1:$1,0)+1,FALSE)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2" s="48" t="str">
        <f ca="1">VLOOKUP($F22,OFFSET(enemy_skill_triggers!$A$1,0,0,COUNTA(enemy_skill_triggers!$A:$A),MATCH(K$1,enemy_skill_triggers!$1:$1,0)-MATCH($F$1,enemy_skill_triggers!$1:$1,0)+1),MATCH(K$1,enemy_skill_triggers!$1:$1,0)-MATCH($F$1,enemy_skill_triggers!$1:$1,0)+1,FALSE)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2" s="48" t="str">
        <f ca="1">VLOOKUP($F22,OFFSET(enemy_skill_triggers!$A$1,0,0,COUNTA(enemy_skill_triggers!$A:$A),MATCH(L$1,enemy_skill_triggers!$1:$1,0)-MATCH($F$1,enemy_skill_triggers!$1:$1,0)+1),MATCH(L$1,enemy_skill_triggers!$1:$1,0)-MATCH($F$1,enemy_skill_triggers!$1:$1,0)+1,FALSE)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2" s="48" t="str">
        <f ca="1">VLOOKUP($F22,OFFSET(enemy_skill_triggers!$A$1,0,0,COUNTA(enemy_skill_triggers!$A:$A),MATCH(M$1,enemy_skill_triggers!$1:$1,0)-MATCH($F$1,enemy_skill_triggers!$1:$1,0)+1),MATCH(M$1,enemy_skill_triggers!$1:$1,0)-MATCH($F$1,enemy_skill_triggers!$1:$1,0)+1,FALSE)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2" s="48" t="str">
        <f ca="1">VLOOKUP($F22,OFFSET(enemy_skill_triggers!$A$1,0,0,COUNTA(enemy_skill_triggers!$A:$A),MATCH(N$1,enemy_skill_triggers!$1:$1,0)-MATCH($F$1,enemy_skill_triggers!$1:$1,0)+1),MATCH(N$1,enemy_skill_triggers!$1:$1,0)-MATCH($F$1,enemy_skill_triggers!$1:$1,0)+1,FALSE)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2" s="48">
        <f ca="1">VLOOKUP($F22,OFFSET(enemy_skill_triggers!$A$1,0,0,COUNTA(enemy_skill_triggers!$A:$A),MATCH(O$1,enemy_skill_triggers!$1:$1,0)-MATCH($F$1,enemy_skill_triggers!$1:$1,0)+1),MATCH(O$1,enemy_skill_triggers!$1:$1,0)-MATCH($F$1,enemy_skill_triggers!$1:$1,0)+1,FALSE)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22" s="47"/>
      <c r="Q22" s="47"/>
      <c r="R22" s="47"/>
    </row>
    <row r="23" spans="1:18" ht="21" customHeight="1" x14ac:dyDescent="0.15">
      <c r="A23" s="39" t="str">
        <f t="shared" si="7"/>
        <v>47016100_47016107</v>
      </c>
      <c r="B23" s="106">
        <v>47016100</v>
      </c>
      <c r="C23" s="106">
        <v>47016107</v>
      </c>
      <c r="D23" s="46" t="str">
        <f ca="1">VLOOKUP($C23,OFFSET(enemy_skills!$A$1,0,0,COUNTA(enemy_skills!$A:$A),MATCH(D$1,enemy_skills!$1:$1,0)-MATCH("enemy_skill_id",enemy_skills!$1:$1,0)+1),MATCH(D$1,enemy_skills!$1:$1,0)-MATCH("enemy_skill_id",enemy_skills!$1:$1,0)+1,FALSE)</f>
        <v>邪魔しないでくれよ…！</v>
      </c>
      <c r="E23" s="46" t="str">
        <f ca="1">VLOOKUP($C23,OFFSET(enemy_skills!$A$1,0,0,COUNTA(enemy_skills!$A:$A),MATCH(E$1,enemy_skills!$1:$1,0)-MATCH("enemy_skill_id",enemy_skills!$1:$1,0)+1),MATCH(E$1,enemy_skills!$1:$1,0)-MATCH("enemy_skill_id",enemy_skills!$1:$1,0)+1,FALSE)</f>
        <v>3ターン全ユニットの攻撃力50%DOWN+単体攻撃</v>
      </c>
      <c r="F23" s="47">
        <v>47016120</v>
      </c>
      <c r="G23" s="48">
        <f ca="1">VLOOKUP($F23,OFFSET(enemy_skill_triggers!$A$1,0,0,COUNTA(enemy_skill_triggers!$A:$A),MATCH(G$1,enemy_skill_triggers!$1:$1,0)-MATCH($F$1,enemy_skill_triggers!$1:$1,0)+1),MATCH(G$1,enemy_skill_triggers!$1:$1,0)-MATCH($F$1,enemy_skill_triggers!$1:$1,0)+1,FALSE)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3" s="48">
        <f ca="1">VLOOKUP($F23,OFFSET(enemy_skill_triggers!$A$1,0,0,COUNTA(enemy_skill_triggers!$A:$A),MATCH(H$1,enemy_skill_triggers!$1:$1,0)-MATCH($F$1,enemy_skill_triggers!$1:$1,0)+1),MATCH(H$1,enemy_skill_triggers!$1:$1,0)-MATCH($F$1,enemy_skill_triggers!$1:$1,0)+1,FALSE)</f>
        <v>340</v>
      </c>
      <c r="I23" s="48">
        <f ca="1">VLOOKUP($F23,OFFSET(enemy_skill_triggers!$A$1,0,0,COUNTA(enemy_skill_triggers!$A:$A),MATCH(I$1,enemy_skill_triggers!$1:$1,0)-MATCH($F$1,enemy_skill_triggers!$1:$1,0)+1),MATCH(I$1,enemy_skill_triggers!$1:$1,0)-MATCH($F$1,enemy_skill_triggers!$1:$1,0)+1,FALSE)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3" s="48">
        <f ca="1">VLOOKUP($F23,OFFSET(enemy_skill_triggers!$A$1,0,0,COUNTA(enemy_skill_triggers!$A:$A),MATCH(J$1,enemy_skill_triggers!$1:$1,0)-MATCH($F$1,enemy_skill_triggers!$1:$1,0)+1),MATCH(J$1,enemy_skill_triggers!$1:$1,0)-MATCH($F$1,enemy_skill_triggers!$1:$1,0)+1,FALSE)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23" s="48" t="str">
        <f ca="1">VLOOKUP($F23,OFFSET(enemy_skill_triggers!$A$1,0,0,COUNTA(enemy_skill_triggers!$A:$A),MATCH(K$1,enemy_skill_triggers!$1:$1,0)-MATCH($F$1,enemy_skill_triggers!$1:$1,0)+1),MATCH(K$1,enemy_skill_triggers!$1:$1,0)-MATCH($F$1,enemy_skill_triggers!$1:$1,0)+1,FALSE)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3" s="48">
        <f ca="1">VLOOKUP($F23,OFFSET(enemy_skill_triggers!$A$1,0,0,COUNTA(enemy_skill_triggers!$A:$A),MATCH(L$1,enemy_skill_triggers!$1:$1,0)-MATCH($F$1,enemy_skill_triggers!$1:$1,0)+1),MATCH(L$1,enemy_skill_triggers!$1:$1,0)-MATCH($F$1,enemy_skill_triggers!$1:$1,0)+1,FALSE)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3" s="48" t="str">
        <f ca="1">VLOOKUP($F23,OFFSET(enemy_skill_triggers!$A$1,0,0,COUNTA(enemy_skill_triggers!$A:$A),MATCH(M$1,enemy_skill_triggers!$1:$1,0)-MATCH($F$1,enemy_skill_triggers!$1:$1,0)+1),MATCH(M$1,enemy_skill_triggers!$1:$1,0)-MATCH($F$1,enemy_skill_triggers!$1:$1,0)+1,FALSE)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3" s="48" t="str">
        <f ca="1">VLOOKUP($F23,OFFSET(enemy_skill_triggers!$A$1,0,0,COUNTA(enemy_skill_triggers!$A:$A),MATCH(N$1,enemy_skill_triggers!$1:$1,0)-MATCH($F$1,enemy_skill_triggers!$1:$1,0)+1),MATCH(N$1,enemy_skill_triggers!$1:$1,0)-MATCH($F$1,enemy_skill_triggers!$1:$1,0)+1,FALSE)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3" s="48">
        <f ca="1">VLOOKUP($F23,OFFSET(enemy_skill_triggers!$A$1,0,0,COUNTA(enemy_skill_triggers!$A:$A),MATCH(O$1,enemy_skill_triggers!$1:$1,0)-MATCH($F$1,enemy_skill_triggers!$1:$1,0)+1),MATCH(O$1,enemy_skill_triggers!$1:$1,0)-MATCH($F$1,enemy_skill_triggers!$1:$1,0)+1,FALSE)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3" s="47"/>
      <c r="Q23" s="47"/>
      <c r="R23" s="47"/>
    </row>
    <row r="24" spans="1:18" ht="21" customHeight="1" x14ac:dyDescent="0.15">
      <c r="A24" s="39" t="str">
        <f t="shared" si="7"/>
        <v>47016101_47016109</v>
      </c>
      <c r="B24" s="110">
        <v>47016101</v>
      </c>
      <c r="C24" s="110">
        <v>47016109</v>
      </c>
      <c r="D24" s="46" t="str">
        <f ca="1">VLOOKUP($C24,OFFSET(enemy_skills!$A$1,0,0,COUNTA(enemy_skills!$A:$A),MATCH(D$1,enemy_skills!$1:$1,0)-MATCH("enemy_skill_id",enemy_skills!$1:$1,0)+1),MATCH(D$1,enemy_skills!$1:$1,0)-MATCH("enemy_skill_id",enemy_skills!$1:$1,0)+1,FALSE)</f>
        <v>お、音につられて来ちゃいました…</v>
      </c>
      <c r="E24" s="46" t="str">
        <f ca="1">VLOOKUP($C24,OFFSET(enemy_skills!$A$1,0,0,COUNTA(enemy_skills!$A:$A),MATCH(E$1,enemy_skills!$1:$1,0)-MATCH("enemy_skill_id",enemy_skills!$1:$1,0)+1),MATCH(E$1,enemy_skills!$1:$1,0)-MATCH("enemy_skill_id",enemy_skills!$1:$1,0)+1,FALSE)</f>
        <v>あ…アサガオのブーケ、どうぞ！_x000D_【特定エリアを青・ハートパネルに変換+_x000D_　青・ハートパネルプロテクト(最大5個ずつ)】</v>
      </c>
      <c r="F24" s="47">
        <v>47016122</v>
      </c>
      <c r="G24" s="48">
        <f ca="1">VLOOKUP($F24,OFFSET(enemy_skill_triggers!$A$1,0,0,COUNTA(enemy_skill_triggers!$A:$A),MATCH(G$1,enemy_skill_triggers!$1:$1,0)-MATCH($F$1,enemy_skill_triggers!$1:$1,0)+1),MATCH(G$1,enemy_skill_triggers!$1:$1,0)-MATCH($F$1,enemy_skill_triggers!$1:$1,0)+1,FALSE)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4" s="48">
        <f ca="1">VLOOKUP($F24,OFFSET(enemy_skill_triggers!$A$1,0,0,COUNTA(enemy_skill_triggers!$A:$A),MATCH(H$1,enemy_skill_triggers!$1:$1,0)-MATCH($F$1,enemy_skill_triggers!$1:$1,0)+1),MATCH(H$1,enemy_skill_triggers!$1:$1,0)-MATCH($F$1,enemy_skill_triggers!$1:$1,0)+1,FALSE)</f>
        <v>350</v>
      </c>
      <c r="I24" s="48">
        <f ca="1">VLOOKUP($F24,OFFSET(enemy_skill_triggers!$A$1,0,0,COUNTA(enemy_skill_triggers!$A:$A),MATCH(I$1,enemy_skill_triggers!$1:$1,0)-MATCH($F$1,enemy_skill_triggers!$1:$1,0)+1),MATCH(I$1,enemy_skill_triggers!$1:$1,0)-MATCH($F$1,enemy_skill_triggers!$1:$1,0)+1,FALSE)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4" s="48" t="str">
        <f ca="1">VLOOKUP($F24,OFFSET(enemy_skill_triggers!$A$1,0,0,COUNTA(enemy_skill_triggers!$A:$A),MATCH(J$1,enemy_skill_triggers!$1:$1,0)-MATCH($F$1,enemy_skill_triggers!$1:$1,0)+1),MATCH(J$1,enemy_skill_triggers!$1:$1,0)-MATCH($F$1,enemy_skill_triggers!$1:$1,0)+1,FALSE)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4" s="48" t="str">
        <f ca="1">VLOOKUP($F24,OFFSET(enemy_skill_triggers!$A$1,0,0,COUNTA(enemy_skill_triggers!$A:$A),MATCH(K$1,enemy_skill_triggers!$1:$1,0)-MATCH($F$1,enemy_skill_triggers!$1:$1,0)+1),MATCH(K$1,enemy_skill_triggers!$1:$1,0)-MATCH($F$1,enemy_skill_triggers!$1:$1,0)+1,FALSE)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4" s="48">
        <f ca="1">VLOOKUP($F24,OFFSET(enemy_skill_triggers!$A$1,0,0,COUNTA(enemy_skill_triggers!$A:$A),MATCH(L$1,enemy_skill_triggers!$1:$1,0)-MATCH($F$1,enemy_skill_triggers!$1:$1,0)+1),MATCH(L$1,enemy_skill_triggers!$1:$1,0)-MATCH($F$1,enemy_skill_triggers!$1:$1,0)+1,FALSE)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4" s="48" t="str">
        <f ca="1">VLOOKUP($F24,OFFSET(enemy_skill_triggers!$A$1,0,0,COUNTA(enemy_skill_triggers!$A:$A),MATCH(M$1,enemy_skill_triggers!$1:$1,0)-MATCH($F$1,enemy_skill_triggers!$1:$1,0)+1),MATCH(M$1,enemy_skill_triggers!$1:$1,0)-MATCH($F$1,enemy_skill_triggers!$1:$1,0)+1,FALSE)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4" s="48" t="str">
        <f ca="1">VLOOKUP($F24,OFFSET(enemy_skill_triggers!$A$1,0,0,COUNTA(enemy_skill_triggers!$A:$A),MATCH(N$1,enemy_skill_triggers!$1:$1,0)-MATCH($F$1,enemy_skill_triggers!$1:$1,0)+1),MATCH(N$1,enemy_skill_triggers!$1:$1,0)-MATCH($F$1,enemy_skill_triggers!$1:$1,0)+1,FALSE)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4" s="48">
        <f ca="1">VLOOKUP($F24,OFFSET(enemy_skill_triggers!$A$1,0,0,COUNTA(enemy_skill_triggers!$A:$A),MATCH(O$1,enemy_skill_triggers!$1:$1,0)-MATCH($F$1,enemy_skill_triggers!$1:$1,0)+1),MATCH(O$1,enemy_skill_triggers!$1:$1,0)-MATCH($F$1,enemy_skill_triggers!$1:$1,0)+1,FALSE)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4" s="47"/>
      <c r="Q24" s="47"/>
      <c r="R24" s="47"/>
    </row>
    <row r="25" spans="1:18" ht="21" customHeight="1" x14ac:dyDescent="0.15">
      <c r="A25" s="39" t="str">
        <f t="shared" si="7"/>
        <v>47016101_47016110</v>
      </c>
      <c r="B25" s="110">
        <v>47016101</v>
      </c>
      <c r="C25" s="110">
        <v>47016110</v>
      </c>
      <c r="D25" s="46" t="str">
        <f ca="1">VLOOKUP($C25,OFFSET(enemy_skills!$A$1,0,0,COUNTA(enemy_skills!$A:$A),MATCH(D$1,enemy_skills!$1:$1,0)-MATCH("enemy_skill_id",enemy_skills!$1:$1,0)+1),MATCH(D$1,enemy_skills!$1:$1,0)-MATCH("enemy_skill_id",enemy_skills!$1:$1,0)+1,FALSE)</f>
        <v>ひゃあっ！こ、怖いです〜！</v>
      </c>
      <c r="E25" s="46" t="str">
        <f ca="1">VLOOKUP($C25,OFFSET(enemy_skills!$A$1,0,0,COUNTA(enemy_skills!$A:$A),MATCH(E$1,enemy_skills!$1:$1,0)-MATCH("enemy_skill_id",enemy_skills!$1:$1,0)+1),MATCH(E$1,enemy_skills!$1:$1,0)-MATCH("enemy_skill_id",enemy_skills!$1:$1,0)+1,FALSE)</f>
        <v>赤・黄パネルプロテクト(最大6個ずつ)+_x000D_残りHPの40%ダメージ！</v>
      </c>
      <c r="F25" s="47">
        <v>47016123</v>
      </c>
      <c r="G25" s="48">
        <f ca="1">VLOOKUP($F25,OFFSET(enemy_skill_triggers!$A$1,0,0,COUNTA(enemy_skill_triggers!$A:$A),MATCH(G$1,enemy_skill_triggers!$1:$1,0)-MATCH($F$1,enemy_skill_triggers!$1:$1,0)+1),MATCH(G$1,enemy_skill_triggers!$1:$1,0)-MATCH($F$1,enemy_skill_triggers!$1:$1,0)+1,FALSE)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5" s="48">
        <f ca="1">VLOOKUP($F25,OFFSET(enemy_skill_triggers!$A$1,0,0,COUNTA(enemy_skill_triggers!$A:$A),MATCH(H$1,enemy_skill_triggers!$1:$1,0)-MATCH($F$1,enemy_skill_triggers!$1:$1,0)+1),MATCH(H$1,enemy_skill_triggers!$1:$1,0)-MATCH($F$1,enemy_skill_triggers!$1:$1,0)+1,FALSE)</f>
        <v>300</v>
      </c>
      <c r="I25" s="48">
        <f ca="1">VLOOKUP($F25,OFFSET(enemy_skill_triggers!$A$1,0,0,COUNTA(enemy_skill_triggers!$A:$A),MATCH(I$1,enemy_skill_triggers!$1:$1,0)-MATCH($F$1,enemy_skill_triggers!$1:$1,0)+1),MATCH(I$1,enemy_skill_triggers!$1:$1,0)-MATCH($F$1,enemy_skill_triggers!$1:$1,0)+1,FALSE)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5" s="48" t="str">
        <f ca="1">VLOOKUP($F25,OFFSET(enemy_skill_triggers!$A$1,0,0,COUNTA(enemy_skill_triggers!$A:$A),MATCH(J$1,enemy_skill_triggers!$1:$1,0)-MATCH($F$1,enemy_skill_triggers!$1:$1,0)+1),MATCH(J$1,enemy_skill_triggers!$1:$1,0)-MATCH($F$1,enemy_skill_triggers!$1:$1,0)+1,FALSE)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5" s="48" t="str">
        <f ca="1">VLOOKUP($F25,OFFSET(enemy_skill_triggers!$A$1,0,0,COUNTA(enemy_skill_triggers!$A:$A),MATCH(K$1,enemy_skill_triggers!$1:$1,0)-MATCH($F$1,enemy_skill_triggers!$1:$1,0)+1),MATCH(K$1,enemy_skill_triggers!$1:$1,0)-MATCH($F$1,enemy_skill_triggers!$1:$1,0)+1,FALSE)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5" s="48">
        <f ca="1">VLOOKUP($F25,OFFSET(enemy_skill_triggers!$A$1,0,0,COUNTA(enemy_skill_triggers!$A:$A),MATCH(L$1,enemy_skill_triggers!$1:$1,0)-MATCH($F$1,enemy_skill_triggers!$1:$1,0)+1),MATCH(L$1,enemy_skill_triggers!$1:$1,0)-MATCH($F$1,enemy_skill_triggers!$1:$1,0)+1,FALSE)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5" s="48">
        <f ca="1">VLOOKUP($F25,OFFSET(enemy_skill_triggers!$A$1,0,0,COUNTA(enemy_skill_triggers!$A:$A),MATCH(M$1,enemy_skill_triggers!$1:$1,0)-MATCH($F$1,enemy_skill_triggers!$1:$1,0)+1),MATCH(M$1,enemy_skill_triggers!$1:$1,0)-MATCH($F$1,enemy_skill_triggers!$1:$1,0)+1,FALSE)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25" s="48" t="str">
        <f ca="1">VLOOKUP($F25,OFFSET(enemy_skill_triggers!$A$1,0,0,COUNTA(enemy_skill_triggers!$A:$A),MATCH(N$1,enemy_skill_triggers!$1:$1,0)-MATCH($F$1,enemy_skill_triggers!$1:$1,0)+1),MATCH(N$1,enemy_skill_triggers!$1:$1,0)-MATCH($F$1,enemy_skill_triggers!$1:$1,0)+1,FALSE)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5" s="48">
        <f ca="1">VLOOKUP($F25,OFFSET(enemy_skill_triggers!$A$1,0,0,COUNTA(enemy_skill_triggers!$A:$A),MATCH(O$1,enemy_skill_triggers!$1:$1,0)-MATCH($F$1,enemy_skill_triggers!$1:$1,0)+1),MATCH(O$1,enemy_skill_triggers!$1:$1,0)-MATCH($F$1,enemy_skill_triggers!$1:$1,0)+1,FALSE)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5" s="47"/>
      <c r="Q25" s="47"/>
      <c r="R25" s="47"/>
    </row>
    <row r="26" spans="1:18" ht="21" customHeight="1" x14ac:dyDescent="0.15">
      <c r="A26" s="39" t="str">
        <f t="shared" si="7"/>
        <v>47016101_47016111</v>
      </c>
      <c r="B26" s="110">
        <v>47016101</v>
      </c>
      <c r="C26" s="110">
        <v>47016111</v>
      </c>
      <c r="D26" s="46" t="str">
        <f ca="1">VLOOKUP($C26,OFFSET(enemy_skills!$A$1,0,0,COUNTA(enemy_skills!$A:$A),MATCH(D$1,enemy_skills!$1:$1,0)-MATCH("enemy_skill_id",enemy_skills!$1:$1,0)+1),MATCH(D$1,enemy_skills!$1:$1,0)-MATCH("enemy_skill_id",enemy_skills!$1:$1,0)+1,FALSE)</f>
        <v>この音なんなんですか〜！</v>
      </c>
      <c r="E26" s="46" t="str">
        <f ca="1">VLOOKUP($C26,OFFSET(enemy_skills!$A$1,0,0,COUNTA(enemy_skills!$A:$A),MATCH(E$1,enemy_skills!$1:$1,0)-MATCH("enemy_skill_id",enemy_skills!$1:$1,0)+1),MATCH(E$1,enemy_skills!$1:$1,0)-MATCH("enemy_skill_id",enemy_skills!$1:$1,0)+1,FALSE)</f>
        <v>属性パネルを青パネルに5個変換+_x000D_2回連続攻撃</v>
      </c>
      <c r="F26" s="47">
        <v>47016124</v>
      </c>
      <c r="G26" s="48">
        <f ca="1">VLOOKUP($F26,OFFSET(enemy_skill_triggers!$A$1,0,0,COUNTA(enemy_skill_triggers!$A:$A),MATCH(G$1,enemy_skill_triggers!$1:$1,0)-MATCH($F$1,enemy_skill_triggers!$1:$1,0)+1),MATCH(G$1,enemy_skill_triggers!$1:$1,0)-MATCH($F$1,enemy_skill_triggers!$1:$1,0)+1,FALSE)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6" s="48">
        <f ca="1">VLOOKUP($F26,OFFSET(enemy_skill_triggers!$A$1,0,0,COUNTA(enemy_skill_triggers!$A:$A),MATCH(H$1,enemy_skill_triggers!$1:$1,0)-MATCH($F$1,enemy_skill_triggers!$1:$1,0)+1),MATCH(H$1,enemy_skill_triggers!$1:$1,0)-MATCH($F$1,enemy_skill_triggers!$1:$1,0)+1,FALSE)</f>
        <v>120</v>
      </c>
      <c r="I26" s="48">
        <f ca="1">VLOOKUP($F26,OFFSET(enemy_skill_triggers!$A$1,0,0,COUNTA(enemy_skill_triggers!$A:$A),MATCH(I$1,enemy_skill_triggers!$1:$1,0)-MATCH($F$1,enemy_skill_triggers!$1:$1,0)+1),MATCH(I$1,enemy_skill_triggers!$1:$1,0)-MATCH($F$1,enemy_skill_triggers!$1:$1,0)+1,FALSE)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26" s="48" t="str">
        <f ca="1">VLOOKUP($F26,OFFSET(enemy_skill_triggers!$A$1,0,0,COUNTA(enemy_skill_triggers!$A:$A),MATCH(J$1,enemy_skill_triggers!$1:$1,0)-MATCH($F$1,enemy_skill_triggers!$1:$1,0)+1),MATCH(J$1,enemy_skill_triggers!$1:$1,0)-MATCH($F$1,enemy_skill_triggers!$1:$1,0)+1,FALSE)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6" s="48">
        <f ca="1">VLOOKUP($F26,OFFSET(enemy_skill_triggers!$A$1,0,0,COUNTA(enemy_skill_triggers!$A:$A),MATCH(K$1,enemy_skill_triggers!$1:$1,0)-MATCH($F$1,enemy_skill_triggers!$1:$1,0)+1),MATCH(K$1,enemy_skill_triggers!$1:$1,0)-MATCH($F$1,enemy_skill_triggers!$1:$1,0)+1,FALSE)</f>
        <v>50</v>
      </c>
      <c r="L26" s="48" t="str">
        <f ca="1">VLOOKUP($F26,OFFSET(enemy_skill_triggers!$A$1,0,0,COUNTA(enemy_skill_triggers!$A:$A),MATCH(L$1,enemy_skill_triggers!$1:$1,0)-MATCH($F$1,enemy_skill_triggers!$1:$1,0)+1),MATCH(L$1,enemy_skill_triggers!$1:$1,0)-MATCH($F$1,enemy_skill_triggers!$1:$1,0)+1,FALSE)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6" s="48" t="str">
        <f ca="1">VLOOKUP($F26,OFFSET(enemy_skill_triggers!$A$1,0,0,COUNTA(enemy_skill_triggers!$A:$A),MATCH(M$1,enemy_skill_triggers!$1:$1,0)-MATCH($F$1,enemy_skill_triggers!$1:$1,0)+1),MATCH(M$1,enemy_skill_triggers!$1:$1,0)-MATCH($F$1,enemy_skill_triggers!$1:$1,0)+1,FALSE)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6" s="48" t="str">
        <f ca="1">VLOOKUP($F26,OFFSET(enemy_skill_triggers!$A$1,0,0,COUNTA(enemy_skill_triggers!$A:$A),MATCH(N$1,enemy_skill_triggers!$1:$1,0)-MATCH($F$1,enemy_skill_triggers!$1:$1,0)+1),MATCH(N$1,enemy_skill_triggers!$1:$1,0)-MATCH($F$1,enemy_skill_triggers!$1:$1,0)+1,FALSE)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6" s="48">
        <f ca="1">VLOOKUP($F26,OFFSET(enemy_skill_triggers!$A$1,0,0,COUNTA(enemy_skill_triggers!$A:$A),MATCH(O$1,enemy_skill_triggers!$1:$1,0)-MATCH($F$1,enemy_skill_triggers!$1:$1,0)+1),MATCH(O$1,enemy_skill_triggers!$1:$1,0)-MATCH($F$1,enemy_skill_triggers!$1:$1,0)+1,FALSE)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26" s="47"/>
      <c r="Q26" s="47"/>
      <c r="R26" s="47"/>
    </row>
    <row r="27" spans="1:18" ht="21" customHeight="1" x14ac:dyDescent="0.15">
      <c r="A27" s="39" t="str">
        <f t="shared" si="7"/>
        <v>47016101_47016112</v>
      </c>
      <c r="B27" s="110">
        <v>47016101</v>
      </c>
      <c r="C27" s="110">
        <v>47016112</v>
      </c>
      <c r="D27" s="46" t="str">
        <f ca="1">VLOOKUP($C27,OFFSET(enemy_skills!$A$1,0,0,COUNTA(enemy_skills!$A:$A),MATCH(D$1,enemy_skills!$1:$1,0)-MATCH("enemy_skill_id",enemy_skills!$1:$1,0)+1),MATCH(D$1,enemy_skills!$1:$1,0)-MATCH("enemy_skill_id",enemy_skills!$1:$1,0)+1,FALSE)</f>
        <v>うう、耳ふさぎたいです〜…</v>
      </c>
      <c r="E27" s="46" t="str">
        <f ca="1">VLOOKUP($C27,OFFSET(enemy_skills!$A$1,0,0,COUNTA(enemy_skills!$A:$A),MATCH(E$1,enemy_skills!$1:$1,0)-MATCH("enemy_skill_id",enemy_skills!$1:$1,0)+1),MATCH(E$1,enemy_skills!$1:$1,0)-MATCH("enemy_skill_id",enemy_skills!$1:$1,0)+1,FALSE)</f>
        <v>花束で耳を塞いでいる_x000D_【特定エリアを青・黄パネルに変換+_x000D_　1ターンユニット1～2体にスキルバインド+_x000D_　2回連続攻撃】</v>
      </c>
      <c r="F27" s="47">
        <v>47016125</v>
      </c>
      <c r="G27" s="48">
        <f ca="1">VLOOKUP($F27,OFFSET(enemy_skill_triggers!$A$1,0,0,COUNTA(enemy_skill_triggers!$A:$A),MATCH(G$1,enemy_skill_triggers!$1:$1,0)-MATCH($F$1,enemy_skill_triggers!$1:$1,0)+1),MATCH(G$1,enemy_skill_triggers!$1:$1,0)-MATCH($F$1,enemy_skill_triggers!$1:$1,0)+1,FALSE)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7" s="48">
        <f ca="1">VLOOKUP($F27,OFFSET(enemy_skill_triggers!$A$1,0,0,COUNTA(enemy_skill_triggers!$A:$A),MATCH(H$1,enemy_skill_triggers!$1:$1,0)-MATCH($F$1,enemy_skill_triggers!$1:$1,0)+1),MATCH(H$1,enemy_skill_triggers!$1:$1,0)-MATCH($F$1,enemy_skill_triggers!$1:$1,0)+1,FALSE)</f>
        <v>110</v>
      </c>
      <c r="I27" s="48">
        <f ca="1">VLOOKUP($F27,OFFSET(enemy_skill_triggers!$A$1,0,0,COUNTA(enemy_skill_triggers!$A:$A),MATCH(I$1,enemy_skill_triggers!$1:$1,0)-MATCH($F$1,enemy_skill_triggers!$1:$1,0)+1),MATCH(I$1,enemy_skill_triggers!$1:$1,0)-MATCH($F$1,enemy_skill_triggers!$1:$1,0)+1,FALSE)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7" s="48" t="str">
        <f ca="1">VLOOKUP($F27,OFFSET(enemy_skill_triggers!$A$1,0,0,COUNTA(enemy_skill_triggers!$A:$A),MATCH(J$1,enemy_skill_triggers!$1:$1,0)-MATCH($F$1,enemy_skill_triggers!$1:$1,0)+1),MATCH(J$1,enemy_skill_triggers!$1:$1,0)-MATCH($F$1,enemy_skill_triggers!$1:$1,0)+1,FALSE)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7" s="48">
        <f ca="1">VLOOKUP($F27,OFFSET(enemy_skill_triggers!$A$1,0,0,COUNTA(enemy_skill_triggers!$A:$A),MATCH(K$1,enemy_skill_triggers!$1:$1,0)-MATCH($F$1,enemy_skill_triggers!$1:$1,0)+1),MATCH(K$1,enemy_skill_triggers!$1:$1,0)-MATCH($F$1,enemy_skill_triggers!$1:$1,0)+1,FALSE)</f>
        <v>50</v>
      </c>
      <c r="L27" s="48" t="str">
        <f ca="1">VLOOKUP($F27,OFFSET(enemy_skill_triggers!$A$1,0,0,COUNTA(enemy_skill_triggers!$A:$A),MATCH(L$1,enemy_skill_triggers!$1:$1,0)-MATCH($F$1,enemy_skill_triggers!$1:$1,0)+1),MATCH(L$1,enemy_skill_triggers!$1:$1,0)-MATCH($F$1,enemy_skill_triggers!$1:$1,0)+1,FALSE)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7" s="48" t="str">
        <f ca="1">VLOOKUP($F27,OFFSET(enemy_skill_triggers!$A$1,0,0,COUNTA(enemy_skill_triggers!$A:$A),MATCH(M$1,enemy_skill_triggers!$1:$1,0)-MATCH($F$1,enemy_skill_triggers!$1:$1,0)+1),MATCH(M$1,enemy_skill_triggers!$1:$1,0)-MATCH($F$1,enemy_skill_triggers!$1:$1,0)+1,FALSE)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7" s="48" t="str">
        <f ca="1">VLOOKUP($F27,OFFSET(enemy_skill_triggers!$A$1,0,0,COUNTA(enemy_skill_triggers!$A:$A),MATCH(N$1,enemy_skill_triggers!$1:$1,0)-MATCH($F$1,enemy_skill_triggers!$1:$1,0)+1),MATCH(N$1,enemy_skill_triggers!$1:$1,0)-MATCH($F$1,enemy_skill_triggers!$1:$1,0)+1,FALSE)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7" s="48">
        <f ca="1">VLOOKUP($F27,OFFSET(enemy_skill_triggers!$A$1,0,0,COUNTA(enemy_skill_triggers!$A:$A),MATCH(O$1,enemy_skill_triggers!$1:$1,0)-MATCH($F$1,enemy_skill_triggers!$1:$1,0)+1),MATCH(O$1,enemy_skill_triggers!$1:$1,0)-MATCH($F$1,enemy_skill_triggers!$1:$1,0)+1,FALSE)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7" s="47"/>
      <c r="Q27" s="47"/>
      <c r="R27" s="47"/>
    </row>
    <row r="28" spans="1:18" ht="21" customHeight="1" x14ac:dyDescent="0.15">
      <c r="A28" s="39" t="str">
        <f t="shared" si="7"/>
        <v>47016101_47016113</v>
      </c>
      <c r="B28" s="110">
        <v>47016101</v>
      </c>
      <c r="C28" s="110">
        <v>47016113</v>
      </c>
      <c r="D28" s="46" t="str">
        <f ca="1">VLOOKUP($C28,OFFSET(enemy_skills!$A$1,0,0,COUNTA(enemy_skills!$A:$A),MATCH(D$1,enemy_skills!$1:$1,0)-MATCH("enemy_skill_id",enemy_skills!$1:$1,0)+1),MATCH(D$1,enemy_skills!$1:$1,0)-MATCH("enemy_skill_id",enemy_skills!$1:$1,0)+1,FALSE)</f>
        <v>そういえばプレゼントですよ〜</v>
      </c>
      <c r="E28" s="46" t="str">
        <f ca="1">VLOOKUP($C28,OFFSET(enemy_skills!$A$1,0,0,COUNTA(enemy_skills!$A:$A),MATCH(E$1,enemy_skills!$1:$1,0)-MATCH("enemy_skill_id",enemy_skills!$1:$1,0)+1),MATCH(E$1,enemy_skills!$1:$1,0)-MATCH("enemy_skill_id",enemy_skills!$1:$1,0)+1,FALSE)</f>
        <v>スイレンのブーケもあるんです〜_x000D_【特定エリアをハートパネルに変換】</v>
      </c>
      <c r="F28" s="47">
        <v>47016126</v>
      </c>
      <c r="G28" s="48">
        <f ca="1">VLOOKUP($F28,OFFSET(enemy_skill_triggers!$A$1,0,0,COUNTA(enemy_skill_triggers!$A:$A),MATCH(G$1,enemy_skill_triggers!$1:$1,0)-MATCH($F$1,enemy_skill_triggers!$1:$1,0)+1),MATCH(G$1,enemy_skill_triggers!$1:$1,0)-MATCH($F$1,enemy_skill_triggers!$1:$1,0)+1,FALSE)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8" s="48">
        <f ca="1">VLOOKUP($F28,OFFSET(enemy_skill_triggers!$A$1,0,0,COUNTA(enemy_skill_triggers!$A:$A),MATCH(H$1,enemy_skill_triggers!$1:$1,0)-MATCH($F$1,enemy_skill_triggers!$1:$1,0)+1),MATCH(H$1,enemy_skill_triggers!$1:$1,0)-MATCH($F$1,enemy_skill_triggers!$1:$1,0)+1,FALSE)</f>
        <v>230</v>
      </c>
      <c r="I28" s="48">
        <f ca="1">VLOOKUP($F28,OFFSET(enemy_skill_triggers!$A$1,0,0,COUNTA(enemy_skill_triggers!$A:$A),MATCH(I$1,enemy_skill_triggers!$1:$1,0)-MATCH($F$1,enemy_skill_triggers!$1:$1,0)+1),MATCH(I$1,enemy_skill_triggers!$1:$1,0)-MATCH($F$1,enemy_skill_triggers!$1:$1,0)+1,FALSE)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8" s="48">
        <f ca="1">VLOOKUP($F28,OFFSET(enemy_skill_triggers!$A$1,0,0,COUNTA(enemy_skill_triggers!$A:$A),MATCH(J$1,enemy_skill_triggers!$1:$1,0)-MATCH($F$1,enemy_skill_triggers!$1:$1,0)+1),MATCH(J$1,enemy_skill_triggers!$1:$1,0)-MATCH($F$1,enemy_skill_triggers!$1:$1,0)+1,FALSE)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28" s="48" t="str">
        <f ca="1">VLOOKUP($F28,OFFSET(enemy_skill_triggers!$A$1,0,0,COUNTA(enemy_skill_triggers!$A:$A),MATCH(K$1,enemy_skill_triggers!$1:$1,0)-MATCH($F$1,enemy_skill_triggers!$1:$1,0)+1),MATCH(K$1,enemy_skill_triggers!$1:$1,0)-MATCH($F$1,enemy_skill_triggers!$1:$1,0)+1,FALSE)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8" s="48">
        <f ca="1">VLOOKUP($F28,OFFSET(enemy_skill_triggers!$A$1,0,0,COUNTA(enemy_skill_triggers!$A:$A),MATCH(L$1,enemy_skill_triggers!$1:$1,0)-MATCH($F$1,enemy_skill_triggers!$1:$1,0)+1),MATCH(L$1,enemy_skill_triggers!$1:$1,0)-MATCH($F$1,enemy_skill_triggers!$1:$1,0)+1,FALSE)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8" s="48" t="str">
        <f ca="1">VLOOKUP($F28,OFFSET(enemy_skill_triggers!$A$1,0,0,COUNTA(enemy_skill_triggers!$A:$A),MATCH(M$1,enemy_skill_triggers!$1:$1,0)-MATCH($F$1,enemy_skill_triggers!$1:$1,0)+1),MATCH(M$1,enemy_skill_triggers!$1:$1,0)-MATCH($F$1,enemy_skill_triggers!$1:$1,0)+1,FALSE)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8" s="48" t="str">
        <f ca="1">VLOOKUP($F28,OFFSET(enemy_skill_triggers!$A$1,0,0,COUNTA(enemy_skill_triggers!$A:$A),MATCH(N$1,enemy_skill_triggers!$1:$1,0)-MATCH($F$1,enemy_skill_triggers!$1:$1,0)+1),MATCH(N$1,enemy_skill_triggers!$1:$1,0)-MATCH($F$1,enemy_skill_triggers!$1:$1,0)+1,FALSE)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8" s="48">
        <f ca="1">VLOOKUP($F28,OFFSET(enemy_skill_triggers!$A$1,0,0,COUNTA(enemy_skill_triggers!$A:$A),MATCH(O$1,enemy_skill_triggers!$1:$1,0)-MATCH($F$1,enemy_skill_triggers!$1:$1,0)+1),MATCH(O$1,enemy_skill_triggers!$1:$1,0)-MATCH($F$1,enemy_skill_triggers!$1:$1,0)+1,FALSE)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8" s="47"/>
      <c r="Q28" s="47"/>
      <c r="R28" s="47"/>
    </row>
    <row r="29" spans="1:18" ht="21" customHeight="1" x14ac:dyDescent="0.15">
      <c r="A29" s="39" t="str">
        <f t="shared" si="7"/>
        <v>47016101_47016114</v>
      </c>
      <c r="B29" s="110">
        <v>47016101</v>
      </c>
      <c r="C29" s="110">
        <v>47016114</v>
      </c>
      <c r="D29" s="46" t="str">
        <f ca="1">VLOOKUP($C29,OFFSET(enemy_skills!$A$1,0,0,COUNTA(enemy_skills!$A:$A),MATCH(D$1,enemy_skills!$1:$1,0)-MATCH("enemy_skill_id",enemy_skills!$1:$1,0)+1),MATCH(D$1,enemy_skills!$1:$1,0)-MATCH("enemy_skill_id",enemy_skills!$1:$1,0)+1,FALSE)</f>
        <v>き、聞き慣れない機械音ですね…</v>
      </c>
      <c r="E29" s="46" t="str">
        <f ca="1">VLOOKUP($C29,OFFSET(enemy_skills!$A$1,0,0,COUNTA(enemy_skills!$A:$A),MATCH(E$1,enemy_skills!$1:$1,0)-MATCH("enemy_skill_id",enemy_skills!$1:$1,0)+1),MATCH(E$1,enemy_skills!$1:$1,0)-MATCH("enemy_skill_id",enemy_skills!$1:$1,0)+1,FALSE)</f>
        <v>青パネルプロテクト+単体攻撃</v>
      </c>
      <c r="F29" s="47">
        <v>47016127</v>
      </c>
      <c r="G29" s="48">
        <f ca="1">VLOOKUP($F29,OFFSET(enemy_skill_triggers!$A$1,0,0,COUNTA(enemy_skill_triggers!$A:$A),MATCH(G$1,enemy_skill_triggers!$1:$1,0)-MATCH($F$1,enemy_skill_triggers!$1:$1,0)+1),MATCH(G$1,enemy_skill_triggers!$1:$1,0)-MATCH($F$1,enemy_skill_triggers!$1:$1,0)+1,FALSE)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9" s="48">
        <f ca="1">VLOOKUP($F29,OFFSET(enemy_skill_triggers!$A$1,0,0,COUNTA(enemy_skill_triggers!$A:$A),MATCH(H$1,enemy_skill_triggers!$1:$1,0)-MATCH($F$1,enemy_skill_triggers!$1:$1,0)+1),MATCH(H$1,enemy_skill_triggers!$1:$1,0)-MATCH($F$1,enemy_skill_triggers!$1:$1,0)+1,FALSE)</f>
        <v>220</v>
      </c>
      <c r="I29" s="48">
        <f ca="1">VLOOKUP($F29,OFFSET(enemy_skill_triggers!$A$1,0,0,COUNTA(enemy_skill_triggers!$A:$A),MATCH(I$1,enemy_skill_triggers!$1:$1,0)-MATCH($F$1,enemy_skill_triggers!$1:$1,0)+1),MATCH(I$1,enemy_skill_triggers!$1:$1,0)-MATCH($F$1,enemy_skill_triggers!$1:$1,0)+1,FALSE)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29" s="48">
        <f ca="1">VLOOKUP($F29,OFFSET(enemy_skill_triggers!$A$1,0,0,COUNTA(enemy_skill_triggers!$A:$A),MATCH(J$1,enemy_skill_triggers!$1:$1,0)-MATCH($F$1,enemy_skill_triggers!$1:$1,0)+1),MATCH(J$1,enemy_skill_triggers!$1:$1,0)-MATCH($F$1,enemy_skill_triggers!$1:$1,0)+1,FALSE)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29" s="48" t="str">
        <f ca="1">VLOOKUP($F29,OFFSET(enemy_skill_triggers!$A$1,0,0,COUNTA(enemy_skill_triggers!$A:$A),MATCH(K$1,enemy_skill_triggers!$1:$1,0)-MATCH($F$1,enemy_skill_triggers!$1:$1,0)+1),MATCH(K$1,enemy_skill_triggers!$1:$1,0)-MATCH($F$1,enemy_skill_triggers!$1:$1,0)+1,FALSE)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9" s="48" t="str">
        <f ca="1">VLOOKUP($F29,OFFSET(enemy_skill_triggers!$A$1,0,0,COUNTA(enemy_skill_triggers!$A:$A),MATCH(L$1,enemy_skill_triggers!$1:$1,0)-MATCH($F$1,enemy_skill_triggers!$1:$1,0)+1),MATCH(L$1,enemy_skill_triggers!$1:$1,0)-MATCH($F$1,enemy_skill_triggers!$1:$1,0)+1,FALSE)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9" s="48" t="str">
        <f ca="1">VLOOKUP($F29,OFFSET(enemy_skill_triggers!$A$1,0,0,COUNTA(enemy_skill_triggers!$A:$A),MATCH(M$1,enemy_skill_triggers!$1:$1,0)-MATCH($F$1,enemy_skill_triggers!$1:$1,0)+1),MATCH(M$1,enemy_skill_triggers!$1:$1,0)-MATCH($F$1,enemy_skill_triggers!$1:$1,0)+1,FALSE)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9" s="48" t="str">
        <f ca="1">VLOOKUP($F29,OFFSET(enemy_skill_triggers!$A$1,0,0,COUNTA(enemy_skill_triggers!$A:$A),MATCH(N$1,enemy_skill_triggers!$1:$1,0)-MATCH($F$1,enemy_skill_triggers!$1:$1,0)+1),MATCH(N$1,enemy_skill_triggers!$1:$1,0)-MATCH($F$1,enemy_skill_triggers!$1:$1,0)+1,FALSE)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9" s="48">
        <f ca="1">VLOOKUP($F29,OFFSET(enemy_skill_triggers!$A$1,0,0,COUNTA(enemy_skill_triggers!$A:$A),MATCH(O$1,enemy_skill_triggers!$1:$1,0)-MATCH($F$1,enemy_skill_triggers!$1:$1,0)+1),MATCH(O$1,enemy_skill_triggers!$1:$1,0)-MATCH($F$1,enemy_skill_triggers!$1:$1,0)+1,FALSE)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29" s="47"/>
      <c r="Q29" s="47"/>
      <c r="R29" s="47"/>
    </row>
    <row r="30" spans="1:18" ht="21" customHeight="1" x14ac:dyDescent="0.15">
      <c r="A30" s="39" t="str">
        <f t="shared" si="7"/>
        <v>47016101_47016115</v>
      </c>
      <c r="B30" s="110">
        <v>47016101</v>
      </c>
      <c r="C30" s="110">
        <v>47016115</v>
      </c>
      <c r="D30" s="46" t="str">
        <f ca="1">VLOOKUP($C30,OFFSET(enemy_skills!$A$1,0,0,COUNTA(enemy_skills!$A:$A),MATCH(D$1,enemy_skills!$1:$1,0)-MATCH("enemy_skill_id",enemy_skills!$1:$1,0)+1),MATCH(D$1,enemy_skills!$1:$1,0)-MATCH("enemy_skill_id",enemy_skills!$1:$1,0)+1,FALSE)</f>
        <v>わわ、音が大きいです…！</v>
      </c>
      <c r="E30" s="46" t="str">
        <f ca="1">VLOOKUP($C30,OFFSET(enemy_skills!$A$1,0,0,COUNTA(enemy_skills!$A:$A),MATCH(E$1,enemy_skills!$1:$1,0)-MATCH("enemy_skill_id",enemy_skills!$1:$1,0)+1),MATCH(E$1,enemy_skills!$1:$1,0)-MATCH("enemy_skill_id",enemy_skills!$1:$1,0)+1,FALSE)</f>
        <v>4回連続攻撃</v>
      </c>
      <c r="F30" s="47">
        <v>47016128</v>
      </c>
      <c r="G30" s="48">
        <f ca="1">VLOOKUP($F30,OFFSET(enemy_skill_triggers!$A$1,0,0,COUNTA(enemy_skill_triggers!$A:$A),MATCH(G$1,enemy_skill_triggers!$1:$1,0)-MATCH($F$1,enemy_skill_triggers!$1:$1,0)+1),MATCH(G$1,enemy_skill_triggers!$1:$1,0)-MATCH($F$1,enemy_skill_triggers!$1:$1,0)+1,FALSE)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0" s="48">
        <f ca="1">VLOOKUP($F30,OFFSET(enemy_skill_triggers!$A$1,0,0,COUNTA(enemy_skill_triggers!$A:$A),MATCH(H$1,enemy_skill_triggers!$1:$1,0)-MATCH($F$1,enemy_skill_triggers!$1:$1,0)+1),MATCH(H$1,enemy_skill_triggers!$1:$1,0)-MATCH($F$1,enemy_skill_triggers!$1:$1,0)+1,FALSE)</f>
        <v>210</v>
      </c>
      <c r="I30" s="48">
        <f ca="1">VLOOKUP($F30,OFFSET(enemy_skill_triggers!$A$1,0,0,COUNTA(enemy_skill_triggers!$A:$A),MATCH(I$1,enemy_skill_triggers!$1:$1,0)-MATCH($F$1,enemy_skill_triggers!$1:$1,0)+1),MATCH(I$1,enemy_skill_triggers!$1:$1,0)-MATCH($F$1,enemy_skill_triggers!$1:$1,0)+1,FALSE)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0" s="48">
        <f ca="1">VLOOKUP($F30,OFFSET(enemy_skill_triggers!$A$1,0,0,COUNTA(enemy_skill_triggers!$A:$A),MATCH(J$1,enemy_skill_triggers!$1:$1,0)-MATCH($F$1,enemy_skill_triggers!$1:$1,0)+1),MATCH(J$1,enemy_skill_triggers!$1:$1,0)-MATCH($F$1,enemy_skill_triggers!$1:$1,0)+1,FALSE)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30" s="48" t="str">
        <f ca="1">VLOOKUP($F30,OFFSET(enemy_skill_triggers!$A$1,0,0,COUNTA(enemy_skill_triggers!$A:$A),MATCH(K$1,enemy_skill_triggers!$1:$1,0)-MATCH($F$1,enemy_skill_triggers!$1:$1,0)+1),MATCH(K$1,enemy_skill_triggers!$1:$1,0)-MATCH($F$1,enemy_skill_triggers!$1:$1,0)+1,FALSE)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0" s="48" t="str">
        <f ca="1">VLOOKUP($F30,OFFSET(enemy_skill_triggers!$A$1,0,0,COUNTA(enemy_skill_triggers!$A:$A),MATCH(L$1,enemy_skill_triggers!$1:$1,0)-MATCH($F$1,enemy_skill_triggers!$1:$1,0)+1),MATCH(L$1,enemy_skill_triggers!$1:$1,0)-MATCH($F$1,enemy_skill_triggers!$1:$1,0)+1,FALSE)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0" s="48" t="str">
        <f ca="1">VLOOKUP($F30,OFFSET(enemy_skill_triggers!$A$1,0,0,COUNTA(enemy_skill_triggers!$A:$A),MATCH(M$1,enemy_skill_triggers!$1:$1,0)-MATCH($F$1,enemy_skill_triggers!$1:$1,0)+1),MATCH(M$1,enemy_skill_triggers!$1:$1,0)-MATCH($F$1,enemy_skill_triggers!$1:$1,0)+1,FALSE)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0" s="48" t="str">
        <f ca="1">VLOOKUP($F30,OFFSET(enemy_skill_triggers!$A$1,0,0,COUNTA(enemy_skill_triggers!$A:$A),MATCH(N$1,enemy_skill_triggers!$1:$1,0)-MATCH($F$1,enemy_skill_triggers!$1:$1,0)+1),MATCH(N$1,enemy_skill_triggers!$1:$1,0)-MATCH($F$1,enemy_skill_triggers!$1:$1,0)+1,FALSE)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0" s="48">
        <f ca="1">VLOOKUP($F30,OFFSET(enemy_skill_triggers!$A$1,0,0,COUNTA(enemy_skill_triggers!$A:$A),MATCH(O$1,enemy_skill_triggers!$1:$1,0)-MATCH($F$1,enemy_skill_triggers!$1:$1,0)+1),MATCH(O$1,enemy_skill_triggers!$1:$1,0)-MATCH($F$1,enemy_skill_triggers!$1:$1,0)+1,FALSE)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0" s="47"/>
      <c r="Q30" s="47"/>
      <c r="R30" s="47"/>
    </row>
    <row r="31" spans="1:18" ht="21" customHeight="1" x14ac:dyDescent="0.15">
      <c r="A31" s="39" t="str">
        <f t="shared" si="7"/>
        <v>47016102_47016116</v>
      </c>
      <c r="B31" s="107">
        <v>47016102</v>
      </c>
      <c r="C31" s="107">
        <v>47016116</v>
      </c>
      <c r="D31" s="46" t="str">
        <f ca="1">VLOOKUP($C31,OFFSET(enemy_skills!$A$1,0,0,COUNTA(enemy_skills!$A:$A),MATCH(D$1,enemy_skills!$1:$1,0)-MATCH("enemy_skill_id",enemy_skills!$1:$1,0)+1),MATCH(D$1,enemy_skills!$1:$1,0)-MATCH("enemy_skill_id",enemy_skills!$1:$1,0)+1,FALSE)</f>
        <v>え、あの音止めてくださるんですか…？</v>
      </c>
      <c r="E31" s="46" t="str">
        <f ca="1">VLOOKUP($C31,OFFSET(enemy_skills!$A$1,0,0,COUNTA(enemy_skills!$A:$A),MATCH(E$1,enemy_skills!$1:$1,0)-MATCH("enemy_skill_id",enemy_skills!$1:$1,0)+1),MATCH(E$1,enemy_skills!$1:$1,0)-MATCH("enemy_skill_id",enemy_skills!$1:$1,0)+1,FALSE)</f>
        <v>4ターンCパネル生成短縮(効果大)</v>
      </c>
      <c r="F31" s="47">
        <v>47016129</v>
      </c>
      <c r="G31" s="48">
        <f ca="1">VLOOKUP($F31,OFFSET(enemy_skill_triggers!$A$1,0,0,COUNTA(enemy_skill_triggers!$A:$A),MATCH(G$1,enemy_skill_triggers!$1:$1,0)-MATCH($F$1,enemy_skill_triggers!$1:$1,0)+1),MATCH(G$1,enemy_skill_triggers!$1:$1,0)-MATCH($F$1,enemy_skill_triggers!$1:$1,0)+1,FALSE)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1" s="48">
        <f ca="1">VLOOKUP($F31,OFFSET(enemy_skill_triggers!$A$1,0,0,COUNTA(enemy_skill_triggers!$A:$A),MATCH(H$1,enemy_skill_triggers!$1:$1,0)-MATCH($F$1,enemy_skill_triggers!$1:$1,0)+1),MATCH(H$1,enemy_skill_triggers!$1:$1,0)-MATCH($F$1,enemy_skill_triggers!$1:$1,0)+1,FALSE)</f>
        <v>500</v>
      </c>
      <c r="I31" s="48">
        <f ca="1">VLOOKUP($F31,OFFSET(enemy_skill_triggers!$A$1,0,0,COUNTA(enemy_skill_triggers!$A:$A),MATCH(I$1,enemy_skill_triggers!$1:$1,0)-MATCH($F$1,enemy_skill_triggers!$1:$1,0)+1),MATCH(I$1,enemy_skill_triggers!$1:$1,0)-MATCH($F$1,enemy_skill_triggers!$1:$1,0)+1,FALSE)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1" s="48" t="str">
        <f ca="1">VLOOKUP($F31,OFFSET(enemy_skill_triggers!$A$1,0,0,COUNTA(enemy_skill_triggers!$A:$A),MATCH(J$1,enemy_skill_triggers!$1:$1,0)-MATCH($F$1,enemy_skill_triggers!$1:$1,0)+1),MATCH(J$1,enemy_skill_triggers!$1:$1,0)-MATCH($F$1,enemy_skill_triggers!$1:$1,0)+1,FALSE)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1" s="48" t="str">
        <f ca="1">VLOOKUP($F31,OFFSET(enemy_skill_triggers!$A$1,0,0,COUNTA(enemy_skill_triggers!$A:$A),MATCH(K$1,enemy_skill_triggers!$1:$1,0)-MATCH($F$1,enemy_skill_triggers!$1:$1,0)+1),MATCH(K$1,enemy_skill_triggers!$1:$1,0)-MATCH($F$1,enemy_skill_triggers!$1:$1,0)+1,FALSE)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1" s="48">
        <f ca="1">VLOOKUP($F31,OFFSET(enemy_skill_triggers!$A$1,0,0,COUNTA(enemy_skill_triggers!$A:$A),MATCH(L$1,enemy_skill_triggers!$1:$1,0)-MATCH($F$1,enemy_skill_triggers!$1:$1,0)+1),MATCH(L$1,enemy_skill_triggers!$1:$1,0)-MATCH($F$1,enemy_skill_triggers!$1:$1,0)+1,FALSE)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1" s="48" t="str">
        <f ca="1">VLOOKUP($F31,OFFSET(enemy_skill_triggers!$A$1,0,0,COUNTA(enemy_skill_triggers!$A:$A),MATCH(M$1,enemy_skill_triggers!$1:$1,0)-MATCH($F$1,enemy_skill_triggers!$1:$1,0)+1),MATCH(M$1,enemy_skill_triggers!$1:$1,0)-MATCH($F$1,enemy_skill_triggers!$1:$1,0)+1,FALSE)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1" s="48">
        <f ca="1">VLOOKUP($F31,OFFSET(enemy_skill_triggers!$A$1,0,0,COUNTA(enemy_skill_triggers!$A:$A),MATCH(N$1,enemy_skill_triggers!$1:$1,0)-MATCH($F$1,enemy_skill_triggers!$1:$1,0)+1),MATCH(N$1,enemy_skill_triggers!$1:$1,0)-MATCH($F$1,enemy_skill_triggers!$1:$1,0)+1,FALSE)</f>
        <v>1701</v>
      </c>
      <c r="O31" s="48">
        <f ca="1">VLOOKUP($F31,OFFSET(enemy_skill_triggers!$A$1,0,0,COUNTA(enemy_skill_triggers!$A:$A),MATCH(O$1,enemy_skill_triggers!$1:$1,0)-MATCH($F$1,enemy_skill_triggers!$1:$1,0)+1),MATCH(O$1,enemy_skill_triggers!$1:$1,0)-MATCH($F$1,enemy_skill_triggers!$1:$1,0)+1,FALSE)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1" s="47"/>
      <c r="Q31" s="47"/>
      <c r="R31" s="47"/>
    </row>
    <row r="32" spans="1:18" ht="21" customHeight="1" x14ac:dyDescent="0.15">
      <c r="A32" s="39" t="str">
        <f t="shared" si="7"/>
        <v>47016102_47016116</v>
      </c>
      <c r="B32" s="107">
        <v>47016102</v>
      </c>
      <c r="C32" s="107">
        <v>47016116</v>
      </c>
      <c r="D32" s="46" t="str">
        <f ca="1">VLOOKUP($C32,OFFSET(enemy_skills!$A$1,0,0,COUNTA(enemy_skills!$A:$A),MATCH(D$1,enemy_skills!$1:$1,0)-MATCH("enemy_skill_id",enemy_skills!$1:$1,0)+1),MATCH(D$1,enemy_skills!$1:$1,0)-MATCH("enemy_skill_id",enemy_skills!$1:$1,0)+1,FALSE)</f>
        <v>え、あの音止めてくださるんですか…？</v>
      </c>
      <c r="E32" s="46" t="str">
        <f ca="1">VLOOKUP($C32,OFFSET(enemy_skills!$A$1,0,0,COUNTA(enemy_skills!$A:$A),MATCH(E$1,enemy_skills!$1:$1,0)-MATCH("enemy_skill_id",enemy_skills!$1:$1,0)+1),MATCH(E$1,enemy_skills!$1:$1,0)-MATCH("enemy_skill_id",enemy_skills!$1:$1,0)+1,FALSE)</f>
        <v>4ターンCパネル生成短縮(効果大)</v>
      </c>
      <c r="F32" s="47">
        <v>47016130</v>
      </c>
      <c r="G32" s="48">
        <f ca="1">VLOOKUP($F32,OFFSET(enemy_skill_triggers!$A$1,0,0,COUNTA(enemy_skill_triggers!$A:$A),MATCH(G$1,enemy_skill_triggers!$1:$1,0)-MATCH($F$1,enemy_skill_triggers!$1:$1,0)+1),MATCH(G$1,enemy_skill_triggers!$1:$1,0)-MATCH($F$1,enemy_skill_triggers!$1:$1,0)+1,FALSE)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2" s="48">
        <f ca="1">VLOOKUP($F32,OFFSET(enemy_skill_triggers!$A$1,0,0,COUNTA(enemy_skill_triggers!$A:$A),MATCH(H$1,enemy_skill_triggers!$1:$1,0)-MATCH($F$1,enemy_skill_triggers!$1:$1,0)+1),MATCH(H$1,enemy_skill_triggers!$1:$1,0)-MATCH($F$1,enemy_skill_triggers!$1:$1,0)+1,FALSE)</f>
        <v>490</v>
      </c>
      <c r="I32" s="48">
        <f ca="1">VLOOKUP($F32,OFFSET(enemy_skill_triggers!$A$1,0,0,COUNTA(enemy_skill_triggers!$A:$A),MATCH(I$1,enemy_skill_triggers!$1:$1,0)-MATCH($F$1,enemy_skill_triggers!$1:$1,0)+1),MATCH(I$1,enemy_skill_triggers!$1:$1,0)-MATCH($F$1,enemy_skill_triggers!$1:$1,0)+1,FALSE)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2" s="48" t="str">
        <f ca="1">VLOOKUP($F32,OFFSET(enemy_skill_triggers!$A$1,0,0,COUNTA(enemy_skill_triggers!$A:$A),MATCH(J$1,enemy_skill_triggers!$1:$1,0)-MATCH($F$1,enemy_skill_triggers!$1:$1,0)+1),MATCH(J$1,enemy_skill_triggers!$1:$1,0)-MATCH($F$1,enemy_skill_triggers!$1:$1,0)+1,FALSE)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2" s="48" t="str">
        <f ca="1">VLOOKUP($F32,OFFSET(enemy_skill_triggers!$A$1,0,0,COUNTA(enemy_skill_triggers!$A:$A),MATCH(K$1,enemy_skill_triggers!$1:$1,0)-MATCH($F$1,enemy_skill_triggers!$1:$1,0)+1),MATCH(K$1,enemy_skill_triggers!$1:$1,0)-MATCH($F$1,enemy_skill_triggers!$1:$1,0)+1,FALSE)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2" s="48">
        <f ca="1">VLOOKUP($F32,OFFSET(enemy_skill_triggers!$A$1,0,0,COUNTA(enemy_skill_triggers!$A:$A),MATCH(L$1,enemy_skill_triggers!$1:$1,0)-MATCH($F$1,enemy_skill_triggers!$1:$1,0)+1),MATCH(L$1,enemy_skill_triggers!$1:$1,0)-MATCH($F$1,enemy_skill_triggers!$1:$1,0)+1,FALSE)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2" s="48" t="str">
        <f ca="1">VLOOKUP($F32,OFFSET(enemy_skill_triggers!$A$1,0,0,COUNTA(enemy_skill_triggers!$A:$A),MATCH(M$1,enemy_skill_triggers!$1:$1,0)-MATCH($F$1,enemy_skill_triggers!$1:$1,0)+1),MATCH(M$1,enemy_skill_triggers!$1:$1,0)-MATCH($F$1,enemy_skill_triggers!$1:$1,0)+1,FALSE)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2" s="48">
        <f ca="1">VLOOKUP($F32,OFFSET(enemy_skill_triggers!$A$1,0,0,COUNTA(enemy_skill_triggers!$A:$A),MATCH(N$1,enemy_skill_triggers!$1:$1,0)-MATCH($F$1,enemy_skill_triggers!$1:$1,0)+1),MATCH(N$1,enemy_skill_triggers!$1:$1,0)-MATCH($F$1,enemy_skill_triggers!$1:$1,0)+1,FALSE)</f>
        <v>1702</v>
      </c>
      <c r="O32" s="48">
        <f ca="1">VLOOKUP($F32,OFFSET(enemy_skill_triggers!$A$1,0,0,COUNTA(enemy_skill_triggers!$A:$A),MATCH(O$1,enemy_skill_triggers!$1:$1,0)-MATCH($F$1,enemy_skill_triggers!$1:$1,0)+1),MATCH(O$1,enemy_skill_triggers!$1:$1,0)-MATCH($F$1,enemy_skill_triggers!$1:$1,0)+1,FALSE)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2" s="47"/>
      <c r="Q32" s="47"/>
      <c r="R32" s="47"/>
    </row>
    <row r="33" spans="1:18" ht="21" customHeight="1" x14ac:dyDescent="0.15">
      <c r="A33" s="39" t="str">
        <f t="shared" ref="A33" si="8">B33&amp;"_"&amp;C33</f>
        <v>47016102_47016117</v>
      </c>
      <c r="B33" s="107">
        <v>47016102</v>
      </c>
      <c r="C33" s="107">
        <v>47016117</v>
      </c>
      <c r="D33" s="46" t="str">
        <f ca="1">VLOOKUP($C33,OFFSET(enemy_skills!$A$1,0,0,COUNTA(enemy_skills!$A:$A),MATCH(D$1,enemy_skills!$1:$1,0)-MATCH("enemy_skill_id",enemy_skills!$1:$1,0)+1),MATCH(D$1,enemy_skills!$1:$1,0)-MATCH("enemy_skill_id",enemy_skills!$1:$1,0)+1,FALSE)</f>
        <v>も、もう帰っちゃダメですか〜！？</v>
      </c>
      <c r="E33" s="46" t="str">
        <f ca="1">VLOOKUP($C33,OFFSET(enemy_skills!$A$1,0,0,COUNTA(enemy_skills!$A:$A),MATCH(E$1,enemy_skills!$1:$1,0)-MATCH("enemy_skill_id",enemy_skills!$1:$1,0)+1),MATCH(E$1,enemy_skills!$1:$1,0)-MATCH("enemy_skill_id",enemy_skills!$1:$1,0)+1,FALSE)</f>
        <v>せ、せっかくのイベントなのに〜！</v>
      </c>
      <c r="F33" s="47">
        <v>47016131</v>
      </c>
      <c r="G33" s="48">
        <f ca="1">VLOOKUP($F33,OFFSET(enemy_skill_triggers!$A$1,0,0,COUNTA(enemy_skill_triggers!$A:$A),MATCH(G$1,enemy_skill_triggers!$1:$1,0)-MATCH($F$1,enemy_skill_triggers!$1:$1,0)+1),MATCH(G$1,enemy_skill_triggers!$1:$1,0)-MATCH($F$1,enemy_skill_triggers!$1:$1,0)+1,FALSE)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3" s="48">
        <f ca="1">VLOOKUP($F33,OFFSET(enemy_skill_triggers!$A$1,0,0,COUNTA(enemy_skill_triggers!$A:$A),MATCH(H$1,enemy_skill_triggers!$1:$1,0)-MATCH($F$1,enemy_skill_triggers!$1:$1,0)+1),MATCH(H$1,enemy_skill_triggers!$1:$1,0)-MATCH($F$1,enemy_skill_triggers!$1:$1,0)+1,FALSE)</f>
        <v>480</v>
      </c>
      <c r="I33" s="48">
        <f ca="1">VLOOKUP($F33,OFFSET(enemy_skill_triggers!$A$1,0,0,COUNTA(enemy_skill_triggers!$A:$A),MATCH(I$1,enemy_skill_triggers!$1:$1,0)-MATCH($F$1,enemy_skill_triggers!$1:$1,0)+1),MATCH(I$1,enemy_skill_triggers!$1:$1,0)-MATCH($F$1,enemy_skill_triggers!$1:$1,0)+1,FALSE)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3" s="48" t="str">
        <f ca="1">VLOOKUP($F33,OFFSET(enemy_skill_triggers!$A$1,0,0,COUNTA(enemy_skill_triggers!$A:$A),MATCH(J$1,enemy_skill_triggers!$1:$1,0)-MATCH($F$1,enemy_skill_triggers!$1:$1,0)+1),MATCH(J$1,enemy_skill_triggers!$1:$1,0)-MATCH($F$1,enemy_skill_triggers!$1:$1,0)+1,FALSE)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3" s="48" t="str">
        <f ca="1">VLOOKUP($F33,OFFSET(enemy_skill_triggers!$A$1,0,0,COUNTA(enemy_skill_triggers!$A:$A),MATCH(K$1,enemy_skill_triggers!$1:$1,0)-MATCH($F$1,enemy_skill_triggers!$1:$1,0)+1),MATCH(K$1,enemy_skill_triggers!$1:$1,0)-MATCH($F$1,enemy_skill_triggers!$1:$1,0)+1,FALSE)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3" s="48">
        <f ca="1">VLOOKUP($F33,OFFSET(enemy_skill_triggers!$A$1,0,0,COUNTA(enemy_skill_triggers!$A:$A),MATCH(L$1,enemy_skill_triggers!$1:$1,0)-MATCH($F$1,enemy_skill_triggers!$1:$1,0)+1),MATCH(L$1,enemy_skill_triggers!$1:$1,0)-MATCH($F$1,enemy_skill_triggers!$1:$1,0)+1,FALSE)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3" s="48" t="str">
        <f ca="1">VLOOKUP($F33,OFFSET(enemy_skill_triggers!$A$1,0,0,COUNTA(enemy_skill_triggers!$A:$A),MATCH(M$1,enemy_skill_triggers!$1:$1,0)-MATCH($F$1,enemy_skill_triggers!$1:$1,0)+1),MATCH(M$1,enemy_skill_triggers!$1:$1,0)-MATCH($F$1,enemy_skill_triggers!$1:$1,0)+1,FALSE)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3" s="48">
        <f ca="1">VLOOKUP($F33,OFFSET(enemy_skill_triggers!$A$1,0,0,COUNTA(enemy_skill_triggers!$A:$A),MATCH(N$1,enemy_skill_triggers!$1:$1,0)-MATCH($F$1,enemy_skill_triggers!$1:$1,0)+1),MATCH(N$1,enemy_skill_triggers!$1:$1,0)-MATCH($F$1,enemy_skill_triggers!$1:$1,0)+1,FALSE)</f>
        <v>1703</v>
      </c>
      <c r="O33" s="48">
        <f ca="1">VLOOKUP($F33,OFFSET(enemy_skill_triggers!$A$1,0,0,COUNTA(enemy_skill_triggers!$A:$A),MATCH(O$1,enemy_skill_triggers!$1:$1,0)-MATCH($F$1,enemy_skill_triggers!$1:$1,0)+1),MATCH(O$1,enemy_skill_triggers!$1:$1,0)-MATCH($F$1,enemy_skill_triggers!$1:$1,0)+1,FALSE)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3" s="47"/>
      <c r="Q33" s="47"/>
      <c r="R33" s="47"/>
    </row>
    <row r="34" spans="1:18" ht="21" customHeight="1" x14ac:dyDescent="0.15">
      <c r="A34" s="39" t="str">
        <f t="shared" si="7"/>
        <v>47016102_47016117</v>
      </c>
      <c r="B34" s="107">
        <v>47016102</v>
      </c>
      <c r="C34" s="107">
        <v>47016117</v>
      </c>
      <c r="D34" s="46" t="str">
        <f ca="1">VLOOKUP($C34,OFFSET(enemy_skills!$A$1,0,0,COUNTA(enemy_skills!$A:$A),MATCH(D$1,enemy_skills!$1:$1,0)-MATCH("enemy_skill_id",enemy_skills!$1:$1,0)+1),MATCH(D$1,enemy_skills!$1:$1,0)-MATCH("enemy_skill_id",enemy_skills!$1:$1,0)+1,FALSE)</f>
        <v>も、もう帰っちゃダメですか〜！？</v>
      </c>
      <c r="E34" s="46" t="str">
        <f ca="1">VLOOKUP($C34,OFFSET(enemy_skills!$A$1,0,0,COUNTA(enemy_skills!$A:$A),MATCH(E$1,enemy_skills!$1:$1,0)-MATCH("enemy_skill_id",enemy_skills!$1:$1,0)+1),MATCH(E$1,enemy_skills!$1:$1,0)-MATCH("enemy_skill_id",enemy_skills!$1:$1,0)+1,FALSE)</f>
        <v>せ、せっかくのイベントなのに〜！</v>
      </c>
      <c r="F34" s="47">
        <v>47016132</v>
      </c>
      <c r="G34" s="48">
        <f ca="1">VLOOKUP($F34,OFFSET(enemy_skill_triggers!$A$1,0,0,COUNTA(enemy_skill_triggers!$A:$A),MATCH(G$1,enemy_skill_triggers!$1:$1,0)-MATCH($F$1,enemy_skill_triggers!$1:$1,0)+1),MATCH(G$1,enemy_skill_triggers!$1:$1,0)-MATCH($F$1,enemy_skill_triggers!$1:$1,0)+1,FALSE)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4" s="48">
        <f ca="1">VLOOKUP($F34,OFFSET(enemy_skill_triggers!$A$1,0,0,COUNTA(enemy_skill_triggers!$A:$A),MATCH(H$1,enemy_skill_triggers!$1:$1,0)-MATCH($F$1,enemy_skill_triggers!$1:$1,0)+1),MATCH(H$1,enemy_skill_triggers!$1:$1,0)-MATCH($F$1,enemy_skill_triggers!$1:$1,0)+1,FALSE)</f>
        <v>470</v>
      </c>
      <c r="I34" s="48">
        <f ca="1">VLOOKUP($F34,OFFSET(enemy_skill_triggers!$A$1,0,0,COUNTA(enemy_skill_triggers!$A:$A),MATCH(I$1,enemy_skill_triggers!$1:$1,0)-MATCH($F$1,enemy_skill_triggers!$1:$1,0)+1),MATCH(I$1,enemy_skill_triggers!$1:$1,0)-MATCH($F$1,enemy_skill_triggers!$1:$1,0)+1,FALSE)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4" s="48" t="str">
        <f ca="1">VLOOKUP($F34,OFFSET(enemy_skill_triggers!$A$1,0,0,COUNTA(enemy_skill_triggers!$A:$A),MATCH(J$1,enemy_skill_triggers!$1:$1,0)-MATCH($F$1,enemy_skill_triggers!$1:$1,0)+1),MATCH(J$1,enemy_skill_triggers!$1:$1,0)-MATCH($F$1,enemy_skill_triggers!$1:$1,0)+1,FALSE)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4" s="48" t="str">
        <f ca="1">VLOOKUP($F34,OFFSET(enemy_skill_triggers!$A$1,0,0,COUNTA(enemy_skill_triggers!$A:$A),MATCH(K$1,enemy_skill_triggers!$1:$1,0)-MATCH($F$1,enemy_skill_triggers!$1:$1,0)+1),MATCH(K$1,enemy_skill_triggers!$1:$1,0)-MATCH($F$1,enemy_skill_triggers!$1:$1,0)+1,FALSE)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4" s="48">
        <f ca="1">VLOOKUP($F34,OFFSET(enemy_skill_triggers!$A$1,0,0,COUNTA(enemy_skill_triggers!$A:$A),MATCH(L$1,enemy_skill_triggers!$1:$1,0)-MATCH($F$1,enemy_skill_triggers!$1:$1,0)+1),MATCH(L$1,enemy_skill_triggers!$1:$1,0)-MATCH($F$1,enemy_skill_triggers!$1:$1,0)+1,FALSE)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4" s="48" t="str">
        <f ca="1">VLOOKUP($F34,OFFSET(enemy_skill_triggers!$A$1,0,0,COUNTA(enemy_skill_triggers!$A:$A),MATCH(M$1,enemy_skill_triggers!$1:$1,0)-MATCH($F$1,enemy_skill_triggers!$1:$1,0)+1),MATCH(M$1,enemy_skill_triggers!$1:$1,0)-MATCH($F$1,enemy_skill_triggers!$1:$1,0)+1,FALSE)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4" s="48">
        <f ca="1">VLOOKUP($F34,OFFSET(enemy_skill_triggers!$A$1,0,0,COUNTA(enemy_skill_triggers!$A:$A),MATCH(N$1,enemy_skill_triggers!$1:$1,0)-MATCH($F$1,enemy_skill_triggers!$1:$1,0)+1),MATCH(N$1,enemy_skill_triggers!$1:$1,0)-MATCH($F$1,enemy_skill_triggers!$1:$1,0)+1,FALSE)</f>
        <v>1704</v>
      </c>
      <c r="O34" s="48">
        <f ca="1">VLOOKUP($F34,OFFSET(enemy_skill_triggers!$A$1,0,0,COUNTA(enemy_skill_triggers!$A:$A),MATCH(O$1,enemy_skill_triggers!$1:$1,0)-MATCH($F$1,enemy_skill_triggers!$1:$1,0)+1),MATCH(O$1,enemy_skill_triggers!$1:$1,0)-MATCH($F$1,enemy_skill_triggers!$1:$1,0)+1,FALSE)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4" s="47"/>
      <c r="Q34" s="47"/>
      <c r="R34" s="47"/>
    </row>
    <row r="35" spans="1:18" ht="21" customHeight="1" x14ac:dyDescent="0.15">
      <c r="A35" s="39" t="str">
        <f t="shared" si="7"/>
        <v>47016102_47016117</v>
      </c>
      <c r="B35" s="107">
        <v>47016102</v>
      </c>
      <c r="C35" s="107">
        <v>47016117</v>
      </c>
      <c r="D35" s="46" t="str">
        <f ca="1">VLOOKUP($C35,OFFSET(enemy_skills!$A$1,0,0,COUNTA(enemy_skills!$A:$A),MATCH(D$1,enemy_skills!$1:$1,0)-MATCH("enemy_skill_id",enemy_skills!$1:$1,0)+1),MATCH(D$1,enemy_skills!$1:$1,0)-MATCH("enemy_skill_id",enemy_skills!$1:$1,0)+1,FALSE)</f>
        <v>も、もう帰っちゃダメですか〜！？</v>
      </c>
      <c r="E35" s="46" t="str">
        <f ca="1">VLOOKUP($C35,OFFSET(enemy_skills!$A$1,0,0,COUNTA(enemy_skills!$A:$A),MATCH(E$1,enemy_skills!$1:$1,0)-MATCH("enemy_skill_id",enemy_skills!$1:$1,0)+1),MATCH(E$1,enemy_skills!$1:$1,0)-MATCH("enemy_skill_id",enemy_skills!$1:$1,0)+1,FALSE)</f>
        <v>せ、せっかくのイベントなのに〜！</v>
      </c>
      <c r="F35" s="47">
        <v>47016133</v>
      </c>
      <c r="G35" s="48">
        <f ca="1">VLOOKUP($F35,OFFSET(enemy_skill_triggers!$A$1,0,0,COUNTA(enemy_skill_triggers!$A:$A),MATCH(G$1,enemy_skill_triggers!$1:$1,0)-MATCH($F$1,enemy_skill_triggers!$1:$1,0)+1),MATCH(G$1,enemy_skill_triggers!$1:$1,0)-MATCH($F$1,enemy_skill_triggers!$1:$1,0)+1,FALSE)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5" s="48">
        <f ca="1">VLOOKUP($F35,OFFSET(enemy_skill_triggers!$A$1,0,0,COUNTA(enemy_skill_triggers!$A:$A),MATCH(H$1,enemy_skill_triggers!$1:$1,0)-MATCH($F$1,enemy_skill_triggers!$1:$1,0)+1),MATCH(H$1,enemy_skill_triggers!$1:$1,0)-MATCH($F$1,enemy_skill_triggers!$1:$1,0)+1,FALSE)</f>
        <v>460</v>
      </c>
      <c r="I35" s="48">
        <f ca="1">VLOOKUP($F35,OFFSET(enemy_skill_triggers!$A$1,0,0,COUNTA(enemy_skill_triggers!$A:$A),MATCH(I$1,enemy_skill_triggers!$1:$1,0)-MATCH($F$1,enemy_skill_triggers!$1:$1,0)+1),MATCH(I$1,enemy_skill_triggers!$1:$1,0)-MATCH($F$1,enemy_skill_triggers!$1:$1,0)+1,FALSE)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5" s="48" t="str">
        <f ca="1">VLOOKUP($F35,OFFSET(enemy_skill_triggers!$A$1,0,0,COUNTA(enemy_skill_triggers!$A:$A),MATCH(J$1,enemy_skill_triggers!$1:$1,0)-MATCH($F$1,enemy_skill_triggers!$1:$1,0)+1),MATCH(J$1,enemy_skill_triggers!$1:$1,0)-MATCH($F$1,enemy_skill_triggers!$1:$1,0)+1,FALSE)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5" s="48" t="str">
        <f ca="1">VLOOKUP($F35,OFFSET(enemy_skill_triggers!$A$1,0,0,COUNTA(enemy_skill_triggers!$A:$A),MATCH(K$1,enemy_skill_triggers!$1:$1,0)-MATCH($F$1,enemy_skill_triggers!$1:$1,0)+1),MATCH(K$1,enemy_skill_triggers!$1:$1,0)-MATCH($F$1,enemy_skill_triggers!$1:$1,0)+1,FALSE)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5" s="48">
        <f ca="1">VLOOKUP($F35,OFFSET(enemy_skill_triggers!$A$1,0,0,COUNTA(enemy_skill_triggers!$A:$A),MATCH(L$1,enemy_skill_triggers!$1:$1,0)-MATCH($F$1,enemy_skill_triggers!$1:$1,0)+1),MATCH(L$1,enemy_skill_triggers!$1:$1,0)-MATCH($F$1,enemy_skill_triggers!$1:$1,0)+1,FALSE)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5" s="48" t="str">
        <f ca="1">VLOOKUP($F35,OFFSET(enemy_skill_triggers!$A$1,0,0,COUNTA(enemy_skill_triggers!$A:$A),MATCH(M$1,enemy_skill_triggers!$1:$1,0)-MATCH($F$1,enemy_skill_triggers!$1:$1,0)+1),MATCH(M$1,enemy_skill_triggers!$1:$1,0)-MATCH($F$1,enemy_skill_triggers!$1:$1,0)+1,FALSE)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5" s="48">
        <f ca="1">VLOOKUP($F35,OFFSET(enemy_skill_triggers!$A$1,0,0,COUNTA(enemy_skill_triggers!$A:$A),MATCH(N$1,enemy_skill_triggers!$1:$1,0)-MATCH($F$1,enemy_skill_triggers!$1:$1,0)+1),MATCH(N$1,enemy_skill_triggers!$1:$1,0)-MATCH($F$1,enemy_skill_triggers!$1:$1,0)+1,FALSE)</f>
        <v>1705</v>
      </c>
      <c r="O35" s="48">
        <f ca="1">VLOOKUP($F35,OFFSET(enemy_skill_triggers!$A$1,0,0,COUNTA(enemy_skill_triggers!$A:$A),MATCH(O$1,enemy_skill_triggers!$1:$1,0)-MATCH($F$1,enemy_skill_triggers!$1:$1,0)+1),MATCH(O$1,enemy_skill_triggers!$1:$1,0)-MATCH($F$1,enemy_skill_triggers!$1:$1,0)+1,FALSE)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5" s="47"/>
      <c r="Q35" s="47"/>
      <c r="R35" s="47"/>
    </row>
    <row r="36" spans="1:18" ht="21" customHeight="1" x14ac:dyDescent="0.15">
      <c r="A36" s="39" t="str">
        <f>B36&amp;"_"&amp;C36</f>
        <v>47016102_47016117</v>
      </c>
      <c r="B36" s="107">
        <v>47016102</v>
      </c>
      <c r="C36" s="107">
        <v>47016117</v>
      </c>
      <c r="D36" s="46" t="str">
        <f ca="1">VLOOKUP($C36,OFFSET(enemy_skills!$A$1,0,0,COUNTA(enemy_skills!$A:$A),MATCH(D$1,enemy_skills!$1:$1,0)-MATCH("enemy_skill_id",enemy_skills!$1:$1,0)+1),MATCH(D$1,enemy_skills!$1:$1,0)-MATCH("enemy_skill_id",enemy_skills!$1:$1,0)+1,FALSE)</f>
        <v>も、もう帰っちゃダメですか〜！？</v>
      </c>
      <c r="E36" s="46" t="str">
        <f ca="1">VLOOKUP($C36,OFFSET(enemy_skills!$A$1,0,0,COUNTA(enemy_skills!$A:$A),MATCH(E$1,enemy_skills!$1:$1,0)-MATCH("enemy_skill_id",enemy_skills!$1:$1,0)+1),MATCH(E$1,enemy_skills!$1:$1,0)-MATCH("enemy_skill_id",enemy_skills!$1:$1,0)+1,FALSE)</f>
        <v>せ、せっかくのイベントなのに〜！</v>
      </c>
      <c r="F36" s="47">
        <v>47016134</v>
      </c>
      <c r="G36" s="48">
        <f ca="1">VLOOKUP($F36,OFFSET(enemy_skill_triggers!$A$1,0,0,COUNTA(enemy_skill_triggers!$A:$A),MATCH(G$1,enemy_skill_triggers!$1:$1,0)-MATCH($F$1,enemy_skill_triggers!$1:$1,0)+1),MATCH(G$1,enemy_skill_triggers!$1:$1,0)-MATCH($F$1,enemy_skill_triggers!$1:$1,0)+1,FALSE)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6" s="48">
        <f ca="1">VLOOKUP($F36,OFFSET(enemy_skill_triggers!$A$1,0,0,COUNTA(enemy_skill_triggers!$A:$A),MATCH(H$1,enemy_skill_triggers!$1:$1,0)-MATCH($F$1,enemy_skill_triggers!$1:$1,0)+1),MATCH(H$1,enemy_skill_triggers!$1:$1,0)-MATCH($F$1,enemy_skill_triggers!$1:$1,0)+1,FALSE)</f>
        <v>450</v>
      </c>
      <c r="I36" s="48">
        <f ca="1">VLOOKUP($F36,OFFSET(enemy_skill_triggers!$A$1,0,0,COUNTA(enemy_skill_triggers!$A:$A),MATCH(I$1,enemy_skill_triggers!$1:$1,0)-MATCH($F$1,enemy_skill_triggers!$1:$1,0)+1),MATCH(I$1,enemy_skill_triggers!$1:$1,0)-MATCH($F$1,enemy_skill_triggers!$1:$1,0)+1,FALSE)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6" s="48" t="str">
        <f ca="1">VLOOKUP($F36,OFFSET(enemy_skill_triggers!$A$1,0,0,COUNTA(enemy_skill_triggers!$A:$A),MATCH(J$1,enemy_skill_triggers!$1:$1,0)-MATCH($F$1,enemy_skill_triggers!$1:$1,0)+1),MATCH(J$1,enemy_skill_triggers!$1:$1,0)-MATCH($F$1,enemy_skill_triggers!$1:$1,0)+1,FALSE)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6" s="48" t="str">
        <f ca="1">VLOOKUP($F36,OFFSET(enemy_skill_triggers!$A$1,0,0,COUNTA(enemy_skill_triggers!$A:$A),MATCH(K$1,enemy_skill_triggers!$1:$1,0)-MATCH($F$1,enemy_skill_triggers!$1:$1,0)+1),MATCH(K$1,enemy_skill_triggers!$1:$1,0)-MATCH($F$1,enemy_skill_triggers!$1:$1,0)+1,FALSE)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6" s="48">
        <f ca="1">VLOOKUP($F36,OFFSET(enemy_skill_triggers!$A$1,0,0,COUNTA(enemy_skill_triggers!$A:$A),MATCH(L$1,enemy_skill_triggers!$1:$1,0)-MATCH($F$1,enemy_skill_triggers!$1:$1,0)+1),MATCH(L$1,enemy_skill_triggers!$1:$1,0)-MATCH($F$1,enemy_skill_triggers!$1:$1,0)+1,FALSE)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6" s="48" t="str">
        <f ca="1">VLOOKUP($F36,OFFSET(enemy_skill_triggers!$A$1,0,0,COUNTA(enemy_skill_triggers!$A:$A),MATCH(M$1,enemy_skill_triggers!$1:$1,0)-MATCH($F$1,enemy_skill_triggers!$1:$1,0)+1),MATCH(M$1,enemy_skill_triggers!$1:$1,0)-MATCH($F$1,enemy_skill_triggers!$1:$1,0)+1,FALSE)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6" s="48">
        <f ca="1">VLOOKUP($F36,OFFSET(enemy_skill_triggers!$A$1,0,0,COUNTA(enemy_skill_triggers!$A:$A),MATCH(N$1,enemy_skill_triggers!$1:$1,0)-MATCH($F$1,enemy_skill_triggers!$1:$1,0)+1),MATCH(N$1,enemy_skill_triggers!$1:$1,0)-MATCH($F$1,enemy_skill_triggers!$1:$1,0)+1,FALSE)</f>
        <v>1706</v>
      </c>
      <c r="O36" s="48">
        <f ca="1">VLOOKUP($F36,OFFSET(enemy_skill_triggers!$A$1,0,0,COUNTA(enemy_skill_triggers!$A:$A),MATCH(O$1,enemy_skill_triggers!$1:$1,0)-MATCH($F$1,enemy_skill_triggers!$1:$1,0)+1),MATCH(O$1,enemy_skill_triggers!$1:$1,0)-MATCH($F$1,enemy_skill_triggers!$1:$1,0)+1,FALSE)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6" s="47"/>
      <c r="Q36" s="47"/>
      <c r="R36" s="47"/>
    </row>
    <row r="37" spans="1:18" ht="21" customHeight="1" x14ac:dyDescent="0.15">
      <c r="A37" s="39" t="str">
        <f t="shared" ref="A37" si="9">B37&amp;"_"&amp;C37</f>
        <v>47016102_47016117</v>
      </c>
      <c r="B37" s="107">
        <v>47016102</v>
      </c>
      <c r="C37" s="107">
        <v>47016117</v>
      </c>
      <c r="D37" s="46" t="str">
        <f ca="1">VLOOKUP($C37,OFFSET(enemy_skills!$A$1,0,0,COUNTA(enemy_skills!$A:$A),MATCH(D$1,enemy_skills!$1:$1,0)-MATCH("enemy_skill_id",enemy_skills!$1:$1,0)+1),MATCH(D$1,enemy_skills!$1:$1,0)-MATCH("enemy_skill_id",enemy_skills!$1:$1,0)+1,FALSE)</f>
        <v>も、もう帰っちゃダメですか〜！？</v>
      </c>
      <c r="E37" s="46" t="str">
        <f ca="1">VLOOKUP($C37,OFFSET(enemy_skills!$A$1,0,0,COUNTA(enemy_skills!$A:$A),MATCH(E$1,enemy_skills!$1:$1,0)-MATCH("enemy_skill_id",enemy_skills!$1:$1,0)+1),MATCH(E$1,enemy_skills!$1:$1,0)-MATCH("enemy_skill_id",enemy_skills!$1:$1,0)+1,FALSE)</f>
        <v>せ、せっかくのイベントなのに〜！</v>
      </c>
      <c r="F37" s="47">
        <v>47016176</v>
      </c>
      <c r="G37" s="48">
        <f ca="1">VLOOKUP($F37,OFFSET(enemy_skill_triggers!$A$1,0,0,COUNTA(enemy_skill_triggers!$A:$A),MATCH(G$1,enemy_skill_triggers!$1:$1,0)-MATCH($F$1,enemy_skill_triggers!$1:$1,0)+1),MATCH(G$1,enemy_skill_triggers!$1:$1,0)-MATCH($F$1,enemy_skill_triggers!$1:$1,0)+1,FALSE)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7" s="48">
        <f ca="1">VLOOKUP($F37,OFFSET(enemy_skill_triggers!$A$1,0,0,COUNTA(enemy_skill_triggers!$A:$A),MATCH(H$1,enemy_skill_triggers!$1:$1,0)-MATCH($F$1,enemy_skill_triggers!$1:$1,0)+1),MATCH(H$1,enemy_skill_triggers!$1:$1,0)-MATCH($F$1,enemy_skill_triggers!$1:$1,0)+1,FALSE)</f>
        <v>445</v>
      </c>
      <c r="I37" s="48">
        <f ca="1">VLOOKUP($F37,OFFSET(enemy_skill_triggers!$A$1,0,0,COUNTA(enemy_skill_triggers!$A:$A),MATCH(I$1,enemy_skill_triggers!$1:$1,0)-MATCH($F$1,enemy_skill_triggers!$1:$1,0)+1),MATCH(I$1,enemy_skill_triggers!$1:$1,0)-MATCH($F$1,enemy_skill_triggers!$1:$1,0)+1,FALSE)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7" s="48" t="str">
        <f ca="1">VLOOKUP($F37,OFFSET(enemy_skill_triggers!$A$1,0,0,COUNTA(enemy_skill_triggers!$A:$A),MATCH(J$1,enemy_skill_triggers!$1:$1,0)-MATCH($F$1,enemy_skill_triggers!$1:$1,0)+1),MATCH(J$1,enemy_skill_triggers!$1:$1,0)-MATCH($F$1,enemy_skill_triggers!$1:$1,0)+1,FALSE)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7" s="48" t="str">
        <f ca="1">VLOOKUP($F37,OFFSET(enemy_skill_triggers!$A$1,0,0,COUNTA(enemy_skill_triggers!$A:$A),MATCH(K$1,enemy_skill_triggers!$1:$1,0)-MATCH($F$1,enemy_skill_triggers!$1:$1,0)+1),MATCH(K$1,enemy_skill_triggers!$1:$1,0)-MATCH($F$1,enemy_skill_triggers!$1:$1,0)+1,FALSE)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7" s="48">
        <f ca="1">VLOOKUP($F37,OFFSET(enemy_skill_triggers!$A$1,0,0,COUNTA(enemy_skill_triggers!$A:$A),MATCH(L$1,enemy_skill_triggers!$1:$1,0)-MATCH($F$1,enemy_skill_triggers!$1:$1,0)+1),MATCH(L$1,enemy_skill_triggers!$1:$1,0)-MATCH($F$1,enemy_skill_triggers!$1:$1,0)+1,FALSE)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7" s="48" t="str">
        <f ca="1">VLOOKUP($F37,OFFSET(enemy_skill_triggers!$A$1,0,0,COUNTA(enemy_skill_triggers!$A:$A),MATCH(M$1,enemy_skill_triggers!$1:$1,0)-MATCH($F$1,enemy_skill_triggers!$1:$1,0)+1),MATCH(M$1,enemy_skill_triggers!$1:$1,0)-MATCH($F$1,enemy_skill_triggers!$1:$1,0)+1,FALSE)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7" s="48">
        <f ca="1">VLOOKUP($F37,OFFSET(enemy_skill_triggers!$A$1,0,0,COUNTA(enemy_skill_triggers!$A:$A),MATCH(N$1,enemy_skill_triggers!$1:$1,0)-MATCH($F$1,enemy_skill_triggers!$1:$1,0)+1),MATCH(N$1,enemy_skill_triggers!$1:$1,0)-MATCH($F$1,enemy_skill_triggers!$1:$1,0)+1,FALSE)</f>
        <v>1707</v>
      </c>
      <c r="O37" s="48">
        <f ca="1">VLOOKUP($F37,OFFSET(enemy_skill_triggers!$A$1,0,0,COUNTA(enemy_skill_triggers!$A:$A),MATCH(O$1,enemy_skill_triggers!$1:$1,0)-MATCH($F$1,enemy_skill_triggers!$1:$1,0)+1),MATCH(O$1,enemy_skill_triggers!$1:$1,0)-MATCH($F$1,enemy_skill_triggers!$1:$1,0)+1,FALSE)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7" s="47"/>
      <c r="Q37" s="47"/>
      <c r="R37" s="47"/>
    </row>
    <row r="38" spans="1:18" ht="21" customHeight="1" x14ac:dyDescent="0.15">
      <c r="A38" s="39" t="str">
        <f t="shared" si="7"/>
        <v>47016102_47016117</v>
      </c>
      <c r="B38" s="107">
        <v>47016102</v>
      </c>
      <c r="C38" s="107">
        <v>47016117</v>
      </c>
      <c r="D38" s="46" t="str">
        <f ca="1">VLOOKUP($C38,OFFSET(enemy_skills!$A$1,0,0,COUNTA(enemy_skills!$A:$A),MATCH(D$1,enemy_skills!$1:$1,0)-MATCH("enemy_skill_id",enemy_skills!$1:$1,0)+1),MATCH(D$1,enemy_skills!$1:$1,0)-MATCH("enemy_skill_id",enemy_skills!$1:$1,0)+1,FALSE)</f>
        <v>も、もう帰っちゃダメですか〜！？</v>
      </c>
      <c r="E38" s="46" t="str">
        <f ca="1">VLOOKUP($C38,OFFSET(enemy_skills!$A$1,0,0,COUNTA(enemy_skills!$A:$A),MATCH(E$1,enemy_skills!$1:$1,0)-MATCH("enemy_skill_id",enemy_skills!$1:$1,0)+1),MATCH(E$1,enemy_skills!$1:$1,0)-MATCH("enemy_skill_id",enemy_skills!$1:$1,0)+1,FALSE)</f>
        <v>せ、せっかくのイベントなのに〜！</v>
      </c>
      <c r="F38" s="47">
        <v>47016135</v>
      </c>
      <c r="G38" s="48">
        <f ca="1">VLOOKUP($F38,OFFSET(enemy_skill_triggers!$A$1,0,0,COUNTA(enemy_skill_triggers!$A:$A),MATCH(G$1,enemy_skill_triggers!$1:$1,0)-MATCH($F$1,enemy_skill_triggers!$1:$1,0)+1),MATCH(G$1,enemy_skill_triggers!$1:$1,0)-MATCH($F$1,enemy_skill_triggers!$1:$1,0)+1,FALSE)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8" s="48">
        <f ca="1">VLOOKUP($F38,OFFSET(enemy_skill_triggers!$A$1,0,0,COUNTA(enemy_skill_triggers!$A:$A),MATCH(H$1,enemy_skill_triggers!$1:$1,0)-MATCH($F$1,enemy_skill_triggers!$1:$1,0)+1),MATCH(H$1,enemy_skill_triggers!$1:$1,0)-MATCH($F$1,enemy_skill_triggers!$1:$1,0)+1,FALSE)</f>
        <v>440</v>
      </c>
      <c r="I38" s="48">
        <f ca="1">VLOOKUP($F38,OFFSET(enemy_skill_triggers!$A$1,0,0,COUNTA(enemy_skill_triggers!$A:$A),MATCH(I$1,enemy_skill_triggers!$1:$1,0)-MATCH($F$1,enemy_skill_triggers!$1:$1,0)+1),MATCH(I$1,enemy_skill_triggers!$1:$1,0)-MATCH($F$1,enemy_skill_triggers!$1:$1,0)+1,FALSE)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8" s="48" t="str">
        <f ca="1">VLOOKUP($F38,OFFSET(enemy_skill_triggers!$A$1,0,0,COUNTA(enemy_skill_triggers!$A:$A),MATCH(J$1,enemy_skill_triggers!$1:$1,0)-MATCH($F$1,enemy_skill_triggers!$1:$1,0)+1),MATCH(J$1,enemy_skill_triggers!$1:$1,0)-MATCH($F$1,enemy_skill_triggers!$1:$1,0)+1,FALSE)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8" s="48" t="str">
        <f ca="1">VLOOKUP($F38,OFFSET(enemy_skill_triggers!$A$1,0,0,COUNTA(enemy_skill_triggers!$A:$A),MATCH(K$1,enemy_skill_triggers!$1:$1,0)-MATCH($F$1,enemy_skill_triggers!$1:$1,0)+1),MATCH(K$1,enemy_skill_triggers!$1:$1,0)-MATCH($F$1,enemy_skill_triggers!$1:$1,0)+1,FALSE)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8" s="48">
        <f ca="1">VLOOKUP($F38,OFFSET(enemy_skill_triggers!$A$1,0,0,COUNTA(enemy_skill_triggers!$A:$A),MATCH(L$1,enemy_skill_triggers!$1:$1,0)-MATCH($F$1,enemy_skill_triggers!$1:$1,0)+1),MATCH(L$1,enemy_skill_triggers!$1:$1,0)-MATCH($F$1,enemy_skill_triggers!$1:$1,0)+1,FALSE)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8" s="48" t="str">
        <f ca="1">VLOOKUP($F38,OFFSET(enemy_skill_triggers!$A$1,0,0,COUNTA(enemy_skill_triggers!$A:$A),MATCH(M$1,enemy_skill_triggers!$1:$1,0)-MATCH($F$1,enemy_skill_triggers!$1:$1,0)+1),MATCH(M$1,enemy_skill_triggers!$1:$1,0)-MATCH($F$1,enemy_skill_triggers!$1:$1,0)+1,FALSE)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8" s="48">
        <f ca="1">VLOOKUP($F38,OFFSET(enemy_skill_triggers!$A$1,0,0,COUNTA(enemy_skill_triggers!$A:$A),MATCH(N$1,enemy_skill_triggers!$1:$1,0)-MATCH($F$1,enemy_skill_triggers!$1:$1,0)+1),MATCH(N$1,enemy_skill_triggers!$1:$1,0)-MATCH($F$1,enemy_skill_triggers!$1:$1,0)+1,FALSE)</f>
        <v>1708</v>
      </c>
      <c r="O38" s="48">
        <f ca="1">VLOOKUP($F38,OFFSET(enemy_skill_triggers!$A$1,0,0,COUNTA(enemy_skill_triggers!$A:$A),MATCH(O$1,enemy_skill_triggers!$1:$1,0)-MATCH($F$1,enemy_skill_triggers!$1:$1,0)+1),MATCH(O$1,enemy_skill_triggers!$1:$1,0)-MATCH($F$1,enemy_skill_triggers!$1:$1,0)+1,FALSE)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8" s="47"/>
      <c r="Q38" s="47"/>
      <c r="R38" s="47"/>
    </row>
    <row r="39" spans="1:18" ht="21" customHeight="1" x14ac:dyDescent="0.15">
      <c r="A39" s="39" t="str">
        <f t="shared" si="7"/>
        <v>47016102_47016117</v>
      </c>
      <c r="B39" s="107">
        <v>47016102</v>
      </c>
      <c r="C39" s="107">
        <v>47016117</v>
      </c>
      <c r="D39" s="46" t="str">
        <f ca="1">VLOOKUP($C39,OFFSET(enemy_skills!$A$1,0,0,COUNTA(enemy_skills!$A:$A),MATCH(D$1,enemy_skills!$1:$1,0)-MATCH("enemy_skill_id",enemy_skills!$1:$1,0)+1),MATCH(D$1,enemy_skills!$1:$1,0)-MATCH("enemy_skill_id",enemy_skills!$1:$1,0)+1,FALSE)</f>
        <v>も、もう帰っちゃダメですか〜！？</v>
      </c>
      <c r="E39" s="46" t="str">
        <f ca="1">VLOOKUP($C39,OFFSET(enemy_skills!$A$1,0,0,COUNTA(enemy_skills!$A:$A),MATCH(E$1,enemy_skills!$1:$1,0)-MATCH("enemy_skill_id",enemy_skills!$1:$1,0)+1),MATCH(E$1,enemy_skills!$1:$1,0)-MATCH("enemy_skill_id",enemy_skills!$1:$1,0)+1,FALSE)</f>
        <v>せ、せっかくのイベントなのに〜！</v>
      </c>
      <c r="F39" s="47">
        <v>47016136</v>
      </c>
      <c r="G39" s="48">
        <f ca="1">VLOOKUP($F39,OFFSET(enemy_skill_triggers!$A$1,0,0,COUNTA(enemy_skill_triggers!$A:$A),MATCH(G$1,enemy_skill_triggers!$1:$1,0)-MATCH($F$1,enemy_skill_triggers!$1:$1,0)+1),MATCH(G$1,enemy_skill_triggers!$1:$1,0)-MATCH($F$1,enemy_skill_triggers!$1:$1,0)+1,FALSE)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9" s="48">
        <f ca="1">VLOOKUP($F39,OFFSET(enemy_skill_triggers!$A$1,0,0,COUNTA(enemy_skill_triggers!$A:$A),MATCH(H$1,enemy_skill_triggers!$1:$1,0)-MATCH($F$1,enemy_skill_triggers!$1:$1,0)+1),MATCH(H$1,enemy_skill_triggers!$1:$1,0)-MATCH($F$1,enemy_skill_triggers!$1:$1,0)+1,FALSE)</f>
        <v>430</v>
      </c>
      <c r="I39" s="48">
        <f ca="1">VLOOKUP($F39,OFFSET(enemy_skill_triggers!$A$1,0,0,COUNTA(enemy_skill_triggers!$A:$A),MATCH(I$1,enemy_skill_triggers!$1:$1,0)-MATCH($F$1,enemy_skill_triggers!$1:$1,0)+1),MATCH(I$1,enemy_skill_triggers!$1:$1,0)-MATCH($F$1,enemy_skill_triggers!$1:$1,0)+1,FALSE)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9" s="48" t="str">
        <f ca="1">VLOOKUP($F39,OFFSET(enemy_skill_triggers!$A$1,0,0,COUNTA(enemy_skill_triggers!$A:$A),MATCH(J$1,enemy_skill_triggers!$1:$1,0)-MATCH($F$1,enemy_skill_triggers!$1:$1,0)+1),MATCH(J$1,enemy_skill_triggers!$1:$1,0)-MATCH($F$1,enemy_skill_triggers!$1:$1,0)+1,FALSE)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9" s="48" t="str">
        <f ca="1">VLOOKUP($F39,OFFSET(enemy_skill_triggers!$A$1,0,0,COUNTA(enemy_skill_triggers!$A:$A),MATCH(K$1,enemy_skill_triggers!$1:$1,0)-MATCH($F$1,enemy_skill_triggers!$1:$1,0)+1),MATCH(K$1,enemy_skill_triggers!$1:$1,0)-MATCH($F$1,enemy_skill_triggers!$1:$1,0)+1,FALSE)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9" s="48">
        <f ca="1">VLOOKUP($F39,OFFSET(enemy_skill_triggers!$A$1,0,0,COUNTA(enemy_skill_triggers!$A:$A),MATCH(L$1,enemy_skill_triggers!$1:$1,0)-MATCH($F$1,enemy_skill_triggers!$1:$1,0)+1),MATCH(L$1,enemy_skill_triggers!$1:$1,0)-MATCH($F$1,enemy_skill_triggers!$1:$1,0)+1,FALSE)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9" s="48" t="str">
        <f ca="1">VLOOKUP($F39,OFFSET(enemy_skill_triggers!$A$1,0,0,COUNTA(enemy_skill_triggers!$A:$A),MATCH(M$1,enemy_skill_triggers!$1:$1,0)-MATCH($F$1,enemy_skill_triggers!$1:$1,0)+1),MATCH(M$1,enemy_skill_triggers!$1:$1,0)-MATCH($F$1,enemy_skill_triggers!$1:$1,0)+1,FALSE)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9" s="48">
        <f ca="1">VLOOKUP($F39,OFFSET(enemy_skill_triggers!$A$1,0,0,COUNTA(enemy_skill_triggers!$A:$A),MATCH(N$1,enemy_skill_triggers!$1:$1,0)-MATCH($F$1,enemy_skill_triggers!$1:$1,0)+1),MATCH(N$1,enemy_skill_triggers!$1:$1,0)-MATCH($F$1,enemy_skill_triggers!$1:$1,0)+1,FALSE)</f>
        <v>1709</v>
      </c>
      <c r="O39" s="48">
        <f ca="1">VLOOKUP($F39,OFFSET(enemy_skill_triggers!$A$1,0,0,COUNTA(enemy_skill_triggers!$A:$A),MATCH(O$1,enemy_skill_triggers!$1:$1,0)-MATCH($F$1,enemy_skill_triggers!$1:$1,0)+1),MATCH(O$1,enemy_skill_triggers!$1:$1,0)-MATCH($F$1,enemy_skill_triggers!$1:$1,0)+1,FALSE)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9" s="47"/>
      <c r="Q39" s="47"/>
      <c r="R39" s="47"/>
    </row>
    <row r="40" spans="1:18" ht="21" customHeight="1" x14ac:dyDescent="0.15">
      <c r="A40" s="39" t="str">
        <f t="shared" si="7"/>
        <v>47016102_47016117</v>
      </c>
      <c r="B40" s="107">
        <v>47016102</v>
      </c>
      <c r="C40" s="107">
        <v>47016117</v>
      </c>
      <c r="D40" s="46" t="str">
        <f ca="1">VLOOKUP($C40,OFFSET(enemy_skills!$A$1,0,0,COUNTA(enemy_skills!$A:$A),MATCH(D$1,enemy_skills!$1:$1,0)-MATCH("enemy_skill_id",enemy_skills!$1:$1,0)+1),MATCH(D$1,enemy_skills!$1:$1,0)-MATCH("enemy_skill_id",enemy_skills!$1:$1,0)+1,FALSE)</f>
        <v>も、もう帰っちゃダメですか〜！？</v>
      </c>
      <c r="E40" s="46" t="str">
        <f ca="1">VLOOKUP($C40,OFFSET(enemy_skills!$A$1,0,0,COUNTA(enemy_skills!$A:$A),MATCH(E$1,enemy_skills!$1:$1,0)-MATCH("enemy_skill_id",enemy_skills!$1:$1,0)+1),MATCH(E$1,enemy_skills!$1:$1,0)-MATCH("enemy_skill_id",enemy_skills!$1:$1,0)+1,FALSE)</f>
        <v>せ、せっかくのイベントなのに〜！</v>
      </c>
      <c r="F40" s="47">
        <v>47016137</v>
      </c>
      <c r="G40" s="48">
        <f ca="1">VLOOKUP($F40,OFFSET(enemy_skill_triggers!$A$1,0,0,COUNTA(enemy_skill_triggers!$A:$A),MATCH(G$1,enemy_skill_triggers!$1:$1,0)-MATCH($F$1,enemy_skill_triggers!$1:$1,0)+1),MATCH(G$1,enemy_skill_triggers!$1:$1,0)-MATCH($F$1,enemy_skill_triggers!$1:$1,0)+1,FALSE)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0" s="48">
        <f ca="1">VLOOKUP($F40,OFFSET(enemy_skill_triggers!$A$1,0,0,COUNTA(enemy_skill_triggers!$A:$A),MATCH(H$1,enemy_skill_triggers!$1:$1,0)-MATCH($F$1,enemy_skill_triggers!$1:$1,0)+1),MATCH(H$1,enemy_skill_triggers!$1:$1,0)-MATCH($F$1,enemy_skill_triggers!$1:$1,0)+1,FALSE)</f>
        <v>420</v>
      </c>
      <c r="I40" s="48">
        <f ca="1">VLOOKUP($F40,OFFSET(enemy_skill_triggers!$A$1,0,0,COUNTA(enemy_skill_triggers!$A:$A),MATCH(I$1,enemy_skill_triggers!$1:$1,0)-MATCH($F$1,enemy_skill_triggers!$1:$1,0)+1),MATCH(I$1,enemy_skill_triggers!$1:$1,0)-MATCH($F$1,enemy_skill_triggers!$1:$1,0)+1,FALSE)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0" s="48" t="str">
        <f ca="1">VLOOKUP($F40,OFFSET(enemy_skill_triggers!$A$1,0,0,COUNTA(enemy_skill_triggers!$A:$A),MATCH(J$1,enemy_skill_triggers!$1:$1,0)-MATCH($F$1,enemy_skill_triggers!$1:$1,0)+1),MATCH(J$1,enemy_skill_triggers!$1:$1,0)-MATCH($F$1,enemy_skill_triggers!$1:$1,0)+1,FALSE)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0" s="48" t="str">
        <f ca="1">VLOOKUP($F40,OFFSET(enemy_skill_triggers!$A$1,0,0,COUNTA(enemy_skill_triggers!$A:$A),MATCH(K$1,enemy_skill_triggers!$1:$1,0)-MATCH($F$1,enemy_skill_triggers!$1:$1,0)+1),MATCH(K$1,enemy_skill_triggers!$1:$1,0)-MATCH($F$1,enemy_skill_triggers!$1:$1,0)+1,FALSE)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0" s="48">
        <f ca="1">VLOOKUP($F40,OFFSET(enemy_skill_triggers!$A$1,0,0,COUNTA(enemy_skill_triggers!$A:$A),MATCH(L$1,enemy_skill_triggers!$1:$1,0)-MATCH($F$1,enemy_skill_triggers!$1:$1,0)+1),MATCH(L$1,enemy_skill_triggers!$1:$1,0)-MATCH($F$1,enemy_skill_triggers!$1:$1,0)+1,FALSE)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0" s="48" t="str">
        <f ca="1">VLOOKUP($F40,OFFSET(enemy_skill_triggers!$A$1,0,0,COUNTA(enemy_skill_triggers!$A:$A),MATCH(M$1,enemy_skill_triggers!$1:$1,0)-MATCH($F$1,enemy_skill_triggers!$1:$1,0)+1),MATCH(M$1,enemy_skill_triggers!$1:$1,0)-MATCH($F$1,enemy_skill_triggers!$1:$1,0)+1,FALSE)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0" s="48">
        <f ca="1">VLOOKUP($F40,OFFSET(enemy_skill_triggers!$A$1,0,0,COUNTA(enemy_skill_triggers!$A:$A),MATCH(N$1,enemy_skill_triggers!$1:$1,0)-MATCH($F$1,enemy_skill_triggers!$1:$1,0)+1),MATCH(N$1,enemy_skill_triggers!$1:$1,0)-MATCH($F$1,enemy_skill_triggers!$1:$1,0)+1,FALSE)</f>
        <v>1710</v>
      </c>
      <c r="O40" s="48">
        <f ca="1">VLOOKUP($F40,OFFSET(enemy_skill_triggers!$A$1,0,0,COUNTA(enemy_skill_triggers!$A:$A),MATCH(O$1,enemy_skill_triggers!$1:$1,0)-MATCH($F$1,enemy_skill_triggers!$1:$1,0)+1),MATCH(O$1,enemy_skill_triggers!$1:$1,0)-MATCH($F$1,enemy_skill_triggers!$1:$1,0)+1,FALSE)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0" s="47"/>
      <c r="Q40" s="47"/>
      <c r="R40" s="47"/>
    </row>
    <row r="41" spans="1:18" ht="21" customHeight="1" x14ac:dyDescent="0.15">
      <c r="A41" s="39" t="str">
        <f t="shared" si="7"/>
        <v>47016102_47016117</v>
      </c>
      <c r="B41" s="107">
        <v>47016102</v>
      </c>
      <c r="C41" s="107">
        <v>47016117</v>
      </c>
      <c r="D41" s="46" t="str">
        <f ca="1">VLOOKUP($C41,OFFSET(enemy_skills!$A$1,0,0,COUNTA(enemy_skills!$A:$A),MATCH(D$1,enemy_skills!$1:$1,0)-MATCH("enemy_skill_id",enemy_skills!$1:$1,0)+1),MATCH(D$1,enemy_skills!$1:$1,0)-MATCH("enemy_skill_id",enemy_skills!$1:$1,0)+1,FALSE)</f>
        <v>も、もう帰っちゃダメですか〜！？</v>
      </c>
      <c r="E41" s="46" t="str">
        <f ca="1">VLOOKUP($C41,OFFSET(enemy_skills!$A$1,0,0,COUNTA(enemy_skills!$A:$A),MATCH(E$1,enemy_skills!$1:$1,0)-MATCH("enemy_skill_id",enemy_skills!$1:$1,0)+1),MATCH(E$1,enemy_skills!$1:$1,0)-MATCH("enemy_skill_id",enemy_skills!$1:$1,0)+1,FALSE)</f>
        <v>せ、せっかくのイベントなのに〜！</v>
      </c>
      <c r="F41" s="47">
        <v>47016138</v>
      </c>
      <c r="G41" s="48">
        <f ca="1">VLOOKUP($F41,OFFSET(enemy_skill_triggers!$A$1,0,0,COUNTA(enemy_skill_triggers!$A:$A),MATCH(G$1,enemy_skill_triggers!$1:$1,0)-MATCH($F$1,enemy_skill_triggers!$1:$1,0)+1),MATCH(G$1,enemy_skill_triggers!$1:$1,0)-MATCH($F$1,enemy_skill_triggers!$1:$1,0)+1,FALSE)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1" s="48">
        <f ca="1">VLOOKUP($F41,OFFSET(enemy_skill_triggers!$A$1,0,0,COUNTA(enemy_skill_triggers!$A:$A),MATCH(H$1,enemy_skill_triggers!$1:$1,0)-MATCH($F$1,enemy_skill_triggers!$1:$1,0)+1),MATCH(H$1,enemy_skill_triggers!$1:$1,0)-MATCH($F$1,enemy_skill_triggers!$1:$1,0)+1,FALSE)</f>
        <v>410</v>
      </c>
      <c r="I41" s="48">
        <f ca="1">VLOOKUP($F41,OFFSET(enemy_skill_triggers!$A$1,0,0,COUNTA(enemy_skill_triggers!$A:$A),MATCH(I$1,enemy_skill_triggers!$1:$1,0)-MATCH($F$1,enemy_skill_triggers!$1:$1,0)+1),MATCH(I$1,enemy_skill_triggers!$1:$1,0)-MATCH($F$1,enemy_skill_triggers!$1:$1,0)+1,FALSE)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1" s="48" t="str">
        <f ca="1">VLOOKUP($F41,OFFSET(enemy_skill_triggers!$A$1,0,0,COUNTA(enemy_skill_triggers!$A:$A),MATCH(J$1,enemy_skill_triggers!$1:$1,0)-MATCH($F$1,enemy_skill_triggers!$1:$1,0)+1),MATCH(J$1,enemy_skill_triggers!$1:$1,0)-MATCH($F$1,enemy_skill_triggers!$1:$1,0)+1,FALSE)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1" s="48" t="str">
        <f ca="1">VLOOKUP($F41,OFFSET(enemy_skill_triggers!$A$1,0,0,COUNTA(enemy_skill_triggers!$A:$A),MATCH(K$1,enemy_skill_triggers!$1:$1,0)-MATCH($F$1,enemy_skill_triggers!$1:$1,0)+1),MATCH(K$1,enemy_skill_triggers!$1:$1,0)-MATCH($F$1,enemy_skill_triggers!$1:$1,0)+1,FALSE)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1" s="48">
        <f ca="1">VLOOKUP($F41,OFFSET(enemy_skill_triggers!$A$1,0,0,COUNTA(enemy_skill_triggers!$A:$A),MATCH(L$1,enemy_skill_triggers!$1:$1,0)-MATCH($F$1,enemy_skill_triggers!$1:$1,0)+1),MATCH(L$1,enemy_skill_triggers!$1:$1,0)-MATCH($F$1,enemy_skill_triggers!$1:$1,0)+1,FALSE)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1" s="48" t="str">
        <f ca="1">VLOOKUP($F41,OFFSET(enemy_skill_triggers!$A$1,0,0,COUNTA(enemy_skill_triggers!$A:$A),MATCH(M$1,enemy_skill_triggers!$1:$1,0)-MATCH($F$1,enemy_skill_triggers!$1:$1,0)+1),MATCH(M$1,enemy_skill_triggers!$1:$1,0)-MATCH($F$1,enemy_skill_triggers!$1:$1,0)+1,FALSE)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1" s="48">
        <f ca="1">VLOOKUP($F41,OFFSET(enemy_skill_triggers!$A$1,0,0,COUNTA(enemy_skill_triggers!$A:$A),MATCH(N$1,enemy_skill_triggers!$1:$1,0)-MATCH($F$1,enemy_skill_triggers!$1:$1,0)+1),MATCH(N$1,enemy_skill_triggers!$1:$1,0)-MATCH($F$1,enemy_skill_triggers!$1:$1,0)+1,FALSE)</f>
        <v>1711</v>
      </c>
      <c r="O41" s="48">
        <f ca="1">VLOOKUP($F41,OFFSET(enemy_skill_triggers!$A$1,0,0,COUNTA(enemy_skill_triggers!$A:$A),MATCH(O$1,enemy_skill_triggers!$1:$1,0)-MATCH($F$1,enemy_skill_triggers!$1:$1,0)+1),MATCH(O$1,enemy_skill_triggers!$1:$1,0)-MATCH($F$1,enemy_skill_triggers!$1:$1,0)+1,FALSE)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1" s="47"/>
      <c r="Q41" s="47"/>
      <c r="R41" s="47"/>
    </row>
    <row r="42" spans="1:18" ht="21" customHeight="1" x14ac:dyDescent="0.15">
      <c r="A42" s="39" t="str">
        <f t="shared" si="7"/>
        <v>47016102_47016117</v>
      </c>
      <c r="B42" s="107">
        <v>47016102</v>
      </c>
      <c r="C42" s="107">
        <v>47016117</v>
      </c>
      <c r="D42" s="46" t="str">
        <f ca="1">VLOOKUP($C42,OFFSET(enemy_skills!$A$1,0,0,COUNTA(enemy_skills!$A:$A),MATCH(D$1,enemy_skills!$1:$1,0)-MATCH("enemy_skill_id",enemy_skills!$1:$1,0)+1),MATCH(D$1,enemy_skills!$1:$1,0)-MATCH("enemy_skill_id",enemy_skills!$1:$1,0)+1,FALSE)</f>
        <v>も、もう帰っちゃダメですか〜！？</v>
      </c>
      <c r="E42" s="46" t="str">
        <f ca="1">VLOOKUP($C42,OFFSET(enemy_skills!$A$1,0,0,COUNTA(enemy_skills!$A:$A),MATCH(E$1,enemy_skills!$1:$1,0)-MATCH("enemy_skill_id",enemy_skills!$1:$1,0)+1),MATCH(E$1,enemy_skills!$1:$1,0)-MATCH("enemy_skill_id",enemy_skills!$1:$1,0)+1,FALSE)</f>
        <v>せ、せっかくのイベントなのに〜！</v>
      </c>
      <c r="F42" s="47">
        <v>47016139</v>
      </c>
      <c r="G42" s="48">
        <f ca="1">VLOOKUP($F42,OFFSET(enemy_skill_triggers!$A$1,0,0,COUNTA(enemy_skill_triggers!$A:$A),MATCH(G$1,enemy_skill_triggers!$1:$1,0)-MATCH($F$1,enemy_skill_triggers!$1:$1,0)+1),MATCH(G$1,enemy_skill_triggers!$1:$1,0)-MATCH($F$1,enemy_skill_triggers!$1:$1,0)+1,FALSE)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2" s="48">
        <f ca="1">VLOOKUP($F42,OFFSET(enemy_skill_triggers!$A$1,0,0,COUNTA(enemy_skill_triggers!$A:$A),MATCH(H$1,enemy_skill_triggers!$1:$1,0)-MATCH($F$1,enemy_skill_triggers!$1:$1,0)+1),MATCH(H$1,enemy_skill_triggers!$1:$1,0)-MATCH($F$1,enemy_skill_triggers!$1:$1,0)+1,FALSE)</f>
        <v>400</v>
      </c>
      <c r="I42" s="48">
        <f ca="1">VLOOKUP($F42,OFFSET(enemy_skill_triggers!$A$1,0,0,COUNTA(enemy_skill_triggers!$A:$A),MATCH(I$1,enemy_skill_triggers!$1:$1,0)-MATCH($F$1,enemy_skill_triggers!$1:$1,0)+1),MATCH(I$1,enemy_skill_triggers!$1:$1,0)-MATCH($F$1,enemy_skill_triggers!$1:$1,0)+1,FALSE)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2" s="48" t="str">
        <f ca="1">VLOOKUP($F42,OFFSET(enemy_skill_triggers!$A$1,0,0,COUNTA(enemy_skill_triggers!$A:$A),MATCH(J$1,enemy_skill_triggers!$1:$1,0)-MATCH($F$1,enemy_skill_triggers!$1:$1,0)+1),MATCH(J$1,enemy_skill_triggers!$1:$1,0)-MATCH($F$1,enemy_skill_triggers!$1:$1,0)+1,FALSE)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2" s="48" t="str">
        <f ca="1">VLOOKUP($F42,OFFSET(enemy_skill_triggers!$A$1,0,0,COUNTA(enemy_skill_triggers!$A:$A),MATCH(K$1,enemy_skill_triggers!$1:$1,0)-MATCH($F$1,enemy_skill_triggers!$1:$1,0)+1),MATCH(K$1,enemy_skill_triggers!$1:$1,0)-MATCH($F$1,enemy_skill_triggers!$1:$1,0)+1,FALSE)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2" s="48">
        <f ca="1">VLOOKUP($F42,OFFSET(enemy_skill_triggers!$A$1,0,0,COUNTA(enemy_skill_triggers!$A:$A),MATCH(L$1,enemy_skill_triggers!$1:$1,0)-MATCH($F$1,enemy_skill_triggers!$1:$1,0)+1),MATCH(L$1,enemy_skill_triggers!$1:$1,0)-MATCH($F$1,enemy_skill_triggers!$1:$1,0)+1,FALSE)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2" s="48" t="str">
        <f ca="1">VLOOKUP($F42,OFFSET(enemy_skill_triggers!$A$1,0,0,COUNTA(enemy_skill_triggers!$A:$A),MATCH(M$1,enemy_skill_triggers!$1:$1,0)-MATCH($F$1,enemy_skill_triggers!$1:$1,0)+1),MATCH(M$1,enemy_skill_triggers!$1:$1,0)-MATCH($F$1,enemy_skill_triggers!$1:$1,0)+1,FALSE)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2" s="48">
        <f ca="1">VLOOKUP($F42,OFFSET(enemy_skill_triggers!$A$1,0,0,COUNTA(enemy_skill_triggers!$A:$A),MATCH(N$1,enemy_skill_triggers!$1:$1,0)-MATCH($F$1,enemy_skill_triggers!$1:$1,0)+1),MATCH(N$1,enemy_skill_triggers!$1:$1,0)-MATCH($F$1,enemy_skill_triggers!$1:$1,0)+1,FALSE)</f>
        <v>1712</v>
      </c>
      <c r="O42" s="48">
        <f ca="1">VLOOKUP($F42,OFFSET(enemy_skill_triggers!$A$1,0,0,COUNTA(enemy_skill_triggers!$A:$A),MATCH(O$1,enemy_skill_triggers!$1:$1,0)-MATCH($F$1,enemy_skill_triggers!$1:$1,0)+1),MATCH(O$1,enemy_skill_triggers!$1:$1,0)-MATCH($F$1,enemy_skill_triggers!$1:$1,0)+1,FALSE)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2" s="47"/>
      <c r="Q42" s="47"/>
      <c r="R42" s="47"/>
    </row>
    <row r="43" spans="1:18" ht="21" customHeight="1" x14ac:dyDescent="0.15">
      <c r="A43" s="39" t="str">
        <f t="shared" si="7"/>
        <v>47016102_47016117</v>
      </c>
      <c r="B43" s="107">
        <v>47016102</v>
      </c>
      <c r="C43" s="107">
        <v>47016117</v>
      </c>
      <c r="D43" s="46" t="str">
        <f ca="1">VLOOKUP($C43,OFFSET(enemy_skills!$A$1,0,0,COUNTA(enemy_skills!$A:$A),MATCH(D$1,enemy_skills!$1:$1,0)-MATCH("enemy_skill_id",enemy_skills!$1:$1,0)+1),MATCH(D$1,enemy_skills!$1:$1,0)-MATCH("enemy_skill_id",enemy_skills!$1:$1,0)+1,FALSE)</f>
        <v>も、もう帰っちゃダメですか〜！？</v>
      </c>
      <c r="E43" s="46" t="str">
        <f ca="1">VLOOKUP($C43,OFFSET(enemy_skills!$A$1,0,0,COUNTA(enemy_skills!$A:$A),MATCH(E$1,enemy_skills!$1:$1,0)-MATCH("enemy_skill_id",enemy_skills!$1:$1,0)+1),MATCH(E$1,enemy_skills!$1:$1,0)-MATCH("enemy_skill_id",enemy_skills!$1:$1,0)+1,FALSE)</f>
        <v>せ、せっかくのイベントなのに〜！</v>
      </c>
      <c r="F43" s="47">
        <v>47016140</v>
      </c>
      <c r="G43" s="48">
        <f ca="1">VLOOKUP($F43,OFFSET(enemy_skill_triggers!$A$1,0,0,COUNTA(enemy_skill_triggers!$A:$A),MATCH(G$1,enemy_skill_triggers!$1:$1,0)-MATCH($F$1,enemy_skill_triggers!$1:$1,0)+1),MATCH(G$1,enemy_skill_triggers!$1:$1,0)-MATCH($F$1,enemy_skill_triggers!$1:$1,0)+1,FALSE)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3" s="48">
        <f ca="1">VLOOKUP($F43,OFFSET(enemy_skill_triggers!$A$1,0,0,COUNTA(enemy_skill_triggers!$A:$A),MATCH(H$1,enemy_skill_triggers!$1:$1,0)-MATCH($F$1,enemy_skill_triggers!$1:$1,0)+1),MATCH(H$1,enemy_skill_triggers!$1:$1,0)-MATCH($F$1,enemy_skill_triggers!$1:$1,0)+1,FALSE)</f>
        <v>390</v>
      </c>
      <c r="I43" s="48">
        <f ca="1">VLOOKUP($F43,OFFSET(enemy_skill_triggers!$A$1,0,0,COUNTA(enemy_skill_triggers!$A:$A),MATCH(I$1,enemy_skill_triggers!$1:$1,0)-MATCH($F$1,enemy_skill_triggers!$1:$1,0)+1),MATCH(I$1,enemy_skill_triggers!$1:$1,0)-MATCH($F$1,enemy_skill_triggers!$1:$1,0)+1,FALSE)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3" s="48" t="str">
        <f ca="1">VLOOKUP($F43,OFFSET(enemy_skill_triggers!$A$1,0,0,COUNTA(enemy_skill_triggers!$A:$A),MATCH(J$1,enemy_skill_triggers!$1:$1,0)-MATCH($F$1,enemy_skill_triggers!$1:$1,0)+1),MATCH(J$1,enemy_skill_triggers!$1:$1,0)-MATCH($F$1,enemy_skill_triggers!$1:$1,0)+1,FALSE)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3" s="48" t="str">
        <f ca="1">VLOOKUP($F43,OFFSET(enemy_skill_triggers!$A$1,0,0,COUNTA(enemy_skill_triggers!$A:$A),MATCH(K$1,enemy_skill_triggers!$1:$1,0)-MATCH($F$1,enemy_skill_triggers!$1:$1,0)+1),MATCH(K$1,enemy_skill_triggers!$1:$1,0)-MATCH($F$1,enemy_skill_triggers!$1:$1,0)+1,FALSE)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3" s="48">
        <f ca="1">VLOOKUP($F43,OFFSET(enemy_skill_triggers!$A$1,0,0,COUNTA(enemy_skill_triggers!$A:$A),MATCH(L$1,enemy_skill_triggers!$1:$1,0)-MATCH($F$1,enemy_skill_triggers!$1:$1,0)+1),MATCH(L$1,enemy_skill_triggers!$1:$1,0)-MATCH($F$1,enemy_skill_triggers!$1:$1,0)+1,FALSE)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3" s="48" t="str">
        <f ca="1">VLOOKUP($F43,OFFSET(enemy_skill_triggers!$A$1,0,0,COUNTA(enemy_skill_triggers!$A:$A),MATCH(M$1,enemy_skill_triggers!$1:$1,0)-MATCH($F$1,enemy_skill_triggers!$1:$1,0)+1),MATCH(M$1,enemy_skill_triggers!$1:$1,0)-MATCH($F$1,enemy_skill_triggers!$1:$1,0)+1,FALSE)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3" s="48">
        <f ca="1">VLOOKUP($F43,OFFSET(enemy_skill_triggers!$A$1,0,0,COUNTA(enemy_skill_triggers!$A:$A),MATCH(N$1,enemy_skill_triggers!$1:$1,0)-MATCH($F$1,enemy_skill_triggers!$1:$1,0)+1),MATCH(N$1,enemy_skill_triggers!$1:$1,0)-MATCH($F$1,enemy_skill_triggers!$1:$1,0)+1,FALSE)</f>
        <v>1713</v>
      </c>
      <c r="O43" s="48">
        <f ca="1">VLOOKUP($F43,OFFSET(enemy_skill_triggers!$A$1,0,0,COUNTA(enemy_skill_triggers!$A:$A),MATCH(O$1,enemy_skill_triggers!$1:$1,0)-MATCH($F$1,enemy_skill_triggers!$1:$1,0)+1),MATCH(O$1,enemy_skill_triggers!$1:$1,0)-MATCH($F$1,enemy_skill_triggers!$1:$1,0)+1,FALSE)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3" s="47"/>
      <c r="Q43" s="47"/>
      <c r="R43" s="47"/>
    </row>
    <row r="44" spans="1:18" ht="21" customHeight="1" x14ac:dyDescent="0.15">
      <c r="A44" s="39" t="str">
        <f t="shared" si="7"/>
        <v>47016102_47016117</v>
      </c>
      <c r="B44" s="107">
        <v>47016102</v>
      </c>
      <c r="C44" s="107">
        <v>47016117</v>
      </c>
      <c r="D44" s="46" t="str">
        <f ca="1">VLOOKUP($C44,OFFSET(enemy_skills!$A$1,0,0,COUNTA(enemy_skills!$A:$A),MATCH(D$1,enemy_skills!$1:$1,0)-MATCH("enemy_skill_id",enemy_skills!$1:$1,0)+1),MATCH(D$1,enemy_skills!$1:$1,0)-MATCH("enemy_skill_id",enemy_skills!$1:$1,0)+1,FALSE)</f>
        <v>も、もう帰っちゃダメですか〜！？</v>
      </c>
      <c r="E44" s="46" t="str">
        <f ca="1">VLOOKUP($C44,OFFSET(enemy_skills!$A$1,0,0,COUNTA(enemy_skills!$A:$A),MATCH(E$1,enemy_skills!$1:$1,0)-MATCH("enemy_skill_id",enemy_skills!$1:$1,0)+1),MATCH(E$1,enemy_skills!$1:$1,0)-MATCH("enemy_skill_id",enemy_skills!$1:$1,0)+1,FALSE)</f>
        <v>せ、せっかくのイベントなのに〜！</v>
      </c>
      <c r="F44" s="47">
        <v>47016141</v>
      </c>
      <c r="G44" s="48">
        <f ca="1">VLOOKUP($F44,OFFSET(enemy_skill_triggers!$A$1,0,0,COUNTA(enemy_skill_triggers!$A:$A),MATCH(G$1,enemy_skill_triggers!$1:$1,0)-MATCH($F$1,enemy_skill_triggers!$1:$1,0)+1),MATCH(G$1,enemy_skill_triggers!$1:$1,0)-MATCH($F$1,enemy_skill_triggers!$1:$1,0)+1,FALSE)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4" s="48">
        <f ca="1">VLOOKUP($F44,OFFSET(enemy_skill_triggers!$A$1,0,0,COUNTA(enemy_skill_triggers!$A:$A),MATCH(H$1,enemy_skill_triggers!$1:$1,0)-MATCH($F$1,enemy_skill_triggers!$1:$1,0)+1),MATCH(H$1,enemy_skill_triggers!$1:$1,0)-MATCH($F$1,enemy_skill_triggers!$1:$1,0)+1,FALSE)</f>
        <v>380</v>
      </c>
      <c r="I44" s="48">
        <f ca="1">VLOOKUP($F44,OFFSET(enemy_skill_triggers!$A$1,0,0,COUNTA(enemy_skill_triggers!$A:$A),MATCH(I$1,enemy_skill_triggers!$1:$1,0)-MATCH($F$1,enemy_skill_triggers!$1:$1,0)+1),MATCH(I$1,enemy_skill_triggers!$1:$1,0)-MATCH($F$1,enemy_skill_triggers!$1:$1,0)+1,FALSE)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4" s="48" t="str">
        <f ca="1">VLOOKUP($F44,OFFSET(enemy_skill_triggers!$A$1,0,0,COUNTA(enemy_skill_triggers!$A:$A),MATCH(J$1,enemy_skill_triggers!$1:$1,0)-MATCH($F$1,enemy_skill_triggers!$1:$1,0)+1),MATCH(J$1,enemy_skill_triggers!$1:$1,0)-MATCH($F$1,enemy_skill_triggers!$1:$1,0)+1,FALSE)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4" s="48" t="str">
        <f ca="1">VLOOKUP($F44,OFFSET(enemy_skill_triggers!$A$1,0,0,COUNTA(enemy_skill_triggers!$A:$A),MATCH(K$1,enemy_skill_triggers!$1:$1,0)-MATCH($F$1,enemy_skill_triggers!$1:$1,0)+1),MATCH(K$1,enemy_skill_triggers!$1:$1,0)-MATCH($F$1,enemy_skill_triggers!$1:$1,0)+1,FALSE)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4" s="48">
        <f ca="1">VLOOKUP($F44,OFFSET(enemy_skill_triggers!$A$1,0,0,COUNTA(enemy_skill_triggers!$A:$A),MATCH(L$1,enemy_skill_triggers!$1:$1,0)-MATCH($F$1,enemy_skill_triggers!$1:$1,0)+1),MATCH(L$1,enemy_skill_triggers!$1:$1,0)-MATCH($F$1,enemy_skill_triggers!$1:$1,0)+1,FALSE)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4" s="48" t="str">
        <f ca="1">VLOOKUP($F44,OFFSET(enemy_skill_triggers!$A$1,0,0,COUNTA(enemy_skill_triggers!$A:$A),MATCH(M$1,enemy_skill_triggers!$1:$1,0)-MATCH($F$1,enemy_skill_triggers!$1:$1,0)+1),MATCH(M$1,enemy_skill_triggers!$1:$1,0)-MATCH($F$1,enemy_skill_triggers!$1:$1,0)+1,FALSE)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4" s="48">
        <f ca="1">VLOOKUP($F44,OFFSET(enemy_skill_triggers!$A$1,0,0,COUNTA(enemy_skill_triggers!$A:$A),MATCH(N$1,enemy_skill_triggers!$1:$1,0)-MATCH($F$1,enemy_skill_triggers!$1:$1,0)+1),MATCH(N$1,enemy_skill_triggers!$1:$1,0)-MATCH($F$1,enemy_skill_triggers!$1:$1,0)+1,FALSE)</f>
        <v>1714</v>
      </c>
      <c r="O44" s="48">
        <f ca="1">VLOOKUP($F44,OFFSET(enemy_skill_triggers!$A$1,0,0,COUNTA(enemy_skill_triggers!$A:$A),MATCH(O$1,enemy_skill_triggers!$1:$1,0)-MATCH($F$1,enemy_skill_triggers!$1:$1,0)+1),MATCH(O$1,enemy_skill_triggers!$1:$1,0)-MATCH($F$1,enemy_skill_triggers!$1:$1,0)+1,FALSE)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4" s="47"/>
      <c r="Q44" s="47"/>
      <c r="R44" s="47"/>
    </row>
    <row r="45" spans="1:18" ht="21" customHeight="1" x14ac:dyDescent="0.15">
      <c r="A45" s="39" t="str">
        <f t="shared" si="7"/>
        <v>47016102_47016117</v>
      </c>
      <c r="B45" s="107">
        <v>47016102</v>
      </c>
      <c r="C45" s="107">
        <v>47016117</v>
      </c>
      <c r="D45" s="46" t="str">
        <f ca="1">VLOOKUP($C45,OFFSET(enemy_skills!$A$1,0,0,COUNTA(enemy_skills!$A:$A),MATCH(D$1,enemy_skills!$1:$1,0)-MATCH("enemy_skill_id",enemy_skills!$1:$1,0)+1),MATCH(D$1,enemy_skills!$1:$1,0)-MATCH("enemy_skill_id",enemy_skills!$1:$1,0)+1,FALSE)</f>
        <v>も、もう帰っちゃダメですか〜！？</v>
      </c>
      <c r="E45" s="46" t="str">
        <f ca="1">VLOOKUP($C45,OFFSET(enemy_skills!$A$1,0,0,COUNTA(enemy_skills!$A:$A),MATCH(E$1,enemy_skills!$1:$1,0)-MATCH("enemy_skill_id",enemy_skills!$1:$1,0)+1),MATCH(E$1,enemy_skills!$1:$1,0)-MATCH("enemy_skill_id",enemy_skills!$1:$1,0)+1,FALSE)</f>
        <v>せ、せっかくのイベントなのに〜！</v>
      </c>
      <c r="F45" s="47">
        <v>47016142</v>
      </c>
      <c r="G45" s="48">
        <f ca="1">VLOOKUP($F45,OFFSET(enemy_skill_triggers!$A$1,0,0,COUNTA(enemy_skill_triggers!$A:$A),MATCH(G$1,enemy_skill_triggers!$1:$1,0)-MATCH($F$1,enemy_skill_triggers!$1:$1,0)+1),MATCH(G$1,enemy_skill_triggers!$1:$1,0)-MATCH($F$1,enemy_skill_triggers!$1:$1,0)+1,FALSE)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5" s="48">
        <f ca="1">VLOOKUP($F45,OFFSET(enemy_skill_triggers!$A$1,0,0,COUNTA(enemy_skill_triggers!$A:$A),MATCH(H$1,enemy_skill_triggers!$1:$1,0)-MATCH($F$1,enemy_skill_triggers!$1:$1,0)+1),MATCH(H$1,enemy_skill_triggers!$1:$1,0)-MATCH($F$1,enemy_skill_triggers!$1:$1,0)+1,FALSE)</f>
        <v>370</v>
      </c>
      <c r="I45" s="48">
        <f ca="1">VLOOKUP($F45,OFFSET(enemy_skill_triggers!$A$1,0,0,COUNTA(enemy_skill_triggers!$A:$A),MATCH(I$1,enemy_skill_triggers!$1:$1,0)-MATCH($F$1,enemy_skill_triggers!$1:$1,0)+1),MATCH(I$1,enemy_skill_triggers!$1:$1,0)-MATCH($F$1,enemy_skill_triggers!$1:$1,0)+1,FALSE)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5" s="48" t="str">
        <f ca="1">VLOOKUP($F45,OFFSET(enemy_skill_triggers!$A$1,0,0,COUNTA(enemy_skill_triggers!$A:$A),MATCH(J$1,enemy_skill_triggers!$1:$1,0)-MATCH($F$1,enemy_skill_triggers!$1:$1,0)+1),MATCH(J$1,enemy_skill_triggers!$1:$1,0)-MATCH($F$1,enemy_skill_triggers!$1:$1,0)+1,FALSE)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5" s="48" t="str">
        <f ca="1">VLOOKUP($F45,OFFSET(enemy_skill_triggers!$A$1,0,0,COUNTA(enemy_skill_triggers!$A:$A),MATCH(K$1,enemy_skill_triggers!$1:$1,0)-MATCH($F$1,enemy_skill_triggers!$1:$1,0)+1),MATCH(K$1,enemy_skill_triggers!$1:$1,0)-MATCH($F$1,enemy_skill_triggers!$1:$1,0)+1,FALSE)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5" s="48">
        <f ca="1">VLOOKUP($F45,OFFSET(enemy_skill_triggers!$A$1,0,0,COUNTA(enemy_skill_triggers!$A:$A),MATCH(L$1,enemy_skill_triggers!$1:$1,0)-MATCH($F$1,enemy_skill_triggers!$1:$1,0)+1),MATCH(L$1,enemy_skill_triggers!$1:$1,0)-MATCH($F$1,enemy_skill_triggers!$1:$1,0)+1,FALSE)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5" s="48" t="str">
        <f ca="1">VLOOKUP($F45,OFFSET(enemy_skill_triggers!$A$1,0,0,COUNTA(enemy_skill_triggers!$A:$A),MATCH(M$1,enemy_skill_triggers!$1:$1,0)-MATCH($F$1,enemy_skill_triggers!$1:$1,0)+1),MATCH(M$1,enemy_skill_triggers!$1:$1,0)-MATCH($F$1,enemy_skill_triggers!$1:$1,0)+1,FALSE)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5" s="48">
        <f ca="1">VLOOKUP($F45,OFFSET(enemy_skill_triggers!$A$1,0,0,COUNTA(enemy_skill_triggers!$A:$A),MATCH(N$1,enemy_skill_triggers!$1:$1,0)-MATCH($F$1,enemy_skill_triggers!$1:$1,0)+1),MATCH(N$1,enemy_skill_triggers!$1:$1,0)-MATCH($F$1,enemy_skill_triggers!$1:$1,0)+1,FALSE)</f>
        <v>1715</v>
      </c>
      <c r="O45" s="48">
        <f ca="1">VLOOKUP($F45,OFFSET(enemy_skill_triggers!$A$1,0,0,COUNTA(enemy_skill_triggers!$A:$A),MATCH(O$1,enemy_skill_triggers!$1:$1,0)-MATCH($F$1,enemy_skill_triggers!$1:$1,0)+1),MATCH(O$1,enemy_skill_triggers!$1:$1,0)-MATCH($F$1,enemy_skill_triggers!$1:$1,0)+1,FALSE)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5" s="47"/>
      <c r="Q45" s="47"/>
      <c r="R45" s="47"/>
    </row>
    <row r="46" spans="1:18" ht="21" customHeight="1" x14ac:dyDescent="0.15">
      <c r="A46" s="39" t="str">
        <f t="shared" ref="A46" si="10">B46&amp;"_"&amp;C46</f>
        <v>47016102_47016117</v>
      </c>
      <c r="B46" s="107">
        <v>47016102</v>
      </c>
      <c r="C46" s="107">
        <v>47016117</v>
      </c>
      <c r="D46" s="46" t="str">
        <f ca="1">VLOOKUP($C46,OFFSET(enemy_skills!$A$1,0,0,COUNTA(enemy_skills!$A:$A),MATCH(D$1,enemy_skills!$1:$1,0)-MATCH("enemy_skill_id",enemy_skills!$1:$1,0)+1),MATCH(D$1,enemy_skills!$1:$1,0)-MATCH("enemy_skill_id",enemy_skills!$1:$1,0)+1,FALSE)</f>
        <v>も、もう帰っちゃダメですか〜！？</v>
      </c>
      <c r="E46" s="46" t="str">
        <f ca="1">VLOOKUP($C46,OFFSET(enemy_skills!$A$1,0,0,COUNTA(enemy_skills!$A:$A),MATCH(E$1,enemy_skills!$1:$1,0)-MATCH("enemy_skill_id",enemy_skills!$1:$1,0)+1),MATCH(E$1,enemy_skills!$1:$1,0)-MATCH("enemy_skill_id",enemy_skills!$1:$1,0)+1,FALSE)</f>
        <v>せ、せっかくのイベントなのに〜！</v>
      </c>
      <c r="F46" s="47">
        <v>47016143</v>
      </c>
      <c r="G46" s="48">
        <f ca="1">VLOOKUP($F46,OFFSET(enemy_skill_triggers!$A$1,0,0,COUNTA(enemy_skill_triggers!$A:$A),MATCH(G$1,enemy_skill_triggers!$1:$1,0)-MATCH($F$1,enemy_skill_triggers!$1:$1,0)+1),MATCH(G$1,enemy_skill_triggers!$1:$1,0)-MATCH($F$1,enemy_skill_triggers!$1:$1,0)+1,FALSE)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6" s="48">
        <f ca="1">VLOOKUP($F46,OFFSET(enemy_skill_triggers!$A$1,0,0,COUNTA(enemy_skill_triggers!$A:$A),MATCH(H$1,enemy_skill_triggers!$1:$1,0)-MATCH($F$1,enemy_skill_triggers!$1:$1,0)+1),MATCH(H$1,enemy_skill_triggers!$1:$1,0)-MATCH($F$1,enemy_skill_triggers!$1:$1,0)+1,FALSE)</f>
        <v>360</v>
      </c>
      <c r="I46" s="48">
        <f ca="1">VLOOKUP($F46,OFFSET(enemy_skill_triggers!$A$1,0,0,COUNTA(enemy_skill_triggers!$A:$A),MATCH(I$1,enemy_skill_triggers!$1:$1,0)-MATCH($F$1,enemy_skill_triggers!$1:$1,0)+1),MATCH(I$1,enemy_skill_triggers!$1:$1,0)-MATCH($F$1,enemy_skill_triggers!$1:$1,0)+1,FALSE)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6" s="48" t="str">
        <f ca="1">VLOOKUP($F46,OFFSET(enemy_skill_triggers!$A$1,0,0,COUNTA(enemy_skill_triggers!$A:$A),MATCH(J$1,enemy_skill_triggers!$1:$1,0)-MATCH($F$1,enemy_skill_triggers!$1:$1,0)+1),MATCH(J$1,enemy_skill_triggers!$1:$1,0)-MATCH($F$1,enemy_skill_triggers!$1:$1,0)+1,FALSE)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6" s="48" t="str">
        <f ca="1">VLOOKUP($F46,OFFSET(enemy_skill_triggers!$A$1,0,0,COUNTA(enemy_skill_triggers!$A:$A),MATCH(K$1,enemy_skill_triggers!$1:$1,0)-MATCH($F$1,enemy_skill_triggers!$1:$1,0)+1),MATCH(K$1,enemy_skill_triggers!$1:$1,0)-MATCH($F$1,enemy_skill_triggers!$1:$1,0)+1,FALSE)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6" s="48">
        <f ca="1">VLOOKUP($F46,OFFSET(enemy_skill_triggers!$A$1,0,0,COUNTA(enemy_skill_triggers!$A:$A),MATCH(L$1,enemy_skill_triggers!$1:$1,0)-MATCH($F$1,enemy_skill_triggers!$1:$1,0)+1),MATCH(L$1,enemy_skill_triggers!$1:$1,0)-MATCH($F$1,enemy_skill_triggers!$1:$1,0)+1,FALSE)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6" s="48" t="str">
        <f ca="1">VLOOKUP($F46,OFFSET(enemy_skill_triggers!$A$1,0,0,COUNTA(enemy_skill_triggers!$A:$A),MATCH(M$1,enemy_skill_triggers!$1:$1,0)-MATCH($F$1,enemy_skill_triggers!$1:$1,0)+1),MATCH(M$1,enemy_skill_triggers!$1:$1,0)-MATCH($F$1,enemy_skill_triggers!$1:$1,0)+1,FALSE)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6" s="48">
        <f ca="1">VLOOKUP($F46,OFFSET(enemy_skill_triggers!$A$1,0,0,COUNTA(enemy_skill_triggers!$A:$A),MATCH(N$1,enemy_skill_triggers!$1:$1,0)-MATCH($F$1,enemy_skill_triggers!$1:$1,0)+1),MATCH(N$1,enemy_skill_triggers!$1:$1,0)-MATCH($F$1,enemy_skill_triggers!$1:$1,0)+1,FALSE)</f>
        <v>1716</v>
      </c>
      <c r="O46" s="48">
        <f ca="1">VLOOKUP($F46,OFFSET(enemy_skill_triggers!$A$1,0,0,COUNTA(enemy_skill_triggers!$A:$A),MATCH(O$1,enemy_skill_triggers!$1:$1,0)-MATCH($F$1,enemy_skill_triggers!$1:$1,0)+1),MATCH(O$1,enemy_skill_triggers!$1:$1,0)-MATCH($F$1,enemy_skill_triggers!$1:$1,0)+1,FALSE)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6" s="47"/>
      <c r="Q46" s="47"/>
      <c r="R46" s="47"/>
    </row>
    <row r="47" spans="1:18" ht="21" customHeight="1" x14ac:dyDescent="0.15">
      <c r="A47" s="39" t="str">
        <f t="shared" si="7"/>
        <v>47016102_47016118</v>
      </c>
      <c r="B47" s="107">
        <v>47016102</v>
      </c>
      <c r="C47" s="107">
        <v>47016118</v>
      </c>
      <c r="D47" s="46" t="str">
        <f ca="1">VLOOKUP($C47,OFFSET(enemy_skills!$A$1,0,0,COUNTA(enemy_skills!$A:$A),MATCH(D$1,enemy_skills!$1:$1,0)-MATCH("enemy_skill_id",enemy_skills!$1:$1,0)+1),MATCH(D$1,enemy_skills!$1:$1,0)-MATCH("enemy_skill_id",enemy_skills!$1:$1,0)+1,FALSE)</f>
        <v>こ、怖いのはいやです〜！</v>
      </c>
      <c r="E47" s="46" t="str">
        <f ca="1">VLOOKUP($C47,OFFSET(enemy_skills!$A$1,0,0,COUNTA(enemy_skills!$A:$A),MATCH(E$1,enemy_skills!$1:$1,0)-MATCH("enemy_skill_id",enemy_skills!$1:$1,0)+1),MATCH(E$1,enemy_skills!$1:$1,0)-MATCH("enemy_skill_id",enemy_skills!$1:$1,0)+1,FALSE)</f>
        <v>あの音どうにかならないんですか〜！_x000D_【3ターン黄パネルを吸収して防御力UP】</v>
      </c>
      <c r="F47" s="47">
        <v>47016144</v>
      </c>
      <c r="G47" s="48">
        <f ca="1">VLOOKUP($F47,OFFSET(enemy_skill_triggers!$A$1,0,0,COUNTA(enemy_skill_triggers!$A:$A),MATCH(G$1,enemy_skill_triggers!$1:$1,0)-MATCH($F$1,enemy_skill_triggers!$1:$1,0)+1),MATCH(G$1,enemy_skill_triggers!$1:$1,0)-MATCH($F$1,enemy_skill_triggers!$1:$1,0)+1,FALSE)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7" s="48">
        <f ca="1">VLOOKUP($F47,OFFSET(enemy_skill_triggers!$A$1,0,0,COUNTA(enemy_skill_triggers!$A:$A),MATCH(H$1,enemy_skill_triggers!$1:$1,0)-MATCH($F$1,enemy_skill_triggers!$1:$1,0)+1),MATCH(H$1,enemy_skill_triggers!$1:$1,0)-MATCH($F$1,enemy_skill_triggers!$1:$1,0)+1,FALSE)</f>
        <v>300</v>
      </c>
      <c r="I47" s="48">
        <f ca="1">VLOOKUP($F47,OFFSET(enemy_skill_triggers!$A$1,0,0,COUNTA(enemy_skill_triggers!$A:$A),MATCH(I$1,enemy_skill_triggers!$1:$1,0)-MATCH($F$1,enemy_skill_triggers!$1:$1,0)+1),MATCH(I$1,enemy_skill_triggers!$1:$1,0)-MATCH($F$1,enemy_skill_triggers!$1:$1,0)+1,FALSE)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7" s="48" t="str">
        <f ca="1">VLOOKUP($F47,OFFSET(enemy_skill_triggers!$A$1,0,0,COUNTA(enemy_skill_triggers!$A:$A),MATCH(J$1,enemy_skill_triggers!$1:$1,0)-MATCH($F$1,enemy_skill_triggers!$1:$1,0)+1),MATCH(J$1,enemy_skill_triggers!$1:$1,0)-MATCH($F$1,enemy_skill_triggers!$1:$1,0)+1,FALSE)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7" s="48" t="str">
        <f ca="1">VLOOKUP($F47,OFFSET(enemy_skill_triggers!$A$1,0,0,COUNTA(enemy_skill_triggers!$A:$A),MATCH(K$1,enemy_skill_triggers!$1:$1,0)-MATCH($F$1,enemy_skill_triggers!$1:$1,0)+1),MATCH(K$1,enemy_skill_triggers!$1:$1,0)-MATCH($F$1,enemy_skill_triggers!$1:$1,0)+1,FALSE)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7" s="48">
        <f ca="1">VLOOKUP($F47,OFFSET(enemy_skill_triggers!$A$1,0,0,COUNTA(enemy_skill_triggers!$A:$A),MATCH(L$1,enemy_skill_triggers!$1:$1,0)-MATCH($F$1,enemy_skill_triggers!$1:$1,0)+1),MATCH(L$1,enemy_skill_triggers!$1:$1,0)-MATCH($F$1,enemy_skill_triggers!$1:$1,0)+1,FALSE)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7" s="48" t="str">
        <f ca="1">VLOOKUP($F47,OFFSET(enemy_skill_triggers!$A$1,0,0,COUNTA(enemy_skill_triggers!$A:$A),MATCH(M$1,enemy_skill_triggers!$1:$1,0)-MATCH($F$1,enemy_skill_triggers!$1:$1,0)+1),MATCH(M$1,enemy_skill_triggers!$1:$1,0)-MATCH($F$1,enemy_skill_triggers!$1:$1,0)+1,FALSE)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7" s="48" t="str">
        <f ca="1">VLOOKUP($F47,OFFSET(enemy_skill_triggers!$A$1,0,0,COUNTA(enemy_skill_triggers!$A:$A),MATCH(N$1,enemy_skill_triggers!$1:$1,0)-MATCH($F$1,enemy_skill_triggers!$1:$1,0)+1),MATCH(N$1,enemy_skill_triggers!$1:$1,0)-MATCH($F$1,enemy_skill_triggers!$1:$1,0)+1,FALSE)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7" s="48">
        <f ca="1">VLOOKUP($F47,OFFSET(enemy_skill_triggers!$A$1,0,0,COUNTA(enemy_skill_triggers!$A:$A),MATCH(O$1,enemy_skill_triggers!$1:$1,0)-MATCH($F$1,enemy_skill_triggers!$1:$1,0)+1),MATCH(O$1,enemy_skill_triggers!$1:$1,0)-MATCH($F$1,enemy_skill_triggers!$1:$1,0)+1,FALSE)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7" s="47"/>
      <c r="Q47" s="47"/>
      <c r="R47" s="47"/>
    </row>
    <row r="48" spans="1:18" ht="21" customHeight="1" x14ac:dyDescent="0.15">
      <c r="A48" s="39" t="str">
        <f t="shared" si="7"/>
        <v>47016102_47016119</v>
      </c>
      <c r="B48" s="107">
        <v>47016102</v>
      </c>
      <c r="C48" s="107">
        <v>47016119</v>
      </c>
      <c r="D48" s="46" t="str">
        <f ca="1">VLOOKUP($C48,OFFSET(enemy_skills!$A$1,0,0,COUNTA(enemy_skills!$A:$A),MATCH(D$1,enemy_skills!$1:$1,0)-MATCH("enemy_skill_id",enemy_skills!$1:$1,0)+1),MATCH(D$1,enemy_skills!$1:$1,0)-MATCH("enemy_skill_id",enemy_skills!$1:$1,0)+1,FALSE)</f>
        <v>ぼ、暴力はいけません！</v>
      </c>
      <c r="E48" s="46" t="str">
        <f ca="1">VLOOKUP($C48,OFFSET(enemy_skills!$A$1,0,0,COUNTA(enemy_skills!$A:$A),MATCH(E$1,enemy_skills!$1:$1,0)-MATCH("enemy_skill_id",enemy_skills!$1:$1,0)+1),MATCH(E$1,enemy_skills!$1:$1,0)-MATCH("enemy_skill_id",enemy_skills!$1:$1,0)+1,FALSE)</f>
        <v>3ターン全ユニットの攻撃力50%DOWN+_x000D_Cパネルプロテクト</v>
      </c>
      <c r="F48" s="47">
        <v>47016145</v>
      </c>
      <c r="G48" s="48">
        <f ca="1">VLOOKUP($F48,OFFSET(enemy_skill_triggers!$A$1,0,0,COUNTA(enemy_skill_triggers!$A:$A),MATCH(G$1,enemy_skill_triggers!$1:$1,0)-MATCH($F$1,enemy_skill_triggers!$1:$1,0)+1),MATCH(G$1,enemy_skill_triggers!$1:$1,0)-MATCH($F$1,enemy_skill_triggers!$1:$1,0)+1,FALSE)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8" s="48">
        <f ca="1">VLOOKUP($F48,OFFSET(enemy_skill_triggers!$A$1,0,0,COUNTA(enemy_skill_triggers!$A:$A),MATCH(H$1,enemy_skill_triggers!$1:$1,0)-MATCH($F$1,enemy_skill_triggers!$1:$1,0)+1),MATCH(H$1,enemy_skill_triggers!$1:$1,0)-MATCH($F$1,enemy_skill_triggers!$1:$1,0)+1,FALSE)</f>
        <v>310</v>
      </c>
      <c r="I48" s="48">
        <f ca="1">VLOOKUP($F48,OFFSET(enemy_skill_triggers!$A$1,0,0,COUNTA(enemy_skill_triggers!$A:$A),MATCH(I$1,enemy_skill_triggers!$1:$1,0)-MATCH($F$1,enemy_skill_triggers!$1:$1,0)+1),MATCH(I$1,enemy_skill_triggers!$1:$1,0)-MATCH($F$1,enemy_skill_triggers!$1:$1,0)+1,FALSE)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8" s="48" t="str">
        <f ca="1">VLOOKUP($F48,OFFSET(enemy_skill_triggers!$A$1,0,0,COUNTA(enemy_skill_triggers!$A:$A),MATCH(J$1,enemy_skill_triggers!$1:$1,0)-MATCH($F$1,enemy_skill_triggers!$1:$1,0)+1),MATCH(J$1,enemy_skill_triggers!$1:$1,0)-MATCH($F$1,enemy_skill_triggers!$1:$1,0)+1,FALSE)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8" s="48" t="str">
        <f ca="1">VLOOKUP($F48,OFFSET(enemy_skill_triggers!$A$1,0,0,COUNTA(enemy_skill_triggers!$A:$A),MATCH(K$1,enemy_skill_triggers!$1:$1,0)-MATCH($F$1,enemy_skill_triggers!$1:$1,0)+1),MATCH(K$1,enemy_skill_triggers!$1:$1,0)-MATCH($F$1,enemy_skill_triggers!$1:$1,0)+1,FALSE)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8" s="48">
        <f ca="1">VLOOKUP($F48,OFFSET(enemy_skill_triggers!$A$1,0,0,COUNTA(enemy_skill_triggers!$A:$A),MATCH(L$1,enemy_skill_triggers!$1:$1,0)-MATCH($F$1,enemy_skill_triggers!$1:$1,0)+1),MATCH(L$1,enemy_skill_triggers!$1:$1,0)-MATCH($F$1,enemy_skill_triggers!$1:$1,0)+1,FALSE)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8" s="48">
        <f ca="1">VLOOKUP($F48,OFFSET(enemy_skill_triggers!$A$1,0,0,COUNTA(enemy_skill_triggers!$A:$A),MATCH(M$1,enemy_skill_triggers!$1:$1,0)-MATCH($F$1,enemy_skill_triggers!$1:$1,0)+1),MATCH(M$1,enemy_skill_triggers!$1:$1,0)-MATCH($F$1,enemy_skill_triggers!$1:$1,0)+1,FALSE)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48" s="48" t="str">
        <f ca="1">VLOOKUP($F48,OFFSET(enemy_skill_triggers!$A$1,0,0,COUNTA(enemy_skill_triggers!$A:$A),MATCH(N$1,enemy_skill_triggers!$1:$1,0)-MATCH($F$1,enemy_skill_triggers!$1:$1,0)+1),MATCH(N$1,enemy_skill_triggers!$1:$1,0)-MATCH($F$1,enemy_skill_triggers!$1:$1,0)+1,FALSE)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8" s="48">
        <f ca="1">VLOOKUP($F48,OFFSET(enemy_skill_triggers!$A$1,0,0,COUNTA(enemy_skill_triggers!$A:$A),MATCH(O$1,enemy_skill_triggers!$1:$1,0)-MATCH($F$1,enemy_skill_triggers!$1:$1,0)+1),MATCH(O$1,enemy_skill_triggers!$1:$1,0)-MATCH($F$1,enemy_skill_triggers!$1:$1,0)+1,FALSE)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8" s="47"/>
      <c r="Q48" s="47"/>
      <c r="R48" s="47"/>
    </row>
    <row r="49" spans="1:18" ht="21" customHeight="1" x14ac:dyDescent="0.15">
      <c r="A49" s="39" t="str">
        <f t="shared" si="7"/>
        <v>47016102_47016120</v>
      </c>
      <c r="B49" s="107">
        <v>47016102</v>
      </c>
      <c r="C49" s="107">
        <v>47016120</v>
      </c>
      <c r="D49" s="46" t="str">
        <f ca="1">VLOOKUP($C49,OFFSET(enemy_skills!$A$1,0,0,COUNTA(enemy_skills!$A:$A),MATCH(D$1,enemy_skills!$1:$1,0)-MATCH("enemy_skill_id",enemy_skills!$1:$1,0)+1),MATCH(D$1,enemy_skills!$1:$1,0)-MATCH("enemy_skill_id",enemy_skills!$1:$1,0)+1,FALSE)</f>
        <v>サザンカのブーケですよ〜！</v>
      </c>
      <c r="E49" s="46" t="str">
        <f ca="1">VLOOKUP($C49,OFFSET(enemy_skills!$A$1,0,0,COUNTA(enemy_skills!$A:$A),MATCH(E$1,enemy_skills!$1:$1,0)-MATCH("enemy_skill_id",enemy_skills!$1:$1,0)+1),MATCH(E$1,enemy_skills!$1:$1,0)-MATCH("enemy_skill_id",enemy_skills!$1:$1,0)+1,FALSE)</f>
        <v>はい、どうぞ！_x000D_【特定エリアを黄・ハートパネルに変換】</v>
      </c>
      <c r="F49" s="47">
        <v>47016146</v>
      </c>
      <c r="G49" s="48">
        <f ca="1">VLOOKUP($F49,OFFSET(enemy_skill_triggers!$A$1,0,0,COUNTA(enemy_skill_triggers!$A:$A),MATCH(G$1,enemy_skill_triggers!$1:$1,0)-MATCH($F$1,enemy_skill_triggers!$1:$1,0)+1),MATCH(G$1,enemy_skill_triggers!$1:$1,0)-MATCH($F$1,enemy_skill_triggers!$1:$1,0)+1,FALSE)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9" s="48">
        <f ca="1">VLOOKUP($F49,OFFSET(enemy_skill_triggers!$A$1,0,0,COUNTA(enemy_skill_triggers!$A:$A),MATCH(H$1,enemy_skill_triggers!$1:$1,0)-MATCH($F$1,enemy_skill_triggers!$1:$1,0)+1),MATCH(H$1,enemy_skill_triggers!$1:$1,0)-MATCH($F$1,enemy_skill_triggers!$1:$1,0)+1,FALSE)</f>
        <v>320</v>
      </c>
      <c r="I49" s="48">
        <f ca="1">VLOOKUP($F49,OFFSET(enemy_skill_triggers!$A$1,0,0,COUNTA(enemy_skill_triggers!$A:$A),MATCH(I$1,enemy_skill_triggers!$1:$1,0)-MATCH($F$1,enemy_skill_triggers!$1:$1,0)+1),MATCH(I$1,enemy_skill_triggers!$1:$1,0)-MATCH($F$1,enemy_skill_triggers!$1:$1,0)+1,FALSE)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9" s="48" t="str">
        <f ca="1">VLOOKUP($F49,OFFSET(enemy_skill_triggers!$A$1,0,0,COUNTA(enemy_skill_triggers!$A:$A),MATCH(J$1,enemy_skill_triggers!$1:$1,0)-MATCH($F$1,enemy_skill_triggers!$1:$1,0)+1),MATCH(J$1,enemy_skill_triggers!$1:$1,0)-MATCH($F$1,enemy_skill_triggers!$1:$1,0)+1,FALSE)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9" s="48" t="str">
        <f ca="1">VLOOKUP($F49,OFFSET(enemy_skill_triggers!$A$1,0,0,COUNTA(enemy_skill_triggers!$A:$A),MATCH(K$1,enemy_skill_triggers!$1:$1,0)-MATCH($F$1,enemy_skill_triggers!$1:$1,0)+1),MATCH(K$1,enemy_skill_triggers!$1:$1,0)-MATCH($F$1,enemy_skill_triggers!$1:$1,0)+1,FALSE)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9" s="48">
        <f ca="1">VLOOKUP($F49,OFFSET(enemy_skill_triggers!$A$1,0,0,COUNTA(enemy_skill_triggers!$A:$A),MATCH(L$1,enemy_skill_triggers!$1:$1,0)-MATCH($F$1,enemy_skill_triggers!$1:$1,0)+1),MATCH(L$1,enemy_skill_triggers!$1:$1,0)-MATCH($F$1,enemy_skill_triggers!$1:$1,0)+1,FALSE)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9" s="48">
        <f ca="1">VLOOKUP($F49,OFFSET(enemy_skill_triggers!$A$1,0,0,COUNTA(enemy_skill_triggers!$A:$A),MATCH(M$1,enemy_skill_triggers!$1:$1,0)-MATCH($F$1,enemy_skill_triggers!$1:$1,0)+1),MATCH(M$1,enemy_skill_triggers!$1:$1,0)-MATCH($F$1,enemy_skill_triggers!$1:$1,0)+1,FALSE)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49" s="48" t="str">
        <f ca="1">VLOOKUP($F49,OFFSET(enemy_skill_triggers!$A$1,0,0,COUNTA(enemy_skill_triggers!$A:$A),MATCH(N$1,enemy_skill_triggers!$1:$1,0)-MATCH($F$1,enemy_skill_triggers!$1:$1,0)+1),MATCH(N$1,enemy_skill_triggers!$1:$1,0)-MATCH($F$1,enemy_skill_triggers!$1:$1,0)+1,FALSE)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9" s="48">
        <f ca="1">VLOOKUP($F49,OFFSET(enemy_skill_triggers!$A$1,0,0,COUNTA(enemy_skill_triggers!$A:$A),MATCH(O$1,enemy_skill_triggers!$1:$1,0)-MATCH($F$1,enemy_skill_triggers!$1:$1,0)+1),MATCH(O$1,enemy_skill_triggers!$1:$1,0)-MATCH($F$1,enemy_skill_triggers!$1:$1,0)+1,FALSE)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9" s="47"/>
      <c r="Q49" s="47"/>
      <c r="R49" s="47"/>
    </row>
    <row r="50" spans="1:18" ht="21" customHeight="1" x14ac:dyDescent="0.15">
      <c r="A50" s="39" t="str">
        <f t="shared" si="7"/>
        <v>47016102_47016122</v>
      </c>
      <c r="B50" s="107">
        <v>47016102</v>
      </c>
      <c r="C50" s="107">
        <v>47016122</v>
      </c>
      <c r="D50" s="46" t="str">
        <f ca="1">VLOOKUP($C50,OFFSET(enemy_skills!$A$1,0,0,COUNTA(enemy_skills!$A:$A),MATCH(D$1,enemy_skills!$1:$1,0)-MATCH("enemy_skill_id",enemy_skills!$1:$1,0)+1),MATCH(D$1,enemy_skills!$1:$1,0)-MATCH("enemy_skill_id",enemy_skills!$1:$1,0)+1,FALSE)</f>
        <v>い、痛いのは嫌です…！</v>
      </c>
      <c r="E50" s="46" t="str">
        <f ca="1">VLOOKUP($C50,OFFSET(enemy_skills!$A$1,0,0,COUNTA(enemy_skills!$A:$A),MATCH(E$1,enemy_skills!$1:$1,0)-MATCH("enemy_skill_id",enemy_skills!$1:$1,0)+1),MATCH(E$1,enemy_skills!$1:$1,0)-MATCH("enemy_skill_id",enemy_skills!$1:$1,0)+1,FALSE)</f>
        <v>黄パネルプロテクト(最大8個)+クリティカル！</v>
      </c>
      <c r="F50" s="47">
        <v>47016148</v>
      </c>
      <c r="G50" s="48">
        <f ca="1">VLOOKUP($F50,OFFSET(enemy_skill_triggers!$A$1,0,0,COUNTA(enemy_skill_triggers!$A:$A),MATCH(G$1,enemy_skill_triggers!$1:$1,0)-MATCH($F$1,enemy_skill_triggers!$1:$1,0)+1),MATCH(G$1,enemy_skill_triggers!$1:$1,0)-MATCH($F$1,enemy_skill_triggers!$1:$1,0)+1,FALSE)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0" s="48">
        <f ca="1">VLOOKUP($F50,OFFSET(enemy_skill_triggers!$A$1,0,0,COUNTA(enemy_skill_triggers!$A:$A),MATCH(H$1,enemy_skill_triggers!$1:$1,0)-MATCH($F$1,enemy_skill_triggers!$1:$1,0)+1),MATCH(H$1,enemy_skill_triggers!$1:$1,0)-MATCH($F$1,enemy_skill_triggers!$1:$1,0)+1,FALSE)</f>
        <v>340</v>
      </c>
      <c r="I50" s="48">
        <f ca="1">VLOOKUP($F50,OFFSET(enemy_skill_triggers!$A$1,0,0,COUNTA(enemy_skill_triggers!$A:$A),MATCH(I$1,enemy_skill_triggers!$1:$1,0)-MATCH($F$1,enemy_skill_triggers!$1:$1,0)+1),MATCH(I$1,enemy_skill_triggers!$1:$1,0)-MATCH($F$1,enemy_skill_triggers!$1:$1,0)+1,FALSE)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0" s="48">
        <f ca="1">VLOOKUP($F50,OFFSET(enemy_skill_triggers!$A$1,0,0,COUNTA(enemy_skill_triggers!$A:$A),MATCH(J$1,enemy_skill_triggers!$1:$1,0)-MATCH($F$1,enemy_skill_triggers!$1:$1,0)+1),MATCH(J$1,enemy_skill_triggers!$1:$1,0)-MATCH($F$1,enemy_skill_triggers!$1:$1,0)+1,FALSE)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50" s="48" t="str">
        <f ca="1">VLOOKUP($F50,OFFSET(enemy_skill_triggers!$A$1,0,0,COUNTA(enemy_skill_triggers!$A:$A),MATCH(K$1,enemy_skill_triggers!$1:$1,0)-MATCH($F$1,enemy_skill_triggers!$1:$1,0)+1),MATCH(K$1,enemy_skill_triggers!$1:$1,0)-MATCH($F$1,enemy_skill_triggers!$1:$1,0)+1,FALSE)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0" s="48">
        <f ca="1">VLOOKUP($F50,OFFSET(enemy_skill_triggers!$A$1,0,0,COUNTA(enemy_skill_triggers!$A:$A),MATCH(L$1,enemy_skill_triggers!$1:$1,0)-MATCH($F$1,enemy_skill_triggers!$1:$1,0)+1),MATCH(L$1,enemy_skill_triggers!$1:$1,0)-MATCH($F$1,enemy_skill_triggers!$1:$1,0)+1,FALSE)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0" s="48" t="str">
        <f ca="1">VLOOKUP($F50,OFFSET(enemy_skill_triggers!$A$1,0,0,COUNTA(enemy_skill_triggers!$A:$A),MATCH(M$1,enemy_skill_triggers!$1:$1,0)-MATCH($F$1,enemy_skill_triggers!$1:$1,0)+1),MATCH(M$1,enemy_skill_triggers!$1:$1,0)-MATCH($F$1,enemy_skill_triggers!$1:$1,0)+1,FALSE)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0" s="48" t="str">
        <f ca="1">VLOOKUP($F50,OFFSET(enemy_skill_triggers!$A$1,0,0,COUNTA(enemy_skill_triggers!$A:$A),MATCH(N$1,enemy_skill_triggers!$1:$1,0)-MATCH($F$1,enemy_skill_triggers!$1:$1,0)+1),MATCH(N$1,enemy_skill_triggers!$1:$1,0)-MATCH($F$1,enemy_skill_triggers!$1:$1,0)+1,FALSE)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0" s="48">
        <f ca="1">VLOOKUP($F50,OFFSET(enemy_skill_triggers!$A$1,0,0,COUNTA(enemy_skill_triggers!$A:$A),MATCH(O$1,enemy_skill_triggers!$1:$1,0)-MATCH($F$1,enemy_skill_triggers!$1:$1,0)+1),MATCH(O$1,enemy_skill_triggers!$1:$1,0)-MATCH($F$1,enemy_skill_triggers!$1:$1,0)+1,FALSE)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0" s="47"/>
      <c r="Q50" s="47"/>
      <c r="R50" s="47"/>
    </row>
    <row r="51" spans="1:18" ht="21" customHeight="1" x14ac:dyDescent="0.15">
      <c r="A51" s="39" t="str">
        <f t="shared" si="7"/>
        <v>47016102_47016123</v>
      </c>
      <c r="B51" s="107">
        <v>47016102</v>
      </c>
      <c r="C51" s="107">
        <v>47016123</v>
      </c>
      <c r="D51" s="46" t="str">
        <f ca="1">VLOOKUP($C51,OFFSET(enemy_skills!$A$1,0,0,COUNTA(enemy_skills!$A:$A),MATCH(D$1,enemy_skills!$1:$1,0)-MATCH("enemy_skill_id",enemy_skills!$1:$1,0)+1),MATCH(D$1,enemy_skills!$1:$1,0)-MATCH("enemy_skill_id",enemy_skills!$1:$1,0)+1,FALSE)</f>
        <v>こっちこないでください〜！</v>
      </c>
      <c r="E51" s="46" t="str">
        <f ca="1">VLOOKUP($C51,OFFSET(enemy_skills!$A$1,0,0,COUNTA(enemy_skills!$A:$A),MATCH(E$1,enemy_skills!$1:$1,0)-MATCH("enemy_skill_id",enemy_skills!$1:$1,0)+1),MATCH(E$1,enemy_skills!$1:$1,0)-MATCH("enemy_skill_id",enemy_skills!$1:$1,0)+1,FALSE)</f>
        <v>青パネルプロテクト(最大8個)+全体攻撃</v>
      </c>
      <c r="F51" s="47">
        <v>47016149</v>
      </c>
      <c r="G51" s="48">
        <f ca="1">VLOOKUP($F51,OFFSET(enemy_skill_triggers!$A$1,0,0,COUNTA(enemy_skill_triggers!$A:$A),MATCH(G$1,enemy_skill_triggers!$1:$1,0)-MATCH($F$1,enemy_skill_triggers!$1:$1,0)+1),MATCH(G$1,enemy_skill_triggers!$1:$1,0)-MATCH($F$1,enemy_skill_triggers!$1:$1,0)+1,FALSE)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1" s="48">
        <f ca="1">VLOOKUP($F51,OFFSET(enemy_skill_triggers!$A$1,0,0,COUNTA(enemy_skill_triggers!$A:$A),MATCH(H$1,enemy_skill_triggers!$1:$1,0)-MATCH($F$1,enemy_skill_triggers!$1:$1,0)+1),MATCH(H$1,enemy_skill_triggers!$1:$1,0)-MATCH($F$1,enemy_skill_triggers!$1:$1,0)+1,FALSE)</f>
        <v>120</v>
      </c>
      <c r="I51" s="48">
        <f ca="1">VLOOKUP($F51,OFFSET(enemy_skill_triggers!$A$1,0,0,COUNTA(enemy_skill_triggers!$A:$A),MATCH(I$1,enemy_skill_triggers!$1:$1,0)-MATCH($F$1,enemy_skill_triggers!$1:$1,0)+1),MATCH(I$1,enemy_skill_triggers!$1:$1,0)-MATCH($F$1,enemy_skill_triggers!$1:$1,0)+1,FALSE)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51" s="48" t="str">
        <f ca="1">VLOOKUP($F51,OFFSET(enemy_skill_triggers!$A$1,0,0,COUNTA(enemy_skill_triggers!$A:$A),MATCH(J$1,enemy_skill_triggers!$1:$1,0)-MATCH($F$1,enemy_skill_triggers!$1:$1,0)+1),MATCH(J$1,enemy_skill_triggers!$1:$1,0)-MATCH($F$1,enemy_skill_triggers!$1:$1,0)+1,FALSE)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1" s="48" t="str">
        <f ca="1">VLOOKUP($F51,OFFSET(enemy_skill_triggers!$A$1,0,0,COUNTA(enemy_skill_triggers!$A:$A),MATCH(K$1,enemy_skill_triggers!$1:$1,0)-MATCH($F$1,enemy_skill_triggers!$1:$1,0)+1),MATCH(K$1,enemy_skill_triggers!$1:$1,0)-MATCH($F$1,enemy_skill_triggers!$1:$1,0)+1,FALSE)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1" s="48" t="str">
        <f ca="1">VLOOKUP($F51,OFFSET(enemy_skill_triggers!$A$1,0,0,COUNTA(enemy_skill_triggers!$A:$A),MATCH(L$1,enemy_skill_triggers!$1:$1,0)-MATCH($F$1,enemy_skill_triggers!$1:$1,0)+1),MATCH(L$1,enemy_skill_triggers!$1:$1,0)-MATCH($F$1,enemy_skill_triggers!$1:$1,0)+1,FALSE)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51" s="48" t="str">
        <f ca="1">VLOOKUP($F51,OFFSET(enemy_skill_triggers!$A$1,0,0,COUNTA(enemy_skill_triggers!$A:$A),MATCH(M$1,enemy_skill_triggers!$1:$1,0)-MATCH($F$1,enemy_skill_triggers!$1:$1,0)+1),MATCH(M$1,enemy_skill_triggers!$1:$1,0)-MATCH($F$1,enemy_skill_triggers!$1:$1,0)+1,FALSE)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1" s="48" t="str">
        <f ca="1">VLOOKUP($F51,OFFSET(enemy_skill_triggers!$A$1,0,0,COUNTA(enemy_skill_triggers!$A:$A),MATCH(N$1,enemy_skill_triggers!$1:$1,0)-MATCH($F$1,enemy_skill_triggers!$1:$1,0)+1),MATCH(N$1,enemy_skill_triggers!$1:$1,0)-MATCH($F$1,enemy_skill_triggers!$1:$1,0)+1,FALSE)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1" s="48">
        <f ca="1">VLOOKUP($F51,OFFSET(enemy_skill_triggers!$A$1,0,0,COUNTA(enemy_skill_triggers!$A:$A),MATCH(O$1,enemy_skill_triggers!$1:$1,0)-MATCH($F$1,enemy_skill_triggers!$1:$1,0)+1),MATCH(O$1,enemy_skill_triggers!$1:$1,0)-MATCH($F$1,enemy_skill_triggers!$1:$1,0)+1,FALSE)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51" s="47"/>
      <c r="Q51" s="47"/>
      <c r="R51" s="47"/>
    </row>
    <row r="52" spans="1:18" ht="21" customHeight="1" x14ac:dyDescent="0.15">
      <c r="A52" s="39" t="str">
        <f t="shared" si="7"/>
        <v>47016102_47016124</v>
      </c>
      <c r="B52" s="107">
        <v>47016102</v>
      </c>
      <c r="C52" s="107">
        <v>47016124</v>
      </c>
      <c r="D52" s="46" t="str">
        <f ca="1">VLOOKUP($C52,OFFSET(enemy_skills!$A$1,0,0,COUNTA(enemy_skills!$A:$A),MATCH(D$1,enemy_skills!$1:$1,0)-MATCH("enemy_skill_id",enemy_skills!$1:$1,0)+1),MATCH(D$1,enemy_skills!$1:$1,0)-MATCH("enemy_skill_id",enemy_skills!$1:$1,0)+1,FALSE)</f>
        <v>お、お返しです…！</v>
      </c>
      <c r="E52" s="46" t="str">
        <f ca="1">VLOOKUP($C52,OFFSET(enemy_skills!$A$1,0,0,COUNTA(enemy_skills!$A:$A),MATCH(E$1,enemy_skills!$1:$1,0)-MATCH("enemy_skill_id",enemy_skills!$1:$1,0)+1),MATCH(E$1,enemy_skills!$1:$1,0)-MATCH("enemy_skill_id",enemy_skills!$1:$1,0)+1,FALSE)</f>
        <v>属性パネルを青パネルに7個変換+2回連続攻撃</v>
      </c>
      <c r="F52" s="47">
        <v>47016150</v>
      </c>
      <c r="G52" s="48">
        <f ca="1">VLOOKUP($F52,OFFSET(enemy_skill_triggers!$A$1,0,0,COUNTA(enemy_skill_triggers!$A:$A),MATCH(G$1,enemy_skill_triggers!$1:$1,0)-MATCH($F$1,enemy_skill_triggers!$1:$1,0)+1),MATCH(G$1,enemy_skill_triggers!$1:$1,0)-MATCH($F$1,enemy_skill_triggers!$1:$1,0)+1,FALSE)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2" s="48">
        <f ca="1">VLOOKUP($F52,OFFSET(enemy_skill_triggers!$A$1,0,0,COUNTA(enemy_skill_triggers!$A:$A),MATCH(H$1,enemy_skill_triggers!$1:$1,0)-MATCH($F$1,enemy_skill_triggers!$1:$1,0)+1),MATCH(H$1,enemy_skill_triggers!$1:$1,0)-MATCH($F$1,enemy_skill_triggers!$1:$1,0)+1,FALSE)</f>
        <v>110</v>
      </c>
      <c r="I52" s="48">
        <f ca="1">VLOOKUP($F52,OFFSET(enemy_skill_triggers!$A$1,0,0,COUNTA(enemy_skill_triggers!$A:$A),MATCH(I$1,enemy_skill_triggers!$1:$1,0)-MATCH($F$1,enemy_skill_triggers!$1:$1,0)+1),MATCH(I$1,enemy_skill_triggers!$1:$1,0)-MATCH($F$1,enemy_skill_triggers!$1:$1,0)+1,FALSE)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2" s="48" t="str">
        <f ca="1">VLOOKUP($F52,OFFSET(enemy_skill_triggers!$A$1,0,0,COUNTA(enemy_skill_triggers!$A:$A),MATCH(J$1,enemy_skill_triggers!$1:$1,0)-MATCH($F$1,enemy_skill_triggers!$1:$1,0)+1),MATCH(J$1,enemy_skill_triggers!$1:$1,0)-MATCH($F$1,enemy_skill_triggers!$1:$1,0)+1,FALSE)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2" s="48" t="str">
        <f ca="1">VLOOKUP($F52,OFFSET(enemy_skill_triggers!$A$1,0,0,COUNTA(enemy_skill_triggers!$A:$A),MATCH(K$1,enemy_skill_triggers!$1:$1,0)-MATCH($F$1,enemy_skill_triggers!$1:$1,0)+1),MATCH(K$1,enemy_skill_triggers!$1:$1,0)-MATCH($F$1,enemy_skill_triggers!$1:$1,0)+1,FALSE)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2" s="48" t="str">
        <f ca="1">VLOOKUP($F52,OFFSET(enemy_skill_triggers!$A$1,0,0,COUNTA(enemy_skill_triggers!$A:$A),MATCH(L$1,enemy_skill_triggers!$1:$1,0)-MATCH($F$1,enemy_skill_triggers!$1:$1,0)+1),MATCH(L$1,enemy_skill_triggers!$1:$1,0)-MATCH($F$1,enemy_skill_triggers!$1:$1,0)+1,FALSE)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52" s="48" t="str">
        <f ca="1">VLOOKUP($F52,OFFSET(enemy_skill_triggers!$A$1,0,0,COUNTA(enemy_skill_triggers!$A:$A),MATCH(M$1,enemy_skill_triggers!$1:$1,0)-MATCH($F$1,enemy_skill_triggers!$1:$1,0)+1),MATCH(M$1,enemy_skill_triggers!$1:$1,0)-MATCH($F$1,enemy_skill_triggers!$1:$1,0)+1,FALSE)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2" s="48" t="str">
        <f ca="1">VLOOKUP($F52,OFFSET(enemy_skill_triggers!$A$1,0,0,COUNTA(enemy_skill_triggers!$A:$A),MATCH(N$1,enemy_skill_triggers!$1:$1,0)-MATCH($F$1,enemy_skill_triggers!$1:$1,0)+1),MATCH(N$1,enemy_skill_triggers!$1:$1,0)-MATCH($F$1,enemy_skill_triggers!$1:$1,0)+1,FALSE)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2" s="48">
        <f ca="1">VLOOKUP($F52,OFFSET(enemy_skill_triggers!$A$1,0,0,COUNTA(enemy_skill_triggers!$A:$A),MATCH(O$1,enemy_skill_triggers!$1:$1,0)-MATCH($F$1,enemy_skill_triggers!$1:$1,0)+1),MATCH(O$1,enemy_skill_triggers!$1:$1,0)-MATCH($F$1,enemy_skill_triggers!$1:$1,0)+1,FALSE)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2" s="47"/>
      <c r="Q52" s="47"/>
      <c r="R52" s="47"/>
    </row>
    <row r="53" spans="1:18" ht="21" customHeight="1" x14ac:dyDescent="0.15">
      <c r="A53" s="39" t="str">
        <f t="shared" si="7"/>
        <v>47016102_47016125</v>
      </c>
      <c r="B53" s="107">
        <v>47016102</v>
      </c>
      <c r="C53" s="107">
        <v>47016125</v>
      </c>
      <c r="D53" s="46" t="str">
        <f ca="1">VLOOKUP($C53,OFFSET(enemy_skills!$A$1,0,0,COUNTA(enemy_skills!$A:$A),MATCH(D$1,enemy_skills!$1:$1,0)-MATCH("enemy_skill_id",enemy_skills!$1:$1,0)+1),MATCH(D$1,enemy_skills!$1:$1,0)-MATCH("enemy_skill_id",enemy_skills!$1:$1,0)+1,FALSE)</f>
        <v>お花にまみれてください〜！</v>
      </c>
      <c r="E53" s="46" t="str">
        <f ca="1">VLOOKUP($C53,OFFSET(enemy_skills!$A$1,0,0,COUNTA(enemy_skills!$A:$A),MATCH(E$1,enemy_skills!$1:$1,0)-MATCH("enemy_skill_id",enemy_skills!$1:$1,0)+1),MATCH(E$1,enemy_skills!$1:$1,0)-MATCH("enemy_skill_id",enemy_skills!$1:$1,0)+1,FALSE)</f>
        <v>祝福の青いバラです〜！_x000D_【特定エリアを青パネルに変換+_x000D_　青パネルプロテクト+単体攻撃】</v>
      </c>
      <c r="F53" s="47">
        <v>47016151</v>
      </c>
      <c r="G53" s="48">
        <f ca="1">VLOOKUP($F53,OFFSET(enemy_skill_triggers!$A$1,0,0,COUNTA(enemy_skill_triggers!$A:$A),MATCH(G$1,enemy_skill_triggers!$1:$1,0)-MATCH($F$1,enemy_skill_triggers!$1:$1,0)+1),MATCH(G$1,enemy_skill_triggers!$1:$1,0)-MATCH($F$1,enemy_skill_triggers!$1:$1,0)+1,FALSE)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3" s="48">
        <f ca="1">VLOOKUP($F53,OFFSET(enemy_skill_triggers!$A$1,0,0,COUNTA(enemy_skill_triggers!$A:$A),MATCH(H$1,enemy_skill_triggers!$1:$1,0)-MATCH($F$1,enemy_skill_triggers!$1:$1,0)+1),MATCH(H$1,enemy_skill_triggers!$1:$1,0)-MATCH($F$1,enemy_skill_triggers!$1:$1,0)+1,FALSE)</f>
        <v>350</v>
      </c>
      <c r="I53" s="48">
        <f ca="1">VLOOKUP($F53,OFFSET(enemy_skill_triggers!$A$1,0,0,COUNTA(enemy_skill_triggers!$A:$A),MATCH(I$1,enemy_skill_triggers!$1:$1,0)-MATCH($F$1,enemy_skill_triggers!$1:$1,0)+1),MATCH(I$1,enemy_skill_triggers!$1:$1,0)-MATCH($F$1,enemy_skill_triggers!$1:$1,0)+1,FALSE)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3" s="48">
        <f ca="1">VLOOKUP($F53,OFFSET(enemy_skill_triggers!$A$1,0,0,COUNTA(enemy_skill_triggers!$A:$A),MATCH(J$1,enemy_skill_triggers!$1:$1,0)-MATCH($F$1,enemy_skill_triggers!$1:$1,0)+1),MATCH(J$1,enemy_skill_triggers!$1:$1,0)-MATCH($F$1,enemy_skill_triggers!$1:$1,0)+1,FALSE)</f>
        <v>20</v>
      </c>
      <c r="K53" s="48" t="str">
        <f ca="1">VLOOKUP($F53,OFFSET(enemy_skill_triggers!$A$1,0,0,COUNTA(enemy_skill_triggers!$A:$A),MATCH(K$1,enemy_skill_triggers!$1:$1,0)-MATCH($F$1,enemy_skill_triggers!$1:$1,0)+1),MATCH(K$1,enemy_skill_triggers!$1:$1,0)-MATCH($F$1,enemy_skill_triggers!$1:$1,0)+1,FALSE)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3" s="48">
        <f ca="1">VLOOKUP($F53,OFFSET(enemy_skill_triggers!$A$1,0,0,COUNTA(enemy_skill_triggers!$A:$A),MATCH(L$1,enemy_skill_triggers!$1:$1,0)-MATCH($F$1,enemy_skill_triggers!$1:$1,0)+1),MATCH(L$1,enemy_skill_triggers!$1:$1,0)-MATCH($F$1,enemy_skill_triggers!$1:$1,0)+1,FALSE)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3" s="48" t="str">
        <f ca="1">VLOOKUP($F53,OFFSET(enemy_skill_triggers!$A$1,0,0,COUNTA(enemy_skill_triggers!$A:$A),MATCH(M$1,enemy_skill_triggers!$1:$1,0)-MATCH($F$1,enemy_skill_triggers!$1:$1,0)+1),MATCH(M$1,enemy_skill_triggers!$1:$1,0)-MATCH($F$1,enemy_skill_triggers!$1:$1,0)+1,FALSE)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3" s="48" t="str">
        <f ca="1">VLOOKUP($F53,OFFSET(enemy_skill_triggers!$A$1,0,0,COUNTA(enemy_skill_triggers!$A:$A),MATCH(N$1,enemy_skill_triggers!$1:$1,0)-MATCH($F$1,enemy_skill_triggers!$1:$1,0)+1),MATCH(N$1,enemy_skill_triggers!$1:$1,0)-MATCH($F$1,enemy_skill_triggers!$1:$1,0)+1,FALSE)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3" s="48">
        <f ca="1">VLOOKUP($F53,OFFSET(enemy_skill_triggers!$A$1,0,0,COUNTA(enemy_skill_triggers!$A:$A),MATCH(O$1,enemy_skill_triggers!$1:$1,0)-MATCH($F$1,enemy_skill_triggers!$1:$1,0)+1),MATCH(O$1,enemy_skill_triggers!$1:$1,0)-MATCH($F$1,enemy_skill_triggers!$1:$1,0)+1,FALSE)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3" s="47"/>
      <c r="Q53" s="47"/>
      <c r="R53" s="47"/>
    </row>
    <row r="54" spans="1:18" ht="21" customHeight="1" x14ac:dyDescent="0.15">
      <c r="A54" s="39" t="str">
        <f t="shared" si="7"/>
        <v>47016103_47016126</v>
      </c>
      <c r="B54" s="109">
        <v>47016103</v>
      </c>
      <c r="C54" s="109">
        <v>47016126</v>
      </c>
      <c r="D54" s="46" t="str">
        <f ca="1">VLOOKUP($C54,OFFSET(enemy_skills!$A$1,0,0,COUNTA(enemy_skills!$A:$A),MATCH(D$1,enemy_skills!$1:$1,0)-MATCH("enemy_skill_id",enemy_skills!$1:$1,0)+1),MATCH(D$1,enemy_skills!$1:$1,0)-MATCH("enemy_skill_id",enemy_skills!$1:$1,0)+1,FALSE)</f>
        <v>ん？あたしに用事？</v>
      </c>
      <c r="E54" s="46" t="str">
        <f ca="1">VLOOKUP($C54,OFFSET(enemy_skills!$A$1,0,0,COUNTA(enemy_skills!$A:$A),MATCH(E$1,enemy_skills!$1:$1,0)-MATCH("enemy_skill_id",enemy_skills!$1:$1,0)+1),MATCH(E$1,enemy_skills!$1:$1,0)-MATCH("enemy_skill_id",enemy_skills!$1:$1,0)+1,FALSE)</f>
        <v>状態異常耐性+_x000D_特定エリアを赤・緑パネルに変換</v>
      </c>
      <c r="F54" s="47">
        <v>47016152</v>
      </c>
      <c r="G54" s="48">
        <f ca="1">VLOOKUP($F54,OFFSET(enemy_skill_triggers!$A$1,0,0,COUNTA(enemy_skill_triggers!$A:$A),MATCH(G$1,enemy_skill_triggers!$1:$1,0)-MATCH($F$1,enemy_skill_triggers!$1:$1,0)+1),MATCH(G$1,enemy_skill_triggers!$1:$1,0)-MATCH($F$1,enemy_skill_triggers!$1:$1,0)+1,FALSE)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4" s="48">
        <f ca="1">VLOOKUP($F54,OFFSET(enemy_skill_triggers!$A$1,0,0,COUNTA(enemy_skill_triggers!$A:$A),MATCH(H$1,enemy_skill_triggers!$1:$1,0)-MATCH($F$1,enemy_skill_triggers!$1:$1,0)+1),MATCH(H$1,enemy_skill_triggers!$1:$1,0)-MATCH($F$1,enemy_skill_triggers!$1:$1,0)+1,FALSE)</f>
        <v>450</v>
      </c>
      <c r="I54" s="48">
        <f ca="1">VLOOKUP($F54,OFFSET(enemy_skill_triggers!$A$1,0,0,COUNTA(enemy_skill_triggers!$A:$A),MATCH(I$1,enemy_skill_triggers!$1:$1,0)-MATCH($F$1,enemy_skill_triggers!$1:$1,0)+1),MATCH(I$1,enemy_skill_triggers!$1:$1,0)-MATCH($F$1,enemy_skill_triggers!$1:$1,0)+1,FALSE)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4" s="48" t="str">
        <f ca="1">VLOOKUP($F54,OFFSET(enemy_skill_triggers!$A$1,0,0,COUNTA(enemy_skill_triggers!$A:$A),MATCH(J$1,enemy_skill_triggers!$1:$1,0)-MATCH($F$1,enemy_skill_triggers!$1:$1,0)+1),MATCH(J$1,enemy_skill_triggers!$1:$1,0)-MATCH($F$1,enemy_skill_triggers!$1:$1,0)+1,FALSE)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4" s="48" t="str">
        <f ca="1">VLOOKUP($F54,OFFSET(enemy_skill_triggers!$A$1,0,0,COUNTA(enemy_skill_triggers!$A:$A),MATCH(K$1,enemy_skill_triggers!$1:$1,0)-MATCH($F$1,enemy_skill_triggers!$1:$1,0)+1),MATCH(K$1,enemy_skill_triggers!$1:$1,0)-MATCH($F$1,enemy_skill_triggers!$1:$1,0)+1,FALSE)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4" s="48">
        <f ca="1">VLOOKUP($F54,OFFSET(enemy_skill_triggers!$A$1,0,0,COUNTA(enemy_skill_triggers!$A:$A),MATCH(L$1,enemy_skill_triggers!$1:$1,0)-MATCH($F$1,enemy_skill_triggers!$1:$1,0)+1),MATCH(L$1,enemy_skill_triggers!$1:$1,0)-MATCH($F$1,enemy_skill_triggers!$1:$1,0)+1,FALSE)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4" s="48" t="str">
        <f ca="1">VLOOKUP($F54,OFFSET(enemy_skill_triggers!$A$1,0,0,COUNTA(enemy_skill_triggers!$A:$A),MATCH(M$1,enemy_skill_triggers!$1:$1,0)-MATCH($F$1,enemy_skill_triggers!$1:$1,0)+1),MATCH(M$1,enemy_skill_triggers!$1:$1,0)-MATCH($F$1,enemy_skill_triggers!$1:$1,0)+1,FALSE)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4" s="48" t="str">
        <f ca="1">VLOOKUP($F54,OFFSET(enemy_skill_triggers!$A$1,0,0,COUNTA(enemy_skill_triggers!$A:$A),MATCH(N$1,enemy_skill_triggers!$1:$1,0)-MATCH($F$1,enemy_skill_triggers!$1:$1,0)+1),MATCH(N$1,enemy_skill_triggers!$1:$1,0)-MATCH($F$1,enemy_skill_triggers!$1:$1,0)+1,FALSE)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4" s="48">
        <f ca="1">VLOOKUP($F54,OFFSET(enemy_skill_triggers!$A$1,0,0,COUNTA(enemy_skill_triggers!$A:$A),MATCH(O$1,enemy_skill_triggers!$1:$1,0)-MATCH($F$1,enemy_skill_triggers!$1:$1,0)+1),MATCH(O$1,enemy_skill_triggers!$1:$1,0)-MATCH($F$1,enemy_skill_triggers!$1:$1,0)+1,FALSE)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4" s="47"/>
      <c r="Q54" s="47"/>
      <c r="R54" s="47"/>
    </row>
    <row r="55" spans="1:18" ht="21" customHeight="1" x14ac:dyDescent="0.15">
      <c r="A55" s="39" t="str">
        <f t="shared" si="7"/>
        <v>47016103_47016127</v>
      </c>
      <c r="B55" s="109">
        <v>47016103</v>
      </c>
      <c r="C55" s="109">
        <v>47016127</v>
      </c>
      <c r="D55" s="46" t="str">
        <f ca="1">VLOOKUP($C55,OFFSET(enemy_skills!$A$1,0,0,COUNTA(enemy_skills!$A:$A),MATCH(D$1,enemy_skills!$1:$1,0)-MATCH("enemy_skill_id",enemy_skills!$1:$1,0)+1),MATCH(D$1,enemy_skills!$1:$1,0)-MATCH("enemy_skill_id",enemy_skills!$1:$1,0)+1,FALSE)</f>
        <v>さぁ、これを凌げるかしら！</v>
      </c>
      <c r="E55" s="46" t="str">
        <f ca="1">VLOOKUP($C55,OFFSET(enemy_skills!$A$1,0,0,COUNTA(enemy_skills!$A:$A),MATCH(E$1,enemy_skills!$1:$1,0)-MATCH("enemy_skill_id",enemy_skills!$1:$1,0)+1),MATCH(E$1,enemy_skills!$1:$1,0)-MATCH("enemy_skill_id",enemy_skills!$1:$1,0)+1,FALSE)</f>
        <v>5ターン赤パネルはプロテクトされてドロップ</v>
      </c>
      <c r="F55" s="47">
        <v>47016153</v>
      </c>
      <c r="G55" s="48">
        <f ca="1">VLOOKUP($F55,OFFSET(enemy_skill_triggers!$A$1,0,0,COUNTA(enemy_skill_triggers!$A:$A),MATCH(G$1,enemy_skill_triggers!$1:$1,0)-MATCH($F$1,enemy_skill_triggers!$1:$1,0)+1),MATCH(G$1,enemy_skill_triggers!$1:$1,0)-MATCH($F$1,enemy_skill_triggers!$1:$1,0)+1,FALSE)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5" s="48">
        <f ca="1">VLOOKUP($F55,OFFSET(enemy_skill_triggers!$A$1,0,0,COUNTA(enemy_skill_triggers!$A:$A),MATCH(H$1,enemy_skill_triggers!$1:$1,0)-MATCH($F$1,enemy_skill_triggers!$1:$1,0)+1),MATCH(H$1,enemy_skill_triggers!$1:$1,0)-MATCH($F$1,enemy_skill_triggers!$1:$1,0)+1,FALSE)</f>
        <v>400</v>
      </c>
      <c r="I55" s="48">
        <f ca="1">VLOOKUP($F55,OFFSET(enemy_skill_triggers!$A$1,0,0,COUNTA(enemy_skill_triggers!$A:$A),MATCH(I$1,enemy_skill_triggers!$1:$1,0)-MATCH($F$1,enemy_skill_triggers!$1:$1,0)+1),MATCH(I$1,enemy_skill_triggers!$1:$1,0)-MATCH($F$1,enemy_skill_triggers!$1:$1,0)+1,FALSE)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5" s="48" t="str">
        <f ca="1">VLOOKUP($F55,OFFSET(enemy_skill_triggers!$A$1,0,0,COUNTA(enemy_skill_triggers!$A:$A),MATCH(J$1,enemy_skill_triggers!$1:$1,0)-MATCH($F$1,enemy_skill_triggers!$1:$1,0)+1),MATCH(J$1,enemy_skill_triggers!$1:$1,0)-MATCH($F$1,enemy_skill_triggers!$1:$1,0)+1,FALSE)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5" s="48" t="str">
        <f ca="1">VLOOKUP($F55,OFFSET(enemy_skill_triggers!$A$1,0,0,COUNTA(enemy_skill_triggers!$A:$A),MATCH(K$1,enemy_skill_triggers!$1:$1,0)-MATCH($F$1,enemy_skill_triggers!$1:$1,0)+1),MATCH(K$1,enemy_skill_triggers!$1:$1,0)-MATCH($F$1,enemy_skill_triggers!$1:$1,0)+1,FALSE)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5" s="48">
        <f ca="1">VLOOKUP($F55,OFFSET(enemy_skill_triggers!$A$1,0,0,COUNTA(enemy_skill_triggers!$A:$A),MATCH(L$1,enemy_skill_triggers!$1:$1,0)-MATCH($F$1,enemy_skill_triggers!$1:$1,0)+1),MATCH(L$1,enemy_skill_triggers!$1:$1,0)-MATCH($F$1,enemy_skill_triggers!$1:$1,0)+1,FALSE)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5" s="48">
        <f ca="1">VLOOKUP($F55,OFFSET(enemy_skill_triggers!$A$1,0,0,COUNTA(enemy_skill_triggers!$A:$A),MATCH(M$1,enemy_skill_triggers!$1:$1,0)-MATCH($F$1,enemy_skill_triggers!$1:$1,0)+1),MATCH(M$1,enemy_skill_triggers!$1:$1,0)-MATCH($F$1,enemy_skill_triggers!$1:$1,0)+1,FALSE)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55" s="48" t="str">
        <f ca="1">VLOOKUP($F55,OFFSET(enemy_skill_triggers!$A$1,0,0,COUNTA(enemy_skill_triggers!$A:$A),MATCH(N$1,enemy_skill_triggers!$1:$1,0)-MATCH($F$1,enemy_skill_triggers!$1:$1,0)+1),MATCH(N$1,enemy_skill_triggers!$1:$1,0)-MATCH($F$1,enemy_skill_triggers!$1:$1,0)+1,FALSE)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5" s="48">
        <f ca="1">VLOOKUP($F55,OFFSET(enemy_skill_triggers!$A$1,0,0,COUNTA(enemy_skill_triggers!$A:$A),MATCH(O$1,enemy_skill_triggers!$1:$1,0)-MATCH($F$1,enemy_skill_triggers!$1:$1,0)+1),MATCH(O$1,enemy_skill_triggers!$1:$1,0)-MATCH($F$1,enemy_skill_triggers!$1:$1,0)+1,FALSE)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5" s="47"/>
      <c r="Q55" s="47"/>
      <c r="R55" s="47"/>
    </row>
    <row r="56" spans="1:18" ht="21" customHeight="1" x14ac:dyDescent="0.15">
      <c r="A56" s="39" t="str">
        <f t="shared" si="7"/>
        <v>47016103_47016129</v>
      </c>
      <c r="B56" s="109">
        <v>47016103</v>
      </c>
      <c r="C56" s="109">
        <v>47016129</v>
      </c>
      <c r="D56" s="46" t="str">
        <f ca="1">VLOOKUP($C56,OFFSET(enemy_skills!$A$1,0,0,COUNTA(enemy_skills!$A:$A),MATCH(D$1,enemy_skills!$1:$1,0)-MATCH("enemy_skill_id",enemy_skills!$1:$1,0)+1),MATCH(D$1,enemy_skills!$1:$1,0)-MATCH("enemy_skill_id",enemy_skills!$1:$1,0)+1,FALSE)</f>
        <v>この衣装、可愛いでしょ？</v>
      </c>
      <c r="E56" s="46" t="str">
        <f ca="1">VLOOKUP($C56,OFFSET(enemy_skills!$A$1,0,0,COUNTA(enemy_skills!$A:$A),MATCH(E$1,enemy_skills!$1:$1,0)-MATCH("enemy_skill_id",enemy_skills!$1:$1,0)+1),MATCH(E$1,enemy_skills!$1:$1,0)-MATCH("enemy_skill_id",enemy_skills!$1:$1,0)+1,FALSE)</f>
        <v>属性パネルを赤パネルに5個変換+_x000D_2回連続攻撃</v>
      </c>
      <c r="F56" s="47">
        <v>47016155</v>
      </c>
      <c r="G56" s="48">
        <f ca="1">VLOOKUP($F56,OFFSET(enemy_skill_triggers!$A$1,0,0,COUNTA(enemy_skill_triggers!$A:$A),MATCH(G$1,enemy_skill_triggers!$1:$1,0)-MATCH($F$1,enemy_skill_triggers!$1:$1,0)+1),MATCH(G$1,enemy_skill_triggers!$1:$1,0)-MATCH($F$1,enemy_skill_triggers!$1:$1,0)+1,FALSE)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6" s="48">
        <f ca="1">VLOOKUP($F56,OFFSET(enemy_skill_triggers!$A$1,0,0,COUNTA(enemy_skill_triggers!$A:$A),MATCH(H$1,enemy_skill_triggers!$1:$1,0)-MATCH($F$1,enemy_skill_triggers!$1:$1,0)+1),MATCH(H$1,enemy_skill_triggers!$1:$1,0)-MATCH($F$1,enemy_skill_triggers!$1:$1,0)+1,FALSE)</f>
        <v>140</v>
      </c>
      <c r="I56" s="48">
        <f ca="1">VLOOKUP($F56,OFFSET(enemy_skill_triggers!$A$1,0,0,COUNTA(enemy_skill_triggers!$A:$A),MATCH(I$1,enemy_skill_triggers!$1:$1,0)-MATCH($F$1,enemy_skill_triggers!$1:$1,0)+1),MATCH(I$1,enemy_skill_triggers!$1:$1,0)-MATCH($F$1,enemy_skill_triggers!$1:$1,0)+1,FALSE)</f>
        <v>25</v>
      </c>
      <c r="J56" s="48" t="str">
        <f ca="1">VLOOKUP($F56,OFFSET(enemy_skill_triggers!$A$1,0,0,COUNTA(enemy_skill_triggers!$A:$A),MATCH(J$1,enemy_skill_triggers!$1:$1,0)-MATCH($F$1,enemy_skill_triggers!$1:$1,0)+1),MATCH(J$1,enemy_skill_triggers!$1:$1,0)-MATCH($F$1,enemy_skill_triggers!$1:$1,0)+1,FALSE)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6" s="48" t="str">
        <f ca="1">VLOOKUP($F56,OFFSET(enemy_skill_triggers!$A$1,0,0,COUNTA(enemy_skill_triggers!$A:$A),MATCH(K$1,enemy_skill_triggers!$1:$1,0)-MATCH($F$1,enemy_skill_triggers!$1:$1,0)+1),MATCH(K$1,enemy_skill_triggers!$1:$1,0)-MATCH($F$1,enemy_skill_triggers!$1:$1,0)+1,FALSE)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6" s="48" t="str">
        <f ca="1">VLOOKUP($F56,OFFSET(enemy_skill_triggers!$A$1,0,0,COUNTA(enemy_skill_triggers!$A:$A),MATCH(L$1,enemy_skill_triggers!$1:$1,0)-MATCH($F$1,enemy_skill_triggers!$1:$1,0)+1),MATCH(L$1,enemy_skill_triggers!$1:$1,0)-MATCH($F$1,enemy_skill_triggers!$1:$1,0)+1,FALSE)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56" s="48" t="str">
        <f ca="1">VLOOKUP($F56,OFFSET(enemy_skill_triggers!$A$1,0,0,COUNTA(enemy_skill_triggers!$A:$A),MATCH(M$1,enemy_skill_triggers!$1:$1,0)-MATCH($F$1,enemy_skill_triggers!$1:$1,0)+1),MATCH(M$1,enemy_skill_triggers!$1:$1,0)-MATCH($F$1,enemy_skill_triggers!$1:$1,0)+1,FALSE)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6" s="48" t="str">
        <f ca="1">VLOOKUP($F56,OFFSET(enemy_skill_triggers!$A$1,0,0,COUNTA(enemy_skill_triggers!$A:$A),MATCH(N$1,enemy_skill_triggers!$1:$1,0)-MATCH($F$1,enemy_skill_triggers!$1:$1,0)+1),MATCH(N$1,enemy_skill_triggers!$1:$1,0)-MATCH($F$1,enemy_skill_triggers!$1:$1,0)+1,FALSE)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6" s="48">
        <f ca="1">VLOOKUP($F56,OFFSET(enemy_skill_triggers!$A$1,0,0,COUNTA(enemy_skill_triggers!$A:$A),MATCH(O$1,enemy_skill_triggers!$1:$1,0)-MATCH($F$1,enemy_skill_triggers!$1:$1,0)+1),MATCH(O$1,enemy_skill_triggers!$1:$1,0)-MATCH($F$1,enemy_skill_triggers!$1:$1,0)+1,FALSE)</f>
        <v>25</v>
      </c>
      <c r="P56" s="47"/>
      <c r="Q56" s="47"/>
      <c r="R56" s="47"/>
    </row>
    <row r="57" spans="1:18" ht="21" customHeight="1" x14ac:dyDescent="0.15">
      <c r="A57" s="39" t="str">
        <f t="shared" si="7"/>
        <v>47016103_47016130</v>
      </c>
      <c r="B57" s="109">
        <v>47016103</v>
      </c>
      <c r="C57" s="109">
        <v>47016130</v>
      </c>
      <c r="D57" s="46" t="str">
        <f ca="1">VLOOKUP($C57,OFFSET(enemy_skills!$A$1,0,0,COUNTA(enemy_skills!$A:$A),MATCH(D$1,enemy_skills!$1:$1,0)-MATCH("enemy_skill_id",enemy_skills!$1:$1,0)+1),MATCH(D$1,enemy_skills!$1:$1,0)-MATCH("enemy_skill_id",enemy_skills!$1:$1,0)+1,FALSE)</f>
        <v>あたしの心は燃えてるのよ！</v>
      </c>
      <c r="E57" s="46" t="str">
        <f ca="1">VLOOKUP($C57,OFFSET(enemy_skills!$A$1,0,0,COUNTA(enemy_skills!$A:$A),MATCH(E$1,enemy_skills!$1:$1,0)-MATCH("enemy_skill_id",enemy_skills!$1:$1,0)+1),MATCH(E$1,enemy_skills!$1:$1,0)-MATCH("enemy_skill_id",enemy_skills!$1:$1,0)+1,FALSE)</f>
        <v>青パネルを赤パネルに5個変換+単体攻撃</v>
      </c>
      <c r="F57" s="47">
        <v>47016156</v>
      </c>
      <c r="G57" s="48">
        <f ca="1">VLOOKUP($F57,OFFSET(enemy_skill_triggers!$A$1,0,0,COUNTA(enemy_skill_triggers!$A:$A),MATCH(G$1,enemy_skill_triggers!$1:$1,0)-MATCH($F$1,enemy_skill_triggers!$1:$1,0)+1),MATCH(G$1,enemy_skill_triggers!$1:$1,0)-MATCH($F$1,enemy_skill_triggers!$1:$1,0)+1,FALSE)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7" s="48">
        <f ca="1">VLOOKUP($F57,OFFSET(enemy_skill_triggers!$A$1,0,0,COUNTA(enemy_skill_triggers!$A:$A),MATCH(H$1,enemy_skill_triggers!$1:$1,0)-MATCH($F$1,enemy_skill_triggers!$1:$1,0)+1),MATCH(H$1,enemy_skill_triggers!$1:$1,0)-MATCH($F$1,enemy_skill_triggers!$1:$1,0)+1,FALSE)</f>
        <v>130</v>
      </c>
      <c r="I57" s="48">
        <f ca="1">VLOOKUP($F57,OFFSET(enemy_skill_triggers!$A$1,0,0,COUNTA(enemy_skill_triggers!$A:$A),MATCH(I$1,enemy_skill_triggers!$1:$1,0)-MATCH($F$1,enemy_skill_triggers!$1:$1,0)+1),MATCH(I$1,enemy_skill_triggers!$1:$1,0)-MATCH($F$1,enemy_skill_triggers!$1:$1,0)+1,FALSE)</f>
        <v>33</v>
      </c>
      <c r="J57" s="48" t="str">
        <f ca="1">VLOOKUP($F57,OFFSET(enemy_skill_triggers!$A$1,0,0,COUNTA(enemy_skill_triggers!$A:$A),MATCH(J$1,enemy_skill_triggers!$1:$1,0)-MATCH($F$1,enemy_skill_triggers!$1:$1,0)+1),MATCH(J$1,enemy_skill_triggers!$1:$1,0)-MATCH($F$1,enemy_skill_triggers!$1:$1,0)+1,FALSE)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7" s="48" t="str">
        <f ca="1">VLOOKUP($F57,OFFSET(enemy_skill_triggers!$A$1,0,0,COUNTA(enemy_skill_triggers!$A:$A),MATCH(K$1,enemy_skill_triggers!$1:$1,0)-MATCH($F$1,enemy_skill_triggers!$1:$1,0)+1),MATCH(K$1,enemy_skill_triggers!$1:$1,0)-MATCH($F$1,enemy_skill_triggers!$1:$1,0)+1,FALSE)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7" s="48" t="str">
        <f ca="1">VLOOKUP($F57,OFFSET(enemy_skill_triggers!$A$1,0,0,COUNTA(enemy_skill_triggers!$A:$A),MATCH(L$1,enemy_skill_triggers!$1:$1,0)-MATCH($F$1,enemy_skill_triggers!$1:$1,0)+1),MATCH(L$1,enemy_skill_triggers!$1:$1,0)-MATCH($F$1,enemy_skill_triggers!$1:$1,0)+1,FALSE)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57" s="48" t="str">
        <f ca="1">VLOOKUP($F57,OFFSET(enemy_skill_triggers!$A$1,0,0,COUNTA(enemy_skill_triggers!$A:$A),MATCH(M$1,enemy_skill_triggers!$1:$1,0)-MATCH($F$1,enemy_skill_triggers!$1:$1,0)+1),MATCH(M$1,enemy_skill_triggers!$1:$1,0)-MATCH($F$1,enemy_skill_triggers!$1:$1,0)+1,FALSE)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7" s="48" t="str">
        <f ca="1">VLOOKUP($F57,OFFSET(enemy_skill_triggers!$A$1,0,0,COUNTA(enemy_skill_triggers!$A:$A),MATCH(N$1,enemy_skill_triggers!$1:$1,0)-MATCH($F$1,enemy_skill_triggers!$1:$1,0)+1),MATCH(N$1,enemy_skill_triggers!$1:$1,0)-MATCH($F$1,enemy_skill_triggers!$1:$1,0)+1,FALSE)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7" s="48">
        <f ca="1">VLOOKUP($F57,OFFSET(enemy_skill_triggers!$A$1,0,0,COUNTA(enemy_skill_triggers!$A:$A),MATCH(O$1,enemy_skill_triggers!$1:$1,0)-MATCH($F$1,enemy_skill_triggers!$1:$1,0)+1),MATCH(O$1,enemy_skill_triggers!$1:$1,0)-MATCH($F$1,enemy_skill_triggers!$1:$1,0)+1,FALSE)</f>
        <v>33</v>
      </c>
      <c r="P57" s="47"/>
      <c r="Q57" s="47"/>
      <c r="R57" s="47"/>
    </row>
    <row r="58" spans="1:18" ht="21" customHeight="1" x14ac:dyDescent="0.15">
      <c r="A58" s="39" t="str">
        <f t="shared" si="7"/>
        <v>47016103_47016131</v>
      </c>
      <c r="B58" s="109">
        <v>47016103</v>
      </c>
      <c r="C58" s="109">
        <v>47016131</v>
      </c>
      <c r="D58" s="46" t="str">
        <f ca="1">VLOOKUP($C58,OFFSET(enemy_skills!$A$1,0,0,COUNTA(enemy_skills!$A:$A),MATCH(D$1,enemy_skills!$1:$1,0)-MATCH("enemy_skill_id",enemy_skills!$1:$1,0)+1),MATCH(D$1,enemy_skills!$1:$1,0)-MATCH("enemy_skill_id",enemy_skills!$1:$1,0)+1,FALSE)</f>
        <v>一緒にレッドカーペットを歩きましょ？</v>
      </c>
      <c r="E58" s="46" t="str">
        <f ca="1">VLOOKUP($C58,OFFSET(enemy_skills!$A$1,0,0,COUNTA(enemy_skills!$A:$A),MATCH(E$1,enemy_skills!$1:$1,0)-MATCH("enemy_skill_id",enemy_skills!$1:$1,0)+1),MATCH(E$1,enemy_skills!$1:$1,0)-MATCH("enemy_skill_id",enemy_skills!$1:$1,0)+1,FALSE)</f>
        <v>特定エリアを赤パネルに変換+単体攻撃</v>
      </c>
      <c r="F58" s="47">
        <v>47016157</v>
      </c>
      <c r="G58" s="48">
        <f ca="1">VLOOKUP($F58,OFFSET(enemy_skill_triggers!$A$1,0,0,COUNTA(enemy_skill_triggers!$A:$A),MATCH(G$1,enemy_skill_triggers!$1:$1,0)-MATCH($F$1,enemy_skill_triggers!$1:$1,0)+1),MATCH(G$1,enemy_skill_triggers!$1:$1,0)-MATCH($F$1,enemy_skill_triggers!$1:$1,0)+1,FALSE)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8" s="48">
        <f ca="1">VLOOKUP($F58,OFFSET(enemy_skill_triggers!$A$1,0,0,COUNTA(enemy_skill_triggers!$A:$A),MATCH(H$1,enemy_skill_triggers!$1:$1,0)-MATCH($F$1,enemy_skill_triggers!$1:$1,0)+1),MATCH(H$1,enemy_skill_triggers!$1:$1,0)-MATCH($F$1,enemy_skill_triggers!$1:$1,0)+1,FALSE)</f>
        <v>120</v>
      </c>
      <c r="I58" s="48">
        <f ca="1">VLOOKUP($F58,OFFSET(enemy_skill_triggers!$A$1,0,0,COUNTA(enemy_skill_triggers!$A:$A),MATCH(I$1,enemy_skill_triggers!$1:$1,0)-MATCH($F$1,enemy_skill_triggers!$1:$1,0)+1),MATCH(I$1,enemy_skill_triggers!$1:$1,0)-MATCH($F$1,enemy_skill_triggers!$1:$1,0)+1,FALSE)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58" s="48" t="str">
        <f ca="1">VLOOKUP($F58,OFFSET(enemy_skill_triggers!$A$1,0,0,COUNTA(enemy_skill_triggers!$A:$A),MATCH(J$1,enemy_skill_triggers!$1:$1,0)-MATCH($F$1,enemy_skill_triggers!$1:$1,0)+1),MATCH(J$1,enemy_skill_triggers!$1:$1,0)-MATCH($F$1,enemy_skill_triggers!$1:$1,0)+1,FALSE)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8" s="48" t="str">
        <f ca="1">VLOOKUP($F58,OFFSET(enemy_skill_triggers!$A$1,0,0,COUNTA(enemy_skill_triggers!$A:$A),MATCH(K$1,enemy_skill_triggers!$1:$1,0)-MATCH($F$1,enemy_skill_triggers!$1:$1,0)+1),MATCH(K$1,enemy_skill_triggers!$1:$1,0)-MATCH($F$1,enemy_skill_triggers!$1:$1,0)+1,FALSE)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8" s="48" t="str">
        <f ca="1">VLOOKUP($F58,OFFSET(enemy_skill_triggers!$A$1,0,0,COUNTA(enemy_skill_triggers!$A:$A),MATCH(L$1,enemy_skill_triggers!$1:$1,0)-MATCH($F$1,enemy_skill_triggers!$1:$1,0)+1),MATCH(L$1,enemy_skill_triggers!$1:$1,0)-MATCH($F$1,enemy_skill_triggers!$1:$1,0)+1,FALSE)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58" s="48" t="str">
        <f ca="1">VLOOKUP($F58,OFFSET(enemy_skill_triggers!$A$1,0,0,COUNTA(enemy_skill_triggers!$A:$A),MATCH(M$1,enemy_skill_triggers!$1:$1,0)-MATCH($F$1,enemy_skill_triggers!$1:$1,0)+1),MATCH(M$1,enemy_skill_triggers!$1:$1,0)-MATCH($F$1,enemy_skill_triggers!$1:$1,0)+1,FALSE)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8" s="48" t="str">
        <f ca="1">VLOOKUP($F58,OFFSET(enemy_skill_triggers!$A$1,0,0,COUNTA(enemy_skill_triggers!$A:$A),MATCH(N$1,enemy_skill_triggers!$1:$1,0)-MATCH($F$1,enemy_skill_triggers!$1:$1,0)+1),MATCH(N$1,enemy_skill_triggers!$1:$1,0)-MATCH($F$1,enemy_skill_triggers!$1:$1,0)+1,FALSE)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8" s="48">
        <f ca="1">VLOOKUP($F58,OFFSET(enemy_skill_triggers!$A$1,0,0,COUNTA(enemy_skill_triggers!$A:$A),MATCH(O$1,enemy_skill_triggers!$1:$1,0)-MATCH($F$1,enemy_skill_triggers!$1:$1,0)+1),MATCH(O$1,enemy_skill_triggers!$1:$1,0)-MATCH($F$1,enemy_skill_triggers!$1:$1,0)+1,FALSE)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58" s="47"/>
      <c r="Q58" s="47"/>
      <c r="R58" s="47"/>
    </row>
    <row r="59" spans="1:18" ht="21" customHeight="1" x14ac:dyDescent="0.15">
      <c r="A59" s="39" t="str">
        <f t="shared" si="7"/>
        <v>47016103_47016132</v>
      </c>
      <c r="B59" s="109">
        <v>47016103</v>
      </c>
      <c r="C59" s="109">
        <v>47016132</v>
      </c>
      <c r="D59" s="46" t="str">
        <f ca="1">VLOOKUP($C59,OFFSET(enemy_skills!$A$1,0,0,COUNTA(enemy_skills!$A:$A),MATCH(D$1,enemy_skills!$1:$1,0)-MATCH("enemy_skill_id",enemy_skills!$1:$1,0)+1),MATCH(D$1,enemy_skills!$1:$1,0)-MATCH("enemy_skill_id",enemy_skills!$1:$1,0)+1,FALSE)</f>
        <v>派手に楽しまなきゃ！</v>
      </c>
      <c r="E59" s="46" t="str">
        <f ca="1">VLOOKUP($C59,OFFSET(enemy_skills!$A$1,0,0,COUNTA(enemy_skills!$A:$A),MATCH(E$1,enemy_skills!$1:$1,0)-MATCH("enemy_skill_id",enemy_skills!$1:$1,0)+1),MATCH(E$1,enemy_skills!$1:$1,0)-MATCH("enemy_skill_id",enemy_skills!$1:$1,0)+1,FALSE)</f>
        <v>属性パネルプロテクト(最大10個)+_x000D_残りHPの40%ダメージ！</v>
      </c>
      <c r="F59" s="47">
        <v>47016158</v>
      </c>
      <c r="G59" s="48">
        <f ca="1">VLOOKUP($F59,OFFSET(enemy_skill_triggers!$A$1,0,0,COUNTA(enemy_skill_triggers!$A:$A),MATCH(G$1,enemy_skill_triggers!$1:$1,0)-MATCH($F$1,enemy_skill_triggers!$1:$1,0)+1),MATCH(G$1,enemy_skill_triggers!$1:$1,0)-MATCH($F$1,enemy_skill_triggers!$1:$1,0)+1,FALSE)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9" s="48">
        <f ca="1">VLOOKUP($F59,OFFSET(enemy_skill_triggers!$A$1,0,0,COUNTA(enemy_skill_triggers!$A:$A),MATCH(H$1,enemy_skill_triggers!$1:$1,0)-MATCH($F$1,enemy_skill_triggers!$1:$1,0)+1),MATCH(H$1,enemy_skill_triggers!$1:$1,0)-MATCH($F$1,enemy_skill_triggers!$1:$1,0)+1,FALSE)</f>
        <v>110</v>
      </c>
      <c r="I59" s="48">
        <f ca="1">VLOOKUP($F59,OFFSET(enemy_skill_triggers!$A$1,0,0,COUNTA(enemy_skill_triggers!$A:$A),MATCH(I$1,enemy_skill_triggers!$1:$1,0)-MATCH($F$1,enemy_skill_triggers!$1:$1,0)+1),MATCH(I$1,enemy_skill_triggers!$1:$1,0)-MATCH($F$1,enemy_skill_triggers!$1:$1,0)+1,FALSE)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9" s="48" t="str">
        <f ca="1">VLOOKUP($F59,OFFSET(enemy_skill_triggers!$A$1,0,0,COUNTA(enemy_skill_triggers!$A:$A),MATCH(J$1,enemy_skill_triggers!$1:$1,0)-MATCH($F$1,enemy_skill_triggers!$1:$1,0)+1),MATCH(J$1,enemy_skill_triggers!$1:$1,0)-MATCH($F$1,enemy_skill_triggers!$1:$1,0)+1,FALSE)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9" s="48" t="str">
        <f ca="1">VLOOKUP($F59,OFFSET(enemy_skill_triggers!$A$1,0,0,COUNTA(enemy_skill_triggers!$A:$A),MATCH(K$1,enemy_skill_triggers!$1:$1,0)-MATCH($F$1,enemy_skill_triggers!$1:$1,0)+1),MATCH(K$1,enemy_skill_triggers!$1:$1,0)-MATCH($F$1,enemy_skill_triggers!$1:$1,0)+1,FALSE)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9" s="48" t="str">
        <f ca="1">VLOOKUP($F59,OFFSET(enemy_skill_triggers!$A$1,0,0,COUNTA(enemy_skill_triggers!$A:$A),MATCH(L$1,enemy_skill_triggers!$1:$1,0)-MATCH($F$1,enemy_skill_triggers!$1:$1,0)+1),MATCH(L$1,enemy_skill_triggers!$1:$1,0)-MATCH($F$1,enemy_skill_triggers!$1:$1,0)+1,FALSE)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59" s="48" t="str">
        <f ca="1">VLOOKUP($F59,OFFSET(enemy_skill_triggers!$A$1,0,0,COUNTA(enemy_skill_triggers!$A:$A),MATCH(M$1,enemy_skill_triggers!$1:$1,0)-MATCH($F$1,enemy_skill_triggers!$1:$1,0)+1),MATCH(M$1,enemy_skill_triggers!$1:$1,0)-MATCH($F$1,enemy_skill_triggers!$1:$1,0)+1,FALSE)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9" s="48" t="str">
        <f ca="1">VLOOKUP($F59,OFFSET(enemy_skill_triggers!$A$1,0,0,COUNTA(enemy_skill_triggers!$A:$A),MATCH(N$1,enemy_skill_triggers!$1:$1,0)-MATCH($F$1,enemy_skill_triggers!$1:$1,0)+1),MATCH(N$1,enemy_skill_triggers!$1:$1,0)-MATCH($F$1,enemy_skill_triggers!$1:$1,0)+1,FALSE)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9" s="48">
        <f ca="1">VLOOKUP($F59,OFFSET(enemy_skill_triggers!$A$1,0,0,COUNTA(enemy_skill_triggers!$A:$A),MATCH(O$1,enemy_skill_triggers!$1:$1,0)-MATCH($F$1,enemy_skill_triggers!$1:$1,0)+1),MATCH(O$1,enemy_skill_triggers!$1:$1,0)-MATCH($F$1,enemy_skill_triggers!$1:$1,0)+1,FALSE)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9" s="47"/>
      <c r="Q59" s="47"/>
      <c r="R59" s="47"/>
    </row>
    <row r="60" spans="1:18" ht="21" customHeight="1" x14ac:dyDescent="0.15">
      <c r="A60" s="39" t="str">
        <f t="shared" si="7"/>
        <v>47016104_47016133</v>
      </c>
      <c r="B60" s="111">
        <v>47016104</v>
      </c>
      <c r="C60" s="111">
        <v>47016133</v>
      </c>
      <c r="D60" s="46" t="str">
        <f ca="1">VLOOKUP($C60,OFFSET(enemy_skills!$A$1,0,0,COUNTA(enemy_skills!$A:$A),MATCH(D$1,enemy_skills!$1:$1,0)-MATCH("enemy_skill_id",enemy_skills!$1:$1,0)+1),MATCH(D$1,enemy_skills!$1:$1,0)-MATCH("enemy_skill_id",enemy_skills!$1:$1,0)+1,FALSE)</f>
        <v>あれ、まだ続けるの？</v>
      </c>
      <c r="E60" s="46" t="str">
        <f ca="1">VLOOKUP($C60,OFFSET(enemy_skills!$A$1,0,0,COUNTA(enemy_skills!$A:$A),MATCH(E$1,enemy_skills!$1:$1,0)-MATCH("enemy_skill_id",enemy_skills!$1:$1,0)+1),MATCH(E$1,enemy_skills!$1:$1,0)-MATCH("enemy_skill_id",enemy_skills!$1:$1,0)+1,FALSE)</f>
        <v>状態異常耐性+_x000D_特定エリアを赤パネルに変換</v>
      </c>
      <c r="F60" s="47">
        <v>47016159</v>
      </c>
      <c r="G60" s="48">
        <f ca="1">VLOOKUP($F60,OFFSET(enemy_skill_triggers!$A$1,0,0,COUNTA(enemy_skill_triggers!$A:$A),MATCH(G$1,enemy_skill_triggers!$1:$1,0)-MATCH($F$1,enemy_skill_triggers!$1:$1,0)+1),MATCH(G$1,enemy_skill_triggers!$1:$1,0)-MATCH($F$1,enemy_skill_triggers!$1:$1,0)+1,FALSE)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60" s="48">
        <f ca="1">VLOOKUP($F60,OFFSET(enemy_skill_triggers!$A$1,0,0,COUNTA(enemy_skill_triggers!$A:$A),MATCH(H$1,enemy_skill_triggers!$1:$1,0)-MATCH($F$1,enemy_skill_triggers!$1:$1,0)+1),MATCH(H$1,enemy_skill_triggers!$1:$1,0)-MATCH($F$1,enemy_skill_triggers!$1:$1,0)+1,FALSE)</f>
        <v>500</v>
      </c>
      <c r="I60" s="48">
        <f ca="1">VLOOKUP($F60,OFFSET(enemy_skill_triggers!$A$1,0,0,COUNTA(enemy_skill_triggers!$A:$A),MATCH(I$1,enemy_skill_triggers!$1:$1,0)-MATCH($F$1,enemy_skill_triggers!$1:$1,0)+1),MATCH(I$1,enemy_skill_triggers!$1:$1,0)-MATCH($F$1,enemy_skill_triggers!$1:$1,0)+1,FALSE)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0" s="48" t="str">
        <f ca="1">VLOOKUP($F60,OFFSET(enemy_skill_triggers!$A$1,0,0,COUNTA(enemy_skill_triggers!$A:$A),MATCH(J$1,enemy_skill_triggers!$1:$1,0)-MATCH($F$1,enemy_skill_triggers!$1:$1,0)+1),MATCH(J$1,enemy_skill_triggers!$1:$1,0)-MATCH($F$1,enemy_skill_triggers!$1:$1,0)+1,FALSE)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0" s="48" t="str">
        <f ca="1">VLOOKUP($F60,OFFSET(enemy_skill_triggers!$A$1,0,0,COUNTA(enemy_skill_triggers!$A:$A),MATCH(K$1,enemy_skill_triggers!$1:$1,0)-MATCH($F$1,enemy_skill_triggers!$1:$1,0)+1),MATCH(K$1,enemy_skill_triggers!$1:$1,0)-MATCH($F$1,enemy_skill_triggers!$1:$1,0)+1,FALSE)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0" s="48">
        <f ca="1">VLOOKUP($F60,OFFSET(enemy_skill_triggers!$A$1,0,0,COUNTA(enemy_skill_triggers!$A:$A),MATCH(L$1,enemy_skill_triggers!$1:$1,0)-MATCH($F$1,enemy_skill_triggers!$1:$1,0)+1),MATCH(L$1,enemy_skill_triggers!$1:$1,0)-MATCH($F$1,enemy_skill_triggers!$1:$1,0)+1,FALSE)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0" s="48" t="str">
        <f ca="1">VLOOKUP($F60,OFFSET(enemy_skill_triggers!$A$1,0,0,COUNTA(enemy_skill_triggers!$A:$A),MATCH(M$1,enemy_skill_triggers!$1:$1,0)-MATCH($F$1,enemy_skill_triggers!$1:$1,0)+1),MATCH(M$1,enemy_skill_triggers!$1:$1,0)-MATCH($F$1,enemy_skill_triggers!$1:$1,0)+1,FALSE)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0" s="48" t="str">
        <f ca="1">VLOOKUP($F60,OFFSET(enemy_skill_triggers!$A$1,0,0,COUNTA(enemy_skill_triggers!$A:$A),MATCH(N$1,enemy_skill_triggers!$1:$1,0)-MATCH($F$1,enemy_skill_triggers!$1:$1,0)+1),MATCH(N$1,enemy_skill_triggers!$1:$1,0)-MATCH($F$1,enemy_skill_triggers!$1:$1,0)+1,FALSE)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0" s="48">
        <f ca="1">VLOOKUP($F60,OFFSET(enemy_skill_triggers!$A$1,0,0,COUNTA(enemy_skill_triggers!$A:$A),MATCH(O$1,enemy_skill_triggers!$1:$1,0)-MATCH($F$1,enemy_skill_triggers!$1:$1,0)+1),MATCH(O$1,enemy_skill_triggers!$1:$1,0)-MATCH($F$1,enemy_skill_triggers!$1:$1,0)+1,FALSE)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0" s="47"/>
      <c r="Q60" s="47"/>
      <c r="R60" s="47"/>
    </row>
    <row r="61" spans="1:18" ht="21" customHeight="1" x14ac:dyDescent="0.15">
      <c r="A61" s="39" t="str">
        <f t="shared" si="7"/>
        <v>47016104_47016134</v>
      </c>
      <c r="B61" s="111">
        <v>47016104</v>
      </c>
      <c r="C61" s="111">
        <v>47016134</v>
      </c>
      <c r="D61" s="46" t="str">
        <f ca="1">VLOOKUP($C61,OFFSET(enemy_skills!$A$1,0,0,COUNTA(enemy_skills!$A:$A),MATCH(D$1,enemy_skills!$1:$1,0)-MATCH("enemy_skill_id",enemy_skills!$1:$1,0)+1),MATCH(D$1,enemy_skills!$1:$1,0)-MATCH("enemy_skill_id",enemy_skills!$1:$1,0)+1,FALSE)</f>
        <v>いいわ、そういうの燃えてくる！</v>
      </c>
      <c r="E61" s="46" t="str">
        <f ca="1">VLOOKUP($C61,OFFSET(enemy_skills!$A$1,0,0,COUNTA(enemy_skills!$A:$A),MATCH(E$1,enemy_skills!$1:$1,0)-MATCH("enemy_skill_id",enemy_skills!$1:$1,0)+1),MATCH(E$1,enemy_skills!$1:$1,0)-MATCH("enemy_skill_id",enemy_skills!$1:$1,0)+1,FALSE)</f>
        <v>赤パネルプロテクト+単体攻撃</v>
      </c>
      <c r="F61" s="47">
        <v>47016160</v>
      </c>
      <c r="G61" s="48">
        <f ca="1">VLOOKUP($F61,OFFSET(enemy_skill_triggers!$A$1,0,0,COUNTA(enemy_skill_triggers!$A:$A),MATCH(G$1,enemy_skill_triggers!$1:$1,0)-MATCH($F$1,enemy_skill_triggers!$1:$1,0)+1),MATCH(G$1,enemy_skill_triggers!$1:$1,0)-MATCH($F$1,enemy_skill_triggers!$1:$1,0)+1,FALSE)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1" s="48">
        <f ca="1">VLOOKUP($F61,OFFSET(enemy_skill_triggers!$A$1,0,0,COUNTA(enemy_skill_triggers!$A:$A),MATCH(H$1,enemy_skill_triggers!$1:$1,0)-MATCH($F$1,enemy_skill_triggers!$1:$1,0)+1),MATCH(H$1,enemy_skill_triggers!$1:$1,0)-MATCH($F$1,enemy_skill_triggers!$1:$1,0)+1,FALSE)</f>
        <v>410</v>
      </c>
      <c r="I61" s="48">
        <f ca="1">VLOOKUP($F61,OFFSET(enemy_skill_triggers!$A$1,0,0,COUNTA(enemy_skill_triggers!$A:$A),MATCH(I$1,enemy_skill_triggers!$1:$1,0)-MATCH($F$1,enemy_skill_triggers!$1:$1,0)+1),MATCH(I$1,enemy_skill_triggers!$1:$1,0)-MATCH($F$1,enemy_skill_triggers!$1:$1,0)+1,FALSE)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1" s="48" t="str">
        <f ca="1">VLOOKUP($F61,OFFSET(enemy_skill_triggers!$A$1,0,0,COUNTA(enemy_skill_triggers!$A:$A),MATCH(J$1,enemy_skill_triggers!$1:$1,0)-MATCH($F$1,enemy_skill_triggers!$1:$1,0)+1),MATCH(J$1,enemy_skill_triggers!$1:$1,0)-MATCH($F$1,enemy_skill_triggers!$1:$1,0)+1,FALSE)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1" s="48" t="str">
        <f ca="1">VLOOKUP($F61,OFFSET(enemy_skill_triggers!$A$1,0,0,COUNTA(enemy_skill_triggers!$A:$A),MATCH(K$1,enemy_skill_triggers!$1:$1,0)-MATCH($F$1,enemy_skill_triggers!$1:$1,0)+1),MATCH(K$1,enemy_skill_triggers!$1:$1,0)-MATCH($F$1,enemy_skill_triggers!$1:$1,0)+1,FALSE)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1" s="48">
        <f ca="1">VLOOKUP($F61,OFFSET(enemy_skill_triggers!$A$1,0,0,COUNTA(enemy_skill_triggers!$A:$A),MATCH(L$1,enemy_skill_triggers!$1:$1,0)-MATCH($F$1,enemy_skill_triggers!$1:$1,0)+1),MATCH(L$1,enemy_skill_triggers!$1:$1,0)-MATCH($F$1,enemy_skill_triggers!$1:$1,0)+1,FALSE)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1" s="48">
        <f ca="1">VLOOKUP($F61,OFFSET(enemy_skill_triggers!$A$1,0,0,COUNTA(enemy_skill_triggers!$A:$A),MATCH(M$1,enemy_skill_triggers!$1:$1,0)-MATCH($F$1,enemy_skill_triggers!$1:$1,0)+1),MATCH(M$1,enemy_skill_triggers!$1:$1,0)-MATCH($F$1,enemy_skill_triggers!$1:$1,0)+1,FALSE)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61" s="48" t="str">
        <f ca="1">VLOOKUP($F61,OFFSET(enemy_skill_triggers!$A$1,0,0,COUNTA(enemy_skill_triggers!$A:$A),MATCH(N$1,enemy_skill_triggers!$1:$1,0)-MATCH($F$1,enemy_skill_triggers!$1:$1,0)+1),MATCH(N$1,enemy_skill_triggers!$1:$1,0)-MATCH($F$1,enemy_skill_triggers!$1:$1,0)+1,FALSE)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1" s="48">
        <f ca="1">VLOOKUP($F61,OFFSET(enemy_skill_triggers!$A$1,0,0,COUNTA(enemy_skill_triggers!$A:$A),MATCH(O$1,enemy_skill_triggers!$1:$1,0)-MATCH($F$1,enemy_skill_triggers!$1:$1,0)+1),MATCH(O$1,enemy_skill_triggers!$1:$1,0)-MATCH($F$1,enemy_skill_triggers!$1:$1,0)+1,FALSE)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1" s="47"/>
      <c r="Q61" s="47"/>
      <c r="R61" s="47"/>
    </row>
    <row r="62" spans="1:18" ht="21" customHeight="1" x14ac:dyDescent="0.15">
      <c r="A62" s="39" t="str">
        <f t="shared" si="7"/>
        <v>47016104_47016135</v>
      </c>
      <c r="B62" s="111">
        <v>47016104</v>
      </c>
      <c r="C62" s="111">
        <v>47016135</v>
      </c>
      <c r="D62" s="46" t="str">
        <f ca="1">VLOOKUP($C62,OFFSET(enemy_skills!$A$1,0,0,COUNTA(enemy_skills!$A:$A),MATCH(D$1,enemy_skills!$1:$1,0)-MATCH("enemy_skill_id",enemy_skills!$1:$1,0)+1),MATCH(D$1,enemy_skills!$1:$1,0)-MATCH("enemy_skill_id",enemy_skills!$1:$1,0)+1,FALSE)</f>
        <v>よそ見する暇なんてないわよ！</v>
      </c>
      <c r="E62" s="46" t="str">
        <f ca="1">VLOOKUP($C62,OFFSET(enemy_skills!$A$1,0,0,COUNTA(enemy_skills!$A:$A),MATCH(E$1,enemy_skills!$1:$1,0)-MATCH("enemy_skill_id",enemy_skills!$1:$1,0)+1),MATCH(E$1,enemy_skills!$1:$1,0)-MATCH("enemy_skill_id",enemy_skills!$1:$1,0)+1,FALSE)</f>
        <v>2ターンハートパネル無効+_x000D_2ターンハートパネルドロップ率UP</v>
      </c>
      <c r="F62" s="47">
        <v>47016161</v>
      </c>
      <c r="G62" s="48">
        <f ca="1">VLOOKUP($F62,OFFSET(enemy_skill_triggers!$A$1,0,0,COUNTA(enemy_skill_triggers!$A:$A),MATCH(G$1,enemy_skill_triggers!$1:$1,0)-MATCH($F$1,enemy_skill_triggers!$1:$1,0)+1),MATCH(G$1,enemy_skill_triggers!$1:$1,0)-MATCH($F$1,enemy_skill_triggers!$1:$1,0)+1,FALSE)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2" s="48">
        <f ca="1">VLOOKUP($F62,OFFSET(enemy_skill_triggers!$A$1,0,0,COUNTA(enemy_skill_triggers!$A:$A),MATCH(H$1,enemy_skill_triggers!$1:$1,0)-MATCH($F$1,enemy_skill_triggers!$1:$1,0)+1),MATCH(H$1,enemy_skill_triggers!$1:$1,0)-MATCH($F$1,enemy_skill_triggers!$1:$1,0)+1,FALSE)</f>
        <v>420</v>
      </c>
      <c r="I62" s="48">
        <f ca="1">VLOOKUP($F62,OFFSET(enemy_skill_triggers!$A$1,0,0,COUNTA(enemy_skill_triggers!$A:$A),MATCH(I$1,enemy_skill_triggers!$1:$1,0)-MATCH($F$1,enemy_skill_triggers!$1:$1,0)+1),MATCH(I$1,enemy_skill_triggers!$1:$1,0)-MATCH($F$1,enemy_skill_triggers!$1:$1,0)+1,FALSE)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2" s="48" t="str">
        <f ca="1">VLOOKUP($F62,OFFSET(enemy_skill_triggers!$A$1,0,0,COUNTA(enemy_skill_triggers!$A:$A),MATCH(J$1,enemy_skill_triggers!$1:$1,0)-MATCH($F$1,enemy_skill_triggers!$1:$1,0)+1),MATCH(J$1,enemy_skill_triggers!$1:$1,0)-MATCH($F$1,enemy_skill_triggers!$1:$1,0)+1,FALSE)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2" s="48" t="str">
        <f ca="1">VLOOKUP($F62,OFFSET(enemy_skill_triggers!$A$1,0,0,COUNTA(enemy_skill_triggers!$A:$A),MATCH(K$1,enemy_skill_triggers!$1:$1,0)-MATCH($F$1,enemy_skill_triggers!$1:$1,0)+1),MATCH(K$1,enemy_skill_triggers!$1:$1,0)-MATCH($F$1,enemy_skill_triggers!$1:$1,0)+1,FALSE)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2" s="48">
        <f ca="1">VLOOKUP($F62,OFFSET(enemy_skill_triggers!$A$1,0,0,COUNTA(enemy_skill_triggers!$A:$A),MATCH(L$1,enemy_skill_triggers!$1:$1,0)-MATCH($F$1,enemy_skill_triggers!$1:$1,0)+1),MATCH(L$1,enemy_skill_triggers!$1:$1,0)-MATCH($F$1,enemy_skill_triggers!$1:$1,0)+1,FALSE)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2" s="48">
        <f ca="1">VLOOKUP($F62,OFFSET(enemy_skill_triggers!$A$1,0,0,COUNTA(enemy_skill_triggers!$A:$A),MATCH(M$1,enemy_skill_triggers!$1:$1,0)-MATCH($F$1,enemy_skill_triggers!$1:$1,0)+1),MATCH(M$1,enemy_skill_triggers!$1:$1,0)-MATCH($F$1,enemy_skill_triggers!$1:$1,0)+1,FALSE)</f>
        <v>4</v>
      </c>
      <c r="N62" s="48" t="str">
        <f ca="1">VLOOKUP($F62,OFFSET(enemy_skill_triggers!$A$1,0,0,COUNTA(enemy_skill_triggers!$A:$A),MATCH(N$1,enemy_skill_triggers!$1:$1,0)-MATCH($F$1,enemy_skill_triggers!$1:$1,0)+1),MATCH(N$1,enemy_skill_triggers!$1:$1,0)-MATCH($F$1,enemy_skill_triggers!$1:$1,0)+1,FALSE)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2" s="48">
        <f ca="1">VLOOKUP($F62,OFFSET(enemy_skill_triggers!$A$1,0,0,COUNTA(enemy_skill_triggers!$A:$A),MATCH(O$1,enemy_skill_triggers!$1:$1,0)-MATCH($F$1,enemy_skill_triggers!$1:$1,0)+1),MATCH(O$1,enemy_skill_triggers!$1:$1,0)-MATCH($F$1,enemy_skill_triggers!$1:$1,0)+1,FALSE)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2" s="47"/>
      <c r="Q62" s="47"/>
      <c r="R62" s="47"/>
    </row>
    <row r="63" spans="1:18" ht="21" customHeight="1" x14ac:dyDescent="0.15">
      <c r="A63" s="39" t="str">
        <f t="shared" si="7"/>
        <v>47016104_47016136</v>
      </c>
      <c r="B63" s="111">
        <v>47016104</v>
      </c>
      <c r="C63" s="111">
        <v>47016136</v>
      </c>
      <c r="D63" s="46" t="str">
        <f ca="1">VLOOKUP($C63,OFFSET(enemy_skills!$A$1,0,0,COUNTA(enemy_skills!$A:$A),MATCH(D$1,enemy_skills!$1:$1,0)-MATCH("enemy_skill_id",enemy_skills!$1:$1,0)+1),MATCH(D$1,enemy_skills!$1:$1,0)-MATCH("enemy_skill_id",enemy_skills!$1:$1,0)+1,FALSE)</f>
        <v>あたしの得物はどうかしら！</v>
      </c>
      <c r="E63" s="46" t="str">
        <f ca="1">VLOOKUP($C63,OFFSET(enemy_skills!$A$1,0,0,COUNTA(enemy_skills!$A:$A),MATCH(E$1,enemy_skills!$1:$1,0)-MATCH("enemy_skill_id",enemy_skills!$1:$1,0)+1),MATCH(E$1,enemy_skills!$1:$1,0)-MATCH("enemy_skill_id",enemy_skills!$1:$1,0)+1,FALSE)</f>
        <v>チェーンソーの駆動音が響き渡る_x000D_【残りHPの40%ダメージ！】</v>
      </c>
      <c r="F63" s="47">
        <v>47016162</v>
      </c>
      <c r="G63" s="48">
        <f ca="1">VLOOKUP($F63,OFFSET(enemy_skill_triggers!$A$1,0,0,COUNTA(enemy_skill_triggers!$A:$A),MATCH(G$1,enemy_skill_triggers!$1:$1,0)-MATCH($F$1,enemy_skill_triggers!$1:$1,0)+1),MATCH(G$1,enemy_skill_triggers!$1:$1,0)-MATCH($F$1,enemy_skill_triggers!$1:$1,0)+1,FALSE)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3" s="48">
        <f ca="1">VLOOKUP($F63,OFFSET(enemy_skill_triggers!$A$1,0,0,COUNTA(enemy_skill_triggers!$A:$A),MATCH(H$1,enemy_skill_triggers!$1:$1,0)-MATCH($F$1,enemy_skill_triggers!$1:$1,0)+1),MATCH(H$1,enemy_skill_triggers!$1:$1,0)-MATCH($F$1,enemy_skill_triggers!$1:$1,0)+1,FALSE)</f>
        <v>430</v>
      </c>
      <c r="I63" s="48">
        <f ca="1">VLOOKUP($F63,OFFSET(enemy_skill_triggers!$A$1,0,0,COUNTA(enemy_skill_triggers!$A:$A),MATCH(I$1,enemy_skill_triggers!$1:$1,0)-MATCH($F$1,enemy_skill_triggers!$1:$1,0)+1),MATCH(I$1,enemy_skill_triggers!$1:$1,0)-MATCH($F$1,enemy_skill_triggers!$1:$1,0)+1,FALSE)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3" s="48" t="str">
        <f ca="1">VLOOKUP($F63,OFFSET(enemy_skill_triggers!$A$1,0,0,COUNTA(enemy_skill_triggers!$A:$A),MATCH(J$1,enemy_skill_triggers!$1:$1,0)-MATCH($F$1,enemy_skill_triggers!$1:$1,0)+1),MATCH(J$1,enemy_skill_triggers!$1:$1,0)-MATCH($F$1,enemy_skill_triggers!$1:$1,0)+1,FALSE)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3" s="48" t="str">
        <f ca="1">VLOOKUP($F63,OFFSET(enemy_skill_triggers!$A$1,0,0,COUNTA(enemy_skill_triggers!$A:$A),MATCH(K$1,enemy_skill_triggers!$1:$1,0)-MATCH($F$1,enemy_skill_triggers!$1:$1,0)+1),MATCH(K$1,enemy_skill_triggers!$1:$1,0)-MATCH($F$1,enemy_skill_triggers!$1:$1,0)+1,FALSE)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3" s="48">
        <f ca="1">VLOOKUP($F63,OFFSET(enemy_skill_triggers!$A$1,0,0,COUNTA(enemy_skill_triggers!$A:$A),MATCH(L$1,enemy_skill_triggers!$1:$1,0)-MATCH($F$1,enemy_skill_triggers!$1:$1,0)+1),MATCH(L$1,enemy_skill_triggers!$1:$1,0)-MATCH($F$1,enemy_skill_triggers!$1:$1,0)+1,FALSE)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3" s="48">
        <f ca="1">VLOOKUP($F63,OFFSET(enemy_skill_triggers!$A$1,0,0,COUNTA(enemy_skill_triggers!$A:$A),MATCH(M$1,enemy_skill_triggers!$1:$1,0)-MATCH($F$1,enemy_skill_triggers!$1:$1,0)+1),MATCH(M$1,enemy_skill_triggers!$1:$1,0)-MATCH($F$1,enemy_skill_triggers!$1:$1,0)+1,FALSE)</f>
        <v>5</v>
      </c>
      <c r="N63" s="48" t="str">
        <f ca="1">VLOOKUP($F63,OFFSET(enemy_skill_triggers!$A$1,0,0,COUNTA(enemy_skill_triggers!$A:$A),MATCH(N$1,enemy_skill_triggers!$1:$1,0)-MATCH($F$1,enemy_skill_triggers!$1:$1,0)+1),MATCH(N$1,enemy_skill_triggers!$1:$1,0)-MATCH($F$1,enemy_skill_triggers!$1:$1,0)+1,FALSE)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3" s="48">
        <f ca="1">VLOOKUP($F63,OFFSET(enemy_skill_triggers!$A$1,0,0,COUNTA(enemy_skill_triggers!$A:$A),MATCH(O$1,enemy_skill_triggers!$1:$1,0)-MATCH($F$1,enemy_skill_triggers!$1:$1,0)+1),MATCH(O$1,enemy_skill_triggers!$1:$1,0)-MATCH($F$1,enemy_skill_triggers!$1:$1,0)+1,FALSE)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3" s="47"/>
      <c r="Q63" s="47"/>
      <c r="R63" s="47"/>
    </row>
    <row r="64" spans="1:18" ht="21" customHeight="1" x14ac:dyDescent="0.15">
      <c r="A64" s="39" t="str">
        <f t="shared" si="7"/>
        <v>47016104_47016137</v>
      </c>
      <c r="B64" s="111">
        <v>47016104</v>
      </c>
      <c r="C64" s="111">
        <v>47016137</v>
      </c>
      <c r="D64" s="46" t="str">
        <f ca="1">VLOOKUP($C64,OFFSET(enemy_skills!$A$1,0,0,COUNTA(enemy_skills!$A:$A),MATCH(D$1,enemy_skills!$1:$1,0)-MATCH("enemy_skill_id",enemy_skills!$1:$1,0)+1),MATCH(D$1,enemy_skills!$1:$1,0)-MATCH("enemy_skill_id",enemy_skills!$1:$1,0)+1,FALSE)</f>
        <v>まだ終わらないのよ！</v>
      </c>
      <c r="E64" s="46" t="str">
        <f ca="1">VLOOKUP($C64,OFFSET(enemy_skills!$A$1,0,0,COUNTA(enemy_skills!$A:$A),MATCH(E$1,enemy_skills!$1:$1,0)-MATCH("enemy_skill_id",enemy_skills!$1:$1,0)+1),MATCH(E$1,enemy_skills!$1:$1,0)-MATCH("enemy_skill_id",enemy_skills!$1:$1,0)+1,FALSE)</f>
        <v>青パネルを赤パネルに5個変換+単体攻撃</v>
      </c>
      <c r="F64" s="47">
        <v>47016163</v>
      </c>
      <c r="G64" s="48">
        <f ca="1">VLOOKUP($F64,OFFSET(enemy_skill_triggers!$A$1,0,0,COUNTA(enemy_skill_triggers!$A:$A),MATCH(G$1,enemy_skill_triggers!$1:$1,0)-MATCH($F$1,enemy_skill_triggers!$1:$1,0)+1),MATCH(G$1,enemy_skill_triggers!$1:$1,0)-MATCH($F$1,enemy_skill_triggers!$1:$1,0)+1,FALSE)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4" s="48">
        <f ca="1">VLOOKUP($F64,OFFSET(enemy_skill_triggers!$A$1,0,0,COUNTA(enemy_skill_triggers!$A:$A),MATCH(H$1,enemy_skill_triggers!$1:$1,0)-MATCH($F$1,enemy_skill_triggers!$1:$1,0)+1),MATCH(H$1,enemy_skill_triggers!$1:$1,0)-MATCH($F$1,enemy_skill_triggers!$1:$1,0)+1,FALSE)</f>
        <v>120</v>
      </c>
      <c r="I64" s="48">
        <f ca="1">VLOOKUP($F64,OFFSET(enemy_skill_triggers!$A$1,0,0,COUNTA(enemy_skill_triggers!$A:$A),MATCH(I$1,enemy_skill_triggers!$1:$1,0)-MATCH($F$1,enemy_skill_triggers!$1:$1,0)+1),MATCH(I$1,enemy_skill_triggers!$1:$1,0)-MATCH($F$1,enemy_skill_triggers!$1:$1,0)+1,FALSE)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64" s="48" t="str">
        <f ca="1">VLOOKUP($F64,OFFSET(enemy_skill_triggers!$A$1,0,0,COUNTA(enemy_skill_triggers!$A:$A),MATCH(J$1,enemy_skill_triggers!$1:$1,0)-MATCH($F$1,enemy_skill_triggers!$1:$1,0)+1),MATCH(J$1,enemy_skill_triggers!$1:$1,0)-MATCH($F$1,enemy_skill_triggers!$1:$1,0)+1,FALSE)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4" s="48" t="str">
        <f ca="1">VLOOKUP($F64,OFFSET(enemy_skill_triggers!$A$1,0,0,COUNTA(enemy_skill_triggers!$A:$A),MATCH(K$1,enemy_skill_triggers!$1:$1,0)-MATCH($F$1,enemy_skill_triggers!$1:$1,0)+1),MATCH(K$1,enemy_skill_triggers!$1:$1,0)-MATCH($F$1,enemy_skill_triggers!$1:$1,0)+1,FALSE)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4" s="48" t="str">
        <f ca="1">VLOOKUP($F64,OFFSET(enemy_skill_triggers!$A$1,0,0,COUNTA(enemy_skill_triggers!$A:$A),MATCH(L$1,enemy_skill_triggers!$1:$1,0)-MATCH($F$1,enemy_skill_triggers!$1:$1,0)+1),MATCH(L$1,enemy_skill_triggers!$1:$1,0)-MATCH($F$1,enemy_skill_triggers!$1:$1,0)+1,FALSE)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64" s="48" t="str">
        <f ca="1">VLOOKUP($F64,OFFSET(enemy_skill_triggers!$A$1,0,0,COUNTA(enemy_skill_triggers!$A:$A),MATCH(M$1,enemy_skill_triggers!$1:$1,0)-MATCH($F$1,enemy_skill_triggers!$1:$1,0)+1),MATCH(M$1,enemy_skill_triggers!$1:$1,0)-MATCH($F$1,enemy_skill_triggers!$1:$1,0)+1,FALSE)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4" s="48" t="str">
        <f ca="1">VLOOKUP($F64,OFFSET(enemy_skill_triggers!$A$1,0,0,COUNTA(enemy_skill_triggers!$A:$A),MATCH(N$1,enemy_skill_triggers!$1:$1,0)-MATCH($F$1,enemy_skill_triggers!$1:$1,0)+1),MATCH(N$1,enemy_skill_triggers!$1:$1,0)-MATCH($F$1,enemy_skill_triggers!$1:$1,0)+1,FALSE)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4" s="48">
        <f ca="1">VLOOKUP($F64,OFFSET(enemy_skill_triggers!$A$1,0,0,COUNTA(enemy_skill_triggers!$A:$A),MATCH(O$1,enemy_skill_triggers!$1:$1,0)-MATCH($F$1,enemy_skill_triggers!$1:$1,0)+1),MATCH(O$1,enemy_skill_triggers!$1:$1,0)-MATCH($F$1,enemy_skill_triggers!$1:$1,0)+1,FALSE)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64" s="47"/>
      <c r="Q64" s="47"/>
      <c r="R64" s="47"/>
    </row>
    <row r="65" spans="1:18" ht="21" customHeight="1" x14ac:dyDescent="0.15">
      <c r="A65" s="39" t="str">
        <f t="shared" si="7"/>
        <v>47016104_47016138</v>
      </c>
      <c r="B65" s="111">
        <v>47016104</v>
      </c>
      <c r="C65" s="111">
        <v>47016138</v>
      </c>
      <c r="D65" s="46" t="str">
        <f ca="1">VLOOKUP($C65,OFFSET(enemy_skills!$A$1,0,0,COUNTA(enemy_skills!$A:$A),MATCH(D$1,enemy_skills!$1:$1,0)-MATCH("enemy_skill_id",enemy_skills!$1:$1,0)+1),MATCH(D$1,enemy_skills!$1:$1,0)-MATCH("enemy_skill_id",enemy_skills!$1:$1,0)+1,FALSE)</f>
        <v>障害があったほうが燃えるでしょ？</v>
      </c>
      <c r="E65" s="46" t="str">
        <f ca="1">VLOOKUP($C65,OFFSET(enemy_skills!$A$1,0,0,COUNTA(enemy_skills!$A:$A),MATCH(E$1,enemy_skills!$1:$1,0)-MATCH("enemy_skill_id",enemy_skills!$1:$1,0)+1),MATCH(E$1,enemy_skills!$1:$1,0)-MATCH("enemy_skill_id",enemy_skills!$1:$1,0)+1,FALSE)</f>
        <v>2ターン属性パネルは確率でプロテクトされてドロップ+_x000D_3回連続攻撃</v>
      </c>
      <c r="F65" s="47">
        <v>47016164</v>
      </c>
      <c r="G65" s="48">
        <f ca="1">VLOOKUP($F65,OFFSET(enemy_skill_triggers!$A$1,0,0,COUNTA(enemy_skill_triggers!$A:$A),MATCH(G$1,enemy_skill_triggers!$1:$1,0)-MATCH($F$1,enemy_skill_triggers!$1:$1,0)+1),MATCH(G$1,enemy_skill_triggers!$1:$1,0)-MATCH($F$1,enemy_skill_triggers!$1:$1,0)+1,FALSE)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5" s="48">
        <f ca="1">VLOOKUP($F65,OFFSET(enemy_skill_triggers!$A$1,0,0,COUNTA(enemy_skill_triggers!$A:$A),MATCH(H$1,enemy_skill_triggers!$1:$1,0)-MATCH($F$1,enemy_skill_triggers!$1:$1,0)+1),MATCH(H$1,enemy_skill_triggers!$1:$1,0)-MATCH($F$1,enemy_skill_triggers!$1:$1,0)+1,FALSE)</f>
        <v>110</v>
      </c>
      <c r="I65" s="48">
        <f ca="1">VLOOKUP($F65,OFFSET(enemy_skill_triggers!$A$1,0,0,COUNTA(enemy_skill_triggers!$A:$A),MATCH(I$1,enemy_skill_triggers!$1:$1,0)-MATCH($F$1,enemy_skill_triggers!$1:$1,0)+1),MATCH(I$1,enemy_skill_triggers!$1:$1,0)-MATCH($F$1,enemy_skill_triggers!$1:$1,0)+1,FALSE)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5" s="48" t="str">
        <f ca="1">VLOOKUP($F65,OFFSET(enemy_skill_triggers!$A$1,0,0,COUNTA(enemy_skill_triggers!$A:$A),MATCH(J$1,enemy_skill_triggers!$1:$1,0)-MATCH($F$1,enemy_skill_triggers!$1:$1,0)+1),MATCH(J$1,enemy_skill_triggers!$1:$1,0)-MATCH($F$1,enemy_skill_triggers!$1:$1,0)+1,FALSE)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5" s="48" t="str">
        <f ca="1">VLOOKUP($F65,OFFSET(enemy_skill_triggers!$A$1,0,0,COUNTA(enemy_skill_triggers!$A:$A),MATCH(K$1,enemy_skill_triggers!$1:$1,0)-MATCH($F$1,enemy_skill_triggers!$1:$1,0)+1),MATCH(K$1,enemy_skill_triggers!$1:$1,0)-MATCH($F$1,enemy_skill_triggers!$1:$1,0)+1,FALSE)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5" s="48" t="str">
        <f ca="1">VLOOKUP($F65,OFFSET(enemy_skill_triggers!$A$1,0,0,COUNTA(enemy_skill_triggers!$A:$A),MATCH(L$1,enemy_skill_triggers!$1:$1,0)-MATCH($F$1,enemy_skill_triggers!$1:$1,0)+1),MATCH(L$1,enemy_skill_triggers!$1:$1,0)-MATCH($F$1,enemy_skill_triggers!$1:$1,0)+1,FALSE)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65" s="48" t="str">
        <f ca="1">VLOOKUP($F65,OFFSET(enemy_skill_triggers!$A$1,0,0,COUNTA(enemy_skill_triggers!$A:$A),MATCH(M$1,enemy_skill_triggers!$1:$1,0)-MATCH($F$1,enemy_skill_triggers!$1:$1,0)+1),MATCH(M$1,enemy_skill_triggers!$1:$1,0)-MATCH($F$1,enemy_skill_triggers!$1:$1,0)+1,FALSE)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5" s="48" t="str">
        <f ca="1">VLOOKUP($F65,OFFSET(enemy_skill_triggers!$A$1,0,0,COUNTA(enemy_skill_triggers!$A:$A),MATCH(N$1,enemy_skill_triggers!$1:$1,0)-MATCH($F$1,enemy_skill_triggers!$1:$1,0)+1),MATCH(N$1,enemy_skill_triggers!$1:$1,0)-MATCH($F$1,enemy_skill_triggers!$1:$1,0)+1,FALSE)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5" s="48">
        <f ca="1">VLOOKUP($F65,OFFSET(enemy_skill_triggers!$A$1,0,0,COUNTA(enemy_skill_triggers!$A:$A),MATCH(O$1,enemy_skill_triggers!$1:$1,0)-MATCH($F$1,enemy_skill_triggers!$1:$1,0)+1),MATCH(O$1,enemy_skill_triggers!$1:$1,0)-MATCH($F$1,enemy_skill_triggers!$1:$1,0)+1,FALSE)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5" s="47"/>
      <c r="Q65" s="47"/>
      <c r="R65" s="47"/>
    </row>
    <row r="66" spans="1:18" ht="21" customHeight="1" x14ac:dyDescent="0.15">
      <c r="A66" s="39" t="str">
        <f t="shared" si="7"/>
        <v>47016104_47016139</v>
      </c>
      <c r="B66" s="111">
        <v>47016104</v>
      </c>
      <c r="C66" s="111">
        <v>47016139</v>
      </c>
      <c r="D66" s="46" t="str">
        <f ca="1">VLOOKUP($C66,OFFSET(enemy_skills!$A$1,0,0,COUNTA(enemy_skills!$A:$A),MATCH(D$1,enemy_skills!$1:$1,0)-MATCH("enemy_skill_id",enemy_skills!$1:$1,0)+1),MATCH(D$1,enemy_skills!$1:$1,0)-MATCH("enemy_skill_id",enemy_skills!$1:$1,0)+1,FALSE)</f>
        <v>まだまだここからよ！</v>
      </c>
      <c r="E66" s="46" t="str">
        <f ca="1">VLOOKUP($C66,OFFSET(enemy_skills!$A$1,0,0,COUNTA(enemy_skills!$A:$A),MATCH(E$1,enemy_skills!$1:$1,0)-MATCH("enemy_skill_id",enemy_skills!$1:$1,0)+1),MATCH(E$1,enemy_skills!$1:$1,0)-MATCH("enemy_skill_id",enemy_skills!$1:$1,0)+1,FALSE)</f>
        <v>赤パネルプロテクト+_x000D_残りHPの40%ダメージ！</v>
      </c>
      <c r="F66" s="47">
        <v>47016165</v>
      </c>
      <c r="G66" s="48">
        <f ca="1">VLOOKUP($F66,OFFSET(enemy_skill_triggers!$A$1,0,0,COUNTA(enemy_skill_triggers!$A:$A),MATCH(G$1,enemy_skill_triggers!$1:$1,0)-MATCH($F$1,enemy_skill_triggers!$1:$1,0)+1),MATCH(G$1,enemy_skill_triggers!$1:$1,0)-MATCH($F$1,enemy_skill_triggers!$1:$1,0)+1,FALSE)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6" s="48">
        <f ca="1">VLOOKUP($F66,OFFSET(enemy_skill_triggers!$A$1,0,0,COUNTA(enemy_skill_triggers!$A:$A),MATCH(H$1,enemy_skill_triggers!$1:$1,0)-MATCH($F$1,enemy_skill_triggers!$1:$1,0)+1),MATCH(H$1,enemy_skill_triggers!$1:$1,0)-MATCH($F$1,enemy_skill_triggers!$1:$1,0)+1,FALSE)</f>
        <v>450</v>
      </c>
      <c r="I66" s="48">
        <f ca="1">VLOOKUP($F66,OFFSET(enemy_skill_triggers!$A$1,0,0,COUNTA(enemy_skill_triggers!$A:$A),MATCH(I$1,enemy_skill_triggers!$1:$1,0)-MATCH($F$1,enemy_skill_triggers!$1:$1,0)+1),MATCH(I$1,enemy_skill_triggers!$1:$1,0)-MATCH($F$1,enemy_skill_triggers!$1:$1,0)+1,FALSE)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6" s="48">
        <f ca="1">VLOOKUP($F66,OFFSET(enemy_skill_triggers!$A$1,0,0,COUNTA(enemy_skill_triggers!$A:$A),MATCH(J$1,enemy_skill_triggers!$1:$1,0)-MATCH($F$1,enemy_skill_triggers!$1:$1,0)+1),MATCH(J$1,enemy_skill_triggers!$1:$1,0)-MATCH($F$1,enemy_skill_triggers!$1:$1,0)+1,FALSE)</f>
        <v>30</v>
      </c>
      <c r="K66" s="48" t="str">
        <f ca="1">VLOOKUP($F66,OFFSET(enemy_skill_triggers!$A$1,0,0,COUNTA(enemy_skill_triggers!$A:$A),MATCH(K$1,enemy_skill_triggers!$1:$1,0)-MATCH($F$1,enemy_skill_triggers!$1:$1,0)+1),MATCH(K$1,enemy_skill_triggers!$1:$1,0)-MATCH($F$1,enemy_skill_triggers!$1:$1,0)+1,FALSE)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6" s="48">
        <f ca="1">VLOOKUP($F66,OFFSET(enemy_skill_triggers!$A$1,0,0,COUNTA(enemy_skill_triggers!$A:$A),MATCH(L$1,enemy_skill_triggers!$1:$1,0)-MATCH($F$1,enemy_skill_triggers!$1:$1,0)+1),MATCH(L$1,enemy_skill_triggers!$1:$1,0)-MATCH($F$1,enemy_skill_triggers!$1:$1,0)+1,FALSE)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6" s="48" t="str">
        <f ca="1">VLOOKUP($F66,OFFSET(enemy_skill_triggers!$A$1,0,0,COUNTA(enemy_skill_triggers!$A:$A),MATCH(M$1,enemy_skill_triggers!$1:$1,0)-MATCH($F$1,enemy_skill_triggers!$1:$1,0)+1),MATCH(M$1,enemy_skill_triggers!$1:$1,0)-MATCH($F$1,enemy_skill_triggers!$1:$1,0)+1,FALSE)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6" s="48" t="str">
        <f ca="1">VLOOKUP($F66,OFFSET(enemy_skill_triggers!$A$1,0,0,COUNTA(enemy_skill_triggers!$A:$A),MATCH(N$1,enemy_skill_triggers!$1:$1,0)-MATCH($F$1,enemy_skill_triggers!$1:$1,0)+1),MATCH(N$1,enemy_skill_triggers!$1:$1,0)-MATCH($F$1,enemy_skill_triggers!$1:$1,0)+1,FALSE)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6" s="48">
        <f ca="1">VLOOKUP($F66,OFFSET(enemy_skill_triggers!$A$1,0,0,COUNTA(enemy_skill_triggers!$A:$A),MATCH(O$1,enemy_skill_triggers!$1:$1,0)-MATCH($F$1,enemy_skill_triggers!$1:$1,0)+1),MATCH(O$1,enemy_skill_triggers!$1:$1,0)-MATCH($F$1,enemy_skill_triggers!$1:$1,0)+1,FALSE)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6" s="47"/>
      <c r="Q66" s="47"/>
      <c r="R66" s="47"/>
    </row>
    <row r="67" spans="1:18" ht="21" customHeight="1" x14ac:dyDescent="0.15">
      <c r="A67" s="39" t="str">
        <f t="shared" si="7"/>
        <v>47016105_47016140</v>
      </c>
      <c r="B67" s="112">
        <v>47016105</v>
      </c>
      <c r="C67" s="112">
        <v>47016140</v>
      </c>
      <c r="D67" s="46" t="str">
        <f ca="1">VLOOKUP($C67,OFFSET(enemy_skills!$A$1,0,0,COUNTA(enemy_skills!$A:$A),MATCH(D$1,enemy_skills!$1:$1,0)-MATCH("enemy_skill_id",enemy_skills!$1:$1,0)+1),MATCH(D$1,enemy_skills!$1:$1,0)-MATCH("enemy_skill_id",enemy_skills!$1:$1,0)+1,FALSE)</f>
        <v>いいわね、とっても楽しい！</v>
      </c>
      <c r="E67" s="46" t="str">
        <f ca="1">VLOOKUP($C67,OFFSET(enemy_skills!$A$1,0,0,COUNTA(enemy_skills!$A:$A),MATCH(E$1,enemy_skills!$1:$1,0)-MATCH("enemy_skill_id",enemy_skills!$1:$1,0)+1),MATCH(E$1,enemy_skills!$1:$1,0)-MATCH("enemy_skill_id",enemy_skills!$1:$1,0)+1,FALSE)</f>
        <v>状態異常耐性+2ターン攻撃力UP+_x000D_3ターン全ユニットの攻撃力50%DOWN</v>
      </c>
      <c r="F67" s="47">
        <v>47016166</v>
      </c>
      <c r="G67" s="48">
        <f ca="1">VLOOKUP($F67,OFFSET(enemy_skill_triggers!$A$1,0,0,COUNTA(enemy_skill_triggers!$A:$A),MATCH(G$1,enemy_skill_triggers!$1:$1,0)-MATCH($F$1,enemy_skill_triggers!$1:$1,0)+1),MATCH(G$1,enemy_skill_triggers!$1:$1,0)-MATCH($F$1,enemy_skill_triggers!$1:$1,0)+1,FALSE)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67" s="48">
        <f ca="1">VLOOKUP($F67,OFFSET(enemy_skill_triggers!$A$1,0,0,COUNTA(enemy_skill_triggers!$A:$A),MATCH(H$1,enemy_skill_triggers!$1:$1,0)-MATCH($F$1,enemy_skill_triggers!$1:$1,0)+1),MATCH(H$1,enemy_skill_triggers!$1:$1,0)-MATCH($F$1,enemy_skill_triggers!$1:$1,0)+1,FALSE)</f>
        <v>350</v>
      </c>
      <c r="I67" s="48">
        <f ca="1">VLOOKUP($F67,OFFSET(enemy_skill_triggers!$A$1,0,0,COUNTA(enemy_skill_triggers!$A:$A),MATCH(I$1,enemy_skill_triggers!$1:$1,0)-MATCH($F$1,enemy_skill_triggers!$1:$1,0)+1),MATCH(I$1,enemy_skill_triggers!$1:$1,0)-MATCH($F$1,enemy_skill_triggers!$1:$1,0)+1,FALSE)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7" s="48" t="str">
        <f ca="1">VLOOKUP($F67,OFFSET(enemy_skill_triggers!$A$1,0,0,COUNTA(enemy_skill_triggers!$A:$A),MATCH(J$1,enemy_skill_triggers!$1:$1,0)-MATCH($F$1,enemy_skill_triggers!$1:$1,0)+1),MATCH(J$1,enemy_skill_triggers!$1:$1,0)-MATCH($F$1,enemy_skill_triggers!$1:$1,0)+1,FALSE)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7" s="48" t="str">
        <f ca="1">VLOOKUP($F67,OFFSET(enemy_skill_triggers!$A$1,0,0,COUNTA(enemy_skill_triggers!$A:$A),MATCH(K$1,enemy_skill_triggers!$1:$1,0)-MATCH($F$1,enemy_skill_triggers!$1:$1,0)+1),MATCH(K$1,enemy_skill_triggers!$1:$1,0)-MATCH($F$1,enemy_skill_triggers!$1:$1,0)+1,FALSE)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7" s="48">
        <f ca="1">VLOOKUP($F67,OFFSET(enemy_skill_triggers!$A$1,0,0,COUNTA(enemy_skill_triggers!$A:$A),MATCH(L$1,enemy_skill_triggers!$1:$1,0)-MATCH($F$1,enemy_skill_triggers!$1:$1,0)+1),MATCH(L$1,enemy_skill_triggers!$1:$1,0)-MATCH($F$1,enemy_skill_triggers!$1:$1,0)+1,FALSE)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7" s="48" t="str">
        <f ca="1">VLOOKUP($F67,OFFSET(enemy_skill_triggers!$A$1,0,0,COUNTA(enemy_skill_triggers!$A:$A),MATCH(M$1,enemy_skill_triggers!$1:$1,0)-MATCH($F$1,enemy_skill_triggers!$1:$1,0)+1),MATCH(M$1,enemy_skill_triggers!$1:$1,0)-MATCH($F$1,enemy_skill_triggers!$1:$1,0)+1,FALSE)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7" s="48" t="str">
        <f ca="1">VLOOKUP($F67,OFFSET(enemy_skill_triggers!$A$1,0,0,COUNTA(enemy_skill_triggers!$A:$A),MATCH(N$1,enemy_skill_triggers!$1:$1,0)-MATCH($F$1,enemy_skill_triggers!$1:$1,0)+1),MATCH(N$1,enemy_skill_triggers!$1:$1,0)-MATCH($F$1,enemy_skill_triggers!$1:$1,0)+1,FALSE)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7" s="48">
        <f ca="1">VLOOKUP($F67,OFFSET(enemy_skill_triggers!$A$1,0,0,COUNTA(enemy_skill_triggers!$A:$A),MATCH(O$1,enemy_skill_triggers!$1:$1,0)-MATCH($F$1,enemy_skill_triggers!$1:$1,0)+1),MATCH(O$1,enemy_skill_triggers!$1:$1,0)-MATCH($F$1,enemy_skill_triggers!$1:$1,0)+1,FALSE)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7" s="47"/>
      <c r="Q67" s="47"/>
      <c r="R67" s="47"/>
    </row>
    <row r="68" spans="1:18" ht="21" customHeight="1" x14ac:dyDescent="0.15">
      <c r="A68" s="39" t="str">
        <f t="shared" si="7"/>
        <v>47016105_47016141</v>
      </c>
      <c r="B68" s="112">
        <v>47016105</v>
      </c>
      <c r="C68" s="112">
        <v>47016141</v>
      </c>
      <c r="D68" s="46" t="str">
        <f ca="1">VLOOKUP($C68,OFFSET(enemy_skills!$A$1,0,0,COUNTA(enemy_skills!$A:$A),MATCH(D$1,enemy_skills!$1:$1,0)-MATCH("enemy_skill_id",enemy_skills!$1:$1,0)+1),MATCH(D$1,enemy_skills!$1:$1,0)-MATCH("enemy_skill_id",enemy_skills!$1:$1,0)+1,FALSE)</f>
        <v>チェーンソーの一閃</v>
      </c>
      <c r="E68" s="46" t="str">
        <f ca="1">VLOOKUP($C68,OFFSET(enemy_skills!$A$1,0,0,COUNTA(enemy_skills!$A:$A),MATCH(E$1,enemy_skills!$1:$1,0)-MATCH("enemy_skill_id",enemy_skills!$1:$1,0)+1),MATCH(E$1,enemy_skills!$1:$1,0)-MATCH("enemy_skill_id",enemy_skills!$1:$1,0)+1,FALSE)</f>
        <v>特定エリアを赤パネルに変換+_x000D_赤パネルプロテクト(最大8個)+単体攻撃</v>
      </c>
      <c r="F68" s="47">
        <v>47016167</v>
      </c>
      <c r="G68" s="48">
        <f ca="1">VLOOKUP($F68,OFFSET(enemy_skill_triggers!$A$1,0,0,COUNTA(enemy_skill_triggers!$A:$A),MATCH(G$1,enemy_skill_triggers!$1:$1,0)-MATCH($F$1,enemy_skill_triggers!$1:$1,0)+1),MATCH(G$1,enemy_skill_triggers!$1:$1,0)-MATCH($F$1,enemy_skill_triggers!$1:$1,0)+1,FALSE)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8" s="48">
        <f ca="1">VLOOKUP($F68,OFFSET(enemy_skill_triggers!$A$1,0,0,COUNTA(enemy_skill_triggers!$A:$A),MATCH(H$1,enemy_skill_triggers!$1:$1,0)-MATCH($F$1,enemy_skill_triggers!$1:$1,0)+1),MATCH(H$1,enemy_skill_triggers!$1:$1,0)-MATCH($F$1,enemy_skill_triggers!$1:$1,0)+1,FALSE)</f>
        <v>320</v>
      </c>
      <c r="I68" s="48">
        <f ca="1">VLOOKUP($F68,OFFSET(enemy_skill_triggers!$A$1,0,0,COUNTA(enemy_skill_triggers!$A:$A),MATCH(I$1,enemy_skill_triggers!$1:$1,0)-MATCH($F$1,enemy_skill_triggers!$1:$1,0)+1),MATCH(I$1,enemy_skill_triggers!$1:$1,0)-MATCH($F$1,enemy_skill_triggers!$1:$1,0)+1,FALSE)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8" s="48" t="str">
        <f ca="1">VLOOKUP($F68,OFFSET(enemy_skill_triggers!$A$1,0,0,COUNTA(enemy_skill_triggers!$A:$A),MATCH(J$1,enemy_skill_triggers!$1:$1,0)-MATCH($F$1,enemy_skill_triggers!$1:$1,0)+1),MATCH(J$1,enemy_skill_triggers!$1:$1,0)-MATCH($F$1,enemy_skill_triggers!$1:$1,0)+1,FALSE)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8" s="48" t="str">
        <f ca="1">VLOOKUP($F68,OFFSET(enemy_skill_triggers!$A$1,0,0,COUNTA(enemy_skill_triggers!$A:$A),MATCH(K$1,enemy_skill_triggers!$1:$1,0)-MATCH($F$1,enemy_skill_triggers!$1:$1,0)+1),MATCH(K$1,enemy_skill_triggers!$1:$1,0)-MATCH($F$1,enemy_skill_triggers!$1:$1,0)+1,FALSE)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8" s="48">
        <f ca="1">VLOOKUP($F68,OFFSET(enemy_skill_triggers!$A$1,0,0,COUNTA(enemy_skill_triggers!$A:$A),MATCH(L$1,enemy_skill_triggers!$1:$1,0)-MATCH($F$1,enemy_skill_triggers!$1:$1,0)+1),MATCH(L$1,enemy_skill_triggers!$1:$1,0)-MATCH($F$1,enemy_skill_triggers!$1:$1,0)+1,FALSE)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8" s="48">
        <f ca="1">VLOOKUP($F68,OFFSET(enemy_skill_triggers!$A$1,0,0,COUNTA(enemy_skill_triggers!$A:$A),MATCH(M$1,enemy_skill_triggers!$1:$1,0)-MATCH($F$1,enemy_skill_triggers!$1:$1,0)+1),MATCH(M$1,enemy_skill_triggers!$1:$1,0)-MATCH($F$1,enemy_skill_triggers!$1:$1,0)+1,FALSE)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68" s="48" t="str">
        <f ca="1">VLOOKUP($F68,OFFSET(enemy_skill_triggers!$A$1,0,0,COUNTA(enemy_skill_triggers!$A:$A),MATCH(N$1,enemy_skill_triggers!$1:$1,0)-MATCH($F$1,enemy_skill_triggers!$1:$1,0)+1),MATCH(N$1,enemy_skill_triggers!$1:$1,0)-MATCH($F$1,enemy_skill_triggers!$1:$1,0)+1,FALSE)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8" s="48">
        <f ca="1">VLOOKUP($F68,OFFSET(enemy_skill_triggers!$A$1,0,0,COUNTA(enemy_skill_triggers!$A:$A),MATCH(O$1,enemy_skill_triggers!$1:$1,0)-MATCH($F$1,enemy_skill_triggers!$1:$1,0)+1),MATCH(O$1,enemy_skill_triggers!$1:$1,0)-MATCH($F$1,enemy_skill_triggers!$1:$1,0)+1,FALSE)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8" s="47"/>
      <c r="Q68" s="47"/>
      <c r="R68" s="47"/>
    </row>
    <row r="69" spans="1:18" ht="21" customHeight="1" x14ac:dyDescent="0.15">
      <c r="A69" s="39" t="str">
        <f t="shared" si="7"/>
        <v>47016105_47016142</v>
      </c>
      <c r="B69" s="112">
        <v>47016105</v>
      </c>
      <c r="C69" s="112">
        <v>47016142</v>
      </c>
      <c r="D69" s="46" t="str">
        <f ca="1">VLOOKUP($C69,OFFSET(enemy_skills!$A$1,0,0,COUNTA(enemy_skills!$A:$A),MATCH(D$1,enemy_skills!$1:$1,0)-MATCH("enemy_skill_id",enemy_skills!$1:$1,0)+1),MATCH(D$1,enemy_skills!$1:$1,0)-MATCH("enemy_skill_id",enemy_skills!$1:$1,0)+1,FALSE)</f>
        <v>耐えられるかしら？</v>
      </c>
      <c r="E69" s="46" t="str">
        <f ca="1">VLOOKUP($C69,OFFSET(enemy_skills!$A$1,0,0,COUNTA(enemy_skills!$A:$A),MATCH(E$1,enemy_skills!$1:$1,0)-MATCH("enemy_skill_id",enemy_skills!$1:$1,0)+1),MATCH(E$1,enemy_skills!$1:$1,0)-MATCH("enemy_skill_id",enemy_skills!$1:$1,0)+1,FALSE)</f>
        <v>2回連続攻撃</v>
      </c>
      <c r="F69" s="47">
        <v>47016168</v>
      </c>
      <c r="G69" s="48">
        <f ca="1">VLOOKUP($F69,OFFSET(enemy_skill_triggers!$A$1,0,0,COUNTA(enemy_skill_triggers!$A:$A),MATCH(G$1,enemy_skill_triggers!$1:$1,0)-MATCH($F$1,enemy_skill_triggers!$1:$1,0)+1),MATCH(G$1,enemy_skill_triggers!$1:$1,0)-MATCH($F$1,enemy_skill_triggers!$1:$1,0)+1,FALSE)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9" s="48">
        <f ca="1">VLOOKUP($F69,OFFSET(enemy_skill_triggers!$A$1,0,0,COUNTA(enemy_skill_triggers!$A:$A),MATCH(H$1,enemy_skill_triggers!$1:$1,0)-MATCH($F$1,enemy_skill_triggers!$1:$1,0)+1),MATCH(H$1,enemy_skill_triggers!$1:$1,0)-MATCH($F$1,enemy_skill_triggers!$1:$1,0)+1,FALSE)</f>
        <v>120</v>
      </c>
      <c r="I69" s="48">
        <f ca="1">VLOOKUP($F69,OFFSET(enemy_skill_triggers!$A$1,0,0,COUNTA(enemy_skill_triggers!$A:$A),MATCH(I$1,enemy_skill_triggers!$1:$1,0)-MATCH($F$1,enemy_skill_triggers!$1:$1,0)+1),MATCH(I$1,enemy_skill_triggers!$1:$1,0)-MATCH($F$1,enemy_skill_triggers!$1:$1,0)+1,FALSE)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69" s="48" t="str">
        <f ca="1">VLOOKUP($F69,OFFSET(enemy_skill_triggers!$A$1,0,0,COUNTA(enemy_skill_triggers!$A:$A),MATCH(J$1,enemy_skill_triggers!$1:$1,0)-MATCH($F$1,enemy_skill_triggers!$1:$1,0)+1),MATCH(J$1,enemy_skill_triggers!$1:$1,0)-MATCH($F$1,enemy_skill_triggers!$1:$1,0)+1,FALSE)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9" s="48" t="str">
        <f ca="1">VLOOKUP($F69,OFFSET(enemy_skill_triggers!$A$1,0,0,COUNTA(enemy_skill_triggers!$A:$A),MATCH(K$1,enemy_skill_triggers!$1:$1,0)-MATCH($F$1,enemy_skill_triggers!$1:$1,0)+1),MATCH(K$1,enemy_skill_triggers!$1:$1,0)-MATCH($F$1,enemy_skill_triggers!$1:$1,0)+1,FALSE)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9" s="48" t="str">
        <f ca="1">VLOOKUP($F69,OFFSET(enemy_skill_triggers!$A$1,0,0,COUNTA(enemy_skill_triggers!$A:$A),MATCH(L$1,enemy_skill_triggers!$1:$1,0)-MATCH($F$1,enemy_skill_triggers!$1:$1,0)+1),MATCH(L$1,enemy_skill_triggers!$1:$1,0)-MATCH($F$1,enemy_skill_triggers!$1:$1,0)+1,FALSE)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69" s="48" t="str">
        <f ca="1">VLOOKUP($F69,OFFSET(enemy_skill_triggers!$A$1,0,0,COUNTA(enemy_skill_triggers!$A:$A),MATCH(M$1,enemy_skill_triggers!$1:$1,0)-MATCH($F$1,enemy_skill_triggers!$1:$1,0)+1),MATCH(M$1,enemy_skill_triggers!$1:$1,0)-MATCH($F$1,enemy_skill_triggers!$1:$1,0)+1,FALSE)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9" s="48" t="str">
        <f ca="1">VLOOKUP($F69,OFFSET(enemy_skill_triggers!$A$1,0,0,COUNTA(enemy_skill_triggers!$A:$A),MATCH(N$1,enemy_skill_triggers!$1:$1,0)-MATCH($F$1,enemy_skill_triggers!$1:$1,0)+1),MATCH(N$1,enemy_skill_triggers!$1:$1,0)-MATCH($F$1,enemy_skill_triggers!$1:$1,0)+1,FALSE)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9" s="48">
        <f ca="1">VLOOKUP($F69,OFFSET(enemy_skill_triggers!$A$1,0,0,COUNTA(enemy_skill_triggers!$A:$A),MATCH(O$1,enemy_skill_triggers!$1:$1,0)-MATCH($F$1,enemy_skill_triggers!$1:$1,0)+1),MATCH(O$1,enemy_skill_triggers!$1:$1,0)-MATCH($F$1,enemy_skill_triggers!$1:$1,0)+1,FALSE)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69" s="47"/>
      <c r="Q69" s="47"/>
      <c r="R69" s="47"/>
    </row>
    <row r="70" spans="1:18" ht="21" customHeight="1" x14ac:dyDescent="0.15">
      <c r="A70" s="39" t="str">
        <f t="shared" si="7"/>
        <v>47016105_47016143</v>
      </c>
      <c r="B70" s="112">
        <v>47016105</v>
      </c>
      <c r="C70" s="112">
        <v>47016143</v>
      </c>
      <c r="D70" s="46" t="str">
        <f ca="1">VLOOKUP($C70,OFFSET(enemy_skills!$A$1,0,0,COUNTA(enemy_skills!$A:$A),MATCH(D$1,enemy_skills!$1:$1,0)-MATCH("enemy_skill_id",enemy_skills!$1:$1,0)+1),MATCH(D$1,enemy_skills!$1:$1,0)-MATCH("enemy_skill_id",enemy_skills!$1:$1,0)+1,FALSE)</f>
        <v>熱い恋したいじゃない！</v>
      </c>
      <c r="E70" s="46" t="str">
        <f ca="1">VLOOKUP($C70,OFFSET(enemy_skills!$A$1,0,0,COUNTA(enemy_skills!$A:$A),MATCH(E$1,enemy_skills!$1:$1,0)-MATCH("enemy_skill_id",enemy_skills!$1:$1,0)+1),MATCH(E$1,enemy_skills!$1:$1,0)-MATCH("enemy_skill_id",enemy_skills!$1:$1,0)+1,FALSE)</f>
        <v>青パネルプロテクト(最大10個)+_x000D_4回連続攻撃</v>
      </c>
      <c r="F70" s="47">
        <v>47016169</v>
      </c>
      <c r="G70" s="48">
        <f ca="1">VLOOKUP($F70,OFFSET(enemy_skill_triggers!$A$1,0,0,COUNTA(enemy_skill_triggers!$A:$A),MATCH(G$1,enemy_skill_triggers!$1:$1,0)-MATCH($F$1,enemy_skill_triggers!$1:$1,0)+1),MATCH(G$1,enemy_skill_triggers!$1:$1,0)-MATCH($F$1,enemy_skill_triggers!$1:$1,0)+1,FALSE)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0" s="48">
        <f ca="1">VLOOKUP($F70,OFFSET(enemy_skill_triggers!$A$1,0,0,COUNTA(enemy_skill_triggers!$A:$A),MATCH(H$1,enemy_skill_triggers!$1:$1,0)-MATCH($F$1,enemy_skill_triggers!$1:$1,0)+1),MATCH(H$1,enemy_skill_triggers!$1:$1,0)-MATCH($F$1,enemy_skill_triggers!$1:$1,0)+1,FALSE)</f>
        <v>110</v>
      </c>
      <c r="I70" s="48">
        <f ca="1">VLOOKUP($F70,OFFSET(enemy_skill_triggers!$A$1,0,0,COUNTA(enemy_skill_triggers!$A:$A),MATCH(I$1,enemy_skill_triggers!$1:$1,0)-MATCH($F$1,enemy_skill_triggers!$1:$1,0)+1),MATCH(I$1,enemy_skill_triggers!$1:$1,0)-MATCH($F$1,enemy_skill_triggers!$1:$1,0)+1,FALSE)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0" s="48" t="str">
        <f ca="1">VLOOKUP($F70,OFFSET(enemy_skill_triggers!$A$1,0,0,COUNTA(enemy_skill_triggers!$A:$A),MATCH(J$1,enemy_skill_triggers!$1:$1,0)-MATCH($F$1,enemy_skill_triggers!$1:$1,0)+1),MATCH(J$1,enemy_skill_triggers!$1:$1,0)-MATCH($F$1,enemy_skill_triggers!$1:$1,0)+1,FALSE)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0" s="48" t="str">
        <f ca="1">VLOOKUP($F70,OFFSET(enemy_skill_triggers!$A$1,0,0,COUNTA(enemy_skill_triggers!$A:$A),MATCH(K$1,enemy_skill_triggers!$1:$1,0)-MATCH($F$1,enemy_skill_triggers!$1:$1,0)+1),MATCH(K$1,enemy_skill_triggers!$1:$1,0)-MATCH($F$1,enemy_skill_triggers!$1:$1,0)+1,FALSE)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0" s="48" t="str">
        <f ca="1">VLOOKUP($F70,OFFSET(enemy_skill_triggers!$A$1,0,0,COUNTA(enemy_skill_triggers!$A:$A),MATCH(L$1,enemy_skill_triggers!$1:$1,0)-MATCH($F$1,enemy_skill_triggers!$1:$1,0)+1),MATCH(L$1,enemy_skill_triggers!$1:$1,0)-MATCH($F$1,enemy_skill_triggers!$1:$1,0)+1,FALSE)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70" s="48" t="str">
        <f ca="1">VLOOKUP($F70,OFFSET(enemy_skill_triggers!$A$1,0,0,COUNTA(enemy_skill_triggers!$A:$A),MATCH(M$1,enemy_skill_triggers!$1:$1,0)-MATCH($F$1,enemy_skill_triggers!$1:$1,0)+1),MATCH(M$1,enemy_skill_triggers!$1:$1,0)-MATCH($F$1,enemy_skill_triggers!$1:$1,0)+1,FALSE)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0" s="48" t="str">
        <f ca="1">VLOOKUP($F70,OFFSET(enemy_skill_triggers!$A$1,0,0,COUNTA(enemy_skill_triggers!$A:$A),MATCH(N$1,enemy_skill_triggers!$1:$1,0)-MATCH($F$1,enemy_skill_triggers!$1:$1,0)+1),MATCH(N$1,enemy_skill_triggers!$1:$1,0)-MATCH($F$1,enemy_skill_triggers!$1:$1,0)+1,FALSE)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0" s="48">
        <f ca="1">VLOOKUP($F70,OFFSET(enemy_skill_triggers!$A$1,0,0,COUNTA(enemy_skill_triggers!$A:$A),MATCH(O$1,enemy_skill_triggers!$1:$1,0)-MATCH($F$1,enemy_skill_triggers!$1:$1,0)+1),MATCH(O$1,enemy_skill_triggers!$1:$1,0)-MATCH($F$1,enemy_skill_triggers!$1:$1,0)+1,FALSE)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0" s="47"/>
      <c r="Q70" s="47"/>
      <c r="R70" s="47"/>
    </row>
    <row r="71" spans="1:18" ht="21" customHeight="1" x14ac:dyDescent="0.15">
      <c r="A71" s="39" t="str">
        <f t="shared" si="7"/>
        <v>47016105_47016144</v>
      </c>
      <c r="B71" s="112">
        <v>47016105</v>
      </c>
      <c r="C71" s="112">
        <v>47016144</v>
      </c>
      <c r="D71" s="46" t="str">
        <f ca="1">VLOOKUP($C71,OFFSET(enemy_skills!$A$1,0,0,COUNTA(enemy_skills!$A:$A),MATCH(D$1,enemy_skills!$1:$1,0)-MATCH("enemy_skill_id",enemy_skills!$1:$1,0)+1),MATCH(D$1,enemy_skills!$1:$1,0)-MATCH("enemy_skill_id",enemy_skills!$1:$1,0)+1,FALSE)</f>
        <v>あたしの得物も喜んでるわ！</v>
      </c>
      <c r="E71" s="46" t="str">
        <f ca="1">VLOOKUP($C71,OFFSET(enemy_skills!$A$1,0,0,COUNTA(enemy_skills!$A:$A),MATCH(E$1,enemy_skills!$1:$1,0)-MATCH("enemy_skill_id",enemy_skills!$1:$1,0)+1),MATCH(E$1,enemy_skills!$1:$1,0)-MATCH("enemy_skill_id",enemy_skills!$1:$1,0)+1,FALSE)</f>
        <v>3ターン赤パネルはプロテクトされてドロップ</v>
      </c>
      <c r="F71" s="47">
        <v>47016170</v>
      </c>
      <c r="G71" s="48">
        <f ca="1">VLOOKUP($F71,OFFSET(enemy_skill_triggers!$A$1,0,0,COUNTA(enemy_skill_triggers!$A:$A),MATCH(G$1,enemy_skill_triggers!$1:$1,0)-MATCH($F$1,enemy_skill_triggers!$1:$1,0)+1),MATCH(G$1,enemy_skill_triggers!$1:$1,0)-MATCH($F$1,enemy_skill_triggers!$1:$1,0)+1,FALSE)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1" s="48">
        <f ca="1">VLOOKUP($F71,OFFSET(enemy_skill_triggers!$A$1,0,0,COUNTA(enemy_skill_triggers!$A:$A),MATCH(H$1,enemy_skill_triggers!$1:$1,0)-MATCH($F$1,enemy_skill_triggers!$1:$1,0)+1),MATCH(H$1,enemy_skill_triggers!$1:$1,0)-MATCH($F$1,enemy_skill_triggers!$1:$1,0)+1,FALSE)</f>
        <v>400</v>
      </c>
      <c r="I71" s="48">
        <f ca="1">VLOOKUP($F71,OFFSET(enemy_skill_triggers!$A$1,0,0,COUNTA(enemy_skill_triggers!$A:$A),MATCH(I$1,enemy_skill_triggers!$1:$1,0)-MATCH($F$1,enemy_skill_triggers!$1:$1,0)+1),MATCH(I$1,enemy_skill_triggers!$1:$1,0)-MATCH($F$1,enemy_skill_triggers!$1:$1,0)+1,FALSE)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1" s="48">
        <f ca="1">VLOOKUP($F71,OFFSET(enemy_skill_triggers!$A$1,0,0,COUNTA(enemy_skill_triggers!$A:$A),MATCH(J$1,enemy_skill_triggers!$1:$1,0)-MATCH($F$1,enemy_skill_triggers!$1:$1,0)+1),MATCH(J$1,enemy_skill_triggers!$1:$1,0)-MATCH($F$1,enemy_skill_triggers!$1:$1,0)+1,FALSE)</f>
        <v>80</v>
      </c>
      <c r="K71" s="48" t="str">
        <f ca="1">VLOOKUP($F71,OFFSET(enemy_skill_triggers!$A$1,0,0,COUNTA(enemy_skill_triggers!$A:$A),MATCH(K$1,enemy_skill_triggers!$1:$1,0)-MATCH($F$1,enemy_skill_triggers!$1:$1,0)+1),MATCH(K$1,enemy_skill_triggers!$1:$1,0)-MATCH($F$1,enemy_skill_triggers!$1:$1,0)+1,FALSE)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1" s="48">
        <f ca="1">VLOOKUP($F71,OFFSET(enemy_skill_triggers!$A$1,0,0,COUNTA(enemy_skill_triggers!$A:$A),MATCH(L$1,enemy_skill_triggers!$1:$1,0)-MATCH($F$1,enemy_skill_triggers!$1:$1,0)+1),MATCH(L$1,enemy_skill_triggers!$1:$1,0)-MATCH($F$1,enemy_skill_triggers!$1:$1,0)+1,FALSE)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1" s="48" t="str">
        <f ca="1">VLOOKUP($F71,OFFSET(enemy_skill_triggers!$A$1,0,0,COUNTA(enemy_skill_triggers!$A:$A),MATCH(M$1,enemy_skill_triggers!$1:$1,0)-MATCH($F$1,enemy_skill_triggers!$1:$1,0)+1),MATCH(M$1,enemy_skill_triggers!$1:$1,0)-MATCH($F$1,enemy_skill_triggers!$1:$1,0)+1,FALSE)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1" s="48" t="str">
        <f ca="1">VLOOKUP($F71,OFFSET(enemy_skill_triggers!$A$1,0,0,COUNTA(enemy_skill_triggers!$A:$A),MATCH(N$1,enemy_skill_triggers!$1:$1,0)-MATCH($F$1,enemy_skill_triggers!$1:$1,0)+1),MATCH(N$1,enemy_skill_triggers!$1:$1,0)-MATCH($F$1,enemy_skill_triggers!$1:$1,0)+1,FALSE)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1" s="48">
        <f ca="1">VLOOKUP($F71,OFFSET(enemy_skill_triggers!$A$1,0,0,COUNTA(enemy_skill_triggers!$A:$A),MATCH(O$1,enemy_skill_triggers!$1:$1,0)-MATCH($F$1,enemy_skill_triggers!$1:$1,0)+1),MATCH(O$1,enemy_skill_triggers!$1:$1,0)-MATCH($F$1,enemy_skill_triggers!$1:$1,0)+1,FALSE)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1" s="47"/>
      <c r="Q71" s="47"/>
      <c r="R71" s="47"/>
    </row>
    <row r="72" spans="1:18" ht="21" customHeight="1" x14ac:dyDescent="0.15">
      <c r="A72" s="39" t="str">
        <f t="shared" si="7"/>
        <v>47016105_47016145</v>
      </c>
      <c r="B72" s="112">
        <v>47016105</v>
      </c>
      <c r="C72" s="112">
        <v>47016145</v>
      </c>
      <c r="D72" s="46" t="str">
        <f ca="1">VLOOKUP($C72,OFFSET(enemy_skills!$A$1,0,0,COUNTA(enemy_skills!$A:$A),MATCH(D$1,enemy_skills!$1:$1,0)-MATCH("enemy_skill_id",enemy_skills!$1:$1,0)+1),MATCH(D$1,enemy_skills!$1:$1,0)-MATCH("enemy_skill_id",enemy_skills!$1:$1,0)+1,FALSE)</f>
        <v>冷めちゃうのは勘弁よ？</v>
      </c>
      <c r="E72" s="46" t="str">
        <f ca="1">VLOOKUP($C72,OFFSET(enemy_skills!$A$1,0,0,COUNTA(enemy_skills!$A:$A),MATCH(E$1,enemy_skills!$1:$1,0)-MATCH("enemy_skill_id",enemy_skills!$1:$1,0)+1),MATCH(E$1,enemy_skills!$1:$1,0)-MATCH("enemy_skill_id",enemy_skills!$1:$1,0)+1,FALSE)</f>
        <v>5ターン青パネルはプロテクトされてドロップ+_x000D_全体攻撃</v>
      </c>
      <c r="F72" s="47">
        <v>47016171</v>
      </c>
      <c r="G72" s="48">
        <f ca="1">VLOOKUP($F72,OFFSET(enemy_skill_triggers!$A$1,0,0,COUNTA(enemy_skill_triggers!$A:$A),MATCH(G$1,enemy_skill_triggers!$1:$1,0)-MATCH($F$1,enemy_skill_triggers!$1:$1,0)+1),MATCH(G$1,enemy_skill_triggers!$1:$1,0)-MATCH($F$1,enemy_skill_triggers!$1:$1,0)+1,FALSE)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2" s="48">
        <f ca="1">VLOOKUP($F72,OFFSET(enemy_skill_triggers!$A$1,0,0,COUNTA(enemy_skill_triggers!$A:$A),MATCH(H$1,enemy_skill_triggers!$1:$1,0)-MATCH($F$1,enemy_skill_triggers!$1:$1,0)+1),MATCH(H$1,enemy_skill_triggers!$1:$1,0)-MATCH($F$1,enemy_skill_triggers!$1:$1,0)+1,FALSE)</f>
        <v>425</v>
      </c>
      <c r="I72" s="48">
        <f ca="1">VLOOKUP($F72,OFFSET(enemy_skill_triggers!$A$1,0,0,COUNTA(enemy_skill_triggers!$A:$A),MATCH(I$1,enemy_skill_triggers!$1:$1,0)-MATCH($F$1,enemy_skill_triggers!$1:$1,0)+1),MATCH(I$1,enemy_skill_triggers!$1:$1,0)-MATCH($F$1,enemy_skill_triggers!$1:$1,0)+1,FALSE)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2" s="48">
        <f ca="1">VLOOKUP($F72,OFFSET(enemy_skill_triggers!$A$1,0,0,COUNTA(enemy_skill_triggers!$A:$A),MATCH(J$1,enemy_skill_triggers!$1:$1,0)-MATCH($F$1,enemy_skill_triggers!$1:$1,0)+1),MATCH(J$1,enemy_skill_triggers!$1:$1,0)-MATCH($F$1,enemy_skill_triggers!$1:$1,0)+1,FALSE)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72" s="48" t="str">
        <f ca="1">VLOOKUP($F72,OFFSET(enemy_skill_triggers!$A$1,0,0,COUNTA(enemy_skill_triggers!$A:$A),MATCH(K$1,enemy_skill_triggers!$1:$1,0)-MATCH($F$1,enemy_skill_triggers!$1:$1,0)+1),MATCH(K$1,enemy_skill_triggers!$1:$1,0)-MATCH($F$1,enemy_skill_triggers!$1:$1,0)+1,FALSE)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2" s="48">
        <f ca="1">VLOOKUP($F72,OFFSET(enemy_skill_triggers!$A$1,0,0,COUNTA(enemy_skill_triggers!$A:$A),MATCH(L$1,enemy_skill_triggers!$1:$1,0)-MATCH($F$1,enemy_skill_triggers!$1:$1,0)+1),MATCH(L$1,enemy_skill_triggers!$1:$1,0)-MATCH($F$1,enemy_skill_triggers!$1:$1,0)+1,FALSE)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2" s="48" t="str">
        <f ca="1">VLOOKUP($F72,OFFSET(enemy_skill_triggers!$A$1,0,0,COUNTA(enemy_skill_triggers!$A:$A),MATCH(M$1,enemy_skill_triggers!$1:$1,0)-MATCH($F$1,enemy_skill_triggers!$1:$1,0)+1),MATCH(M$1,enemy_skill_triggers!$1:$1,0)-MATCH($F$1,enemy_skill_triggers!$1:$1,0)+1,FALSE)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2" s="48" t="str">
        <f ca="1">VLOOKUP($F72,OFFSET(enemy_skill_triggers!$A$1,0,0,COUNTA(enemy_skill_triggers!$A:$A),MATCH(N$1,enemy_skill_triggers!$1:$1,0)-MATCH($F$1,enemy_skill_triggers!$1:$1,0)+1),MATCH(N$1,enemy_skill_triggers!$1:$1,0)-MATCH($F$1,enemy_skill_triggers!$1:$1,0)+1,FALSE)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2" s="48">
        <f ca="1">VLOOKUP($F72,OFFSET(enemy_skill_triggers!$A$1,0,0,COUNTA(enemy_skill_triggers!$A:$A),MATCH(O$1,enemy_skill_triggers!$1:$1,0)-MATCH($F$1,enemy_skill_triggers!$1:$1,0)+1),MATCH(O$1,enemy_skill_triggers!$1:$1,0)-MATCH($F$1,enemy_skill_triggers!$1:$1,0)+1,FALSE)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2" s="47"/>
      <c r="Q72" s="47"/>
      <c r="R72" s="47"/>
    </row>
    <row r="73" spans="1:18" ht="21" customHeight="1" x14ac:dyDescent="0.15">
      <c r="A73" s="39" t="str">
        <f t="shared" si="7"/>
        <v>47016105_47016146</v>
      </c>
      <c r="B73" s="112">
        <v>47016105</v>
      </c>
      <c r="C73" s="112">
        <v>47016146</v>
      </c>
      <c r="D73" s="46" t="str">
        <f ca="1">VLOOKUP($C73,OFFSET(enemy_skills!$A$1,0,0,COUNTA(enemy_skills!$A:$A),MATCH(D$1,enemy_skills!$1:$1,0)-MATCH("enemy_skill_id",enemy_skills!$1:$1,0)+1),MATCH(D$1,enemy_skills!$1:$1,0)-MATCH("enemy_skill_id",enemy_skills!$1:$1,0)+1,FALSE)</f>
        <v>まだまだ熱くなりたいの！</v>
      </c>
      <c r="E73" s="46" t="str">
        <f ca="1">VLOOKUP($C73,OFFSET(enemy_skills!$A$1,0,0,COUNTA(enemy_skills!$A:$A),MATCH(E$1,enemy_skills!$1:$1,0)-MATCH("enemy_skill_id",enemy_skills!$1:$1,0)+1),MATCH(E$1,enemy_skills!$1:$1,0)-MATCH("enemy_skill_id",enemy_skills!$1:$1,0)+1,FALSE)</f>
        <v>特定エリアを赤パネルに変換+_x000D_残りHPの50%ダメージ！</v>
      </c>
      <c r="F73" s="47">
        <v>47016172</v>
      </c>
      <c r="G73" s="48">
        <f ca="1">VLOOKUP($F73,OFFSET(enemy_skill_triggers!$A$1,0,0,COUNTA(enemy_skill_triggers!$A:$A),MATCH(G$1,enemy_skill_triggers!$1:$1,0)-MATCH($F$1,enemy_skill_triggers!$1:$1,0)+1),MATCH(G$1,enemy_skill_triggers!$1:$1,0)-MATCH($F$1,enemy_skill_triggers!$1:$1,0)+1,FALSE)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3" s="48">
        <f ca="1">VLOOKUP($F73,OFFSET(enemy_skill_triggers!$A$1,0,0,COUNTA(enemy_skill_triggers!$A:$A),MATCH(H$1,enemy_skill_triggers!$1:$1,0)-MATCH($F$1,enemy_skill_triggers!$1:$1,0)+1),MATCH(H$1,enemy_skill_triggers!$1:$1,0)-MATCH($F$1,enemy_skill_triggers!$1:$1,0)+1,FALSE)</f>
        <v>450</v>
      </c>
      <c r="I73" s="48">
        <f ca="1">VLOOKUP($F73,OFFSET(enemy_skill_triggers!$A$1,0,0,COUNTA(enemy_skill_triggers!$A:$A),MATCH(I$1,enemy_skill_triggers!$1:$1,0)-MATCH($F$1,enemy_skill_triggers!$1:$1,0)+1),MATCH(I$1,enemy_skill_triggers!$1:$1,0)-MATCH($F$1,enemy_skill_triggers!$1:$1,0)+1,FALSE)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3" s="48">
        <f ca="1">VLOOKUP($F73,OFFSET(enemy_skill_triggers!$A$1,0,0,COUNTA(enemy_skill_triggers!$A:$A),MATCH(J$1,enemy_skill_triggers!$1:$1,0)-MATCH($F$1,enemy_skill_triggers!$1:$1,0)+1),MATCH(J$1,enemy_skill_triggers!$1:$1,0)-MATCH($F$1,enemy_skill_triggers!$1:$1,0)+1,FALSE)</f>
        <v>30</v>
      </c>
      <c r="K73" s="48" t="str">
        <f ca="1">VLOOKUP($F73,OFFSET(enemy_skill_triggers!$A$1,0,0,COUNTA(enemy_skill_triggers!$A:$A),MATCH(K$1,enemy_skill_triggers!$1:$1,0)-MATCH($F$1,enemy_skill_triggers!$1:$1,0)+1),MATCH(K$1,enemy_skill_triggers!$1:$1,0)-MATCH($F$1,enemy_skill_triggers!$1:$1,0)+1,FALSE)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3" s="48">
        <f ca="1">VLOOKUP($F73,OFFSET(enemy_skill_triggers!$A$1,0,0,COUNTA(enemy_skill_triggers!$A:$A),MATCH(L$1,enemy_skill_triggers!$1:$1,0)-MATCH($F$1,enemy_skill_triggers!$1:$1,0)+1),MATCH(L$1,enemy_skill_triggers!$1:$1,0)-MATCH($F$1,enemy_skill_triggers!$1:$1,0)+1,FALSE)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3" s="48" t="str">
        <f ca="1">VLOOKUP($F73,OFFSET(enemy_skill_triggers!$A$1,0,0,COUNTA(enemy_skill_triggers!$A:$A),MATCH(M$1,enemy_skill_triggers!$1:$1,0)-MATCH($F$1,enemy_skill_triggers!$1:$1,0)+1),MATCH(M$1,enemy_skill_triggers!$1:$1,0)-MATCH($F$1,enemy_skill_triggers!$1:$1,0)+1,FALSE)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3" s="48" t="str">
        <f ca="1">VLOOKUP($F73,OFFSET(enemy_skill_triggers!$A$1,0,0,COUNTA(enemy_skill_triggers!$A:$A),MATCH(N$1,enemy_skill_triggers!$1:$1,0)-MATCH($F$1,enemy_skill_triggers!$1:$1,0)+1),MATCH(N$1,enemy_skill_triggers!$1:$1,0)-MATCH($F$1,enemy_skill_triggers!$1:$1,0)+1,FALSE)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3" s="48">
        <f ca="1">VLOOKUP($F73,OFFSET(enemy_skill_triggers!$A$1,0,0,COUNTA(enemy_skill_triggers!$A:$A),MATCH(O$1,enemy_skill_triggers!$1:$1,0)-MATCH($F$1,enemy_skill_triggers!$1:$1,0)+1),MATCH(O$1,enemy_skill_triggers!$1:$1,0)-MATCH($F$1,enemy_skill_triggers!$1:$1,0)+1,FALSE)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3" s="47"/>
      <c r="Q73" s="47"/>
      <c r="R73" s="47"/>
    </row>
    <row r="74" spans="1:18" ht="21" customHeight="1" x14ac:dyDescent="0.15">
      <c r="A74" s="169" t="str">
        <f t="shared" si="7"/>
        <v>47016105_47016147</v>
      </c>
      <c r="B74" s="112">
        <v>47016105</v>
      </c>
      <c r="C74" s="112">
        <v>47016147</v>
      </c>
      <c r="D74" s="46" t="str">
        <f ca="1">VLOOKUP($C74,OFFSET(enemy_skills!$A$1,0,0,COUNTA(enemy_skills!$A:$A),MATCH(D$1,enemy_skills!$1:$1,0)-MATCH("enemy_skill_id",enemy_skills!$1:$1,0)+1),MATCH(D$1,enemy_skills!$1:$1,0)-MATCH("enemy_skill_id",enemy_skills!$1:$1,0)+1,FALSE)</f>
        <v>最高のブーケをあげるわ！</v>
      </c>
      <c r="E74" s="46" t="str">
        <f ca="1">VLOOKUP($C74,OFFSET(enemy_skills!$A$1,0,0,COUNTA(enemy_skills!$A:$A),MATCH(E$1,enemy_skills!$1:$1,0)-MATCH("enemy_skill_id",enemy_skills!$1:$1,0)+1),MATCH(E$1,enemy_skills!$1:$1,0)-MATCH("enemy_skill_id",enemy_skills!$1:$1,0)+1,FALSE)</f>
        <v>楽しませてくれたお礼！_x000D_【特定エリアを赤・青・黄・ハートパネルに変換】</v>
      </c>
      <c r="F74" s="47">
        <v>47016173</v>
      </c>
      <c r="G74" s="48">
        <f ca="1">VLOOKUP($F74,OFFSET(enemy_skill_triggers!$A$1,0,0,COUNTA(enemy_skill_triggers!$A:$A),MATCH(G$1,enemy_skill_triggers!$1:$1,0)-MATCH($F$1,enemy_skill_triggers!$1:$1,0)+1),MATCH(G$1,enemy_skill_triggers!$1:$1,0)-MATCH($F$1,enemy_skill_triggers!$1:$1,0)+1,FALSE)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4" s="48">
        <f ca="1">VLOOKUP($F74,OFFSET(enemy_skill_triggers!$A$1,0,0,COUNTA(enemy_skill_triggers!$A:$A),MATCH(H$1,enemy_skill_triggers!$1:$1,0)-MATCH($F$1,enemy_skill_triggers!$1:$1,0)+1),MATCH(H$1,enemy_skill_triggers!$1:$1,0)-MATCH($F$1,enemy_skill_triggers!$1:$1,0)+1,FALSE)</f>
        <v>475</v>
      </c>
      <c r="I74" s="48">
        <f ca="1">VLOOKUP($F74,OFFSET(enemy_skill_triggers!$A$1,0,0,COUNTA(enemy_skill_triggers!$A:$A),MATCH(I$1,enemy_skill_triggers!$1:$1,0)-MATCH($F$1,enemy_skill_triggers!$1:$1,0)+1),MATCH(I$1,enemy_skill_triggers!$1:$1,0)-MATCH($F$1,enemy_skill_triggers!$1:$1,0)+1,FALSE)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4" s="48">
        <f ca="1">VLOOKUP($F74,OFFSET(enemy_skill_triggers!$A$1,0,0,COUNTA(enemy_skill_triggers!$A:$A),MATCH(J$1,enemy_skill_triggers!$1:$1,0)-MATCH($F$1,enemy_skill_triggers!$1:$1,0)+1),MATCH(J$1,enemy_skill_triggers!$1:$1,0)-MATCH($F$1,enemy_skill_triggers!$1:$1,0)+1,FALSE)</f>
        <v>20</v>
      </c>
      <c r="K74" s="48" t="str">
        <f ca="1">VLOOKUP($F74,OFFSET(enemy_skill_triggers!$A$1,0,0,COUNTA(enemy_skill_triggers!$A:$A),MATCH(K$1,enemy_skill_triggers!$1:$1,0)-MATCH($F$1,enemy_skill_triggers!$1:$1,0)+1),MATCH(K$1,enemy_skill_triggers!$1:$1,0)-MATCH($F$1,enemy_skill_triggers!$1:$1,0)+1,FALSE)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4" s="48">
        <f ca="1">VLOOKUP($F74,OFFSET(enemy_skill_triggers!$A$1,0,0,COUNTA(enemy_skill_triggers!$A:$A),MATCH(L$1,enemy_skill_triggers!$1:$1,0)-MATCH($F$1,enemy_skill_triggers!$1:$1,0)+1),MATCH(L$1,enemy_skill_triggers!$1:$1,0)-MATCH($F$1,enemy_skill_triggers!$1:$1,0)+1,FALSE)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4" s="48" t="str">
        <f ca="1">VLOOKUP($F74,OFFSET(enemy_skill_triggers!$A$1,0,0,COUNTA(enemy_skill_triggers!$A:$A),MATCH(M$1,enemy_skill_triggers!$1:$1,0)-MATCH($F$1,enemy_skill_triggers!$1:$1,0)+1),MATCH(M$1,enemy_skill_triggers!$1:$1,0)-MATCH($F$1,enemy_skill_triggers!$1:$1,0)+1,FALSE)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4" s="48" t="str">
        <f ca="1">VLOOKUP($F74,OFFSET(enemy_skill_triggers!$A$1,0,0,COUNTA(enemy_skill_triggers!$A:$A),MATCH(N$1,enemy_skill_triggers!$1:$1,0)-MATCH($F$1,enemy_skill_triggers!$1:$1,0)+1),MATCH(N$1,enemy_skill_triggers!$1:$1,0)-MATCH($F$1,enemy_skill_triggers!$1:$1,0)+1,FALSE)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4" s="48">
        <f ca="1">VLOOKUP($F74,OFFSET(enemy_skill_triggers!$A$1,0,0,COUNTA(enemy_skill_triggers!$A:$A),MATCH(O$1,enemy_skill_triggers!$1:$1,0)-MATCH($F$1,enemy_skill_triggers!$1:$1,0)+1),MATCH(O$1,enemy_skill_triggers!$1:$1,0)-MATCH($F$1,enemy_skill_triggers!$1:$1,0)+1,FALSE)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4" s="47"/>
      <c r="Q74" s="47"/>
      <c r="R74" s="47"/>
    </row>
    <row r="75" spans="1:18" ht="21" customHeight="1" thickBot="1" x14ac:dyDescent="0.2">
      <c r="A75" s="170" t="str">
        <f t="shared" ref="A75:A140" si="11">B75&amp;"_"&amp;C75</f>
        <v>47016105_47016148</v>
      </c>
      <c r="B75" s="138">
        <v>47016105</v>
      </c>
      <c r="C75" s="138">
        <v>47016148</v>
      </c>
      <c r="D75" s="171" t="str">
        <f ca="1">VLOOKUP($C75,OFFSET(enemy_skills!$A$1,0,0,COUNTA(enemy_skills!$A:$A),MATCH(D$1,enemy_skills!$1:$1,0)-MATCH("enemy_skill_id",enemy_skills!$1:$1,0)+1),MATCH(D$1,enemy_skills!$1:$1,0)-MATCH("enemy_skill_id",enemy_skills!$1:$1,0)+1,FALSE)</f>
        <v>久しぶりに燃えたわ…</v>
      </c>
      <c r="E75" s="171" t="str">
        <f ca="1">VLOOKUP($C75,OFFSET(enemy_skills!$A$1,0,0,COUNTA(enemy_skills!$A:$A),MATCH(E$1,enemy_skills!$1:$1,0)-MATCH("enemy_skill_id",enemy_skills!$1:$1,0)+1),MATCH(E$1,enemy_skills!$1:$1,0)-MATCH("enemy_skill_id",enemy_skills!$1:$1,0)+1,FALSE)</f>
        <v>楽しい時間だった、また会いたいわね</v>
      </c>
      <c r="F75" s="172">
        <v>47016174</v>
      </c>
      <c r="G75" s="164">
        <f ca="1">VLOOKUP($F75,OFFSET(enemy_skill_triggers!$A$1,0,0,COUNTA(enemy_skill_triggers!$A:$A),MATCH(G$1,enemy_skill_triggers!$1:$1,0)-MATCH($F$1,enemy_skill_triggers!$1:$1,0)+1),MATCH(G$1,enemy_skill_triggers!$1:$1,0)-MATCH($F$1,enemy_skill_triggers!$1:$1,0)+1,FALSE)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5" s="164">
        <f ca="1">VLOOKUP($F75,OFFSET(enemy_skill_triggers!$A$1,0,0,COUNTA(enemy_skill_triggers!$A:$A),MATCH(H$1,enemy_skill_triggers!$1:$1,0)-MATCH($F$1,enemy_skill_triggers!$1:$1,0)+1),MATCH(H$1,enemy_skill_triggers!$1:$1,0)-MATCH($F$1,enemy_skill_triggers!$1:$1,0)+1,FALSE)</f>
        <v>500</v>
      </c>
      <c r="I75" s="164">
        <f ca="1">VLOOKUP($F75,OFFSET(enemy_skill_triggers!$A$1,0,0,COUNTA(enemy_skill_triggers!$A:$A),MATCH(I$1,enemy_skill_triggers!$1:$1,0)-MATCH($F$1,enemy_skill_triggers!$1:$1,0)+1),MATCH(I$1,enemy_skill_triggers!$1:$1,0)-MATCH($F$1,enemy_skill_triggers!$1:$1,0)+1,FALSE)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5" s="164" t="str">
        <f ca="1">VLOOKUP($F75,OFFSET(enemy_skill_triggers!$A$1,0,0,COUNTA(enemy_skill_triggers!$A:$A),MATCH(J$1,enemy_skill_triggers!$1:$1,0)-MATCH($F$1,enemy_skill_triggers!$1:$1,0)+1),MATCH(J$1,enemy_skill_triggers!$1:$1,0)-MATCH($F$1,enemy_skill_triggers!$1:$1,0)+1,FALSE)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5" s="164" t="str">
        <f ca="1">VLOOKUP($F75,OFFSET(enemy_skill_triggers!$A$1,0,0,COUNTA(enemy_skill_triggers!$A:$A),MATCH(K$1,enemy_skill_triggers!$1:$1,0)-MATCH($F$1,enemy_skill_triggers!$1:$1,0)+1),MATCH(K$1,enemy_skill_triggers!$1:$1,0)-MATCH($F$1,enemy_skill_triggers!$1:$1,0)+1,FALSE)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5" s="164">
        <f ca="1">VLOOKUP($F75,OFFSET(enemy_skill_triggers!$A$1,0,0,COUNTA(enemy_skill_triggers!$A:$A),MATCH(L$1,enemy_skill_triggers!$1:$1,0)-MATCH($F$1,enemy_skill_triggers!$1:$1,0)+1),MATCH(L$1,enemy_skill_triggers!$1:$1,0)-MATCH($F$1,enemy_skill_triggers!$1:$1,0)+1,FALSE)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75" s="164" t="str">
        <f ca="1">VLOOKUP($F75,OFFSET(enemy_skill_triggers!$A$1,0,0,COUNTA(enemy_skill_triggers!$A:$A),MATCH(M$1,enemy_skill_triggers!$1:$1,0)-MATCH($F$1,enemy_skill_triggers!$1:$1,0)+1),MATCH(M$1,enemy_skill_triggers!$1:$1,0)-MATCH($F$1,enemy_skill_triggers!$1:$1,0)+1,FALSE)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5" s="164">
        <f ca="1">VLOOKUP($F75,OFFSET(enemy_skill_triggers!$A$1,0,0,COUNTA(enemy_skill_triggers!$A:$A),MATCH(N$1,enemy_skill_triggers!$1:$1,0)-MATCH($F$1,enemy_skill_triggers!$1:$1,0)+1),MATCH(N$1,enemy_skill_triggers!$1:$1,0)-MATCH($F$1,enemy_skill_triggers!$1:$1,0)+1,FALSE)</f>
        <v>0</v>
      </c>
      <c r="O75" s="164">
        <f ca="1">VLOOKUP($F75,OFFSET(enemy_skill_triggers!$A$1,0,0,COUNTA(enemy_skill_triggers!$A:$A),MATCH(O$1,enemy_skill_triggers!$1:$1,0)-MATCH($F$1,enemy_skill_triggers!$1:$1,0)+1),MATCH(O$1,enemy_skill_triggers!$1:$1,0)-MATCH($F$1,enemy_skill_triggers!$1:$1,0)+1,FALSE)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5" s="172"/>
      <c r="Q75" s="172"/>
      <c r="R75" s="172"/>
    </row>
    <row r="76" spans="1:18" ht="21" customHeight="1" thickTop="1" x14ac:dyDescent="0.15">
      <c r="A76" s="39" t="str">
        <f t="shared" si="11"/>
        <v>47016200_47016100</v>
      </c>
      <c r="B76" s="141">
        <v>47016200</v>
      </c>
      <c r="C76" s="173">
        <v>47016100</v>
      </c>
      <c r="D76" s="167" t="str">
        <f ca="1">VLOOKUP($C76,OFFSET(enemy_skills!$A$1,0,0,COUNTA(enemy_skills!$A:$A),MATCH(D$1,enemy_skills!$1:$1,0)-MATCH("enemy_skill_id",enemy_skills!$1:$1,0)+1),MATCH(D$1,enemy_skills!$1:$1,0)-MATCH("enemy_skill_id",enemy_skills!$1:$1,0)+1,FALSE)</f>
        <v>お前もあの轟音に惹かれて来たのか…？</v>
      </c>
      <c r="E76" s="167" t="str">
        <f ca="1">VLOOKUP($C76,OFFSET(enemy_skills!$A$1,0,0,COUNTA(enemy_skills!$A:$A),MATCH(E$1,enemy_skills!$1:$1,0)-MATCH("enemy_skill_id",enemy_skills!$1:$1,0)+1),MATCH(E$1,enemy_skills!$1:$1,0)-MATCH("enemy_skill_id",enemy_skills!$1:$1,0)+1,FALSE)</f>
        <v>全ユニットのスキルターンを3ターン短縮</v>
      </c>
      <c r="F76" s="168">
        <v>47016100</v>
      </c>
      <c r="G76" s="159">
        <f ca="1">VLOOKUP($F76,OFFSET(enemy_skill_triggers!$A$1,0,0,COUNTA(enemy_skill_triggers!$A:$A),MATCH(G$1,enemy_skill_triggers!$1:$1,0)-MATCH($F$1,enemy_skill_triggers!$1:$1,0)+1),MATCH(G$1,enemy_skill_triggers!$1:$1,0)-MATCH($F$1,enemy_skill_triggers!$1:$1,0)+1,FALSE)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76" s="159">
        <f ca="1">VLOOKUP($F76,OFFSET(enemy_skill_triggers!$A$1,0,0,COUNTA(enemy_skill_triggers!$A:$A),MATCH(H$1,enemy_skill_triggers!$1:$1,0)-MATCH($F$1,enemy_skill_triggers!$1:$1,0)+1),MATCH(H$1,enemy_skill_triggers!$1:$1,0)-MATCH($F$1,enemy_skill_triggers!$1:$1,0)+1,FALSE)</f>
        <v>500</v>
      </c>
      <c r="I76" s="159">
        <f ca="1">VLOOKUP($F76,OFFSET(enemy_skill_triggers!$A$1,0,0,COUNTA(enemy_skill_triggers!$A:$A),MATCH(I$1,enemy_skill_triggers!$1:$1,0)-MATCH($F$1,enemy_skill_triggers!$1:$1,0)+1),MATCH(I$1,enemy_skill_triggers!$1:$1,0)-MATCH($F$1,enemy_skill_triggers!$1:$1,0)+1,FALSE)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6" s="159" t="str">
        <f ca="1">VLOOKUP($F76,OFFSET(enemy_skill_triggers!$A$1,0,0,COUNTA(enemy_skill_triggers!$A:$A),MATCH(J$1,enemy_skill_triggers!$1:$1,0)-MATCH($F$1,enemy_skill_triggers!$1:$1,0)+1),MATCH(J$1,enemy_skill_triggers!$1:$1,0)-MATCH($F$1,enemy_skill_triggers!$1:$1,0)+1,FALSE)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6" s="159" t="str">
        <f ca="1">VLOOKUP($F76,OFFSET(enemy_skill_triggers!$A$1,0,0,COUNTA(enemy_skill_triggers!$A:$A),MATCH(K$1,enemy_skill_triggers!$1:$1,0)-MATCH($F$1,enemy_skill_triggers!$1:$1,0)+1),MATCH(K$1,enemy_skill_triggers!$1:$1,0)-MATCH($F$1,enemy_skill_triggers!$1:$1,0)+1,FALSE)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6" s="159">
        <f ca="1">VLOOKUP($F76,OFFSET(enemy_skill_triggers!$A$1,0,0,COUNTA(enemy_skill_triggers!$A:$A),MATCH(L$1,enemy_skill_triggers!$1:$1,0)-MATCH($F$1,enemy_skill_triggers!$1:$1,0)+1),MATCH(L$1,enemy_skill_triggers!$1:$1,0)-MATCH($F$1,enemy_skill_triggers!$1:$1,0)+1,FALSE)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6" s="159" t="str">
        <f ca="1">VLOOKUP($F76,OFFSET(enemy_skill_triggers!$A$1,0,0,COUNTA(enemy_skill_triggers!$A:$A),MATCH(M$1,enemy_skill_triggers!$1:$1,0)-MATCH($F$1,enemy_skill_triggers!$1:$1,0)+1),MATCH(M$1,enemy_skill_triggers!$1:$1,0)-MATCH($F$1,enemy_skill_triggers!$1:$1,0)+1,FALSE)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6" s="159">
        <f ca="1">VLOOKUP($F76,OFFSET(enemy_skill_triggers!$A$1,0,0,COUNTA(enemy_skill_triggers!$A:$A),MATCH(N$1,enemy_skill_triggers!$1:$1,0)-MATCH($F$1,enemy_skill_triggers!$1:$1,0)+1),MATCH(N$1,enemy_skill_triggers!$1:$1,0)-MATCH($F$1,enemy_skill_triggers!$1:$1,0)+1,FALSE)</f>
        <v>1701</v>
      </c>
      <c r="O76" s="159">
        <f ca="1">VLOOKUP($F76,OFFSET(enemy_skill_triggers!$A$1,0,0,COUNTA(enemy_skill_triggers!$A:$A),MATCH(O$1,enemy_skill_triggers!$1:$1,0)-MATCH($F$1,enemy_skill_triggers!$1:$1,0)+1),MATCH(O$1,enemy_skill_triggers!$1:$1,0)-MATCH($F$1,enemy_skill_triggers!$1:$1,0)+1,FALSE)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6" s="168"/>
      <c r="Q76" s="168"/>
      <c r="R76" s="168"/>
    </row>
    <row r="77" spans="1:18" ht="21" customHeight="1" x14ac:dyDescent="0.15">
      <c r="A77" s="39" t="str">
        <f t="shared" si="11"/>
        <v>47016200_47016100</v>
      </c>
      <c r="B77" s="141">
        <v>47016200</v>
      </c>
      <c r="C77" s="114">
        <v>47016100</v>
      </c>
      <c r="D77" s="46" t="str">
        <f ca="1">VLOOKUP($C77,OFFSET(enemy_skills!$A$1,0,0,COUNTA(enemy_skills!$A:$A),MATCH(D$1,enemy_skills!$1:$1,0)-MATCH("enemy_skill_id",enemy_skills!$1:$1,0)+1),MATCH(D$1,enemy_skills!$1:$1,0)-MATCH("enemy_skill_id",enemy_skills!$1:$1,0)+1,FALSE)</f>
        <v>お前もあの轟音に惹かれて来たのか…？</v>
      </c>
      <c r="E77" s="46" t="str">
        <f ca="1">VLOOKUP($C77,OFFSET(enemy_skills!$A$1,0,0,COUNTA(enemy_skills!$A:$A),MATCH(E$1,enemy_skills!$1:$1,0)-MATCH("enemy_skill_id",enemy_skills!$1:$1,0)+1),MATCH(E$1,enemy_skills!$1:$1,0)-MATCH("enemy_skill_id",enemy_skills!$1:$1,0)+1,FALSE)</f>
        <v>全ユニットのスキルターンを3ターン短縮</v>
      </c>
      <c r="F77" s="47">
        <v>47016101</v>
      </c>
      <c r="G77" s="48">
        <f ca="1">VLOOKUP($F77,OFFSET(enemy_skill_triggers!$A$1,0,0,COUNTA(enemy_skill_triggers!$A:$A),MATCH(G$1,enemy_skill_triggers!$1:$1,0)-MATCH($F$1,enemy_skill_triggers!$1:$1,0)+1),MATCH(G$1,enemy_skill_triggers!$1:$1,0)-MATCH($F$1,enemy_skill_triggers!$1:$1,0)+1,FALSE)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77" s="48">
        <f ca="1">VLOOKUP($F77,OFFSET(enemy_skill_triggers!$A$1,0,0,COUNTA(enemy_skill_triggers!$A:$A),MATCH(H$1,enemy_skill_triggers!$1:$1,0)-MATCH($F$1,enemy_skill_triggers!$1:$1,0)+1),MATCH(H$1,enemy_skill_triggers!$1:$1,0)-MATCH($F$1,enemy_skill_triggers!$1:$1,0)+1,FALSE)</f>
        <v>490</v>
      </c>
      <c r="I77" s="48">
        <f ca="1">VLOOKUP($F77,OFFSET(enemy_skill_triggers!$A$1,0,0,COUNTA(enemy_skill_triggers!$A:$A),MATCH(I$1,enemy_skill_triggers!$1:$1,0)-MATCH($F$1,enemy_skill_triggers!$1:$1,0)+1),MATCH(I$1,enemy_skill_triggers!$1:$1,0)-MATCH($F$1,enemy_skill_triggers!$1:$1,0)+1,FALSE)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7" s="48" t="str">
        <f ca="1">VLOOKUP($F77,OFFSET(enemy_skill_triggers!$A$1,0,0,COUNTA(enemy_skill_triggers!$A:$A),MATCH(J$1,enemy_skill_triggers!$1:$1,0)-MATCH($F$1,enemy_skill_triggers!$1:$1,0)+1),MATCH(J$1,enemy_skill_triggers!$1:$1,0)-MATCH($F$1,enemy_skill_triggers!$1:$1,0)+1,FALSE)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7" s="48" t="str">
        <f ca="1">VLOOKUP($F77,OFFSET(enemy_skill_triggers!$A$1,0,0,COUNTA(enemy_skill_triggers!$A:$A),MATCH(K$1,enemy_skill_triggers!$1:$1,0)-MATCH($F$1,enemy_skill_triggers!$1:$1,0)+1),MATCH(K$1,enemy_skill_triggers!$1:$1,0)-MATCH($F$1,enemy_skill_triggers!$1:$1,0)+1,FALSE)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7" s="48">
        <f ca="1">VLOOKUP($F77,OFFSET(enemy_skill_triggers!$A$1,0,0,COUNTA(enemy_skill_triggers!$A:$A),MATCH(L$1,enemy_skill_triggers!$1:$1,0)-MATCH($F$1,enemy_skill_triggers!$1:$1,0)+1),MATCH(L$1,enemy_skill_triggers!$1:$1,0)-MATCH($F$1,enemy_skill_triggers!$1:$1,0)+1,FALSE)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7" s="48" t="str">
        <f ca="1">VLOOKUP($F77,OFFSET(enemy_skill_triggers!$A$1,0,0,COUNTA(enemy_skill_triggers!$A:$A),MATCH(M$1,enemy_skill_triggers!$1:$1,0)-MATCH($F$1,enemy_skill_triggers!$1:$1,0)+1),MATCH(M$1,enemy_skill_triggers!$1:$1,0)-MATCH($F$1,enemy_skill_triggers!$1:$1,0)+1,FALSE)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7" s="48">
        <f ca="1">VLOOKUP($F77,OFFSET(enemy_skill_triggers!$A$1,0,0,COUNTA(enemy_skill_triggers!$A:$A),MATCH(N$1,enemy_skill_triggers!$1:$1,0)-MATCH($F$1,enemy_skill_triggers!$1:$1,0)+1),MATCH(N$1,enemy_skill_triggers!$1:$1,0)-MATCH($F$1,enemy_skill_triggers!$1:$1,0)+1,FALSE)</f>
        <v>1702</v>
      </c>
      <c r="O77" s="48">
        <f ca="1">VLOOKUP($F77,OFFSET(enemy_skill_triggers!$A$1,0,0,COUNTA(enemy_skill_triggers!$A:$A),MATCH(O$1,enemy_skill_triggers!$1:$1,0)-MATCH($F$1,enemy_skill_triggers!$1:$1,0)+1),MATCH(O$1,enemy_skill_triggers!$1:$1,0)-MATCH($F$1,enemy_skill_triggers!$1:$1,0)+1,FALSE)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7" s="47"/>
      <c r="Q77" s="47"/>
      <c r="R77" s="47"/>
    </row>
    <row r="78" spans="1:18" ht="21" customHeight="1" x14ac:dyDescent="0.15">
      <c r="A78" s="39" t="str">
        <f t="shared" si="11"/>
        <v>47016200_47016101</v>
      </c>
      <c r="B78" s="141">
        <v>47016200</v>
      </c>
      <c r="C78" s="114">
        <v>47016101</v>
      </c>
      <c r="D78" s="46" t="str">
        <f ca="1">VLOOKUP($C78,OFFSET(enemy_skills!$A$1,0,0,COUNTA(enemy_skills!$A:$A),MATCH(D$1,enemy_skills!$1:$1,0)-MATCH("enemy_skill_id",enemy_skills!$1:$1,0)+1),MATCH(D$1,enemy_skills!$1:$1,0)-MATCH("enemy_skill_id",enemy_skills!$1:$1,0)+1,FALSE)</f>
        <v>なんだ、お前もあいつを見にきたのか？</v>
      </c>
      <c r="E78" s="46" t="str">
        <f ca="1">VLOOKUP($C78,OFFSET(enemy_skills!$A$1,0,0,COUNTA(enemy_skills!$A:$A),MATCH(E$1,enemy_skills!$1:$1,0)-MATCH("enemy_skill_id",enemy_skills!$1:$1,0)+1),MATCH(E$1,enemy_skills!$1:$1,0)-MATCH("enemy_skill_id",enemy_skills!$1:$1,0)+1,FALSE)</f>
        <v>ドレスとチェーンソー…_x000D_すげぇ組み合わせだよな</v>
      </c>
      <c r="F78" s="47">
        <v>47016102</v>
      </c>
      <c r="G78" s="48">
        <f ca="1">VLOOKUP($F78,OFFSET(enemy_skill_triggers!$A$1,0,0,COUNTA(enemy_skill_triggers!$A:$A),MATCH(G$1,enemy_skill_triggers!$1:$1,0)-MATCH($F$1,enemy_skill_triggers!$1:$1,0)+1),MATCH(G$1,enemy_skill_triggers!$1:$1,0)-MATCH($F$1,enemy_skill_triggers!$1:$1,0)+1,FALSE)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78" s="48">
        <f ca="1">VLOOKUP($F78,OFFSET(enemy_skill_triggers!$A$1,0,0,COUNTA(enemy_skill_triggers!$A:$A),MATCH(H$1,enemy_skill_triggers!$1:$1,0)-MATCH($F$1,enemy_skill_triggers!$1:$1,0)+1),MATCH(H$1,enemy_skill_triggers!$1:$1,0)-MATCH($F$1,enemy_skill_triggers!$1:$1,0)+1,FALSE)</f>
        <v>480</v>
      </c>
      <c r="I78" s="48">
        <f ca="1">VLOOKUP($F78,OFFSET(enemy_skill_triggers!$A$1,0,0,COUNTA(enemy_skill_triggers!$A:$A),MATCH(I$1,enemy_skill_triggers!$1:$1,0)-MATCH($F$1,enemy_skill_triggers!$1:$1,0)+1),MATCH(I$1,enemy_skill_triggers!$1:$1,0)-MATCH($F$1,enemy_skill_triggers!$1:$1,0)+1,FALSE)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8" s="48" t="str">
        <f ca="1">VLOOKUP($F78,OFFSET(enemy_skill_triggers!$A$1,0,0,COUNTA(enemy_skill_triggers!$A:$A),MATCH(J$1,enemy_skill_triggers!$1:$1,0)-MATCH($F$1,enemy_skill_triggers!$1:$1,0)+1),MATCH(J$1,enemy_skill_triggers!$1:$1,0)-MATCH($F$1,enemy_skill_triggers!$1:$1,0)+1,FALSE)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8" s="48" t="str">
        <f ca="1">VLOOKUP($F78,OFFSET(enemy_skill_triggers!$A$1,0,0,COUNTA(enemy_skill_triggers!$A:$A),MATCH(K$1,enemy_skill_triggers!$1:$1,0)-MATCH($F$1,enemy_skill_triggers!$1:$1,0)+1),MATCH(K$1,enemy_skill_triggers!$1:$1,0)-MATCH($F$1,enemy_skill_triggers!$1:$1,0)+1,FALSE)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8" s="48">
        <f ca="1">VLOOKUP($F78,OFFSET(enemy_skill_triggers!$A$1,0,0,COUNTA(enemy_skill_triggers!$A:$A),MATCH(L$1,enemy_skill_triggers!$1:$1,0)-MATCH($F$1,enemy_skill_triggers!$1:$1,0)+1),MATCH(L$1,enemy_skill_triggers!$1:$1,0)-MATCH($F$1,enemy_skill_triggers!$1:$1,0)+1,FALSE)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8" s="48" t="str">
        <f ca="1">VLOOKUP($F78,OFFSET(enemy_skill_triggers!$A$1,0,0,COUNTA(enemy_skill_triggers!$A:$A),MATCH(M$1,enemy_skill_triggers!$1:$1,0)-MATCH($F$1,enemy_skill_triggers!$1:$1,0)+1),MATCH(M$1,enemy_skill_triggers!$1:$1,0)-MATCH($F$1,enemy_skill_triggers!$1:$1,0)+1,FALSE)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8" s="48">
        <f ca="1">VLOOKUP($F78,OFFSET(enemy_skill_triggers!$A$1,0,0,COUNTA(enemy_skill_triggers!$A:$A),MATCH(N$1,enemy_skill_triggers!$1:$1,0)-MATCH($F$1,enemy_skill_triggers!$1:$1,0)+1),MATCH(N$1,enemy_skill_triggers!$1:$1,0)-MATCH($F$1,enemy_skill_triggers!$1:$1,0)+1,FALSE)</f>
        <v>1703</v>
      </c>
      <c r="O78" s="48">
        <f ca="1">VLOOKUP($F78,OFFSET(enemy_skill_triggers!$A$1,0,0,COUNTA(enemy_skill_triggers!$A:$A),MATCH(O$1,enemy_skill_triggers!$1:$1,0)-MATCH($F$1,enemy_skill_triggers!$1:$1,0)+1),MATCH(O$1,enemy_skill_triggers!$1:$1,0)-MATCH($F$1,enemy_skill_triggers!$1:$1,0)+1,FALSE)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8" s="47"/>
      <c r="Q78" s="47"/>
      <c r="R78" s="47"/>
    </row>
    <row r="79" spans="1:18" ht="21" customHeight="1" x14ac:dyDescent="0.15">
      <c r="A79" s="39" t="str">
        <f t="shared" si="11"/>
        <v>47016200_47016101</v>
      </c>
      <c r="B79" s="141">
        <v>47016200</v>
      </c>
      <c r="C79" s="114">
        <v>47016101</v>
      </c>
      <c r="D79" s="46" t="str">
        <f ca="1">VLOOKUP($C79,OFFSET(enemy_skills!$A$1,0,0,COUNTA(enemy_skills!$A:$A),MATCH(D$1,enemy_skills!$1:$1,0)-MATCH("enemy_skill_id",enemy_skills!$1:$1,0)+1),MATCH(D$1,enemy_skills!$1:$1,0)-MATCH("enemy_skill_id",enemy_skills!$1:$1,0)+1,FALSE)</f>
        <v>なんだ、お前もあいつを見にきたのか？</v>
      </c>
      <c r="E79" s="46" t="str">
        <f ca="1">VLOOKUP($C79,OFFSET(enemy_skills!$A$1,0,0,COUNTA(enemy_skills!$A:$A),MATCH(E$1,enemy_skills!$1:$1,0)-MATCH("enemy_skill_id",enemy_skills!$1:$1,0)+1),MATCH(E$1,enemy_skills!$1:$1,0)-MATCH("enemy_skill_id",enemy_skills!$1:$1,0)+1,FALSE)</f>
        <v>ドレスとチェーンソー…_x000D_すげぇ組み合わせだよな</v>
      </c>
      <c r="F79" s="47">
        <v>47016103</v>
      </c>
      <c r="G79" s="48">
        <f ca="1">VLOOKUP($F79,OFFSET(enemy_skill_triggers!$A$1,0,0,COUNTA(enemy_skill_triggers!$A:$A),MATCH(G$1,enemy_skill_triggers!$1:$1,0)-MATCH($F$1,enemy_skill_triggers!$1:$1,0)+1),MATCH(G$1,enemy_skill_triggers!$1:$1,0)-MATCH($F$1,enemy_skill_triggers!$1:$1,0)+1,FALSE)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79" s="48">
        <f ca="1">VLOOKUP($F79,OFFSET(enemy_skill_triggers!$A$1,0,0,COUNTA(enemy_skill_triggers!$A:$A),MATCH(H$1,enemy_skill_triggers!$1:$1,0)-MATCH($F$1,enemy_skill_triggers!$1:$1,0)+1),MATCH(H$1,enemy_skill_triggers!$1:$1,0)-MATCH($F$1,enemy_skill_triggers!$1:$1,0)+1,FALSE)</f>
        <v>470</v>
      </c>
      <c r="I79" s="48">
        <f ca="1">VLOOKUP($F79,OFFSET(enemy_skill_triggers!$A$1,0,0,COUNTA(enemy_skill_triggers!$A:$A),MATCH(I$1,enemy_skill_triggers!$1:$1,0)-MATCH($F$1,enemy_skill_triggers!$1:$1,0)+1),MATCH(I$1,enemy_skill_triggers!$1:$1,0)-MATCH($F$1,enemy_skill_triggers!$1:$1,0)+1,FALSE)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9" s="48" t="str">
        <f ca="1">VLOOKUP($F79,OFFSET(enemy_skill_triggers!$A$1,0,0,COUNTA(enemy_skill_triggers!$A:$A),MATCH(J$1,enemy_skill_triggers!$1:$1,0)-MATCH($F$1,enemy_skill_triggers!$1:$1,0)+1),MATCH(J$1,enemy_skill_triggers!$1:$1,0)-MATCH($F$1,enemy_skill_triggers!$1:$1,0)+1,FALSE)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9" s="48" t="str">
        <f ca="1">VLOOKUP($F79,OFFSET(enemy_skill_triggers!$A$1,0,0,COUNTA(enemy_skill_triggers!$A:$A),MATCH(K$1,enemy_skill_triggers!$1:$1,0)-MATCH($F$1,enemy_skill_triggers!$1:$1,0)+1),MATCH(K$1,enemy_skill_triggers!$1:$1,0)-MATCH($F$1,enemy_skill_triggers!$1:$1,0)+1,FALSE)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9" s="48">
        <f ca="1">VLOOKUP($F79,OFFSET(enemy_skill_triggers!$A$1,0,0,COUNTA(enemy_skill_triggers!$A:$A),MATCH(L$1,enemy_skill_triggers!$1:$1,0)-MATCH($F$1,enemy_skill_triggers!$1:$1,0)+1),MATCH(L$1,enemy_skill_triggers!$1:$1,0)-MATCH($F$1,enemy_skill_triggers!$1:$1,0)+1,FALSE)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9" s="48" t="str">
        <f ca="1">VLOOKUP($F79,OFFSET(enemy_skill_triggers!$A$1,0,0,COUNTA(enemy_skill_triggers!$A:$A),MATCH(M$1,enemy_skill_triggers!$1:$1,0)-MATCH($F$1,enemy_skill_triggers!$1:$1,0)+1),MATCH(M$1,enemy_skill_triggers!$1:$1,0)-MATCH($F$1,enemy_skill_triggers!$1:$1,0)+1,FALSE)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9" s="48">
        <f ca="1">VLOOKUP($F79,OFFSET(enemy_skill_triggers!$A$1,0,0,COUNTA(enemy_skill_triggers!$A:$A),MATCH(N$1,enemy_skill_triggers!$1:$1,0)-MATCH($F$1,enemy_skill_triggers!$1:$1,0)+1),MATCH(N$1,enemy_skill_triggers!$1:$1,0)-MATCH($F$1,enemy_skill_triggers!$1:$1,0)+1,FALSE)</f>
        <v>1704</v>
      </c>
      <c r="O79" s="48">
        <f ca="1">VLOOKUP($F79,OFFSET(enemy_skill_triggers!$A$1,0,0,COUNTA(enemy_skill_triggers!$A:$A),MATCH(O$1,enemy_skill_triggers!$1:$1,0)-MATCH($F$1,enemy_skill_triggers!$1:$1,0)+1),MATCH(O$1,enemy_skill_triggers!$1:$1,0)-MATCH($F$1,enemy_skill_triggers!$1:$1,0)+1,FALSE)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9" s="47"/>
      <c r="Q79" s="47"/>
      <c r="R79" s="47"/>
    </row>
    <row r="80" spans="1:18" ht="21" customHeight="1" x14ac:dyDescent="0.15">
      <c r="A80" s="39" t="str">
        <f t="shared" si="11"/>
        <v>47016200_47016101</v>
      </c>
      <c r="B80" s="141">
        <v>47016200</v>
      </c>
      <c r="C80" s="114">
        <v>47016101</v>
      </c>
      <c r="D80" s="46" t="str">
        <f ca="1">VLOOKUP($C80,OFFSET(enemy_skills!$A$1,0,0,COUNTA(enemy_skills!$A:$A),MATCH(D$1,enemy_skills!$1:$1,0)-MATCH("enemy_skill_id",enemy_skills!$1:$1,0)+1),MATCH(D$1,enemy_skills!$1:$1,0)-MATCH("enemy_skill_id",enemy_skills!$1:$1,0)+1,FALSE)</f>
        <v>なんだ、お前もあいつを見にきたのか？</v>
      </c>
      <c r="E80" s="46" t="str">
        <f ca="1">VLOOKUP($C80,OFFSET(enemy_skills!$A$1,0,0,COUNTA(enemy_skills!$A:$A),MATCH(E$1,enemy_skills!$1:$1,0)-MATCH("enemy_skill_id",enemy_skills!$1:$1,0)+1),MATCH(E$1,enemy_skills!$1:$1,0)-MATCH("enemy_skill_id",enemy_skills!$1:$1,0)+1,FALSE)</f>
        <v>ドレスとチェーンソー…_x000D_すげぇ組み合わせだよな</v>
      </c>
      <c r="F80" s="47">
        <v>47016104</v>
      </c>
      <c r="G80" s="48">
        <f ca="1">VLOOKUP($F80,OFFSET(enemy_skill_triggers!$A$1,0,0,COUNTA(enemy_skill_triggers!$A:$A),MATCH(G$1,enemy_skill_triggers!$1:$1,0)-MATCH($F$1,enemy_skill_triggers!$1:$1,0)+1),MATCH(G$1,enemy_skill_triggers!$1:$1,0)-MATCH($F$1,enemy_skill_triggers!$1:$1,0)+1,FALSE)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80" s="48">
        <f ca="1">VLOOKUP($F80,OFFSET(enemy_skill_triggers!$A$1,0,0,COUNTA(enemy_skill_triggers!$A:$A),MATCH(H$1,enemy_skill_triggers!$1:$1,0)-MATCH($F$1,enemy_skill_triggers!$1:$1,0)+1),MATCH(H$1,enemy_skill_triggers!$1:$1,0)-MATCH($F$1,enemy_skill_triggers!$1:$1,0)+1,FALSE)</f>
        <v>460</v>
      </c>
      <c r="I80" s="48">
        <f ca="1">VLOOKUP($F80,OFFSET(enemy_skill_triggers!$A$1,0,0,COUNTA(enemy_skill_triggers!$A:$A),MATCH(I$1,enemy_skill_triggers!$1:$1,0)-MATCH($F$1,enemy_skill_triggers!$1:$1,0)+1),MATCH(I$1,enemy_skill_triggers!$1:$1,0)-MATCH($F$1,enemy_skill_triggers!$1:$1,0)+1,FALSE)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0" s="48" t="str">
        <f ca="1">VLOOKUP($F80,OFFSET(enemy_skill_triggers!$A$1,0,0,COUNTA(enemy_skill_triggers!$A:$A),MATCH(J$1,enemy_skill_triggers!$1:$1,0)-MATCH($F$1,enemy_skill_triggers!$1:$1,0)+1),MATCH(J$1,enemy_skill_triggers!$1:$1,0)-MATCH($F$1,enemy_skill_triggers!$1:$1,0)+1,FALSE)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0" s="48" t="str">
        <f ca="1">VLOOKUP($F80,OFFSET(enemy_skill_triggers!$A$1,0,0,COUNTA(enemy_skill_triggers!$A:$A),MATCH(K$1,enemy_skill_triggers!$1:$1,0)-MATCH($F$1,enemy_skill_triggers!$1:$1,0)+1),MATCH(K$1,enemy_skill_triggers!$1:$1,0)-MATCH($F$1,enemy_skill_triggers!$1:$1,0)+1,FALSE)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0" s="48">
        <f ca="1">VLOOKUP($F80,OFFSET(enemy_skill_triggers!$A$1,0,0,COUNTA(enemy_skill_triggers!$A:$A),MATCH(L$1,enemy_skill_triggers!$1:$1,0)-MATCH($F$1,enemy_skill_triggers!$1:$1,0)+1),MATCH(L$1,enemy_skill_triggers!$1:$1,0)-MATCH($F$1,enemy_skill_triggers!$1:$1,0)+1,FALSE)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0" s="48" t="str">
        <f ca="1">VLOOKUP($F80,OFFSET(enemy_skill_triggers!$A$1,0,0,COUNTA(enemy_skill_triggers!$A:$A),MATCH(M$1,enemy_skill_triggers!$1:$1,0)-MATCH($F$1,enemy_skill_triggers!$1:$1,0)+1),MATCH(M$1,enemy_skill_triggers!$1:$1,0)-MATCH($F$1,enemy_skill_triggers!$1:$1,0)+1,FALSE)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0" s="48">
        <f ca="1">VLOOKUP($F80,OFFSET(enemy_skill_triggers!$A$1,0,0,COUNTA(enemy_skill_triggers!$A:$A),MATCH(N$1,enemy_skill_triggers!$1:$1,0)-MATCH($F$1,enemy_skill_triggers!$1:$1,0)+1),MATCH(N$1,enemy_skill_triggers!$1:$1,0)-MATCH($F$1,enemy_skill_triggers!$1:$1,0)+1,FALSE)</f>
        <v>1705</v>
      </c>
      <c r="O80" s="48">
        <f ca="1">VLOOKUP($F80,OFFSET(enemy_skill_triggers!$A$1,0,0,COUNTA(enemy_skill_triggers!$A:$A),MATCH(O$1,enemy_skill_triggers!$1:$1,0)-MATCH($F$1,enemy_skill_triggers!$1:$1,0)+1),MATCH(O$1,enemy_skill_triggers!$1:$1,0)-MATCH($F$1,enemy_skill_triggers!$1:$1,0)+1,FALSE)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0" s="47"/>
      <c r="Q80" s="47"/>
      <c r="R80" s="47"/>
    </row>
    <row r="81" spans="1:18" ht="21" customHeight="1" x14ac:dyDescent="0.15">
      <c r="A81" s="39" t="str">
        <f>B81&amp;"_"&amp;C81</f>
        <v>47016200_47016101</v>
      </c>
      <c r="B81" s="141">
        <v>47016200</v>
      </c>
      <c r="C81" s="114">
        <v>47016101</v>
      </c>
      <c r="D81" s="46" t="str">
        <f ca="1">VLOOKUP($C81,OFFSET(enemy_skills!$A$1,0,0,COUNTA(enemy_skills!$A:$A),MATCH(D$1,enemy_skills!$1:$1,0)-MATCH("enemy_skill_id",enemy_skills!$1:$1,0)+1),MATCH(D$1,enemy_skills!$1:$1,0)-MATCH("enemy_skill_id",enemy_skills!$1:$1,0)+1,FALSE)</f>
        <v>なんだ、お前もあいつを見にきたのか？</v>
      </c>
      <c r="E81" s="46" t="str">
        <f ca="1">VLOOKUP($C81,OFFSET(enemy_skills!$A$1,0,0,COUNTA(enemy_skills!$A:$A),MATCH(E$1,enemy_skills!$1:$1,0)-MATCH("enemy_skill_id",enemy_skills!$1:$1,0)+1),MATCH(E$1,enemy_skills!$1:$1,0)-MATCH("enemy_skill_id",enemy_skills!$1:$1,0)+1,FALSE)</f>
        <v>ドレスとチェーンソー…_x000D_すげぇ組み合わせだよな</v>
      </c>
      <c r="F81" s="47">
        <v>47016105</v>
      </c>
      <c r="G81" s="48">
        <f ca="1">VLOOKUP($F81,OFFSET(enemy_skill_triggers!$A$1,0,0,COUNTA(enemy_skill_triggers!$A:$A),MATCH(G$1,enemy_skill_triggers!$1:$1,0)-MATCH($F$1,enemy_skill_triggers!$1:$1,0)+1),MATCH(G$1,enemy_skill_triggers!$1:$1,0)-MATCH($F$1,enemy_skill_triggers!$1:$1,0)+1,FALSE)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81" s="48">
        <f ca="1">VLOOKUP($F81,OFFSET(enemy_skill_triggers!$A$1,0,0,COUNTA(enemy_skill_triggers!$A:$A),MATCH(H$1,enemy_skill_triggers!$1:$1,0)-MATCH($F$1,enemy_skill_triggers!$1:$1,0)+1),MATCH(H$1,enemy_skill_triggers!$1:$1,0)-MATCH($F$1,enemy_skill_triggers!$1:$1,0)+1,FALSE)</f>
        <v>450</v>
      </c>
      <c r="I81" s="48">
        <f ca="1">VLOOKUP($F81,OFFSET(enemy_skill_triggers!$A$1,0,0,COUNTA(enemy_skill_triggers!$A:$A),MATCH(I$1,enemy_skill_triggers!$1:$1,0)-MATCH($F$1,enemy_skill_triggers!$1:$1,0)+1),MATCH(I$1,enemy_skill_triggers!$1:$1,0)-MATCH($F$1,enemy_skill_triggers!$1:$1,0)+1,FALSE)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1" s="48" t="str">
        <f ca="1">VLOOKUP($F81,OFFSET(enemy_skill_triggers!$A$1,0,0,COUNTA(enemy_skill_triggers!$A:$A),MATCH(J$1,enemy_skill_triggers!$1:$1,0)-MATCH($F$1,enemy_skill_triggers!$1:$1,0)+1),MATCH(J$1,enemy_skill_triggers!$1:$1,0)-MATCH($F$1,enemy_skill_triggers!$1:$1,0)+1,FALSE)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1" s="48" t="str">
        <f ca="1">VLOOKUP($F81,OFFSET(enemy_skill_triggers!$A$1,0,0,COUNTA(enemy_skill_triggers!$A:$A),MATCH(K$1,enemy_skill_triggers!$1:$1,0)-MATCH($F$1,enemy_skill_triggers!$1:$1,0)+1),MATCH(K$1,enemy_skill_triggers!$1:$1,0)-MATCH($F$1,enemy_skill_triggers!$1:$1,0)+1,FALSE)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1" s="48">
        <f ca="1">VLOOKUP($F81,OFFSET(enemy_skill_triggers!$A$1,0,0,COUNTA(enemy_skill_triggers!$A:$A),MATCH(L$1,enemy_skill_triggers!$1:$1,0)-MATCH($F$1,enemy_skill_triggers!$1:$1,0)+1),MATCH(L$1,enemy_skill_triggers!$1:$1,0)-MATCH($F$1,enemy_skill_triggers!$1:$1,0)+1,FALSE)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1" s="48" t="str">
        <f ca="1">VLOOKUP($F81,OFFSET(enemy_skill_triggers!$A$1,0,0,COUNTA(enemy_skill_triggers!$A:$A),MATCH(M$1,enemy_skill_triggers!$1:$1,0)-MATCH($F$1,enemy_skill_triggers!$1:$1,0)+1),MATCH(M$1,enemy_skill_triggers!$1:$1,0)-MATCH($F$1,enemy_skill_triggers!$1:$1,0)+1,FALSE)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1" s="48">
        <f ca="1">VLOOKUP($F81,OFFSET(enemy_skill_triggers!$A$1,0,0,COUNTA(enemy_skill_triggers!$A:$A),MATCH(N$1,enemy_skill_triggers!$1:$1,0)-MATCH($F$1,enemy_skill_triggers!$1:$1,0)+1),MATCH(N$1,enemy_skill_triggers!$1:$1,0)-MATCH($F$1,enemy_skill_triggers!$1:$1,0)+1,FALSE)</f>
        <v>1706</v>
      </c>
      <c r="O81" s="48">
        <f ca="1">VLOOKUP($F81,OFFSET(enemy_skill_triggers!$A$1,0,0,COUNTA(enemy_skill_triggers!$A:$A),MATCH(O$1,enemy_skill_triggers!$1:$1,0)-MATCH($F$1,enemy_skill_triggers!$1:$1,0)+1),MATCH(O$1,enemy_skill_triggers!$1:$1,0)-MATCH($F$1,enemy_skill_triggers!$1:$1,0)+1,FALSE)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1" s="47"/>
      <c r="Q81" s="47"/>
      <c r="R81" s="47"/>
    </row>
    <row r="82" spans="1:18" ht="21" customHeight="1" x14ac:dyDescent="0.15">
      <c r="A82" s="39" t="str">
        <f t="shared" ref="A82" si="12">B82&amp;"_"&amp;C82</f>
        <v>47016200_47016101</v>
      </c>
      <c r="B82" s="141">
        <v>47016200</v>
      </c>
      <c r="C82" s="114">
        <v>47016101</v>
      </c>
      <c r="D82" s="46" t="str">
        <f ca="1">VLOOKUP($C82,OFFSET(enemy_skills!$A$1,0,0,COUNTA(enemy_skills!$A:$A),MATCH(D$1,enemy_skills!$1:$1,0)-MATCH("enemy_skill_id",enemy_skills!$1:$1,0)+1),MATCH(D$1,enemy_skills!$1:$1,0)-MATCH("enemy_skill_id",enemy_skills!$1:$1,0)+1,FALSE)</f>
        <v>なんだ、お前もあいつを見にきたのか？</v>
      </c>
      <c r="E82" s="46" t="str">
        <f ca="1">VLOOKUP($C82,OFFSET(enemy_skills!$A$1,0,0,COUNTA(enemy_skills!$A:$A),MATCH(E$1,enemy_skills!$1:$1,0)-MATCH("enemy_skill_id",enemy_skills!$1:$1,0)+1),MATCH(E$1,enemy_skills!$1:$1,0)-MATCH("enemy_skill_id",enemy_skills!$1:$1,0)+1,FALSE)</f>
        <v>ドレスとチェーンソー…_x000D_すげぇ組み合わせだよな</v>
      </c>
      <c r="F82" s="47">
        <v>47016175</v>
      </c>
      <c r="G82" s="48">
        <f ca="1">VLOOKUP($F82,OFFSET(enemy_skill_triggers!$A$1,0,0,COUNTA(enemy_skill_triggers!$A:$A),MATCH(G$1,enemy_skill_triggers!$1:$1,0)-MATCH($F$1,enemy_skill_triggers!$1:$1,0)+1),MATCH(G$1,enemy_skill_triggers!$1:$1,0)-MATCH($F$1,enemy_skill_triggers!$1:$1,0)+1,FALSE)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82" s="48">
        <f ca="1">VLOOKUP($F82,OFFSET(enemy_skill_triggers!$A$1,0,0,COUNTA(enemy_skill_triggers!$A:$A),MATCH(H$1,enemy_skill_triggers!$1:$1,0)-MATCH($F$1,enemy_skill_triggers!$1:$1,0)+1),MATCH(H$1,enemy_skill_triggers!$1:$1,0)-MATCH($F$1,enemy_skill_triggers!$1:$1,0)+1,FALSE)</f>
        <v>445</v>
      </c>
      <c r="I82" s="48">
        <f ca="1">VLOOKUP($F82,OFFSET(enemy_skill_triggers!$A$1,0,0,COUNTA(enemy_skill_triggers!$A:$A),MATCH(I$1,enemy_skill_triggers!$1:$1,0)-MATCH($F$1,enemy_skill_triggers!$1:$1,0)+1),MATCH(I$1,enemy_skill_triggers!$1:$1,0)-MATCH($F$1,enemy_skill_triggers!$1:$1,0)+1,FALSE)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2" s="48" t="str">
        <f ca="1">VLOOKUP($F82,OFFSET(enemy_skill_triggers!$A$1,0,0,COUNTA(enemy_skill_triggers!$A:$A),MATCH(J$1,enemy_skill_triggers!$1:$1,0)-MATCH($F$1,enemy_skill_triggers!$1:$1,0)+1),MATCH(J$1,enemy_skill_triggers!$1:$1,0)-MATCH($F$1,enemy_skill_triggers!$1:$1,0)+1,FALSE)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2" s="48" t="str">
        <f ca="1">VLOOKUP($F82,OFFSET(enemy_skill_triggers!$A$1,0,0,COUNTA(enemy_skill_triggers!$A:$A),MATCH(K$1,enemy_skill_triggers!$1:$1,0)-MATCH($F$1,enemy_skill_triggers!$1:$1,0)+1),MATCH(K$1,enemy_skill_triggers!$1:$1,0)-MATCH($F$1,enemy_skill_triggers!$1:$1,0)+1,FALSE)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2" s="48">
        <f ca="1">VLOOKUP($F82,OFFSET(enemy_skill_triggers!$A$1,0,0,COUNTA(enemy_skill_triggers!$A:$A),MATCH(L$1,enemy_skill_triggers!$1:$1,0)-MATCH($F$1,enemy_skill_triggers!$1:$1,0)+1),MATCH(L$1,enemy_skill_triggers!$1:$1,0)-MATCH($F$1,enemy_skill_triggers!$1:$1,0)+1,FALSE)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2" s="48" t="str">
        <f ca="1">VLOOKUP($F82,OFFSET(enemy_skill_triggers!$A$1,0,0,COUNTA(enemy_skill_triggers!$A:$A),MATCH(M$1,enemy_skill_triggers!$1:$1,0)-MATCH($F$1,enemy_skill_triggers!$1:$1,0)+1),MATCH(M$1,enemy_skill_triggers!$1:$1,0)-MATCH($F$1,enemy_skill_triggers!$1:$1,0)+1,FALSE)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2" s="48">
        <f ca="1">VLOOKUP($F82,OFFSET(enemy_skill_triggers!$A$1,0,0,COUNTA(enemy_skill_triggers!$A:$A),MATCH(N$1,enemy_skill_triggers!$1:$1,0)-MATCH($F$1,enemy_skill_triggers!$1:$1,0)+1),MATCH(N$1,enemy_skill_triggers!$1:$1,0)-MATCH($F$1,enemy_skill_triggers!$1:$1,0)+1,FALSE)</f>
        <v>1707</v>
      </c>
      <c r="O82" s="48">
        <f ca="1">VLOOKUP($F82,OFFSET(enemy_skill_triggers!$A$1,0,0,COUNTA(enemy_skill_triggers!$A:$A),MATCH(O$1,enemy_skill_triggers!$1:$1,0)-MATCH($F$1,enemy_skill_triggers!$1:$1,0)+1),MATCH(O$1,enemy_skill_triggers!$1:$1,0)-MATCH($F$1,enemy_skill_triggers!$1:$1,0)+1,FALSE)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2" s="47"/>
      <c r="Q82" s="47"/>
      <c r="R82" s="47"/>
    </row>
    <row r="83" spans="1:18" ht="21" customHeight="1" x14ac:dyDescent="0.15">
      <c r="A83" s="39" t="str">
        <f t="shared" si="11"/>
        <v>47016200_47016101</v>
      </c>
      <c r="B83" s="141">
        <v>47016200</v>
      </c>
      <c r="C83" s="114">
        <v>47016101</v>
      </c>
      <c r="D83" s="46" t="str">
        <f ca="1">VLOOKUP($C83,OFFSET(enemy_skills!$A$1,0,0,COUNTA(enemy_skills!$A:$A),MATCH(D$1,enemy_skills!$1:$1,0)-MATCH("enemy_skill_id",enemy_skills!$1:$1,0)+1),MATCH(D$1,enemy_skills!$1:$1,0)-MATCH("enemy_skill_id",enemy_skills!$1:$1,0)+1,FALSE)</f>
        <v>なんだ、お前もあいつを見にきたのか？</v>
      </c>
      <c r="E83" s="46" t="str">
        <f ca="1">VLOOKUP($C83,OFFSET(enemy_skills!$A$1,0,0,COUNTA(enemy_skills!$A:$A),MATCH(E$1,enemy_skills!$1:$1,0)-MATCH("enemy_skill_id",enemy_skills!$1:$1,0)+1),MATCH(E$1,enemy_skills!$1:$1,0)-MATCH("enemy_skill_id",enemy_skills!$1:$1,0)+1,FALSE)</f>
        <v>ドレスとチェーンソー…_x000D_すげぇ組み合わせだよな</v>
      </c>
      <c r="F83" s="47">
        <v>47016106</v>
      </c>
      <c r="G83" s="48">
        <f ca="1">VLOOKUP($F83,OFFSET(enemy_skill_triggers!$A$1,0,0,COUNTA(enemy_skill_triggers!$A:$A),MATCH(G$1,enemy_skill_triggers!$1:$1,0)-MATCH($F$1,enemy_skill_triggers!$1:$1,0)+1),MATCH(G$1,enemy_skill_triggers!$1:$1,0)-MATCH($F$1,enemy_skill_triggers!$1:$1,0)+1,FALSE)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83" s="48">
        <f ca="1">VLOOKUP($F83,OFFSET(enemy_skill_triggers!$A$1,0,0,COUNTA(enemy_skill_triggers!$A:$A),MATCH(H$1,enemy_skill_triggers!$1:$1,0)-MATCH($F$1,enemy_skill_triggers!$1:$1,0)+1),MATCH(H$1,enemy_skill_triggers!$1:$1,0)-MATCH($F$1,enemy_skill_triggers!$1:$1,0)+1,FALSE)</f>
        <v>440</v>
      </c>
      <c r="I83" s="48">
        <f ca="1">VLOOKUP($F83,OFFSET(enemy_skill_triggers!$A$1,0,0,COUNTA(enemy_skill_triggers!$A:$A),MATCH(I$1,enemy_skill_triggers!$1:$1,0)-MATCH($F$1,enemy_skill_triggers!$1:$1,0)+1),MATCH(I$1,enemy_skill_triggers!$1:$1,0)-MATCH($F$1,enemy_skill_triggers!$1:$1,0)+1,FALSE)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3" s="48" t="str">
        <f ca="1">VLOOKUP($F83,OFFSET(enemy_skill_triggers!$A$1,0,0,COUNTA(enemy_skill_triggers!$A:$A),MATCH(J$1,enemy_skill_triggers!$1:$1,0)-MATCH($F$1,enemy_skill_triggers!$1:$1,0)+1),MATCH(J$1,enemy_skill_triggers!$1:$1,0)-MATCH($F$1,enemy_skill_triggers!$1:$1,0)+1,FALSE)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3" s="48" t="str">
        <f ca="1">VLOOKUP($F83,OFFSET(enemy_skill_triggers!$A$1,0,0,COUNTA(enemy_skill_triggers!$A:$A),MATCH(K$1,enemy_skill_triggers!$1:$1,0)-MATCH($F$1,enemy_skill_triggers!$1:$1,0)+1),MATCH(K$1,enemy_skill_triggers!$1:$1,0)-MATCH($F$1,enemy_skill_triggers!$1:$1,0)+1,FALSE)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3" s="48">
        <f ca="1">VLOOKUP($F83,OFFSET(enemy_skill_triggers!$A$1,0,0,COUNTA(enemy_skill_triggers!$A:$A),MATCH(L$1,enemy_skill_triggers!$1:$1,0)-MATCH($F$1,enemy_skill_triggers!$1:$1,0)+1),MATCH(L$1,enemy_skill_triggers!$1:$1,0)-MATCH($F$1,enemy_skill_triggers!$1:$1,0)+1,FALSE)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3" s="48" t="str">
        <f ca="1">VLOOKUP($F83,OFFSET(enemy_skill_triggers!$A$1,0,0,COUNTA(enemy_skill_triggers!$A:$A),MATCH(M$1,enemy_skill_triggers!$1:$1,0)-MATCH($F$1,enemy_skill_triggers!$1:$1,0)+1),MATCH(M$1,enemy_skill_triggers!$1:$1,0)-MATCH($F$1,enemy_skill_triggers!$1:$1,0)+1,FALSE)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3" s="48">
        <f ca="1">VLOOKUP($F83,OFFSET(enemy_skill_triggers!$A$1,0,0,COUNTA(enemy_skill_triggers!$A:$A),MATCH(N$1,enemy_skill_triggers!$1:$1,0)-MATCH($F$1,enemy_skill_triggers!$1:$1,0)+1),MATCH(N$1,enemy_skill_triggers!$1:$1,0)-MATCH($F$1,enemy_skill_triggers!$1:$1,0)+1,FALSE)</f>
        <v>1708</v>
      </c>
      <c r="O83" s="48">
        <f ca="1">VLOOKUP($F83,OFFSET(enemy_skill_triggers!$A$1,0,0,COUNTA(enemy_skill_triggers!$A:$A),MATCH(O$1,enemy_skill_triggers!$1:$1,0)-MATCH($F$1,enemy_skill_triggers!$1:$1,0)+1),MATCH(O$1,enemy_skill_triggers!$1:$1,0)-MATCH($F$1,enemy_skill_triggers!$1:$1,0)+1,FALSE)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3" s="47"/>
      <c r="Q83" s="47"/>
      <c r="R83" s="47"/>
    </row>
    <row r="84" spans="1:18" ht="21" customHeight="1" x14ac:dyDescent="0.15">
      <c r="A84" s="39" t="str">
        <f t="shared" si="11"/>
        <v>47016200_47016101</v>
      </c>
      <c r="B84" s="141">
        <v>47016200</v>
      </c>
      <c r="C84" s="114">
        <v>47016101</v>
      </c>
      <c r="D84" s="46" t="str">
        <f ca="1">VLOOKUP($C84,OFFSET(enemy_skills!$A$1,0,0,COUNTA(enemy_skills!$A:$A),MATCH(D$1,enemy_skills!$1:$1,0)-MATCH("enemy_skill_id",enemy_skills!$1:$1,0)+1),MATCH(D$1,enemy_skills!$1:$1,0)-MATCH("enemy_skill_id",enemy_skills!$1:$1,0)+1,FALSE)</f>
        <v>なんだ、お前もあいつを見にきたのか？</v>
      </c>
      <c r="E84" s="46" t="str">
        <f ca="1">VLOOKUP($C84,OFFSET(enemy_skills!$A$1,0,0,COUNTA(enemy_skills!$A:$A),MATCH(E$1,enemy_skills!$1:$1,0)-MATCH("enemy_skill_id",enemy_skills!$1:$1,0)+1),MATCH(E$1,enemy_skills!$1:$1,0)-MATCH("enemy_skill_id",enemy_skills!$1:$1,0)+1,FALSE)</f>
        <v>ドレスとチェーンソー…_x000D_すげぇ組み合わせだよな</v>
      </c>
      <c r="F84" s="47">
        <v>47016107</v>
      </c>
      <c r="G84" s="48">
        <f ca="1">VLOOKUP($F84,OFFSET(enemy_skill_triggers!$A$1,0,0,COUNTA(enemy_skill_triggers!$A:$A),MATCH(G$1,enemy_skill_triggers!$1:$1,0)-MATCH($F$1,enemy_skill_triggers!$1:$1,0)+1),MATCH(G$1,enemy_skill_triggers!$1:$1,0)-MATCH($F$1,enemy_skill_triggers!$1:$1,0)+1,FALSE)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84" s="48">
        <f ca="1">VLOOKUP($F84,OFFSET(enemy_skill_triggers!$A$1,0,0,COUNTA(enemy_skill_triggers!$A:$A),MATCH(H$1,enemy_skill_triggers!$1:$1,0)-MATCH($F$1,enemy_skill_triggers!$1:$1,0)+1),MATCH(H$1,enemy_skill_triggers!$1:$1,0)-MATCH($F$1,enemy_skill_triggers!$1:$1,0)+1,FALSE)</f>
        <v>430</v>
      </c>
      <c r="I84" s="48">
        <f ca="1">VLOOKUP($F84,OFFSET(enemy_skill_triggers!$A$1,0,0,COUNTA(enemy_skill_triggers!$A:$A),MATCH(I$1,enemy_skill_triggers!$1:$1,0)-MATCH($F$1,enemy_skill_triggers!$1:$1,0)+1),MATCH(I$1,enemy_skill_triggers!$1:$1,0)-MATCH($F$1,enemy_skill_triggers!$1:$1,0)+1,FALSE)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4" s="48" t="str">
        <f ca="1">VLOOKUP($F84,OFFSET(enemy_skill_triggers!$A$1,0,0,COUNTA(enemy_skill_triggers!$A:$A),MATCH(J$1,enemy_skill_triggers!$1:$1,0)-MATCH($F$1,enemy_skill_triggers!$1:$1,0)+1),MATCH(J$1,enemy_skill_triggers!$1:$1,0)-MATCH($F$1,enemy_skill_triggers!$1:$1,0)+1,FALSE)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4" s="48" t="str">
        <f ca="1">VLOOKUP($F84,OFFSET(enemy_skill_triggers!$A$1,0,0,COUNTA(enemy_skill_triggers!$A:$A),MATCH(K$1,enemy_skill_triggers!$1:$1,0)-MATCH($F$1,enemy_skill_triggers!$1:$1,0)+1),MATCH(K$1,enemy_skill_triggers!$1:$1,0)-MATCH($F$1,enemy_skill_triggers!$1:$1,0)+1,FALSE)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4" s="48">
        <f ca="1">VLOOKUP($F84,OFFSET(enemy_skill_triggers!$A$1,0,0,COUNTA(enemy_skill_triggers!$A:$A),MATCH(L$1,enemy_skill_triggers!$1:$1,0)-MATCH($F$1,enemy_skill_triggers!$1:$1,0)+1),MATCH(L$1,enemy_skill_triggers!$1:$1,0)-MATCH($F$1,enemy_skill_triggers!$1:$1,0)+1,FALSE)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4" s="48" t="str">
        <f ca="1">VLOOKUP($F84,OFFSET(enemy_skill_triggers!$A$1,0,0,COUNTA(enemy_skill_triggers!$A:$A),MATCH(M$1,enemy_skill_triggers!$1:$1,0)-MATCH($F$1,enemy_skill_triggers!$1:$1,0)+1),MATCH(M$1,enemy_skill_triggers!$1:$1,0)-MATCH($F$1,enemy_skill_triggers!$1:$1,0)+1,FALSE)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4" s="48">
        <f ca="1">VLOOKUP($F84,OFFSET(enemy_skill_triggers!$A$1,0,0,COUNTA(enemy_skill_triggers!$A:$A),MATCH(N$1,enemy_skill_triggers!$1:$1,0)-MATCH($F$1,enemy_skill_triggers!$1:$1,0)+1),MATCH(N$1,enemy_skill_triggers!$1:$1,0)-MATCH($F$1,enemy_skill_triggers!$1:$1,0)+1,FALSE)</f>
        <v>1709</v>
      </c>
      <c r="O84" s="48">
        <f ca="1">VLOOKUP($F84,OFFSET(enemy_skill_triggers!$A$1,0,0,COUNTA(enemy_skill_triggers!$A:$A),MATCH(O$1,enemy_skill_triggers!$1:$1,0)-MATCH($F$1,enemy_skill_triggers!$1:$1,0)+1),MATCH(O$1,enemy_skill_triggers!$1:$1,0)-MATCH($F$1,enemy_skill_triggers!$1:$1,0)+1,FALSE)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4" s="47"/>
      <c r="Q84" s="47"/>
      <c r="R84" s="47"/>
    </row>
    <row r="85" spans="1:18" ht="21" customHeight="1" x14ac:dyDescent="0.15">
      <c r="A85" s="39" t="str">
        <f t="shared" si="11"/>
        <v>47016200_47016101</v>
      </c>
      <c r="B85" s="141">
        <v>47016200</v>
      </c>
      <c r="C85" s="114">
        <v>47016101</v>
      </c>
      <c r="D85" s="46" t="str">
        <f ca="1">VLOOKUP($C85,OFFSET(enemy_skills!$A$1,0,0,COUNTA(enemy_skills!$A:$A),MATCH(D$1,enemy_skills!$1:$1,0)-MATCH("enemy_skill_id",enemy_skills!$1:$1,0)+1),MATCH(D$1,enemy_skills!$1:$1,0)-MATCH("enemy_skill_id",enemy_skills!$1:$1,0)+1,FALSE)</f>
        <v>なんだ、お前もあいつを見にきたのか？</v>
      </c>
      <c r="E85" s="46" t="str">
        <f ca="1">VLOOKUP($C85,OFFSET(enemy_skills!$A$1,0,0,COUNTA(enemy_skills!$A:$A),MATCH(E$1,enemy_skills!$1:$1,0)-MATCH("enemy_skill_id",enemy_skills!$1:$1,0)+1),MATCH(E$1,enemy_skills!$1:$1,0)-MATCH("enemy_skill_id",enemy_skills!$1:$1,0)+1,FALSE)</f>
        <v>ドレスとチェーンソー…_x000D_すげぇ組み合わせだよな</v>
      </c>
      <c r="F85" s="47">
        <v>47016108</v>
      </c>
      <c r="G85" s="48">
        <f ca="1">VLOOKUP($F85,OFFSET(enemy_skill_triggers!$A$1,0,0,COUNTA(enemy_skill_triggers!$A:$A),MATCH(G$1,enemy_skill_triggers!$1:$1,0)-MATCH($F$1,enemy_skill_triggers!$1:$1,0)+1),MATCH(G$1,enemy_skill_triggers!$1:$1,0)-MATCH($F$1,enemy_skill_triggers!$1:$1,0)+1,FALSE)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85" s="48">
        <f ca="1">VLOOKUP($F85,OFFSET(enemy_skill_triggers!$A$1,0,0,COUNTA(enemy_skill_triggers!$A:$A),MATCH(H$1,enemy_skill_triggers!$1:$1,0)-MATCH($F$1,enemy_skill_triggers!$1:$1,0)+1),MATCH(H$1,enemy_skill_triggers!$1:$1,0)-MATCH($F$1,enemy_skill_triggers!$1:$1,0)+1,FALSE)</f>
        <v>420</v>
      </c>
      <c r="I85" s="48">
        <f ca="1">VLOOKUP($F85,OFFSET(enemy_skill_triggers!$A$1,0,0,COUNTA(enemy_skill_triggers!$A:$A),MATCH(I$1,enemy_skill_triggers!$1:$1,0)-MATCH($F$1,enemy_skill_triggers!$1:$1,0)+1),MATCH(I$1,enemy_skill_triggers!$1:$1,0)-MATCH($F$1,enemy_skill_triggers!$1:$1,0)+1,FALSE)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5" s="48" t="str">
        <f ca="1">VLOOKUP($F85,OFFSET(enemy_skill_triggers!$A$1,0,0,COUNTA(enemy_skill_triggers!$A:$A),MATCH(J$1,enemy_skill_triggers!$1:$1,0)-MATCH($F$1,enemy_skill_triggers!$1:$1,0)+1),MATCH(J$1,enemy_skill_triggers!$1:$1,0)-MATCH($F$1,enemy_skill_triggers!$1:$1,0)+1,FALSE)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5" s="48" t="str">
        <f ca="1">VLOOKUP($F85,OFFSET(enemy_skill_triggers!$A$1,0,0,COUNTA(enemy_skill_triggers!$A:$A),MATCH(K$1,enemy_skill_triggers!$1:$1,0)-MATCH($F$1,enemy_skill_triggers!$1:$1,0)+1),MATCH(K$1,enemy_skill_triggers!$1:$1,0)-MATCH($F$1,enemy_skill_triggers!$1:$1,0)+1,FALSE)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5" s="48">
        <f ca="1">VLOOKUP($F85,OFFSET(enemy_skill_triggers!$A$1,0,0,COUNTA(enemy_skill_triggers!$A:$A),MATCH(L$1,enemy_skill_triggers!$1:$1,0)-MATCH($F$1,enemy_skill_triggers!$1:$1,0)+1),MATCH(L$1,enemy_skill_triggers!$1:$1,0)-MATCH($F$1,enemy_skill_triggers!$1:$1,0)+1,FALSE)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5" s="48" t="str">
        <f ca="1">VLOOKUP($F85,OFFSET(enemy_skill_triggers!$A$1,0,0,COUNTA(enemy_skill_triggers!$A:$A),MATCH(M$1,enemy_skill_triggers!$1:$1,0)-MATCH($F$1,enemy_skill_triggers!$1:$1,0)+1),MATCH(M$1,enemy_skill_triggers!$1:$1,0)-MATCH($F$1,enemy_skill_triggers!$1:$1,0)+1,FALSE)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5" s="48">
        <f ca="1">VLOOKUP($F85,OFFSET(enemy_skill_triggers!$A$1,0,0,COUNTA(enemy_skill_triggers!$A:$A),MATCH(N$1,enemy_skill_triggers!$1:$1,0)-MATCH($F$1,enemy_skill_triggers!$1:$1,0)+1),MATCH(N$1,enemy_skill_triggers!$1:$1,0)-MATCH($F$1,enemy_skill_triggers!$1:$1,0)+1,FALSE)</f>
        <v>1710</v>
      </c>
      <c r="O85" s="48">
        <f ca="1">VLOOKUP($F85,OFFSET(enemy_skill_triggers!$A$1,0,0,COUNTA(enemy_skill_triggers!$A:$A),MATCH(O$1,enemy_skill_triggers!$1:$1,0)-MATCH($F$1,enemy_skill_triggers!$1:$1,0)+1),MATCH(O$1,enemy_skill_triggers!$1:$1,0)-MATCH($F$1,enemy_skill_triggers!$1:$1,0)+1,FALSE)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5" s="47"/>
      <c r="Q85" s="47"/>
      <c r="R85" s="47"/>
    </row>
    <row r="86" spans="1:18" ht="21" customHeight="1" x14ac:dyDescent="0.15">
      <c r="A86" s="39" t="str">
        <f t="shared" si="11"/>
        <v>47016200_47016101</v>
      </c>
      <c r="B86" s="141">
        <v>47016200</v>
      </c>
      <c r="C86" s="114">
        <v>47016101</v>
      </c>
      <c r="D86" s="46" t="str">
        <f ca="1">VLOOKUP($C86,OFFSET(enemy_skills!$A$1,0,0,COUNTA(enemy_skills!$A:$A),MATCH(D$1,enemy_skills!$1:$1,0)-MATCH("enemy_skill_id",enemy_skills!$1:$1,0)+1),MATCH(D$1,enemy_skills!$1:$1,0)-MATCH("enemy_skill_id",enemy_skills!$1:$1,0)+1,FALSE)</f>
        <v>なんだ、お前もあいつを見にきたのか？</v>
      </c>
      <c r="E86" s="46" t="str">
        <f ca="1">VLOOKUP($C86,OFFSET(enemy_skills!$A$1,0,0,COUNTA(enemy_skills!$A:$A),MATCH(E$1,enemy_skills!$1:$1,0)-MATCH("enemy_skill_id",enemy_skills!$1:$1,0)+1),MATCH(E$1,enemy_skills!$1:$1,0)-MATCH("enemy_skill_id",enemy_skills!$1:$1,0)+1,FALSE)</f>
        <v>ドレスとチェーンソー…_x000D_すげぇ組み合わせだよな</v>
      </c>
      <c r="F86" s="47">
        <v>47016109</v>
      </c>
      <c r="G86" s="48">
        <f ca="1">VLOOKUP($F86,OFFSET(enemy_skill_triggers!$A$1,0,0,COUNTA(enemy_skill_triggers!$A:$A),MATCH(G$1,enemy_skill_triggers!$1:$1,0)-MATCH($F$1,enemy_skill_triggers!$1:$1,0)+1),MATCH(G$1,enemy_skill_triggers!$1:$1,0)-MATCH($F$1,enemy_skill_triggers!$1:$1,0)+1,FALSE)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86" s="48">
        <f ca="1">VLOOKUP($F86,OFFSET(enemy_skill_triggers!$A$1,0,0,COUNTA(enemy_skill_triggers!$A:$A),MATCH(H$1,enemy_skill_triggers!$1:$1,0)-MATCH($F$1,enemy_skill_triggers!$1:$1,0)+1),MATCH(H$1,enemy_skill_triggers!$1:$1,0)-MATCH($F$1,enemy_skill_triggers!$1:$1,0)+1,FALSE)</f>
        <v>410</v>
      </c>
      <c r="I86" s="48">
        <f ca="1">VLOOKUP($F86,OFFSET(enemy_skill_triggers!$A$1,0,0,COUNTA(enemy_skill_triggers!$A:$A),MATCH(I$1,enemy_skill_triggers!$1:$1,0)-MATCH($F$1,enemy_skill_triggers!$1:$1,0)+1),MATCH(I$1,enemy_skill_triggers!$1:$1,0)-MATCH($F$1,enemy_skill_triggers!$1:$1,0)+1,FALSE)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6" s="48" t="str">
        <f ca="1">VLOOKUP($F86,OFFSET(enemy_skill_triggers!$A$1,0,0,COUNTA(enemy_skill_triggers!$A:$A),MATCH(J$1,enemy_skill_triggers!$1:$1,0)-MATCH($F$1,enemy_skill_triggers!$1:$1,0)+1),MATCH(J$1,enemy_skill_triggers!$1:$1,0)-MATCH($F$1,enemy_skill_triggers!$1:$1,0)+1,FALSE)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6" s="48" t="str">
        <f ca="1">VLOOKUP($F86,OFFSET(enemy_skill_triggers!$A$1,0,0,COUNTA(enemy_skill_triggers!$A:$A),MATCH(K$1,enemy_skill_triggers!$1:$1,0)-MATCH($F$1,enemy_skill_triggers!$1:$1,0)+1),MATCH(K$1,enemy_skill_triggers!$1:$1,0)-MATCH($F$1,enemy_skill_triggers!$1:$1,0)+1,FALSE)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6" s="48">
        <f ca="1">VLOOKUP($F86,OFFSET(enemy_skill_triggers!$A$1,0,0,COUNTA(enemy_skill_triggers!$A:$A),MATCH(L$1,enemy_skill_triggers!$1:$1,0)-MATCH($F$1,enemy_skill_triggers!$1:$1,0)+1),MATCH(L$1,enemy_skill_triggers!$1:$1,0)-MATCH($F$1,enemy_skill_triggers!$1:$1,0)+1,FALSE)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6" s="48" t="str">
        <f ca="1">VLOOKUP($F86,OFFSET(enemy_skill_triggers!$A$1,0,0,COUNTA(enemy_skill_triggers!$A:$A),MATCH(M$1,enemy_skill_triggers!$1:$1,0)-MATCH($F$1,enemy_skill_triggers!$1:$1,0)+1),MATCH(M$1,enemy_skill_triggers!$1:$1,0)-MATCH($F$1,enemy_skill_triggers!$1:$1,0)+1,FALSE)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6" s="48">
        <f ca="1">VLOOKUP($F86,OFFSET(enemy_skill_triggers!$A$1,0,0,COUNTA(enemy_skill_triggers!$A:$A),MATCH(N$1,enemy_skill_triggers!$1:$1,0)-MATCH($F$1,enemy_skill_triggers!$1:$1,0)+1),MATCH(N$1,enemy_skill_triggers!$1:$1,0)-MATCH($F$1,enemy_skill_triggers!$1:$1,0)+1,FALSE)</f>
        <v>1711</v>
      </c>
      <c r="O86" s="48">
        <f ca="1">VLOOKUP($F86,OFFSET(enemy_skill_triggers!$A$1,0,0,COUNTA(enemy_skill_triggers!$A:$A),MATCH(O$1,enemy_skill_triggers!$1:$1,0)-MATCH($F$1,enemy_skill_triggers!$1:$1,0)+1),MATCH(O$1,enemy_skill_triggers!$1:$1,0)-MATCH($F$1,enemy_skill_triggers!$1:$1,0)+1,FALSE)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6" s="47"/>
      <c r="Q86" s="47"/>
      <c r="R86" s="47"/>
    </row>
    <row r="87" spans="1:18" ht="21" customHeight="1" x14ac:dyDescent="0.15">
      <c r="A87" s="39" t="str">
        <f t="shared" si="11"/>
        <v>47016200_47016101</v>
      </c>
      <c r="B87" s="141">
        <v>47016200</v>
      </c>
      <c r="C87" s="114">
        <v>47016101</v>
      </c>
      <c r="D87" s="46" t="str">
        <f ca="1">VLOOKUP($C87,OFFSET(enemy_skills!$A$1,0,0,COUNTA(enemy_skills!$A:$A),MATCH(D$1,enemy_skills!$1:$1,0)-MATCH("enemy_skill_id",enemy_skills!$1:$1,0)+1),MATCH(D$1,enemy_skills!$1:$1,0)-MATCH("enemy_skill_id",enemy_skills!$1:$1,0)+1,FALSE)</f>
        <v>なんだ、お前もあいつを見にきたのか？</v>
      </c>
      <c r="E87" s="46" t="str">
        <f ca="1">VLOOKUP($C87,OFFSET(enemy_skills!$A$1,0,0,COUNTA(enemy_skills!$A:$A),MATCH(E$1,enemy_skills!$1:$1,0)-MATCH("enemy_skill_id",enemy_skills!$1:$1,0)+1),MATCH(E$1,enemy_skills!$1:$1,0)-MATCH("enemy_skill_id",enemy_skills!$1:$1,0)+1,FALSE)</f>
        <v>ドレスとチェーンソー…_x000D_すげぇ組み合わせだよな</v>
      </c>
      <c r="F87" s="47">
        <v>47016110</v>
      </c>
      <c r="G87" s="48">
        <f ca="1">VLOOKUP($F87,OFFSET(enemy_skill_triggers!$A$1,0,0,COUNTA(enemy_skill_triggers!$A:$A),MATCH(G$1,enemy_skill_triggers!$1:$1,0)-MATCH($F$1,enemy_skill_triggers!$1:$1,0)+1),MATCH(G$1,enemy_skill_triggers!$1:$1,0)-MATCH($F$1,enemy_skill_triggers!$1:$1,0)+1,FALSE)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87" s="48">
        <f ca="1">VLOOKUP($F87,OFFSET(enemy_skill_triggers!$A$1,0,0,COUNTA(enemy_skill_triggers!$A:$A),MATCH(H$1,enemy_skill_triggers!$1:$1,0)-MATCH($F$1,enemy_skill_triggers!$1:$1,0)+1),MATCH(H$1,enemy_skill_triggers!$1:$1,0)-MATCH($F$1,enemy_skill_triggers!$1:$1,0)+1,FALSE)</f>
        <v>400</v>
      </c>
      <c r="I87" s="48">
        <f ca="1">VLOOKUP($F87,OFFSET(enemy_skill_triggers!$A$1,0,0,COUNTA(enemy_skill_triggers!$A:$A),MATCH(I$1,enemy_skill_triggers!$1:$1,0)-MATCH($F$1,enemy_skill_triggers!$1:$1,0)+1),MATCH(I$1,enemy_skill_triggers!$1:$1,0)-MATCH($F$1,enemy_skill_triggers!$1:$1,0)+1,FALSE)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7" s="48" t="str">
        <f ca="1">VLOOKUP($F87,OFFSET(enemy_skill_triggers!$A$1,0,0,COUNTA(enemy_skill_triggers!$A:$A),MATCH(J$1,enemy_skill_triggers!$1:$1,0)-MATCH($F$1,enemy_skill_triggers!$1:$1,0)+1),MATCH(J$1,enemy_skill_triggers!$1:$1,0)-MATCH($F$1,enemy_skill_triggers!$1:$1,0)+1,FALSE)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7" s="48" t="str">
        <f ca="1">VLOOKUP($F87,OFFSET(enemy_skill_triggers!$A$1,0,0,COUNTA(enemy_skill_triggers!$A:$A),MATCH(K$1,enemy_skill_triggers!$1:$1,0)-MATCH($F$1,enemy_skill_triggers!$1:$1,0)+1),MATCH(K$1,enemy_skill_triggers!$1:$1,0)-MATCH($F$1,enemy_skill_triggers!$1:$1,0)+1,FALSE)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7" s="48">
        <f ca="1">VLOOKUP($F87,OFFSET(enemy_skill_triggers!$A$1,0,0,COUNTA(enemy_skill_triggers!$A:$A),MATCH(L$1,enemy_skill_triggers!$1:$1,0)-MATCH($F$1,enemy_skill_triggers!$1:$1,0)+1),MATCH(L$1,enemy_skill_triggers!$1:$1,0)-MATCH($F$1,enemy_skill_triggers!$1:$1,0)+1,FALSE)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7" s="48" t="str">
        <f ca="1">VLOOKUP($F87,OFFSET(enemy_skill_triggers!$A$1,0,0,COUNTA(enemy_skill_triggers!$A:$A),MATCH(M$1,enemy_skill_triggers!$1:$1,0)-MATCH($F$1,enemy_skill_triggers!$1:$1,0)+1),MATCH(M$1,enemy_skill_triggers!$1:$1,0)-MATCH($F$1,enemy_skill_triggers!$1:$1,0)+1,FALSE)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7" s="48">
        <f ca="1">VLOOKUP($F87,OFFSET(enemy_skill_triggers!$A$1,0,0,COUNTA(enemy_skill_triggers!$A:$A),MATCH(N$1,enemy_skill_triggers!$1:$1,0)-MATCH($F$1,enemy_skill_triggers!$1:$1,0)+1),MATCH(N$1,enemy_skill_triggers!$1:$1,0)-MATCH($F$1,enemy_skill_triggers!$1:$1,0)+1,FALSE)</f>
        <v>1712</v>
      </c>
      <c r="O87" s="48">
        <f ca="1">VLOOKUP($F87,OFFSET(enemy_skill_triggers!$A$1,0,0,COUNTA(enemy_skill_triggers!$A:$A),MATCH(O$1,enemy_skill_triggers!$1:$1,0)-MATCH($F$1,enemy_skill_triggers!$1:$1,0)+1),MATCH(O$1,enemy_skill_triggers!$1:$1,0)-MATCH($F$1,enemy_skill_triggers!$1:$1,0)+1,FALSE)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7" s="47"/>
      <c r="Q87" s="47"/>
      <c r="R87" s="47"/>
    </row>
    <row r="88" spans="1:18" ht="21" customHeight="1" x14ac:dyDescent="0.15">
      <c r="A88" s="39" t="str">
        <f t="shared" si="11"/>
        <v>47016200_47016101</v>
      </c>
      <c r="B88" s="141">
        <v>47016200</v>
      </c>
      <c r="C88" s="114">
        <v>47016101</v>
      </c>
      <c r="D88" s="46" t="str">
        <f ca="1">VLOOKUP($C88,OFFSET(enemy_skills!$A$1,0,0,COUNTA(enemy_skills!$A:$A),MATCH(D$1,enemy_skills!$1:$1,0)-MATCH("enemy_skill_id",enemy_skills!$1:$1,0)+1),MATCH(D$1,enemy_skills!$1:$1,0)-MATCH("enemy_skill_id",enemy_skills!$1:$1,0)+1,FALSE)</f>
        <v>なんだ、お前もあいつを見にきたのか？</v>
      </c>
      <c r="E88" s="46" t="str">
        <f ca="1">VLOOKUP($C88,OFFSET(enemy_skills!$A$1,0,0,COUNTA(enemy_skills!$A:$A),MATCH(E$1,enemy_skills!$1:$1,0)-MATCH("enemy_skill_id",enemy_skills!$1:$1,0)+1),MATCH(E$1,enemy_skills!$1:$1,0)-MATCH("enemy_skill_id",enemy_skills!$1:$1,0)+1,FALSE)</f>
        <v>ドレスとチェーンソー…_x000D_すげぇ組み合わせだよな</v>
      </c>
      <c r="F88" s="47">
        <v>47016111</v>
      </c>
      <c r="G88" s="48">
        <f ca="1">VLOOKUP($F88,OFFSET(enemy_skill_triggers!$A$1,0,0,COUNTA(enemy_skill_triggers!$A:$A),MATCH(G$1,enemy_skill_triggers!$1:$1,0)-MATCH($F$1,enemy_skill_triggers!$1:$1,0)+1),MATCH(G$1,enemy_skill_triggers!$1:$1,0)-MATCH($F$1,enemy_skill_triggers!$1:$1,0)+1,FALSE)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88" s="48">
        <f ca="1">VLOOKUP($F88,OFFSET(enemy_skill_triggers!$A$1,0,0,COUNTA(enemy_skill_triggers!$A:$A),MATCH(H$1,enemy_skill_triggers!$1:$1,0)-MATCH($F$1,enemy_skill_triggers!$1:$1,0)+1),MATCH(H$1,enemy_skill_triggers!$1:$1,0)-MATCH($F$1,enemy_skill_triggers!$1:$1,0)+1,FALSE)</f>
        <v>390</v>
      </c>
      <c r="I88" s="48">
        <f ca="1">VLOOKUP($F88,OFFSET(enemy_skill_triggers!$A$1,0,0,COUNTA(enemy_skill_triggers!$A:$A),MATCH(I$1,enemy_skill_triggers!$1:$1,0)-MATCH($F$1,enemy_skill_triggers!$1:$1,0)+1),MATCH(I$1,enemy_skill_triggers!$1:$1,0)-MATCH($F$1,enemy_skill_triggers!$1:$1,0)+1,FALSE)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8" s="48" t="str">
        <f ca="1">VLOOKUP($F88,OFFSET(enemy_skill_triggers!$A$1,0,0,COUNTA(enemy_skill_triggers!$A:$A),MATCH(J$1,enemy_skill_triggers!$1:$1,0)-MATCH($F$1,enemy_skill_triggers!$1:$1,0)+1),MATCH(J$1,enemy_skill_triggers!$1:$1,0)-MATCH($F$1,enemy_skill_triggers!$1:$1,0)+1,FALSE)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8" s="48" t="str">
        <f ca="1">VLOOKUP($F88,OFFSET(enemy_skill_triggers!$A$1,0,0,COUNTA(enemy_skill_triggers!$A:$A),MATCH(K$1,enemy_skill_triggers!$1:$1,0)-MATCH($F$1,enemy_skill_triggers!$1:$1,0)+1),MATCH(K$1,enemy_skill_triggers!$1:$1,0)-MATCH($F$1,enemy_skill_triggers!$1:$1,0)+1,FALSE)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8" s="48">
        <f ca="1">VLOOKUP($F88,OFFSET(enemy_skill_triggers!$A$1,0,0,COUNTA(enemy_skill_triggers!$A:$A),MATCH(L$1,enemy_skill_triggers!$1:$1,0)-MATCH($F$1,enemy_skill_triggers!$1:$1,0)+1),MATCH(L$1,enemy_skill_triggers!$1:$1,0)-MATCH($F$1,enemy_skill_triggers!$1:$1,0)+1,FALSE)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8" s="48" t="str">
        <f ca="1">VLOOKUP($F88,OFFSET(enemy_skill_triggers!$A$1,0,0,COUNTA(enemy_skill_triggers!$A:$A),MATCH(M$1,enemy_skill_triggers!$1:$1,0)-MATCH($F$1,enemy_skill_triggers!$1:$1,0)+1),MATCH(M$1,enemy_skill_triggers!$1:$1,0)-MATCH($F$1,enemy_skill_triggers!$1:$1,0)+1,FALSE)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8" s="48">
        <f ca="1">VLOOKUP($F88,OFFSET(enemy_skill_triggers!$A$1,0,0,COUNTA(enemy_skill_triggers!$A:$A),MATCH(N$1,enemy_skill_triggers!$1:$1,0)-MATCH($F$1,enemy_skill_triggers!$1:$1,0)+1),MATCH(N$1,enemy_skill_triggers!$1:$1,0)-MATCH($F$1,enemy_skill_triggers!$1:$1,0)+1,FALSE)</f>
        <v>1713</v>
      </c>
      <c r="O88" s="48">
        <f ca="1">VLOOKUP($F88,OFFSET(enemy_skill_triggers!$A$1,0,0,COUNTA(enemy_skill_triggers!$A:$A),MATCH(O$1,enemy_skill_triggers!$1:$1,0)-MATCH($F$1,enemy_skill_triggers!$1:$1,0)+1),MATCH(O$1,enemy_skill_triggers!$1:$1,0)-MATCH($F$1,enemy_skill_triggers!$1:$1,0)+1,FALSE)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8" s="47"/>
      <c r="Q88" s="47"/>
      <c r="R88" s="47"/>
    </row>
    <row r="89" spans="1:18" ht="21" customHeight="1" x14ac:dyDescent="0.15">
      <c r="A89" s="39" t="str">
        <f t="shared" si="11"/>
        <v>47016200_47016101</v>
      </c>
      <c r="B89" s="141">
        <v>47016200</v>
      </c>
      <c r="C89" s="114">
        <v>47016101</v>
      </c>
      <c r="D89" s="46" t="str">
        <f ca="1">VLOOKUP($C89,OFFSET(enemy_skills!$A$1,0,0,COUNTA(enemy_skills!$A:$A),MATCH(D$1,enemy_skills!$1:$1,0)-MATCH("enemy_skill_id",enemy_skills!$1:$1,0)+1),MATCH(D$1,enemy_skills!$1:$1,0)-MATCH("enemy_skill_id",enemy_skills!$1:$1,0)+1,FALSE)</f>
        <v>なんだ、お前もあいつを見にきたのか？</v>
      </c>
      <c r="E89" s="46" t="str">
        <f ca="1">VLOOKUP($C89,OFFSET(enemy_skills!$A$1,0,0,COUNTA(enemy_skills!$A:$A),MATCH(E$1,enemy_skills!$1:$1,0)-MATCH("enemy_skill_id",enemy_skills!$1:$1,0)+1),MATCH(E$1,enemy_skills!$1:$1,0)-MATCH("enemy_skill_id",enemy_skills!$1:$1,0)+1,FALSE)</f>
        <v>ドレスとチェーンソー…_x000D_すげぇ組み合わせだよな</v>
      </c>
      <c r="F89" s="47">
        <v>47016112</v>
      </c>
      <c r="G89" s="48">
        <f ca="1">VLOOKUP($F89,OFFSET(enemy_skill_triggers!$A$1,0,0,COUNTA(enemy_skill_triggers!$A:$A),MATCH(G$1,enemy_skill_triggers!$1:$1,0)-MATCH($F$1,enemy_skill_triggers!$1:$1,0)+1),MATCH(G$1,enemy_skill_triggers!$1:$1,0)-MATCH($F$1,enemy_skill_triggers!$1:$1,0)+1,FALSE)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89" s="48">
        <f ca="1">VLOOKUP($F89,OFFSET(enemy_skill_triggers!$A$1,0,0,COUNTA(enemy_skill_triggers!$A:$A),MATCH(H$1,enemy_skill_triggers!$1:$1,0)-MATCH($F$1,enemy_skill_triggers!$1:$1,0)+1),MATCH(H$1,enemy_skill_triggers!$1:$1,0)-MATCH($F$1,enemy_skill_triggers!$1:$1,0)+1,FALSE)</f>
        <v>380</v>
      </c>
      <c r="I89" s="48">
        <f ca="1">VLOOKUP($F89,OFFSET(enemy_skill_triggers!$A$1,0,0,COUNTA(enemy_skill_triggers!$A:$A),MATCH(I$1,enemy_skill_triggers!$1:$1,0)-MATCH($F$1,enemy_skill_triggers!$1:$1,0)+1),MATCH(I$1,enemy_skill_triggers!$1:$1,0)-MATCH($F$1,enemy_skill_triggers!$1:$1,0)+1,FALSE)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9" s="48" t="str">
        <f ca="1">VLOOKUP($F89,OFFSET(enemy_skill_triggers!$A$1,0,0,COUNTA(enemy_skill_triggers!$A:$A),MATCH(J$1,enemy_skill_triggers!$1:$1,0)-MATCH($F$1,enemy_skill_triggers!$1:$1,0)+1),MATCH(J$1,enemy_skill_triggers!$1:$1,0)-MATCH($F$1,enemy_skill_triggers!$1:$1,0)+1,FALSE)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9" s="48" t="str">
        <f ca="1">VLOOKUP($F89,OFFSET(enemy_skill_triggers!$A$1,0,0,COUNTA(enemy_skill_triggers!$A:$A),MATCH(K$1,enemy_skill_triggers!$1:$1,0)-MATCH($F$1,enemy_skill_triggers!$1:$1,0)+1),MATCH(K$1,enemy_skill_triggers!$1:$1,0)-MATCH($F$1,enemy_skill_triggers!$1:$1,0)+1,FALSE)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9" s="48">
        <f ca="1">VLOOKUP($F89,OFFSET(enemy_skill_triggers!$A$1,0,0,COUNTA(enemy_skill_triggers!$A:$A),MATCH(L$1,enemy_skill_triggers!$1:$1,0)-MATCH($F$1,enemy_skill_triggers!$1:$1,0)+1),MATCH(L$1,enemy_skill_triggers!$1:$1,0)-MATCH($F$1,enemy_skill_triggers!$1:$1,0)+1,FALSE)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9" s="48" t="str">
        <f ca="1">VLOOKUP($F89,OFFSET(enemy_skill_triggers!$A$1,0,0,COUNTA(enemy_skill_triggers!$A:$A),MATCH(M$1,enemy_skill_triggers!$1:$1,0)-MATCH($F$1,enemy_skill_triggers!$1:$1,0)+1),MATCH(M$1,enemy_skill_triggers!$1:$1,0)-MATCH($F$1,enemy_skill_triggers!$1:$1,0)+1,FALSE)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9" s="48">
        <f ca="1">VLOOKUP($F89,OFFSET(enemy_skill_triggers!$A$1,0,0,COUNTA(enemy_skill_triggers!$A:$A),MATCH(N$1,enemy_skill_triggers!$1:$1,0)-MATCH($F$1,enemy_skill_triggers!$1:$1,0)+1),MATCH(N$1,enemy_skill_triggers!$1:$1,0)-MATCH($F$1,enemy_skill_triggers!$1:$1,0)+1,FALSE)</f>
        <v>1714</v>
      </c>
      <c r="O89" s="48">
        <f ca="1">VLOOKUP($F89,OFFSET(enemy_skill_triggers!$A$1,0,0,COUNTA(enemy_skill_triggers!$A:$A),MATCH(O$1,enemy_skill_triggers!$1:$1,0)-MATCH($F$1,enemy_skill_triggers!$1:$1,0)+1),MATCH(O$1,enemy_skill_triggers!$1:$1,0)-MATCH($F$1,enemy_skill_triggers!$1:$1,0)+1,FALSE)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9" s="47"/>
      <c r="Q89" s="47"/>
      <c r="R89" s="47"/>
    </row>
    <row r="90" spans="1:18" ht="21" customHeight="1" x14ac:dyDescent="0.15">
      <c r="A90" s="39" t="str">
        <f t="shared" si="11"/>
        <v>47016200_47016101</v>
      </c>
      <c r="B90" s="141">
        <v>47016200</v>
      </c>
      <c r="C90" s="114">
        <v>47016101</v>
      </c>
      <c r="D90" s="46" t="str">
        <f ca="1">VLOOKUP($C90,OFFSET(enemy_skills!$A$1,0,0,COUNTA(enemy_skills!$A:$A),MATCH(D$1,enemy_skills!$1:$1,0)-MATCH("enemy_skill_id",enemy_skills!$1:$1,0)+1),MATCH(D$1,enemy_skills!$1:$1,0)-MATCH("enemy_skill_id",enemy_skills!$1:$1,0)+1,FALSE)</f>
        <v>なんだ、お前もあいつを見にきたのか？</v>
      </c>
      <c r="E90" s="46" t="str">
        <f ca="1">VLOOKUP($C90,OFFSET(enemy_skills!$A$1,0,0,COUNTA(enemy_skills!$A:$A),MATCH(E$1,enemy_skills!$1:$1,0)-MATCH("enemy_skill_id",enemy_skills!$1:$1,0)+1),MATCH(E$1,enemy_skills!$1:$1,0)-MATCH("enemy_skill_id",enemy_skills!$1:$1,0)+1,FALSE)</f>
        <v>ドレスとチェーンソー…_x000D_すげぇ組み合わせだよな</v>
      </c>
      <c r="F90" s="47">
        <v>47016113</v>
      </c>
      <c r="G90" s="48">
        <f ca="1">VLOOKUP($F90,OFFSET(enemy_skill_triggers!$A$1,0,0,COUNTA(enemy_skill_triggers!$A:$A),MATCH(G$1,enemy_skill_triggers!$1:$1,0)-MATCH($F$1,enemy_skill_triggers!$1:$1,0)+1),MATCH(G$1,enemy_skill_triggers!$1:$1,0)-MATCH($F$1,enemy_skill_triggers!$1:$1,0)+1,FALSE)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90" s="48">
        <f ca="1">VLOOKUP($F90,OFFSET(enemy_skill_triggers!$A$1,0,0,COUNTA(enemy_skill_triggers!$A:$A),MATCH(H$1,enemy_skill_triggers!$1:$1,0)-MATCH($F$1,enemy_skill_triggers!$1:$1,0)+1),MATCH(H$1,enemy_skill_triggers!$1:$1,0)-MATCH($F$1,enemy_skill_triggers!$1:$1,0)+1,FALSE)</f>
        <v>370</v>
      </c>
      <c r="I90" s="48">
        <f ca="1">VLOOKUP($F90,OFFSET(enemy_skill_triggers!$A$1,0,0,COUNTA(enemy_skill_triggers!$A:$A),MATCH(I$1,enemy_skill_triggers!$1:$1,0)-MATCH($F$1,enemy_skill_triggers!$1:$1,0)+1),MATCH(I$1,enemy_skill_triggers!$1:$1,0)-MATCH($F$1,enemy_skill_triggers!$1:$1,0)+1,FALSE)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0" s="48" t="str">
        <f ca="1">VLOOKUP($F90,OFFSET(enemy_skill_triggers!$A$1,0,0,COUNTA(enemy_skill_triggers!$A:$A),MATCH(J$1,enemy_skill_triggers!$1:$1,0)-MATCH($F$1,enemy_skill_triggers!$1:$1,0)+1),MATCH(J$1,enemy_skill_triggers!$1:$1,0)-MATCH($F$1,enemy_skill_triggers!$1:$1,0)+1,FALSE)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0" s="48" t="str">
        <f ca="1">VLOOKUP($F90,OFFSET(enemy_skill_triggers!$A$1,0,0,COUNTA(enemy_skill_triggers!$A:$A),MATCH(K$1,enemy_skill_triggers!$1:$1,0)-MATCH($F$1,enemy_skill_triggers!$1:$1,0)+1),MATCH(K$1,enemy_skill_triggers!$1:$1,0)-MATCH($F$1,enemy_skill_triggers!$1:$1,0)+1,FALSE)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0" s="48">
        <f ca="1">VLOOKUP($F90,OFFSET(enemy_skill_triggers!$A$1,0,0,COUNTA(enemy_skill_triggers!$A:$A),MATCH(L$1,enemy_skill_triggers!$1:$1,0)-MATCH($F$1,enemy_skill_triggers!$1:$1,0)+1),MATCH(L$1,enemy_skill_triggers!$1:$1,0)-MATCH($F$1,enemy_skill_triggers!$1:$1,0)+1,FALSE)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90" s="48" t="str">
        <f ca="1">VLOOKUP($F90,OFFSET(enemy_skill_triggers!$A$1,0,0,COUNTA(enemy_skill_triggers!$A:$A),MATCH(M$1,enemy_skill_triggers!$1:$1,0)-MATCH($F$1,enemy_skill_triggers!$1:$1,0)+1),MATCH(M$1,enemy_skill_triggers!$1:$1,0)-MATCH($F$1,enemy_skill_triggers!$1:$1,0)+1,FALSE)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0" s="48">
        <f ca="1">VLOOKUP($F90,OFFSET(enemy_skill_triggers!$A$1,0,0,COUNTA(enemy_skill_triggers!$A:$A),MATCH(N$1,enemy_skill_triggers!$1:$1,0)-MATCH($F$1,enemy_skill_triggers!$1:$1,0)+1),MATCH(N$1,enemy_skill_triggers!$1:$1,0)-MATCH($F$1,enemy_skill_triggers!$1:$1,0)+1,FALSE)</f>
        <v>1715</v>
      </c>
      <c r="O90" s="48">
        <f ca="1">VLOOKUP($F90,OFFSET(enemy_skill_triggers!$A$1,0,0,COUNTA(enemy_skill_triggers!$A:$A),MATCH(O$1,enemy_skill_triggers!$1:$1,0)-MATCH($F$1,enemy_skill_triggers!$1:$1,0)+1),MATCH(O$1,enemy_skill_triggers!$1:$1,0)-MATCH($F$1,enemy_skill_triggers!$1:$1,0)+1,FALSE)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0" s="47"/>
      <c r="Q90" s="47"/>
      <c r="R90" s="47"/>
    </row>
    <row r="91" spans="1:18" ht="21" customHeight="1" x14ac:dyDescent="0.15">
      <c r="A91" s="39" t="str">
        <f t="shared" si="11"/>
        <v>47016200_47016101</v>
      </c>
      <c r="B91" s="141">
        <v>47016200</v>
      </c>
      <c r="C91" s="114">
        <v>47016101</v>
      </c>
      <c r="D91" s="46" t="str">
        <f ca="1">VLOOKUP($C91,OFFSET(enemy_skills!$A$1,0,0,COUNTA(enemy_skills!$A:$A),MATCH(D$1,enemy_skills!$1:$1,0)-MATCH("enemy_skill_id",enemy_skills!$1:$1,0)+1),MATCH(D$1,enemy_skills!$1:$1,0)-MATCH("enemy_skill_id",enemy_skills!$1:$1,0)+1,FALSE)</f>
        <v>なんだ、お前もあいつを見にきたのか？</v>
      </c>
      <c r="E91" s="46" t="str">
        <f ca="1">VLOOKUP($C91,OFFSET(enemy_skills!$A$1,0,0,COUNTA(enemy_skills!$A:$A),MATCH(E$1,enemy_skills!$1:$1,0)-MATCH("enemy_skill_id",enemy_skills!$1:$1,0)+1),MATCH(E$1,enemy_skills!$1:$1,0)-MATCH("enemy_skill_id",enemy_skills!$1:$1,0)+1,FALSE)</f>
        <v>ドレスとチェーンソー…_x000D_すげぇ組み合わせだよな</v>
      </c>
      <c r="F91" s="47">
        <v>47016114</v>
      </c>
      <c r="G91" s="48">
        <f ca="1">VLOOKUP($F91,OFFSET(enemy_skill_triggers!$A$1,0,0,COUNTA(enemy_skill_triggers!$A:$A),MATCH(G$1,enemy_skill_triggers!$1:$1,0)-MATCH($F$1,enemy_skill_triggers!$1:$1,0)+1),MATCH(G$1,enemy_skill_triggers!$1:$1,0)-MATCH($F$1,enemy_skill_triggers!$1:$1,0)+1,FALSE)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91" s="48">
        <f ca="1">VLOOKUP($F91,OFFSET(enemy_skill_triggers!$A$1,0,0,COUNTA(enemy_skill_triggers!$A:$A),MATCH(H$1,enemy_skill_triggers!$1:$1,0)-MATCH($F$1,enemy_skill_triggers!$1:$1,0)+1),MATCH(H$1,enemy_skill_triggers!$1:$1,0)-MATCH($F$1,enemy_skill_triggers!$1:$1,0)+1,FALSE)</f>
        <v>360</v>
      </c>
      <c r="I91" s="48">
        <f ca="1">VLOOKUP($F91,OFFSET(enemy_skill_triggers!$A$1,0,0,COUNTA(enemy_skill_triggers!$A:$A),MATCH(I$1,enemy_skill_triggers!$1:$1,0)-MATCH($F$1,enemy_skill_triggers!$1:$1,0)+1),MATCH(I$1,enemy_skill_triggers!$1:$1,0)-MATCH($F$1,enemy_skill_triggers!$1:$1,0)+1,FALSE)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1" s="48" t="str">
        <f ca="1">VLOOKUP($F91,OFFSET(enemy_skill_triggers!$A$1,0,0,COUNTA(enemy_skill_triggers!$A:$A),MATCH(J$1,enemy_skill_triggers!$1:$1,0)-MATCH($F$1,enemy_skill_triggers!$1:$1,0)+1),MATCH(J$1,enemy_skill_triggers!$1:$1,0)-MATCH($F$1,enemy_skill_triggers!$1:$1,0)+1,FALSE)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1" s="48" t="str">
        <f ca="1">VLOOKUP($F91,OFFSET(enemy_skill_triggers!$A$1,0,0,COUNTA(enemy_skill_triggers!$A:$A),MATCH(K$1,enemy_skill_triggers!$1:$1,0)-MATCH($F$1,enemy_skill_triggers!$1:$1,0)+1),MATCH(K$1,enemy_skill_triggers!$1:$1,0)-MATCH($F$1,enemy_skill_triggers!$1:$1,0)+1,FALSE)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1" s="48">
        <f ca="1">VLOOKUP($F91,OFFSET(enemy_skill_triggers!$A$1,0,0,COUNTA(enemy_skill_triggers!$A:$A),MATCH(L$1,enemy_skill_triggers!$1:$1,0)-MATCH($F$1,enemy_skill_triggers!$1:$1,0)+1),MATCH(L$1,enemy_skill_triggers!$1:$1,0)-MATCH($F$1,enemy_skill_triggers!$1:$1,0)+1,FALSE)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91" s="48" t="str">
        <f ca="1">VLOOKUP($F91,OFFSET(enemy_skill_triggers!$A$1,0,0,COUNTA(enemy_skill_triggers!$A:$A),MATCH(M$1,enemy_skill_triggers!$1:$1,0)-MATCH($F$1,enemy_skill_triggers!$1:$1,0)+1),MATCH(M$1,enemy_skill_triggers!$1:$1,0)-MATCH($F$1,enemy_skill_triggers!$1:$1,0)+1,FALSE)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1" s="48">
        <f ca="1">VLOOKUP($F91,OFFSET(enemy_skill_triggers!$A$1,0,0,COUNTA(enemy_skill_triggers!$A:$A),MATCH(N$1,enemy_skill_triggers!$1:$1,0)-MATCH($F$1,enemy_skill_triggers!$1:$1,0)+1),MATCH(N$1,enemy_skill_triggers!$1:$1,0)-MATCH($F$1,enemy_skill_triggers!$1:$1,0)+1,FALSE)</f>
        <v>1716</v>
      </c>
      <c r="O91" s="48">
        <f ca="1">VLOOKUP($F91,OFFSET(enemy_skill_triggers!$A$1,0,0,COUNTA(enemy_skill_triggers!$A:$A),MATCH(O$1,enemy_skill_triggers!$1:$1,0)-MATCH($F$1,enemy_skill_triggers!$1:$1,0)+1),MATCH(O$1,enemy_skill_triggers!$1:$1,0)-MATCH($F$1,enemy_skill_triggers!$1:$1,0)+1,FALSE)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1" s="47"/>
      <c r="Q91" s="47"/>
      <c r="R91" s="47"/>
    </row>
    <row r="92" spans="1:18" ht="21" customHeight="1" x14ac:dyDescent="0.15">
      <c r="A92" s="39" t="str">
        <f t="shared" si="11"/>
        <v>47016200_47016102</v>
      </c>
      <c r="B92" s="141">
        <v>47016200</v>
      </c>
      <c r="C92" s="114">
        <v>47016102</v>
      </c>
      <c r="D92" s="46" t="str">
        <f ca="1">VLOOKUP($C92,OFFSET(enemy_skills!$A$1,0,0,COUNTA(enemy_skills!$A:$A),MATCH(D$1,enemy_skills!$1:$1,0)-MATCH("enemy_skill_id",enemy_skills!$1:$1,0)+1),MATCH(D$1,enemy_skills!$1:$1,0)-MATCH("enemy_skill_id",enemy_skills!$1:$1,0)+1,FALSE)</f>
        <v>お、新たな見物客か？</v>
      </c>
      <c r="E92" s="46" t="str">
        <f ca="1">VLOOKUP($C92,OFFSET(enemy_skills!$A$1,0,0,COUNTA(enemy_skills!$A:$A),MATCH(E$1,enemy_skills!$1:$1,0)-MATCH("enemy_skill_id",enemy_skills!$1:$1,0)+1),MATCH(E$1,enemy_skills!$1:$1,0)-MATCH("enemy_skill_id",enemy_skills!$1:$1,0)+1,FALSE)</f>
        <v>見ろよ、あのでけぇチェーンソー！</v>
      </c>
      <c r="F92" s="47">
        <v>47016115</v>
      </c>
      <c r="G92" s="48">
        <f ca="1">VLOOKUP($F92,OFFSET(enemy_skill_triggers!$A$1,0,0,COUNTA(enemy_skill_triggers!$A:$A),MATCH(G$1,enemy_skill_triggers!$1:$1,0)-MATCH($F$1,enemy_skill_triggers!$1:$1,0)+1),MATCH(G$1,enemy_skill_triggers!$1:$1,0)-MATCH($F$1,enemy_skill_triggers!$1:$1,0)+1,FALSE)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92" s="48">
        <f ca="1">VLOOKUP($F92,OFFSET(enemy_skill_triggers!$A$1,0,0,COUNTA(enemy_skill_triggers!$A:$A),MATCH(H$1,enemy_skill_triggers!$1:$1,0)-MATCH($F$1,enemy_skill_triggers!$1:$1,0)+1),MATCH(H$1,enemy_skill_triggers!$1:$1,0)-MATCH($F$1,enemy_skill_triggers!$1:$1,0)+1,FALSE)</f>
        <v>320</v>
      </c>
      <c r="I92" s="48">
        <f ca="1">VLOOKUP($F92,OFFSET(enemy_skill_triggers!$A$1,0,0,COUNTA(enemy_skill_triggers!$A:$A),MATCH(I$1,enemy_skill_triggers!$1:$1,0)-MATCH($F$1,enemy_skill_triggers!$1:$1,0)+1),MATCH(I$1,enemy_skill_triggers!$1:$1,0)-MATCH($F$1,enemy_skill_triggers!$1:$1,0)+1,FALSE)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2" s="48" t="str">
        <f ca="1">VLOOKUP($F92,OFFSET(enemy_skill_triggers!$A$1,0,0,COUNTA(enemy_skill_triggers!$A:$A),MATCH(J$1,enemy_skill_triggers!$1:$1,0)-MATCH($F$1,enemy_skill_triggers!$1:$1,0)+1),MATCH(J$1,enemy_skill_triggers!$1:$1,0)-MATCH($F$1,enemy_skill_triggers!$1:$1,0)+1,FALSE)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2" s="48" t="str">
        <f ca="1">VLOOKUP($F92,OFFSET(enemy_skill_triggers!$A$1,0,0,COUNTA(enemy_skill_triggers!$A:$A),MATCH(K$1,enemy_skill_triggers!$1:$1,0)-MATCH($F$1,enemy_skill_triggers!$1:$1,0)+1),MATCH(K$1,enemy_skill_triggers!$1:$1,0)-MATCH($F$1,enemy_skill_triggers!$1:$1,0)+1,FALSE)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2" s="48">
        <f ca="1">VLOOKUP($F92,OFFSET(enemy_skill_triggers!$A$1,0,0,COUNTA(enemy_skill_triggers!$A:$A),MATCH(L$1,enemy_skill_triggers!$1:$1,0)-MATCH($F$1,enemy_skill_triggers!$1:$1,0)+1),MATCH(L$1,enemy_skill_triggers!$1:$1,0)-MATCH($F$1,enemy_skill_triggers!$1:$1,0)+1,FALSE)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92" s="48" t="str">
        <f ca="1">VLOOKUP($F92,OFFSET(enemy_skill_triggers!$A$1,0,0,COUNTA(enemy_skill_triggers!$A:$A),MATCH(M$1,enemy_skill_triggers!$1:$1,0)-MATCH($F$1,enemy_skill_triggers!$1:$1,0)+1),MATCH(M$1,enemy_skill_triggers!$1:$1,0)-MATCH($F$1,enemy_skill_triggers!$1:$1,0)+1,FALSE)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2" s="48" t="str">
        <f ca="1">VLOOKUP($F92,OFFSET(enemy_skill_triggers!$A$1,0,0,COUNTA(enemy_skill_triggers!$A:$A),MATCH(N$1,enemy_skill_triggers!$1:$1,0)-MATCH($F$1,enemy_skill_triggers!$1:$1,0)+1),MATCH(N$1,enemy_skill_triggers!$1:$1,0)-MATCH($F$1,enemy_skill_triggers!$1:$1,0)+1,FALSE)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92" s="48">
        <f ca="1">VLOOKUP($F92,OFFSET(enemy_skill_triggers!$A$1,0,0,COUNTA(enemy_skill_triggers!$A:$A),MATCH(O$1,enemy_skill_triggers!$1:$1,0)-MATCH($F$1,enemy_skill_triggers!$1:$1,0)+1),MATCH(O$1,enemy_skill_triggers!$1:$1,0)-MATCH($F$1,enemy_skill_triggers!$1:$1,0)+1,FALSE)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2" s="47"/>
      <c r="Q92" s="47"/>
      <c r="R92" s="47"/>
    </row>
    <row r="93" spans="1:18" ht="21" customHeight="1" x14ac:dyDescent="0.15">
      <c r="A93" s="39" t="str">
        <f t="shared" si="11"/>
        <v>47016200_47016103</v>
      </c>
      <c r="B93" s="141">
        <v>47016200</v>
      </c>
      <c r="C93" s="114">
        <v>47016103</v>
      </c>
      <c r="D93" s="46" t="str">
        <f ca="1">VLOOKUP($C93,OFFSET(enemy_skills!$A$1,0,0,COUNTA(enemy_skills!$A:$A),MATCH(D$1,enemy_skills!$1:$1,0)-MATCH("enemy_skill_id",enemy_skills!$1:$1,0)+1),MATCH(D$1,enemy_skills!$1:$1,0)-MATCH("enemy_skill_id",enemy_skills!$1:$1,0)+1,FALSE)</f>
        <v>シャクナゲって知ってるか…？</v>
      </c>
      <c r="E93" s="46" t="str">
        <f ca="1">VLOOKUP($C93,OFFSET(enemy_skills!$A$1,0,0,COUNTA(enemy_skills!$A:$A),MATCH(E$1,enemy_skills!$1:$1,0)-MATCH("enemy_skill_id",enemy_skills!$1:$1,0)+1),MATCH(E$1,enemy_skills!$1:$1,0)-MATCH("enemy_skill_id",enemy_skills!$1:$1,0)+1,FALSE)</f>
        <v>俺を…楽しませてくれよ！_x000D_【特定エリアをハートパネルに変換+単体攻撃】</v>
      </c>
      <c r="F93" s="47">
        <v>47016116</v>
      </c>
      <c r="G93" s="48">
        <f ca="1">VLOOKUP($F93,OFFSET(enemy_skill_triggers!$A$1,0,0,COUNTA(enemy_skill_triggers!$A:$A),MATCH(G$1,enemy_skill_triggers!$1:$1,0)-MATCH($F$1,enemy_skill_triggers!$1:$1,0)+1),MATCH(G$1,enemy_skill_triggers!$1:$1,0)-MATCH($F$1,enemy_skill_triggers!$1:$1,0)+1,FALSE)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3" s="48">
        <f ca="1">VLOOKUP($F93,OFFSET(enemy_skill_triggers!$A$1,0,0,COUNTA(enemy_skill_triggers!$A:$A),MATCH(H$1,enemy_skill_triggers!$1:$1,0)-MATCH($F$1,enemy_skill_triggers!$1:$1,0)+1),MATCH(H$1,enemy_skill_triggers!$1:$1,0)-MATCH($F$1,enemy_skill_triggers!$1:$1,0)+1,FALSE)</f>
        <v>310</v>
      </c>
      <c r="I93" s="48">
        <f ca="1">VLOOKUP($F93,OFFSET(enemy_skill_triggers!$A$1,0,0,COUNTA(enemy_skill_triggers!$A:$A),MATCH(I$1,enemy_skill_triggers!$1:$1,0)-MATCH($F$1,enemy_skill_triggers!$1:$1,0)+1),MATCH(I$1,enemy_skill_triggers!$1:$1,0)-MATCH($F$1,enemy_skill_triggers!$1:$1,0)+1,FALSE)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3" s="48" t="str">
        <f ca="1">VLOOKUP($F93,OFFSET(enemy_skill_triggers!$A$1,0,0,COUNTA(enemy_skill_triggers!$A:$A),MATCH(J$1,enemy_skill_triggers!$1:$1,0)-MATCH($F$1,enemy_skill_triggers!$1:$1,0)+1),MATCH(J$1,enemy_skill_triggers!$1:$1,0)-MATCH($F$1,enemy_skill_triggers!$1:$1,0)+1,FALSE)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3" s="48" t="str">
        <f ca="1">VLOOKUP($F93,OFFSET(enemy_skill_triggers!$A$1,0,0,COUNTA(enemy_skill_triggers!$A:$A),MATCH(K$1,enemy_skill_triggers!$1:$1,0)-MATCH($F$1,enemy_skill_triggers!$1:$1,0)+1),MATCH(K$1,enemy_skill_triggers!$1:$1,0)-MATCH($F$1,enemy_skill_triggers!$1:$1,0)+1,FALSE)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3" s="48">
        <f ca="1">VLOOKUP($F93,OFFSET(enemy_skill_triggers!$A$1,0,0,COUNTA(enemy_skill_triggers!$A:$A),MATCH(L$1,enemy_skill_triggers!$1:$1,0)-MATCH($F$1,enemy_skill_triggers!$1:$1,0)+1),MATCH(L$1,enemy_skill_triggers!$1:$1,0)-MATCH($F$1,enemy_skill_triggers!$1:$1,0)+1,FALSE)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93" s="48">
        <f ca="1">VLOOKUP($F93,OFFSET(enemy_skill_triggers!$A$1,0,0,COUNTA(enemy_skill_triggers!$A:$A),MATCH(M$1,enemy_skill_triggers!$1:$1,0)-MATCH($F$1,enemy_skill_triggers!$1:$1,0)+1),MATCH(M$1,enemy_skill_triggers!$1:$1,0)-MATCH($F$1,enemy_skill_triggers!$1:$1,0)+1,FALSE)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93" s="48" t="str">
        <f ca="1">VLOOKUP($F93,OFFSET(enemy_skill_triggers!$A$1,0,0,COUNTA(enemy_skill_triggers!$A:$A),MATCH(N$1,enemy_skill_triggers!$1:$1,0)-MATCH($F$1,enemy_skill_triggers!$1:$1,0)+1),MATCH(N$1,enemy_skill_triggers!$1:$1,0)-MATCH($F$1,enemy_skill_triggers!$1:$1,0)+1,FALSE)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93" s="48">
        <f ca="1">VLOOKUP($F93,OFFSET(enemy_skill_triggers!$A$1,0,0,COUNTA(enemy_skill_triggers!$A:$A),MATCH(O$1,enemy_skill_triggers!$1:$1,0)-MATCH($F$1,enemy_skill_triggers!$1:$1,0)+1),MATCH(O$1,enemy_skill_triggers!$1:$1,0)-MATCH($F$1,enemy_skill_triggers!$1:$1,0)+1,FALSE)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3" s="47"/>
      <c r="Q93" s="47"/>
      <c r="R93" s="47"/>
    </row>
    <row r="94" spans="1:18" ht="21" customHeight="1" x14ac:dyDescent="0.15">
      <c r="A94" s="39" t="str">
        <f t="shared" si="11"/>
        <v>47016200_47016104</v>
      </c>
      <c r="B94" s="141">
        <v>47016200</v>
      </c>
      <c r="C94" s="114">
        <v>47016104</v>
      </c>
      <c r="D94" s="46" t="str">
        <f ca="1">VLOOKUP($C94,OFFSET(enemy_skills!$A$1,0,0,COUNTA(enemy_skills!$A:$A),MATCH(D$1,enemy_skills!$1:$1,0)-MATCH("enemy_skill_id",enemy_skills!$1:$1,0)+1),MATCH(D$1,enemy_skills!$1:$1,0)-MATCH("enemy_skill_id",enemy_skills!$1:$1,0)+1,FALSE)</f>
        <v>人が多くてよく見えねぇ…</v>
      </c>
      <c r="E94" s="46" t="str">
        <f ca="1">VLOOKUP($C94,OFFSET(enemy_skills!$A$1,0,0,COUNTA(enemy_skills!$A:$A),MATCH(E$1,enemy_skills!$1:$1,0)-MATCH("enemy_skill_id",enemy_skills!$1:$1,0)+1),MATCH(E$1,enemy_skills!$1:$1,0)-MATCH("enemy_skill_id",enemy_skills!$1:$1,0)+1,FALSE)</f>
        <v>お前、ちょっと下がってくれよ…_x000D_【2回連続攻撃+1ターン全ユニットにスキルバインド】</v>
      </c>
      <c r="F94" s="47">
        <v>47016117</v>
      </c>
      <c r="G94" s="48">
        <f ca="1">VLOOKUP($F94,OFFSET(enemy_skill_triggers!$A$1,0,0,COUNTA(enemy_skill_triggers!$A:$A),MATCH(G$1,enemy_skill_triggers!$1:$1,0)-MATCH($F$1,enemy_skill_triggers!$1:$1,0)+1),MATCH(G$1,enemy_skill_triggers!$1:$1,0)-MATCH($F$1,enemy_skill_triggers!$1:$1,0)+1,FALSE)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4" s="48">
        <f ca="1">VLOOKUP($F94,OFFSET(enemy_skill_triggers!$A$1,0,0,COUNTA(enemy_skill_triggers!$A:$A),MATCH(H$1,enemy_skill_triggers!$1:$1,0)-MATCH($F$1,enemy_skill_triggers!$1:$1,0)+1),MATCH(H$1,enemy_skill_triggers!$1:$1,0)-MATCH($F$1,enemy_skill_triggers!$1:$1,0)+1,FALSE)</f>
        <v>120</v>
      </c>
      <c r="I94" s="48">
        <f ca="1">VLOOKUP($F94,OFFSET(enemy_skill_triggers!$A$1,0,0,COUNTA(enemy_skill_triggers!$A:$A),MATCH(I$1,enemy_skill_triggers!$1:$1,0)-MATCH($F$1,enemy_skill_triggers!$1:$1,0)+1),MATCH(I$1,enemy_skill_triggers!$1:$1,0)-MATCH($F$1,enemy_skill_triggers!$1:$1,0)+1,FALSE)</f>
        <v>33</v>
      </c>
      <c r="J94" s="48" t="str">
        <f ca="1">VLOOKUP($F94,OFFSET(enemy_skill_triggers!$A$1,0,0,COUNTA(enemy_skill_triggers!$A:$A),MATCH(J$1,enemy_skill_triggers!$1:$1,0)-MATCH($F$1,enemy_skill_triggers!$1:$1,0)+1),MATCH(J$1,enemy_skill_triggers!$1:$1,0)-MATCH($F$1,enemy_skill_triggers!$1:$1,0)+1,FALSE)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4" s="48" t="str">
        <f ca="1">VLOOKUP($F94,OFFSET(enemy_skill_triggers!$A$1,0,0,COUNTA(enemy_skill_triggers!$A:$A),MATCH(K$1,enemy_skill_triggers!$1:$1,0)-MATCH($F$1,enemy_skill_triggers!$1:$1,0)+1),MATCH(K$1,enemy_skill_triggers!$1:$1,0)-MATCH($F$1,enemy_skill_triggers!$1:$1,0)+1,FALSE)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4" s="48">
        <f ca="1">VLOOKUP($F94,OFFSET(enemy_skill_triggers!$A$1,0,0,COUNTA(enemy_skill_triggers!$A:$A),MATCH(L$1,enemy_skill_triggers!$1:$1,0)-MATCH($F$1,enemy_skill_triggers!$1:$1,0)+1),MATCH(L$1,enemy_skill_triggers!$1:$1,0)-MATCH($F$1,enemy_skill_triggers!$1:$1,0)+1,FALSE)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94" s="48" t="str">
        <f ca="1">VLOOKUP($F94,OFFSET(enemy_skill_triggers!$A$1,0,0,COUNTA(enemy_skill_triggers!$A:$A),MATCH(M$1,enemy_skill_triggers!$1:$1,0)-MATCH($F$1,enemy_skill_triggers!$1:$1,0)+1),MATCH(M$1,enemy_skill_triggers!$1:$1,0)-MATCH($F$1,enemy_skill_triggers!$1:$1,0)+1,FALSE)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4" s="48" t="str">
        <f ca="1">VLOOKUP($F94,OFFSET(enemy_skill_triggers!$A$1,0,0,COUNTA(enemy_skill_triggers!$A:$A),MATCH(N$1,enemy_skill_triggers!$1:$1,0)-MATCH($F$1,enemy_skill_triggers!$1:$1,0)+1),MATCH(N$1,enemy_skill_triggers!$1:$1,0)-MATCH($F$1,enemy_skill_triggers!$1:$1,0)+1,FALSE)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94" s="48">
        <f ca="1">VLOOKUP($F94,OFFSET(enemy_skill_triggers!$A$1,0,0,COUNTA(enemy_skill_triggers!$A:$A),MATCH(O$1,enemy_skill_triggers!$1:$1,0)-MATCH($F$1,enemy_skill_triggers!$1:$1,0)+1),MATCH(O$1,enemy_skill_triggers!$1:$1,0)-MATCH($F$1,enemy_skill_triggers!$1:$1,0)+1,FALSE)</f>
        <v>33</v>
      </c>
      <c r="P94" s="47"/>
      <c r="Q94" s="47"/>
      <c r="R94" s="47"/>
    </row>
    <row r="95" spans="1:18" ht="21" customHeight="1" x14ac:dyDescent="0.15">
      <c r="A95" s="39" t="str">
        <f t="shared" si="11"/>
        <v>47016200_47016205</v>
      </c>
      <c r="B95" s="141">
        <v>47016200</v>
      </c>
      <c r="C95" s="174">
        <v>47016205</v>
      </c>
      <c r="D95" s="46" t="str">
        <f ca="1">VLOOKUP($C95,OFFSET(enemy_skills!$A$1,0,0,COUNTA(enemy_skills!$A:$A),MATCH(D$1,enemy_skills!$1:$1,0)-MATCH("enemy_skill_id",enemy_skills!$1:$1,0)+1),MATCH(D$1,enemy_skills!$1:$1,0)-MATCH("enemy_skill_id",enemy_skills!$1:$1,0)+1,FALSE)</f>
        <v>お前にこれが壊せるか…！</v>
      </c>
      <c r="E95" s="46" t="str">
        <f ca="1">VLOOKUP($C95,OFFSET(enemy_skills!$A$1,0,0,COUNTA(enemy_skills!$A:$A),MATCH(E$1,enemy_skills!$1:$1,0)-MATCH("enemy_skill_id",enemy_skills!$1:$1,0)+1),MATCH(E$1,enemy_skills!$1:$1,0)-MATCH("enemy_skill_id",enemy_skills!$1:$1,0)+1,FALSE)</f>
        <v>赤パネルプロテクト(最大3個)+単体攻撃</v>
      </c>
      <c r="F95" s="47">
        <v>47016118</v>
      </c>
      <c r="G95" s="48">
        <f ca="1">VLOOKUP($F95,OFFSET(enemy_skill_triggers!$A$1,0,0,COUNTA(enemy_skill_triggers!$A:$A),MATCH(G$1,enemy_skill_triggers!$1:$1,0)-MATCH($F$1,enemy_skill_triggers!$1:$1,0)+1),MATCH(G$1,enemy_skill_triggers!$1:$1,0)-MATCH($F$1,enemy_skill_triggers!$1:$1,0)+1,FALSE)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5" s="48">
        <f ca="1">VLOOKUP($F95,OFFSET(enemy_skill_triggers!$A$1,0,0,COUNTA(enemy_skill_triggers!$A:$A),MATCH(H$1,enemy_skill_triggers!$1:$1,0)-MATCH($F$1,enemy_skill_triggers!$1:$1,0)+1),MATCH(H$1,enemy_skill_triggers!$1:$1,0)-MATCH($F$1,enemy_skill_triggers!$1:$1,0)+1,FALSE)</f>
        <v>110</v>
      </c>
      <c r="I95" s="48">
        <f ca="1">VLOOKUP($F95,OFFSET(enemy_skill_triggers!$A$1,0,0,COUNTA(enemy_skill_triggers!$A:$A),MATCH(I$1,enemy_skill_triggers!$1:$1,0)-MATCH($F$1,enemy_skill_triggers!$1:$1,0)+1),MATCH(I$1,enemy_skill_triggers!$1:$1,0)-MATCH($F$1,enemy_skill_triggers!$1:$1,0)+1,FALSE)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95" s="48" t="str">
        <f ca="1">VLOOKUP($F95,OFFSET(enemy_skill_triggers!$A$1,0,0,COUNTA(enemy_skill_triggers!$A:$A),MATCH(J$1,enemy_skill_triggers!$1:$1,0)-MATCH($F$1,enemy_skill_triggers!$1:$1,0)+1),MATCH(J$1,enemy_skill_triggers!$1:$1,0)-MATCH($F$1,enemy_skill_triggers!$1:$1,0)+1,FALSE)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5" s="48" t="str">
        <f ca="1">VLOOKUP($F95,OFFSET(enemy_skill_triggers!$A$1,0,0,COUNTA(enemy_skill_triggers!$A:$A),MATCH(K$1,enemy_skill_triggers!$1:$1,0)-MATCH($F$1,enemy_skill_triggers!$1:$1,0)+1),MATCH(K$1,enemy_skill_triggers!$1:$1,0)-MATCH($F$1,enemy_skill_triggers!$1:$1,0)+1,FALSE)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5" s="48" t="str">
        <f ca="1">VLOOKUP($F95,OFFSET(enemy_skill_triggers!$A$1,0,0,COUNTA(enemy_skill_triggers!$A:$A),MATCH(L$1,enemy_skill_triggers!$1:$1,0)-MATCH($F$1,enemy_skill_triggers!$1:$1,0)+1),MATCH(L$1,enemy_skill_triggers!$1:$1,0)-MATCH($F$1,enemy_skill_triggers!$1:$1,0)+1,FALSE)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95" s="48" t="str">
        <f ca="1">VLOOKUP($F95,OFFSET(enemy_skill_triggers!$A$1,0,0,COUNTA(enemy_skill_triggers!$A:$A),MATCH(M$1,enemy_skill_triggers!$1:$1,0)-MATCH($F$1,enemy_skill_triggers!$1:$1,0)+1),MATCH(M$1,enemy_skill_triggers!$1:$1,0)-MATCH($F$1,enemy_skill_triggers!$1:$1,0)+1,FALSE)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5" s="48" t="str">
        <f ca="1">VLOOKUP($F95,OFFSET(enemy_skill_triggers!$A$1,0,0,COUNTA(enemy_skill_triggers!$A:$A),MATCH(N$1,enemy_skill_triggers!$1:$1,0)-MATCH($F$1,enemy_skill_triggers!$1:$1,0)+1),MATCH(N$1,enemy_skill_triggers!$1:$1,0)-MATCH($F$1,enemy_skill_triggers!$1:$1,0)+1,FALSE)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95" s="48">
        <f ca="1">VLOOKUP($F95,OFFSET(enemy_skill_triggers!$A$1,0,0,COUNTA(enemy_skill_triggers!$A:$A),MATCH(O$1,enemy_skill_triggers!$1:$1,0)-MATCH($F$1,enemy_skill_triggers!$1:$1,0)+1),MATCH(O$1,enemy_skill_triggers!$1:$1,0)-MATCH($F$1,enemy_skill_triggers!$1:$1,0)+1,FALSE)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95" s="47"/>
      <c r="Q95" s="47"/>
      <c r="R95" s="47"/>
    </row>
    <row r="96" spans="1:18" ht="21" customHeight="1" x14ac:dyDescent="0.15">
      <c r="A96" s="39" t="str">
        <f t="shared" si="11"/>
        <v>47016200_47016206</v>
      </c>
      <c r="B96" s="141">
        <v>47016200</v>
      </c>
      <c r="C96" s="174">
        <v>47016206</v>
      </c>
      <c r="D96" s="46" t="str">
        <f ca="1">VLOOKUP($C96,OFFSET(enemy_skills!$A$1,0,0,COUNTA(enemy_skills!$A:$A),MATCH(D$1,enemy_skills!$1:$1,0)-MATCH("enemy_skill_id",enemy_skills!$1:$1,0)+1),MATCH(D$1,enemy_skills!$1:$1,0)-MATCH("enemy_skill_id",enemy_skills!$1:$1,0)+1,FALSE)</f>
        <v>さぁ、熱くなってきたな…</v>
      </c>
      <c r="E96" s="46" t="str">
        <f ca="1">VLOOKUP($C96,OFFSET(enemy_skills!$A$1,0,0,COUNTA(enemy_skills!$A:$A),MATCH(E$1,enemy_skills!$1:$1,0)-MATCH("enemy_skill_id",enemy_skills!$1:$1,0)+1),MATCH(E$1,enemy_skills!$1:$1,0)-MATCH("enemy_skill_id",enemy_skills!$1:$1,0)+1,FALSE)</f>
        <v>属性パネルを赤パネルに5個変換+_x000D_単体攻撃+1ターン行動頻度UP</v>
      </c>
      <c r="F96" s="47">
        <v>47016119</v>
      </c>
      <c r="G96" s="48">
        <f ca="1">VLOOKUP($F96,OFFSET(enemy_skill_triggers!$A$1,0,0,COUNTA(enemy_skill_triggers!$A:$A),MATCH(G$1,enemy_skill_triggers!$1:$1,0)-MATCH($F$1,enemy_skill_triggers!$1:$1,0)+1),MATCH(G$1,enemy_skill_triggers!$1:$1,0)-MATCH($F$1,enemy_skill_triggers!$1:$1,0)+1,FALSE)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6" s="48">
        <f ca="1">VLOOKUP($F96,OFFSET(enemy_skill_triggers!$A$1,0,0,COUNTA(enemy_skill_triggers!$A:$A),MATCH(H$1,enemy_skill_triggers!$1:$1,0)-MATCH($F$1,enemy_skill_triggers!$1:$1,0)+1),MATCH(H$1,enemy_skill_triggers!$1:$1,0)-MATCH($F$1,enemy_skill_triggers!$1:$1,0)+1,FALSE)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96" s="48">
        <f ca="1">VLOOKUP($F96,OFFSET(enemy_skill_triggers!$A$1,0,0,COUNTA(enemy_skill_triggers!$A:$A),MATCH(I$1,enemy_skill_triggers!$1:$1,0)-MATCH($F$1,enemy_skill_triggers!$1:$1,0)+1),MATCH(I$1,enemy_skill_triggers!$1:$1,0)-MATCH($F$1,enemy_skill_triggers!$1:$1,0)+1,FALSE)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6" s="48" t="str">
        <f ca="1">VLOOKUP($F96,OFFSET(enemy_skill_triggers!$A$1,0,0,COUNTA(enemy_skill_triggers!$A:$A),MATCH(J$1,enemy_skill_triggers!$1:$1,0)-MATCH($F$1,enemy_skill_triggers!$1:$1,0)+1),MATCH(J$1,enemy_skill_triggers!$1:$1,0)-MATCH($F$1,enemy_skill_triggers!$1:$1,0)+1,FALSE)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6" s="48" t="str">
        <f ca="1">VLOOKUP($F96,OFFSET(enemy_skill_triggers!$A$1,0,0,COUNTA(enemy_skill_triggers!$A:$A),MATCH(K$1,enemy_skill_triggers!$1:$1,0)-MATCH($F$1,enemy_skill_triggers!$1:$1,0)+1),MATCH(K$1,enemy_skill_triggers!$1:$1,0)-MATCH($F$1,enemy_skill_triggers!$1:$1,0)+1,FALSE)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6" s="48" t="str">
        <f ca="1">VLOOKUP($F96,OFFSET(enemy_skill_triggers!$A$1,0,0,COUNTA(enemy_skill_triggers!$A:$A),MATCH(L$1,enemy_skill_triggers!$1:$1,0)-MATCH($F$1,enemy_skill_triggers!$1:$1,0)+1),MATCH(L$1,enemy_skill_triggers!$1:$1,0)-MATCH($F$1,enemy_skill_triggers!$1:$1,0)+1,FALSE)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96" s="48" t="str">
        <f ca="1">VLOOKUP($F96,OFFSET(enemy_skill_triggers!$A$1,0,0,COUNTA(enemy_skill_triggers!$A:$A),MATCH(M$1,enemy_skill_triggers!$1:$1,0)-MATCH($F$1,enemy_skill_triggers!$1:$1,0)+1),MATCH(M$1,enemy_skill_triggers!$1:$1,0)-MATCH($F$1,enemy_skill_triggers!$1:$1,0)+1,FALSE)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6" s="48" t="str">
        <f ca="1">VLOOKUP($F96,OFFSET(enemy_skill_triggers!$A$1,0,0,COUNTA(enemy_skill_triggers!$A:$A),MATCH(N$1,enemy_skill_triggers!$1:$1,0)-MATCH($F$1,enemy_skill_triggers!$1:$1,0)+1),MATCH(N$1,enemy_skill_triggers!$1:$1,0)-MATCH($F$1,enemy_skill_triggers!$1:$1,0)+1,FALSE)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96" s="48">
        <f ca="1">VLOOKUP($F96,OFFSET(enemy_skill_triggers!$A$1,0,0,COUNTA(enemy_skill_triggers!$A:$A),MATCH(O$1,enemy_skill_triggers!$1:$1,0)-MATCH($F$1,enemy_skill_triggers!$1:$1,0)+1),MATCH(O$1,enemy_skill_triggers!$1:$1,0)-MATCH($F$1,enemy_skill_triggers!$1:$1,0)+1,FALSE)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6" s="47"/>
      <c r="Q96" s="47"/>
      <c r="R96" s="47"/>
    </row>
    <row r="97" spans="1:18" ht="21" customHeight="1" x14ac:dyDescent="0.15">
      <c r="A97" s="39" t="str">
        <f t="shared" si="11"/>
        <v>47016200_47016207</v>
      </c>
      <c r="B97" s="141">
        <v>47016200</v>
      </c>
      <c r="C97" s="174">
        <v>47016207</v>
      </c>
      <c r="D97" s="46" t="str">
        <f ca="1">VLOOKUP($C97,OFFSET(enemy_skills!$A$1,0,0,COUNTA(enemy_skills!$A:$A),MATCH(D$1,enemy_skills!$1:$1,0)-MATCH("enemy_skill_id",enemy_skills!$1:$1,0)+1),MATCH(D$1,enemy_skills!$1:$1,0)-MATCH("enemy_skill_id",enemy_skills!$1:$1,0)+1,FALSE)</f>
        <v>邪魔しないでくれよ…！</v>
      </c>
      <c r="E97" s="46" t="str">
        <f ca="1">VLOOKUP($C97,OFFSET(enemy_skills!$A$1,0,0,COUNTA(enemy_skills!$A:$A),MATCH(E$1,enemy_skills!$1:$1,0)-MATCH("enemy_skill_id",enemy_skills!$1:$1,0)+1),MATCH(E$1,enemy_skills!$1:$1,0)-MATCH("enemy_skill_id",enemy_skills!$1:$1,0)+1,FALSE)</f>
        <v>2ターン全ユニットの攻撃力50%DOWN+単体攻撃</v>
      </c>
      <c r="F97" s="47">
        <v>47016120</v>
      </c>
      <c r="G97" s="48">
        <f ca="1">VLOOKUP($F97,OFFSET(enemy_skill_triggers!$A$1,0,0,COUNTA(enemy_skill_triggers!$A:$A),MATCH(G$1,enemy_skill_triggers!$1:$1,0)-MATCH($F$1,enemy_skill_triggers!$1:$1,0)+1),MATCH(G$1,enemy_skill_triggers!$1:$1,0)-MATCH($F$1,enemy_skill_triggers!$1:$1,0)+1,FALSE)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7" s="48">
        <f ca="1">VLOOKUP($F97,OFFSET(enemy_skill_triggers!$A$1,0,0,COUNTA(enemy_skill_triggers!$A:$A),MATCH(H$1,enemy_skill_triggers!$1:$1,0)-MATCH($F$1,enemy_skill_triggers!$1:$1,0)+1),MATCH(H$1,enemy_skill_triggers!$1:$1,0)-MATCH($F$1,enemy_skill_triggers!$1:$1,0)+1,FALSE)</f>
        <v>340</v>
      </c>
      <c r="I97" s="48">
        <f ca="1">VLOOKUP($F97,OFFSET(enemy_skill_triggers!$A$1,0,0,COUNTA(enemy_skill_triggers!$A:$A),MATCH(I$1,enemy_skill_triggers!$1:$1,0)-MATCH($F$1,enemy_skill_triggers!$1:$1,0)+1),MATCH(I$1,enemy_skill_triggers!$1:$1,0)-MATCH($F$1,enemy_skill_triggers!$1:$1,0)+1,FALSE)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7" s="48">
        <f ca="1">VLOOKUP($F97,OFFSET(enemy_skill_triggers!$A$1,0,0,COUNTA(enemy_skill_triggers!$A:$A),MATCH(J$1,enemy_skill_triggers!$1:$1,0)-MATCH($F$1,enemy_skill_triggers!$1:$1,0)+1),MATCH(J$1,enemy_skill_triggers!$1:$1,0)-MATCH($F$1,enemy_skill_triggers!$1:$1,0)+1,FALSE)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97" s="48" t="str">
        <f ca="1">VLOOKUP($F97,OFFSET(enemy_skill_triggers!$A$1,0,0,COUNTA(enemy_skill_triggers!$A:$A),MATCH(K$1,enemy_skill_triggers!$1:$1,0)-MATCH($F$1,enemy_skill_triggers!$1:$1,0)+1),MATCH(K$1,enemy_skill_triggers!$1:$1,0)-MATCH($F$1,enemy_skill_triggers!$1:$1,0)+1,FALSE)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7" s="48">
        <f ca="1">VLOOKUP($F97,OFFSET(enemy_skill_triggers!$A$1,0,0,COUNTA(enemy_skill_triggers!$A:$A),MATCH(L$1,enemy_skill_triggers!$1:$1,0)-MATCH($F$1,enemy_skill_triggers!$1:$1,0)+1),MATCH(L$1,enemy_skill_triggers!$1:$1,0)-MATCH($F$1,enemy_skill_triggers!$1:$1,0)+1,FALSE)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97" s="48" t="str">
        <f ca="1">VLOOKUP($F97,OFFSET(enemy_skill_triggers!$A$1,0,0,COUNTA(enemy_skill_triggers!$A:$A),MATCH(M$1,enemy_skill_triggers!$1:$1,0)-MATCH($F$1,enemy_skill_triggers!$1:$1,0)+1),MATCH(M$1,enemy_skill_triggers!$1:$1,0)-MATCH($F$1,enemy_skill_triggers!$1:$1,0)+1,FALSE)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7" s="48" t="str">
        <f ca="1">VLOOKUP($F97,OFFSET(enemy_skill_triggers!$A$1,0,0,COUNTA(enemy_skill_triggers!$A:$A),MATCH(N$1,enemy_skill_triggers!$1:$1,0)-MATCH($F$1,enemy_skill_triggers!$1:$1,0)+1),MATCH(N$1,enemy_skill_triggers!$1:$1,0)-MATCH($F$1,enemy_skill_triggers!$1:$1,0)+1,FALSE)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97" s="48">
        <f ca="1">VLOOKUP($F97,OFFSET(enemy_skill_triggers!$A$1,0,0,COUNTA(enemy_skill_triggers!$A:$A),MATCH(O$1,enemy_skill_triggers!$1:$1,0)-MATCH($F$1,enemy_skill_triggers!$1:$1,0)+1),MATCH(O$1,enemy_skill_triggers!$1:$1,0)-MATCH($F$1,enemy_skill_triggers!$1:$1,0)+1,FALSE)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7" s="47"/>
      <c r="Q97" s="47"/>
      <c r="R97" s="47"/>
    </row>
    <row r="98" spans="1:18" ht="21" customHeight="1" x14ac:dyDescent="0.15">
      <c r="A98" s="39" t="str">
        <f t="shared" si="11"/>
        <v>47016201_47016209</v>
      </c>
      <c r="B98" s="110">
        <v>47016201</v>
      </c>
      <c r="C98" s="174">
        <v>47016209</v>
      </c>
      <c r="D98" s="46" t="str">
        <f ca="1">VLOOKUP($C98,OFFSET(enemy_skills!$A$1,0,0,COUNTA(enemy_skills!$A:$A),MATCH(D$1,enemy_skills!$1:$1,0)-MATCH("enemy_skill_id",enemy_skills!$1:$1,0)+1),MATCH(D$1,enemy_skills!$1:$1,0)-MATCH("enemy_skill_id",enemy_skills!$1:$1,0)+1,FALSE)</f>
        <v>お、音につられて来ちゃいました…</v>
      </c>
      <c r="E98" s="46" t="str">
        <f ca="1">VLOOKUP($C98,OFFSET(enemy_skills!$A$1,0,0,COUNTA(enemy_skills!$A:$A),MATCH(E$1,enemy_skills!$1:$1,0)-MATCH("enemy_skill_id",enemy_skills!$1:$1,0)+1),MATCH(E$1,enemy_skills!$1:$1,0)-MATCH("enemy_skill_id",enemy_skills!$1:$1,0)+1,FALSE)</f>
        <v>あ…アサガオのブーケ、どうぞ！_x000D_【特定エリアを青・ハートパネルに変換】</v>
      </c>
      <c r="F98" s="47">
        <v>47016122</v>
      </c>
      <c r="G98" s="48">
        <f ca="1">VLOOKUP($F98,OFFSET(enemy_skill_triggers!$A$1,0,0,COUNTA(enemy_skill_triggers!$A:$A),MATCH(G$1,enemy_skill_triggers!$1:$1,0)-MATCH($F$1,enemy_skill_triggers!$1:$1,0)+1),MATCH(G$1,enemy_skill_triggers!$1:$1,0)-MATCH($F$1,enemy_skill_triggers!$1:$1,0)+1,FALSE)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98" s="48">
        <f ca="1">VLOOKUP($F98,OFFSET(enemy_skill_triggers!$A$1,0,0,COUNTA(enemy_skill_triggers!$A:$A),MATCH(H$1,enemy_skill_triggers!$1:$1,0)-MATCH($F$1,enemy_skill_triggers!$1:$1,0)+1),MATCH(H$1,enemy_skill_triggers!$1:$1,0)-MATCH($F$1,enemy_skill_triggers!$1:$1,0)+1,FALSE)</f>
        <v>350</v>
      </c>
      <c r="I98" s="48">
        <f ca="1">VLOOKUP($F98,OFFSET(enemy_skill_triggers!$A$1,0,0,COUNTA(enemy_skill_triggers!$A:$A),MATCH(I$1,enemy_skill_triggers!$1:$1,0)-MATCH($F$1,enemy_skill_triggers!$1:$1,0)+1),MATCH(I$1,enemy_skill_triggers!$1:$1,0)-MATCH($F$1,enemy_skill_triggers!$1:$1,0)+1,FALSE)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8" s="48" t="str">
        <f ca="1">VLOOKUP($F98,OFFSET(enemy_skill_triggers!$A$1,0,0,COUNTA(enemy_skill_triggers!$A:$A),MATCH(J$1,enemy_skill_triggers!$1:$1,0)-MATCH($F$1,enemy_skill_triggers!$1:$1,0)+1),MATCH(J$1,enemy_skill_triggers!$1:$1,0)-MATCH($F$1,enemy_skill_triggers!$1:$1,0)+1,FALSE)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8" s="48" t="str">
        <f ca="1">VLOOKUP($F98,OFFSET(enemy_skill_triggers!$A$1,0,0,COUNTA(enemy_skill_triggers!$A:$A),MATCH(K$1,enemy_skill_triggers!$1:$1,0)-MATCH($F$1,enemy_skill_triggers!$1:$1,0)+1),MATCH(K$1,enemy_skill_triggers!$1:$1,0)-MATCH($F$1,enemy_skill_triggers!$1:$1,0)+1,FALSE)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8" s="48">
        <f ca="1">VLOOKUP($F98,OFFSET(enemy_skill_triggers!$A$1,0,0,COUNTA(enemy_skill_triggers!$A:$A),MATCH(L$1,enemy_skill_triggers!$1:$1,0)-MATCH($F$1,enemy_skill_triggers!$1:$1,0)+1),MATCH(L$1,enemy_skill_triggers!$1:$1,0)-MATCH($F$1,enemy_skill_triggers!$1:$1,0)+1,FALSE)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98" s="48" t="str">
        <f ca="1">VLOOKUP($F98,OFFSET(enemy_skill_triggers!$A$1,0,0,COUNTA(enemy_skill_triggers!$A:$A),MATCH(M$1,enemy_skill_triggers!$1:$1,0)-MATCH($F$1,enemy_skill_triggers!$1:$1,0)+1),MATCH(M$1,enemy_skill_triggers!$1:$1,0)-MATCH($F$1,enemy_skill_triggers!$1:$1,0)+1,FALSE)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8" s="48" t="str">
        <f ca="1">VLOOKUP($F98,OFFSET(enemy_skill_triggers!$A$1,0,0,COUNTA(enemy_skill_triggers!$A:$A),MATCH(N$1,enemy_skill_triggers!$1:$1,0)-MATCH($F$1,enemy_skill_triggers!$1:$1,0)+1),MATCH(N$1,enemy_skill_triggers!$1:$1,0)-MATCH($F$1,enemy_skill_triggers!$1:$1,0)+1,FALSE)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98" s="48">
        <f ca="1">VLOOKUP($F98,OFFSET(enemy_skill_triggers!$A$1,0,0,COUNTA(enemy_skill_triggers!$A:$A),MATCH(O$1,enemy_skill_triggers!$1:$1,0)-MATCH($F$1,enemy_skill_triggers!$1:$1,0)+1),MATCH(O$1,enemy_skill_triggers!$1:$1,0)-MATCH($F$1,enemy_skill_triggers!$1:$1,0)+1,FALSE)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8" s="47"/>
      <c r="Q98" s="47"/>
      <c r="R98" s="47"/>
    </row>
    <row r="99" spans="1:18" ht="21" customHeight="1" x14ac:dyDescent="0.15">
      <c r="A99" s="39" t="str">
        <f t="shared" si="11"/>
        <v>47016201_47016210</v>
      </c>
      <c r="B99" s="110">
        <v>47016201</v>
      </c>
      <c r="C99" s="174">
        <v>47016210</v>
      </c>
      <c r="D99" s="46" t="str">
        <f ca="1">VLOOKUP($C99,OFFSET(enemy_skills!$A$1,0,0,COUNTA(enemy_skills!$A:$A),MATCH(D$1,enemy_skills!$1:$1,0)-MATCH("enemy_skill_id",enemy_skills!$1:$1,0)+1),MATCH(D$1,enemy_skills!$1:$1,0)-MATCH("enemy_skill_id",enemy_skills!$1:$1,0)+1,FALSE)</f>
        <v>ひゃあっ！こ、怖いです〜！</v>
      </c>
      <c r="E99" s="46" t="str">
        <f ca="1">VLOOKUP($C99,OFFSET(enemy_skills!$A$1,0,0,COUNTA(enemy_skills!$A:$A),MATCH(E$1,enemy_skills!$1:$1,0)-MATCH("enemy_skill_id",enemy_skills!$1:$1,0)+1),MATCH(E$1,enemy_skills!$1:$1,0)-MATCH("enemy_skill_id",enemy_skills!$1:$1,0)+1,FALSE)</f>
        <v>赤・黄パネルプロテクト(最大3個ずつ)+_x000D_残りHPの30%ダメージ！</v>
      </c>
      <c r="F99" s="47">
        <v>47016123</v>
      </c>
      <c r="G99" s="48">
        <f ca="1">VLOOKUP($F99,OFFSET(enemy_skill_triggers!$A$1,0,0,COUNTA(enemy_skill_triggers!$A:$A),MATCH(G$1,enemy_skill_triggers!$1:$1,0)-MATCH($F$1,enemy_skill_triggers!$1:$1,0)+1),MATCH(G$1,enemy_skill_triggers!$1:$1,0)-MATCH($F$1,enemy_skill_triggers!$1:$1,0)+1,FALSE)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9" s="48">
        <f ca="1">VLOOKUP($F99,OFFSET(enemy_skill_triggers!$A$1,0,0,COUNTA(enemy_skill_triggers!$A:$A),MATCH(H$1,enemy_skill_triggers!$1:$1,0)-MATCH($F$1,enemy_skill_triggers!$1:$1,0)+1),MATCH(H$1,enemy_skill_triggers!$1:$1,0)-MATCH($F$1,enemy_skill_triggers!$1:$1,0)+1,FALSE)</f>
        <v>300</v>
      </c>
      <c r="I99" s="48">
        <f ca="1">VLOOKUP($F99,OFFSET(enemy_skill_triggers!$A$1,0,0,COUNTA(enemy_skill_triggers!$A:$A),MATCH(I$1,enemy_skill_triggers!$1:$1,0)-MATCH($F$1,enemy_skill_triggers!$1:$1,0)+1),MATCH(I$1,enemy_skill_triggers!$1:$1,0)-MATCH($F$1,enemy_skill_triggers!$1:$1,0)+1,FALSE)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9" s="48" t="str">
        <f ca="1">VLOOKUP($F99,OFFSET(enemy_skill_triggers!$A$1,0,0,COUNTA(enemy_skill_triggers!$A:$A),MATCH(J$1,enemy_skill_triggers!$1:$1,0)-MATCH($F$1,enemy_skill_triggers!$1:$1,0)+1),MATCH(J$1,enemy_skill_triggers!$1:$1,0)-MATCH($F$1,enemy_skill_triggers!$1:$1,0)+1,FALSE)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9" s="48" t="str">
        <f ca="1">VLOOKUP($F99,OFFSET(enemy_skill_triggers!$A$1,0,0,COUNTA(enemy_skill_triggers!$A:$A),MATCH(K$1,enemy_skill_triggers!$1:$1,0)-MATCH($F$1,enemy_skill_triggers!$1:$1,0)+1),MATCH(K$1,enemy_skill_triggers!$1:$1,0)-MATCH($F$1,enemy_skill_triggers!$1:$1,0)+1,FALSE)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9" s="48">
        <f ca="1">VLOOKUP($F99,OFFSET(enemy_skill_triggers!$A$1,0,0,COUNTA(enemy_skill_triggers!$A:$A),MATCH(L$1,enemy_skill_triggers!$1:$1,0)-MATCH($F$1,enemy_skill_triggers!$1:$1,0)+1),MATCH(L$1,enemy_skill_triggers!$1:$1,0)-MATCH($F$1,enemy_skill_triggers!$1:$1,0)+1,FALSE)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99" s="48">
        <f ca="1">VLOOKUP($F99,OFFSET(enemy_skill_triggers!$A$1,0,0,COUNTA(enemy_skill_triggers!$A:$A),MATCH(M$1,enemy_skill_triggers!$1:$1,0)-MATCH($F$1,enemy_skill_triggers!$1:$1,0)+1),MATCH(M$1,enemy_skill_triggers!$1:$1,0)-MATCH($F$1,enemy_skill_triggers!$1:$1,0)+1,FALSE)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99" s="48" t="str">
        <f ca="1">VLOOKUP($F99,OFFSET(enemy_skill_triggers!$A$1,0,0,COUNTA(enemy_skill_triggers!$A:$A),MATCH(N$1,enemy_skill_triggers!$1:$1,0)-MATCH($F$1,enemy_skill_triggers!$1:$1,0)+1),MATCH(N$1,enemy_skill_triggers!$1:$1,0)-MATCH($F$1,enemy_skill_triggers!$1:$1,0)+1,FALSE)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99" s="48">
        <f ca="1">VLOOKUP($F99,OFFSET(enemy_skill_triggers!$A$1,0,0,COUNTA(enemy_skill_triggers!$A:$A),MATCH(O$1,enemy_skill_triggers!$1:$1,0)-MATCH($F$1,enemy_skill_triggers!$1:$1,0)+1),MATCH(O$1,enemy_skill_triggers!$1:$1,0)-MATCH($F$1,enemy_skill_triggers!$1:$1,0)+1,FALSE)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9" s="47"/>
      <c r="Q99" s="47"/>
      <c r="R99" s="47"/>
    </row>
    <row r="100" spans="1:18" ht="21" customHeight="1" x14ac:dyDescent="0.15">
      <c r="A100" s="39" t="str">
        <f t="shared" si="11"/>
        <v>47016201_47016111</v>
      </c>
      <c r="B100" s="110">
        <v>47016201</v>
      </c>
      <c r="C100" s="114">
        <v>47016111</v>
      </c>
      <c r="D100" s="46" t="str">
        <f ca="1">VLOOKUP($C100,OFFSET(enemy_skills!$A$1,0,0,COUNTA(enemy_skills!$A:$A),MATCH(D$1,enemy_skills!$1:$1,0)-MATCH("enemy_skill_id",enemy_skills!$1:$1,0)+1),MATCH(D$1,enemy_skills!$1:$1,0)-MATCH("enemy_skill_id",enemy_skills!$1:$1,0)+1,FALSE)</f>
        <v>この音なんなんですか〜！</v>
      </c>
      <c r="E100" s="46" t="str">
        <f ca="1">VLOOKUP($C100,OFFSET(enemy_skills!$A$1,0,0,COUNTA(enemy_skills!$A:$A),MATCH(E$1,enemy_skills!$1:$1,0)-MATCH("enemy_skill_id",enemy_skills!$1:$1,0)+1),MATCH(E$1,enemy_skills!$1:$1,0)-MATCH("enemy_skill_id",enemy_skills!$1:$1,0)+1,FALSE)</f>
        <v>属性パネルを青パネルに5個変換+_x000D_2回連続攻撃</v>
      </c>
      <c r="F100" s="47">
        <v>47016124</v>
      </c>
      <c r="G100" s="48">
        <f ca="1">VLOOKUP($F100,OFFSET(enemy_skill_triggers!$A$1,0,0,COUNTA(enemy_skill_triggers!$A:$A),MATCH(G$1,enemy_skill_triggers!$1:$1,0)-MATCH($F$1,enemy_skill_triggers!$1:$1,0)+1),MATCH(G$1,enemy_skill_triggers!$1:$1,0)-MATCH($F$1,enemy_skill_triggers!$1:$1,0)+1,FALSE)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00" s="48">
        <f ca="1">VLOOKUP($F100,OFFSET(enemy_skill_triggers!$A$1,0,0,COUNTA(enemy_skill_triggers!$A:$A),MATCH(H$1,enemy_skill_triggers!$1:$1,0)-MATCH($F$1,enemy_skill_triggers!$1:$1,0)+1),MATCH(H$1,enemy_skill_triggers!$1:$1,0)-MATCH($F$1,enemy_skill_triggers!$1:$1,0)+1,FALSE)</f>
        <v>120</v>
      </c>
      <c r="I100" s="48">
        <f ca="1">VLOOKUP($F100,OFFSET(enemy_skill_triggers!$A$1,0,0,COUNTA(enemy_skill_triggers!$A:$A),MATCH(I$1,enemy_skill_triggers!$1:$1,0)-MATCH($F$1,enemy_skill_triggers!$1:$1,0)+1),MATCH(I$1,enemy_skill_triggers!$1:$1,0)-MATCH($F$1,enemy_skill_triggers!$1:$1,0)+1,FALSE)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100" s="48" t="str">
        <f ca="1">VLOOKUP($F100,OFFSET(enemy_skill_triggers!$A$1,0,0,COUNTA(enemy_skill_triggers!$A:$A),MATCH(J$1,enemy_skill_triggers!$1:$1,0)-MATCH($F$1,enemy_skill_triggers!$1:$1,0)+1),MATCH(J$1,enemy_skill_triggers!$1:$1,0)-MATCH($F$1,enemy_skill_triggers!$1:$1,0)+1,FALSE)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0" s="48">
        <f ca="1">VLOOKUP($F100,OFFSET(enemy_skill_triggers!$A$1,0,0,COUNTA(enemy_skill_triggers!$A:$A),MATCH(K$1,enemy_skill_triggers!$1:$1,0)-MATCH($F$1,enemy_skill_triggers!$1:$1,0)+1),MATCH(K$1,enemy_skill_triggers!$1:$1,0)-MATCH($F$1,enemy_skill_triggers!$1:$1,0)+1,FALSE)</f>
        <v>50</v>
      </c>
      <c r="L100" s="48" t="str">
        <f ca="1">VLOOKUP($F100,OFFSET(enemy_skill_triggers!$A$1,0,0,COUNTA(enemy_skill_triggers!$A:$A),MATCH(L$1,enemy_skill_triggers!$1:$1,0)-MATCH($F$1,enemy_skill_triggers!$1:$1,0)+1),MATCH(L$1,enemy_skill_triggers!$1:$1,0)-MATCH($F$1,enemy_skill_triggers!$1:$1,0)+1,FALSE)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00" s="48" t="str">
        <f ca="1">VLOOKUP($F100,OFFSET(enemy_skill_triggers!$A$1,0,0,COUNTA(enemy_skill_triggers!$A:$A),MATCH(M$1,enemy_skill_triggers!$1:$1,0)-MATCH($F$1,enemy_skill_triggers!$1:$1,0)+1),MATCH(M$1,enemy_skill_triggers!$1:$1,0)-MATCH($F$1,enemy_skill_triggers!$1:$1,0)+1,FALSE)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00" s="48" t="str">
        <f ca="1">VLOOKUP($F100,OFFSET(enemy_skill_triggers!$A$1,0,0,COUNTA(enemy_skill_triggers!$A:$A),MATCH(N$1,enemy_skill_triggers!$1:$1,0)-MATCH($F$1,enemy_skill_triggers!$1:$1,0)+1),MATCH(N$1,enemy_skill_triggers!$1:$1,0)-MATCH($F$1,enemy_skill_triggers!$1:$1,0)+1,FALSE)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00" s="48">
        <f ca="1">VLOOKUP($F100,OFFSET(enemy_skill_triggers!$A$1,0,0,COUNTA(enemy_skill_triggers!$A:$A),MATCH(O$1,enemy_skill_triggers!$1:$1,0)-MATCH($F$1,enemy_skill_triggers!$1:$1,0)+1),MATCH(O$1,enemy_skill_triggers!$1:$1,0)-MATCH($F$1,enemy_skill_triggers!$1:$1,0)+1,FALSE)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100" s="47"/>
      <c r="Q100" s="47"/>
      <c r="R100" s="47"/>
    </row>
    <row r="101" spans="1:18" ht="21" customHeight="1" x14ac:dyDescent="0.15">
      <c r="A101" s="39" t="str">
        <f t="shared" si="11"/>
        <v>47016201_47016112</v>
      </c>
      <c r="B101" s="110">
        <v>47016201</v>
      </c>
      <c r="C101" s="114">
        <v>47016112</v>
      </c>
      <c r="D101" s="46" t="str">
        <f ca="1">VLOOKUP($C101,OFFSET(enemy_skills!$A$1,0,0,COUNTA(enemy_skills!$A:$A),MATCH(D$1,enemy_skills!$1:$1,0)-MATCH("enemy_skill_id",enemy_skills!$1:$1,0)+1),MATCH(D$1,enemy_skills!$1:$1,0)-MATCH("enemy_skill_id",enemy_skills!$1:$1,0)+1,FALSE)</f>
        <v>うう、耳ふさぎたいです〜…</v>
      </c>
      <c r="E101" s="46" t="str">
        <f ca="1">VLOOKUP($C101,OFFSET(enemy_skills!$A$1,0,0,COUNTA(enemy_skills!$A:$A),MATCH(E$1,enemy_skills!$1:$1,0)-MATCH("enemy_skill_id",enemy_skills!$1:$1,0)+1),MATCH(E$1,enemy_skills!$1:$1,0)-MATCH("enemy_skill_id",enemy_skills!$1:$1,0)+1,FALSE)</f>
        <v>花束で耳を塞いでいる_x000D_【特定エリアを青・黄パネルに変換+_x000D_　1ターンユニット1～2体にスキルバインド+_x000D_　2回連続攻撃】</v>
      </c>
      <c r="F101" s="47">
        <v>47016125</v>
      </c>
      <c r="G101" s="48">
        <f ca="1">VLOOKUP($F101,OFFSET(enemy_skill_triggers!$A$1,0,0,COUNTA(enemy_skill_triggers!$A:$A),MATCH(G$1,enemy_skill_triggers!$1:$1,0)-MATCH($F$1,enemy_skill_triggers!$1:$1,0)+1),MATCH(G$1,enemy_skill_triggers!$1:$1,0)-MATCH($F$1,enemy_skill_triggers!$1:$1,0)+1,FALSE)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01" s="48">
        <f ca="1">VLOOKUP($F101,OFFSET(enemy_skill_triggers!$A$1,0,0,COUNTA(enemy_skill_triggers!$A:$A),MATCH(H$1,enemy_skill_triggers!$1:$1,0)-MATCH($F$1,enemy_skill_triggers!$1:$1,0)+1),MATCH(H$1,enemy_skill_triggers!$1:$1,0)-MATCH($F$1,enemy_skill_triggers!$1:$1,0)+1,FALSE)</f>
        <v>110</v>
      </c>
      <c r="I101" s="48">
        <f ca="1">VLOOKUP($F101,OFFSET(enemy_skill_triggers!$A$1,0,0,COUNTA(enemy_skill_triggers!$A:$A),MATCH(I$1,enemy_skill_triggers!$1:$1,0)-MATCH($F$1,enemy_skill_triggers!$1:$1,0)+1),MATCH(I$1,enemy_skill_triggers!$1:$1,0)-MATCH($F$1,enemy_skill_triggers!$1:$1,0)+1,FALSE)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1" s="48" t="str">
        <f ca="1">VLOOKUP($F101,OFFSET(enemy_skill_triggers!$A$1,0,0,COUNTA(enemy_skill_triggers!$A:$A),MATCH(J$1,enemy_skill_triggers!$1:$1,0)-MATCH($F$1,enemy_skill_triggers!$1:$1,0)+1),MATCH(J$1,enemy_skill_triggers!$1:$1,0)-MATCH($F$1,enemy_skill_triggers!$1:$1,0)+1,FALSE)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1" s="48">
        <f ca="1">VLOOKUP($F101,OFFSET(enemy_skill_triggers!$A$1,0,0,COUNTA(enemy_skill_triggers!$A:$A),MATCH(K$1,enemy_skill_triggers!$1:$1,0)-MATCH($F$1,enemy_skill_triggers!$1:$1,0)+1),MATCH(K$1,enemy_skill_triggers!$1:$1,0)-MATCH($F$1,enemy_skill_triggers!$1:$1,0)+1,FALSE)</f>
        <v>50</v>
      </c>
      <c r="L101" s="48" t="str">
        <f ca="1">VLOOKUP($F101,OFFSET(enemy_skill_triggers!$A$1,0,0,COUNTA(enemy_skill_triggers!$A:$A),MATCH(L$1,enemy_skill_triggers!$1:$1,0)-MATCH($F$1,enemy_skill_triggers!$1:$1,0)+1),MATCH(L$1,enemy_skill_triggers!$1:$1,0)-MATCH($F$1,enemy_skill_triggers!$1:$1,0)+1,FALSE)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01" s="48" t="str">
        <f ca="1">VLOOKUP($F101,OFFSET(enemy_skill_triggers!$A$1,0,0,COUNTA(enemy_skill_triggers!$A:$A),MATCH(M$1,enemy_skill_triggers!$1:$1,0)-MATCH($F$1,enemy_skill_triggers!$1:$1,0)+1),MATCH(M$1,enemy_skill_triggers!$1:$1,0)-MATCH($F$1,enemy_skill_triggers!$1:$1,0)+1,FALSE)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01" s="48" t="str">
        <f ca="1">VLOOKUP($F101,OFFSET(enemy_skill_triggers!$A$1,0,0,COUNTA(enemy_skill_triggers!$A:$A),MATCH(N$1,enemy_skill_triggers!$1:$1,0)-MATCH($F$1,enemy_skill_triggers!$1:$1,0)+1),MATCH(N$1,enemy_skill_triggers!$1:$1,0)-MATCH($F$1,enemy_skill_triggers!$1:$1,0)+1,FALSE)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01" s="48">
        <f ca="1">VLOOKUP($F101,OFFSET(enemy_skill_triggers!$A$1,0,0,COUNTA(enemy_skill_triggers!$A:$A),MATCH(O$1,enemy_skill_triggers!$1:$1,0)-MATCH($F$1,enemy_skill_triggers!$1:$1,0)+1),MATCH(O$1,enemy_skill_triggers!$1:$1,0)-MATCH($F$1,enemy_skill_triggers!$1:$1,0)+1,FALSE)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1" s="47"/>
      <c r="Q101" s="47"/>
      <c r="R101" s="47"/>
    </row>
    <row r="102" spans="1:18" ht="21" customHeight="1" x14ac:dyDescent="0.15">
      <c r="A102" s="39" t="str">
        <f t="shared" si="11"/>
        <v>47016201_47016113</v>
      </c>
      <c r="B102" s="110">
        <v>47016201</v>
      </c>
      <c r="C102" s="114">
        <v>47016113</v>
      </c>
      <c r="D102" s="46" t="str">
        <f ca="1">VLOOKUP($C102,OFFSET(enemy_skills!$A$1,0,0,COUNTA(enemy_skills!$A:$A),MATCH(D$1,enemy_skills!$1:$1,0)-MATCH("enemy_skill_id",enemy_skills!$1:$1,0)+1),MATCH(D$1,enemy_skills!$1:$1,0)-MATCH("enemy_skill_id",enemy_skills!$1:$1,0)+1,FALSE)</f>
        <v>そういえばプレゼントですよ〜</v>
      </c>
      <c r="E102" s="46" t="str">
        <f ca="1">VLOOKUP($C102,OFFSET(enemy_skills!$A$1,0,0,COUNTA(enemy_skills!$A:$A),MATCH(E$1,enemy_skills!$1:$1,0)-MATCH("enemy_skill_id",enemy_skills!$1:$1,0)+1),MATCH(E$1,enemy_skills!$1:$1,0)-MATCH("enemy_skill_id",enemy_skills!$1:$1,0)+1,FALSE)</f>
        <v>スイレンのブーケもあるんです〜_x000D_【特定エリアをハートパネルに変換】</v>
      </c>
      <c r="F102" s="47">
        <v>47016126</v>
      </c>
      <c r="G102" s="48">
        <f ca="1">VLOOKUP($F102,OFFSET(enemy_skill_triggers!$A$1,0,0,COUNTA(enemy_skill_triggers!$A:$A),MATCH(G$1,enemy_skill_triggers!$1:$1,0)-MATCH($F$1,enemy_skill_triggers!$1:$1,0)+1),MATCH(G$1,enemy_skill_triggers!$1:$1,0)-MATCH($F$1,enemy_skill_triggers!$1:$1,0)+1,FALSE)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02" s="48">
        <f ca="1">VLOOKUP($F102,OFFSET(enemy_skill_triggers!$A$1,0,0,COUNTA(enemy_skill_triggers!$A:$A),MATCH(H$1,enemy_skill_triggers!$1:$1,0)-MATCH($F$1,enemy_skill_triggers!$1:$1,0)+1),MATCH(H$1,enemy_skill_triggers!$1:$1,0)-MATCH($F$1,enemy_skill_triggers!$1:$1,0)+1,FALSE)</f>
        <v>230</v>
      </c>
      <c r="I102" s="48">
        <f ca="1">VLOOKUP($F102,OFFSET(enemy_skill_triggers!$A$1,0,0,COUNTA(enemy_skill_triggers!$A:$A),MATCH(I$1,enemy_skill_triggers!$1:$1,0)-MATCH($F$1,enemy_skill_triggers!$1:$1,0)+1),MATCH(I$1,enemy_skill_triggers!$1:$1,0)-MATCH($F$1,enemy_skill_triggers!$1:$1,0)+1,FALSE)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2" s="48">
        <f ca="1">VLOOKUP($F102,OFFSET(enemy_skill_triggers!$A$1,0,0,COUNTA(enemy_skill_triggers!$A:$A),MATCH(J$1,enemy_skill_triggers!$1:$1,0)-MATCH($F$1,enemy_skill_triggers!$1:$1,0)+1),MATCH(J$1,enemy_skill_triggers!$1:$1,0)-MATCH($F$1,enemy_skill_triggers!$1:$1,0)+1,FALSE)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102" s="48" t="str">
        <f ca="1">VLOOKUP($F102,OFFSET(enemy_skill_triggers!$A$1,0,0,COUNTA(enemy_skill_triggers!$A:$A),MATCH(K$1,enemy_skill_triggers!$1:$1,0)-MATCH($F$1,enemy_skill_triggers!$1:$1,0)+1),MATCH(K$1,enemy_skill_triggers!$1:$1,0)-MATCH($F$1,enemy_skill_triggers!$1:$1,0)+1,FALSE)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2" s="48">
        <f ca="1">VLOOKUP($F102,OFFSET(enemy_skill_triggers!$A$1,0,0,COUNTA(enemy_skill_triggers!$A:$A),MATCH(L$1,enemy_skill_triggers!$1:$1,0)-MATCH($F$1,enemy_skill_triggers!$1:$1,0)+1),MATCH(L$1,enemy_skill_triggers!$1:$1,0)-MATCH($F$1,enemy_skill_triggers!$1:$1,0)+1,FALSE)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02" s="48" t="str">
        <f ca="1">VLOOKUP($F102,OFFSET(enemy_skill_triggers!$A$1,0,0,COUNTA(enemy_skill_triggers!$A:$A),MATCH(M$1,enemy_skill_triggers!$1:$1,0)-MATCH($F$1,enemy_skill_triggers!$1:$1,0)+1),MATCH(M$1,enemy_skill_triggers!$1:$1,0)-MATCH($F$1,enemy_skill_triggers!$1:$1,0)+1,FALSE)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02" s="48" t="str">
        <f ca="1">VLOOKUP($F102,OFFSET(enemy_skill_triggers!$A$1,0,0,COUNTA(enemy_skill_triggers!$A:$A),MATCH(N$1,enemy_skill_triggers!$1:$1,0)-MATCH($F$1,enemy_skill_triggers!$1:$1,0)+1),MATCH(N$1,enemy_skill_triggers!$1:$1,0)-MATCH($F$1,enemy_skill_triggers!$1:$1,0)+1,FALSE)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02" s="48">
        <f ca="1">VLOOKUP($F102,OFFSET(enemy_skill_triggers!$A$1,0,0,COUNTA(enemy_skill_triggers!$A:$A),MATCH(O$1,enemy_skill_triggers!$1:$1,0)-MATCH($F$1,enemy_skill_triggers!$1:$1,0)+1),MATCH(O$1,enemy_skill_triggers!$1:$1,0)-MATCH($F$1,enemy_skill_triggers!$1:$1,0)+1,FALSE)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2" s="47"/>
      <c r="Q102" s="47"/>
      <c r="R102" s="47"/>
    </row>
    <row r="103" spans="1:18" ht="21" customHeight="1" x14ac:dyDescent="0.15">
      <c r="A103" s="39" t="str">
        <f t="shared" si="11"/>
        <v>47016201_47016214</v>
      </c>
      <c r="B103" s="110">
        <v>47016201</v>
      </c>
      <c r="C103" s="174">
        <v>47016214</v>
      </c>
      <c r="D103" s="46" t="str">
        <f ca="1">VLOOKUP($C103,OFFSET(enemy_skills!$A$1,0,0,COUNTA(enemy_skills!$A:$A),MATCH(D$1,enemy_skills!$1:$1,0)-MATCH("enemy_skill_id",enemy_skills!$1:$1,0)+1),MATCH(D$1,enemy_skills!$1:$1,0)-MATCH("enemy_skill_id",enemy_skills!$1:$1,0)+1,FALSE)</f>
        <v>き、聞き慣れない機械音ですね…</v>
      </c>
      <c r="E103" s="46" t="str">
        <f ca="1">VLOOKUP($C103,OFFSET(enemy_skills!$A$1,0,0,COUNTA(enemy_skills!$A:$A),MATCH(E$1,enemy_skills!$1:$1,0)-MATCH("enemy_skill_id",enemy_skills!$1:$1,0)+1),MATCH(E$1,enemy_skills!$1:$1,0)-MATCH("enemy_skill_id",enemy_skills!$1:$1,0)+1,FALSE)</f>
        <v>青パネルプロテクト(最大4個)+単体攻撃</v>
      </c>
      <c r="F103" s="47">
        <v>47016127</v>
      </c>
      <c r="G103" s="48">
        <f ca="1">VLOOKUP($F103,OFFSET(enemy_skill_triggers!$A$1,0,0,COUNTA(enemy_skill_triggers!$A:$A),MATCH(G$1,enemy_skill_triggers!$1:$1,0)-MATCH($F$1,enemy_skill_triggers!$1:$1,0)+1),MATCH(G$1,enemy_skill_triggers!$1:$1,0)-MATCH($F$1,enemy_skill_triggers!$1:$1,0)+1,FALSE)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03" s="48">
        <f ca="1">VLOOKUP($F103,OFFSET(enemy_skill_triggers!$A$1,0,0,COUNTA(enemy_skill_triggers!$A:$A),MATCH(H$1,enemy_skill_triggers!$1:$1,0)-MATCH($F$1,enemy_skill_triggers!$1:$1,0)+1),MATCH(H$1,enemy_skill_triggers!$1:$1,0)-MATCH($F$1,enemy_skill_triggers!$1:$1,0)+1,FALSE)</f>
        <v>220</v>
      </c>
      <c r="I103" s="48">
        <f ca="1">VLOOKUP($F103,OFFSET(enemy_skill_triggers!$A$1,0,0,COUNTA(enemy_skill_triggers!$A:$A),MATCH(I$1,enemy_skill_triggers!$1:$1,0)-MATCH($F$1,enemy_skill_triggers!$1:$1,0)+1),MATCH(I$1,enemy_skill_triggers!$1:$1,0)-MATCH($F$1,enemy_skill_triggers!$1:$1,0)+1,FALSE)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103" s="48">
        <f ca="1">VLOOKUP($F103,OFFSET(enemy_skill_triggers!$A$1,0,0,COUNTA(enemy_skill_triggers!$A:$A),MATCH(J$1,enemy_skill_triggers!$1:$1,0)-MATCH($F$1,enemy_skill_triggers!$1:$1,0)+1),MATCH(J$1,enemy_skill_triggers!$1:$1,0)-MATCH($F$1,enemy_skill_triggers!$1:$1,0)+1,FALSE)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103" s="48" t="str">
        <f ca="1">VLOOKUP($F103,OFFSET(enemy_skill_triggers!$A$1,0,0,COUNTA(enemy_skill_triggers!$A:$A),MATCH(K$1,enemy_skill_triggers!$1:$1,0)-MATCH($F$1,enemy_skill_triggers!$1:$1,0)+1),MATCH(K$1,enemy_skill_triggers!$1:$1,0)-MATCH($F$1,enemy_skill_triggers!$1:$1,0)+1,FALSE)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3" s="48" t="str">
        <f ca="1">VLOOKUP($F103,OFFSET(enemy_skill_triggers!$A$1,0,0,COUNTA(enemy_skill_triggers!$A:$A),MATCH(L$1,enemy_skill_triggers!$1:$1,0)-MATCH($F$1,enemy_skill_triggers!$1:$1,0)+1),MATCH(L$1,enemy_skill_triggers!$1:$1,0)-MATCH($F$1,enemy_skill_triggers!$1:$1,0)+1,FALSE)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03" s="48" t="str">
        <f ca="1">VLOOKUP($F103,OFFSET(enemy_skill_triggers!$A$1,0,0,COUNTA(enemy_skill_triggers!$A:$A),MATCH(M$1,enemy_skill_triggers!$1:$1,0)-MATCH($F$1,enemy_skill_triggers!$1:$1,0)+1),MATCH(M$1,enemy_skill_triggers!$1:$1,0)-MATCH($F$1,enemy_skill_triggers!$1:$1,0)+1,FALSE)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03" s="48" t="str">
        <f ca="1">VLOOKUP($F103,OFFSET(enemy_skill_triggers!$A$1,0,0,COUNTA(enemy_skill_triggers!$A:$A),MATCH(N$1,enemy_skill_triggers!$1:$1,0)-MATCH($F$1,enemy_skill_triggers!$1:$1,0)+1),MATCH(N$1,enemy_skill_triggers!$1:$1,0)-MATCH($F$1,enemy_skill_triggers!$1:$1,0)+1,FALSE)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03" s="48">
        <f ca="1">VLOOKUP($F103,OFFSET(enemy_skill_triggers!$A$1,0,0,COUNTA(enemy_skill_triggers!$A:$A),MATCH(O$1,enemy_skill_triggers!$1:$1,0)-MATCH($F$1,enemy_skill_triggers!$1:$1,0)+1),MATCH(O$1,enemy_skill_triggers!$1:$1,0)-MATCH($F$1,enemy_skill_triggers!$1:$1,0)+1,FALSE)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103" s="47"/>
      <c r="Q103" s="47"/>
      <c r="R103" s="47"/>
    </row>
    <row r="104" spans="1:18" ht="21" customHeight="1" x14ac:dyDescent="0.15">
      <c r="A104" s="39" t="str">
        <f t="shared" si="11"/>
        <v>47016201_47016115</v>
      </c>
      <c r="B104" s="110">
        <v>47016201</v>
      </c>
      <c r="C104" s="114">
        <v>47016115</v>
      </c>
      <c r="D104" s="46" t="str">
        <f ca="1">VLOOKUP($C104,OFFSET(enemy_skills!$A$1,0,0,COUNTA(enemy_skills!$A:$A),MATCH(D$1,enemy_skills!$1:$1,0)-MATCH("enemy_skill_id",enemy_skills!$1:$1,0)+1),MATCH(D$1,enemy_skills!$1:$1,0)-MATCH("enemy_skill_id",enemy_skills!$1:$1,0)+1,FALSE)</f>
        <v>わわ、音が大きいです…！</v>
      </c>
      <c r="E104" s="46" t="str">
        <f ca="1">VLOOKUP($C104,OFFSET(enemy_skills!$A$1,0,0,COUNTA(enemy_skills!$A:$A),MATCH(E$1,enemy_skills!$1:$1,0)-MATCH("enemy_skill_id",enemy_skills!$1:$1,0)+1),MATCH(E$1,enemy_skills!$1:$1,0)-MATCH("enemy_skill_id",enemy_skills!$1:$1,0)+1,FALSE)</f>
        <v>4回連続攻撃</v>
      </c>
      <c r="F104" s="47">
        <v>47016128</v>
      </c>
      <c r="G104" s="48">
        <f ca="1">VLOOKUP($F104,OFFSET(enemy_skill_triggers!$A$1,0,0,COUNTA(enemy_skill_triggers!$A:$A),MATCH(G$1,enemy_skill_triggers!$1:$1,0)-MATCH($F$1,enemy_skill_triggers!$1:$1,0)+1),MATCH(G$1,enemy_skill_triggers!$1:$1,0)-MATCH($F$1,enemy_skill_triggers!$1:$1,0)+1,FALSE)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04" s="48">
        <f ca="1">VLOOKUP($F104,OFFSET(enemy_skill_triggers!$A$1,0,0,COUNTA(enemy_skill_triggers!$A:$A),MATCH(H$1,enemy_skill_triggers!$1:$1,0)-MATCH($F$1,enemy_skill_triggers!$1:$1,0)+1),MATCH(H$1,enemy_skill_triggers!$1:$1,0)-MATCH($F$1,enemy_skill_triggers!$1:$1,0)+1,FALSE)</f>
        <v>210</v>
      </c>
      <c r="I104" s="48">
        <f ca="1">VLOOKUP($F104,OFFSET(enemy_skill_triggers!$A$1,0,0,COUNTA(enemy_skill_triggers!$A:$A),MATCH(I$1,enemy_skill_triggers!$1:$1,0)-MATCH($F$1,enemy_skill_triggers!$1:$1,0)+1),MATCH(I$1,enemy_skill_triggers!$1:$1,0)-MATCH($F$1,enemy_skill_triggers!$1:$1,0)+1,FALSE)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4" s="48">
        <f ca="1">VLOOKUP($F104,OFFSET(enemy_skill_triggers!$A$1,0,0,COUNTA(enemy_skill_triggers!$A:$A),MATCH(J$1,enemy_skill_triggers!$1:$1,0)-MATCH($F$1,enemy_skill_triggers!$1:$1,0)+1),MATCH(J$1,enemy_skill_triggers!$1:$1,0)-MATCH($F$1,enemy_skill_triggers!$1:$1,0)+1,FALSE)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104" s="48" t="str">
        <f ca="1">VLOOKUP($F104,OFFSET(enemy_skill_triggers!$A$1,0,0,COUNTA(enemy_skill_triggers!$A:$A),MATCH(K$1,enemy_skill_triggers!$1:$1,0)-MATCH($F$1,enemy_skill_triggers!$1:$1,0)+1),MATCH(K$1,enemy_skill_triggers!$1:$1,0)-MATCH($F$1,enemy_skill_triggers!$1:$1,0)+1,FALSE)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4" s="48" t="str">
        <f ca="1">VLOOKUP($F104,OFFSET(enemy_skill_triggers!$A$1,0,0,COUNTA(enemy_skill_triggers!$A:$A),MATCH(L$1,enemy_skill_triggers!$1:$1,0)-MATCH($F$1,enemy_skill_triggers!$1:$1,0)+1),MATCH(L$1,enemy_skill_triggers!$1:$1,0)-MATCH($F$1,enemy_skill_triggers!$1:$1,0)+1,FALSE)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04" s="48" t="str">
        <f ca="1">VLOOKUP($F104,OFFSET(enemy_skill_triggers!$A$1,0,0,COUNTA(enemy_skill_triggers!$A:$A),MATCH(M$1,enemy_skill_triggers!$1:$1,0)-MATCH($F$1,enemy_skill_triggers!$1:$1,0)+1),MATCH(M$1,enemy_skill_triggers!$1:$1,0)-MATCH($F$1,enemy_skill_triggers!$1:$1,0)+1,FALSE)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04" s="48" t="str">
        <f ca="1">VLOOKUP($F104,OFFSET(enemy_skill_triggers!$A$1,0,0,COUNTA(enemy_skill_triggers!$A:$A),MATCH(N$1,enemy_skill_triggers!$1:$1,0)-MATCH($F$1,enemy_skill_triggers!$1:$1,0)+1),MATCH(N$1,enemy_skill_triggers!$1:$1,0)-MATCH($F$1,enemy_skill_triggers!$1:$1,0)+1,FALSE)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04" s="48">
        <f ca="1">VLOOKUP($F104,OFFSET(enemy_skill_triggers!$A$1,0,0,COUNTA(enemy_skill_triggers!$A:$A),MATCH(O$1,enemy_skill_triggers!$1:$1,0)-MATCH($F$1,enemy_skill_triggers!$1:$1,0)+1),MATCH(O$1,enemy_skill_triggers!$1:$1,0)-MATCH($F$1,enemy_skill_triggers!$1:$1,0)+1,FALSE)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4" s="47"/>
      <c r="Q104" s="47"/>
      <c r="R104" s="47"/>
    </row>
    <row r="105" spans="1:18" ht="21" customHeight="1" x14ac:dyDescent="0.15">
      <c r="A105" s="39" t="str">
        <f t="shared" si="11"/>
        <v>47016202_47016116</v>
      </c>
      <c r="B105" s="107">
        <v>47016202</v>
      </c>
      <c r="C105" s="114">
        <v>47016116</v>
      </c>
      <c r="D105" s="46" t="str">
        <f ca="1">VLOOKUP($C105,OFFSET(enemy_skills!$A$1,0,0,COUNTA(enemy_skills!$A:$A),MATCH(D$1,enemy_skills!$1:$1,0)-MATCH("enemy_skill_id",enemy_skills!$1:$1,0)+1),MATCH(D$1,enemy_skills!$1:$1,0)-MATCH("enemy_skill_id",enemy_skills!$1:$1,0)+1,FALSE)</f>
        <v>え、あの音止めてくださるんですか…？</v>
      </c>
      <c r="E105" s="46" t="str">
        <f ca="1">VLOOKUP($C105,OFFSET(enemy_skills!$A$1,0,0,COUNTA(enemy_skills!$A:$A),MATCH(E$1,enemy_skills!$1:$1,0)-MATCH("enemy_skill_id",enemy_skills!$1:$1,0)+1),MATCH(E$1,enemy_skills!$1:$1,0)-MATCH("enemy_skill_id",enemy_skills!$1:$1,0)+1,FALSE)</f>
        <v>4ターンCパネル生成短縮(効果大)</v>
      </c>
      <c r="F105" s="47">
        <v>47016129</v>
      </c>
      <c r="G105" s="48">
        <f ca="1">VLOOKUP($F105,OFFSET(enemy_skill_triggers!$A$1,0,0,COUNTA(enemy_skill_triggers!$A:$A),MATCH(G$1,enemy_skill_triggers!$1:$1,0)-MATCH($F$1,enemy_skill_triggers!$1:$1,0)+1),MATCH(G$1,enemy_skill_triggers!$1:$1,0)-MATCH($F$1,enemy_skill_triggers!$1:$1,0)+1,FALSE)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05" s="48">
        <f ca="1">VLOOKUP($F105,OFFSET(enemy_skill_triggers!$A$1,0,0,COUNTA(enemy_skill_triggers!$A:$A),MATCH(H$1,enemy_skill_triggers!$1:$1,0)-MATCH($F$1,enemy_skill_triggers!$1:$1,0)+1),MATCH(H$1,enemy_skill_triggers!$1:$1,0)-MATCH($F$1,enemy_skill_triggers!$1:$1,0)+1,FALSE)</f>
        <v>500</v>
      </c>
      <c r="I105" s="48">
        <f ca="1">VLOOKUP($F105,OFFSET(enemy_skill_triggers!$A$1,0,0,COUNTA(enemy_skill_triggers!$A:$A),MATCH(I$1,enemy_skill_triggers!$1:$1,0)-MATCH($F$1,enemy_skill_triggers!$1:$1,0)+1),MATCH(I$1,enemy_skill_triggers!$1:$1,0)-MATCH($F$1,enemy_skill_triggers!$1:$1,0)+1,FALSE)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5" s="48" t="str">
        <f ca="1">VLOOKUP($F105,OFFSET(enemy_skill_triggers!$A$1,0,0,COUNTA(enemy_skill_triggers!$A:$A),MATCH(J$1,enemy_skill_triggers!$1:$1,0)-MATCH($F$1,enemy_skill_triggers!$1:$1,0)+1),MATCH(J$1,enemy_skill_triggers!$1:$1,0)-MATCH($F$1,enemy_skill_triggers!$1:$1,0)+1,FALSE)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5" s="48" t="str">
        <f ca="1">VLOOKUP($F105,OFFSET(enemy_skill_triggers!$A$1,0,0,COUNTA(enemy_skill_triggers!$A:$A),MATCH(K$1,enemy_skill_triggers!$1:$1,0)-MATCH($F$1,enemy_skill_triggers!$1:$1,0)+1),MATCH(K$1,enemy_skill_triggers!$1:$1,0)-MATCH($F$1,enemy_skill_triggers!$1:$1,0)+1,FALSE)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5" s="48">
        <f ca="1">VLOOKUP($F105,OFFSET(enemy_skill_triggers!$A$1,0,0,COUNTA(enemy_skill_triggers!$A:$A),MATCH(L$1,enemy_skill_triggers!$1:$1,0)-MATCH($F$1,enemy_skill_triggers!$1:$1,0)+1),MATCH(L$1,enemy_skill_triggers!$1:$1,0)-MATCH($F$1,enemy_skill_triggers!$1:$1,0)+1,FALSE)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05" s="48" t="str">
        <f ca="1">VLOOKUP($F105,OFFSET(enemy_skill_triggers!$A$1,0,0,COUNTA(enemy_skill_triggers!$A:$A),MATCH(M$1,enemy_skill_triggers!$1:$1,0)-MATCH($F$1,enemy_skill_triggers!$1:$1,0)+1),MATCH(M$1,enemy_skill_triggers!$1:$1,0)-MATCH($F$1,enemy_skill_triggers!$1:$1,0)+1,FALSE)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05" s="48">
        <f ca="1">VLOOKUP($F105,OFFSET(enemy_skill_triggers!$A$1,0,0,COUNTA(enemy_skill_triggers!$A:$A),MATCH(N$1,enemy_skill_triggers!$1:$1,0)-MATCH($F$1,enemy_skill_triggers!$1:$1,0)+1),MATCH(N$1,enemy_skill_triggers!$1:$1,0)-MATCH($F$1,enemy_skill_triggers!$1:$1,0)+1,FALSE)</f>
        <v>1701</v>
      </c>
      <c r="O105" s="48">
        <f ca="1">VLOOKUP($F105,OFFSET(enemy_skill_triggers!$A$1,0,0,COUNTA(enemy_skill_triggers!$A:$A),MATCH(O$1,enemy_skill_triggers!$1:$1,0)-MATCH($F$1,enemy_skill_triggers!$1:$1,0)+1),MATCH(O$1,enemy_skill_triggers!$1:$1,0)-MATCH($F$1,enemy_skill_triggers!$1:$1,0)+1,FALSE)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5" s="47"/>
      <c r="Q105" s="47"/>
      <c r="R105" s="47"/>
    </row>
    <row r="106" spans="1:18" ht="21" customHeight="1" x14ac:dyDescent="0.15">
      <c r="A106" s="39" t="str">
        <f t="shared" si="11"/>
        <v>47016202_47016116</v>
      </c>
      <c r="B106" s="107">
        <v>47016202</v>
      </c>
      <c r="C106" s="114">
        <v>47016116</v>
      </c>
      <c r="D106" s="46" t="str">
        <f ca="1">VLOOKUP($C106,OFFSET(enemy_skills!$A$1,0,0,COUNTA(enemy_skills!$A:$A),MATCH(D$1,enemy_skills!$1:$1,0)-MATCH("enemy_skill_id",enemy_skills!$1:$1,0)+1),MATCH(D$1,enemy_skills!$1:$1,0)-MATCH("enemy_skill_id",enemy_skills!$1:$1,0)+1,FALSE)</f>
        <v>え、あの音止めてくださるんですか…？</v>
      </c>
      <c r="E106" s="46" t="str">
        <f ca="1">VLOOKUP($C106,OFFSET(enemy_skills!$A$1,0,0,COUNTA(enemy_skills!$A:$A),MATCH(E$1,enemy_skills!$1:$1,0)-MATCH("enemy_skill_id",enemy_skills!$1:$1,0)+1),MATCH(E$1,enemy_skills!$1:$1,0)-MATCH("enemy_skill_id",enemy_skills!$1:$1,0)+1,FALSE)</f>
        <v>4ターンCパネル生成短縮(効果大)</v>
      </c>
      <c r="F106" s="47">
        <v>47016130</v>
      </c>
      <c r="G106" s="48">
        <f ca="1">VLOOKUP($F106,OFFSET(enemy_skill_triggers!$A$1,0,0,COUNTA(enemy_skill_triggers!$A:$A),MATCH(G$1,enemy_skill_triggers!$1:$1,0)-MATCH($F$1,enemy_skill_triggers!$1:$1,0)+1),MATCH(G$1,enemy_skill_triggers!$1:$1,0)-MATCH($F$1,enemy_skill_triggers!$1:$1,0)+1,FALSE)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06" s="48">
        <f ca="1">VLOOKUP($F106,OFFSET(enemy_skill_triggers!$A$1,0,0,COUNTA(enemy_skill_triggers!$A:$A),MATCH(H$1,enemy_skill_triggers!$1:$1,0)-MATCH($F$1,enemy_skill_triggers!$1:$1,0)+1),MATCH(H$1,enemy_skill_triggers!$1:$1,0)-MATCH($F$1,enemy_skill_triggers!$1:$1,0)+1,FALSE)</f>
        <v>490</v>
      </c>
      <c r="I106" s="48">
        <f ca="1">VLOOKUP($F106,OFFSET(enemy_skill_triggers!$A$1,0,0,COUNTA(enemy_skill_triggers!$A:$A),MATCH(I$1,enemy_skill_triggers!$1:$1,0)-MATCH($F$1,enemy_skill_triggers!$1:$1,0)+1),MATCH(I$1,enemy_skill_triggers!$1:$1,0)-MATCH($F$1,enemy_skill_triggers!$1:$1,0)+1,FALSE)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6" s="48" t="str">
        <f ca="1">VLOOKUP($F106,OFFSET(enemy_skill_triggers!$A$1,0,0,COUNTA(enemy_skill_triggers!$A:$A),MATCH(J$1,enemy_skill_triggers!$1:$1,0)-MATCH($F$1,enemy_skill_triggers!$1:$1,0)+1),MATCH(J$1,enemy_skill_triggers!$1:$1,0)-MATCH($F$1,enemy_skill_triggers!$1:$1,0)+1,FALSE)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6" s="48" t="str">
        <f ca="1">VLOOKUP($F106,OFFSET(enemy_skill_triggers!$A$1,0,0,COUNTA(enemy_skill_triggers!$A:$A),MATCH(K$1,enemy_skill_triggers!$1:$1,0)-MATCH($F$1,enemy_skill_triggers!$1:$1,0)+1),MATCH(K$1,enemy_skill_triggers!$1:$1,0)-MATCH($F$1,enemy_skill_triggers!$1:$1,0)+1,FALSE)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6" s="48">
        <f ca="1">VLOOKUP($F106,OFFSET(enemy_skill_triggers!$A$1,0,0,COUNTA(enemy_skill_triggers!$A:$A),MATCH(L$1,enemy_skill_triggers!$1:$1,0)-MATCH($F$1,enemy_skill_triggers!$1:$1,0)+1),MATCH(L$1,enemy_skill_triggers!$1:$1,0)-MATCH($F$1,enemy_skill_triggers!$1:$1,0)+1,FALSE)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06" s="48" t="str">
        <f ca="1">VLOOKUP($F106,OFFSET(enemy_skill_triggers!$A$1,0,0,COUNTA(enemy_skill_triggers!$A:$A),MATCH(M$1,enemy_skill_triggers!$1:$1,0)-MATCH($F$1,enemy_skill_triggers!$1:$1,0)+1),MATCH(M$1,enemy_skill_triggers!$1:$1,0)-MATCH($F$1,enemy_skill_triggers!$1:$1,0)+1,FALSE)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06" s="48">
        <f ca="1">VLOOKUP($F106,OFFSET(enemy_skill_triggers!$A$1,0,0,COUNTA(enemy_skill_triggers!$A:$A),MATCH(N$1,enemy_skill_triggers!$1:$1,0)-MATCH($F$1,enemy_skill_triggers!$1:$1,0)+1),MATCH(N$1,enemy_skill_triggers!$1:$1,0)-MATCH($F$1,enemy_skill_triggers!$1:$1,0)+1,FALSE)</f>
        <v>1702</v>
      </c>
      <c r="O106" s="48">
        <f ca="1">VLOOKUP($F106,OFFSET(enemy_skill_triggers!$A$1,0,0,COUNTA(enemy_skill_triggers!$A:$A),MATCH(O$1,enemy_skill_triggers!$1:$1,0)-MATCH($F$1,enemy_skill_triggers!$1:$1,0)+1),MATCH(O$1,enemy_skill_triggers!$1:$1,0)-MATCH($F$1,enemy_skill_triggers!$1:$1,0)+1,FALSE)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6" s="47"/>
      <c r="Q106" s="47"/>
      <c r="R106" s="47"/>
    </row>
    <row r="107" spans="1:18" ht="21" customHeight="1" x14ac:dyDescent="0.15">
      <c r="A107" s="39" t="str">
        <f t="shared" si="11"/>
        <v>47016202_47016117</v>
      </c>
      <c r="B107" s="107">
        <v>47016202</v>
      </c>
      <c r="C107" s="114">
        <v>47016117</v>
      </c>
      <c r="D107" s="46" t="str">
        <f ca="1">VLOOKUP($C107,OFFSET(enemy_skills!$A$1,0,0,COUNTA(enemy_skills!$A:$A),MATCH(D$1,enemy_skills!$1:$1,0)-MATCH("enemy_skill_id",enemy_skills!$1:$1,0)+1),MATCH(D$1,enemy_skills!$1:$1,0)-MATCH("enemy_skill_id",enemy_skills!$1:$1,0)+1,FALSE)</f>
        <v>も、もう帰っちゃダメですか〜！？</v>
      </c>
      <c r="E107" s="46" t="str">
        <f ca="1">VLOOKUP($C107,OFFSET(enemy_skills!$A$1,0,0,COUNTA(enemy_skills!$A:$A),MATCH(E$1,enemy_skills!$1:$1,0)-MATCH("enemy_skill_id",enemy_skills!$1:$1,0)+1),MATCH(E$1,enemy_skills!$1:$1,0)-MATCH("enemy_skill_id",enemy_skills!$1:$1,0)+1,FALSE)</f>
        <v>せ、せっかくのイベントなのに〜！</v>
      </c>
      <c r="F107" s="47">
        <v>47016131</v>
      </c>
      <c r="G107" s="48">
        <f ca="1">VLOOKUP($F107,OFFSET(enemy_skill_triggers!$A$1,0,0,COUNTA(enemy_skill_triggers!$A:$A),MATCH(G$1,enemy_skill_triggers!$1:$1,0)-MATCH($F$1,enemy_skill_triggers!$1:$1,0)+1),MATCH(G$1,enemy_skill_triggers!$1:$1,0)-MATCH($F$1,enemy_skill_triggers!$1:$1,0)+1,FALSE)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07" s="48">
        <f ca="1">VLOOKUP($F107,OFFSET(enemy_skill_triggers!$A$1,0,0,COUNTA(enemy_skill_triggers!$A:$A),MATCH(H$1,enemy_skill_triggers!$1:$1,0)-MATCH($F$1,enemy_skill_triggers!$1:$1,0)+1),MATCH(H$1,enemy_skill_triggers!$1:$1,0)-MATCH($F$1,enemy_skill_triggers!$1:$1,0)+1,FALSE)</f>
        <v>480</v>
      </c>
      <c r="I107" s="48">
        <f ca="1">VLOOKUP($F107,OFFSET(enemy_skill_triggers!$A$1,0,0,COUNTA(enemy_skill_triggers!$A:$A),MATCH(I$1,enemy_skill_triggers!$1:$1,0)-MATCH($F$1,enemy_skill_triggers!$1:$1,0)+1),MATCH(I$1,enemy_skill_triggers!$1:$1,0)-MATCH($F$1,enemy_skill_triggers!$1:$1,0)+1,FALSE)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7" s="48" t="str">
        <f ca="1">VLOOKUP($F107,OFFSET(enemy_skill_triggers!$A$1,0,0,COUNTA(enemy_skill_triggers!$A:$A),MATCH(J$1,enemy_skill_triggers!$1:$1,0)-MATCH($F$1,enemy_skill_triggers!$1:$1,0)+1),MATCH(J$1,enemy_skill_triggers!$1:$1,0)-MATCH($F$1,enemy_skill_triggers!$1:$1,0)+1,FALSE)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7" s="48" t="str">
        <f ca="1">VLOOKUP($F107,OFFSET(enemy_skill_triggers!$A$1,0,0,COUNTA(enemy_skill_triggers!$A:$A),MATCH(K$1,enemy_skill_triggers!$1:$1,0)-MATCH($F$1,enemy_skill_triggers!$1:$1,0)+1),MATCH(K$1,enemy_skill_triggers!$1:$1,0)-MATCH($F$1,enemy_skill_triggers!$1:$1,0)+1,FALSE)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7" s="48">
        <f ca="1">VLOOKUP($F107,OFFSET(enemy_skill_triggers!$A$1,0,0,COUNTA(enemy_skill_triggers!$A:$A),MATCH(L$1,enemy_skill_triggers!$1:$1,0)-MATCH($F$1,enemy_skill_triggers!$1:$1,0)+1),MATCH(L$1,enemy_skill_triggers!$1:$1,0)-MATCH($F$1,enemy_skill_triggers!$1:$1,0)+1,FALSE)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07" s="48" t="str">
        <f ca="1">VLOOKUP($F107,OFFSET(enemy_skill_triggers!$A$1,0,0,COUNTA(enemy_skill_triggers!$A:$A),MATCH(M$1,enemy_skill_triggers!$1:$1,0)-MATCH($F$1,enemy_skill_triggers!$1:$1,0)+1),MATCH(M$1,enemy_skill_triggers!$1:$1,0)-MATCH($F$1,enemy_skill_triggers!$1:$1,0)+1,FALSE)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07" s="48">
        <f ca="1">VLOOKUP($F107,OFFSET(enemy_skill_triggers!$A$1,0,0,COUNTA(enemy_skill_triggers!$A:$A),MATCH(N$1,enemy_skill_triggers!$1:$1,0)-MATCH($F$1,enemy_skill_triggers!$1:$1,0)+1),MATCH(N$1,enemy_skill_triggers!$1:$1,0)-MATCH($F$1,enemy_skill_triggers!$1:$1,0)+1,FALSE)</f>
        <v>1703</v>
      </c>
      <c r="O107" s="48">
        <f ca="1">VLOOKUP($F107,OFFSET(enemy_skill_triggers!$A$1,0,0,COUNTA(enemy_skill_triggers!$A:$A),MATCH(O$1,enemy_skill_triggers!$1:$1,0)-MATCH($F$1,enemy_skill_triggers!$1:$1,0)+1),MATCH(O$1,enemy_skill_triggers!$1:$1,0)-MATCH($F$1,enemy_skill_triggers!$1:$1,0)+1,FALSE)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7" s="47"/>
      <c r="Q107" s="47"/>
      <c r="R107" s="47"/>
    </row>
    <row r="108" spans="1:18" ht="21" customHeight="1" x14ac:dyDescent="0.15">
      <c r="A108" s="39" t="str">
        <f t="shared" si="11"/>
        <v>47016202_47016117</v>
      </c>
      <c r="B108" s="107">
        <v>47016202</v>
      </c>
      <c r="C108" s="114">
        <v>47016117</v>
      </c>
      <c r="D108" s="46" t="str">
        <f ca="1">VLOOKUP($C108,OFFSET(enemy_skills!$A$1,0,0,COUNTA(enemy_skills!$A:$A),MATCH(D$1,enemy_skills!$1:$1,0)-MATCH("enemy_skill_id",enemy_skills!$1:$1,0)+1),MATCH(D$1,enemy_skills!$1:$1,0)-MATCH("enemy_skill_id",enemy_skills!$1:$1,0)+1,FALSE)</f>
        <v>も、もう帰っちゃダメですか〜！？</v>
      </c>
      <c r="E108" s="46" t="str">
        <f ca="1">VLOOKUP($C108,OFFSET(enemy_skills!$A$1,0,0,COUNTA(enemy_skills!$A:$A),MATCH(E$1,enemy_skills!$1:$1,0)-MATCH("enemy_skill_id",enemy_skills!$1:$1,0)+1),MATCH(E$1,enemy_skills!$1:$1,0)-MATCH("enemy_skill_id",enemy_skills!$1:$1,0)+1,FALSE)</f>
        <v>せ、せっかくのイベントなのに〜！</v>
      </c>
      <c r="F108" s="47">
        <v>47016132</v>
      </c>
      <c r="G108" s="48">
        <f ca="1">VLOOKUP($F108,OFFSET(enemy_skill_triggers!$A$1,0,0,COUNTA(enemy_skill_triggers!$A:$A),MATCH(G$1,enemy_skill_triggers!$1:$1,0)-MATCH($F$1,enemy_skill_triggers!$1:$1,0)+1),MATCH(G$1,enemy_skill_triggers!$1:$1,0)-MATCH($F$1,enemy_skill_triggers!$1:$1,0)+1,FALSE)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08" s="48">
        <f ca="1">VLOOKUP($F108,OFFSET(enemy_skill_triggers!$A$1,0,0,COUNTA(enemy_skill_triggers!$A:$A),MATCH(H$1,enemy_skill_triggers!$1:$1,0)-MATCH($F$1,enemy_skill_triggers!$1:$1,0)+1),MATCH(H$1,enemy_skill_triggers!$1:$1,0)-MATCH($F$1,enemy_skill_triggers!$1:$1,0)+1,FALSE)</f>
        <v>470</v>
      </c>
      <c r="I108" s="48">
        <f ca="1">VLOOKUP($F108,OFFSET(enemy_skill_triggers!$A$1,0,0,COUNTA(enemy_skill_triggers!$A:$A),MATCH(I$1,enemy_skill_triggers!$1:$1,0)-MATCH($F$1,enemy_skill_triggers!$1:$1,0)+1),MATCH(I$1,enemy_skill_triggers!$1:$1,0)-MATCH($F$1,enemy_skill_triggers!$1:$1,0)+1,FALSE)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8" s="48" t="str">
        <f ca="1">VLOOKUP($F108,OFFSET(enemy_skill_triggers!$A$1,0,0,COUNTA(enemy_skill_triggers!$A:$A),MATCH(J$1,enemy_skill_triggers!$1:$1,0)-MATCH($F$1,enemy_skill_triggers!$1:$1,0)+1),MATCH(J$1,enemy_skill_triggers!$1:$1,0)-MATCH($F$1,enemy_skill_triggers!$1:$1,0)+1,FALSE)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8" s="48" t="str">
        <f ca="1">VLOOKUP($F108,OFFSET(enemy_skill_triggers!$A$1,0,0,COUNTA(enemy_skill_triggers!$A:$A),MATCH(K$1,enemy_skill_triggers!$1:$1,0)-MATCH($F$1,enemy_skill_triggers!$1:$1,0)+1),MATCH(K$1,enemy_skill_triggers!$1:$1,0)-MATCH($F$1,enemy_skill_triggers!$1:$1,0)+1,FALSE)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8" s="48">
        <f ca="1">VLOOKUP($F108,OFFSET(enemy_skill_triggers!$A$1,0,0,COUNTA(enemy_skill_triggers!$A:$A),MATCH(L$1,enemy_skill_triggers!$1:$1,0)-MATCH($F$1,enemy_skill_triggers!$1:$1,0)+1),MATCH(L$1,enemy_skill_triggers!$1:$1,0)-MATCH($F$1,enemy_skill_triggers!$1:$1,0)+1,FALSE)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08" s="48" t="str">
        <f ca="1">VLOOKUP($F108,OFFSET(enemy_skill_triggers!$A$1,0,0,COUNTA(enemy_skill_triggers!$A:$A),MATCH(M$1,enemy_skill_triggers!$1:$1,0)-MATCH($F$1,enemy_skill_triggers!$1:$1,0)+1),MATCH(M$1,enemy_skill_triggers!$1:$1,0)-MATCH($F$1,enemy_skill_triggers!$1:$1,0)+1,FALSE)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08" s="48">
        <f ca="1">VLOOKUP($F108,OFFSET(enemy_skill_triggers!$A$1,0,0,COUNTA(enemy_skill_triggers!$A:$A),MATCH(N$1,enemy_skill_triggers!$1:$1,0)-MATCH($F$1,enemy_skill_triggers!$1:$1,0)+1),MATCH(N$1,enemy_skill_triggers!$1:$1,0)-MATCH($F$1,enemy_skill_triggers!$1:$1,0)+1,FALSE)</f>
        <v>1704</v>
      </c>
      <c r="O108" s="48">
        <f ca="1">VLOOKUP($F108,OFFSET(enemy_skill_triggers!$A$1,0,0,COUNTA(enemy_skill_triggers!$A:$A),MATCH(O$1,enemy_skill_triggers!$1:$1,0)-MATCH($F$1,enemy_skill_triggers!$1:$1,0)+1),MATCH(O$1,enemy_skill_triggers!$1:$1,0)-MATCH($F$1,enemy_skill_triggers!$1:$1,0)+1,FALSE)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8" s="47"/>
      <c r="Q108" s="47"/>
      <c r="R108" s="47"/>
    </row>
    <row r="109" spans="1:18" ht="21" customHeight="1" x14ac:dyDescent="0.15">
      <c r="A109" s="39" t="str">
        <f t="shared" si="11"/>
        <v>47016202_47016117</v>
      </c>
      <c r="B109" s="107">
        <v>47016202</v>
      </c>
      <c r="C109" s="114">
        <v>47016117</v>
      </c>
      <c r="D109" s="46" t="str">
        <f ca="1">VLOOKUP($C109,OFFSET(enemy_skills!$A$1,0,0,COUNTA(enemy_skills!$A:$A),MATCH(D$1,enemy_skills!$1:$1,0)-MATCH("enemy_skill_id",enemy_skills!$1:$1,0)+1),MATCH(D$1,enemy_skills!$1:$1,0)-MATCH("enemy_skill_id",enemy_skills!$1:$1,0)+1,FALSE)</f>
        <v>も、もう帰っちゃダメですか〜！？</v>
      </c>
      <c r="E109" s="46" t="str">
        <f ca="1">VLOOKUP($C109,OFFSET(enemy_skills!$A$1,0,0,COUNTA(enemy_skills!$A:$A),MATCH(E$1,enemy_skills!$1:$1,0)-MATCH("enemy_skill_id",enemy_skills!$1:$1,0)+1),MATCH(E$1,enemy_skills!$1:$1,0)-MATCH("enemy_skill_id",enemy_skills!$1:$1,0)+1,FALSE)</f>
        <v>せ、せっかくのイベントなのに〜！</v>
      </c>
      <c r="F109" s="47">
        <v>47016133</v>
      </c>
      <c r="G109" s="48">
        <f ca="1">VLOOKUP($F109,OFFSET(enemy_skill_triggers!$A$1,0,0,COUNTA(enemy_skill_triggers!$A:$A),MATCH(G$1,enemy_skill_triggers!$1:$1,0)-MATCH($F$1,enemy_skill_triggers!$1:$1,0)+1),MATCH(G$1,enemy_skill_triggers!$1:$1,0)-MATCH($F$1,enemy_skill_triggers!$1:$1,0)+1,FALSE)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09" s="48">
        <f ca="1">VLOOKUP($F109,OFFSET(enemy_skill_triggers!$A$1,0,0,COUNTA(enemy_skill_triggers!$A:$A),MATCH(H$1,enemy_skill_triggers!$1:$1,0)-MATCH($F$1,enemy_skill_triggers!$1:$1,0)+1),MATCH(H$1,enemy_skill_triggers!$1:$1,0)-MATCH($F$1,enemy_skill_triggers!$1:$1,0)+1,FALSE)</f>
        <v>460</v>
      </c>
      <c r="I109" s="48">
        <f ca="1">VLOOKUP($F109,OFFSET(enemy_skill_triggers!$A$1,0,0,COUNTA(enemy_skill_triggers!$A:$A),MATCH(I$1,enemy_skill_triggers!$1:$1,0)-MATCH($F$1,enemy_skill_triggers!$1:$1,0)+1),MATCH(I$1,enemy_skill_triggers!$1:$1,0)-MATCH($F$1,enemy_skill_triggers!$1:$1,0)+1,FALSE)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9" s="48" t="str">
        <f ca="1">VLOOKUP($F109,OFFSET(enemy_skill_triggers!$A$1,0,0,COUNTA(enemy_skill_triggers!$A:$A),MATCH(J$1,enemy_skill_triggers!$1:$1,0)-MATCH($F$1,enemy_skill_triggers!$1:$1,0)+1),MATCH(J$1,enemy_skill_triggers!$1:$1,0)-MATCH($F$1,enemy_skill_triggers!$1:$1,0)+1,FALSE)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9" s="48" t="str">
        <f ca="1">VLOOKUP($F109,OFFSET(enemy_skill_triggers!$A$1,0,0,COUNTA(enemy_skill_triggers!$A:$A),MATCH(K$1,enemy_skill_triggers!$1:$1,0)-MATCH($F$1,enemy_skill_triggers!$1:$1,0)+1),MATCH(K$1,enemy_skill_triggers!$1:$1,0)-MATCH($F$1,enemy_skill_triggers!$1:$1,0)+1,FALSE)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9" s="48">
        <f ca="1">VLOOKUP($F109,OFFSET(enemy_skill_triggers!$A$1,0,0,COUNTA(enemy_skill_triggers!$A:$A),MATCH(L$1,enemy_skill_triggers!$1:$1,0)-MATCH($F$1,enemy_skill_triggers!$1:$1,0)+1),MATCH(L$1,enemy_skill_triggers!$1:$1,0)-MATCH($F$1,enemy_skill_triggers!$1:$1,0)+1,FALSE)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09" s="48" t="str">
        <f ca="1">VLOOKUP($F109,OFFSET(enemy_skill_triggers!$A$1,0,0,COUNTA(enemy_skill_triggers!$A:$A),MATCH(M$1,enemy_skill_triggers!$1:$1,0)-MATCH($F$1,enemy_skill_triggers!$1:$1,0)+1),MATCH(M$1,enemy_skill_triggers!$1:$1,0)-MATCH($F$1,enemy_skill_triggers!$1:$1,0)+1,FALSE)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09" s="48">
        <f ca="1">VLOOKUP($F109,OFFSET(enemy_skill_triggers!$A$1,0,0,COUNTA(enemy_skill_triggers!$A:$A),MATCH(N$1,enemy_skill_triggers!$1:$1,0)-MATCH($F$1,enemy_skill_triggers!$1:$1,0)+1),MATCH(N$1,enemy_skill_triggers!$1:$1,0)-MATCH($F$1,enemy_skill_triggers!$1:$1,0)+1,FALSE)</f>
        <v>1705</v>
      </c>
      <c r="O109" s="48">
        <f ca="1">VLOOKUP($F109,OFFSET(enemy_skill_triggers!$A$1,0,0,COUNTA(enemy_skill_triggers!$A:$A),MATCH(O$1,enemy_skill_triggers!$1:$1,0)-MATCH($F$1,enemy_skill_triggers!$1:$1,0)+1),MATCH(O$1,enemy_skill_triggers!$1:$1,0)-MATCH($F$1,enemy_skill_triggers!$1:$1,0)+1,FALSE)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9" s="47"/>
      <c r="Q109" s="47"/>
      <c r="R109" s="47"/>
    </row>
    <row r="110" spans="1:18" ht="21" customHeight="1" x14ac:dyDescent="0.15">
      <c r="A110" s="39" t="str">
        <f t="shared" si="11"/>
        <v>47016202_47016117</v>
      </c>
      <c r="B110" s="107">
        <v>47016202</v>
      </c>
      <c r="C110" s="114">
        <v>47016117</v>
      </c>
      <c r="D110" s="46" t="str">
        <f ca="1">VLOOKUP($C110,OFFSET(enemy_skills!$A$1,0,0,COUNTA(enemy_skills!$A:$A),MATCH(D$1,enemy_skills!$1:$1,0)-MATCH("enemy_skill_id",enemy_skills!$1:$1,0)+1),MATCH(D$1,enemy_skills!$1:$1,0)-MATCH("enemy_skill_id",enemy_skills!$1:$1,0)+1,FALSE)</f>
        <v>も、もう帰っちゃダメですか〜！？</v>
      </c>
      <c r="E110" s="46" t="str">
        <f ca="1">VLOOKUP($C110,OFFSET(enemy_skills!$A$1,0,0,COUNTA(enemy_skills!$A:$A),MATCH(E$1,enemy_skills!$1:$1,0)-MATCH("enemy_skill_id",enemy_skills!$1:$1,0)+1),MATCH(E$1,enemy_skills!$1:$1,0)-MATCH("enemy_skill_id",enemy_skills!$1:$1,0)+1,FALSE)</f>
        <v>せ、せっかくのイベントなのに〜！</v>
      </c>
      <c r="F110" s="47">
        <v>47016134</v>
      </c>
      <c r="G110" s="48">
        <f ca="1">VLOOKUP($F110,OFFSET(enemy_skill_triggers!$A$1,0,0,COUNTA(enemy_skill_triggers!$A:$A),MATCH(G$1,enemy_skill_triggers!$1:$1,0)-MATCH($F$1,enemy_skill_triggers!$1:$1,0)+1),MATCH(G$1,enemy_skill_triggers!$1:$1,0)-MATCH($F$1,enemy_skill_triggers!$1:$1,0)+1,FALSE)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10" s="48">
        <f ca="1">VLOOKUP($F110,OFFSET(enemy_skill_triggers!$A$1,0,0,COUNTA(enemy_skill_triggers!$A:$A),MATCH(H$1,enemy_skill_triggers!$1:$1,0)-MATCH($F$1,enemy_skill_triggers!$1:$1,0)+1),MATCH(H$1,enemy_skill_triggers!$1:$1,0)-MATCH($F$1,enemy_skill_triggers!$1:$1,0)+1,FALSE)</f>
        <v>450</v>
      </c>
      <c r="I110" s="48">
        <f ca="1">VLOOKUP($F110,OFFSET(enemy_skill_triggers!$A$1,0,0,COUNTA(enemy_skill_triggers!$A:$A),MATCH(I$1,enemy_skill_triggers!$1:$1,0)-MATCH($F$1,enemy_skill_triggers!$1:$1,0)+1),MATCH(I$1,enemy_skill_triggers!$1:$1,0)-MATCH($F$1,enemy_skill_triggers!$1:$1,0)+1,FALSE)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10" s="48" t="str">
        <f ca="1">VLOOKUP($F110,OFFSET(enemy_skill_triggers!$A$1,0,0,COUNTA(enemy_skill_triggers!$A:$A),MATCH(J$1,enemy_skill_triggers!$1:$1,0)-MATCH($F$1,enemy_skill_triggers!$1:$1,0)+1),MATCH(J$1,enemy_skill_triggers!$1:$1,0)-MATCH($F$1,enemy_skill_triggers!$1:$1,0)+1,FALSE)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0" s="48" t="str">
        <f ca="1">VLOOKUP($F110,OFFSET(enemy_skill_triggers!$A$1,0,0,COUNTA(enemy_skill_triggers!$A:$A),MATCH(K$1,enemy_skill_triggers!$1:$1,0)-MATCH($F$1,enemy_skill_triggers!$1:$1,0)+1),MATCH(K$1,enemy_skill_triggers!$1:$1,0)-MATCH($F$1,enemy_skill_triggers!$1:$1,0)+1,FALSE)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0" s="48">
        <f ca="1">VLOOKUP($F110,OFFSET(enemy_skill_triggers!$A$1,0,0,COUNTA(enemy_skill_triggers!$A:$A),MATCH(L$1,enemy_skill_triggers!$1:$1,0)-MATCH($F$1,enemy_skill_triggers!$1:$1,0)+1),MATCH(L$1,enemy_skill_triggers!$1:$1,0)-MATCH($F$1,enemy_skill_triggers!$1:$1,0)+1,FALSE)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10" s="48" t="str">
        <f ca="1">VLOOKUP($F110,OFFSET(enemy_skill_triggers!$A$1,0,0,COUNTA(enemy_skill_triggers!$A:$A),MATCH(M$1,enemy_skill_triggers!$1:$1,0)-MATCH($F$1,enemy_skill_triggers!$1:$1,0)+1),MATCH(M$1,enemy_skill_triggers!$1:$1,0)-MATCH($F$1,enemy_skill_triggers!$1:$1,0)+1,FALSE)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10" s="48">
        <f ca="1">VLOOKUP($F110,OFFSET(enemy_skill_triggers!$A$1,0,0,COUNTA(enemy_skill_triggers!$A:$A),MATCH(N$1,enemy_skill_triggers!$1:$1,0)-MATCH($F$1,enemy_skill_triggers!$1:$1,0)+1),MATCH(N$1,enemy_skill_triggers!$1:$1,0)-MATCH($F$1,enemy_skill_triggers!$1:$1,0)+1,FALSE)</f>
        <v>1706</v>
      </c>
      <c r="O110" s="48">
        <f ca="1">VLOOKUP($F110,OFFSET(enemy_skill_triggers!$A$1,0,0,COUNTA(enemy_skill_triggers!$A:$A),MATCH(O$1,enemy_skill_triggers!$1:$1,0)-MATCH($F$1,enemy_skill_triggers!$1:$1,0)+1),MATCH(O$1,enemy_skill_triggers!$1:$1,0)-MATCH($F$1,enemy_skill_triggers!$1:$1,0)+1,FALSE)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10" s="47"/>
      <c r="Q110" s="47"/>
      <c r="R110" s="47"/>
    </row>
    <row r="111" spans="1:18" ht="21" customHeight="1" x14ac:dyDescent="0.15">
      <c r="A111" s="39" t="str">
        <f t="shared" ref="A111" si="13">B111&amp;"_"&amp;C111</f>
        <v>47016202_47016117</v>
      </c>
      <c r="B111" s="107">
        <v>47016202</v>
      </c>
      <c r="C111" s="114">
        <v>47016117</v>
      </c>
      <c r="D111" s="46" t="str">
        <f ca="1">VLOOKUP($C111,OFFSET(enemy_skills!$A$1,0,0,COUNTA(enemy_skills!$A:$A),MATCH(D$1,enemy_skills!$1:$1,0)-MATCH("enemy_skill_id",enemy_skills!$1:$1,0)+1),MATCH(D$1,enemy_skills!$1:$1,0)-MATCH("enemy_skill_id",enemy_skills!$1:$1,0)+1,FALSE)</f>
        <v>も、もう帰っちゃダメですか〜！？</v>
      </c>
      <c r="E111" s="46" t="str">
        <f ca="1">VLOOKUP($C111,OFFSET(enemy_skills!$A$1,0,0,COUNTA(enemy_skills!$A:$A),MATCH(E$1,enemy_skills!$1:$1,0)-MATCH("enemy_skill_id",enemy_skills!$1:$1,0)+1),MATCH(E$1,enemy_skills!$1:$1,0)-MATCH("enemy_skill_id",enemy_skills!$1:$1,0)+1,FALSE)</f>
        <v>せ、せっかくのイベントなのに〜！</v>
      </c>
      <c r="F111" s="47">
        <v>47016176</v>
      </c>
      <c r="G111" s="48">
        <f ca="1">VLOOKUP($F111,OFFSET(enemy_skill_triggers!$A$1,0,0,COUNTA(enemy_skill_triggers!$A:$A),MATCH(G$1,enemy_skill_triggers!$1:$1,0)-MATCH($F$1,enemy_skill_triggers!$1:$1,0)+1),MATCH(G$1,enemy_skill_triggers!$1:$1,0)-MATCH($F$1,enemy_skill_triggers!$1:$1,0)+1,FALSE)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11" s="48">
        <f ca="1">VLOOKUP($F111,OFFSET(enemy_skill_triggers!$A$1,0,0,COUNTA(enemy_skill_triggers!$A:$A),MATCH(H$1,enemy_skill_triggers!$1:$1,0)-MATCH($F$1,enemy_skill_triggers!$1:$1,0)+1),MATCH(H$1,enemy_skill_triggers!$1:$1,0)-MATCH($F$1,enemy_skill_triggers!$1:$1,0)+1,FALSE)</f>
        <v>445</v>
      </c>
      <c r="I111" s="48">
        <f ca="1">VLOOKUP($F111,OFFSET(enemy_skill_triggers!$A$1,0,0,COUNTA(enemy_skill_triggers!$A:$A),MATCH(I$1,enemy_skill_triggers!$1:$1,0)-MATCH($F$1,enemy_skill_triggers!$1:$1,0)+1),MATCH(I$1,enemy_skill_triggers!$1:$1,0)-MATCH($F$1,enemy_skill_triggers!$1:$1,0)+1,FALSE)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11" s="48" t="str">
        <f ca="1">VLOOKUP($F111,OFFSET(enemy_skill_triggers!$A$1,0,0,COUNTA(enemy_skill_triggers!$A:$A),MATCH(J$1,enemy_skill_triggers!$1:$1,0)-MATCH($F$1,enemy_skill_triggers!$1:$1,0)+1),MATCH(J$1,enemy_skill_triggers!$1:$1,0)-MATCH($F$1,enemy_skill_triggers!$1:$1,0)+1,FALSE)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1" s="48" t="str">
        <f ca="1">VLOOKUP($F111,OFFSET(enemy_skill_triggers!$A$1,0,0,COUNTA(enemy_skill_triggers!$A:$A),MATCH(K$1,enemy_skill_triggers!$1:$1,0)-MATCH($F$1,enemy_skill_triggers!$1:$1,0)+1),MATCH(K$1,enemy_skill_triggers!$1:$1,0)-MATCH($F$1,enemy_skill_triggers!$1:$1,0)+1,FALSE)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1" s="48">
        <f ca="1">VLOOKUP($F111,OFFSET(enemy_skill_triggers!$A$1,0,0,COUNTA(enemy_skill_triggers!$A:$A),MATCH(L$1,enemy_skill_triggers!$1:$1,0)-MATCH($F$1,enemy_skill_triggers!$1:$1,0)+1),MATCH(L$1,enemy_skill_triggers!$1:$1,0)-MATCH($F$1,enemy_skill_triggers!$1:$1,0)+1,FALSE)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11" s="48" t="str">
        <f ca="1">VLOOKUP($F111,OFFSET(enemy_skill_triggers!$A$1,0,0,COUNTA(enemy_skill_triggers!$A:$A),MATCH(M$1,enemy_skill_triggers!$1:$1,0)-MATCH($F$1,enemy_skill_triggers!$1:$1,0)+1),MATCH(M$1,enemy_skill_triggers!$1:$1,0)-MATCH($F$1,enemy_skill_triggers!$1:$1,0)+1,FALSE)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11" s="48">
        <f ca="1">VLOOKUP($F111,OFFSET(enemy_skill_triggers!$A$1,0,0,COUNTA(enemy_skill_triggers!$A:$A),MATCH(N$1,enemy_skill_triggers!$1:$1,0)-MATCH($F$1,enemy_skill_triggers!$1:$1,0)+1),MATCH(N$1,enemy_skill_triggers!$1:$1,0)-MATCH($F$1,enemy_skill_triggers!$1:$1,0)+1,FALSE)</f>
        <v>1707</v>
      </c>
      <c r="O111" s="48">
        <f ca="1">VLOOKUP($F111,OFFSET(enemy_skill_triggers!$A$1,0,0,COUNTA(enemy_skill_triggers!$A:$A),MATCH(O$1,enemy_skill_triggers!$1:$1,0)-MATCH($F$1,enemy_skill_triggers!$1:$1,0)+1),MATCH(O$1,enemy_skill_triggers!$1:$1,0)-MATCH($F$1,enemy_skill_triggers!$1:$1,0)+1,FALSE)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11" s="47"/>
      <c r="Q111" s="47"/>
      <c r="R111" s="47"/>
    </row>
    <row r="112" spans="1:18" ht="21" customHeight="1" x14ac:dyDescent="0.15">
      <c r="A112" s="39" t="str">
        <f t="shared" si="11"/>
        <v>47016202_47016117</v>
      </c>
      <c r="B112" s="107">
        <v>47016202</v>
      </c>
      <c r="C112" s="114">
        <v>47016117</v>
      </c>
      <c r="D112" s="46" t="str">
        <f ca="1">VLOOKUP($C112,OFFSET(enemy_skills!$A$1,0,0,COUNTA(enemy_skills!$A:$A),MATCH(D$1,enemy_skills!$1:$1,0)-MATCH("enemy_skill_id",enemy_skills!$1:$1,0)+1),MATCH(D$1,enemy_skills!$1:$1,0)-MATCH("enemy_skill_id",enemy_skills!$1:$1,0)+1,FALSE)</f>
        <v>も、もう帰っちゃダメですか〜！？</v>
      </c>
      <c r="E112" s="46" t="str">
        <f ca="1">VLOOKUP($C112,OFFSET(enemy_skills!$A$1,0,0,COUNTA(enemy_skills!$A:$A),MATCH(E$1,enemy_skills!$1:$1,0)-MATCH("enemy_skill_id",enemy_skills!$1:$1,0)+1),MATCH(E$1,enemy_skills!$1:$1,0)-MATCH("enemy_skill_id",enemy_skills!$1:$1,0)+1,FALSE)</f>
        <v>せ、せっかくのイベントなのに〜！</v>
      </c>
      <c r="F112" s="47">
        <v>47016135</v>
      </c>
      <c r="G112" s="48">
        <f ca="1">VLOOKUP($F112,OFFSET(enemy_skill_triggers!$A$1,0,0,COUNTA(enemy_skill_triggers!$A:$A),MATCH(G$1,enemy_skill_triggers!$1:$1,0)-MATCH($F$1,enemy_skill_triggers!$1:$1,0)+1),MATCH(G$1,enemy_skill_triggers!$1:$1,0)-MATCH($F$1,enemy_skill_triggers!$1:$1,0)+1,FALSE)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12" s="48">
        <f ca="1">VLOOKUP($F112,OFFSET(enemy_skill_triggers!$A$1,0,0,COUNTA(enemy_skill_triggers!$A:$A),MATCH(H$1,enemy_skill_triggers!$1:$1,0)-MATCH($F$1,enemy_skill_triggers!$1:$1,0)+1),MATCH(H$1,enemy_skill_triggers!$1:$1,0)-MATCH($F$1,enemy_skill_triggers!$1:$1,0)+1,FALSE)</f>
        <v>440</v>
      </c>
      <c r="I112" s="48">
        <f ca="1">VLOOKUP($F112,OFFSET(enemy_skill_triggers!$A$1,0,0,COUNTA(enemy_skill_triggers!$A:$A),MATCH(I$1,enemy_skill_triggers!$1:$1,0)-MATCH($F$1,enemy_skill_triggers!$1:$1,0)+1),MATCH(I$1,enemy_skill_triggers!$1:$1,0)-MATCH($F$1,enemy_skill_triggers!$1:$1,0)+1,FALSE)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12" s="48" t="str">
        <f ca="1">VLOOKUP($F112,OFFSET(enemy_skill_triggers!$A$1,0,0,COUNTA(enemy_skill_triggers!$A:$A),MATCH(J$1,enemy_skill_triggers!$1:$1,0)-MATCH($F$1,enemy_skill_triggers!$1:$1,0)+1),MATCH(J$1,enemy_skill_triggers!$1:$1,0)-MATCH($F$1,enemy_skill_triggers!$1:$1,0)+1,FALSE)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2" s="48" t="str">
        <f ca="1">VLOOKUP($F112,OFFSET(enemy_skill_triggers!$A$1,0,0,COUNTA(enemy_skill_triggers!$A:$A),MATCH(K$1,enemy_skill_triggers!$1:$1,0)-MATCH($F$1,enemy_skill_triggers!$1:$1,0)+1),MATCH(K$1,enemy_skill_triggers!$1:$1,0)-MATCH($F$1,enemy_skill_triggers!$1:$1,0)+1,FALSE)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2" s="48">
        <f ca="1">VLOOKUP($F112,OFFSET(enemy_skill_triggers!$A$1,0,0,COUNTA(enemy_skill_triggers!$A:$A),MATCH(L$1,enemy_skill_triggers!$1:$1,0)-MATCH($F$1,enemy_skill_triggers!$1:$1,0)+1),MATCH(L$1,enemy_skill_triggers!$1:$1,0)-MATCH($F$1,enemy_skill_triggers!$1:$1,0)+1,FALSE)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12" s="48" t="str">
        <f ca="1">VLOOKUP($F112,OFFSET(enemy_skill_triggers!$A$1,0,0,COUNTA(enemy_skill_triggers!$A:$A),MATCH(M$1,enemy_skill_triggers!$1:$1,0)-MATCH($F$1,enemy_skill_triggers!$1:$1,0)+1),MATCH(M$1,enemy_skill_triggers!$1:$1,0)-MATCH($F$1,enemy_skill_triggers!$1:$1,0)+1,FALSE)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12" s="48">
        <f ca="1">VLOOKUP($F112,OFFSET(enemy_skill_triggers!$A$1,0,0,COUNTA(enemy_skill_triggers!$A:$A),MATCH(N$1,enemy_skill_triggers!$1:$1,0)-MATCH($F$1,enemy_skill_triggers!$1:$1,0)+1),MATCH(N$1,enemy_skill_triggers!$1:$1,0)-MATCH($F$1,enemy_skill_triggers!$1:$1,0)+1,FALSE)</f>
        <v>1708</v>
      </c>
      <c r="O112" s="48">
        <f ca="1">VLOOKUP($F112,OFFSET(enemy_skill_triggers!$A$1,0,0,COUNTA(enemy_skill_triggers!$A:$A),MATCH(O$1,enemy_skill_triggers!$1:$1,0)-MATCH($F$1,enemy_skill_triggers!$1:$1,0)+1),MATCH(O$1,enemy_skill_triggers!$1:$1,0)-MATCH($F$1,enemy_skill_triggers!$1:$1,0)+1,FALSE)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12" s="47"/>
      <c r="Q112" s="47"/>
      <c r="R112" s="47"/>
    </row>
    <row r="113" spans="1:18" ht="21" customHeight="1" x14ac:dyDescent="0.15">
      <c r="A113" s="39" t="str">
        <f t="shared" si="11"/>
        <v>47016202_47016117</v>
      </c>
      <c r="B113" s="107">
        <v>47016202</v>
      </c>
      <c r="C113" s="114">
        <v>47016117</v>
      </c>
      <c r="D113" s="46" t="str">
        <f ca="1">VLOOKUP($C113,OFFSET(enemy_skills!$A$1,0,0,COUNTA(enemy_skills!$A:$A),MATCH(D$1,enemy_skills!$1:$1,0)-MATCH("enemy_skill_id",enemy_skills!$1:$1,0)+1),MATCH(D$1,enemy_skills!$1:$1,0)-MATCH("enemy_skill_id",enemy_skills!$1:$1,0)+1,FALSE)</f>
        <v>も、もう帰っちゃダメですか〜！？</v>
      </c>
      <c r="E113" s="46" t="str">
        <f ca="1">VLOOKUP($C113,OFFSET(enemy_skills!$A$1,0,0,COUNTA(enemy_skills!$A:$A),MATCH(E$1,enemy_skills!$1:$1,0)-MATCH("enemy_skill_id",enemy_skills!$1:$1,0)+1),MATCH(E$1,enemy_skills!$1:$1,0)-MATCH("enemy_skill_id",enemy_skills!$1:$1,0)+1,FALSE)</f>
        <v>せ、せっかくのイベントなのに〜！</v>
      </c>
      <c r="F113" s="47">
        <v>47016136</v>
      </c>
      <c r="G113" s="48">
        <f ca="1">VLOOKUP($F113,OFFSET(enemy_skill_triggers!$A$1,0,0,COUNTA(enemy_skill_triggers!$A:$A),MATCH(G$1,enemy_skill_triggers!$1:$1,0)-MATCH($F$1,enemy_skill_triggers!$1:$1,0)+1),MATCH(G$1,enemy_skill_triggers!$1:$1,0)-MATCH($F$1,enemy_skill_triggers!$1:$1,0)+1,FALSE)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13" s="48">
        <f ca="1">VLOOKUP($F113,OFFSET(enemy_skill_triggers!$A$1,0,0,COUNTA(enemy_skill_triggers!$A:$A),MATCH(H$1,enemy_skill_triggers!$1:$1,0)-MATCH($F$1,enemy_skill_triggers!$1:$1,0)+1),MATCH(H$1,enemy_skill_triggers!$1:$1,0)-MATCH($F$1,enemy_skill_triggers!$1:$1,0)+1,FALSE)</f>
        <v>430</v>
      </c>
      <c r="I113" s="48">
        <f ca="1">VLOOKUP($F113,OFFSET(enemy_skill_triggers!$A$1,0,0,COUNTA(enemy_skill_triggers!$A:$A),MATCH(I$1,enemy_skill_triggers!$1:$1,0)-MATCH($F$1,enemy_skill_triggers!$1:$1,0)+1),MATCH(I$1,enemy_skill_triggers!$1:$1,0)-MATCH($F$1,enemy_skill_triggers!$1:$1,0)+1,FALSE)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13" s="48" t="str">
        <f ca="1">VLOOKUP($F113,OFFSET(enemy_skill_triggers!$A$1,0,0,COUNTA(enemy_skill_triggers!$A:$A),MATCH(J$1,enemy_skill_triggers!$1:$1,0)-MATCH($F$1,enemy_skill_triggers!$1:$1,0)+1),MATCH(J$1,enemy_skill_triggers!$1:$1,0)-MATCH($F$1,enemy_skill_triggers!$1:$1,0)+1,FALSE)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3" s="48" t="str">
        <f ca="1">VLOOKUP($F113,OFFSET(enemy_skill_triggers!$A$1,0,0,COUNTA(enemy_skill_triggers!$A:$A),MATCH(K$1,enemy_skill_triggers!$1:$1,0)-MATCH($F$1,enemy_skill_triggers!$1:$1,0)+1),MATCH(K$1,enemy_skill_triggers!$1:$1,0)-MATCH($F$1,enemy_skill_triggers!$1:$1,0)+1,FALSE)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3" s="48">
        <f ca="1">VLOOKUP($F113,OFFSET(enemy_skill_triggers!$A$1,0,0,COUNTA(enemy_skill_triggers!$A:$A),MATCH(L$1,enemy_skill_triggers!$1:$1,0)-MATCH($F$1,enemy_skill_triggers!$1:$1,0)+1),MATCH(L$1,enemy_skill_triggers!$1:$1,0)-MATCH($F$1,enemy_skill_triggers!$1:$1,0)+1,FALSE)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13" s="48" t="str">
        <f ca="1">VLOOKUP($F113,OFFSET(enemy_skill_triggers!$A$1,0,0,COUNTA(enemy_skill_triggers!$A:$A),MATCH(M$1,enemy_skill_triggers!$1:$1,0)-MATCH($F$1,enemy_skill_triggers!$1:$1,0)+1),MATCH(M$1,enemy_skill_triggers!$1:$1,0)-MATCH($F$1,enemy_skill_triggers!$1:$1,0)+1,FALSE)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13" s="48">
        <f ca="1">VLOOKUP($F113,OFFSET(enemy_skill_triggers!$A$1,0,0,COUNTA(enemy_skill_triggers!$A:$A),MATCH(N$1,enemy_skill_triggers!$1:$1,0)-MATCH($F$1,enemy_skill_triggers!$1:$1,0)+1),MATCH(N$1,enemy_skill_triggers!$1:$1,0)-MATCH($F$1,enemy_skill_triggers!$1:$1,0)+1,FALSE)</f>
        <v>1709</v>
      </c>
      <c r="O113" s="48">
        <f ca="1">VLOOKUP($F113,OFFSET(enemy_skill_triggers!$A$1,0,0,COUNTA(enemy_skill_triggers!$A:$A),MATCH(O$1,enemy_skill_triggers!$1:$1,0)-MATCH($F$1,enemy_skill_triggers!$1:$1,0)+1),MATCH(O$1,enemy_skill_triggers!$1:$1,0)-MATCH($F$1,enemy_skill_triggers!$1:$1,0)+1,FALSE)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13" s="47"/>
      <c r="Q113" s="47"/>
      <c r="R113" s="47"/>
    </row>
    <row r="114" spans="1:18" ht="21" customHeight="1" x14ac:dyDescent="0.15">
      <c r="A114" s="39" t="str">
        <f t="shared" si="11"/>
        <v>47016202_47016117</v>
      </c>
      <c r="B114" s="107">
        <v>47016202</v>
      </c>
      <c r="C114" s="114">
        <v>47016117</v>
      </c>
      <c r="D114" s="46" t="str">
        <f ca="1">VLOOKUP($C114,OFFSET(enemy_skills!$A$1,0,0,COUNTA(enemy_skills!$A:$A),MATCH(D$1,enemy_skills!$1:$1,0)-MATCH("enemy_skill_id",enemy_skills!$1:$1,0)+1),MATCH(D$1,enemy_skills!$1:$1,0)-MATCH("enemy_skill_id",enemy_skills!$1:$1,0)+1,FALSE)</f>
        <v>も、もう帰っちゃダメですか〜！？</v>
      </c>
      <c r="E114" s="46" t="str">
        <f ca="1">VLOOKUP($C114,OFFSET(enemy_skills!$A$1,0,0,COUNTA(enemy_skills!$A:$A),MATCH(E$1,enemy_skills!$1:$1,0)-MATCH("enemy_skill_id",enemy_skills!$1:$1,0)+1),MATCH(E$1,enemy_skills!$1:$1,0)-MATCH("enemy_skill_id",enemy_skills!$1:$1,0)+1,FALSE)</f>
        <v>せ、せっかくのイベントなのに〜！</v>
      </c>
      <c r="F114" s="47">
        <v>47016137</v>
      </c>
      <c r="G114" s="48">
        <f ca="1">VLOOKUP($F114,OFFSET(enemy_skill_triggers!$A$1,0,0,COUNTA(enemy_skill_triggers!$A:$A),MATCH(G$1,enemy_skill_triggers!$1:$1,0)-MATCH($F$1,enemy_skill_triggers!$1:$1,0)+1),MATCH(G$1,enemy_skill_triggers!$1:$1,0)-MATCH($F$1,enemy_skill_triggers!$1:$1,0)+1,FALSE)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14" s="48">
        <f ca="1">VLOOKUP($F114,OFFSET(enemy_skill_triggers!$A$1,0,0,COUNTA(enemy_skill_triggers!$A:$A),MATCH(H$1,enemy_skill_triggers!$1:$1,0)-MATCH($F$1,enemy_skill_triggers!$1:$1,0)+1),MATCH(H$1,enemy_skill_triggers!$1:$1,0)-MATCH($F$1,enemy_skill_triggers!$1:$1,0)+1,FALSE)</f>
        <v>420</v>
      </c>
      <c r="I114" s="48">
        <f ca="1">VLOOKUP($F114,OFFSET(enemy_skill_triggers!$A$1,0,0,COUNTA(enemy_skill_triggers!$A:$A),MATCH(I$1,enemy_skill_triggers!$1:$1,0)-MATCH($F$1,enemy_skill_triggers!$1:$1,0)+1),MATCH(I$1,enemy_skill_triggers!$1:$1,0)-MATCH($F$1,enemy_skill_triggers!$1:$1,0)+1,FALSE)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14" s="48" t="str">
        <f ca="1">VLOOKUP($F114,OFFSET(enemy_skill_triggers!$A$1,0,0,COUNTA(enemy_skill_triggers!$A:$A),MATCH(J$1,enemy_skill_triggers!$1:$1,0)-MATCH($F$1,enemy_skill_triggers!$1:$1,0)+1),MATCH(J$1,enemy_skill_triggers!$1:$1,0)-MATCH($F$1,enemy_skill_triggers!$1:$1,0)+1,FALSE)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4" s="48" t="str">
        <f ca="1">VLOOKUP($F114,OFFSET(enemy_skill_triggers!$A$1,0,0,COUNTA(enemy_skill_triggers!$A:$A),MATCH(K$1,enemy_skill_triggers!$1:$1,0)-MATCH($F$1,enemy_skill_triggers!$1:$1,0)+1),MATCH(K$1,enemy_skill_triggers!$1:$1,0)-MATCH($F$1,enemy_skill_triggers!$1:$1,0)+1,FALSE)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4" s="48">
        <f ca="1">VLOOKUP($F114,OFFSET(enemy_skill_triggers!$A$1,0,0,COUNTA(enemy_skill_triggers!$A:$A),MATCH(L$1,enemy_skill_triggers!$1:$1,0)-MATCH($F$1,enemy_skill_triggers!$1:$1,0)+1),MATCH(L$1,enemy_skill_triggers!$1:$1,0)-MATCH($F$1,enemy_skill_triggers!$1:$1,0)+1,FALSE)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14" s="48" t="str">
        <f ca="1">VLOOKUP($F114,OFFSET(enemy_skill_triggers!$A$1,0,0,COUNTA(enemy_skill_triggers!$A:$A),MATCH(M$1,enemy_skill_triggers!$1:$1,0)-MATCH($F$1,enemy_skill_triggers!$1:$1,0)+1),MATCH(M$1,enemy_skill_triggers!$1:$1,0)-MATCH($F$1,enemy_skill_triggers!$1:$1,0)+1,FALSE)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14" s="48">
        <f ca="1">VLOOKUP($F114,OFFSET(enemy_skill_triggers!$A$1,0,0,COUNTA(enemy_skill_triggers!$A:$A),MATCH(N$1,enemy_skill_triggers!$1:$1,0)-MATCH($F$1,enemy_skill_triggers!$1:$1,0)+1),MATCH(N$1,enemy_skill_triggers!$1:$1,0)-MATCH($F$1,enemy_skill_triggers!$1:$1,0)+1,FALSE)</f>
        <v>1710</v>
      </c>
      <c r="O114" s="48">
        <f ca="1">VLOOKUP($F114,OFFSET(enemy_skill_triggers!$A$1,0,0,COUNTA(enemy_skill_triggers!$A:$A),MATCH(O$1,enemy_skill_triggers!$1:$1,0)-MATCH($F$1,enemy_skill_triggers!$1:$1,0)+1),MATCH(O$1,enemy_skill_triggers!$1:$1,0)-MATCH($F$1,enemy_skill_triggers!$1:$1,0)+1,FALSE)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14" s="47"/>
      <c r="Q114" s="47"/>
      <c r="R114" s="47"/>
    </row>
    <row r="115" spans="1:18" ht="21" customHeight="1" x14ac:dyDescent="0.15">
      <c r="A115" s="39" t="str">
        <f t="shared" si="11"/>
        <v>47016202_47016117</v>
      </c>
      <c r="B115" s="107">
        <v>47016202</v>
      </c>
      <c r="C115" s="114">
        <v>47016117</v>
      </c>
      <c r="D115" s="46" t="str">
        <f ca="1">VLOOKUP($C115,OFFSET(enemy_skills!$A$1,0,0,COUNTA(enemy_skills!$A:$A),MATCH(D$1,enemy_skills!$1:$1,0)-MATCH("enemy_skill_id",enemy_skills!$1:$1,0)+1),MATCH(D$1,enemy_skills!$1:$1,0)-MATCH("enemy_skill_id",enemy_skills!$1:$1,0)+1,FALSE)</f>
        <v>も、もう帰っちゃダメですか〜！？</v>
      </c>
      <c r="E115" s="46" t="str">
        <f ca="1">VLOOKUP($C115,OFFSET(enemy_skills!$A$1,0,0,COUNTA(enemy_skills!$A:$A),MATCH(E$1,enemy_skills!$1:$1,0)-MATCH("enemy_skill_id",enemy_skills!$1:$1,0)+1),MATCH(E$1,enemy_skills!$1:$1,0)-MATCH("enemy_skill_id",enemy_skills!$1:$1,0)+1,FALSE)</f>
        <v>せ、せっかくのイベントなのに〜！</v>
      </c>
      <c r="F115" s="47">
        <v>47016138</v>
      </c>
      <c r="G115" s="48">
        <f ca="1">VLOOKUP($F115,OFFSET(enemy_skill_triggers!$A$1,0,0,COUNTA(enemy_skill_triggers!$A:$A),MATCH(G$1,enemy_skill_triggers!$1:$1,0)-MATCH($F$1,enemy_skill_triggers!$1:$1,0)+1),MATCH(G$1,enemy_skill_triggers!$1:$1,0)-MATCH($F$1,enemy_skill_triggers!$1:$1,0)+1,FALSE)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15" s="48">
        <f ca="1">VLOOKUP($F115,OFFSET(enemy_skill_triggers!$A$1,0,0,COUNTA(enemy_skill_triggers!$A:$A),MATCH(H$1,enemy_skill_triggers!$1:$1,0)-MATCH($F$1,enemy_skill_triggers!$1:$1,0)+1),MATCH(H$1,enemy_skill_triggers!$1:$1,0)-MATCH($F$1,enemy_skill_triggers!$1:$1,0)+1,FALSE)</f>
        <v>410</v>
      </c>
      <c r="I115" s="48">
        <f ca="1">VLOOKUP($F115,OFFSET(enemy_skill_triggers!$A$1,0,0,COUNTA(enemy_skill_triggers!$A:$A),MATCH(I$1,enemy_skill_triggers!$1:$1,0)-MATCH($F$1,enemy_skill_triggers!$1:$1,0)+1),MATCH(I$1,enemy_skill_triggers!$1:$1,0)-MATCH($F$1,enemy_skill_triggers!$1:$1,0)+1,FALSE)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15" s="48" t="str">
        <f ca="1">VLOOKUP($F115,OFFSET(enemy_skill_triggers!$A$1,0,0,COUNTA(enemy_skill_triggers!$A:$A),MATCH(J$1,enemy_skill_triggers!$1:$1,0)-MATCH($F$1,enemy_skill_triggers!$1:$1,0)+1),MATCH(J$1,enemy_skill_triggers!$1:$1,0)-MATCH($F$1,enemy_skill_triggers!$1:$1,0)+1,FALSE)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5" s="48" t="str">
        <f ca="1">VLOOKUP($F115,OFFSET(enemy_skill_triggers!$A$1,0,0,COUNTA(enemy_skill_triggers!$A:$A),MATCH(K$1,enemy_skill_triggers!$1:$1,0)-MATCH($F$1,enemy_skill_triggers!$1:$1,0)+1),MATCH(K$1,enemy_skill_triggers!$1:$1,0)-MATCH($F$1,enemy_skill_triggers!$1:$1,0)+1,FALSE)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5" s="48">
        <f ca="1">VLOOKUP($F115,OFFSET(enemy_skill_triggers!$A$1,0,0,COUNTA(enemy_skill_triggers!$A:$A),MATCH(L$1,enemy_skill_triggers!$1:$1,0)-MATCH($F$1,enemy_skill_triggers!$1:$1,0)+1),MATCH(L$1,enemy_skill_triggers!$1:$1,0)-MATCH($F$1,enemy_skill_triggers!$1:$1,0)+1,FALSE)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15" s="48" t="str">
        <f ca="1">VLOOKUP($F115,OFFSET(enemy_skill_triggers!$A$1,0,0,COUNTA(enemy_skill_triggers!$A:$A),MATCH(M$1,enemy_skill_triggers!$1:$1,0)-MATCH($F$1,enemy_skill_triggers!$1:$1,0)+1),MATCH(M$1,enemy_skill_triggers!$1:$1,0)-MATCH($F$1,enemy_skill_triggers!$1:$1,0)+1,FALSE)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15" s="48">
        <f ca="1">VLOOKUP($F115,OFFSET(enemy_skill_triggers!$A$1,0,0,COUNTA(enemy_skill_triggers!$A:$A),MATCH(N$1,enemy_skill_triggers!$1:$1,0)-MATCH($F$1,enemy_skill_triggers!$1:$1,0)+1),MATCH(N$1,enemy_skill_triggers!$1:$1,0)-MATCH($F$1,enemy_skill_triggers!$1:$1,0)+1,FALSE)</f>
        <v>1711</v>
      </c>
      <c r="O115" s="48">
        <f ca="1">VLOOKUP($F115,OFFSET(enemy_skill_triggers!$A$1,0,0,COUNTA(enemy_skill_triggers!$A:$A),MATCH(O$1,enemy_skill_triggers!$1:$1,0)-MATCH($F$1,enemy_skill_triggers!$1:$1,0)+1),MATCH(O$1,enemy_skill_triggers!$1:$1,0)-MATCH($F$1,enemy_skill_triggers!$1:$1,0)+1,FALSE)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15" s="47"/>
      <c r="Q115" s="47"/>
      <c r="R115" s="47"/>
    </row>
    <row r="116" spans="1:18" ht="21" customHeight="1" x14ac:dyDescent="0.15">
      <c r="A116" s="39" t="str">
        <f t="shared" si="11"/>
        <v>47016202_47016117</v>
      </c>
      <c r="B116" s="107">
        <v>47016202</v>
      </c>
      <c r="C116" s="114">
        <v>47016117</v>
      </c>
      <c r="D116" s="46" t="str">
        <f ca="1">VLOOKUP($C116,OFFSET(enemy_skills!$A$1,0,0,COUNTA(enemy_skills!$A:$A),MATCH(D$1,enemy_skills!$1:$1,0)-MATCH("enemy_skill_id",enemy_skills!$1:$1,0)+1),MATCH(D$1,enemy_skills!$1:$1,0)-MATCH("enemy_skill_id",enemy_skills!$1:$1,0)+1,FALSE)</f>
        <v>も、もう帰っちゃダメですか〜！？</v>
      </c>
      <c r="E116" s="46" t="str">
        <f ca="1">VLOOKUP($C116,OFFSET(enemy_skills!$A$1,0,0,COUNTA(enemy_skills!$A:$A),MATCH(E$1,enemy_skills!$1:$1,0)-MATCH("enemy_skill_id",enemy_skills!$1:$1,0)+1),MATCH(E$1,enemy_skills!$1:$1,0)-MATCH("enemy_skill_id",enemy_skills!$1:$1,0)+1,FALSE)</f>
        <v>せ、せっかくのイベントなのに〜！</v>
      </c>
      <c r="F116" s="47">
        <v>47016139</v>
      </c>
      <c r="G116" s="48">
        <f ca="1">VLOOKUP($F116,OFFSET(enemy_skill_triggers!$A$1,0,0,COUNTA(enemy_skill_triggers!$A:$A),MATCH(G$1,enemy_skill_triggers!$1:$1,0)-MATCH($F$1,enemy_skill_triggers!$1:$1,0)+1),MATCH(G$1,enemy_skill_triggers!$1:$1,0)-MATCH($F$1,enemy_skill_triggers!$1:$1,0)+1,FALSE)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16" s="48">
        <f ca="1">VLOOKUP($F116,OFFSET(enemy_skill_triggers!$A$1,0,0,COUNTA(enemy_skill_triggers!$A:$A),MATCH(H$1,enemy_skill_triggers!$1:$1,0)-MATCH($F$1,enemy_skill_triggers!$1:$1,0)+1),MATCH(H$1,enemy_skill_triggers!$1:$1,0)-MATCH($F$1,enemy_skill_triggers!$1:$1,0)+1,FALSE)</f>
        <v>400</v>
      </c>
      <c r="I116" s="48">
        <f ca="1">VLOOKUP($F116,OFFSET(enemy_skill_triggers!$A$1,0,0,COUNTA(enemy_skill_triggers!$A:$A),MATCH(I$1,enemy_skill_triggers!$1:$1,0)-MATCH($F$1,enemy_skill_triggers!$1:$1,0)+1),MATCH(I$1,enemy_skill_triggers!$1:$1,0)-MATCH($F$1,enemy_skill_triggers!$1:$1,0)+1,FALSE)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16" s="48" t="str">
        <f ca="1">VLOOKUP($F116,OFFSET(enemy_skill_triggers!$A$1,0,0,COUNTA(enemy_skill_triggers!$A:$A),MATCH(J$1,enemy_skill_triggers!$1:$1,0)-MATCH($F$1,enemy_skill_triggers!$1:$1,0)+1),MATCH(J$1,enemy_skill_triggers!$1:$1,0)-MATCH($F$1,enemy_skill_triggers!$1:$1,0)+1,FALSE)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6" s="48" t="str">
        <f ca="1">VLOOKUP($F116,OFFSET(enemy_skill_triggers!$A$1,0,0,COUNTA(enemy_skill_triggers!$A:$A),MATCH(K$1,enemy_skill_triggers!$1:$1,0)-MATCH($F$1,enemy_skill_triggers!$1:$1,0)+1),MATCH(K$1,enemy_skill_triggers!$1:$1,0)-MATCH($F$1,enemy_skill_triggers!$1:$1,0)+1,FALSE)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6" s="48">
        <f ca="1">VLOOKUP($F116,OFFSET(enemy_skill_triggers!$A$1,0,0,COUNTA(enemy_skill_triggers!$A:$A),MATCH(L$1,enemy_skill_triggers!$1:$1,0)-MATCH($F$1,enemy_skill_triggers!$1:$1,0)+1),MATCH(L$1,enemy_skill_triggers!$1:$1,0)-MATCH($F$1,enemy_skill_triggers!$1:$1,0)+1,FALSE)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16" s="48" t="str">
        <f ca="1">VLOOKUP($F116,OFFSET(enemy_skill_triggers!$A$1,0,0,COUNTA(enemy_skill_triggers!$A:$A),MATCH(M$1,enemy_skill_triggers!$1:$1,0)-MATCH($F$1,enemy_skill_triggers!$1:$1,0)+1),MATCH(M$1,enemy_skill_triggers!$1:$1,0)-MATCH($F$1,enemy_skill_triggers!$1:$1,0)+1,FALSE)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16" s="48">
        <f ca="1">VLOOKUP($F116,OFFSET(enemy_skill_triggers!$A$1,0,0,COUNTA(enemy_skill_triggers!$A:$A),MATCH(N$1,enemy_skill_triggers!$1:$1,0)-MATCH($F$1,enemy_skill_triggers!$1:$1,0)+1),MATCH(N$1,enemy_skill_triggers!$1:$1,0)-MATCH($F$1,enemy_skill_triggers!$1:$1,0)+1,FALSE)</f>
        <v>1712</v>
      </c>
      <c r="O116" s="48">
        <f ca="1">VLOOKUP($F116,OFFSET(enemy_skill_triggers!$A$1,0,0,COUNTA(enemy_skill_triggers!$A:$A),MATCH(O$1,enemy_skill_triggers!$1:$1,0)-MATCH($F$1,enemy_skill_triggers!$1:$1,0)+1),MATCH(O$1,enemy_skill_triggers!$1:$1,0)-MATCH($F$1,enemy_skill_triggers!$1:$1,0)+1,FALSE)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16" s="47"/>
      <c r="Q116" s="47"/>
      <c r="R116" s="47"/>
    </row>
    <row r="117" spans="1:18" ht="21" customHeight="1" x14ac:dyDescent="0.15">
      <c r="A117" s="39" t="str">
        <f t="shared" si="11"/>
        <v>47016202_47016117</v>
      </c>
      <c r="B117" s="107">
        <v>47016202</v>
      </c>
      <c r="C117" s="114">
        <v>47016117</v>
      </c>
      <c r="D117" s="46" t="str">
        <f ca="1">VLOOKUP($C117,OFFSET(enemy_skills!$A$1,0,0,COUNTA(enemy_skills!$A:$A),MATCH(D$1,enemy_skills!$1:$1,0)-MATCH("enemy_skill_id",enemy_skills!$1:$1,0)+1),MATCH(D$1,enemy_skills!$1:$1,0)-MATCH("enemy_skill_id",enemy_skills!$1:$1,0)+1,FALSE)</f>
        <v>も、もう帰っちゃダメですか〜！？</v>
      </c>
      <c r="E117" s="46" t="str">
        <f ca="1">VLOOKUP($C117,OFFSET(enemy_skills!$A$1,0,0,COUNTA(enemy_skills!$A:$A),MATCH(E$1,enemy_skills!$1:$1,0)-MATCH("enemy_skill_id",enemy_skills!$1:$1,0)+1),MATCH(E$1,enemy_skills!$1:$1,0)-MATCH("enemy_skill_id",enemy_skills!$1:$1,0)+1,FALSE)</f>
        <v>せ、せっかくのイベントなのに〜！</v>
      </c>
      <c r="F117" s="47">
        <v>47016140</v>
      </c>
      <c r="G117" s="48">
        <f ca="1">VLOOKUP($F117,OFFSET(enemy_skill_triggers!$A$1,0,0,COUNTA(enemy_skill_triggers!$A:$A),MATCH(G$1,enemy_skill_triggers!$1:$1,0)-MATCH($F$1,enemy_skill_triggers!$1:$1,0)+1),MATCH(G$1,enemy_skill_triggers!$1:$1,0)-MATCH($F$1,enemy_skill_triggers!$1:$1,0)+1,FALSE)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17" s="48">
        <f ca="1">VLOOKUP($F117,OFFSET(enemy_skill_triggers!$A$1,0,0,COUNTA(enemy_skill_triggers!$A:$A),MATCH(H$1,enemy_skill_triggers!$1:$1,0)-MATCH($F$1,enemy_skill_triggers!$1:$1,0)+1),MATCH(H$1,enemy_skill_triggers!$1:$1,0)-MATCH($F$1,enemy_skill_triggers!$1:$1,0)+1,FALSE)</f>
        <v>390</v>
      </c>
      <c r="I117" s="48">
        <f ca="1">VLOOKUP($F117,OFFSET(enemy_skill_triggers!$A$1,0,0,COUNTA(enemy_skill_triggers!$A:$A),MATCH(I$1,enemy_skill_triggers!$1:$1,0)-MATCH($F$1,enemy_skill_triggers!$1:$1,0)+1),MATCH(I$1,enemy_skill_triggers!$1:$1,0)-MATCH($F$1,enemy_skill_triggers!$1:$1,0)+1,FALSE)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17" s="48" t="str">
        <f ca="1">VLOOKUP($F117,OFFSET(enemy_skill_triggers!$A$1,0,0,COUNTA(enemy_skill_triggers!$A:$A),MATCH(J$1,enemy_skill_triggers!$1:$1,0)-MATCH($F$1,enemy_skill_triggers!$1:$1,0)+1),MATCH(J$1,enemy_skill_triggers!$1:$1,0)-MATCH($F$1,enemy_skill_triggers!$1:$1,0)+1,FALSE)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7" s="48" t="str">
        <f ca="1">VLOOKUP($F117,OFFSET(enemy_skill_triggers!$A$1,0,0,COUNTA(enemy_skill_triggers!$A:$A),MATCH(K$1,enemy_skill_triggers!$1:$1,0)-MATCH($F$1,enemy_skill_triggers!$1:$1,0)+1),MATCH(K$1,enemy_skill_triggers!$1:$1,0)-MATCH($F$1,enemy_skill_triggers!$1:$1,0)+1,FALSE)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7" s="48">
        <f ca="1">VLOOKUP($F117,OFFSET(enemy_skill_triggers!$A$1,0,0,COUNTA(enemy_skill_triggers!$A:$A),MATCH(L$1,enemy_skill_triggers!$1:$1,0)-MATCH($F$1,enemy_skill_triggers!$1:$1,0)+1),MATCH(L$1,enemy_skill_triggers!$1:$1,0)-MATCH($F$1,enemy_skill_triggers!$1:$1,0)+1,FALSE)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17" s="48" t="str">
        <f ca="1">VLOOKUP($F117,OFFSET(enemy_skill_triggers!$A$1,0,0,COUNTA(enemy_skill_triggers!$A:$A),MATCH(M$1,enemy_skill_triggers!$1:$1,0)-MATCH($F$1,enemy_skill_triggers!$1:$1,0)+1),MATCH(M$1,enemy_skill_triggers!$1:$1,0)-MATCH($F$1,enemy_skill_triggers!$1:$1,0)+1,FALSE)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17" s="48">
        <f ca="1">VLOOKUP($F117,OFFSET(enemy_skill_triggers!$A$1,0,0,COUNTA(enemy_skill_triggers!$A:$A),MATCH(N$1,enemy_skill_triggers!$1:$1,0)-MATCH($F$1,enemy_skill_triggers!$1:$1,0)+1),MATCH(N$1,enemy_skill_triggers!$1:$1,0)-MATCH($F$1,enemy_skill_triggers!$1:$1,0)+1,FALSE)</f>
        <v>1713</v>
      </c>
      <c r="O117" s="48">
        <f ca="1">VLOOKUP($F117,OFFSET(enemy_skill_triggers!$A$1,0,0,COUNTA(enemy_skill_triggers!$A:$A),MATCH(O$1,enemy_skill_triggers!$1:$1,0)-MATCH($F$1,enemy_skill_triggers!$1:$1,0)+1),MATCH(O$1,enemy_skill_triggers!$1:$1,0)-MATCH($F$1,enemy_skill_triggers!$1:$1,0)+1,FALSE)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17" s="47"/>
      <c r="Q117" s="47"/>
      <c r="R117" s="47"/>
    </row>
    <row r="118" spans="1:18" ht="21" customHeight="1" x14ac:dyDescent="0.15">
      <c r="A118" s="39" t="str">
        <f t="shared" si="11"/>
        <v>47016202_47016117</v>
      </c>
      <c r="B118" s="107">
        <v>47016202</v>
      </c>
      <c r="C118" s="114">
        <v>47016117</v>
      </c>
      <c r="D118" s="46" t="str">
        <f ca="1">VLOOKUP($C118,OFFSET(enemy_skills!$A$1,0,0,COUNTA(enemy_skills!$A:$A),MATCH(D$1,enemy_skills!$1:$1,0)-MATCH("enemy_skill_id",enemy_skills!$1:$1,0)+1),MATCH(D$1,enemy_skills!$1:$1,0)-MATCH("enemy_skill_id",enemy_skills!$1:$1,0)+1,FALSE)</f>
        <v>も、もう帰っちゃダメですか〜！？</v>
      </c>
      <c r="E118" s="46" t="str">
        <f ca="1">VLOOKUP($C118,OFFSET(enemy_skills!$A$1,0,0,COUNTA(enemy_skills!$A:$A),MATCH(E$1,enemy_skills!$1:$1,0)-MATCH("enemy_skill_id",enemy_skills!$1:$1,0)+1),MATCH(E$1,enemy_skills!$1:$1,0)-MATCH("enemy_skill_id",enemy_skills!$1:$1,0)+1,FALSE)</f>
        <v>せ、せっかくのイベントなのに〜！</v>
      </c>
      <c r="F118" s="47">
        <v>47016141</v>
      </c>
      <c r="G118" s="48">
        <f ca="1">VLOOKUP($F118,OFFSET(enemy_skill_triggers!$A$1,0,0,COUNTA(enemy_skill_triggers!$A:$A),MATCH(G$1,enemy_skill_triggers!$1:$1,0)-MATCH($F$1,enemy_skill_triggers!$1:$1,0)+1),MATCH(G$1,enemy_skill_triggers!$1:$1,0)-MATCH($F$1,enemy_skill_triggers!$1:$1,0)+1,FALSE)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18" s="48">
        <f ca="1">VLOOKUP($F118,OFFSET(enemy_skill_triggers!$A$1,0,0,COUNTA(enemy_skill_triggers!$A:$A),MATCH(H$1,enemy_skill_triggers!$1:$1,0)-MATCH($F$1,enemy_skill_triggers!$1:$1,0)+1),MATCH(H$1,enemy_skill_triggers!$1:$1,0)-MATCH($F$1,enemy_skill_triggers!$1:$1,0)+1,FALSE)</f>
        <v>380</v>
      </c>
      <c r="I118" s="48">
        <f ca="1">VLOOKUP($F118,OFFSET(enemy_skill_triggers!$A$1,0,0,COUNTA(enemy_skill_triggers!$A:$A),MATCH(I$1,enemy_skill_triggers!$1:$1,0)-MATCH($F$1,enemy_skill_triggers!$1:$1,0)+1),MATCH(I$1,enemy_skill_triggers!$1:$1,0)-MATCH($F$1,enemy_skill_triggers!$1:$1,0)+1,FALSE)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18" s="48" t="str">
        <f ca="1">VLOOKUP($F118,OFFSET(enemy_skill_triggers!$A$1,0,0,COUNTA(enemy_skill_triggers!$A:$A),MATCH(J$1,enemy_skill_triggers!$1:$1,0)-MATCH($F$1,enemy_skill_triggers!$1:$1,0)+1),MATCH(J$1,enemy_skill_triggers!$1:$1,0)-MATCH($F$1,enemy_skill_triggers!$1:$1,0)+1,FALSE)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8" s="48" t="str">
        <f ca="1">VLOOKUP($F118,OFFSET(enemy_skill_triggers!$A$1,0,0,COUNTA(enemy_skill_triggers!$A:$A),MATCH(K$1,enemy_skill_triggers!$1:$1,0)-MATCH($F$1,enemy_skill_triggers!$1:$1,0)+1),MATCH(K$1,enemy_skill_triggers!$1:$1,0)-MATCH($F$1,enemy_skill_triggers!$1:$1,0)+1,FALSE)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8" s="48">
        <f ca="1">VLOOKUP($F118,OFFSET(enemy_skill_triggers!$A$1,0,0,COUNTA(enemy_skill_triggers!$A:$A),MATCH(L$1,enemy_skill_triggers!$1:$1,0)-MATCH($F$1,enemy_skill_triggers!$1:$1,0)+1),MATCH(L$1,enemy_skill_triggers!$1:$1,0)-MATCH($F$1,enemy_skill_triggers!$1:$1,0)+1,FALSE)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18" s="48" t="str">
        <f ca="1">VLOOKUP($F118,OFFSET(enemy_skill_triggers!$A$1,0,0,COUNTA(enemy_skill_triggers!$A:$A),MATCH(M$1,enemy_skill_triggers!$1:$1,0)-MATCH($F$1,enemy_skill_triggers!$1:$1,0)+1),MATCH(M$1,enemy_skill_triggers!$1:$1,0)-MATCH($F$1,enemy_skill_triggers!$1:$1,0)+1,FALSE)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18" s="48">
        <f ca="1">VLOOKUP($F118,OFFSET(enemy_skill_triggers!$A$1,0,0,COUNTA(enemy_skill_triggers!$A:$A),MATCH(N$1,enemy_skill_triggers!$1:$1,0)-MATCH($F$1,enemy_skill_triggers!$1:$1,0)+1),MATCH(N$1,enemy_skill_triggers!$1:$1,0)-MATCH($F$1,enemy_skill_triggers!$1:$1,0)+1,FALSE)</f>
        <v>1714</v>
      </c>
      <c r="O118" s="48">
        <f ca="1">VLOOKUP($F118,OFFSET(enemy_skill_triggers!$A$1,0,0,COUNTA(enemy_skill_triggers!$A:$A),MATCH(O$1,enemy_skill_triggers!$1:$1,0)-MATCH($F$1,enemy_skill_triggers!$1:$1,0)+1),MATCH(O$1,enemy_skill_triggers!$1:$1,0)-MATCH($F$1,enemy_skill_triggers!$1:$1,0)+1,FALSE)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18" s="47"/>
      <c r="Q118" s="47"/>
      <c r="R118" s="47"/>
    </row>
    <row r="119" spans="1:18" ht="21" customHeight="1" x14ac:dyDescent="0.15">
      <c r="A119" s="39" t="str">
        <f t="shared" si="11"/>
        <v>47016202_47016117</v>
      </c>
      <c r="B119" s="107">
        <v>47016202</v>
      </c>
      <c r="C119" s="114">
        <v>47016117</v>
      </c>
      <c r="D119" s="46" t="str">
        <f ca="1">VLOOKUP($C119,OFFSET(enemy_skills!$A$1,0,0,COUNTA(enemy_skills!$A:$A),MATCH(D$1,enemy_skills!$1:$1,0)-MATCH("enemy_skill_id",enemy_skills!$1:$1,0)+1),MATCH(D$1,enemy_skills!$1:$1,0)-MATCH("enemy_skill_id",enemy_skills!$1:$1,0)+1,FALSE)</f>
        <v>も、もう帰っちゃダメですか〜！？</v>
      </c>
      <c r="E119" s="46" t="str">
        <f ca="1">VLOOKUP($C119,OFFSET(enemy_skills!$A$1,0,0,COUNTA(enemy_skills!$A:$A),MATCH(E$1,enemy_skills!$1:$1,0)-MATCH("enemy_skill_id",enemy_skills!$1:$1,0)+1),MATCH(E$1,enemy_skills!$1:$1,0)-MATCH("enemy_skill_id",enemy_skills!$1:$1,0)+1,FALSE)</f>
        <v>せ、せっかくのイベントなのに〜！</v>
      </c>
      <c r="F119" s="47">
        <v>47016142</v>
      </c>
      <c r="G119" s="48">
        <f ca="1">VLOOKUP($F119,OFFSET(enemy_skill_triggers!$A$1,0,0,COUNTA(enemy_skill_triggers!$A:$A),MATCH(G$1,enemy_skill_triggers!$1:$1,0)-MATCH($F$1,enemy_skill_triggers!$1:$1,0)+1),MATCH(G$1,enemy_skill_triggers!$1:$1,0)-MATCH($F$1,enemy_skill_triggers!$1:$1,0)+1,FALSE)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19" s="48">
        <f ca="1">VLOOKUP($F119,OFFSET(enemy_skill_triggers!$A$1,0,0,COUNTA(enemy_skill_triggers!$A:$A),MATCH(H$1,enemy_skill_triggers!$1:$1,0)-MATCH($F$1,enemy_skill_triggers!$1:$1,0)+1),MATCH(H$1,enemy_skill_triggers!$1:$1,0)-MATCH($F$1,enemy_skill_triggers!$1:$1,0)+1,FALSE)</f>
        <v>370</v>
      </c>
      <c r="I119" s="48">
        <f ca="1">VLOOKUP($F119,OFFSET(enemy_skill_triggers!$A$1,0,0,COUNTA(enemy_skill_triggers!$A:$A),MATCH(I$1,enemy_skill_triggers!$1:$1,0)-MATCH($F$1,enemy_skill_triggers!$1:$1,0)+1),MATCH(I$1,enemy_skill_triggers!$1:$1,0)-MATCH($F$1,enemy_skill_triggers!$1:$1,0)+1,FALSE)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19" s="48" t="str">
        <f ca="1">VLOOKUP($F119,OFFSET(enemy_skill_triggers!$A$1,0,0,COUNTA(enemy_skill_triggers!$A:$A),MATCH(J$1,enemy_skill_triggers!$1:$1,0)-MATCH($F$1,enemy_skill_triggers!$1:$1,0)+1),MATCH(J$1,enemy_skill_triggers!$1:$1,0)-MATCH($F$1,enemy_skill_triggers!$1:$1,0)+1,FALSE)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9" s="48" t="str">
        <f ca="1">VLOOKUP($F119,OFFSET(enemy_skill_triggers!$A$1,0,0,COUNTA(enemy_skill_triggers!$A:$A),MATCH(K$1,enemy_skill_triggers!$1:$1,0)-MATCH($F$1,enemy_skill_triggers!$1:$1,0)+1),MATCH(K$1,enemy_skill_triggers!$1:$1,0)-MATCH($F$1,enemy_skill_triggers!$1:$1,0)+1,FALSE)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9" s="48">
        <f ca="1">VLOOKUP($F119,OFFSET(enemy_skill_triggers!$A$1,0,0,COUNTA(enemy_skill_triggers!$A:$A),MATCH(L$1,enemy_skill_triggers!$1:$1,0)-MATCH($F$1,enemy_skill_triggers!$1:$1,0)+1),MATCH(L$1,enemy_skill_triggers!$1:$1,0)-MATCH($F$1,enemy_skill_triggers!$1:$1,0)+1,FALSE)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19" s="48" t="str">
        <f ca="1">VLOOKUP($F119,OFFSET(enemy_skill_triggers!$A$1,0,0,COUNTA(enemy_skill_triggers!$A:$A),MATCH(M$1,enemy_skill_triggers!$1:$1,0)-MATCH($F$1,enemy_skill_triggers!$1:$1,0)+1),MATCH(M$1,enemy_skill_triggers!$1:$1,0)-MATCH($F$1,enemy_skill_triggers!$1:$1,0)+1,FALSE)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19" s="48">
        <f ca="1">VLOOKUP($F119,OFFSET(enemy_skill_triggers!$A$1,0,0,COUNTA(enemy_skill_triggers!$A:$A),MATCH(N$1,enemy_skill_triggers!$1:$1,0)-MATCH($F$1,enemy_skill_triggers!$1:$1,0)+1),MATCH(N$1,enemy_skill_triggers!$1:$1,0)-MATCH($F$1,enemy_skill_triggers!$1:$1,0)+1,FALSE)</f>
        <v>1715</v>
      </c>
      <c r="O119" s="48">
        <f ca="1">VLOOKUP($F119,OFFSET(enemy_skill_triggers!$A$1,0,0,COUNTA(enemy_skill_triggers!$A:$A),MATCH(O$1,enemy_skill_triggers!$1:$1,0)-MATCH($F$1,enemy_skill_triggers!$1:$1,0)+1),MATCH(O$1,enemy_skill_triggers!$1:$1,0)-MATCH($F$1,enemy_skill_triggers!$1:$1,0)+1,FALSE)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19" s="47"/>
      <c r="Q119" s="47"/>
      <c r="R119" s="47"/>
    </row>
    <row r="120" spans="1:18" ht="21" customHeight="1" x14ac:dyDescent="0.15">
      <c r="A120" s="39" t="str">
        <f t="shared" si="11"/>
        <v>47016202_47016117</v>
      </c>
      <c r="B120" s="107">
        <v>47016202</v>
      </c>
      <c r="C120" s="114">
        <v>47016117</v>
      </c>
      <c r="D120" s="46" t="str">
        <f ca="1">VLOOKUP($C120,OFFSET(enemy_skills!$A$1,0,0,COUNTA(enemy_skills!$A:$A),MATCH(D$1,enemy_skills!$1:$1,0)-MATCH("enemy_skill_id",enemy_skills!$1:$1,0)+1),MATCH(D$1,enemy_skills!$1:$1,0)-MATCH("enemy_skill_id",enemy_skills!$1:$1,0)+1,FALSE)</f>
        <v>も、もう帰っちゃダメですか〜！？</v>
      </c>
      <c r="E120" s="46" t="str">
        <f ca="1">VLOOKUP($C120,OFFSET(enemy_skills!$A$1,0,0,COUNTA(enemy_skills!$A:$A),MATCH(E$1,enemy_skills!$1:$1,0)-MATCH("enemy_skill_id",enemy_skills!$1:$1,0)+1),MATCH(E$1,enemy_skills!$1:$1,0)-MATCH("enemy_skill_id",enemy_skills!$1:$1,0)+1,FALSE)</f>
        <v>せ、せっかくのイベントなのに〜！</v>
      </c>
      <c r="F120" s="47">
        <v>47016143</v>
      </c>
      <c r="G120" s="48">
        <f ca="1">VLOOKUP($F120,OFFSET(enemy_skill_triggers!$A$1,0,0,COUNTA(enemy_skill_triggers!$A:$A),MATCH(G$1,enemy_skill_triggers!$1:$1,0)-MATCH($F$1,enemy_skill_triggers!$1:$1,0)+1),MATCH(G$1,enemy_skill_triggers!$1:$1,0)-MATCH($F$1,enemy_skill_triggers!$1:$1,0)+1,FALSE)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20" s="48">
        <f ca="1">VLOOKUP($F120,OFFSET(enemy_skill_triggers!$A$1,0,0,COUNTA(enemy_skill_triggers!$A:$A),MATCH(H$1,enemy_skill_triggers!$1:$1,0)-MATCH($F$1,enemy_skill_triggers!$1:$1,0)+1),MATCH(H$1,enemy_skill_triggers!$1:$1,0)-MATCH($F$1,enemy_skill_triggers!$1:$1,0)+1,FALSE)</f>
        <v>360</v>
      </c>
      <c r="I120" s="48">
        <f ca="1">VLOOKUP($F120,OFFSET(enemy_skill_triggers!$A$1,0,0,COUNTA(enemy_skill_triggers!$A:$A),MATCH(I$1,enemy_skill_triggers!$1:$1,0)-MATCH($F$1,enemy_skill_triggers!$1:$1,0)+1),MATCH(I$1,enemy_skill_triggers!$1:$1,0)-MATCH($F$1,enemy_skill_triggers!$1:$1,0)+1,FALSE)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20" s="48" t="str">
        <f ca="1">VLOOKUP($F120,OFFSET(enemy_skill_triggers!$A$1,0,0,COUNTA(enemy_skill_triggers!$A:$A),MATCH(J$1,enemy_skill_triggers!$1:$1,0)-MATCH($F$1,enemy_skill_triggers!$1:$1,0)+1),MATCH(J$1,enemy_skill_triggers!$1:$1,0)-MATCH($F$1,enemy_skill_triggers!$1:$1,0)+1,FALSE)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20" s="48" t="str">
        <f ca="1">VLOOKUP($F120,OFFSET(enemy_skill_triggers!$A$1,0,0,COUNTA(enemy_skill_triggers!$A:$A),MATCH(K$1,enemy_skill_triggers!$1:$1,0)-MATCH($F$1,enemy_skill_triggers!$1:$1,0)+1),MATCH(K$1,enemy_skill_triggers!$1:$1,0)-MATCH($F$1,enemy_skill_triggers!$1:$1,0)+1,FALSE)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0" s="48">
        <f ca="1">VLOOKUP($F120,OFFSET(enemy_skill_triggers!$A$1,0,0,COUNTA(enemy_skill_triggers!$A:$A),MATCH(L$1,enemy_skill_triggers!$1:$1,0)-MATCH($F$1,enemy_skill_triggers!$1:$1,0)+1),MATCH(L$1,enemy_skill_triggers!$1:$1,0)-MATCH($F$1,enemy_skill_triggers!$1:$1,0)+1,FALSE)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20" s="48" t="str">
        <f ca="1">VLOOKUP($F120,OFFSET(enemy_skill_triggers!$A$1,0,0,COUNTA(enemy_skill_triggers!$A:$A),MATCH(M$1,enemy_skill_triggers!$1:$1,0)-MATCH($F$1,enemy_skill_triggers!$1:$1,0)+1),MATCH(M$1,enemy_skill_triggers!$1:$1,0)-MATCH($F$1,enemy_skill_triggers!$1:$1,0)+1,FALSE)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20" s="48">
        <f ca="1">VLOOKUP($F120,OFFSET(enemy_skill_triggers!$A$1,0,0,COUNTA(enemy_skill_triggers!$A:$A),MATCH(N$1,enemy_skill_triggers!$1:$1,0)-MATCH($F$1,enemy_skill_triggers!$1:$1,0)+1),MATCH(N$1,enemy_skill_triggers!$1:$1,0)-MATCH($F$1,enemy_skill_triggers!$1:$1,0)+1,FALSE)</f>
        <v>1716</v>
      </c>
      <c r="O120" s="48">
        <f ca="1">VLOOKUP($F120,OFFSET(enemy_skill_triggers!$A$1,0,0,COUNTA(enemy_skill_triggers!$A:$A),MATCH(O$1,enemy_skill_triggers!$1:$1,0)-MATCH($F$1,enemy_skill_triggers!$1:$1,0)+1),MATCH(O$1,enemy_skill_triggers!$1:$1,0)-MATCH($F$1,enemy_skill_triggers!$1:$1,0)+1,FALSE)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20" s="47"/>
      <c r="Q120" s="47"/>
      <c r="R120" s="47"/>
    </row>
    <row r="121" spans="1:18" ht="21" customHeight="1" x14ac:dyDescent="0.15">
      <c r="A121" s="39" t="str">
        <f t="shared" si="11"/>
        <v>47016202_47016218</v>
      </c>
      <c r="B121" s="107">
        <v>47016202</v>
      </c>
      <c r="C121" s="174">
        <v>47016218</v>
      </c>
      <c r="D121" s="46" t="str">
        <f ca="1">VLOOKUP($C121,OFFSET(enemy_skills!$A$1,0,0,COUNTA(enemy_skills!$A:$A),MATCH(D$1,enemy_skills!$1:$1,0)-MATCH("enemy_skill_id",enemy_skills!$1:$1,0)+1),MATCH(D$1,enemy_skills!$1:$1,0)-MATCH("enemy_skill_id",enemy_skills!$1:$1,0)+1,FALSE)</f>
        <v>こ、怖いのはいやです〜！</v>
      </c>
      <c r="E121" s="46" t="str">
        <f ca="1">VLOOKUP($C121,OFFSET(enemy_skills!$A$1,0,0,COUNTA(enemy_skills!$A:$A),MATCH(E$1,enemy_skills!$1:$1,0)-MATCH("enemy_skill_id",enemy_skills!$1:$1,0)+1),MATCH(E$1,enemy_skills!$1:$1,0)-MATCH("enemy_skill_id",enemy_skills!$1:$1,0)+1,FALSE)</f>
        <v>あの音どうにかならないんですか〜！_x000D_【3ターン黄パネルを吸収して防御力UP】</v>
      </c>
      <c r="F121" s="47">
        <v>47016144</v>
      </c>
      <c r="G121" s="48">
        <f ca="1">VLOOKUP($F121,OFFSET(enemy_skill_triggers!$A$1,0,0,COUNTA(enemy_skill_triggers!$A:$A),MATCH(G$1,enemy_skill_triggers!$1:$1,0)-MATCH($F$1,enemy_skill_triggers!$1:$1,0)+1),MATCH(G$1,enemy_skill_triggers!$1:$1,0)-MATCH($F$1,enemy_skill_triggers!$1:$1,0)+1,FALSE)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21" s="48">
        <f ca="1">VLOOKUP($F121,OFFSET(enemy_skill_triggers!$A$1,0,0,COUNTA(enemy_skill_triggers!$A:$A),MATCH(H$1,enemy_skill_triggers!$1:$1,0)-MATCH($F$1,enemy_skill_triggers!$1:$1,0)+1),MATCH(H$1,enemy_skill_triggers!$1:$1,0)-MATCH($F$1,enemy_skill_triggers!$1:$1,0)+1,FALSE)</f>
        <v>300</v>
      </c>
      <c r="I121" s="48">
        <f ca="1">VLOOKUP($F121,OFFSET(enemy_skill_triggers!$A$1,0,0,COUNTA(enemy_skill_triggers!$A:$A),MATCH(I$1,enemy_skill_triggers!$1:$1,0)-MATCH($F$1,enemy_skill_triggers!$1:$1,0)+1),MATCH(I$1,enemy_skill_triggers!$1:$1,0)-MATCH($F$1,enemy_skill_triggers!$1:$1,0)+1,FALSE)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21" s="48" t="str">
        <f ca="1">VLOOKUP($F121,OFFSET(enemy_skill_triggers!$A$1,0,0,COUNTA(enemy_skill_triggers!$A:$A),MATCH(J$1,enemy_skill_triggers!$1:$1,0)-MATCH($F$1,enemy_skill_triggers!$1:$1,0)+1),MATCH(J$1,enemy_skill_triggers!$1:$1,0)-MATCH($F$1,enemy_skill_triggers!$1:$1,0)+1,FALSE)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21" s="48" t="str">
        <f ca="1">VLOOKUP($F121,OFFSET(enemy_skill_triggers!$A$1,0,0,COUNTA(enemy_skill_triggers!$A:$A),MATCH(K$1,enemy_skill_triggers!$1:$1,0)-MATCH($F$1,enemy_skill_triggers!$1:$1,0)+1),MATCH(K$1,enemy_skill_triggers!$1:$1,0)-MATCH($F$1,enemy_skill_triggers!$1:$1,0)+1,FALSE)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1" s="48">
        <f ca="1">VLOOKUP($F121,OFFSET(enemy_skill_triggers!$A$1,0,0,COUNTA(enemy_skill_triggers!$A:$A),MATCH(L$1,enemy_skill_triggers!$1:$1,0)-MATCH($F$1,enemy_skill_triggers!$1:$1,0)+1),MATCH(L$1,enemy_skill_triggers!$1:$1,0)-MATCH($F$1,enemy_skill_triggers!$1:$1,0)+1,FALSE)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21" s="48" t="str">
        <f ca="1">VLOOKUP($F121,OFFSET(enemy_skill_triggers!$A$1,0,0,COUNTA(enemy_skill_triggers!$A:$A),MATCH(M$1,enemy_skill_triggers!$1:$1,0)-MATCH($F$1,enemy_skill_triggers!$1:$1,0)+1),MATCH(M$1,enemy_skill_triggers!$1:$1,0)-MATCH($F$1,enemy_skill_triggers!$1:$1,0)+1,FALSE)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21" s="48" t="str">
        <f ca="1">VLOOKUP($F121,OFFSET(enemy_skill_triggers!$A$1,0,0,COUNTA(enemy_skill_triggers!$A:$A),MATCH(N$1,enemy_skill_triggers!$1:$1,0)-MATCH($F$1,enemy_skill_triggers!$1:$1,0)+1),MATCH(N$1,enemy_skill_triggers!$1:$1,0)-MATCH($F$1,enemy_skill_triggers!$1:$1,0)+1,FALSE)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21" s="48">
        <f ca="1">VLOOKUP($F121,OFFSET(enemy_skill_triggers!$A$1,0,0,COUNTA(enemy_skill_triggers!$A:$A),MATCH(O$1,enemy_skill_triggers!$1:$1,0)-MATCH($F$1,enemy_skill_triggers!$1:$1,0)+1),MATCH(O$1,enemy_skill_triggers!$1:$1,0)-MATCH($F$1,enemy_skill_triggers!$1:$1,0)+1,FALSE)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21" s="47"/>
      <c r="Q121" s="47"/>
      <c r="R121" s="47"/>
    </row>
    <row r="122" spans="1:18" ht="21" customHeight="1" x14ac:dyDescent="0.15">
      <c r="A122" s="39" t="str">
        <f t="shared" si="11"/>
        <v>47016202_47016219</v>
      </c>
      <c r="B122" s="107">
        <v>47016202</v>
      </c>
      <c r="C122" s="174">
        <v>47016219</v>
      </c>
      <c r="D122" s="46" t="str">
        <f ca="1">VLOOKUP($C122,OFFSET(enemy_skills!$A$1,0,0,COUNTA(enemy_skills!$A:$A),MATCH(D$1,enemy_skills!$1:$1,0)-MATCH("enemy_skill_id",enemy_skills!$1:$1,0)+1),MATCH(D$1,enemy_skills!$1:$1,0)-MATCH("enemy_skill_id",enemy_skills!$1:$1,0)+1,FALSE)</f>
        <v>ぼ、暴力はいけません！</v>
      </c>
      <c r="E122" s="46" t="str">
        <f ca="1">VLOOKUP($C122,OFFSET(enemy_skills!$A$1,0,0,COUNTA(enemy_skills!$A:$A),MATCH(E$1,enemy_skills!$1:$1,0)-MATCH("enemy_skill_id",enemy_skills!$1:$1,0)+1),MATCH(E$1,enemy_skills!$1:$1,0)-MATCH("enemy_skill_id",enemy_skills!$1:$1,0)+1,FALSE)</f>
        <v>2ターン全ユニットの攻撃力50%DOWN+_x000D_Cパネルプロテクト</v>
      </c>
      <c r="F122" s="47">
        <v>47016145</v>
      </c>
      <c r="G122" s="48">
        <f ca="1">VLOOKUP($F122,OFFSET(enemy_skill_triggers!$A$1,0,0,COUNTA(enemy_skill_triggers!$A:$A),MATCH(G$1,enemy_skill_triggers!$1:$1,0)-MATCH($F$1,enemy_skill_triggers!$1:$1,0)+1),MATCH(G$1,enemy_skill_triggers!$1:$1,0)-MATCH($F$1,enemy_skill_triggers!$1:$1,0)+1,FALSE)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22" s="48">
        <f ca="1">VLOOKUP($F122,OFFSET(enemy_skill_triggers!$A$1,0,0,COUNTA(enemy_skill_triggers!$A:$A),MATCH(H$1,enemy_skill_triggers!$1:$1,0)-MATCH($F$1,enemy_skill_triggers!$1:$1,0)+1),MATCH(H$1,enemy_skill_triggers!$1:$1,0)-MATCH($F$1,enemy_skill_triggers!$1:$1,0)+1,FALSE)</f>
        <v>310</v>
      </c>
      <c r="I122" s="48">
        <f ca="1">VLOOKUP($F122,OFFSET(enemy_skill_triggers!$A$1,0,0,COUNTA(enemy_skill_triggers!$A:$A),MATCH(I$1,enemy_skill_triggers!$1:$1,0)-MATCH($F$1,enemy_skill_triggers!$1:$1,0)+1),MATCH(I$1,enemy_skill_triggers!$1:$1,0)-MATCH($F$1,enemy_skill_triggers!$1:$1,0)+1,FALSE)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22" s="48" t="str">
        <f ca="1">VLOOKUP($F122,OFFSET(enemy_skill_triggers!$A$1,0,0,COUNTA(enemy_skill_triggers!$A:$A),MATCH(J$1,enemy_skill_triggers!$1:$1,0)-MATCH($F$1,enemy_skill_triggers!$1:$1,0)+1),MATCH(J$1,enemy_skill_triggers!$1:$1,0)-MATCH($F$1,enemy_skill_triggers!$1:$1,0)+1,FALSE)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22" s="48" t="str">
        <f ca="1">VLOOKUP($F122,OFFSET(enemy_skill_triggers!$A$1,0,0,COUNTA(enemy_skill_triggers!$A:$A),MATCH(K$1,enemy_skill_triggers!$1:$1,0)-MATCH($F$1,enemy_skill_triggers!$1:$1,0)+1),MATCH(K$1,enemy_skill_triggers!$1:$1,0)-MATCH($F$1,enemy_skill_triggers!$1:$1,0)+1,FALSE)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2" s="48">
        <f ca="1">VLOOKUP($F122,OFFSET(enemy_skill_triggers!$A$1,0,0,COUNTA(enemy_skill_triggers!$A:$A),MATCH(L$1,enemy_skill_triggers!$1:$1,0)-MATCH($F$1,enemy_skill_triggers!$1:$1,0)+1),MATCH(L$1,enemy_skill_triggers!$1:$1,0)-MATCH($F$1,enemy_skill_triggers!$1:$1,0)+1,FALSE)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22" s="48">
        <f ca="1">VLOOKUP($F122,OFFSET(enemy_skill_triggers!$A$1,0,0,COUNTA(enemy_skill_triggers!$A:$A),MATCH(M$1,enemy_skill_triggers!$1:$1,0)-MATCH($F$1,enemy_skill_triggers!$1:$1,0)+1),MATCH(M$1,enemy_skill_triggers!$1:$1,0)-MATCH($F$1,enemy_skill_triggers!$1:$1,0)+1,FALSE)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22" s="48" t="str">
        <f ca="1">VLOOKUP($F122,OFFSET(enemy_skill_triggers!$A$1,0,0,COUNTA(enemy_skill_triggers!$A:$A),MATCH(N$1,enemy_skill_triggers!$1:$1,0)-MATCH($F$1,enemy_skill_triggers!$1:$1,0)+1),MATCH(N$1,enemy_skill_triggers!$1:$1,0)-MATCH($F$1,enemy_skill_triggers!$1:$1,0)+1,FALSE)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22" s="48">
        <f ca="1">VLOOKUP($F122,OFFSET(enemy_skill_triggers!$A$1,0,0,COUNTA(enemy_skill_triggers!$A:$A),MATCH(O$1,enemy_skill_triggers!$1:$1,0)-MATCH($F$1,enemy_skill_triggers!$1:$1,0)+1),MATCH(O$1,enemy_skill_triggers!$1:$1,0)-MATCH($F$1,enemy_skill_triggers!$1:$1,0)+1,FALSE)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22" s="47"/>
      <c r="Q122" s="47"/>
      <c r="R122" s="47"/>
    </row>
    <row r="123" spans="1:18" ht="21" customHeight="1" x14ac:dyDescent="0.15">
      <c r="A123" s="39" t="str">
        <f t="shared" si="11"/>
        <v>47016202_47016120</v>
      </c>
      <c r="B123" s="107">
        <v>47016202</v>
      </c>
      <c r="C123" s="114">
        <v>47016120</v>
      </c>
      <c r="D123" s="46" t="str">
        <f ca="1">VLOOKUP($C123,OFFSET(enemy_skills!$A$1,0,0,COUNTA(enemy_skills!$A:$A),MATCH(D$1,enemy_skills!$1:$1,0)-MATCH("enemy_skill_id",enemy_skills!$1:$1,0)+1),MATCH(D$1,enemy_skills!$1:$1,0)-MATCH("enemy_skill_id",enemy_skills!$1:$1,0)+1,FALSE)</f>
        <v>サザンカのブーケですよ〜！</v>
      </c>
      <c r="E123" s="46" t="str">
        <f ca="1">VLOOKUP($C123,OFFSET(enemy_skills!$A$1,0,0,COUNTA(enemy_skills!$A:$A),MATCH(E$1,enemy_skills!$1:$1,0)-MATCH("enemy_skill_id",enemy_skills!$1:$1,0)+1),MATCH(E$1,enemy_skills!$1:$1,0)-MATCH("enemy_skill_id",enemy_skills!$1:$1,0)+1,FALSE)</f>
        <v>はい、どうぞ！_x000D_【特定エリアを黄・ハートパネルに変換】</v>
      </c>
      <c r="F123" s="47">
        <v>47016146</v>
      </c>
      <c r="G123" s="48">
        <f ca="1">VLOOKUP($F123,OFFSET(enemy_skill_triggers!$A$1,0,0,COUNTA(enemy_skill_triggers!$A:$A),MATCH(G$1,enemy_skill_triggers!$1:$1,0)-MATCH($F$1,enemy_skill_triggers!$1:$1,0)+1),MATCH(G$1,enemy_skill_triggers!$1:$1,0)-MATCH($F$1,enemy_skill_triggers!$1:$1,0)+1,FALSE)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23" s="48">
        <f ca="1">VLOOKUP($F123,OFFSET(enemy_skill_triggers!$A$1,0,0,COUNTA(enemy_skill_triggers!$A:$A),MATCH(H$1,enemy_skill_triggers!$1:$1,0)-MATCH($F$1,enemy_skill_triggers!$1:$1,0)+1),MATCH(H$1,enemy_skill_triggers!$1:$1,0)-MATCH($F$1,enemy_skill_triggers!$1:$1,0)+1,FALSE)</f>
        <v>320</v>
      </c>
      <c r="I123" s="48">
        <f ca="1">VLOOKUP($F123,OFFSET(enemy_skill_triggers!$A$1,0,0,COUNTA(enemy_skill_triggers!$A:$A),MATCH(I$1,enemy_skill_triggers!$1:$1,0)-MATCH($F$1,enemy_skill_triggers!$1:$1,0)+1),MATCH(I$1,enemy_skill_triggers!$1:$1,0)-MATCH($F$1,enemy_skill_triggers!$1:$1,0)+1,FALSE)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23" s="48" t="str">
        <f ca="1">VLOOKUP($F123,OFFSET(enemy_skill_triggers!$A$1,0,0,COUNTA(enemy_skill_triggers!$A:$A),MATCH(J$1,enemy_skill_triggers!$1:$1,0)-MATCH($F$1,enemy_skill_triggers!$1:$1,0)+1),MATCH(J$1,enemy_skill_triggers!$1:$1,0)-MATCH($F$1,enemy_skill_triggers!$1:$1,0)+1,FALSE)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23" s="48" t="str">
        <f ca="1">VLOOKUP($F123,OFFSET(enemy_skill_triggers!$A$1,0,0,COUNTA(enemy_skill_triggers!$A:$A),MATCH(K$1,enemy_skill_triggers!$1:$1,0)-MATCH($F$1,enemy_skill_triggers!$1:$1,0)+1),MATCH(K$1,enemy_skill_triggers!$1:$1,0)-MATCH($F$1,enemy_skill_triggers!$1:$1,0)+1,FALSE)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3" s="48">
        <f ca="1">VLOOKUP($F123,OFFSET(enemy_skill_triggers!$A$1,0,0,COUNTA(enemy_skill_triggers!$A:$A),MATCH(L$1,enemy_skill_triggers!$1:$1,0)-MATCH($F$1,enemy_skill_triggers!$1:$1,0)+1),MATCH(L$1,enemy_skill_triggers!$1:$1,0)-MATCH($F$1,enemy_skill_triggers!$1:$1,0)+1,FALSE)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23" s="48">
        <f ca="1">VLOOKUP($F123,OFFSET(enemy_skill_triggers!$A$1,0,0,COUNTA(enemy_skill_triggers!$A:$A),MATCH(M$1,enemy_skill_triggers!$1:$1,0)-MATCH($F$1,enemy_skill_triggers!$1:$1,0)+1),MATCH(M$1,enemy_skill_triggers!$1:$1,0)-MATCH($F$1,enemy_skill_triggers!$1:$1,0)+1,FALSE)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123" s="48" t="str">
        <f ca="1">VLOOKUP($F123,OFFSET(enemy_skill_triggers!$A$1,0,0,COUNTA(enemy_skill_triggers!$A:$A),MATCH(N$1,enemy_skill_triggers!$1:$1,0)-MATCH($F$1,enemy_skill_triggers!$1:$1,0)+1),MATCH(N$1,enemy_skill_triggers!$1:$1,0)-MATCH($F$1,enemy_skill_triggers!$1:$1,0)+1,FALSE)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23" s="48">
        <f ca="1">VLOOKUP($F123,OFFSET(enemy_skill_triggers!$A$1,0,0,COUNTA(enemy_skill_triggers!$A:$A),MATCH(O$1,enemy_skill_triggers!$1:$1,0)-MATCH($F$1,enemy_skill_triggers!$1:$1,0)+1),MATCH(O$1,enemy_skill_triggers!$1:$1,0)-MATCH($F$1,enemy_skill_triggers!$1:$1,0)+1,FALSE)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23" s="47"/>
      <c r="Q123" s="47"/>
      <c r="R123" s="47"/>
    </row>
    <row r="124" spans="1:18" ht="21" customHeight="1" x14ac:dyDescent="0.15">
      <c r="A124" s="39" t="str">
        <f t="shared" si="11"/>
        <v>47016202_47016222</v>
      </c>
      <c r="B124" s="107">
        <v>47016202</v>
      </c>
      <c r="C124" s="174">
        <v>47016222</v>
      </c>
      <c r="D124" s="46" t="str">
        <f ca="1">VLOOKUP($C124,OFFSET(enemy_skills!$A$1,0,0,COUNTA(enemy_skills!$A:$A),MATCH(D$1,enemy_skills!$1:$1,0)-MATCH("enemy_skill_id",enemy_skills!$1:$1,0)+1),MATCH(D$1,enemy_skills!$1:$1,0)-MATCH("enemy_skill_id",enemy_skills!$1:$1,0)+1,FALSE)</f>
        <v>い、痛いのは嫌です…！</v>
      </c>
      <c r="E124" s="46" t="str">
        <f ca="1">VLOOKUP($C124,OFFSET(enemy_skills!$A$1,0,0,COUNTA(enemy_skills!$A:$A),MATCH(E$1,enemy_skills!$1:$1,0)-MATCH("enemy_skill_id",enemy_skills!$1:$1,0)+1),MATCH(E$1,enemy_skills!$1:$1,0)-MATCH("enemy_skill_id",enemy_skills!$1:$1,0)+1,FALSE)</f>
        <v>黄パネルプロテクト(最大3個)+クリティカル！</v>
      </c>
      <c r="F124" s="47">
        <v>47016148</v>
      </c>
      <c r="G124" s="48">
        <f ca="1">VLOOKUP($F124,OFFSET(enemy_skill_triggers!$A$1,0,0,COUNTA(enemy_skill_triggers!$A:$A),MATCH(G$1,enemy_skill_triggers!$1:$1,0)-MATCH($F$1,enemy_skill_triggers!$1:$1,0)+1),MATCH(G$1,enemy_skill_triggers!$1:$1,0)-MATCH($F$1,enemy_skill_triggers!$1:$1,0)+1,FALSE)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24" s="48">
        <f ca="1">VLOOKUP($F124,OFFSET(enemy_skill_triggers!$A$1,0,0,COUNTA(enemy_skill_triggers!$A:$A),MATCH(H$1,enemy_skill_triggers!$1:$1,0)-MATCH($F$1,enemy_skill_triggers!$1:$1,0)+1),MATCH(H$1,enemy_skill_triggers!$1:$1,0)-MATCH($F$1,enemy_skill_triggers!$1:$1,0)+1,FALSE)</f>
        <v>340</v>
      </c>
      <c r="I124" s="48">
        <f ca="1">VLOOKUP($F124,OFFSET(enemy_skill_triggers!$A$1,0,0,COUNTA(enemy_skill_triggers!$A:$A),MATCH(I$1,enemy_skill_triggers!$1:$1,0)-MATCH($F$1,enemy_skill_triggers!$1:$1,0)+1),MATCH(I$1,enemy_skill_triggers!$1:$1,0)-MATCH($F$1,enemy_skill_triggers!$1:$1,0)+1,FALSE)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24" s="48">
        <f ca="1">VLOOKUP($F124,OFFSET(enemy_skill_triggers!$A$1,0,0,COUNTA(enemy_skill_triggers!$A:$A),MATCH(J$1,enemy_skill_triggers!$1:$1,0)-MATCH($F$1,enemy_skill_triggers!$1:$1,0)+1),MATCH(J$1,enemy_skill_triggers!$1:$1,0)-MATCH($F$1,enemy_skill_triggers!$1:$1,0)+1,FALSE)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124" s="48" t="str">
        <f ca="1">VLOOKUP($F124,OFFSET(enemy_skill_triggers!$A$1,0,0,COUNTA(enemy_skill_triggers!$A:$A),MATCH(K$1,enemy_skill_triggers!$1:$1,0)-MATCH($F$1,enemy_skill_triggers!$1:$1,0)+1),MATCH(K$1,enemy_skill_triggers!$1:$1,0)-MATCH($F$1,enemy_skill_triggers!$1:$1,0)+1,FALSE)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4" s="48">
        <f ca="1">VLOOKUP($F124,OFFSET(enemy_skill_triggers!$A$1,0,0,COUNTA(enemy_skill_triggers!$A:$A),MATCH(L$1,enemy_skill_triggers!$1:$1,0)-MATCH($F$1,enemy_skill_triggers!$1:$1,0)+1),MATCH(L$1,enemy_skill_triggers!$1:$1,0)-MATCH($F$1,enemy_skill_triggers!$1:$1,0)+1,FALSE)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24" s="48" t="str">
        <f ca="1">VLOOKUP($F124,OFFSET(enemy_skill_triggers!$A$1,0,0,COUNTA(enemy_skill_triggers!$A:$A),MATCH(M$1,enemy_skill_triggers!$1:$1,0)-MATCH($F$1,enemy_skill_triggers!$1:$1,0)+1),MATCH(M$1,enemy_skill_triggers!$1:$1,0)-MATCH($F$1,enemy_skill_triggers!$1:$1,0)+1,FALSE)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24" s="48" t="str">
        <f ca="1">VLOOKUP($F124,OFFSET(enemy_skill_triggers!$A$1,0,0,COUNTA(enemy_skill_triggers!$A:$A),MATCH(N$1,enemy_skill_triggers!$1:$1,0)-MATCH($F$1,enemy_skill_triggers!$1:$1,0)+1),MATCH(N$1,enemy_skill_triggers!$1:$1,0)-MATCH($F$1,enemy_skill_triggers!$1:$1,0)+1,FALSE)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24" s="48">
        <f ca="1">VLOOKUP($F124,OFFSET(enemy_skill_triggers!$A$1,0,0,COUNTA(enemy_skill_triggers!$A:$A),MATCH(O$1,enemy_skill_triggers!$1:$1,0)-MATCH($F$1,enemy_skill_triggers!$1:$1,0)+1),MATCH(O$1,enemy_skill_triggers!$1:$1,0)-MATCH($F$1,enemy_skill_triggers!$1:$1,0)+1,FALSE)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24" s="47"/>
      <c r="Q124" s="47"/>
      <c r="R124" s="47"/>
    </row>
    <row r="125" spans="1:18" ht="21" customHeight="1" x14ac:dyDescent="0.15">
      <c r="A125" s="39" t="str">
        <f t="shared" si="11"/>
        <v>47016202_47016223</v>
      </c>
      <c r="B125" s="107">
        <v>47016202</v>
      </c>
      <c r="C125" s="174">
        <v>47016223</v>
      </c>
      <c r="D125" s="46" t="str">
        <f ca="1">VLOOKUP($C125,OFFSET(enemy_skills!$A$1,0,0,COUNTA(enemy_skills!$A:$A),MATCH(D$1,enemy_skills!$1:$1,0)-MATCH("enemy_skill_id",enemy_skills!$1:$1,0)+1),MATCH(D$1,enemy_skills!$1:$1,0)-MATCH("enemy_skill_id",enemy_skills!$1:$1,0)+1,FALSE)</f>
        <v>こっちこないでください〜！</v>
      </c>
      <c r="E125" s="46" t="str">
        <f ca="1">VLOOKUP($C125,OFFSET(enemy_skills!$A$1,0,0,COUNTA(enemy_skills!$A:$A),MATCH(E$1,enemy_skills!$1:$1,0)-MATCH("enemy_skill_id",enemy_skills!$1:$1,0)+1),MATCH(E$1,enemy_skills!$1:$1,0)-MATCH("enemy_skill_id",enemy_skills!$1:$1,0)+1,FALSE)</f>
        <v>青パネルプロテクト(最大2個)+全体攻撃</v>
      </c>
      <c r="F125" s="47">
        <v>47016149</v>
      </c>
      <c r="G125" s="48">
        <f ca="1">VLOOKUP($F125,OFFSET(enemy_skill_triggers!$A$1,0,0,COUNTA(enemy_skill_triggers!$A:$A),MATCH(G$1,enemy_skill_triggers!$1:$1,0)-MATCH($F$1,enemy_skill_triggers!$1:$1,0)+1),MATCH(G$1,enemy_skill_triggers!$1:$1,0)-MATCH($F$1,enemy_skill_triggers!$1:$1,0)+1,FALSE)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25" s="48">
        <f ca="1">VLOOKUP($F125,OFFSET(enemy_skill_triggers!$A$1,0,0,COUNTA(enemy_skill_triggers!$A:$A),MATCH(H$1,enemy_skill_triggers!$1:$1,0)-MATCH($F$1,enemy_skill_triggers!$1:$1,0)+1),MATCH(H$1,enemy_skill_triggers!$1:$1,0)-MATCH($F$1,enemy_skill_triggers!$1:$1,0)+1,FALSE)</f>
        <v>120</v>
      </c>
      <c r="I125" s="48">
        <f ca="1">VLOOKUP($F125,OFFSET(enemy_skill_triggers!$A$1,0,0,COUNTA(enemy_skill_triggers!$A:$A),MATCH(I$1,enemy_skill_triggers!$1:$1,0)-MATCH($F$1,enemy_skill_triggers!$1:$1,0)+1),MATCH(I$1,enemy_skill_triggers!$1:$1,0)-MATCH($F$1,enemy_skill_triggers!$1:$1,0)+1,FALSE)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125" s="48" t="str">
        <f ca="1">VLOOKUP($F125,OFFSET(enemy_skill_triggers!$A$1,0,0,COUNTA(enemy_skill_triggers!$A:$A),MATCH(J$1,enemy_skill_triggers!$1:$1,0)-MATCH($F$1,enemy_skill_triggers!$1:$1,0)+1),MATCH(J$1,enemy_skill_triggers!$1:$1,0)-MATCH($F$1,enemy_skill_triggers!$1:$1,0)+1,FALSE)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25" s="48" t="str">
        <f ca="1">VLOOKUP($F125,OFFSET(enemy_skill_triggers!$A$1,0,0,COUNTA(enemy_skill_triggers!$A:$A),MATCH(K$1,enemy_skill_triggers!$1:$1,0)-MATCH($F$1,enemy_skill_triggers!$1:$1,0)+1),MATCH(K$1,enemy_skill_triggers!$1:$1,0)-MATCH($F$1,enemy_skill_triggers!$1:$1,0)+1,FALSE)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5" s="48" t="str">
        <f ca="1">VLOOKUP($F125,OFFSET(enemy_skill_triggers!$A$1,0,0,COUNTA(enemy_skill_triggers!$A:$A),MATCH(L$1,enemy_skill_triggers!$1:$1,0)-MATCH($F$1,enemy_skill_triggers!$1:$1,0)+1),MATCH(L$1,enemy_skill_triggers!$1:$1,0)-MATCH($F$1,enemy_skill_triggers!$1:$1,0)+1,FALSE)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25" s="48" t="str">
        <f ca="1">VLOOKUP($F125,OFFSET(enemy_skill_triggers!$A$1,0,0,COUNTA(enemy_skill_triggers!$A:$A),MATCH(M$1,enemy_skill_triggers!$1:$1,0)-MATCH($F$1,enemy_skill_triggers!$1:$1,0)+1),MATCH(M$1,enemy_skill_triggers!$1:$1,0)-MATCH($F$1,enemy_skill_triggers!$1:$1,0)+1,FALSE)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25" s="48" t="str">
        <f ca="1">VLOOKUP($F125,OFFSET(enemy_skill_triggers!$A$1,0,0,COUNTA(enemy_skill_triggers!$A:$A),MATCH(N$1,enemy_skill_triggers!$1:$1,0)-MATCH($F$1,enemy_skill_triggers!$1:$1,0)+1),MATCH(N$1,enemy_skill_triggers!$1:$1,0)-MATCH($F$1,enemy_skill_triggers!$1:$1,0)+1,FALSE)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25" s="48">
        <f ca="1">VLOOKUP($F125,OFFSET(enemy_skill_triggers!$A$1,0,0,COUNTA(enemy_skill_triggers!$A:$A),MATCH(O$1,enemy_skill_triggers!$1:$1,0)-MATCH($F$1,enemy_skill_triggers!$1:$1,0)+1),MATCH(O$1,enemy_skill_triggers!$1:$1,0)-MATCH($F$1,enemy_skill_triggers!$1:$1,0)+1,FALSE)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125" s="47"/>
      <c r="Q125" s="47"/>
      <c r="R125" s="47"/>
    </row>
    <row r="126" spans="1:18" ht="21" customHeight="1" x14ac:dyDescent="0.15">
      <c r="A126" s="39" t="str">
        <f t="shared" si="11"/>
        <v>47016202_47016124</v>
      </c>
      <c r="B126" s="107">
        <v>47016202</v>
      </c>
      <c r="C126" s="114">
        <v>47016124</v>
      </c>
      <c r="D126" s="46" t="str">
        <f ca="1">VLOOKUP($C126,OFFSET(enemy_skills!$A$1,0,0,COUNTA(enemy_skills!$A:$A),MATCH(D$1,enemy_skills!$1:$1,0)-MATCH("enemy_skill_id",enemy_skills!$1:$1,0)+1),MATCH(D$1,enemy_skills!$1:$1,0)-MATCH("enemy_skill_id",enemy_skills!$1:$1,0)+1,FALSE)</f>
        <v>お、お返しです…！</v>
      </c>
      <c r="E126" s="46" t="str">
        <f ca="1">VLOOKUP($C126,OFFSET(enemy_skills!$A$1,0,0,COUNTA(enemy_skills!$A:$A),MATCH(E$1,enemy_skills!$1:$1,0)-MATCH("enemy_skill_id",enemy_skills!$1:$1,0)+1),MATCH(E$1,enemy_skills!$1:$1,0)-MATCH("enemy_skill_id",enemy_skills!$1:$1,0)+1,FALSE)</f>
        <v>属性パネルを青パネルに7個変換+2回連続攻撃</v>
      </c>
      <c r="F126" s="47">
        <v>47016150</v>
      </c>
      <c r="G126" s="48">
        <f ca="1">VLOOKUP($F126,OFFSET(enemy_skill_triggers!$A$1,0,0,COUNTA(enemy_skill_triggers!$A:$A),MATCH(G$1,enemy_skill_triggers!$1:$1,0)-MATCH($F$1,enemy_skill_triggers!$1:$1,0)+1),MATCH(G$1,enemy_skill_triggers!$1:$1,0)-MATCH($F$1,enemy_skill_triggers!$1:$1,0)+1,FALSE)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26" s="48">
        <f ca="1">VLOOKUP($F126,OFFSET(enemy_skill_triggers!$A$1,0,0,COUNTA(enemy_skill_triggers!$A:$A),MATCH(H$1,enemy_skill_triggers!$1:$1,0)-MATCH($F$1,enemy_skill_triggers!$1:$1,0)+1),MATCH(H$1,enemy_skill_triggers!$1:$1,0)-MATCH($F$1,enemy_skill_triggers!$1:$1,0)+1,FALSE)</f>
        <v>110</v>
      </c>
      <c r="I126" s="48">
        <f ca="1">VLOOKUP($F126,OFFSET(enemy_skill_triggers!$A$1,0,0,COUNTA(enemy_skill_triggers!$A:$A),MATCH(I$1,enemy_skill_triggers!$1:$1,0)-MATCH($F$1,enemy_skill_triggers!$1:$1,0)+1),MATCH(I$1,enemy_skill_triggers!$1:$1,0)-MATCH($F$1,enemy_skill_triggers!$1:$1,0)+1,FALSE)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26" s="48" t="str">
        <f ca="1">VLOOKUP($F126,OFFSET(enemy_skill_triggers!$A$1,0,0,COUNTA(enemy_skill_triggers!$A:$A),MATCH(J$1,enemy_skill_triggers!$1:$1,0)-MATCH($F$1,enemy_skill_triggers!$1:$1,0)+1),MATCH(J$1,enemy_skill_triggers!$1:$1,0)-MATCH($F$1,enemy_skill_triggers!$1:$1,0)+1,FALSE)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26" s="48" t="str">
        <f ca="1">VLOOKUP($F126,OFFSET(enemy_skill_triggers!$A$1,0,0,COUNTA(enemy_skill_triggers!$A:$A),MATCH(K$1,enemy_skill_triggers!$1:$1,0)-MATCH($F$1,enemy_skill_triggers!$1:$1,0)+1),MATCH(K$1,enemy_skill_triggers!$1:$1,0)-MATCH($F$1,enemy_skill_triggers!$1:$1,0)+1,FALSE)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6" s="48" t="str">
        <f ca="1">VLOOKUP($F126,OFFSET(enemy_skill_triggers!$A$1,0,0,COUNTA(enemy_skill_triggers!$A:$A),MATCH(L$1,enemy_skill_triggers!$1:$1,0)-MATCH($F$1,enemy_skill_triggers!$1:$1,0)+1),MATCH(L$1,enemy_skill_triggers!$1:$1,0)-MATCH($F$1,enemy_skill_triggers!$1:$1,0)+1,FALSE)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26" s="48" t="str">
        <f ca="1">VLOOKUP($F126,OFFSET(enemy_skill_triggers!$A$1,0,0,COUNTA(enemy_skill_triggers!$A:$A),MATCH(M$1,enemy_skill_triggers!$1:$1,0)-MATCH($F$1,enemy_skill_triggers!$1:$1,0)+1),MATCH(M$1,enemy_skill_triggers!$1:$1,0)-MATCH($F$1,enemy_skill_triggers!$1:$1,0)+1,FALSE)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26" s="48" t="str">
        <f ca="1">VLOOKUP($F126,OFFSET(enemy_skill_triggers!$A$1,0,0,COUNTA(enemy_skill_triggers!$A:$A),MATCH(N$1,enemy_skill_triggers!$1:$1,0)-MATCH($F$1,enemy_skill_triggers!$1:$1,0)+1),MATCH(N$1,enemy_skill_triggers!$1:$1,0)-MATCH($F$1,enemy_skill_triggers!$1:$1,0)+1,FALSE)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26" s="48">
        <f ca="1">VLOOKUP($F126,OFFSET(enemy_skill_triggers!$A$1,0,0,COUNTA(enemy_skill_triggers!$A:$A),MATCH(O$1,enemy_skill_triggers!$1:$1,0)-MATCH($F$1,enemy_skill_triggers!$1:$1,0)+1),MATCH(O$1,enemy_skill_triggers!$1:$1,0)-MATCH($F$1,enemy_skill_triggers!$1:$1,0)+1,FALSE)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26" s="47"/>
      <c r="Q126" s="47"/>
      <c r="R126" s="47"/>
    </row>
    <row r="127" spans="1:18" ht="21" customHeight="1" x14ac:dyDescent="0.15">
      <c r="A127" s="39" t="str">
        <f t="shared" si="11"/>
        <v>47016202_47016225</v>
      </c>
      <c r="B127" s="107">
        <v>47016202</v>
      </c>
      <c r="C127" s="174">
        <v>47016225</v>
      </c>
      <c r="D127" s="46" t="str">
        <f ca="1">VLOOKUP($C127,OFFSET(enemy_skills!$A$1,0,0,COUNTA(enemy_skills!$A:$A),MATCH(D$1,enemy_skills!$1:$1,0)-MATCH("enemy_skill_id",enemy_skills!$1:$1,0)+1),MATCH(D$1,enemy_skills!$1:$1,0)-MATCH("enemy_skill_id",enemy_skills!$1:$1,0)+1,FALSE)</f>
        <v>お花にまみれてください〜！</v>
      </c>
      <c r="E127" s="46" t="str">
        <f ca="1">VLOOKUP($C127,OFFSET(enemy_skills!$A$1,0,0,COUNTA(enemy_skills!$A:$A),MATCH(E$1,enemy_skills!$1:$1,0)-MATCH("enemy_skill_id",enemy_skills!$1:$1,0)+1),MATCH(E$1,enemy_skills!$1:$1,0)-MATCH("enemy_skill_id",enemy_skills!$1:$1,0)+1,FALSE)</f>
        <v>り、リンドウのお花です！_x000D_【特定エリアを青パネルに変換+_x000D_　青パネルプロテクト(最大5個)+単体攻撃】</v>
      </c>
      <c r="F127" s="47">
        <v>47016151</v>
      </c>
      <c r="G127" s="48">
        <f ca="1">VLOOKUP($F127,OFFSET(enemy_skill_triggers!$A$1,0,0,COUNTA(enemy_skill_triggers!$A:$A),MATCH(G$1,enemy_skill_triggers!$1:$1,0)-MATCH($F$1,enemy_skill_triggers!$1:$1,0)+1),MATCH(G$1,enemy_skill_triggers!$1:$1,0)-MATCH($F$1,enemy_skill_triggers!$1:$1,0)+1,FALSE)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27" s="48">
        <f ca="1">VLOOKUP($F127,OFFSET(enemy_skill_triggers!$A$1,0,0,COUNTA(enemy_skill_triggers!$A:$A),MATCH(H$1,enemy_skill_triggers!$1:$1,0)-MATCH($F$1,enemy_skill_triggers!$1:$1,0)+1),MATCH(H$1,enemy_skill_triggers!$1:$1,0)-MATCH($F$1,enemy_skill_triggers!$1:$1,0)+1,FALSE)</f>
        <v>350</v>
      </c>
      <c r="I127" s="48">
        <f ca="1">VLOOKUP($F127,OFFSET(enemy_skill_triggers!$A$1,0,0,COUNTA(enemy_skill_triggers!$A:$A),MATCH(I$1,enemy_skill_triggers!$1:$1,0)-MATCH($F$1,enemy_skill_triggers!$1:$1,0)+1),MATCH(I$1,enemy_skill_triggers!$1:$1,0)-MATCH($F$1,enemy_skill_triggers!$1:$1,0)+1,FALSE)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27" s="48">
        <f ca="1">VLOOKUP($F127,OFFSET(enemy_skill_triggers!$A$1,0,0,COUNTA(enemy_skill_triggers!$A:$A),MATCH(J$1,enemy_skill_triggers!$1:$1,0)-MATCH($F$1,enemy_skill_triggers!$1:$1,0)+1),MATCH(J$1,enemy_skill_triggers!$1:$1,0)-MATCH($F$1,enemy_skill_triggers!$1:$1,0)+1,FALSE)</f>
        <v>20</v>
      </c>
      <c r="K127" s="48" t="str">
        <f ca="1">VLOOKUP($F127,OFFSET(enemy_skill_triggers!$A$1,0,0,COUNTA(enemy_skill_triggers!$A:$A),MATCH(K$1,enemy_skill_triggers!$1:$1,0)-MATCH($F$1,enemy_skill_triggers!$1:$1,0)+1),MATCH(K$1,enemy_skill_triggers!$1:$1,0)-MATCH($F$1,enemy_skill_triggers!$1:$1,0)+1,FALSE)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7" s="48">
        <f ca="1">VLOOKUP($F127,OFFSET(enemy_skill_triggers!$A$1,0,0,COUNTA(enemy_skill_triggers!$A:$A),MATCH(L$1,enemy_skill_triggers!$1:$1,0)-MATCH($F$1,enemy_skill_triggers!$1:$1,0)+1),MATCH(L$1,enemy_skill_triggers!$1:$1,0)-MATCH($F$1,enemy_skill_triggers!$1:$1,0)+1,FALSE)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27" s="48" t="str">
        <f ca="1">VLOOKUP($F127,OFFSET(enemy_skill_triggers!$A$1,0,0,COUNTA(enemy_skill_triggers!$A:$A),MATCH(M$1,enemy_skill_triggers!$1:$1,0)-MATCH($F$1,enemy_skill_triggers!$1:$1,0)+1),MATCH(M$1,enemy_skill_triggers!$1:$1,0)-MATCH($F$1,enemy_skill_triggers!$1:$1,0)+1,FALSE)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27" s="48" t="str">
        <f ca="1">VLOOKUP($F127,OFFSET(enemy_skill_triggers!$A$1,0,0,COUNTA(enemy_skill_triggers!$A:$A),MATCH(N$1,enemy_skill_triggers!$1:$1,0)-MATCH($F$1,enemy_skill_triggers!$1:$1,0)+1),MATCH(N$1,enemy_skill_triggers!$1:$1,0)-MATCH($F$1,enemy_skill_triggers!$1:$1,0)+1,FALSE)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27" s="48">
        <f ca="1">VLOOKUP($F127,OFFSET(enemy_skill_triggers!$A$1,0,0,COUNTA(enemy_skill_triggers!$A:$A),MATCH(O$1,enemy_skill_triggers!$1:$1,0)-MATCH($F$1,enemy_skill_triggers!$1:$1,0)+1),MATCH(O$1,enemy_skill_triggers!$1:$1,0)-MATCH($F$1,enemy_skill_triggers!$1:$1,0)+1,FALSE)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27" s="47"/>
      <c r="Q127" s="47"/>
      <c r="R127" s="47"/>
    </row>
    <row r="128" spans="1:18" ht="21" customHeight="1" x14ac:dyDescent="0.15">
      <c r="A128" s="39" t="str">
        <f t="shared" si="11"/>
        <v>47016203_47016126</v>
      </c>
      <c r="B128" s="109">
        <v>47016203</v>
      </c>
      <c r="C128" s="114">
        <v>47016126</v>
      </c>
      <c r="D128" s="46" t="str">
        <f ca="1">VLOOKUP($C128,OFFSET(enemy_skills!$A$1,0,0,COUNTA(enemy_skills!$A:$A),MATCH(D$1,enemy_skills!$1:$1,0)-MATCH("enemy_skill_id",enemy_skills!$1:$1,0)+1),MATCH(D$1,enemy_skills!$1:$1,0)-MATCH("enemy_skill_id",enemy_skills!$1:$1,0)+1,FALSE)</f>
        <v>ん？あたしに用事？</v>
      </c>
      <c r="E128" s="46" t="str">
        <f ca="1">VLOOKUP($C128,OFFSET(enemy_skills!$A$1,0,0,COUNTA(enemy_skills!$A:$A),MATCH(E$1,enemy_skills!$1:$1,0)-MATCH("enemy_skill_id",enemy_skills!$1:$1,0)+1),MATCH(E$1,enemy_skills!$1:$1,0)-MATCH("enemy_skill_id",enemy_skills!$1:$1,0)+1,FALSE)</f>
        <v>状態異常耐性+_x000D_特定エリアを赤・緑パネルに変換</v>
      </c>
      <c r="F128" s="47">
        <v>47016152</v>
      </c>
      <c r="G128" s="48">
        <f ca="1">VLOOKUP($F128,OFFSET(enemy_skill_triggers!$A$1,0,0,COUNTA(enemy_skill_triggers!$A:$A),MATCH(G$1,enemy_skill_triggers!$1:$1,0)-MATCH($F$1,enemy_skill_triggers!$1:$1,0)+1),MATCH(G$1,enemy_skill_triggers!$1:$1,0)-MATCH($F$1,enemy_skill_triggers!$1:$1,0)+1,FALSE)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28" s="48">
        <f ca="1">VLOOKUP($F128,OFFSET(enemy_skill_triggers!$A$1,0,0,COUNTA(enemy_skill_triggers!$A:$A),MATCH(H$1,enemy_skill_triggers!$1:$1,0)-MATCH($F$1,enemy_skill_triggers!$1:$1,0)+1),MATCH(H$1,enemy_skill_triggers!$1:$1,0)-MATCH($F$1,enemy_skill_triggers!$1:$1,0)+1,FALSE)</f>
        <v>450</v>
      </c>
      <c r="I128" s="48">
        <f ca="1">VLOOKUP($F128,OFFSET(enemy_skill_triggers!$A$1,0,0,COUNTA(enemy_skill_triggers!$A:$A),MATCH(I$1,enemy_skill_triggers!$1:$1,0)-MATCH($F$1,enemy_skill_triggers!$1:$1,0)+1),MATCH(I$1,enemy_skill_triggers!$1:$1,0)-MATCH($F$1,enemy_skill_triggers!$1:$1,0)+1,FALSE)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28" s="48" t="str">
        <f ca="1">VLOOKUP($F128,OFFSET(enemy_skill_triggers!$A$1,0,0,COUNTA(enemy_skill_triggers!$A:$A),MATCH(J$1,enemy_skill_triggers!$1:$1,0)-MATCH($F$1,enemy_skill_triggers!$1:$1,0)+1),MATCH(J$1,enemy_skill_triggers!$1:$1,0)-MATCH($F$1,enemy_skill_triggers!$1:$1,0)+1,FALSE)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28" s="48" t="str">
        <f ca="1">VLOOKUP($F128,OFFSET(enemy_skill_triggers!$A$1,0,0,COUNTA(enemy_skill_triggers!$A:$A),MATCH(K$1,enemy_skill_triggers!$1:$1,0)-MATCH($F$1,enemy_skill_triggers!$1:$1,0)+1),MATCH(K$1,enemy_skill_triggers!$1:$1,0)-MATCH($F$1,enemy_skill_triggers!$1:$1,0)+1,FALSE)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8" s="48">
        <f ca="1">VLOOKUP($F128,OFFSET(enemy_skill_triggers!$A$1,0,0,COUNTA(enemy_skill_triggers!$A:$A),MATCH(L$1,enemy_skill_triggers!$1:$1,0)-MATCH($F$1,enemy_skill_triggers!$1:$1,0)+1),MATCH(L$1,enemy_skill_triggers!$1:$1,0)-MATCH($F$1,enemy_skill_triggers!$1:$1,0)+1,FALSE)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28" s="48" t="str">
        <f ca="1">VLOOKUP($F128,OFFSET(enemy_skill_triggers!$A$1,0,0,COUNTA(enemy_skill_triggers!$A:$A),MATCH(M$1,enemy_skill_triggers!$1:$1,0)-MATCH($F$1,enemy_skill_triggers!$1:$1,0)+1),MATCH(M$1,enemy_skill_triggers!$1:$1,0)-MATCH($F$1,enemy_skill_triggers!$1:$1,0)+1,FALSE)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28" s="48" t="str">
        <f ca="1">VLOOKUP($F128,OFFSET(enemy_skill_triggers!$A$1,0,0,COUNTA(enemy_skill_triggers!$A:$A),MATCH(N$1,enemy_skill_triggers!$1:$1,0)-MATCH($F$1,enemy_skill_triggers!$1:$1,0)+1),MATCH(N$1,enemy_skill_triggers!$1:$1,0)-MATCH($F$1,enemy_skill_triggers!$1:$1,0)+1,FALSE)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28" s="48">
        <f ca="1">VLOOKUP($F128,OFFSET(enemy_skill_triggers!$A$1,0,0,COUNTA(enemy_skill_triggers!$A:$A),MATCH(O$1,enemy_skill_triggers!$1:$1,0)-MATCH($F$1,enemy_skill_triggers!$1:$1,0)+1),MATCH(O$1,enemy_skill_triggers!$1:$1,0)-MATCH($F$1,enemy_skill_triggers!$1:$1,0)+1,FALSE)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28" s="47"/>
      <c r="Q128" s="47"/>
      <c r="R128" s="47"/>
    </row>
    <row r="129" spans="1:18" ht="21" customHeight="1" x14ac:dyDescent="0.15">
      <c r="A129" s="39" t="str">
        <f t="shared" si="11"/>
        <v>47016203_47016227</v>
      </c>
      <c r="B129" s="109">
        <v>47016203</v>
      </c>
      <c r="C129" s="174">
        <v>47016227</v>
      </c>
      <c r="D129" s="46" t="str">
        <f ca="1">VLOOKUP($C129,OFFSET(enemy_skills!$A$1,0,0,COUNTA(enemy_skills!$A:$A),MATCH(D$1,enemy_skills!$1:$1,0)-MATCH("enemy_skill_id",enemy_skills!$1:$1,0)+1),MATCH(D$1,enemy_skills!$1:$1,0)-MATCH("enemy_skill_id",enemy_skills!$1:$1,0)+1,FALSE)</f>
        <v>さぁ、これを凌げるかしら！</v>
      </c>
      <c r="E129" s="46" t="str">
        <f ca="1">VLOOKUP($C129,OFFSET(enemy_skills!$A$1,0,0,COUNTA(enemy_skills!$A:$A),MATCH(E$1,enemy_skills!$1:$1,0)-MATCH("enemy_skill_id",enemy_skills!$1:$1,0)+1),MATCH(E$1,enemy_skills!$1:$1,0)-MATCH("enemy_skill_id",enemy_skills!$1:$1,0)+1,FALSE)</f>
        <v>3ターン赤パネルは確率でプロテクトされてドロップ</v>
      </c>
      <c r="F129" s="47">
        <v>47016153</v>
      </c>
      <c r="G129" s="48">
        <f ca="1">VLOOKUP($F129,OFFSET(enemy_skill_triggers!$A$1,0,0,COUNTA(enemy_skill_triggers!$A:$A),MATCH(G$1,enemy_skill_triggers!$1:$1,0)-MATCH($F$1,enemy_skill_triggers!$1:$1,0)+1),MATCH(G$1,enemy_skill_triggers!$1:$1,0)-MATCH($F$1,enemy_skill_triggers!$1:$1,0)+1,FALSE)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29" s="48">
        <f ca="1">VLOOKUP($F129,OFFSET(enemy_skill_triggers!$A$1,0,0,COUNTA(enemy_skill_triggers!$A:$A),MATCH(H$1,enemy_skill_triggers!$1:$1,0)-MATCH($F$1,enemy_skill_triggers!$1:$1,0)+1),MATCH(H$1,enemy_skill_triggers!$1:$1,0)-MATCH($F$1,enemy_skill_triggers!$1:$1,0)+1,FALSE)</f>
        <v>400</v>
      </c>
      <c r="I129" s="48">
        <f ca="1">VLOOKUP($F129,OFFSET(enemy_skill_triggers!$A$1,0,0,COUNTA(enemy_skill_triggers!$A:$A),MATCH(I$1,enemy_skill_triggers!$1:$1,0)-MATCH($F$1,enemy_skill_triggers!$1:$1,0)+1),MATCH(I$1,enemy_skill_triggers!$1:$1,0)-MATCH($F$1,enemy_skill_triggers!$1:$1,0)+1,FALSE)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29" s="48" t="str">
        <f ca="1">VLOOKUP($F129,OFFSET(enemy_skill_triggers!$A$1,0,0,COUNTA(enemy_skill_triggers!$A:$A),MATCH(J$1,enemy_skill_triggers!$1:$1,0)-MATCH($F$1,enemy_skill_triggers!$1:$1,0)+1),MATCH(J$1,enemy_skill_triggers!$1:$1,0)-MATCH($F$1,enemy_skill_triggers!$1:$1,0)+1,FALSE)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29" s="48" t="str">
        <f ca="1">VLOOKUP($F129,OFFSET(enemy_skill_triggers!$A$1,0,0,COUNTA(enemy_skill_triggers!$A:$A),MATCH(K$1,enemy_skill_triggers!$1:$1,0)-MATCH($F$1,enemy_skill_triggers!$1:$1,0)+1),MATCH(K$1,enemy_skill_triggers!$1:$1,0)-MATCH($F$1,enemy_skill_triggers!$1:$1,0)+1,FALSE)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9" s="48">
        <f ca="1">VLOOKUP($F129,OFFSET(enemy_skill_triggers!$A$1,0,0,COUNTA(enemy_skill_triggers!$A:$A),MATCH(L$1,enemy_skill_triggers!$1:$1,0)-MATCH($F$1,enemy_skill_triggers!$1:$1,0)+1),MATCH(L$1,enemy_skill_triggers!$1:$1,0)-MATCH($F$1,enemy_skill_triggers!$1:$1,0)+1,FALSE)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29" s="48">
        <f ca="1">VLOOKUP($F129,OFFSET(enemy_skill_triggers!$A$1,0,0,COUNTA(enemy_skill_triggers!$A:$A),MATCH(M$1,enemy_skill_triggers!$1:$1,0)-MATCH($F$1,enemy_skill_triggers!$1:$1,0)+1),MATCH(M$1,enemy_skill_triggers!$1:$1,0)-MATCH($F$1,enemy_skill_triggers!$1:$1,0)+1,FALSE)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29" s="48" t="str">
        <f ca="1">VLOOKUP($F129,OFFSET(enemy_skill_triggers!$A$1,0,0,COUNTA(enemy_skill_triggers!$A:$A),MATCH(N$1,enemy_skill_triggers!$1:$1,0)-MATCH($F$1,enemy_skill_triggers!$1:$1,0)+1),MATCH(N$1,enemy_skill_triggers!$1:$1,0)-MATCH($F$1,enemy_skill_triggers!$1:$1,0)+1,FALSE)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29" s="48">
        <f ca="1">VLOOKUP($F129,OFFSET(enemy_skill_triggers!$A$1,0,0,COUNTA(enemy_skill_triggers!$A:$A),MATCH(O$1,enemy_skill_triggers!$1:$1,0)-MATCH($F$1,enemy_skill_triggers!$1:$1,0)+1),MATCH(O$1,enemy_skill_triggers!$1:$1,0)-MATCH($F$1,enemy_skill_triggers!$1:$1,0)+1,FALSE)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29" s="47"/>
      <c r="Q129" s="47"/>
      <c r="R129" s="47"/>
    </row>
    <row r="130" spans="1:18" ht="21" customHeight="1" x14ac:dyDescent="0.15">
      <c r="A130" s="39" t="str">
        <f t="shared" si="11"/>
        <v>47016203_47016129</v>
      </c>
      <c r="B130" s="109">
        <v>47016203</v>
      </c>
      <c r="C130" s="114">
        <v>47016129</v>
      </c>
      <c r="D130" s="46" t="str">
        <f ca="1">VLOOKUP($C130,OFFSET(enemy_skills!$A$1,0,0,COUNTA(enemy_skills!$A:$A),MATCH(D$1,enemy_skills!$1:$1,0)-MATCH("enemy_skill_id",enemy_skills!$1:$1,0)+1),MATCH(D$1,enemy_skills!$1:$1,0)-MATCH("enemy_skill_id",enemy_skills!$1:$1,0)+1,FALSE)</f>
        <v>この衣装、可愛いでしょ？</v>
      </c>
      <c r="E130" s="46" t="str">
        <f ca="1">VLOOKUP($C130,OFFSET(enemy_skills!$A$1,0,0,COUNTA(enemy_skills!$A:$A),MATCH(E$1,enemy_skills!$1:$1,0)-MATCH("enemy_skill_id",enemy_skills!$1:$1,0)+1),MATCH(E$1,enemy_skills!$1:$1,0)-MATCH("enemy_skill_id",enemy_skills!$1:$1,0)+1,FALSE)</f>
        <v>属性パネルを赤パネルに5個変換+_x000D_2回連続攻撃</v>
      </c>
      <c r="F130" s="47">
        <v>47016155</v>
      </c>
      <c r="G130" s="48">
        <f ca="1">VLOOKUP($F130,OFFSET(enemy_skill_triggers!$A$1,0,0,COUNTA(enemy_skill_triggers!$A:$A),MATCH(G$1,enemy_skill_triggers!$1:$1,0)-MATCH($F$1,enemy_skill_triggers!$1:$1,0)+1),MATCH(G$1,enemy_skill_triggers!$1:$1,0)-MATCH($F$1,enemy_skill_triggers!$1:$1,0)+1,FALSE)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30" s="48">
        <f ca="1">VLOOKUP($F130,OFFSET(enemy_skill_triggers!$A$1,0,0,COUNTA(enemy_skill_triggers!$A:$A),MATCH(H$1,enemy_skill_triggers!$1:$1,0)-MATCH($F$1,enemy_skill_triggers!$1:$1,0)+1),MATCH(H$1,enemy_skill_triggers!$1:$1,0)-MATCH($F$1,enemy_skill_triggers!$1:$1,0)+1,FALSE)</f>
        <v>140</v>
      </c>
      <c r="I130" s="48">
        <f ca="1">VLOOKUP($F130,OFFSET(enemy_skill_triggers!$A$1,0,0,COUNTA(enemy_skill_triggers!$A:$A),MATCH(I$1,enemy_skill_triggers!$1:$1,0)-MATCH($F$1,enemy_skill_triggers!$1:$1,0)+1),MATCH(I$1,enemy_skill_triggers!$1:$1,0)-MATCH($F$1,enemy_skill_triggers!$1:$1,0)+1,FALSE)</f>
        <v>25</v>
      </c>
      <c r="J130" s="48" t="str">
        <f ca="1">VLOOKUP($F130,OFFSET(enemy_skill_triggers!$A$1,0,0,COUNTA(enemy_skill_triggers!$A:$A),MATCH(J$1,enemy_skill_triggers!$1:$1,0)-MATCH($F$1,enemy_skill_triggers!$1:$1,0)+1),MATCH(J$1,enemy_skill_triggers!$1:$1,0)-MATCH($F$1,enemy_skill_triggers!$1:$1,0)+1,FALSE)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30" s="48" t="str">
        <f ca="1">VLOOKUP($F130,OFFSET(enemy_skill_triggers!$A$1,0,0,COUNTA(enemy_skill_triggers!$A:$A),MATCH(K$1,enemy_skill_triggers!$1:$1,0)-MATCH($F$1,enemy_skill_triggers!$1:$1,0)+1),MATCH(K$1,enemy_skill_triggers!$1:$1,0)-MATCH($F$1,enemy_skill_triggers!$1:$1,0)+1,FALSE)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30" s="48" t="str">
        <f ca="1">VLOOKUP($F130,OFFSET(enemy_skill_triggers!$A$1,0,0,COUNTA(enemy_skill_triggers!$A:$A),MATCH(L$1,enemy_skill_triggers!$1:$1,0)-MATCH($F$1,enemy_skill_triggers!$1:$1,0)+1),MATCH(L$1,enemy_skill_triggers!$1:$1,0)-MATCH($F$1,enemy_skill_triggers!$1:$1,0)+1,FALSE)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30" s="48" t="str">
        <f ca="1">VLOOKUP($F130,OFFSET(enemy_skill_triggers!$A$1,0,0,COUNTA(enemy_skill_triggers!$A:$A),MATCH(M$1,enemy_skill_triggers!$1:$1,0)-MATCH($F$1,enemy_skill_triggers!$1:$1,0)+1),MATCH(M$1,enemy_skill_triggers!$1:$1,0)-MATCH($F$1,enemy_skill_triggers!$1:$1,0)+1,FALSE)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30" s="48" t="str">
        <f ca="1">VLOOKUP($F130,OFFSET(enemy_skill_triggers!$A$1,0,0,COUNTA(enemy_skill_triggers!$A:$A),MATCH(N$1,enemy_skill_triggers!$1:$1,0)-MATCH($F$1,enemy_skill_triggers!$1:$1,0)+1),MATCH(N$1,enemy_skill_triggers!$1:$1,0)-MATCH($F$1,enemy_skill_triggers!$1:$1,0)+1,FALSE)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30" s="48">
        <f ca="1">VLOOKUP($F130,OFFSET(enemy_skill_triggers!$A$1,0,0,COUNTA(enemy_skill_triggers!$A:$A),MATCH(O$1,enemy_skill_triggers!$1:$1,0)-MATCH($F$1,enemy_skill_triggers!$1:$1,0)+1),MATCH(O$1,enemy_skill_triggers!$1:$1,0)-MATCH($F$1,enemy_skill_triggers!$1:$1,0)+1,FALSE)</f>
        <v>25</v>
      </c>
      <c r="P130" s="47"/>
      <c r="Q130" s="47"/>
      <c r="R130" s="47"/>
    </row>
    <row r="131" spans="1:18" ht="21" customHeight="1" x14ac:dyDescent="0.15">
      <c r="A131" s="39" t="str">
        <f t="shared" si="11"/>
        <v>47016203_47016130</v>
      </c>
      <c r="B131" s="109">
        <v>47016203</v>
      </c>
      <c r="C131" s="114">
        <v>47016130</v>
      </c>
      <c r="D131" s="46" t="str">
        <f ca="1">VLOOKUP($C131,OFFSET(enemy_skills!$A$1,0,0,COUNTA(enemy_skills!$A:$A),MATCH(D$1,enemy_skills!$1:$1,0)-MATCH("enemy_skill_id",enemy_skills!$1:$1,0)+1),MATCH(D$1,enemy_skills!$1:$1,0)-MATCH("enemy_skill_id",enemy_skills!$1:$1,0)+1,FALSE)</f>
        <v>あたしの心は燃えてるのよ！</v>
      </c>
      <c r="E131" s="46" t="str">
        <f ca="1">VLOOKUP($C131,OFFSET(enemy_skills!$A$1,0,0,COUNTA(enemy_skills!$A:$A),MATCH(E$1,enemy_skills!$1:$1,0)-MATCH("enemy_skill_id",enemy_skills!$1:$1,0)+1),MATCH(E$1,enemy_skills!$1:$1,0)-MATCH("enemy_skill_id",enemy_skills!$1:$1,0)+1,FALSE)</f>
        <v>青パネルを赤パネルに5個変換+単体攻撃</v>
      </c>
      <c r="F131" s="47">
        <v>47016156</v>
      </c>
      <c r="G131" s="48">
        <f ca="1">VLOOKUP($F131,OFFSET(enemy_skill_triggers!$A$1,0,0,COUNTA(enemy_skill_triggers!$A:$A),MATCH(G$1,enemy_skill_triggers!$1:$1,0)-MATCH($F$1,enemy_skill_triggers!$1:$1,0)+1),MATCH(G$1,enemy_skill_triggers!$1:$1,0)-MATCH($F$1,enemy_skill_triggers!$1:$1,0)+1,FALSE)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31" s="48">
        <f ca="1">VLOOKUP($F131,OFFSET(enemy_skill_triggers!$A$1,0,0,COUNTA(enemy_skill_triggers!$A:$A),MATCH(H$1,enemy_skill_triggers!$1:$1,0)-MATCH($F$1,enemy_skill_triggers!$1:$1,0)+1),MATCH(H$1,enemy_skill_triggers!$1:$1,0)-MATCH($F$1,enemy_skill_triggers!$1:$1,0)+1,FALSE)</f>
        <v>130</v>
      </c>
      <c r="I131" s="48">
        <f ca="1">VLOOKUP($F131,OFFSET(enemy_skill_triggers!$A$1,0,0,COUNTA(enemy_skill_triggers!$A:$A),MATCH(I$1,enemy_skill_triggers!$1:$1,0)-MATCH($F$1,enemy_skill_triggers!$1:$1,0)+1),MATCH(I$1,enemy_skill_triggers!$1:$1,0)-MATCH($F$1,enemy_skill_triggers!$1:$1,0)+1,FALSE)</f>
        <v>33</v>
      </c>
      <c r="J131" s="48" t="str">
        <f ca="1">VLOOKUP($F131,OFFSET(enemy_skill_triggers!$A$1,0,0,COUNTA(enemy_skill_triggers!$A:$A),MATCH(J$1,enemy_skill_triggers!$1:$1,0)-MATCH($F$1,enemy_skill_triggers!$1:$1,0)+1),MATCH(J$1,enemy_skill_triggers!$1:$1,0)-MATCH($F$1,enemy_skill_triggers!$1:$1,0)+1,FALSE)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31" s="48" t="str">
        <f ca="1">VLOOKUP($F131,OFFSET(enemy_skill_triggers!$A$1,0,0,COUNTA(enemy_skill_triggers!$A:$A),MATCH(K$1,enemy_skill_triggers!$1:$1,0)-MATCH($F$1,enemy_skill_triggers!$1:$1,0)+1),MATCH(K$1,enemy_skill_triggers!$1:$1,0)-MATCH($F$1,enemy_skill_triggers!$1:$1,0)+1,FALSE)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31" s="48" t="str">
        <f ca="1">VLOOKUP($F131,OFFSET(enemy_skill_triggers!$A$1,0,0,COUNTA(enemy_skill_triggers!$A:$A),MATCH(L$1,enemy_skill_triggers!$1:$1,0)-MATCH($F$1,enemy_skill_triggers!$1:$1,0)+1),MATCH(L$1,enemy_skill_triggers!$1:$1,0)-MATCH($F$1,enemy_skill_triggers!$1:$1,0)+1,FALSE)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31" s="48" t="str">
        <f ca="1">VLOOKUP($F131,OFFSET(enemy_skill_triggers!$A$1,0,0,COUNTA(enemy_skill_triggers!$A:$A),MATCH(M$1,enemy_skill_triggers!$1:$1,0)-MATCH($F$1,enemy_skill_triggers!$1:$1,0)+1),MATCH(M$1,enemy_skill_triggers!$1:$1,0)-MATCH($F$1,enemy_skill_triggers!$1:$1,0)+1,FALSE)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31" s="48" t="str">
        <f ca="1">VLOOKUP($F131,OFFSET(enemy_skill_triggers!$A$1,0,0,COUNTA(enemy_skill_triggers!$A:$A),MATCH(N$1,enemy_skill_triggers!$1:$1,0)-MATCH($F$1,enemy_skill_triggers!$1:$1,0)+1),MATCH(N$1,enemy_skill_triggers!$1:$1,0)-MATCH($F$1,enemy_skill_triggers!$1:$1,0)+1,FALSE)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31" s="48">
        <f ca="1">VLOOKUP($F131,OFFSET(enemy_skill_triggers!$A$1,0,0,COUNTA(enemy_skill_triggers!$A:$A),MATCH(O$1,enemy_skill_triggers!$1:$1,0)-MATCH($F$1,enemy_skill_triggers!$1:$1,0)+1),MATCH(O$1,enemy_skill_triggers!$1:$1,0)-MATCH($F$1,enemy_skill_triggers!$1:$1,0)+1,FALSE)</f>
        <v>33</v>
      </c>
      <c r="P131" s="47"/>
      <c r="Q131" s="47"/>
      <c r="R131" s="47"/>
    </row>
    <row r="132" spans="1:18" ht="21" customHeight="1" x14ac:dyDescent="0.15">
      <c r="A132" s="39" t="str">
        <f t="shared" si="11"/>
        <v>47016203_47016131</v>
      </c>
      <c r="B132" s="109">
        <v>47016203</v>
      </c>
      <c r="C132" s="114">
        <v>47016131</v>
      </c>
      <c r="D132" s="46" t="str">
        <f ca="1">VLOOKUP($C132,OFFSET(enemy_skills!$A$1,0,0,COUNTA(enemy_skills!$A:$A),MATCH(D$1,enemy_skills!$1:$1,0)-MATCH("enemy_skill_id",enemy_skills!$1:$1,0)+1),MATCH(D$1,enemy_skills!$1:$1,0)-MATCH("enemy_skill_id",enemy_skills!$1:$1,0)+1,FALSE)</f>
        <v>一緒にレッドカーペットを歩きましょ？</v>
      </c>
      <c r="E132" s="46" t="str">
        <f ca="1">VLOOKUP($C132,OFFSET(enemy_skills!$A$1,0,0,COUNTA(enemy_skills!$A:$A),MATCH(E$1,enemy_skills!$1:$1,0)-MATCH("enemy_skill_id",enemy_skills!$1:$1,0)+1),MATCH(E$1,enemy_skills!$1:$1,0)-MATCH("enemy_skill_id",enemy_skills!$1:$1,0)+1,FALSE)</f>
        <v>特定エリアを赤パネルに変換+単体攻撃</v>
      </c>
      <c r="F132" s="47">
        <v>47016157</v>
      </c>
      <c r="G132" s="48">
        <f ca="1">VLOOKUP($F132,OFFSET(enemy_skill_triggers!$A$1,0,0,COUNTA(enemy_skill_triggers!$A:$A),MATCH(G$1,enemy_skill_triggers!$1:$1,0)-MATCH($F$1,enemy_skill_triggers!$1:$1,0)+1),MATCH(G$1,enemy_skill_triggers!$1:$1,0)-MATCH($F$1,enemy_skill_triggers!$1:$1,0)+1,FALSE)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32" s="48">
        <f ca="1">VLOOKUP($F132,OFFSET(enemy_skill_triggers!$A$1,0,0,COUNTA(enemy_skill_triggers!$A:$A),MATCH(H$1,enemy_skill_triggers!$1:$1,0)-MATCH($F$1,enemy_skill_triggers!$1:$1,0)+1),MATCH(H$1,enemy_skill_triggers!$1:$1,0)-MATCH($F$1,enemy_skill_triggers!$1:$1,0)+1,FALSE)</f>
        <v>120</v>
      </c>
      <c r="I132" s="48">
        <f ca="1">VLOOKUP($F132,OFFSET(enemy_skill_triggers!$A$1,0,0,COUNTA(enemy_skill_triggers!$A:$A),MATCH(I$1,enemy_skill_triggers!$1:$1,0)-MATCH($F$1,enemy_skill_triggers!$1:$1,0)+1),MATCH(I$1,enemy_skill_triggers!$1:$1,0)-MATCH($F$1,enemy_skill_triggers!$1:$1,0)+1,FALSE)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132" s="48" t="str">
        <f ca="1">VLOOKUP($F132,OFFSET(enemy_skill_triggers!$A$1,0,0,COUNTA(enemy_skill_triggers!$A:$A),MATCH(J$1,enemy_skill_triggers!$1:$1,0)-MATCH($F$1,enemy_skill_triggers!$1:$1,0)+1),MATCH(J$1,enemy_skill_triggers!$1:$1,0)-MATCH($F$1,enemy_skill_triggers!$1:$1,0)+1,FALSE)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32" s="48" t="str">
        <f ca="1">VLOOKUP($F132,OFFSET(enemy_skill_triggers!$A$1,0,0,COUNTA(enemy_skill_triggers!$A:$A),MATCH(K$1,enemy_skill_triggers!$1:$1,0)-MATCH($F$1,enemy_skill_triggers!$1:$1,0)+1),MATCH(K$1,enemy_skill_triggers!$1:$1,0)-MATCH($F$1,enemy_skill_triggers!$1:$1,0)+1,FALSE)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32" s="48" t="str">
        <f ca="1">VLOOKUP($F132,OFFSET(enemy_skill_triggers!$A$1,0,0,COUNTA(enemy_skill_triggers!$A:$A),MATCH(L$1,enemy_skill_triggers!$1:$1,0)-MATCH($F$1,enemy_skill_triggers!$1:$1,0)+1),MATCH(L$1,enemy_skill_triggers!$1:$1,0)-MATCH($F$1,enemy_skill_triggers!$1:$1,0)+1,FALSE)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32" s="48" t="str">
        <f ca="1">VLOOKUP($F132,OFFSET(enemy_skill_triggers!$A$1,0,0,COUNTA(enemy_skill_triggers!$A:$A),MATCH(M$1,enemy_skill_triggers!$1:$1,0)-MATCH($F$1,enemy_skill_triggers!$1:$1,0)+1),MATCH(M$1,enemy_skill_triggers!$1:$1,0)-MATCH($F$1,enemy_skill_triggers!$1:$1,0)+1,FALSE)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32" s="48" t="str">
        <f ca="1">VLOOKUP($F132,OFFSET(enemy_skill_triggers!$A$1,0,0,COUNTA(enemy_skill_triggers!$A:$A),MATCH(N$1,enemy_skill_triggers!$1:$1,0)-MATCH($F$1,enemy_skill_triggers!$1:$1,0)+1),MATCH(N$1,enemy_skill_triggers!$1:$1,0)-MATCH($F$1,enemy_skill_triggers!$1:$1,0)+1,FALSE)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32" s="48">
        <f ca="1">VLOOKUP($F132,OFFSET(enemy_skill_triggers!$A$1,0,0,COUNTA(enemy_skill_triggers!$A:$A),MATCH(O$1,enemy_skill_triggers!$1:$1,0)-MATCH($F$1,enemy_skill_triggers!$1:$1,0)+1),MATCH(O$1,enemy_skill_triggers!$1:$1,0)-MATCH($F$1,enemy_skill_triggers!$1:$1,0)+1,FALSE)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132" s="47"/>
      <c r="Q132" s="47"/>
      <c r="R132" s="47"/>
    </row>
    <row r="133" spans="1:18" ht="21" customHeight="1" x14ac:dyDescent="0.15">
      <c r="A133" s="39" t="str">
        <f t="shared" si="11"/>
        <v>47016203_47016232</v>
      </c>
      <c r="B133" s="109">
        <v>47016203</v>
      </c>
      <c r="C133" s="174">
        <v>47016232</v>
      </c>
      <c r="D133" s="46" t="str">
        <f ca="1">VLOOKUP($C133,OFFSET(enemy_skills!$A$1,0,0,COUNTA(enemy_skills!$A:$A),MATCH(D$1,enemy_skills!$1:$1,0)-MATCH("enemy_skill_id",enemy_skills!$1:$1,0)+1),MATCH(D$1,enemy_skills!$1:$1,0)-MATCH("enemy_skill_id",enemy_skills!$1:$1,0)+1,FALSE)</f>
        <v>派手に楽しまなきゃ！</v>
      </c>
      <c r="E133" s="46" t="str">
        <f ca="1">VLOOKUP($C133,OFFSET(enemy_skills!$A$1,0,0,COUNTA(enemy_skills!$A:$A),MATCH(E$1,enemy_skills!$1:$1,0)-MATCH("enemy_skill_id",enemy_skills!$1:$1,0)+1),MATCH(E$1,enemy_skills!$1:$1,0)-MATCH("enemy_skill_id",enemy_skills!$1:$1,0)+1,FALSE)</f>
        <v>属性パネルプロテクト(最大6個)+_x000D_残りHPの40%ダメージ！</v>
      </c>
      <c r="F133" s="47">
        <v>47016158</v>
      </c>
      <c r="G133" s="48">
        <f ca="1">VLOOKUP($F133,OFFSET(enemy_skill_triggers!$A$1,0,0,COUNTA(enemy_skill_triggers!$A:$A),MATCH(G$1,enemy_skill_triggers!$1:$1,0)-MATCH($F$1,enemy_skill_triggers!$1:$1,0)+1),MATCH(G$1,enemy_skill_triggers!$1:$1,0)-MATCH($F$1,enemy_skill_triggers!$1:$1,0)+1,FALSE)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33" s="48">
        <f ca="1">VLOOKUP($F133,OFFSET(enemy_skill_triggers!$A$1,0,0,COUNTA(enemy_skill_triggers!$A:$A),MATCH(H$1,enemy_skill_triggers!$1:$1,0)-MATCH($F$1,enemy_skill_triggers!$1:$1,0)+1),MATCH(H$1,enemy_skill_triggers!$1:$1,0)-MATCH($F$1,enemy_skill_triggers!$1:$1,0)+1,FALSE)</f>
        <v>110</v>
      </c>
      <c r="I133" s="48">
        <f ca="1">VLOOKUP($F133,OFFSET(enemy_skill_triggers!$A$1,0,0,COUNTA(enemy_skill_triggers!$A:$A),MATCH(I$1,enemy_skill_triggers!$1:$1,0)-MATCH($F$1,enemy_skill_triggers!$1:$1,0)+1),MATCH(I$1,enemy_skill_triggers!$1:$1,0)-MATCH($F$1,enemy_skill_triggers!$1:$1,0)+1,FALSE)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33" s="48" t="str">
        <f ca="1">VLOOKUP($F133,OFFSET(enemy_skill_triggers!$A$1,0,0,COUNTA(enemy_skill_triggers!$A:$A),MATCH(J$1,enemy_skill_triggers!$1:$1,0)-MATCH($F$1,enemy_skill_triggers!$1:$1,0)+1),MATCH(J$1,enemy_skill_triggers!$1:$1,0)-MATCH($F$1,enemy_skill_triggers!$1:$1,0)+1,FALSE)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33" s="48" t="str">
        <f ca="1">VLOOKUP($F133,OFFSET(enemy_skill_triggers!$A$1,0,0,COUNTA(enemy_skill_triggers!$A:$A),MATCH(K$1,enemy_skill_triggers!$1:$1,0)-MATCH($F$1,enemy_skill_triggers!$1:$1,0)+1),MATCH(K$1,enemy_skill_triggers!$1:$1,0)-MATCH($F$1,enemy_skill_triggers!$1:$1,0)+1,FALSE)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33" s="48" t="str">
        <f ca="1">VLOOKUP($F133,OFFSET(enemy_skill_triggers!$A$1,0,0,COUNTA(enemy_skill_triggers!$A:$A),MATCH(L$1,enemy_skill_triggers!$1:$1,0)-MATCH($F$1,enemy_skill_triggers!$1:$1,0)+1),MATCH(L$1,enemy_skill_triggers!$1:$1,0)-MATCH($F$1,enemy_skill_triggers!$1:$1,0)+1,FALSE)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33" s="48" t="str">
        <f ca="1">VLOOKUP($F133,OFFSET(enemy_skill_triggers!$A$1,0,0,COUNTA(enemy_skill_triggers!$A:$A),MATCH(M$1,enemy_skill_triggers!$1:$1,0)-MATCH($F$1,enemy_skill_triggers!$1:$1,0)+1),MATCH(M$1,enemy_skill_triggers!$1:$1,0)-MATCH($F$1,enemy_skill_triggers!$1:$1,0)+1,FALSE)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33" s="48" t="str">
        <f ca="1">VLOOKUP($F133,OFFSET(enemy_skill_triggers!$A$1,0,0,COUNTA(enemy_skill_triggers!$A:$A),MATCH(N$1,enemy_skill_triggers!$1:$1,0)-MATCH($F$1,enemy_skill_triggers!$1:$1,0)+1),MATCH(N$1,enemy_skill_triggers!$1:$1,0)-MATCH($F$1,enemy_skill_triggers!$1:$1,0)+1,FALSE)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33" s="48">
        <f ca="1">VLOOKUP($F133,OFFSET(enemy_skill_triggers!$A$1,0,0,COUNTA(enemy_skill_triggers!$A:$A),MATCH(O$1,enemy_skill_triggers!$1:$1,0)-MATCH($F$1,enemy_skill_triggers!$1:$1,0)+1),MATCH(O$1,enemy_skill_triggers!$1:$1,0)-MATCH($F$1,enemy_skill_triggers!$1:$1,0)+1,FALSE)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33" s="47"/>
      <c r="Q133" s="47"/>
      <c r="R133" s="47"/>
    </row>
    <row r="134" spans="1:18" ht="21" customHeight="1" x14ac:dyDescent="0.15">
      <c r="A134" s="39" t="str">
        <f t="shared" si="11"/>
        <v>47016204_47016133</v>
      </c>
      <c r="B134" s="111">
        <v>47016204</v>
      </c>
      <c r="C134" s="114">
        <v>47016133</v>
      </c>
      <c r="D134" s="46" t="str">
        <f ca="1">VLOOKUP($C134,OFFSET(enemy_skills!$A$1,0,0,COUNTA(enemy_skills!$A:$A),MATCH(D$1,enemy_skills!$1:$1,0)-MATCH("enemy_skill_id",enemy_skills!$1:$1,0)+1),MATCH(D$1,enemy_skills!$1:$1,0)-MATCH("enemy_skill_id",enemy_skills!$1:$1,0)+1,FALSE)</f>
        <v>あれ、まだ続けるの？</v>
      </c>
      <c r="E134" s="46" t="str">
        <f ca="1">VLOOKUP($C134,OFFSET(enemy_skills!$A$1,0,0,COUNTA(enemy_skills!$A:$A),MATCH(E$1,enemy_skills!$1:$1,0)-MATCH("enemy_skill_id",enemy_skills!$1:$1,0)+1),MATCH(E$1,enemy_skills!$1:$1,0)-MATCH("enemy_skill_id",enemy_skills!$1:$1,0)+1,FALSE)</f>
        <v>状態異常耐性+_x000D_特定エリアを赤パネルに変換</v>
      </c>
      <c r="F134" s="47">
        <v>47016159</v>
      </c>
      <c r="G134" s="48">
        <f ca="1">VLOOKUP($F134,OFFSET(enemy_skill_triggers!$A$1,0,0,COUNTA(enemy_skill_triggers!$A:$A),MATCH(G$1,enemy_skill_triggers!$1:$1,0)-MATCH($F$1,enemy_skill_triggers!$1:$1,0)+1),MATCH(G$1,enemy_skill_triggers!$1:$1,0)-MATCH($F$1,enemy_skill_triggers!$1:$1,0)+1,FALSE)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34" s="48">
        <f ca="1">VLOOKUP($F134,OFFSET(enemy_skill_triggers!$A$1,0,0,COUNTA(enemy_skill_triggers!$A:$A),MATCH(H$1,enemy_skill_triggers!$1:$1,0)-MATCH($F$1,enemy_skill_triggers!$1:$1,0)+1),MATCH(H$1,enemy_skill_triggers!$1:$1,0)-MATCH($F$1,enemy_skill_triggers!$1:$1,0)+1,FALSE)</f>
        <v>500</v>
      </c>
      <c r="I134" s="48">
        <f ca="1">VLOOKUP($F134,OFFSET(enemy_skill_triggers!$A$1,0,0,COUNTA(enemy_skill_triggers!$A:$A),MATCH(I$1,enemy_skill_triggers!$1:$1,0)-MATCH($F$1,enemy_skill_triggers!$1:$1,0)+1),MATCH(I$1,enemy_skill_triggers!$1:$1,0)-MATCH($F$1,enemy_skill_triggers!$1:$1,0)+1,FALSE)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34" s="48" t="str">
        <f ca="1">VLOOKUP($F134,OFFSET(enemy_skill_triggers!$A$1,0,0,COUNTA(enemy_skill_triggers!$A:$A),MATCH(J$1,enemy_skill_triggers!$1:$1,0)-MATCH($F$1,enemy_skill_triggers!$1:$1,0)+1),MATCH(J$1,enemy_skill_triggers!$1:$1,0)-MATCH($F$1,enemy_skill_triggers!$1:$1,0)+1,FALSE)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34" s="48" t="str">
        <f ca="1">VLOOKUP($F134,OFFSET(enemy_skill_triggers!$A$1,0,0,COUNTA(enemy_skill_triggers!$A:$A),MATCH(K$1,enemy_skill_triggers!$1:$1,0)-MATCH($F$1,enemy_skill_triggers!$1:$1,0)+1),MATCH(K$1,enemy_skill_triggers!$1:$1,0)-MATCH($F$1,enemy_skill_triggers!$1:$1,0)+1,FALSE)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34" s="48">
        <f ca="1">VLOOKUP($F134,OFFSET(enemy_skill_triggers!$A$1,0,0,COUNTA(enemy_skill_triggers!$A:$A),MATCH(L$1,enemy_skill_triggers!$1:$1,0)-MATCH($F$1,enemy_skill_triggers!$1:$1,0)+1),MATCH(L$1,enemy_skill_triggers!$1:$1,0)-MATCH($F$1,enemy_skill_triggers!$1:$1,0)+1,FALSE)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34" s="48" t="str">
        <f ca="1">VLOOKUP($F134,OFFSET(enemy_skill_triggers!$A$1,0,0,COUNTA(enemy_skill_triggers!$A:$A),MATCH(M$1,enemy_skill_triggers!$1:$1,0)-MATCH($F$1,enemy_skill_triggers!$1:$1,0)+1),MATCH(M$1,enemy_skill_triggers!$1:$1,0)-MATCH($F$1,enemy_skill_triggers!$1:$1,0)+1,FALSE)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34" s="48" t="str">
        <f ca="1">VLOOKUP($F134,OFFSET(enemy_skill_triggers!$A$1,0,0,COUNTA(enemy_skill_triggers!$A:$A),MATCH(N$1,enemy_skill_triggers!$1:$1,0)-MATCH($F$1,enemy_skill_triggers!$1:$1,0)+1),MATCH(N$1,enemy_skill_triggers!$1:$1,0)-MATCH($F$1,enemy_skill_triggers!$1:$1,0)+1,FALSE)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34" s="48">
        <f ca="1">VLOOKUP($F134,OFFSET(enemy_skill_triggers!$A$1,0,0,COUNTA(enemy_skill_triggers!$A:$A),MATCH(O$1,enemy_skill_triggers!$1:$1,0)-MATCH($F$1,enemy_skill_triggers!$1:$1,0)+1),MATCH(O$1,enemy_skill_triggers!$1:$1,0)-MATCH($F$1,enemy_skill_triggers!$1:$1,0)+1,FALSE)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34" s="47"/>
      <c r="Q134" s="47"/>
      <c r="R134" s="47"/>
    </row>
    <row r="135" spans="1:18" ht="21" customHeight="1" x14ac:dyDescent="0.15">
      <c r="A135" s="39" t="str">
        <f t="shared" si="11"/>
        <v>47016204_47016234</v>
      </c>
      <c r="B135" s="111">
        <v>47016204</v>
      </c>
      <c r="C135" s="174">
        <v>47016234</v>
      </c>
      <c r="D135" s="46" t="str">
        <f ca="1">VLOOKUP($C135,OFFSET(enemy_skills!$A$1,0,0,COUNTA(enemy_skills!$A:$A),MATCH(D$1,enemy_skills!$1:$1,0)-MATCH("enemy_skill_id",enemy_skills!$1:$1,0)+1),MATCH(D$1,enemy_skills!$1:$1,0)-MATCH("enemy_skill_id",enemy_skills!$1:$1,0)+1,FALSE)</f>
        <v>いいわ、そういうの燃えてくる！</v>
      </c>
      <c r="E135" s="46" t="str">
        <f ca="1">VLOOKUP($C135,OFFSET(enemy_skills!$A$1,0,0,COUNTA(enemy_skills!$A:$A),MATCH(E$1,enemy_skills!$1:$1,0)-MATCH("enemy_skill_id",enemy_skills!$1:$1,0)+1),MATCH(E$1,enemy_skills!$1:$1,0)-MATCH("enemy_skill_id",enemy_skills!$1:$1,0)+1,FALSE)</f>
        <v>赤パネルプロテクト(最大6個)+単体攻撃</v>
      </c>
      <c r="F135" s="47">
        <v>47016160</v>
      </c>
      <c r="G135" s="48">
        <f ca="1">VLOOKUP($F135,OFFSET(enemy_skill_triggers!$A$1,0,0,COUNTA(enemy_skill_triggers!$A:$A),MATCH(G$1,enemy_skill_triggers!$1:$1,0)-MATCH($F$1,enemy_skill_triggers!$1:$1,0)+1),MATCH(G$1,enemy_skill_triggers!$1:$1,0)-MATCH($F$1,enemy_skill_triggers!$1:$1,0)+1,FALSE)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35" s="48">
        <f ca="1">VLOOKUP($F135,OFFSET(enemy_skill_triggers!$A$1,0,0,COUNTA(enemy_skill_triggers!$A:$A),MATCH(H$1,enemy_skill_triggers!$1:$1,0)-MATCH($F$1,enemy_skill_triggers!$1:$1,0)+1),MATCH(H$1,enemy_skill_triggers!$1:$1,0)-MATCH($F$1,enemy_skill_triggers!$1:$1,0)+1,FALSE)</f>
        <v>410</v>
      </c>
      <c r="I135" s="48">
        <f ca="1">VLOOKUP($F135,OFFSET(enemy_skill_triggers!$A$1,0,0,COUNTA(enemy_skill_triggers!$A:$A),MATCH(I$1,enemy_skill_triggers!$1:$1,0)-MATCH($F$1,enemy_skill_triggers!$1:$1,0)+1),MATCH(I$1,enemy_skill_triggers!$1:$1,0)-MATCH($F$1,enemy_skill_triggers!$1:$1,0)+1,FALSE)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35" s="48" t="str">
        <f ca="1">VLOOKUP($F135,OFFSET(enemy_skill_triggers!$A$1,0,0,COUNTA(enemy_skill_triggers!$A:$A),MATCH(J$1,enemy_skill_triggers!$1:$1,0)-MATCH($F$1,enemy_skill_triggers!$1:$1,0)+1),MATCH(J$1,enemy_skill_triggers!$1:$1,0)-MATCH($F$1,enemy_skill_triggers!$1:$1,0)+1,FALSE)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35" s="48" t="str">
        <f ca="1">VLOOKUP($F135,OFFSET(enemy_skill_triggers!$A$1,0,0,COUNTA(enemy_skill_triggers!$A:$A),MATCH(K$1,enemy_skill_triggers!$1:$1,0)-MATCH($F$1,enemy_skill_triggers!$1:$1,0)+1),MATCH(K$1,enemy_skill_triggers!$1:$1,0)-MATCH($F$1,enemy_skill_triggers!$1:$1,0)+1,FALSE)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35" s="48">
        <f ca="1">VLOOKUP($F135,OFFSET(enemy_skill_triggers!$A$1,0,0,COUNTA(enemy_skill_triggers!$A:$A),MATCH(L$1,enemy_skill_triggers!$1:$1,0)-MATCH($F$1,enemy_skill_triggers!$1:$1,0)+1),MATCH(L$1,enemy_skill_triggers!$1:$1,0)-MATCH($F$1,enemy_skill_triggers!$1:$1,0)+1,FALSE)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35" s="48">
        <f ca="1">VLOOKUP($F135,OFFSET(enemy_skill_triggers!$A$1,0,0,COUNTA(enemy_skill_triggers!$A:$A),MATCH(M$1,enemy_skill_triggers!$1:$1,0)-MATCH($F$1,enemy_skill_triggers!$1:$1,0)+1),MATCH(M$1,enemy_skill_triggers!$1:$1,0)-MATCH($F$1,enemy_skill_triggers!$1:$1,0)+1,FALSE)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35" s="48" t="str">
        <f ca="1">VLOOKUP($F135,OFFSET(enemy_skill_triggers!$A$1,0,0,COUNTA(enemy_skill_triggers!$A:$A),MATCH(N$1,enemy_skill_triggers!$1:$1,0)-MATCH($F$1,enemy_skill_triggers!$1:$1,0)+1),MATCH(N$1,enemy_skill_triggers!$1:$1,0)-MATCH($F$1,enemy_skill_triggers!$1:$1,0)+1,FALSE)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35" s="48">
        <f ca="1">VLOOKUP($F135,OFFSET(enemy_skill_triggers!$A$1,0,0,COUNTA(enemy_skill_triggers!$A:$A),MATCH(O$1,enemy_skill_triggers!$1:$1,0)-MATCH($F$1,enemy_skill_triggers!$1:$1,0)+1),MATCH(O$1,enemy_skill_triggers!$1:$1,0)-MATCH($F$1,enemy_skill_triggers!$1:$1,0)+1,FALSE)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35" s="47"/>
      <c r="Q135" s="47"/>
      <c r="R135" s="47"/>
    </row>
    <row r="136" spans="1:18" ht="21" customHeight="1" x14ac:dyDescent="0.15">
      <c r="A136" s="39" t="str">
        <f t="shared" si="11"/>
        <v>47016204_47016235</v>
      </c>
      <c r="B136" s="111">
        <v>47016204</v>
      </c>
      <c r="C136" s="174">
        <v>47016235</v>
      </c>
      <c r="D136" s="46" t="str">
        <f ca="1">VLOOKUP($C136,OFFSET(enemy_skills!$A$1,0,0,COUNTA(enemy_skills!$A:$A),MATCH(D$1,enemy_skills!$1:$1,0)-MATCH("enemy_skill_id",enemy_skills!$1:$1,0)+1),MATCH(D$1,enemy_skills!$1:$1,0)-MATCH("enemy_skill_id",enemy_skills!$1:$1,0)+1,FALSE)</f>
        <v>よそ見の暇なんてないわよ！</v>
      </c>
      <c r="E136" s="46" t="str">
        <f ca="1">VLOOKUP($C136,OFFSET(enemy_skills!$A$1,0,0,COUNTA(enemy_skills!$A:$A),MATCH(E$1,enemy_skills!$1:$1,0)-MATCH("enemy_skill_id",enemy_skills!$1:$1,0)+1),MATCH(E$1,enemy_skills!$1:$1,0)-MATCH("enemy_skill_id",enemy_skills!$1:$1,0)+1,FALSE)</f>
        <v>1ターンハートパネル無効+_x000D_2ターンハートパネルドロップ率UP</v>
      </c>
      <c r="F136" s="47">
        <v>47016161</v>
      </c>
      <c r="G136" s="48">
        <f ca="1">VLOOKUP($F136,OFFSET(enemy_skill_triggers!$A$1,0,0,COUNTA(enemy_skill_triggers!$A:$A),MATCH(G$1,enemy_skill_triggers!$1:$1,0)-MATCH($F$1,enemy_skill_triggers!$1:$1,0)+1),MATCH(G$1,enemy_skill_triggers!$1:$1,0)-MATCH($F$1,enemy_skill_triggers!$1:$1,0)+1,FALSE)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36" s="48">
        <f ca="1">VLOOKUP($F136,OFFSET(enemy_skill_triggers!$A$1,0,0,COUNTA(enemy_skill_triggers!$A:$A),MATCH(H$1,enemy_skill_triggers!$1:$1,0)-MATCH($F$1,enemy_skill_triggers!$1:$1,0)+1),MATCH(H$1,enemy_skill_triggers!$1:$1,0)-MATCH($F$1,enemy_skill_triggers!$1:$1,0)+1,FALSE)</f>
        <v>420</v>
      </c>
      <c r="I136" s="48">
        <f ca="1">VLOOKUP($F136,OFFSET(enemy_skill_triggers!$A$1,0,0,COUNTA(enemy_skill_triggers!$A:$A),MATCH(I$1,enemy_skill_triggers!$1:$1,0)-MATCH($F$1,enemy_skill_triggers!$1:$1,0)+1),MATCH(I$1,enemy_skill_triggers!$1:$1,0)-MATCH($F$1,enemy_skill_triggers!$1:$1,0)+1,FALSE)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36" s="48" t="str">
        <f ca="1">VLOOKUP($F136,OFFSET(enemy_skill_triggers!$A$1,0,0,COUNTA(enemy_skill_triggers!$A:$A),MATCH(J$1,enemy_skill_triggers!$1:$1,0)-MATCH($F$1,enemy_skill_triggers!$1:$1,0)+1),MATCH(J$1,enemy_skill_triggers!$1:$1,0)-MATCH($F$1,enemy_skill_triggers!$1:$1,0)+1,FALSE)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36" s="48" t="str">
        <f ca="1">VLOOKUP($F136,OFFSET(enemy_skill_triggers!$A$1,0,0,COUNTA(enemy_skill_triggers!$A:$A),MATCH(K$1,enemy_skill_triggers!$1:$1,0)-MATCH($F$1,enemy_skill_triggers!$1:$1,0)+1),MATCH(K$1,enemy_skill_triggers!$1:$1,0)-MATCH($F$1,enemy_skill_triggers!$1:$1,0)+1,FALSE)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36" s="48">
        <f ca="1">VLOOKUP($F136,OFFSET(enemy_skill_triggers!$A$1,0,0,COUNTA(enemy_skill_triggers!$A:$A),MATCH(L$1,enemy_skill_triggers!$1:$1,0)-MATCH($F$1,enemy_skill_triggers!$1:$1,0)+1),MATCH(L$1,enemy_skill_triggers!$1:$1,0)-MATCH($F$1,enemy_skill_triggers!$1:$1,0)+1,FALSE)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36" s="48">
        <f ca="1">VLOOKUP($F136,OFFSET(enemy_skill_triggers!$A$1,0,0,COUNTA(enemy_skill_triggers!$A:$A),MATCH(M$1,enemy_skill_triggers!$1:$1,0)-MATCH($F$1,enemy_skill_triggers!$1:$1,0)+1),MATCH(M$1,enemy_skill_triggers!$1:$1,0)-MATCH($F$1,enemy_skill_triggers!$1:$1,0)+1,FALSE)</f>
        <v>4</v>
      </c>
      <c r="N136" s="48" t="str">
        <f ca="1">VLOOKUP($F136,OFFSET(enemy_skill_triggers!$A$1,0,0,COUNTA(enemy_skill_triggers!$A:$A),MATCH(N$1,enemy_skill_triggers!$1:$1,0)-MATCH($F$1,enemy_skill_triggers!$1:$1,0)+1),MATCH(N$1,enemy_skill_triggers!$1:$1,0)-MATCH($F$1,enemy_skill_triggers!$1:$1,0)+1,FALSE)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36" s="48">
        <f ca="1">VLOOKUP($F136,OFFSET(enemy_skill_triggers!$A$1,0,0,COUNTA(enemy_skill_triggers!$A:$A),MATCH(O$1,enemy_skill_triggers!$1:$1,0)-MATCH($F$1,enemy_skill_triggers!$1:$1,0)+1),MATCH(O$1,enemy_skill_triggers!$1:$1,0)-MATCH($F$1,enemy_skill_triggers!$1:$1,0)+1,FALSE)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36" s="47"/>
      <c r="Q136" s="47"/>
      <c r="R136" s="47"/>
    </row>
    <row r="137" spans="1:18" ht="21" customHeight="1" x14ac:dyDescent="0.15">
      <c r="A137" s="39" t="str">
        <f t="shared" si="11"/>
        <v>47016204_47016236</v>
      </c>
      <c r="B137" s="111">
        <v>47016204</v>
      </c>
      <c r="C137" s="174">
        <v>47016236</v>
      </c>
      <c r="D137" s="46" t="str">
        <f ca="1">VLOOKUP($C137,OFFSET(enemy_skills!$A$1,0,0,COUNTA(enemy_skills!$A:$A),MATCH(D$1,enemy_skills!$1:$1,0)-MATCH("enemy_skill_id",enemy_skills!$1:$1,0)+1),MATCH(D$1,enemy_skills!$1:$1,0)-MATCH("enemy_skill_id",enemy_skills!$1:$1,0)+1,FALSE)</f>
        <v>あたしの得物はどうかしら！</v>
      </c>
      <c r="E137" s="46" t="str">
        <f ca="1">VLOOKUP($C137,OFFSET(enemy_skills!$A$1,0,0,COUNTA(enemy_skills!$A:$A),MATCH(E$1,enemy_skills!$1:$1,0)-MATCH("enemy_skill_id",enemy_skills!$1:$1,0)+1),MATCH(E$1,enemy_skills!$1:$1,0)-MATCH("enemy_skill_id",enemy_skills!$1:$1,0)+1,FALSE)</f>
        <v>チェーンソーの駆動音が響き渡る_x000D_【残りHPの40%ダメージ！】</v>
      </c>
      <c r="F137" s="47">
        <v>47016162</v>
      </c>
      <c r="G137" s="48">
        <f ca="1">VLOOKUP($F137,OFFSET(enemy_skill_triggers!$A$1,0,0,COUNTA(enemy_skill_triggers!$A:$A),MATCH(G$1,enemy_skill_triggers!$1:$1,0)-MATCH($F$1,enemy_skill_triggers!$1:$1,0)+1),MATCH(G$1,enemy_skill_triggers!$1:$1,0)-MATCH($F$1,enemy_skill_triggers!$1:$1,0)+1,FALSE)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37" s="48">
        <f ca="1">VLOOKUP($F137,OFFSET(enemy_skill_triggers!$A$1,0,0,COUNTA(enemy_skill_triggers!$A:$A),MATCH(H$1,enemy_skill_triggers!$1:$1,0)-MATCH($F$1,enemy_skill_triggers!$1:$1,0)+1),MATCH(H$1,enemy_skill_triggers!$1:$1,0)-MATCH($F$1,enemy_skill_triggers!$1:$1,0)+1,FALSE)</f>
        <v>430</v>
      </c>
      <c r="I137" s="48">
        <f ca="1">VLOOKUP($F137,OFFSET(enemy_skill_triggers!$A$1,0,0,COUNTA(enemy_skill_triggers!$A:$A),MATCH(I$1,enemy_skill_triggers!$1:$1,0)-MATCH($F$1,enemy_skill_triggers!$1:$1,0)+1),MATCH(I$1,enemy_skill_triggers!$1:$1,0)-MATCH($F$1,enemy_skill_triggers!$1:$1,0)+1,FALSE)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37" s="48" t="str">
        <f ca="1">VLOOKUP($F137,OFFSET(enemy_skill_triggers!$A$1,0,0,COUNTA(enemy_skill_triggers!$A:$A),MATCH(J$1,enemy_skill_triggers!$1:$1,0)-MATCH($F$1,enemy_skill_triggers!$1:$1,0)+1),MATCH(J$1,enemy_skill_triggers!$1:$1,0)-MATCH($F$1,enemy_skill_triggers!$1:$1,0)+1,FALSE)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37" s="48" t="str">
        <f ca="1">VLOOKUP($F137,OFFSET(enemy_skill_triggers!$A$1,0,0,COUNTA(enemy_skill_triggers!$A:$A),MATCH(K$1,enemy_skill_triggers!$1:$1,0)-MATCH($F$1,enemy_skill_triggers!$1:$1,0)+1),MATCH(K$1,enemy_skill_triggers!$1:$1,0)-MATCH($F$1,enemy_skill_triggers!$1:$1,0)+1,FALSE)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37" s="48">
        <f ca="1">VLOOKUP($F137,OFFSET(enemy_skill_triggers!$A$1,0,0,COUNTA(enemy_skill_triggers!$A:$A),MATCH(L$1,enemy_skill_triggers!$1:$1,0)-MATCH($F$1,enemy_skill_triggers!$1:$1,0)+1),MATCH(L$1,enemy_skill_triggers!$1:$1,0)-MATCH($F$1,enemy_skill_triggers!$1:$1,0)+1,FALSE)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37" s="48">
        <f ca="1">VLOOKUP($F137,OFFSET(enemy_skill_triggers!$A$1,0,0,COUNTA(enemy_skill_triggers!$A:$A),MATCH(M$1,enemy_skill_triggers!$1:$1,0)-MATCH($F$1,enemy_skill_triggers!$1:$1,0)+1),MATCH(M$1,enemy_skill_triggers!$1:$1,0)-MATCH($F$1,enemy_skill_triggers!$1:$1,0)+1,FALSE)</f>
        <v>5</v>
      </c>
      <c r="N137" s="48" t="str">
        <f ca="1">VLOOKUP($F137,OFFSET(enemy_skill_triggers!$A$1,0,0,COUNTA(enemy_skill_triggers!$A:$A),MATCH(N$1,enemy_skill_triggers!$1:$1,0)-MATCH($F$1,enemy_skill_triggers!$1:$1,0)+1),MATCH(N$1,enemy_skill_triggers!$1:$1,0)-MATCH($F$1,enemy_skill_triggers!$1:$1,0)+1,FALSE)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37" s="48">
        <f ca="1">VLOOKUP($F137,OFFSET(enemy_skill_triggers!$A$1,0,0,COUNTA(enemy_skill_triggers!$A:$A),MATCH(O$1,enemy_skill_triggers!$1:$1,0)-MATCH($F$1,enemy_skill_triggers!$1:$1,0)+1),MATCH(O$1,enemy_skill_triggers!$1:$1,0)-MATCH($F$1,enemy_skill_triggers!$1:$1,0)+1,FALSE)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37" s="47"/>
      <c r="Q137" s="47"/>
      <c r="R137" s="47"/>
    </row>
    <row r="138" spans="1:18" ht="21" customHeight="1" x14ac:dyDescent="0.15">
      <c r="A138" s="39" t="str">
        <f t="shared" si="11"/>
        <v>47016204_47016137</v>
      </c>
      <c r="B138" s="111">
        <v>47016204</v>
      </c>
      <c r="C138" s="114">
        <v>47016137</v>
      </c>
      <c r="D138" s="46" t="str">
        <f ca="1">VLOOKUP($C138,OFFSET(enemy_skills!$A$1,0,0,COUNTA(enemy_skills!$A:$A),MATCH(D$1,enemy_skills!$1:$1,0)-MATCH("enemy_skill_id",enemy_skills!$1:$1,0)+1),MATCH(D$1,enemy_skills!$1:$1,0)-MATCH("enemy_skill_id",enemy_skills!$1:$1,0)+1,FALSE)</f>
        <v>まだ終わらないのよ！</v>
      </c>
      <c r="E138" s="46" t="str">
        <f ca="1">VLOOKUP($C138,OFFSET(enemy_skills!$A$1,0,0,COUNTA(enemy_skills!$A:$A),MATCH(E$1,enemy_skills!$1:$1,0)-MATCH("enemy_skill_id",enemy_skills!$1:$1,0)+1),MATCH(E$1,enemy_skills!$1:$1,0)-MATCH("enemy_skill_id",enemy_skills!$1:$1,0)+1,FALSE)</f>
        <v>青パネルを赤パネルに5個変換+単体攻撃</v>
      </c>
      <c r="F138" s="47">
        <v>47016163</v>
      </c>
      <c r="G138" s="48">
        <f ca="1">VLOOKUP($F138,OFFSET(enemy_skill_triggers!$A$1,0,0,COUNTA(enemy_skill_triggers!$A:$A),MATCH(G$1,enemy_skill_triggers!$1:$1,0)-MATCH($F$1,enemy_skill_triggers!$1:$1,0)+1),MATCH(G$1,enemy_skill_triggers!$1:$1,0)-MATCH($F$1,enemy_skill_triggers!$1:$1,0)+1,FALSE)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38" s="48">
        <f ca="1">VLOOKUP($F138,OFFSET(enemy_skill_triggers!$A$1,0,0,COUNTA(enemy_skill_triggers!$A:$A),MATCH(H$1,enemy_skill_triggers!$1:$1,0)-MATCH($F$1,enemy_skill_triggers!$1:$1,0)+1),MATCH(H$1,enemy_skill_triggers!$1:$1,0)-MATCH($F$1,enemy_skill_triggers!$1:$1,0)+1,FALSE)</f>
        <v>120</v>
      </c>
      <c r="I138" s="48">
        <f ca="1">VLOOKUP($F138,OFFSET(enemy_skill_triggers!$A$1,0,0,COUNTA(enemy_skill_triggers!$A:$A),MATCH(I$1,enemy_skill_triggers!$1:$1,0)-MATCH($F$1,enemy_skill_triggers!$1:$1,0)+1),MATCH(I$1,enemy_skill_triggers!$1:$1,0)-MATCH($F$1,enemy_skill_triggers!$1:$1,0)+1,FALSE)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138" s="48" t="str">
        <f ca="1">VLOOKUP($F138,OFFSET(enemy_skill_triggers!$A$1,0,0,COUNTA(enemy_skill_triggers!$A:$A),MATCH(J$1,enemy_skill_triggers!$1:$1,0)-MATCH($F$1,enemy_skill_triggers!$1:$1,0)+1),MATCH(J$1,enemy_skill_triggers!$1:$1,0)-MATCH($F$1,enemy_skill_triggers!$1:$1,0)+1,FALSE)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38" s="48" t="str">
        <f ca="1">VLOOKUP($F138,OFFSET(enemy_skill_triggers!$A$1,0,0,COUNTA(enemy_skill_triggers!$A:$A),MATCH(K$1,enemy_skill_triggers!$1:$1,0)-MATCH($F$1,enemy_skill_triggers!$1:$1,0)+1),MATCH(K$1,enemy_skill_triggers!$1:$1,0)-MATCH($F$1,enemy_skill_triggers!$1:$1,0)+1,FALSE)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38" s="48" t="str">
        <f ca="1">VLOOKUP($F138,OFFSET(enemy_skill_triggers!$A$1,0,0,COUNTA(enemy_skill_triggers!$A:$A),MATCH(L$1,enemy_skill_triggers!$1:$1,0)-MATCH($F$1,enemy_skill_triggers!$1:$1,0)+1),MATCH(L$1,enemy_skill_triggers!$1:$1,0)-MATCH($F$1,enemy_skill_triggers!$1:$1,0)+1,FALSE)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38" s="48" t="str">
        <f ca="1">VLOOKUP($F138,OFFSET(enemy_skill_triggers!$A$1,0,0,COUNTA(enemy_skill_triggers!$A:$A),MATCH(M$1,enemy_skill_triggers!$1:$1,0)-MATCH($F$1,enemy_skill_triggers!$1:$1,0)+1),MATCH(M$1,enemy_skill_triggers!$1:$1,0)-MATCH($F$1,enemy_skill_triggers!$1:$1,0)+1,FALSE)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38" s="48" t="str">
        <f ca="1">VLOOKUP($F138,OFFSET(enemy_skill_triggers!$A$1,0,0,COUNTA(enemy_skill_triggers!$A:$A),MATCH(N$1,enemy_skill_triggers!$1:$1,0)-MATCH($F$1,enemy_skill_triggers!$1:$1,0)+1),MATCH(N$1,enemy_skill_triggers!$1:$1,0)-MATCH($F$1,enemy_skill_triggers!$1:$1,0)+1,FALSE)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38" s="48">
        <f ca="1">VLOOKUP($F138,OFFSET(enemy_skill_triggers!$A$1,0,0,COUNTA(enemy_skill_triggers!$A:$A),MATCH(O$1,enemy_skill_triggers!$1:$1,0)-MATCH($F$1,enemy_skill_triggers!$1:$1,0)+1),MATCH(O$1,enemy_skill_triggers!$1:$1,0)-MATCH($F$1,enemy_skill_triggers!$1:$1,0)+1,FALSE)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138" s="47"/>
      <c r="Q138" s="47"/>
      <c r="R138" s="47"/>
    </row>
    <row r="139" spans="1:18" ht="21" customHeight="1" x14ac:dyDescent="0.15">
      <c r="A139" s="39" t="str">
        <f t="shared" si="11"/>
        <v>47016204_47016238</v>
      </c>
      <c r="B139" s="111">
        <v>47016204</v>
      </c>
      <c r="C139" s="174">
        <v>47016238</v>
      </c>
      <c r="D139" s="46" t="str">
        <f ca="1">VLOOKUP($C139,OFFSET(enemy_skills!$A$1,0,0,COUNTA(enemy_skills!$A:$A),MATCH(D$1,enemy_skills!$1:$1,0)-MATCH("enemy_skill_id",enemy_skills!$1:$1,0)+1),MATCH(D$1,enemy_skills!$1:$1,0)-MATCH("enemy_skill_id",enemy_skills!$1:$1,0)+1,FALSE)</f>
        <v>障害があったほうが燃えるでしょ？</v>
      </c>
      <c r="E139" s="46" t="str">
        <f ca="1">VLOOKUP($C139,OFFSET(enemy_skills!$A$1,0,0,COUNTA(enemy_skills!$A:$A),MATCH(E$1,enemy_skills!$1:$1,0)-MATCH("enemy_skill_id",enemy_skills!$1:$1,0)+1),MATCH(E$1,enemy_skills!$1:$1,0)-MATCH("enemy_skill_id",enemy_skills!$1:$1,0)+1,FALSE)</f>
        <v>2ターン属性パネルは確率でプロテクトされてドロップ+_x000D_3回連続攻撃</v>
      </c>
      <c r="F139" s="47">
        <v>47016164</v>
      </c>
      <c r="G139" s="48">
        <f ca="1">VLOOKUP($F139,OFFSET(enemy_skill_triggers!$A$1,0,0,COUNTA(enemy_skill_triggers!$A:$A),MATCH(G$1,enemy_skill_triggers!$1:$1,0)-MATCH($F$1,enemy_skill_triggers!$1:$1,0)+1),MATCH(G$1,enemy_skill_triggers!$1:$1,0)-MATCH($F$1,enemy_skill_triggers!$1:$1,0)+1,FALSE)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39" s="48">
        <f ca="1">VLOOKUP($F139,OFFSET(enemy_skill_triggers!$A$1,0,0,COUNTA(enemy_skill_triggers!$A:$A),MATCH(H$1,enemy_skill_triggers!$1:$1,0)-MATCH($F$1,enemy_skill_triggers!$1:$1,0)+1),MATCH(H$1,enemy_skill_triggers!$1:$1,0)-MATCH($F$1,enemy_skill_triggers!$1:$1,0)+1,FALSE)</f>
        <v>110</v>
      </c>
      <c r="I139" s="48">
        <f ca="1">VLOOKUP($F139,OFFSET(enemy_skill_triggers!$A$1,0,0,COUNTA(enemy_skill_triggers!$A:$A),MATCH(I$1,enemy_skill_triggers!$1:$1,0)-MATCH($F$1,enemy_skill_triggers!$1:$1,0)+1),MATCH(I$1,enemy_skill_triggers!$1:$1,0)-MATCH($F$1,enemy_skill_triggers!$1:$1,0)+1,FALSE)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39" s="48" t="str">
        <f ca="1">VLOOKUP($F139,OFFSET(enemy_skill_triggers!$A$1,0,0,COUNTA(enemy_skill_triggers!$A:$A),MATCH(J$1,enemy_skill_triggers!$1:$1,0)-MATCH($F$1,enemy_skill_triggers!$1:$1,0)+1),MATCH(J$1,enemy_skill_triggers!$1:$1,0)-MATCH($F$1,enemy_skill_triggers!$1:$1,0)+1,FALSE)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39" s="48" t="str">
        <f ca="1">VLOOKUP($F139,OFFSET(enemy_skill_triggers!$A$1,0,0,COUNTA(enemy_skill_triggers!$A:$A),MATCH(K$1,enemy_skill_triggers!$1:$1,0)-MATCH($F$1,enemy_skill_triggers!$1:$1,0)+1),MATCH(K$1,enemy_skill_triggers!$1:$1,0)-MATCH($F$1,enemy_skill_triggers!$1:$1,0)+1,FALSE)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39" s="48" t="str">
        <f ca="1">VLOOKUP($F139,OFFSET(enemy_skill_triggers!$A$1,0,0,COUNTA(enemy_skill_triggers!$A:$A),MATCH(L$1,enemy_skill_triggers!$1:$1,0)-MATCH($F$1,enemy_skill_triggers!$1:$1,0)+1),MATCH(L$1,enemy_skill_triggers!$1:$1,0)-MATCH($F$1,enemy_skill_triggers!$1:$1,0)+1,FALSE)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39" s="48" t="str">
        <f ca="1">VLOOKUP($F139,OFFSET(enemy_skill_triggers!$A$1,0,0,COUNTA(enemy_skill_triggers!$A:$A),MATCH(M$1,enemy_skill_triggers!$1:$1,0)-MATCH($F$1,enemy_skill_triggers!$1:$1,0)+1),MATCH(M$1,enemy_skill_triggers!$1:$1,0)-MATCH($F$1,enemy_skill_triggers!$1:$1,0)+1,FALSE)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39" s="48" t="str">
        <f ca="1">VLOOKUP($F139,OFFSET(enemy_skill_triggers!$A$1,0,0,COUNTA(enemy_skill_triggers!$A:$A),MATCH(N$1,enemy_skill_triggers!$1:$1,0)-MATCH($F$1,enemy_skill_triggers!$1:$1,0)+1),MATCH(N$1,enemy_skill_triggers!$1:$1,0)-MATCH($F$1,enemy_skill_triggers!$1:$1,0)+1,FALSE)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39" s="48">
        <f ca="1">VLOOKUP($F139,OFFSET(enemy_skill_triggers!$A$1,0,0,COUNTA(enemy_skill_triggers!$A:$A),MATCH(O$1,enemy_skill_triggers!$1:$1,0)-MATCH($F$1,enemy_skill_triggers!$1:$1,0)+1),MATCH(O$1,enemy_skill_triggers!$1:$1,0)-MATCH($F$1,enemy_skill_triggers!$1:$1,0)+1,FALSE)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39" s="47"/>
      <c r="Q139" s="47"/>
      <c r="R139" s="47"/>
    </row>
    <row r="140" spans="1:18" ht="21" customHeight="1" x14ac:dyDescent="0.15">
      <c r="A140" s="39" t="str">
        <f t="shared" si="11"/>
        <v>47016204_47016239</v>
      </c>
      <c r="B140" s="111">
        <v>47016204</v>
      </c>
      <c r="C140" s="174">
        <v>47016239</v>
      </c>
      <c r="D140" s="46" t="str">
        <f ca="1">VLOOKUP($C140,OFFSET(enemy_skills!$A$1,0,0,COUNTA(enemy_skills!$A:$A),MATCH(D$1,enemy_skills!$1:$1,0)-MATCH("enemy_skill_id",enemy_skills!$1:$1,0)+1),MATCH(D$1,enemy_skills!$1:$1,0)-MATCH("enemy_skill_id",enemy_skills!$1:$1,0)+1,FALSE)</f>
        <v>まだまだここからよ！</v>
      </c>
      <c r="E140" s="46" t="str">
        <f ca="1">VLOOKUP($C140,OFFSET(enemy_skills!$A$1,0,0,COUNTA(enemy_skills!$A:$A),MATCH(E$1,enemy_skills!$1:$1,0)-MATCH("enemy_skill_id",enemy_skills!$1:$1,0)+1),MATCH(E$1,enemy_skills!$1:$1,0)-MATCH("enemy_skill_id",enemy_skills!$1:$1,0)+1,FALSE)</f>
        <v>赤パネルプロテクト(最大4個)+_x000D_残りHPの30%ダメージ！</v>
      </c>
      <c r="F140" s="47">
        <v>47016165</v>
      </c>
      <c r="G140" s="48">
        <f ca="1">VLOOKUP($F140,OFFSET(enemy_skill_triggers!$A$1,0,0,COUNTA(enemy_skill_triggers!$A:$A),MATCH(G$1,enemy_skill_triggers!$1:$1,0)-MATCH($F$1,enemy_skill_triggers!$1:$1,0)+1),MATCH(G$1,enemy_skill_triggers!$1:$1,0)-MATCH($F$1,enemy_skill_triggers!$1:$1,0)+1,FALSE)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40" s="48">
        <f ca="1">VLOOKUP($F140,OFFSET(enemy_skill_triggers!$A$1,0,0,COUNTA(enemy_skill_triggers!$A:$A),MATCH(H$1,enemy_skill_triggers!$1:$1,0)-MATCH($F$1,enemy_skill_triggers!$1:$1,0)+1),MATCH(H$1,enemy_skill_triggers!$1:$1,0)-MATCH($F$1,enemy_skill_triggers!$1:$1,0)+1,FALSE)</f>
        <v>450</v>
      </c>
      <c r="I140" s="48">
        <f ca="1">VLOOKUP($F140,OFFSET(enemy_skill_triggers!$A$1,0,0,COUNTA(enemy_skill_triggers!$A:$A),MATCH(I$1,enemy_skill_triggers!$1:$1,0)-MATCH($F$1,enemy_skill_triggers!$1:$1,0)+1),MATCH(I$1,enemy_skill_triggers!$1:$1,0)-MATCH($F$1,enemy_skill_triggers!$1:$1,0)+1,FALSE)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40" s="48">
        <f ca="1">VLOOKUP($F140,OFFSET(enemy_skill_triggers!$A$1,0,0,COUNTA(enemy_skill_triggers!$A:$A),MATCH(J$1,enemy_skill_triggers!$1:$1,0)-MATCH($F$1,enemy_skill_triggers!$1:$1,0)+1),MATCH(J$1,enemy_skill_triggers!$1:$1,0)-MATCH($F$1,enemy_skill_triggers!$1:$1,0)+1,FALSE)</f>
        <v>30</v>
      </c>
      <c r="K140" s="48" t="str">
        <f ca="1">VLOOKUP($F140,OFFSET(enemy_skill_triggers!$A$1,0,0,COUNTA(enemy_skill_triggers!$A:$A),MATCH(K$1,enemy_skill_triggers!$1:$1,0)-MATCH($F$1,enemy_skill_triggers!$1:$1,0)+1),MATCH(K$1,enemy_skill_triggers!$1:$1,0)-MATCH($F$1,enemy_skill_triggers!$1:$1,0)+1,FALSE)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40" s="48">
        <f ca="1">VLOOKUP($F140,OFFSET(enemy_skill_triggers!$A$1,0,0,COUNTA(enemy_skill_triggers!$A:$A),MATCH(L$1,enemy_skill_triggers!$1:$1,0)-MATCH($F$1,enemy_skill_triggers!$1:$1,0)+1),MATCH(L$1,enemy_skill_triggers!$1:$1,0)-MATCH($F$1,enemy_skill_triggers!$1:$1,0)+1,FALSE)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40" s="48" t="str">
        <f ca="1">VLOOKUP($F140,OFFSET(enemy_skill_triggers!$A$1,0,0,COUNTA(enemy_skill_triggers!$A:$A),MATCH(M$1,enemy_skill_triggers!$1:$1,0)-MATCH($F$1,enemy_skill_triggers!$1:$1,0)+1),MATCH(M$1,enemy_skill_triggers!$1:$1,0)-MATCH($F$1,enemy_skill_triggers!$1:$1,0)+1,FALSE)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40" s="48" t="str">
        <f ca="1">VLOOKUP($F140,OFFSET(enemy_skill_triggers!$A$1,0,0,COUNTA(enemy_skill_triggers!$A:$A),MATCH(N$1,enemy_skill_triggers!$1:$1,0)-MATCH($F$1,enemy_skill_triggers!$1:$1,0)+1),MATCH(N$1,enemy_skill_triggers!$1:$1,0)-MATCH($F$1,enemy_skill_triggers!$1:$1,0)+1,FALSE)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40" s="48">
        <f ca="1">VLOOKUP($F140,OFFSET(enemy_skill_triggers!$A$1,0,0,COUNTA(enemy_skill_triggers!$A:$A),MATCH(O$1,enemy_skill_triggers!$1:$1,0)-MATCH($F$1,enemy_skill_triggers!$1:$1,0)+1),MATCH(O$1,enemy_skill_triggers!$1:$1,0)-MATCH($F$1,enemy_skill_triggers!$1:$1,0)+1,FALSE)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40" s="47"/>
      <c r="Q140" s="47"/>
      <c r="R140" s="47"/>
    </row>
    <row r="141" spans="1:18" ht="21" customHeight="1" x14ac:dyDescent="0.15">
      <c r="A141" s="39" t="str">
        <f t="shared" ref="A141:A149" si="14">B141&amp;"_"&amp;C141</f>
        <v>47016205_47016240</v>
      </c>
      <c r="B141" s="112">
        <v>47016205</v>
      </c>
      <c r="C141" s="174">
        <v>47016240</v>
      </c>
      <c r="D141" s="46" t="str">
        <f ca="1">VLOOKUP($C141,OFFSET(enemy_skills!$A$1,0,0,COUNTA(enemy_skills!$A:$A),MATCH(D$1,enemy_skills!$1:$1,0)-MATCH("enemy_skill_id",enemy_skills!$1:$1,0)+1),MATCH(D$1,enemy_skills!$1:$1,0)-MATCH("enemy_skill_id",enemy_skills!$1:$1,0)+1,FALSE)</f>
        <v>いいわね、とっても楽しい！</v>
      </c>
      <c r="E141" s="46" t="str">
        <f ca="1">VLOOKUP($C141,OFFSET(enemy_skills!$A$1,0,0,COUNTA(enemy_skills!$A:$A),MATCH(E$1,enemy_skills!$1:$1,0)-MATCH("enemy_skill_id",enemy_skills!$1:$1,0)+1),MATCH(E$1,enemy_skills!$1:$1,0)-MATCH("enemy_skill_id",enemy_skills!$1:$1,0)+1,FALSE)</f>
        <v>状態異常耐性+2ターン攻撃力UP+_x000D_2ターン全ユニットの攻撃力50%DOWN</v>
      </c>
      <c r="F141" s="47">
        <v>47016166</v>
      </c>
      <c r="G141" s="48">
        <f ca="1">VLOOKUP($F141,OFFSET(enemy_skill_triggers!$A$1,0,0,COUNTA(enemy_skill_triggers!$A:$A),MATCH(G$1,enemy_skill_triggers!$1:$1,0)-MATCH($F$1,enemy_skill_triggers!$1:$1,0)+1),MATCH(G$1,enemy_skill_triggers!$1:$1,0)-MATCH($F$1,enemy_skill_triggers!$1:$1,0)+1,FALSE)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41" s="48">
        <f ca="1">VLOOKUP($F141,OFFSET(enemy_skill_triggers!$A$1,0,0,COUNTA(enemy_skill_triggers!$A:$A),MATCH(H$1,enemy_skill_triggers!$1:$1,0)-MATCH($F$1,enemy_skill_triggers!$1:$1,0)+1),MATCH(H$1,enemy_skill_triggers!$1:$1,0)-MATCH($F$1,enemy_skill_triggers!$1:$1,0)+1,FALSE)</f>
        <v>350</v>
      </c>
      <c r="I141" s="48">
        <f ca="1">VLOOKUP($F141,OFFSET(enemy_skill_triggers!$A$1,0,0,COUNTA(enemy_skill_triggers!$A:$A),MATCH(I$1,enemy_skill_triggers!$1:$1,0)-MATCH($F$1,enemy_skill_triggers!$1:$1,0)+1),MATCH(I$1,enemy_skill_triggers!$1:$1,0)-MATCH($F$1,enemy_skill_triggers!$1:$1,0)+1,FALSE)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41" s="48" t="str">
        <f ca="1">VLOOKUP($F141,OFFSET(enemy_skill_triggers!$A$1,0,0,COUNTA(enemy_skill_triggers!$A:$A),MATCH(J$1,enemy_skill_triggers!$1:$1,0)-MATCH($F$1,enemy_skill_triggers!$1:$1,0)+1),MATCH(J$1,enemy_skill_triggers!$1:$1,0)-MATCH($F$1,enemy_skill_triggers!$1:$1,0)+1,FALSE)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41" s="48" t="str">
        <f ca="1">VLOOKUP($F141,OFFSET(enemy_skill_triggers!$A$1,0,0,COUNTA(enemy_skill_triggers!$A:$A),MATCH(K$1,enemy_skill_triggers!$1:$1,0)-MATCH($F$1,enemy_skill_triggers!$1:$1,0)+1),MATCH(K$1,enemy_skill_triggers!$1:$1,0)-MATCH($F$1,enemy_skill_triggers!$1:$1,0)+1,FALSE)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41" s="48">
        <f ca="1">VLOOKUP($F141,OFFSET(enemy_skill_triggers!$A$1,0,0,COUNTA(enemy_skill_triggers!$A:$A),MATCH(L$1,enemy_skill_triggers!$1:$1,0)-MATCH($F$1,enemy_skill_triggers!$1:$1,0)+1),MATCH(L$1,enemy_skill_triggers!$1:$1,0)-MATCH($F$1,enemy_skill_triggers!$1:$1,0)+1,FALSE)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41" s="48" t="str">
        <f ca="1">VLOOKUP($F141,OFFSET(enemy_skill_triggers!$A$1,0,0,COUNTA(enemy_skill_triggers!$A:$A),MATCH(M$1,enemy_skill_triggers!$1:$1,0)-MATCH($F$1,enemy_skill_triggers!$1:$1,0)+1),MATCH(M$1,enemy_skill_triggers!$1:$1,0)-MATCH($F$1,enemy_skill_triggers!$1:$1,0)+1,FALSE)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41" s="48" t="str">
        <f ca="1">VLOOKUP($F141,OFFSET(enemy_skill_triggers!$A$1,0,0,COUNTA(enemy_skill_triggers!$A:$A),MATCH(N$1,enemy_skill_triggers!$1:$1,0)-MATCH($F$1,enemy_skill_triggers!$1:$1,0)+1),MATCH(N$1,enemy_skill_triggers!$1:$1,0)-MATCH($F$1,enemy_skill_triggers!$1:$1,0)+1,FALSE)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41" s="48">
        <f ca="1">VLOOKUP($F141,OFFSET(enemy_skill_triggers!$A$1,0,0,COUNTA(enemy_skill_triggers!$A:$A),MATCH(O$1,enemy_skill_triggers!$1:$1,0)-MATCH($F$1,enemy_skill_triggers!$1:$1,0)+1),MATCH(O$1,enemy_skill_triggers!$1:$1,0)-MATCH($F$1,enemy_skill_triggers!$1:$1,0)+1,FALSE)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41" s="47"/>
      <c r="Q141" s="47"/>
      <c r="R141" s="47"/>
    </row>
    <row r="142" spans="1:18" ht="21" customHeight="1" x14ac:dyDescent="0.15">
      <c r="A142" s="39" t="str">
        <f t="shared" si="14"/>
        <v>47016205_47016241</v>
      </c>
      <c r="B142" s="112">
        <v>47016205</v>
      </c>
      <c r="C142" s="174">
        <v>47016241</v>
      </c>
      <c r="D142" s="46" t="str">
        <f ca="1">VLOOKUP($C142,OFFSET(enemy_skills!$A$1,0,0,COUNTA(enemy_skills!$A:$A),MATCH(D$1,enemy_skills!$1:$1,0)-MATCH("enemy_skill_id",enemy_skills!$1:$1,0)+1),MATCH(D$1,enemy_skills!$1:$1,0)-MATCH("enemy_skill_id",enemy_skills!$1:$1,0)+1,FALSE)</f>
        <v>チェーンソーの一閃</v>
      </c>
      <c r="E142" s="46" t="str">
        <f ca="1">VLOOKUP($C142,OFFSET(enemy_skills!$A$1,0,0,COUNTA(enemy_skills!$A:$A),MATCH(E$1,enemy_skills!$1:$1,0)-MATCH("enemy_skill_id",enemy_skills!$1:$1,0)+1),MATCH(E$1,enemy_skills!$1:$1,0)-MATCH("enemy_skill_id",enemy_skills!$1:$1,0)+1,FALSE)</f>
        <v>特定エリアを赤パネルに変換+_x000D_赤パネルプロテクト(最大4個)+単体攻撃</v>
      </c>
      <c r="F142" s="47">
        <v>47016167</v>
      </c>
      <c r="G142" s="48">
        <f ca="1">VLOOKUP($F142,OFFSET(enemy_skill_triggers!$A$1,0,0,COUNTA(enemy_skill_triggers!$A:$A),MATCH(G$1,enemy_skill_triggers!$1:$1,0)-MATCH($F$1,enemy_skill_triggers!$1:$1,0)+1),MATCH(G$1,enemy_skill_triggers!$1:$1,0)-MATCH($F$1,enemy_skill_triggers!$1:$1,0)+1,FALSE)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42" s="48">
        <f ca="1">VLOOKUP($F142,OFFSET(enemy_skill_triggers!$A$1,0,0,COUNTA(enemy_skill_triggers!$A:$A),MATCH(H$1,enemy_skill_triggers!$1:$1,0)-MATCH($F$1,enemy_skill_triggers!$1:$1,0)+1),MATCH(H$1,enemy_skill_triggers!$1:$1,0)-MATCH($F$1,enemy_skill_triggers!$1:$1,0)+1,FALSE)</f>
        <v>320</v>
      </c>
      <c r="I142" s="48">
        <f ca="1">VLOOKUP($F142,OFFSET(enemy_skill_triggers!$A$1,0,0,COUNTA(enemy_skill_triggers!$A:$A),MATCH(I$1,enemy_skill_triggers!$1:$1,0)-MATCH($F$1,enemy_skill_triggers!$1:$1,0)+1),MATCH(I$1,enemy_skill_triggers!$1:$1,0)-MATCH($F$1,enemy_skill_triggers!$1:$1,0)+1,FALSE)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42" s="48" t="str">
        <f ca="1">VLOOKUP($F142,OFFSET(enemy_skill_triggers!$A$1,0,0,COUNTA(enemy_skill_triggers!$A:$A),MATCH(J$1,enemy_skill_triggers!$1:$1,0)-MATCH($F$1,enemy_skill_triggers!$1:$1,0)+1),MATCH(J$1,enemy_skill_triggers!$1:$1,0)-MATCH($F$1,enemy_skill_triggers!$1:$1,0)+1,FALSE)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42" s="48" t="str">
        <f ca="1">VLOOKUP($F142,OFFSET(enemy_skill_triggers!$A$1,0,0,COUNTA(enemy_skill_triggers!$A:$A),MATCH(K$1,enemy_skill_triggers!$1:$1,0)-MATCH($F$1,enemy_skill_triggers!$1:$1,0)+1),MATCH(K$1,enemy_skill_triggers!$1:$1,0)-MATCH($F$1,enemy_skill_triggers!$1:$1,0)+1,FALSE)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42" s="48">
        <f ca="1">VLOOKUP($F142,OFFSET(enemy_skill_triggers!$A$1,0,0,COUNTA(enemy_skill_triggers!$A:$A),MATCH(L$1,enemy_skill_triggers!$1:$1,0)-MATCH($F$1,enemy_skill_triggers!$1:$1,0)+1),MATCH(L$1,enemy_skill_triggers!$1:$1,0)-MATCH($F$1,enemy_skill_triggers!$1:$1,0)+1,FALSE)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42" s="48">
        <f ca="1">VLOOKUP($F142,OFFSET(enemy_skill_triggers!$A$1,0,0,COUNTA(enemy_skill_triggers!$A:$A),MATCH(M$1,enemy_skill_triggers!$1:$1,0)-MATCH($F$1,enemy_skill_triggers!$1:$1,0)+1),MATCH(M$1,enemy_skill_triggers!$1:$1,0)-MATCH($F$1,enemy_skill_triggers!$1:$1,0)+1,FALSE)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42" s="48" t="str">
        <f ca="1">VLOOKUP($F142,OFFSET(enemy_skill_triggers!$A$1,0,0,COUNTA(enemy_skill_triggers!$A:$A),MATCH(N$1,enemy_skill_triggers!$1:$1,0)-MATCH($F$1,enemy_skill_triggers!$1:$1,0)+1),MATCH(N$1,enemy_skill_triggers!$1:$1,0)-MATCH($F$1,enemy_skill_triggers!$1:$1,0)+1,FALSE)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42" s="48">
        <f ca="1">VLOOKUP($F142,OFFSET(enemy_skill_triggers!$A$1,0,0,COUNTA(enemy_skill_triggers!$A:$A),MATCH(O$1,enemy_skill_triggers!$1:$1,0)-MATCH($F$1,enemy_skill_triggers!$1:$1,0)+1),MATCH(O$1,enemy_skill_triggers!$1:$1,0)-MATCH($F$1,enemy_skill_triggers!$1:$1,0)+1,FALSE)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42" s="47"/>
      <c r="Q142" s="47"/>
      <c r="R142" s="47"/>
    </row>
    <row r="143" spans="1:18" ht="21" customHeight="1" x14ac:dyDescent="0.15">
      <c r="A143" s="39" t="str">
        <f t="shared" si="14"/>
        <v>47016205_47016142</v>
      </c>
      <c r="B143" s="112">
        <v>47016205</v>
      </c>
      <c r="C143" s="114">
        <v>47016142</v>
      </c>
      <c r="D143" s="46" t="str">
        <f ca="1">VLOOKUP($C143,OFFSET(enemy_skills!$A$1,0,0,COUNTA(enemy_skills!$A:$A),MATCH(D$1,enemy_skills!$1:$1,0)-MATCH("enemy_skill_id",enemy_skills!$1:$1,0)+1),MATCH(D$1,enemy_skills!$1:$1,0)-MATCH("enemy_skill_id",enemy_skills!$1:$1,0)+1,FALSE)</f>
        <v>耐えられるかしら？</v>
      </c>
      <c r="E143" s="46" t="str">
        <f ca="1">VLOOKUP($C143,OFFSET(enemy_skills!$A$1,0,0,COUNTA(enemy_skills!$A:$A),MATCH(E$1,enemy_skills!$1:$1,0)-MATCH("enemy_skill_id",enemy_skills!$1:$1,0)+1),MATCH(E$1,enemy_skills!$1:$1,0)-MATCH("enemy_skill_id",enemy_skills!$1:$1,0)+1,FALSE)</f>
        <v>2回連続攻撃</v>
      </c>
      <c r="F143" s="47">
        <v>47016168</v>
      </c>
      <c r="G143" s="48">
        <f ca="1">VLOOKUP($F143,OFFSET(enemy_skill_triggers!$A$1,0,0,COUNTA(enemy_skill_triggers!$A:$A),MATCH(G$1,enemy_skill_triggers!$1:$1,0)-MATCH($F$1,enemy_skill_triggers!$1:$1,0)+1),MATCH(G$1,enemy_skill_triggers!$1:$1,0)-MATCH($F$1,enemy_skill_triggers!$1:$1,0)+1,FALSE)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43" s="48">
        <f ca="1">VLOOKUP($F143,OFFSET(enemy_skill_triggers!$A$1,0,0,COUNTA(enemy_skill_triggers!$A:$A),MATCH(H$1,enemy_skill_triggers!$1:$1,0)-MATCH($F$1,enemy_skill_triggers!$1:$1,0)+1),MATCH(H$1,enemy_skill_triggers!$1:$1,0)-MATCH($F$1,enemy_skill_triggers!$1:$1,0)+1,FALSE)</f>
        <v>120</v>
      </c>
      <c r="I143" s="48">
        <f ca="1">VLOOKUP($F143,OFFSET(enemy_skill_triggers!$A$1,0,0,COUNTA(enemy_skill_triggers!$A:$A),MATCH(I$1,enemy_skill_triggers!$1:$1,0)-MATCH($F$1,enemy_skill_triggers!$1:$1,0)+1),MATCH(I$1,enemy_skill_triggers!$1:$1,0)-MATCH($F$1,enemy_skill_triggers!$1:$1,0)+1,FALSE)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143" s="48" t="str">
        <f ca="1">VLOOKUP($F143,OFFSET(enemy_skill_triggers!$A$1,0,0,COUNTA(enemy_skill_triggers!$A:$A),MATCH(J$1,enemy_skill_triggers!$1:$1,0)-MATCH($F$1,enemy_skill_triggers!$1:$1,0)+1),MATCH(J$1,enemy_skill_triggers!$1:$1,0)-MATCH($F$1,enemy_skill_triggers!$1:$1,0)+1,FALSE)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43" s="48" t="str">
        <f ca="1">VLOOKUP($F143,OFFSET(enemy_skill_triggers!$A$1,0,0,COUNTA(enemy_skill_triggers!$A:$A),MATCH(K$1,enemy_skill_triggers!$1:$1,0)-MATCH($F$1,enemy_skill_triggers!$1:$1,0)+1),MATCH(K$1,enemy_skill_triggers!$1:$1,0)-MATCH($F$1,enemy_skill_triggers!$1:$1,0)+1,FALSE)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43" s="48" t="str">
        <f ca="1">VLOOKUP($F143,OFFSET(enemy_skill_triggers!$A$1,0,0,COUNTA(enemy_skill_triggers!$A:$A),MATCH(L$1,enemy_skill_triggers!$1:$1,0)-MATCH($F$1,enemy_skill_triggers!$1:$1,0)+1),MATCH(L$1,enemy_skill_triggers!$1:$1,0)-MATCH($F$1,enemy_skill_triggers!$1:$1,0)+1,FALSE)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43" s="48" t="str">
        <f ca="1">VLOOKUP($F143,OFFSET(enemy_skill_triggers!$A$1,0,0,COUNTA(enemy_skill_triggers!$A:$A),MATCH(M$1,enemy_skill_triggers!$1:$1,0)-MATCH($F$1,enemy_skill_triggers!$1:$1,0)+1),MATCH(M$1,enemy_skill_triggers!$1:$1,0)-MATCH($F$1,enemy_skill_triggers!$1:$1,0)+1,FALSE)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43" s="48" t="str">
        <f ca="1">VLOOKUP($F143,OFFSET(enemy_skill_triggers!$A$1,0,0,COUNTA(enemy_skill_triggers!$A:$A),MATCH(N$1,enemy_skill_triggers!$1:$1,0)-MATCH($F$1,enemy_skill_triggers!$1:$1,0)+1),MATCH(N$1,enemy_skill_triggers!$1:$1,0)-MATCH($F$1,enemy_skill_triggers!$1:$1,0)+1,FALSE)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43" s="48">
        <f ca="1">VLOOKUP($F143,OFFSET(enemy_skill_triggers!$A$1,0,0,COUNTA(enemy_skill_triggers!$A:$A),MATCH(O$1,enemy_skill_triggers!$1:$1,0)-MATCH($F$1,enemy_skill_triggers!$1:$1,0)+1),MATCH(O$1,enemy_skill_triggers!$1:$1,0)-MATCH($F$1,enemy_skill_triggers!$1:$1,0)+1,FALSE)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143" s="47"/>
      <c r="Q143" s="47"/>
      <c r="R143" s="47"/>
    </row>
    <row r="144" spans="1:18" ht="21" customHeight="1" x14ac:dyDescent="0.15">
      <c r="A144" s="39" t="str">
        <f t="shared" si="14"/>
        <v>47016205_47016243</v>
      </c>
      <c r="B144" s="112">
        <v>47016205</v>
      </c>
      <c r="C144" s="174">
        <v>47016243</v>
      </c>
      <c r="D144" s="46" t="str">
        <f ca="1">VLOOKUP($C144,OFFSET(enemy_skills!$A$1,0,0,COUNTA(enemy_skills!$A:$A),MATCH(D$1,enemy_skills!$1:$1,0)-MATCH("enemy_skill_id",enemy_skills!$1:$1,0)+1),MATCH(D$1,enemy_skills!$1:$1,0)-MATCH("enemy_skill_id",enemy_skills!$1:$1,0)+1,FALSE)</f>
        <v>熱い恋したいじゃない！</v>
      </c>
      <c r="E144" s="46" t="str">
        <f ca="1">VLOOKUP($C144,OFFSET(enemy_skills!$A$1,0,0,COUNTA(enemy_skills!$A:$A),MATCH(E$1,enemy_skills!$1:$1,0)-MATCH("enemy_skill_id",enemy_skills!$1:$1,0)+1),MATCH(E$1,enemy_skills!$1:$1,0)-MATCH("enemy_skill_id",enemy_skills!$1:$1,0)+1,FALSE)</f>
        <v>青パネルプロテクト(最大5個)+4回連続攻撃</v>
      </c>
      <c r="F144" s="47">
        <v>47016169</v>
      </c>
      <c r="G144" s="48">
        <f ca="1">VLOOKUP($F144,OFFSET(enemy_skill_triggers!$A$1,0,0,COUNTA(enemy_skill_triggers!$A:$A),MATCH(G$1,enemy_skill_triggers!$1:$1,0)-MATCH($F$1,enemy_skill_triggers!$1:$1,0)+1),MATCH(G$1,enemy_skill_triggers!$1:$1,0)-MATCH($F$1,enemy_skill_triggers!$1:$1,0)+1,FALSE)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44" s="48">
        <f ca="1">VLOOKUP($F144,OFFSET(enemy_skill_triggers!$A$1,0,0,COUNTA(enemy_skill_triggers!$A:$A),MATCH(H$1,enemy_skill_triggers!$1:$1,0)-MATCH($F$1,enemy_skill_triggers!$1:$1,0)+1),MATCH(H$1,enemy_skill_triggers!$1:$1,0)-MATCH($F$1,enemy_skill_triggers!$1:$1,0)+1,FALSE)</f>
        <v>110</v>
      </c>
      <c r="I144" s="48">
        <f ca="1">VLOOKUP($F144,OFFSET(enemy_skill_triggers!$A$1,0,0,COUNTA(enemy_skill_triggers!$A:$A),MATCH(I$1,enemy_skill_triggers!$1:$1,0)-MATCH($F$1,enemy_skill_triggers!$1:$1,0)+1),MATCH(I$1,enemy_skill_triggers!$1:$1,0)-MATCH($F$1,enemy_skill_triggers!$1:$1,0)+1,FALSE)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44" s="48" t="str">
        <f ca="1">VLOOKUP($F144,OFFSET(enemy_skill_triggers!$A$1,0,0,COUNTA(enemy_skill_triggers!$A:$A),MATCH(J$1,enemy_skill_triggers!$1:$1,0)-MATCH($F$1,enemy_skill_triggers!$1:$1,0)+1),MATCH(J$1,enemy_skill_triggers!$1:$1,0)-MATCH($F$1,enemy_skill_triggers!$1:$1,0)+1,FALSE)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44" s="48" t="str">
        <f ca="1">VLOOKUP($F144,OFFSET(enemy_skill_triggers!$A$1,0,0,COUNTA(enemy_skill_triggers!$A:$A),MATCH(K$1,enemy_skill_triggers!$1:$1,0)-MATCH($F$1,enemy_skill_triggers!$1:$1,0)+1),MATCH(K$1,enemy_skill_triggers!$1:$1,0)-MATCH($F$1,enemy_skill_triggers!$1:$1,0)+1,FALSE)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44" s="48" t="str">
        <f ca="1">VLOOKUP($F144,OFFSET(enemy_skill_triggers!$A$1,0,0,COUNTA(enemy_skill_triggers!$A:$A),MATCH(L$1,enemy_skill_triggers!$1:$1,0)-MATCH($F$1,enemy_skill_triggers!$1:$1,0)+1),MATCH(L$1,enemy_skill_triggers!$1:$1,0)-MATCH($F$1,enemy_skill_triggers!$1:$1,0)+1,FALSE)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44" s="48" t="str">
        <f ca="1">VLOOKUP($F144,OFFSET(enemy_skill_triggers!$A$1,0,0,COUNTA(enemy_skill_triggers!$A:$A),MATCH(M$1,enemy_skill_triggers!$1:$1,0)-MATCH($F$1,enemy_skill_triggers!$1:$1,0)+1),MATCH(M$1,enemy_skill_triggers!$1:$1,0)-MATCH($F$1,enemy_skill_triggers!$1:$1,0)+1,FALSE)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44" s="48" t="str">
        <f ca="1">VLOOKUP($F144,OFFSET(enemy_skill_triggers!$A$1,0,0,COUNTA(enemy_skill_triggers!$A:$A),MATCH(N$1,enemy_skill_triggers!$1:$1,0)-MATCH($F$1,enemy_skill_triggers!$1:$1,0)+1),MATCH(N$1,enemy_skill_triggers!$1:$1,0)-MATCH($F$1,enemy_skill_triggers!$1:$1,0)+1,FALSE)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44" s="48">
        <f ca="1">VLOOKUP($F144,OFFSET(enemy_skill_triggers!$A$1,0,0,COUNTA(enemy_skill_triggers!$A:$A),MATCH(O$1,enemy_skill_triggers!$1:$1,0)-MATCH($F$1,enemy_skill_triggers!$1:$1,0)+1),MATCH(O$1,enemy_skill_triggers!$1:$1,0)-MATCH($F$1,enemy_skill_triggers!$1:$1,0)+1,FALSE)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44" s="47"/>
      <c r="Q144" s="47"/>
      <c r="R144" s="47"/>
    </row>
    <row r="145" spans="1:18" ht="21" customHeight="1" x14ac:dyDescent="0.15">
      <c r="A145" s="39" t="str">
        <f t="shared" si="14"/>
        <v>47016205_47016244</v>
      </c>
      <c r="B145" s="112">
        <v>47016205</v>
      </c>
      <c r="C145" s="174">
        <v>47016244</v>
      </c>
      <c r="D145" s="46" t="str">
        <f ca="1">VLOOKUP($C145,OFFSET(enemy_skills!$A$1,0,0,COUNTA(enemy_skills!$A:$A),MATCH(D$1,enemy_skills!$1:$1,0)-MATCH("enemy_skill_id",enemy_skills!$1:$1,0)+1),MATCH(D$1,enemy_skills!$1:$1,0)-MATCH("enemy_skill_id",enemy_skills!$1:$1,0)+1,FALSE)</f>
        <v>あたしの得物も喜んでるわ！</v>
      </c>
      <c r="E145" s="46" t="str">
        <f ca="1">VLOOKUP($C145,OFFSET(enemy_skills!$A$1,0,0,COUNTA(enemy_skills!$A:$A),MATCH(E$1,enemy_skills!$1:$1,0)-MATCH("enemy_skill_id",enemy_skills!$1:$1,0)+1),MATCH(E$1,enemy_skills!$1:$1,0)-MATCH("enemy_skill_id",enemy_skills!$1:$1,0)+1,FALSE)</f>
        <v>2ターン赤パネルは確率でプロテクトされてドロップ</v>
      </c>
      <c r="F145" s="47">
        <v>47016170</v>
      </c>
      <c r="G145" s="48">
        <f ca="1">VLOOKUP($F145,OFFSET(enemy_skill_triggers!$A$1,0,0,COUNTA(enemy_skill_triggers!$A:$A),MATCH(G$1,enemy_skill_triggers!$1:$1,0)-MATCH($F$1,enemy_skill_triggers!$1:$1,0)+1),MATCH(G$1,enemy_skill_triggers!$1:$1,0)-MATCH($F$1,enemy_skill_triggers!$1:$1,0)+1,FALSE)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45" s="48">
        <f ca="1">VLOOKUP($F145,OFFSET(enemy_skill_triggers!$A$1,0,0,COUNTA(enemy_skill_triggers!$A:$A),MATCH(H$1,enemy_skill_triggers!$1:$1,0)-MATCH($F$1,enemy_skill_triggers!$1:$1,0)+1),MATCH(H$1,enemy_skill_triggers!$1:$1,0)-MATCH($F$1,enemy_skill_triggers!$1:$1,0)+1,FALSE)</f>
        <v>400</v>
      </c>
      <c r="I145" s="48">
        <f ca="1">VLOOKUP($F145,OFFSET(enemy_skill_triggers!$A$1,0,0,COUNTA(enemy_skill_triggers!$A:$A),MATCH(I$1,enemy_skill_triggers!$1:$1,0)-MATCH($F$1,enemy_skill_triggers!$1:$1,0)+1),MATCH(I$1,enemy_skill_triggers!$1:$1,0)-MATCH($F$1,enemy_skill_triggers!$1:$1,0)+1,FALSE)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45" s="48">
        <f ca="1">VLOOKUP($F145,OFFSET(enemy_skill_triggers!$A$1,0,0,COUNTA(enemy_skill_triggers!$A:$A),MATCH(J$1,enemy_skill_triggers!$1:$1,0)-MATCH($F$1,enemy_skill_triggers!$1:$1,0)+1),MATCH(J$1,enemy_skill_triggers!$1:$1,0)-MATCH($F$1,enemy_skill_triggers!$1:$1,0)+1,FALSE)</f>
        <v>80</v>
      </c>
      <c r="K145" s="48" t="str">
        <f ca="1">VLOOKUP($F145,OFFSET(enemy_skill_triggers!$A$1,0,0,COUNTA(enemy_skill_triggers!$A:$A),MATCH(K$1,enemy_skill_triggers!$1:$1,0)-MATCH($F$1,enemy_skill_triggers!$1:$1,0)+1),MATCH(K$1,enemy_skill_triggers!$1:$1,0)-MATCH($F$1,enemy_skill_triggers!$1:$1,0)+1,FALSE)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45" s="48">
        <f ca="1">VLOOKUP($F145,OFFSET(enemy_skill_triggers!$A$1,0,0,COUNTA(enemy_skill_triggers!$A:$A),MATCH(L$1,enemy_skill_triggers!$1:$1,0)-MATCH($F$1,enemy_skill_triggers!$1:$1,0)+1),MATCH(L$1,enemy_skill_triggers!$1:$1,0)-MATCH($F$1,enemy_skill_triggers!$1:$1,0)+1,FALSE)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45" s="48" t="str">
        <f ca="1">VLOOKUP($F145,OFFSET(enemy_skill_triggers!$A$1,0,0,COUNTA(enemy_skill_triggers!$A:$A),MATCH(M$1,enemy_skill_triggers!$1:$1,0)-MATCH($F$1,enemy_skill_triggers!$1:$1,0)+1),MATCH(M$1,enemy_skill_triggers!$1:$1,0)-MATCH($F$1,enemy_skill_triggers!$1:$1,0)+1,FALSE)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45" s="48" t="str">
        <f ca="1">VLOOKUP($F145,OFFSET(enemy_skill_triggers!$A$1,0,0,COUNTA(enemy_skill_triggers!$A:$A),MATCH(N$1,enemy_skill_triggers!$1:$1,0)-MATCH($F$1,enemy_skill_triggers!$1:$1,0)+1),MATCH(N$1,enemy_skill_triggers!$1:$1,0)-MATCH($F$1,enemy_skill_triggers!$1:$1,0)+1,FALSE)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45" s="48">
        <f ca="1">VLOOKUP($F145,OFFSET(enemy_skill_triggers!$A$1,0,0,COUNTA(enemy_skill_triggers!$A:$A),MATCH(O$1,enemy_skill_triggers!$1:$1,0)-MATCH($F$1,enemy_skill_triggers!$1:$1,0)+1),MATCH(O$1,enemy_skill_triggers!$1:$1,0)-MATCH($F$1,enemy_skill_triggers!$1:$1,0)+1,FALSE)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45" s="47"/>
      <c r="Q145" s="47"/>
      <c r="R145" s="47"/>
    </row>
    <row r="146" spans="1:18" ht="21" customHeight="1" x14ac:dyDescent="0.15">
      <c r="A146" s="39" t="str">
        <f t="shared" si="14"/>
        <v>47016205_47016245</v>
      </c>
      <c r="B146" s="112">
        <v>47016205</v>
      </c>
      <c r="C146" s="174">
        <v>47016245</v>
      </c>
      <c r="D146" s="46" t="str">
        <f ca="1">VLOOKUP($C146,OFFSET(enemy_skills!$A$1,0,0,COUNTA(enemy_skills!$A:$A),MATCH(D$1,enemy_skills!$1:$1,0)-MATCH("enemy_skill_id",enemy_skills!$1:$1,0)+1),MATCH(D$1,enemy_skills!$1:$1,0)-MATCH("enemy_skill_id",enemy_skills!$1:$1,0)+1,FALSE)</f>
        <v>冷めちゃうのは勘弁よ？</v>
      </c>
      <c r="E146" s="46" t="str">
        <f ca="1">VLOOKUP($C146,OFFSET(enemy_skills!$A$1,0,0,COUNTA(enemy_skills!$A:$A),MATCH(E$1,enemy_skills!$1:$1,0)-MATCH("enemy_skill_id",enemy_skills!$1:$1,0)+1),MATCH(E$1,enemy_skills!$1:$1,0)-MATCH("enemy_skill_id",enemy_skills!$1:$1,0)+1,FALSE)</f>
        <v>2ターン青パネルは確率でプロテクトされてドロップ+_x000D_全体攻撃</v>
      </c>
      <c r="F146" s="47">
        <v>47016171</v>
      </c>
      <c r="G146" s="48">
        <f ca="1">VLOOKUP($F146,OFFSET(enemy_skill_triggers!$A$1,0,0,COUNTA(enemy_skill_triggers!$A:$A),MATCH(G$1,enemy_skill_triggers!$1:$1,0)-MATCH($F$1,enemy_skill_triggers!$1:$1,0)+1),MATCH(G$1,enemy_skill_triggers!$1:$1,0)-MATCH($F$1,enemy_skill_triggers!$1:$1,0)+1,FALSE)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46" s="48">
        <f ca="1">VLOOKUP($F146,OFFSET(enemy_skill_triggers!$A$1,0,0,COUNTA(enemy_skill_triggers!$A:$A),MATCH(H$1,enemy_skill_triggers!$1:$1,0)-MATCH($F$1,enemy_skill_triggers!$1:$1,0)+1),MATCH(H$1,enemy_skill_triggers!$1:$1,0)-MATCH($F$1,enemy_skill_triggers!$1:$1,0)+1,FALSE)</f>
        <v>425</v>
      </c>
      <c r="I146" s="48">
        <f ca="1">VLOOKUP($F146,OFFSET(enemy_skill_triggers!$A$1,0,0,COUNTA(enemy_skill_triggers!$A:$A),MATCH(I$1,enemy_skill_triggers!$1:$1,0)-MATCH($F$1,enemy_skill_triggers!$1:$1,0)+1),MATCH(I$1,enemy_skill_triggers!$1:$1,0)-MATCH($F$1,enemy_skill_triggers!$1:$1,0)+1,FALSE)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46" s="48">
        <f ca="1">VLOOKUP($F146,OFFSET(enemy_skill_triggers!$A$1,0,0,COUNTA(enemy_skill_triggers!$A:$A),MATCH(J$1,enemy_skill_triggers!$1:$1,0)-MATCH($F$1,enemy_skill_triggers!$1:$1,0)+1),MATCH(J$1,enemy_skill_triggers!$1:$1,0)-MATCH($F$1,enemy_skill_triggers!$1:$1,0)+1,FALSE)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146" s="48" t="str">
        <f ca="1">VLOOKUP($F146,OFFSET(enemy_skill_triggers!$A$1,0,0,COUNTA(enemy_skill_triggers!$A:$A),MATCH(K$1,enemy_skill_triggers!$1:$1,0)-MATCH($F$1,enemy_skill_triggers!$1:$1,0)+1),MATCH(K$1,enemy_skill_triggers!$1:$1,0)-MATCH($F$1,enemy_skill_triggers!$1:$1,0)+1,FALSE)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46" s="48">
        <f ca="1">VLOOKUP($F146,OFFSET(enemy_skill_triggers!$A$1,0,0,COUNTA(enemy_skill_triggers!$A:$A),MATCH(L$1,enemy_skill_triggers!$1:$1,0)-MATCH($F$1,enemy_skill_triggers!$1:$1,0)+1),MATCH(L$1,enemy_skill_triggers!$1:$1,0)-MATCH($F$1,enemy_skill_triggers!$1:$1,0)+1,FALSE)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46" s="48" t="str">
        <f ca="1">VLOOKUP($F146,OFFSET(enemy_skill_triggers!$A$1,0,0,COUNTA(enemy_skill_triggers!$A:$A),MATCH(M$1,enemy_skill_triggers!$1:$1,0)-MATCH($F$1,enemy_skill_triggers!$1:$1,0)+1),MATCH(M$1,enemy_skill_triggers!$1:$1,0)-MATCH($F$1,enemy_skill_triggers!$1:$1,0)+1,FALSE)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46" s="48" t="str">
        <f ca="1">VLOOKUP($F146,OFFSET(enemy_skill_triggers!$A$1,0,0,COUNTA(enemy_skill_triggers!$A:$A),MATCH(N$1,enemy_skill_triggers!$1:$1,0)-MATCH($F$1,enemy_skill_triggers!$1:$1,0)+1),MATCH(N$1,enemy_skill_triggers!$1:$1,0)-MATCH($F$1,enemy_skill_triggers!$1:$1,0)+1,FALSE)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46" s="48">
        <f ca="1">VLOOKUP($F146,OFFSET(enemy_skill_triggers!$A$1,0,0,COUNTA(enemy_skill_triggers!$A:$A),MATCH(O$1,enemy_skill_triggers!$1:$1,0)-MATCH($F$1,enemy_skill_triggers!$1:$1,0)+1),MATCH(O$1,enemy_skill_triggers!$1:$1,0)-MATCH($F$1,enemy_skill_triggers!$1:$1,0)+1,FALSE)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46" s="47"/>
      <c r="Q146" s="47"/>
      <c r="R146" s="47"/>
    </row>
    <row r="147" spans="1:18" ht="21" customHeight="1" x14ac:dyDescent="0.15">
      <c r="A147" s="39" t="str">
        <f t="shared" si="14"/>
        <v>47016205_47016246</v>
      </c>
      <c r="B147" s="112">
        <v>47016205</v>
      </c>
      <c r="C147" s="174">
        <v>47016246</v>
      </c>
      <c r="D147" s="46" t="str">
        <f ca="1">VLOOKUP($C147,OFFSET(enemy_skills!$A$1,0,0,COUNTA(enemy_skills!$A:$A),MATCH(D$1,enemy_skills!$1:$1,0)-MATCH("enemy_skill_id",enemy_skills!$1:$1,0)+1),MATCH(D$1,enemy_skills!$1:$1,0)-MATCH("enemy_skill_id",enemy_skills!$1:$1,0)+1,FALSE)</f>
        <v>まだまだ熱くなりたいの！</v>
      </c>
      <c r="E147" s="46" t="str">
        <f ca="1">VLOOKUP($C147,OFFSET(enemy_skills!$A$1,0,0,COUNTA(enemy_skills!$A:$A),MATCH(E$1,enemy_skills!$1:$1,0)-MATCH("enemy_skill_id",enemy_skills!$1:$1,0)+1),MATCH(E$1,enemy_skills!$1:$1,0)-MATCH("enemy_skill_id",enemy_skills!$1:$1,0)+1,FALSE)</f>
        <v>特定エリアを赤パネルに変換+_x000D_残りHPの30%ダメージ！</v>
      </c>
      <c r="F147" s="47">
        <v>47016172</v>
      </c>
      <c r="G147" s="48">
        <f ca="1">VLOOKUP($F147,OFFSET(enemy_skill_triggers!$A$1,0,0,COUNTA(enemy_skill_triggers!$A:$A),MATCH(G$1,enemy_skill_triggers!$1:$1,0)-MATCH($F$1,enemy_skill_triggers!$1:$1,0)+1),MATCH(G$1,enemy_skill_triggers!$1:$1,0)-MATCH($F$1,enemy_skill_triggers!$1:$1,0)+1,FALSE)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47" s="48">
        <f ca="1">VLOOKUP($F147,OFFSET(enemy_skill_triggers!$A$1,0,0,COUNTA(enemy_skill_triggers!$A:$A),MATCH(H$1,enemy_skill_triggers!$1:$1,0)-MATCH($F$1,enemy_skill_triggers!$1:$1,0)+1),MATCH(H$1,enemy_skill_triggers!$1:$1,0)-MATCH($F$1,enemy_skill_triggers!$1:$1,0)+1,FALSE)</f>
        <v>450</v>
      </c>
      <c r="I147" s="48">
        <f ca="1">VLOOKUP($F147,OFFSET(enemy_skill_triggers!$A$1,0,0,COUNTA(enemy_skill_triggers!$A:$A),MATCH(I$1,enemy_skill_triggers!$1:$1,0)-MATCH($F$1,enemy_skill_triggers!$1:$1,0)+1),MATCH(I$1,enemy_skill_triggers!$1:$1,0)-MATCH($F$1,enemy_skill_triggers!$1:$1,0)+1,FALSE)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47" s="48">
        <f ca="1">VLOOKUP($F147,OFFSET(enemy_skill_triggers!$A$1,0,0,COUNTA(enemy_skill_triggers!$A:$A),MATCH(J$1,enemy_skill_triggers!$1:$1,0)-MATCH($F$1,enemy_skill_triggers!$1:$1,0)+1),MATCH(J$1,enemy_skill_triggers!$1:$1,0)-MATCH($F$1,enemy_skill_triggers!$1:$1,0)+1,FALSE)</f>
        <v>30</v>
      </c>
      <c r="K147" s="48" t="str">
        <f ca="1">VLOOKUP($F147,OFFSET(enemy_skill_triggers!$A$1,0,0,COUNTA(enemy_skill_triggers!$A:$A),MATCH(K$1,enemy_skill_triggers!$1:$1,0)-MATCH($F$1,enemy_skill_triggers!$1:$1,0)+1),MATCH(K$1,enemy_skill_triggers!$1:$1,0)-MATCH($F$1,enemy_skill_triggers!$1:$1,0)+1,FALSE)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47" s="48">
        <f ca="1">VLOOKUP($F147,OFFSET(enemy_skill_triggers!$A$1,0,0,COUNTA(enemy_skill_triggers!$A:$A),MATCH(L$1,enemy_skill_triggers!$1:$1,0)-MATCH($F$1,enemy_skill_triggers!$1:$1,0)+1),MATCH(L$1,enemy_skill_triggers!$1:$1,0)-MATCH($F$1,enemy_skill_triggers!$1:$1,0)+1,FALSE)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47" s="48" t="str">
        <f ca="1">VLOOKUP($F147,OFFSET(enemy_skill_triggers!$A$1,0,0,COUNTA(enemy_skill_triggers!$A:$A),MATCH(M$1,enemy_skill_triggers!$1:$1,0)-MATCH($F$1,enemy_skill_triggers!$1:$1,0)+1),MATCH(M$1,enemy_skill_triggers!$1:$1,0)-MATCH($F$1,enemy_skill_triggers!$1:$1,0)+1,FALSE)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47" s="48" t="str">
        <f ca="1">VLOOKUP($F147,OFFSET(enemy_skill_triggers!$A$1,0,0,COUNTA(enemy_skill_triggers!$A:$A),MATCH(N$1,enemy_skill_triggers!$1:$1,0)-MATCH($F$1,enemy_skill_triggers!$1:$1,0)+1),MATCH(N$1,enemy_skill_triggers!$1:$1,0)-MATCH($F$1,enemy_skill_triggers!$1:$1,0)+1,FALSE)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47" s="48">
        <f ca="1">VLOOKUP($F147,OFFSET(enemy_skill_triggers!$A$1,0,0,COUNTA(enemy_skill_triggers!$A:$A),MATCH(O$1,enemy_skill_triggers!$1:$1,0)-MATCH($F$1,enemy_skill_triggers!$1:$1,0)+1),MATCH(O$1,enemy_skill_triggers!$1:$1,0)-MATCH($F$1,enemy_skill_triggers!$1:$1,0)+1,FALSE)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47" s="47"/>
      <c r="Q147" s="47"/>
      <c r="R147" s="47"/>
    </row>
    <row r="148" spans="1:18" ht="21" customHeight="1" x14ac:dyDescent="0.15">
      <c r="A148" s="39" t="str">
        <f t="shared" si="14"/>
        <v>47016205_47016147</v>
      </c>
      <c r="B148" s="112">
        <v>47016205</v>
      </c>
      <c r="C148" s="114">
        <v>47016147</v>
      </c>
      <c r="D148" s="46" t="str">
        <f ca="1">VLOOKUP($C148,OFFSET(enemy_skills!$A$1,0,0,COUNTA(enemy_skills!$A:$A),MATCH(D$1,enemy_skills!$1:$1,0)-MATCH("enemy_skill_id",enemy_skills!$1:$1,0)+1),MATCH(D$1,enemy_skills!$1:$1,0)-MATCH("enemy_skill_id",enemy_skills!$1:$1,0)+1,FALSE)</f>
        <v>最高のブーケをあげるわ！</v>
      </c>
      <c r="E148" s="46" t="str">
        <f ca="1">VLOOKUP($C148,OFFSET(enemy_skills!$A$1,0,0,COUNTA(enemy_skills!$A:$A),MATCH(E$1,enemy_skills!$1:$1,0)-MATCH("enemy_skill_id",enemy_skills!$1:$1,0)+1),MATCH(E$1,enemy_skills!$1:$1,0)-MATCH("enemy_skill_id",enemy_skills!$1:$1,0)+1,FALSE)</f>
        <v>楽しませてくれたお礼！_x000D_【特定エリアを赤・青・黄・ハートパネルに変換】</v>
      </c>
      <c r="F148" s="47">
        <v>47016173</v>
      </c>
      <c r="G148" s="48">
        <f ca="1">VLOOKUP($F148,OFFSET(enemy_skill_triggers!$A$1,0,0,COUNTA(enemy_skill_triggers!$A:$A),MATCH(G$1,enemy_skill_triggers!$1:$1,0)-MATCH($F$1,enemy_skill_triggers!$1:$1,0)+1),MATCH(G$1,enemy_skill_triggers!$1:$1,0)-MATCH($F$1,enemy_skill_triggers!$1:$1,0)+1,FALSE)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48" s="48">
        <f ca="1">VLOOKUP($F148,OFFSET(enemy_skill_triggers!$A$1,0,0,COUNTA(enemy_skill_triggers!$A:$A),MATCH(H$1,enemy_skill_triggers!$1:$1,0)-MATCH($F$1,enemy_skill_triggers!$1:$1,0)+1),MATCH(H$1,enemy_skill_triggers!$1:$1,0)-MATCH($F$1,enemy_skill_triggers!$1:$1,0)+1,FALSE)</f>
        <v>475</v>
      </c>
      <c r="I148" s="48">
        <f ca="1">VLOOKUP($F148,OFFSET(enemy_skill_triggers!$A$1,0,0,COUNTA(enemy_skill_triggers!$A:$A),MATCH(I$1,enemy_skill_triggers!$1:$1,0)-MATCH($F$1,enemy_skill_triggers!$1:$1,0)+1),MATCH(I$1,enemy_skill_triggers!$1:$1,0)-MATCH($F$1,enemy_skill_triggers!$1:$1,0)+1,FALSE)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48" s="48">
        <f ca="1">VLOOKUP($F148,OFFSET(enemy_skill_triggers!$A$1,0,0,COUNTA(enemy_skill_triggers!$A:$A),MATCH(J$1,enemy_skill_triggers!$1:$1,0)-MATCH($F$1,enemy_skill_triggers!$1:$1,0)+1),MATCH(J$1,enemy_skill_triggers!$1:$1,0)-MATCH($F$1,enemy_skill_triggers!$1:$1,0)+1,FALSE)</f>
        <v>20</v>
      </c>
      <c r="K148" s="48" t="str">
        <f ca="1">VLOOKUP($F148,OFFSET(enemy_skill_triggers!$A$1,0,0,COUNTA(enemy_skill_triggers!$A:$A),MATCH(K$1,enemy_skill_triggers!$1:$1,0)-MATCH($F$1,enemy_skill_triggers!$1:$1,0)+1),MATCH(K$1,enemy_skill_triggers!$1:$1,0)-MATCH($F$1,enemy_skill_triggers!$1:$1,0)+1,FALSE)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48" s="48">
        <f ca="1">VLOOKUP($F148,OFFSET(enemy_skill_triggers!$A$1,0,0,COUNTA(enemy_skill_triggers!$A:$A),MATCH(L$1,enemy_skill_triggers!$1:$1,0)-MATCH($F$1,enemy_skill_triggers!$1:$1,0)+1),MATCH(L$1,enemy_skill_triggers!$1:$1,0)-MATCH($F$1,enemy_skill_triggers!$1:$1,0)+1,FALSE)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48" s="48" t="str">
        <f ca="1">VLOOKUP($F148,OFFSET(enemy_skill_triggers!$A$1,0,0,COUNTA(enemy_skill_triggers!$A:$A),MATCH(M$1,enemy_skill_triggers!$1:$1,0)-MATCH($F$1,enemy_skill_triggers!$1:$1,0)+1),MATCH(M$1,enemy_skill_triggers!$1:$1,0)-MATCH($F$1,enemy_skill_triggers!$1:$1,0)+1,FALSE)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48" s="48" t="str">
        <f ca="1">VLOOKUP($F148,OFFSET(enemy_skill_triggers!$A$1,0,0,COUNTA(enemy_skill_triggers!$A:$A),MATCH(N$1,enemy_skill_triggers!$1:$1,0)-MATCH($F$1,enemy_skill_triggers!$1:$1,0)+1),MATCH(N$1,enemy_skill_triggers!$1:$1,0)-MATCH($F$1,enemy_skill_triggers!$1:$1,0)+1,FALSE)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48" s="48">
        <f ca="1">VLOOKUP($F148,OFFSET(enemy_skill_triggers!$A$1,0,0,COUNTA(enemy_skill_triggers!$A:$A),MATCH(O$1,enemy_skill_triggers!$1:$1,0)-MATCH($F$1,enemy_skill_triggers!$1:$1,0)+1),MATCH(O$1,enemy_skill_triggers!$1:$1,0)-MATCH($F$1,enemy_skill_triggers!$1:$1,0)+1,FALSE)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48" s="47"/>
      <c r="Q148" s="47"/>
      <c r="R148" s="47"/>
    </row>
    <row r="149" spans="1:18" ht="21" customHeight="1" x14ac:dyDescent="0.15">
      <c r="A149" s="39" t="str">
        <f t="shared" si="14"/>
        <v>47016205_47016148</v>
      </c>
      <c r="B149" s="112">
        <v>47016205</v>
      </c>
      <c r="C149" s="114">
        <v>47016148</v>
      </c>
      <c r="D149" s="46" t="str">
        <f ca="1">VLOOKUP($C149,OFFSET(enemy_skills!$A$1,0,0,COUNTA(enemy_skills!$A:$A),MATCH(D$1,enemy_skills!$1:$1,0)-MATCH("enemy_skill_id",enemy_skills!$1:$1,0)+1),MATCH(D$1,enemy_skills!$1:$1,0)-MATCH("enemy_skill_id",enemy_skills!$1:$1,0)+1,FALSE)</f>
        <v>久しぶりに燃えたわ…</v>
      </c>
      <c r="E149" s="46" t="str">
        <f ca="1">VLOOKUP($C149,OFFSET(enemy_skills!$A$1,0,0,COUNTA(enemy_skills!$A:$A),MATCH(E$1,enemy_skills!$1:$1,0)-MATCH("enemy_skill_id",enemy_skills!$1:$1,0)+1),MATCH(E$1,enemy_skills!$1:$1,0)-MATCH("enemy_skill_id",enemy_skills!$1:$1,0)+1,FALSE)</f>
        <v>楽しい時間だった、また会いたいわね</v>
      </c>
      <c r="F149" s="47">
        <v>47016174</v>
      </c>
      <c r="G149" s="48">
        <f ca="1">VLOOKUP($F149,OFFSET(enemy_skill_triggers!$A$1,0,0,COUNTA(enemy_skill_triggers!$A:$A),MATCH(G$1,enemy_skill_triggers!$1:$1,0)-MATCH($F$1,enemy_skill_triggers!$1:$1,0)+1),MATCH(G$1,enemy_skill_triggers!$1:$1,0)-MATCH($F$1,enemy_skill_triggers!$1:$1,0)+1,FALSE)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49" s="48">
        <f ca="1">VLOOKUP($F149,OFFSET(enemy_skill_triggers!$A$1,0,0,COUNTA(enemy_skill_triggers!$A:$A),MATCH(H$1,enemy_skill_triggers!$1:$1,0)-MATCH($F$1,enemy_skill_triggers!$1:$1,0)+1),MATCH(H$1,enemy_skill_triggers!$1:$1,0)-MATCH($F$1,enemy_skill_triggers!$1:$1,0)+1,FALSE)</f>
        <v>500</v>
      </c>
      <c r="I149" s="48">
        <f ca="1">VLOOKUP($F149,OFFSET(enemy_skill_triggers!$A$1,0,0,COUNTA(enemy_skill_triggers!$A:$A),MATCH(I$1,enemy_skill_triggers!$1:$1,0)-MATCH($F$1,enemy_skill_triggers!$1:$1,0)+1),MATCH(I$1,enemy_skill_triggers!$1:$1,0)-MATCH($F$1,enemy_skill_triggers!$1:$1,0)+1,FALSE)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49" s="48" t="str">
        <f ca="1">VLOOKUP($F149,OFFSET(enemy_skill_triggers!$A$1,0,0,COUNTA(enemy_skill_triggers!$A:$A),MATCH(J$1,enemy_skill_triggers!$1:$1,0)-MATCH($F$1,enemy_skill_triggers!$1:$1,0)+1),MATCH(J$1,enemy_skill_triggers!$1:$1,0)-MATCH($F$1,enemy_skill_triggers!$1:$1,0)+1,FALSE)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49" s="48" t="str">
        <f ca="1">VLOOKUP($F149,OFFSET(enemy_skill_triggers!$A$1,0,0,COUNTA(enemy_skill_triggers!$A:$A),MATCH(K$1,enemy_skill_triggers!$1:$1,0)-MATCH($F$1,enemy_skill_triggers!$1:$1,0)+1),MATCH(K$1,enemy_skill_triggers!$1:$1,0)-MATCH($F$1,enemy_skill_triggers!$1:$1,0)+1,FALSE)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49" s="48">
        <f ca="1">VLOOKUP($F149,OFFSET(enemy_skill_triggers!$A$1,0,0,COUNTA(enemy_skill_triggers!$A:$A),MATCH(L$1,enemy_skill_triggers!$1:$1,0)-MATCH($F$1,enemy_skill_triggers!$1:$1,0)+1),MATCH(L$1,enemy_skill_triggers!$1:$1,0)-MATCH($F$1,enemy_skill_triggers!$1:$1,0)+1,FALSE)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49" s="48" t="str">
        <f ca="1">VLOOKUP($F149,OFFSET(enemy_skill_triggers!$A$1,0,0,COUNTA(enemy_skill_triggers!$A:$A),MATCH(M$1,enemy_skill_triggers!$1:$1,0)-MATCH($F$1,enemy_skill_triggers!$1:$1,0)+1),MATCH(M$1,enemy_skill_triggers!$1:$1,0)-MATCH($F$1,enemy_skill_triggers!$1:$1,0)+1,FALSE)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49" s="48">
        <f ca="1">VLOOKUP($F149,OFFSET(enemy_skill_triggers!$A$1,0,0,COUNTA(enemy_skill_triggers!$A:$A),MATCH(N$1,enemy_skill_triggers!$1:$1,0)-MATCH($F$1,enemy_skill_triggers!$1:$1,0)+1),MATCH(N$1,enemy_skill_triggers!$1:$1,0)-MATCH($F$1,enemy_skill_triggers!$1:$1,0)+1,FALSE)</f>
        <v>0</v>
      </c>
      <c r="O149" s="48">
        <f ca="1">VLOOKUP($F149,OFFSET(enemy_skill_triggers!$A$1,0,0,COUNTA(enemy_skill_triggers!$A:$A),MATCH(O$1,enemy_skill_triggers!$1:$1,0)-MATCH($F$1,enemy_skill_triggers!$1:$1,0)+1),MATCH(O$1,enemy_skill_triggers!$1:$1,0)-MATCH($F$1,enemy_skill_triggers!$1:$1,0)+1,FALSE)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49" s="47"/>
      <c r="Q149" s="47"/>
      <c r="R149" s="47"/>
    </row>
  </sheetData>
  <autoFilter ref="A1:R1"/>
  <phoneticPr fontId="5"/>
  <pageMargins left="0.75" right="0.75" top="1" bottom="1" header="0.3" footer="0.3"/>
  <pageSetup paperSize="9" orientation="portrait" horizontalDpi="4294967292" verticalDpi="429496729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>
    <tabColor rgb="FF0000FF"/>
  </sheetPr>
  <dimension ref="A1:AI71"/>
  <sheetViews>
    <sheetView showGridLines="0" zoomScale="90" zoomScaleNormal="90" zoomScalePageLayoutView="90" workbookViewId="0">
      <pane ySplit="1" topLeftCell="A38" activePane="bottomLeft" state="frozenSplit"/>
      <selection pane="bottomLeft" activeCell="F59" sqref="F59"/>
    </sheetView>
  </sheetViews>
  <sheetFormatPr baseColWidth="12" defaultColWidth="12.83203125" defaultRowHeight="21" customHeight="1" outlineLevelCol="1" x14ac:dyDescent="0.15"/>
  <cols>
    <col min="1" max="1" width="16.83203125" style="49" customWidth="1"/>
    <col min="2" max="2" width="67.1640625" style="49" customWidth="1"/>
    <col min="3" max="3" width="7.83203125" style="49" customWidth="1"/>
    <col min="4" max="4" width="3.6640625" style="49" customWidth="1"/>
    <col min="5" max="5" width="31" style="49" customWidth="1"/>
    <col min="6" max="6" width="41.33203125" style="49" customWidth="1"/>
    <col min="7" max="7" width="52" style="49" hidden="1" customWidth="1" outlineLevel="1"/>
    <col min="8" max="8" width="18.33203125" style="49" hidden="1" customWidth="1" outlineLevel="1"/>
    <col min="9" max="11" width="18.6640625" style="49" hidden="1" customWidth="1" outlineLevel="1"/>
    <col min="12" max="12" width="23.6640625" style="49" customWidth="1" collapsed="1"/>
    <col min="13" max="18" width="23.6640625" style="49" hidden="1" customWidth="1" outlineLevel="1"/>
    <col min="19" max="19" width="23.6640625" style="49" customWidth="1" collapsed="1"/>
    <col min="20" max="24" width="23.6640625" style="49" hidden="1" customWidth="1" outlineLevel="1"/>
    <col min="25" max="25" width="23.6640625" style="49" customWidth="1" collapsed="1"/>
    <col min="26" max="27" width="12.83203125" style="49"/>
    <col min="28" max="28" width="18.83203125" style="49" customWidth="1"/>
    <col min="29" max="29" width="15.5" style="49" customWidth="1"/>
    <col min="30" max="16384" width="12.83203125" style="49"/>
  </cols>
  <sheetData>
    <row r="1" spans="1:34" ht="21" customHeight="1" x14ac:dyDescent="0.15">
      <c r="A1" s="40" t="s">
        <v>79</v>
      </c>
      <c r="B1" s="40" t="s">
        <v>80</v>
      </c>
      <c r="C1" s="40" t="s">
        <v>81</v>
      </c>
      <c r="D1" s="40" t="s">
        <v>126</v>
      </c>
      <c r="E1" s="40" t="s">
        <v>82</v>
      </c>
      <c r="F1" s="40" t="s">
        <v>83</v>
      </c>
      <c r="G1" s="41" t="s">
        <v>132</v>
      </c>
      <c r="H1" s="41" t="s">
        <v>138</v>
      </c>
      <c r="I1" s="41" t="s">
        <v>140</v>
      </c>
      <c r="J1" s="41" t="s">
        <v>139</v>
      </c>
      <c r="K1" s="41" t="s">
        <v>141</v>
      </c>
      <c r="L1" s="41" t="s">
        <v>133</v>
      </c>
      <c r="M1" s="41" t="s">
        <v>131</v>
      </c>
      <c r="N1" s="41" t="s">
        <v>134</v>
      </c>
      <c r="O1" s="41" t="s">
        <v>142</v>
      </c>
      <c r="P1" s="41" t="s">
        <v>143</v>
      </c>
      <c r="Q1" s="41" t="s">
        <v>144</v>
      </c>
      <c r="R1" s="41" t="s">
        <v>145</v>
      </c>
      <c r="S1" s="41" t="s">
        <v>135</v>
      </c>
      <c r="T1" s="41" t="s">
        <v>136</v>
      </c>
      <c r="U1" s="41" t="s">
        <v>146</v>
      </c>
      <c r="V1" s="41" t="s">
        <v>147</v>
      </c>
      <c r="W1" s="41" t="s">
        <v>148</v>
      </c>
      <c r="X1" s="41" t="s">
        <v>149</v>
      </c>
      <c r="Y1" s="41" t="s">
        <v>137</v>
      </c>
      <c r="Z1" s="41" t="s">
        <v>76</v>
      </c>
      <c r="AA1" s="41" t="s">
        <v>77</v>
      </c>
      <c r="AB1" s="41" t="s">
        <v>78</v>
      </c>
    </row>
    <row r="2" spans="1:34" ht="24" customHeight="1" x14ac:dyDescent="0.15">
      <c r="A2" s="106">
        <v>47016100</v>
      </c>
      <c r="B2" s="116" t="s">
        <v>501</v>
      </c>
      <c r="C2" s="50">
        <v>3</v>
      </c>
      <c r="D2" s="50" t="s">
        <v>127</v>
      </c>
      <c r="E2" s="51" t="s">
        <v>502</v>
      </c>
      <c r="F2" s="51" t="s">
        <v>401</v>
      </c>
      <c r="G2" s="62" t="str">
        <f>IFERROR(LEFT(B2,FIND("],",B2)),B2)</f>
        <v>[effect:enemy_message, val1:1.8, val2:1.9]</v>
      </c>
      <c r="H2" s="62">
        <f>FIND("effect:",G2)+7</f>
        <v>9</v>
      </c>
      <c r="I2" s="62">
        <f>IFERROR(FIND(",",G2),LEN(G2))</f>
        <v>22</v>
      </c>
      <c r="J2" s="62" t="e">
        <f>FIND("target:",G2)+7</f>
        <v>#VALUE!</v>
      </c>
      <c r="K2" s="62">
        <f>FIND(",",G2,I2+1)</f>
        <v>32</v>
      </c>
      <c r="L2" s="62" t="str">
        <f>IFERROR(VLOOKUP(MID(G2,J2,K2-J2),[5]skilldef!$C:$D,2,FALSE),"-") &amp; " / " &amp; IFERROR(VLOOKUP(MID(G2,H2,I2-H2),[5]skilldef!$A:$B,2,FALSE),"-")</f>
        <v>- / -</v>
      </c>
      <c r="M2" s="62" t="str">
        <f>IFERROR(RIGHT(B2,LEN(B2)-FIND("],",B2)-1),"none")</f>
        <v>[effect:sp_boost, target:unit_all, val:3, animation:sp_boost_one02],[effect:fix_speed, target:myself, turn:2]</v>
      </c>
      <c r="N2" s="48" t="str">
        <f>IFERROR(LEFT(M2,FIND("],",M2)+S11),M2)</f>
        <v>[effect:sp_boost, target:unit_all, val:3, animation:sp_boost_one02],[effect:fix_speed, target:myself, turn:2]</v>
      </c>
      <c r="O2" s="62">
        <f>FIND("effect:",N2)+7</f>
        <v>9</v>
      </c>
      <c r="P2" s="62">
        <f>IFERROR(FIND(",",N2),LEN(N2))</f>
        <v>17</v>
      </c>
      <c r="Q2" s="62">
        <f>FIND("target:",N2)+7</f>
        <v>26</v>
      </c>
      <c r="R2" s="62">
        <f>FIND(",",N2,P2+1)</f>
        <v>34</v>
      </c>
      <c r="S2" s="62" t="str">
        <f>IFERROR(VLOOKUP(MID(N2,Q2,R2-Q2),[5]skilldef!$C:$D,2,FALSE),"-") &amp; " / " &amp; IFERROR(VLOOKUP(MID(N2,O2,P2-O2),[5]skilldef!$A:$B,2,FALSE),"-")</f>
        <v>味方全体に / -</v>
      </c>
      <c r="T2" s="48" t="str">
        <f>IFERROR(RIGHT(M2,LEN(M2)-FIND("],",M2)-1),"none")</f>
        <v>[effect:fix_speed, target:myself, turn:2]</v>
      </c>
      <c r="U2" s="62">
        <f>FIND("effect:",T2)+7</f>
        <v>9</v>
      </c>
      <c r="V2" s="62">
        <f>IFERROR(FIND(",",T2),LEN(T2))</f>
        <v>18</v>
      </c>
      <c r="W2" s="62">
        <f>FIND("target:",T2)+7</f>
        <v>27</v>
      </c>
      <c r="X2" s="62">
        <f>FIND(",",T2,V2+1)</f>
        <v>33</v>
      </c>
      <c r="Y2" s="62" t="str">
        <f>IFERROR(VLOOKUP(MID(T2,W2,X2-W2),[5]skilldef!$C:$D,2,FALSE),"-") &amp; " / " &amp; IFERROR(VLOOKUP(MID(T2,U2,V2-U2),[5]skilldef!$A:$B,2,FALSE),"-")</f>
        <v>自分自身に / 行動値設定</v>
      </c>
      <c r="Z2" s="50"/>
      <c r="AA2" s="52"/>
      <c r="AB2" s="50"/>
      <c r="AC2" s="49" t="s">
        <v>257</v>
      </c>
      <c r="AG2" s="49" t="s">
        <v>265</v>
      </c>
      <c r="AH2" s="49" t="s">
        <v>309</v>
      </c>
    </row>
    <row r="3" spans="1:34" ht="30" customHeight="1" x14ac:dyDescent="0.15">
      <c r="A3" s="106">
        <v>47016101</v>
      </c>
      <c r="B3" s="116" t="s">
        <v>504</v>
      </c>
      <c r="C3" s="50">
        <v>3</v>
      </c>
      <c r="D3" s="50" t="s">
        <v>127</v>
      </c>
      <c r="E3" s="51" t="s">
        <v>503</v>
      </c>
      <c r="F3" s="51" t="s">
        <v>500</v>
      </c>
      <c r="G3" s="62" t="str">
        <f t="shared" ref="G3:G32" si="0">IFERROR(LEFT(B3,FIND("],",B3)),B3)</f>
        <v>[effect:enemy_message, val1:1.8, val2:2.2]</v>
      </c>
      <c r="H3" s="62">
        <f t="shared" ref="H3:H47" si="1">FIND("effect:",G3)+7</f>
        <v>9</v>
      </c>
      <c r="I3" s="62">
        <f t="shared" ref="I3:I32" si="2">IFERROR(FIND(",",G3),LEN(G3))</f>
        <v>22</v>
      </c>
      <c r="J3" s="62" t="e">
        <f t="shared" ref="J3:J32" si="3">FIND("target:",G3)+7</f>
        <v>#VALUE!</v>
      </c>
      <c r="K3" s="62">
        <f t="shared" ref="K3:K32" si="4">FIND(",",G3,I3+1)</f>
        <v>32</v>
      </c>
      <c r="L3" s="62" t="str">
        <f>IFERROR(VLOOKUP(MID(G3,J3,K3-J3),[5]skilldef!$C:$D,2,FALSE),"-") &amp; " / " &amp; IFERROR(VLOOKUP(MID(G3,H3,I3-H3),[5]skilldef!$A:$B,2,FALSE),"-")</f>
        <v>- / -</v>
      </c>
      <c r="M3" s="62" t="str">
        <f t="shared" ref="M3:M32" si="5">IFERROR(RIGHT(B3,LEN(B3)-FIND("],",B3)-1),"none")</f>
        <v>[effect:fix_speed, target:myself, turn:2]</v>
      </c>
      <c r="N3" s="48" t="str">
        <f>IFERROR(LEFT(M3,FIND("],",M3)+S12),M3)</f>
        <v>[effect:fix_speed, target:myself, turn:2]</v>
      </c>
      <c r="O3" s="62">
        <f t="shared" ref="O3:O47" si="6">FIND("effect:",N3)+7</f>
        <v>9</v>
      </c>
      <c r="P3" s="62">
        <f t="shared" ref="P3:P32" si="7">IFERROR(FIND(",",N3),LEN(N3))</f>
        <v>18</v>
      </c>
      <c r="Q3" s="62">
        <f t="shared" ref="Q3:Q32" si="8">FIND("target:",N3)+7</f>
        <v>27</v>
      </c>
      <c r="R3" s="62">
        <f t="shared" ref="R3:R32" si="9">FIND(",",N3,P3+1)</f>
        <v>33</v>
      </c>
      <c r="S3" s="62" t="str">
        <f>IFERROR(VLOOKUP(MID(N3,Q3,R3-Q3),[5]skilldef!$C:$D,2,FALSE),"-") &amp; " / " &amp; IFERROR(VLOOKUP(MID(N3,O3,P3-O3),[5]skilldef!$A:$B,2,FALSE),"-")</f>
        <v>自分自身に / 行動値設定</v>
      </c>
      <c r="T3" s="48" t="str">
        <f t="shared" ref="T3:T32" si="10">IFERROR(RIGHT(M3,LEN(M3)-FIND("],",M3)-1),"none")</f>
        <v>none</v>
      </c>
      <c r="U3" s="62" t="e">
        <f t="shared" ref="U3:U47" si="11">FIND("effect:",T3)+7</f>
        <v>#VALUE!</v>
      </c>
      <c r="V3" s="62">
        <f t="shared" ref="V3:V32" si="12">IFERROR(FIND(",",T3),LEN(T3))</f>
        <v>4</v>
      </c>
      <c r="W3" s="62" t="e">
        <f t="shared" ref="W3:W32" si="13">FIND("target:",T3)+7</f>
        <v>#VALUE!</v>
      </c>
      <c r="X3" s="62" t="e">
        <f t="shared" ref="X3:X32" si="14">FIND(",",T3,V3+1)</f>
        <v>#VALUE!</v>
      </c>
      <c r="Y3" s="62" t="str">
        <f>IFERROR(VLOOKUP(MID(T3,W3,X3-W3),[5]skilldef!$C:$D,2,FALSE),"-") &amp; " / " &amp; IFERROR(VLOOKUP(MID(T3,U3,V3-U3),[5]skilldef!$A:$B,2,FALSE),"-")</f>
        <v>- / -</v>
      </c>
      <c r="Z3" s="50"/>
      <c r="AA3" s="52"/>
      <c r="AB3" s="50"/>
      <c r="AC3" s="49" t="s">
        <v>258</v>
      </c>
    </row>
    <row r="4" spans="1:34" ht="30" customHeight="1" x14ac:dyDescent="0.15">
      <c r="A4" s="106">
        <v>47016102</v>
      </c>
      <c r="B4" s="116" t="s">
        <v>507</v>
      </c>
      <c r="C4" s="50">
        <v>3</v>
      </c>
      <c r="D4" s="50" t="s">
        <v>127</v>
      </c>
      <c r="E4" s="51" t="s">
        <v>505</v>
      </c>
      <c r="F4" s="51" t="s">
        <v>506</v>
      </c>
      <c r="G4" s="62" t="str">
        <f t="shared" si="0"/>
        <v>[effect:enemy_message, val1:1.2, val2:1.6]</v>
      </c>
      <c r="H4" s="62">
        <f t="shared" si="1"/>
        <v>9</v>
      </c>
      <c r="I4" s="62">
        <f t="shared" si="2"/>
        <v>22</v>
      </c>
      <c r="J4" s="62" t="e">
        <f t="shared" si="3"/>
        <v>#VALUE!</v>
      </c>
      <c r="K4" s="62">
        <f t="shared" si="4"/>
        <v>32</v>
      </c>
      <c r="L4" s="62" t="str">
        <f>IFERROR(VLOOKUP(MID(G4,J4,K4-J4),[5]skilldef!$C:$D,2,FALSE),"-") &amp; " / " &amp; IFERROR(VLOOKUP(MID(G4,H4,I4-H4),[5]skilldef!$A:$B,2,FALSE),"-")</f>
        <v>- / -</v>
      </c>
      <c r="M4" s="62" t="str">
        <f t="shared" si="5"/>
        <v>[effect:fix_speed, target:myself, turn:2]</v>
      </c>
      <c r="N4" s="48" t="str">
        <f>IFERROR(LEFT(M4,FIND("],",M4)+S13),M4)</f>
        <v>[effect:fix_speed, target:myself, turn:2]</v>
      </c>
      <c r="O4" s="62">
        <f t="shared" si="6"/>
        <v>9</v>
      </c>
      <c r="P4" s="62">
        <f t="shared" si="7"/>
        <v>18</v>
      </c>
      <c r="Q4" s="62">
        <f t="shared" si="8"/>
        <v>27</v>
      </c>
      <c r="R4" s="62">
        <f t="shared" si="9"/>
        <v>33</v>
      </c>
      <c r="S4" s="62" t="str">
        <f>IFERROR(VLOOKUP(MID(N4,Q4,R4-Q4),[5]skilldef!$C:$D,2,FALSE),"-") &amp; " / " &amp; IFERROR(VLOOKUP(MID(N4,O4,P4-O4),[5]skilldef!$A:$B,2,FALSE),"-")</f>
        <v>自分自身に / 行動値設定</v>
      </c>
      <c r="T4" s="48" t="str">
        <f t="shared" si="10"/>
        <v>none</v>
      </c>
      <c r="U4" s="62" t="e">
        <f t="shared" si="11"/>
        <v>#VALUE!</v>
      </c>
      <c r="V4" s="62">
        <f t="shared" si="12"/>
        <v>4</v>
      </c>
      <c r="W4" s="62" t="e">
        <f t="shared" si="13"/>
        <v>#VALUE!</v>
      </c>
      <c r="X4" s="62" t="e">
        <f t="shared" si="14"/>
        <v>#VALUE!</v>
      </c>
      <c r="Y4" s="62" t="str">
        <f>IFERROR(VLOOKUP(MID(T4,W4,X4-W4),[5]skilldef!$C:$D,2,FALSE),"-") &amp; " / " &amp; IFERROR(VLOOKUP(MID(T4,U4,V4-U4),[5]skilldef!$A:$B,2,FALSE),"-")</f>
        <v>- / -</v>
      </c>
      <c r="Z4" s="50"/>
      <c r="AA4" s="52"/>
      <c r="AB4" s="50"/>
      <c r="AC4" s="49" t="s">
        <v>260</v>
      </c>
      <c r="AH4" s="49" t="s">
        <v>309</v>
      </c>
    </row>
    <row r="5" spans="1:34" ht="51" customHeight="1" x14ac:dyDescent="0.15">
      <c r="A5" s="106">
        <v>47016103</v>
      </c>
      <c r="B5" s="116" t="s">
        <v>511</v>
      </c>
      <c r="C5" s="50">
        <v>3</v>
      </c>
      <c r="D5" s="50" t="s">
        <v>127</v>
      </c>
      <c r="E5" s="113" t="s">
        <v>402</v>
      </c>
      <c r="F5" s="51" t="s">
        <v>490</v>
      </c>
      <c r="G5" s="62" t="str">
        <f t="shared" si="0"/>
        <v>[effect:enemy_message, val1:1.4, val2:3.4]</v>
      </c>
      <c r="H5" s="62">
        <f t="shared" si="1"/>
        <v>9</v>
      </c>
      <c r="I5" s="62">
        <f t="shared" si="2"/>
        <v>22</v>
      </c>
      <c r="J5" s="62" t="e">
        <f t="shared" si="3"/>
        <v>#VALUE!</v>
      </c>
      <c r="K5" s="62">
        <f t="shared" si="4"/>
        <v>32</v>
      </c>
      <c r="L5" s="62" t="str">
        <f>IFERROR(VLOOKUP(MID(G5,J5,K5-J5),[5]skilldef!$C:$D,2,FALSE),"-") &amp; " / " &amp; IFERROR(VLOOKUP(MID(G5,H5,I5-H5),[5]skilldef!$A:$B,2,FALSE),"-")</f>
        <v>- / -</v>
      </c>
      <c r="M5" s="62" t="str">
        <f t="shared" si="5"/>
        <v>[effect:change_range_block, block_change:1, base_type:0, square_count:5, position01:6, value_h01:4.0, value_w01:3.0, new_block:block_heart, target:normal, count:0, val:0, animation:change_range_block],[effect:rush, count:1, val:0.7]</v>
      </c>
      <c r="N5" s="48" t="str">
        <f>IFERROR(LEFT(M5,FIND("],",M5)+S14),M5)</f>
        <v>[effect:change_range_block, block_change:1, base_type:0, square_count:5, position01:6, value_h01:4.0, value_w01:3.0, new_block:block_heart, target:normal, count:0, val:0, animation:change_range_block],[effect:rush, count:1, val:0.7]</v>
      </c>
      <c r="O5" s="62">
        <f t="shared" si="6"/>
        <v>9</v>
      </c>
      <c r="P5" s="62">
        <f t="shared" si="7"/>
        <v>27</v>
      </c>
      <c r="Q5" s="62">
        <f t="shared" si="8"/>
        <v>148</v>
      </c>
      <c r="R5" s="62">
        <f t="shared" si="9"/>
        <v>43</v>
      </c>
      <c r="S5" s="62" t="str">
        <f>IFERROR(VLOOKUP(MID(N5,Q5,R5-Q5),[5]skilldef!$C:$D,2,FALSE),"-") &amp; " / " &amp; IFERROR(VLOOKUP(MID(N5,O5,P5-O5),[5]skilldef!$A:$B,2,FALSE),"-")</f>
        <v>- / -</v>
      </c>
      <c r="T5" s="48" t="str">
        <f t="shared" si="10"/>
        <v>[effect:rush, count:1, val:0.7]</v>
      </c>
      <c r="U5" s="62">
        <f t="shared" si="11"/>
        <v>9</v>
      </c>
      <c r="V5" s="62">
        <f t="shared" si="12"/>
        <v>13</v>
      </c>
      <c r="W5" s="62" t="e">
        <f t="shared" si="13"/>
        <v>#VALUE!</v>
      </c>
      <c r="X5" s="62">
        <f t="shared" si="14"/>
        <v>22</v>
      </c>
      <c r="Y5" s="62" t="str">
        <f>IFERROR(VLOOKUP(MID(T5,W5,X5-W5),[5]skilldef!$C:$D,2,FALSE),"-") &amp; " / " &amp; IFERROR(VLOOKUP(MID(T5,U5,V5-U5),[5]skilldef!$A:$B,2,FALSE),"-")</f>
        <v>- / 連続攻撃</v>
      </c>
      <c r="Z5" s="50"/>
      <c r="AA5" s="52"/>
      <c r="AB5" s="50"/>
      <c r="AC5" s="49" t="s">
        <v>259</v>
      </c>
      <c r="AH5" s="49" t="s">
        <v>309</v>
      </c>
    </row>
    <row r="6" spans="1:34" ht="35" customHeight="1" x14ac:dyDescent="0.15">
      <c r="A6" s="106">
        <v>47016104</v>
      </c>
      <c r="B6" s="116" t="s">
        <v>512</v>
      </c>
      <c r="C6" s="50">
        <v>3</v>
      </c>
      <c r="D6" s="50" t="s">
        <v>127</v>
      </c>
      <c r="E6" s="51" t="s">
        <v>495</v>
      </c>
      <c r="F6" s="51" t="s">
        <v>363</v>
      </c>
      <c r="G6" s="62" t="str">
        <f>IFERROR(LEFT(B6,FIND("],",B6)),B6)</f>
        <v>[effect:enemy_message, val1:1.2, val2:4.1]</v>
      </c>
      <c r="H6" s="62">
        <f>FIND("effect:",G6)+7</f>
        <v>9</v>
      </c>
      <c r="I6" s="62">
        <f>IFERROR(FIND(",",G6),LEN(G6))</f>
        <v>22</v>
      </c>
      <c r="J6" s="62" t="e">
        <f>FIND("target:",G6)+7</f>
        <v>#VALUE!</v>
      </c>
      <c r="K6" s="62">
        <f>FIND(",",G6,I6+1)</f>
        <v>32</v>
      </c>
      <c r="L6" s="62" t="str">
        <f>IFERROR(VLOOKUP(MID(G6,J6,K6-J6),[5]skilldef!$C:$D,2,FALSE),"-") &amp; " / " &amp; IFERROR(VLOOKUP(MID(G6,H6,I6-H6),[5]skilldef!$A:$B,2,FALSE),"-")</f>
        <v>- / -</v>
      </c>
      <c r="M6" s="62" t="str">
        <f>IFERROR(RIGHT(B6,LEN(B6)-FIND("],",B6)-1),"none")</f>
        <v>[effect:rush, count:2, val:0.4],[effect:hungup, target:unit_all, turn:1, rate:1, animation:hungup01]</v>
      </c>
      <c r="N6" s="48" t="str">
        <f>IFERROR(LEFT(M6,FIND("],",M6)+S17),M6)</f>
        <v>[effect:rush, count:2, val:0.4],[effect:hungup, target:unit_all, turn:1, rate:1, animation:hungup01]</v>
      </c>
      <c r="O6" s="62">
        <f>FIND("effect:",N6)+7</f>
        <v>9</v>
      </c>
      <c r="P6" s="62">
        <f>IFERROR(FIND(",",N6),LEN(N6))</f>
        <v>13</v>
      </c>
      <c r="Q6" s="62">
        <f>FIND("target:",N6)+7</f>
        <v>56</v>
      </c>
      <c r="R6" s="62">
        <f>FIND(",",N6,P6+1)</f>
        <v>22</v>
      </c>
      <c r="S6" s="62" t="str">
        <f>IFERROR(VLOOKUP(MID(N6,Q6,R6-Q6),[5]skilldef!$C:$D,2,FALSE),"-") &amp; " / " &amp; IFERROR(VLOOKUP(MID(N6,O6,P6-O6),[5]skilldef!$A:$B,2,FALSE),"-")</f>
        <v>- / 連続攻撃</v>
      </c>
      <c r="T6" s="48" t="str">
        <f>IFERROR(RIGHT(M6,LEN(M6)-FIND("],",M6)-1),"none")</f>
        <v>[effect:hungup, target:unit_all, turn:1, rate:1, animation:hungup01]</v>
      </c>
      <c r="U6" s="62">
        <f>FIND("effect:",T6)+7</f>
        <v>9</v>
      </c>
      <c r="V6" s="62">
        <f>IFERROR(FIND(",",T6),LEN(T6))</f>
        <v>15</v>
      </c>
      <c r="W6" s="62">
        <f>FIND("target:",T6)+7</f>
        <v>24</v>
      </c>
      <c r="X6" s="62">
        <f>FIND(",",T6,V6+1)</f>
        <v>32</v>
      </c>
      <c r="Y6" s="62" t="str">
        <f>IFERROR(VLOOKUP(MID(T6,W6,X6-W6),[5]skilldef!$C:$D,2,FALSE),"-") &amp; " / " &amp; IFERROR(VLOOKUP(MID(T6,U6,V6-U6),[5]skilldef!$A:$B,2,FALSE),"-")</f>
        <v>味方全体に / ハングアップ</v>
      </c>
      <c r="Z6" s="50"/>
      <c r="AA6" s="52"/>
      <c r="AB6" s="50"/>
      <c r="AC6" s="49" t="s">
        <v>262</v>
      </c>
      <c r="AH6" s="49" t="s">
        <v>309</v>
      </c>
    </row>
    <row r="7" spans="1:34" ht="27" customHeight="1" x14ac:dyDescent="0.15">
      <c r="A7" s="106">
        <v>47016105</v>
      </c>
      <c r="B7" s="116" t="s">
        <v>526</v>
      </c>
      <c r="C7" s="50">
        <v>3</v>
      </c>
      <c r="D7" s="50" t="s">
        <v>127</v>
      </c>
      <c r="E7" s="51" t="s">
        <v>403</v>
      </c>
      <c r="F7" s="51" t="s">
        <v>374</v>
      </c>
      <c r="G7" s="62" t="str">
        <f t="shared" si="0"/>
        <v>[effect:enemy_message, val1:1.2, val2:1.4]</v>
      </c>
      <c r="H7" s="62">
        <f t="shared" si="1"/>
        <v>9</v>
      </c>
      <c r="I7" s="62">
        <f t="shared" si="2"/>
        <v>22</v>
      </c>
      <c r="J7" s="62" t="e">
        <f t="shared" si="3"/>
        <v>#VALUE!</v>
      </c>
      <c r="K7" s="62">
        <f t="shared" si="4"/>
        <v>32</v>
      </c>
      <c r="L7" s="62" t="str">
        <f>IFERROR(VLOOKUP(MID(G7,J7,K7-J7),[5]skilldef!$C:$D,2,FALSE),"-") &amp; " / " &amp; IFERROR(VLOOKUP(MID(G7,H7,I7-H7),[5]skilldef!$A:$B,2,FALSE),"-")</f>
        <v>- / -</v>
      </c>
      <c r="M7" s="62" t="str">
        <f t="shared" si="5"/>
        <v>[effect:panel_freeze, target:normal, color:block_red, count:-1],[effect:rush, count:1, val:0.7]</v>
      </c>
      <c r="N7" s="48" t="str">
        <f>IFERROR(LEFT(M7,FIND("],",M7)+S15),M7)</f>
        <v>[effect:panel_freeze, target:normal, color:block_red, count:-1],[effect:rush, count:1, val:0.7]</v>
      </c>
      <c r="O7" s="62">
        <f t="shared" si="6"/>
        <v>9</v>
      </c>
      <c r="P7" s="62">
        <f t="shared" si="7"/>
        <v>21</v>
      </c>
      <c r="Q7" s="62">
        <f t="shared" si="8"/>
        <v>30</v>
      </c>
      <c r="R7" s="62">
        <f t="shared" si="9"/>
        <v>36</v>
      </c>
      <c r="S7" s="62" t="str">
        <f>IFERROR(VLOOKUP(MID(N7,Q7,R7-Q7),[5]skilldef!$C:$D,2,FALSE),"-") &amp; " / " &amp; IFERROR(VLOOKUP(MID(N7,O7,P7-O7),[5]skilldef!$A:$B,2,FALSE),"-")</f>
        <v>- / -</v>
      </c>
      <c r="T7" s="48" t="str">
        <f t="shared" si="10"/>
        <v>[effect:rush, count:1, val:0.7]</v>
      </c>
      <c r="U7" s="62">
        <f t="shared" si="11"/>
        <v>9</v>
      </c>
      <c r="V7" s="62">
        <f t="shared" si="12"/>
        <v>13</v>
      </c>
      <c r="W7" s="62" t="e">
        <f t="shared" si="13"/>
        <v>#VALUE!</v>
      </c>
      <c r="X7" s="62">
        <f t="shared" si="14"/>
        <v>22</v>
      </c>
      <c r="Y7" s="62" t="str">
        <f>IFERROR(VLOOKUP(MID(T7,W7,X7-W7),[5]skilldef!$C:$D,2,FALSE),"-") &amp; " / " &amp; IFERROR(VLOOKUP(MID(T7,U7,V7-U7),[5]skilldef!$A:$B,2,FALSE),"-")</f>
        <v>- / 連続攻撃</v>
      </c>
      <c r="Z7" s="50"/>
      <c r="AA7" s="52"/>
      <c r="AB7" s="50"/>
      <c r="AC7" s="49" t="s">
        <v>261</v>
      </c>
      <c r="AH7" s="49" t="s">
        <v>309</v>
      </c>
    </row>
    <row r="8" spans="1:34" ht="27" customHeight="1" x14ac:dyDescent="0.15">
      <c r="A8" s="106">
        <v>47016106</v>
      </c>
      <c r="B8" s="116" t="s">
        <v>515</v>
      </c>
      <c r="C8" s="50">
        <v>3</v>
      </c>
      <c r="D8" s="50" t="s">
        <v>127</v>
      </c>
      <c r="E8" s="51" t="s">
        <v>404</v>
      </c>
      <c r="F8" s="51" t="s">
        <v>369</v>
      </c>
      <c r="G8" s="62" t="str">
        <f t="shared" si="0"/>
        <v>[effect:enemy_message, val1:1.2, val2:3.1]</v>
      </c>
      <c r="H8" s="62">
        <f t="shared" si="1"/>
        <v>9</v>
      </c>
      <c r="I8" s="62">
        <f t="shared" si="2"/>
        <v>22</v>
      </c>
      <c r="J8" s="62" t="e">
        <f t="shared" si="3"/>
        <v>#VALUE!</v>
      </c>
      <c r="K8" s="62">
        <f t="shared" si="4"/>
        <v>32</v>
      </c>
      <c r="L8" s="62" t="str">
        <f>IFERROR(VLOOKUP(MID(G8,J8,K8-J8),[5]skilldef!$C:$D,2,FALSE),"-") &amp; " / " &amp; IFERROR(VLOOKUP(MID(G8,H8,I8-H8),[5]skilldef!$A:$B,2,FALSE),"-")</f>
        <v>- / -</v>
      </c>
      <c r="M8" s="62" t="str">
        <f t="shared" si="5"/>
        <v>[effect:force_change_block, new_block:block_red, target:normal, count:5, val:0, animation:change_block],[effect:rush, count:1, val:0.7],[effect:freq_turn, target:myself, turn:1, val:1, animation:enemy_freq_turn]</v>
      </c>
      <c r="N8" s="48" t="str">
        <f>IFERROR(LEFT(M8,FIND("],",M8)+S16),M8)</f>
        <v>[effect:force_change_block, new_block:block_red, target:normal, count:5, val:0, animation:change_block],[effect:rush, count:1, val:0.7],[effect:freq_turn, target:myself, turn:1, val:1, animation:enemy_freq_turn]</v>
      </c>
      <c r="O8" s="62">
        <f t="shared" si="6"/>
        <v>9</v>
      </c>
      <c r="P8" s="62">
        <f t="shared" si="7"/>
        <v>27</v>
      </c>
      <c r="Q8" s="62">
        <f t="shared" si="8"/>
        <v>57</v>
      </c>
      <c r="R8" s="62">
        <f t="shared" si="9"/>
        <v>48</v>
      </c>
      <c r="S8" s="62" t="str">
        <f>IFERROR(VLOOKUP(MID(N8,Q8,R8-Q8),[5]skilldef!$C:$D,2,FALSE),"-") &amp; " / " &amp; IFERROR(VLOOKUP(MID(N8,O8,P8-O8),[5]skilldef!$A:$B,2,FALSE),"-")</f>
        <v>- / -</v>
      </c>
      <c r="T8" s="48" t="str">
        <f t="shared" si="10"/>
        <v>[effect:rush, count:1, val:0.7],[effect:freq_turn, target:myself, turn:1, val:1, animation:enemy_freq_turn]</v>
      </c>
      <c r="U8" s="62">
        <f t="shared" si="11"/>
        <v>9</v>
      </c>
      <c r="V8" s="62">
        <f t="shared" si="12"/>
        <v>13</v>
      </c>
      <c r="W8" s="62">
        <f t="shared" si="13"/>
        <v>59</v>
      </c>
      <c r="X8" s="62">
        <f t="shared" si="14"/>
        <v>22</v>
      </c>
      <c r="Y8" s="62" t="str">
        <f>IFERROR(VLOOKUP(MID(T8,W8,X8-W8),[5]skilldef!$C:$D,2,FALSE),"-") &amp; " / " &amp; IFERROR(VLOOKUP(MID(T8,U8,V8-U8),[5]skilldef!$A:$B,2,FALSE),"-")</f>
        <v>- / 連続攻撃</v>
      </c>
      <c r="Z8" s="50"/>
      <c r="AA8" s="52"/>
      <c r="AB8" s="50"/>
      <c r="AC8" s="49" t="s">
        <v>264</v>
      </c>
      <c r="AH8" s="49" t="s">
        <v>309</v>
      </c>
    </row>
    <row r="9" spans="1:34" ht="36" customHeight="1" x14ac:dyDescent="0.15">
      <c r="A9" s="106">
        <v>47016107</v>
      </c>
      <c r="B9" s="116" t="s">
        <v>460</v>
      </c>
      <c r="C9" s="50">
        <v>3</v>
      </c>
      <c r="D9" s="50" t="s">
        <v>127</v>
      </c>
      <c r="E9" s="51" t="s">
        <v>405</v>
      </c>
      <c r="F9" s="51" t="s">
        <v>406</v>
      </c>
      <c r="G9" s="62" t="str">
        <f t="shared" si="0"/>
        <v>[effect:enemy_message, val1:1.2, val2:2.5]</v>
      </c>
      <c r="H9" s="62">
        <f t="shared" si="1"/>
        <v>9</v>
      </c>
      <c r="I9" s="62">
        <f t="shared" si="2"/>
        <v>22</v>
      </c>
      <c r="J9" s="62" t="e">
        <f t="shared" si="3"/>
        <v>#VALUE!</v>
      </c>
      <c r="K9" s="62">
        <f t="shared" si="4"/>
        <v>32</v>
      </c>
      <c r="L9" s="62" t="str">
        <f>IFERROR(VLOOKUP(MID(G9,J9,K9-J9),[5]skilldef!$C:$D,2,FALSE),"-") &amp; " / " &amp; IFERROR(VLOOKUP(MID(G9,H9,I9-H9),[5]skilldef!$A:$B,2,FALSE),"-")</f>
        <v>- / -</v>
      </c>
      <c r="M9" s="62" t="str">
        <f t="shared" si="5"/>
        <v>[effect:attack_break, target:unit_all, turn:3, val:0.5, calc:mul, animation:attack_break02],[effect:rush, count:1, val:0.7]</v>
      </c>
      <c r="N9" s="48" t="str">
        <f>IFERROR(LEFT(M9,FIND("],",M9)+S18),M9)</f>
        <v>[effect:attack_break, target:unit_all, turn:3, val:0.5, calc:mul, animation:attack_break02],[effect:rush, count:1, val:0.7]</v>
      </c>
      <c r="O9" s="62">
        <f t="shared" si="6"/>
        <v>9</v>
      </c>
      <c r="P9" s="62">
        <f t="shared" si="7"/>
        <v>21</v>
      </c>
      <c r="Q9" s="62">
        <f t="shared" si="8"/>
        <v>30</v>
      </c>
      <c r="R9" s="62">
        <f t="shared" si="9"/>
        <v>38</v>
      </c>
      <c r="S9" s="62" t="str">
        <f>IFERROR(VLOOKUP(MID(N9,Q9,R9-Q9),[5]skilldef!$C:$D,2,FALSE),"-") &amp; " / " &amp; IFERROR(VLOOKUP(MID(N9,O9,P9-O9),[5]skilldef!$A:$B,2,FALSE),"-")</f>
        <v>味方全体に / -</v>
      </c>
      <c r="T9" s="48" t="str">
        <f t="shared" si="10"/>
        <v>[effect:rush, count:1, val:0.7]</v>
      </c>
      <c r="U9" s="62">
        <f t="shared" si="11"/>
        <v>9</v>
      </c>
      <c r="V9" s="62">
        <f t="shared" si="12"/>
        <v>13</v>
      </c>
      <c r="W9" s="62" t="e">
        <f t="shared" si="13"/>
        <v>#VALUE!</v>
      </c>
      <c r="X9" s="62">
        <f t="shared" si="14"/>
        <v>22</v>
      </c>
      <c r="Y9" s="62" t="str">
        <f>IFERROR(VLOOKUP(MID(T9,W9,X9-W9),[5]skilldef!$C:$D,2,FALSE),"-") &amp; " / " &amp; IFERROR(VLOOKUP(MID(T9,U9,V9-U9),[5]skilldef!$A:$B,2,FALSE),"-")</f>
        <v>- / 連続攻撃</v>
      </c>
      <c r="Z9" s="50"/>
      <c r="AA9" s="52"/>
      <c r="AB9" s="50"/>
      <c r="AC9" s="49" t="s">
        <v>263</v>
      </c>
      <c r="AH9" s="49" t="s">
        <v>309</v>
      </c>
    </row>
    <row r="10" spans="1:34" ht="47" customHeight="1" x14ac:dyDescent="0.15">
      <c r="A10" s="110">
        <v>47016109</v>
      </c>
      <c r="B10" s="166" t="s">
        <v>549</v>
      </c>
      <c r="C10" s="50">
        <v>3</v>
      </c>
      <c r="D10" s="50" t="s">
        <v>127</v>
      </c>
      <c r="E10" s="113" t="s">
        <v>407</v>
      </c>
      <c r="F10" s="51" t="s">
        <v>364</v>
      </c>
      <c r="G10" s="62" t="str">
        <f t="shared" si="0"/>
        <v>[effect:enemy_message, val1:1.6, val2:5.7]</v>
      </c>
      <c r="H10" s="62">
        <f t="shared" si="1"/>
        <v>9</v>
      </c>
      <c r="I10" s="62">
        <f t="shared" si="2"/>
        <v>22</v>
      </c>
      <c r="J10" s="62" t="e">
        <f t="shared" si="3"/>
        <v>#VALUE!</v>
      </c>
      <c r="K10" s="62">
        <f t="shared" si="4"/>
        <v>32</v>
      </c>
      <c r="L10" s="62" t="str">
        <f>IFERROR(VLOOKUP(MID(G10,J10,K10-J10),[5]skilldef!$C:$D,2,FALSE),"-") &amp; " / " &amp; IFERROR(VLOOKUP(MID(G10,H10,I10-H10),[5]skilldef!$A:$B,2,FALSE),"-")</f>
        <v>- / -</v>
      </c>
      <c r="M10" s="62" t="str">
        <f t="shared" si="5"/>
        <v>[effect:change_range_block, block_change:1, base_type:0, square_count:5, position01:6, value_h01:4, value_w01:3, new_block:block_blue, target:normal, count:0, val:0, animation:change_range_block],[effect:change_range_block, block_change:1, base_type:0, square_count:5, position01:12, value_h01:2, value_w01:1, new_block:block_heart, target:normal, count:0, val:0, animation:change_range_block],[effect:panel_freeze, target:normal, color:block_blue, count:5],[effect:panel_freeze, target:normal, color:block_heart, count:5],[effect:fix_speed, target:myself, turn:2]</v>
      </c>
      <c r="N10" s="48" t="str">
        <f t="shared" ref="N10" si="15">IFERROR(LEFT(M10,FIND("],",M10)+S20),M10)</f>
        <v>[effect:change_range_block, block_change:1, base_type:0, square_count:5, position01:6, value_h01:4, value_w01:3, new_block:block_blue, target:normal, count:0, val:0, animation:change_range_block],[effect:change_range_block, block_change:1, base_type:0, square_count:5, position01:12, value_h01:2, value_w01:1, new_block:block_heart, target:normal, count:0, val:0, animation:change_range_block],[effect:panel_freeze, target:normal, color:block_blue, count:5],[effect:panel_freeze, target:normal, color:block_heart, count:5],[effect:fix_speed, target:myself, turn:2]</v>
      </c>
      <c r="O10" s="62">
        <f t="shared" si="6"/>
        <v>9</v>
      </c>
      <c r="P10" s="62">
        <f t="shared" si="7"/>
        <v>27</v>
      </c>
      <c r="Q10" s="62">
        <f t="shared" si="8"/>
        <v>143</v>
      </c>
      <c r="R10" s="62">
        <f t="shared" si="9"/>
        <v>43</v>
      </c>
      <c r="S10" s="62" t="str">
        <f>IFERROR(VLOOKUP(MID(N10,Q10,R10-Q10),[5]skilldef!$C:$D,2,FALSE),"-") &amp; " / " &amp; IFERROR(VLOOKUP(MID(N10,O10,P10-O10),[5]skilldef!$A:$B,2,FALSE),"-")</f>
        <v>- / -</v>
      </c>
      <c r="T10" s="48" t="str">
        <f t="shared" si="10"/>
        <v>[effect:change_range_block, block_change:1, base_type:0, square_count:5, position01:12, value_h01:2, value_w01:1, new_block:block_heart, target:normal, count:0, val:0, animation:change_range_block],[effect:panel_freeze, target:normal, color:block_blue, count:5],[effect:panel_freeze, target:normal, color:block_heart, count:5],[effect:fix_speed, target:myself, turn:2]</v>
      </c>
      <c r="U10" s="62">
        <f t="shared" si="11"/>
        <v>9</v>
      </c>
      <c r="V10" s="62">
        <f t="shared" si="12"/>
        <v>27</v>
      </c>
      <c r="W10" s="62">
        <f t="shared" si="13"/>
        <v>145</v>
      </c>
      <c r="X10" s="62">
        <f t="shared" si="14"/>
        <v>43</v>
      </c>
      <c r="Y10" s="62" t="str">
        <f>IFERROR(VLOOKUP(MID(T10,W10,X10-W10),[5]skilldef!$C:$D,2,FALSE),"-") &amp; " / " &amp; IFERROR(VLOOKUP(MID(T10,U10,V10-U10),[5]skilldef!$A:$B,2,FALSE),"-")</f>
        <v>- / -</v>
      </c>
      <c r="Z10" s="50"/>
      <c r="AA10" s="52"/>
      <c r="AB10" s="50"/>
      <c r="AC10" s="49" t="s">
        <v>266</v>
      </c>
      <c r="AE10" s="108"/>
      <c r="AG10" s="49" t="s">
        <v>273</v>
      </c>
      <c r="AH10" s="49" t="s">
        <v>309</v>
      </c>
    </row>
    <row r="11" spans="1:34" ht="34" customHeight="1" x14ac:dyDescent="0.15">
      <c r="A11" s="110">
        <v>47016110</v>
      </c>
      <c r="B11" s="116" t="s">
        <v>527</v>
      </c>
      <c r="C11" s="50">
        <v>3</v>
      </c>
      <c r="D11" s="50" t="s">
        <v>127</v>
      </c>
      <c r="E11" s="51" t="s">
        <v>408</v>
      </c>
      <c r="F11" s="51" t="s">
        <v>384</v>
      </c>
      <c r="G11" s="62" t="str">
        <f t="shared" si="0"/>
        <v>[effect:enemy_message, val1:1.3, val2:3.3]</v>
      </c>
      <c r="H11" s="62">
        <f t="shared" si="1"/>
        <v>9</v>
      </c>
      <c r="I11" s="62">
        <f t="shared" si="2"/>
        <v>22</v>
      </c>
      <c r="J11" s="62" t="e">
        <f t="shared" si="3"/>
        <v>#VALUE!</v>
      </c>
      <c r="K11" s="62">
        <f t="shared" si="4"/>
        <v>32</v>
      </c>
      <c r="L11" s="62" t="str">
        <f>IFERROR(VLOOKUP(MID(G11,J11,K11-J11),[5]skilldef!$C:$D,2,FALSE),"-") &amp; " / " &amp; IFERROR(VLOOKUP(MID(G11,H11,I11-H11),[5]skilldef!$A:$B,2,FALSE),"-")</f>
        <v>- / -</v>
      </c>
      <c r="M11" s="62" t="str">
        <f t="shared" si="5"/>
        <v>[effect:damage_gravity, val:0.4, animation:fevergauge_down],[effect:panel_freeze, target:normal, color:block_red, count:6],[effect:panel_freeze, target:normal, color:block_yellow, count:6]</v>
      </c>
      <c r="N11" s="48" t="str">
        <f t="shared" ref="N11:N17" si="16">IFERROR(LEFT(M11,FIND("],",M11)+S21),M11)</f>
        <v>[effect:damage_gravity, val:0.4, animation:fevergauge_down],[effect:panel_freeze, target:normal, color:block_red, count:6],[effect:panel_freeze, target:normal, color:block_yellow, count:6]</v>
      </c>
      <c r="O11" s="62">
        <f t="shared" si="6"/>
        <v>9</v>
      </c>
      <c r="P11" s="62">
        <f t="shared" si="7"/>
        <v>23</v>
      </c>
      <c r="Q11" s="62">
        <f t="shared" si="8"/>
        <v>90</v>
      </c>
      <c r="R11" s="62">
        <f t="shared" si="9"/>
        <v>32</v>
      </c>
      <c r="S11" s="62" t="str">
        <f>IFERROR(VLOOKUP(MID(N11,Q11,R11-Q11),[5]skilldef!$C:$D,2,FALSE),"-") &amp; " / " &amp; IFERROR(VLOOKUP(MID(N11,O11,P11-O11),[5]skilldef!$A:$B,2,FALSE),"-")</f>
        <v>- / 割合ダメージ</v>
      </c>
      <c r="T11" s="48" t="str">
        <f t="shared" si="10"/>
        <v>[effect:panel_freeze, target:normal, color:block_red, count:6],[effect:panel_freeze, target:normal, color:block_yellow, count:6]</v>
      </c>
      <c r="U11" s="62">
        <f t="shared" si="11"/>
        <v>9</v>
      </c>
      <c r="V11" s="62">
        <f t="shared" si="12"/>
        <v>21</v>
      </c>
      <c r="W11" s="62">
        <f t="shared" si="13"/>
        <v>30</v>
      </c>
      <c r="X11" s="62">
        <f t="shared" si="14"/>
        <v>36</v>
      </c>
      <c r="Y11" s="62" t="str">
        <f>IFERROR(VLOOKUP(MID(T11,W11,X11-W11),[5]skilldef!$C:$D,2,FALSE),"-") &amp; " / " &amp; IFERROR(VLOOKUP(MID(T11,U11,V11-U11),[5]skilldef!$A:$B,2,FALSE),"-")</f>
        <v>- / -</v>
      </c>
      <c r="Z11" s="50"/>
      <c r="AA11" s="52"/>
      <c r="AB11" s="50"/>
      <c r="AC11" s="49" t="s">
        <v>267</v>
      </c>
      <c r="AE11" s="108"/>
      <c r="AH11" s="49" t="s">
        <v>309</v>
      </c>
    </row>
    <row r="12" spans="1:34" ht="41" customHeight="1" x14ac:dyDescent="0.15">
      <c r="A12" s="110">
        <v>47016111</v>
      </c>
      <c r="B12" s="116" t="s">
        <v>461</v>
      </c>
      <c r="C12" s="50">
        <v>3</v>
      </c>
      <c r="D12" s="50" t="s">
        <v>127</v>
      </c>
      <c r="E12" s="51" t="s">
        <v>409</v>
      </c>
      <c r="F12" s="51" t="s">
        <v>368</v>
      </c>
      <c r="G12" s="62" t="str">
        <f t="shared" si="0"/>
        <v>[effect:enemy_message, val1:1.2, val2:2.2]</v>
      </c>
      <c r="H12" s="62">
        <f t="shared" si="1"/>
        <v>9</v>
      </c>
      <c r="I12" s="62">
        <f t="shared" si="2"/>
        <v>22</v>
      </c>
      <c r="J12" s="62" t="e">
        <f t="shared" si="3"/>
        <v>#VALUE!</v>
      </c>
      <c r="K12" s="62">
        <f t="shared" si="4"/>
        <v>32</v>
      </c>
      <c r="L12" s="62" t="str">
        <f>IFERROR(VLOOKUP(MID(G12,J12,K12-J12),[5]skilldef!$C:$D,2,FALSE),"-") &amp; " / " &amp; IFERROR(VLOOKUP(MID(G12,H12,I12-H12),[5]skilldef!$A:$B,2,FALSE),"-")</f>
        <v>- / -</v>
      </c>
      <c r="M12" s="62" t="str">
        <f t="shared" si="5"/>
        <v>[effect:force_change_block, new_block:block_blue, target:normal, count:5, val:0, animation:change_block],[effect:rush, count:2, val:0.4]</v>
      </c>
      <c r="N12" s="48" t="str">
        <f t="shared" si="16"/>
        <v>[effect:force_change_block, new_block:block_blue, target:normal, count:5, val:0, animation:change_block],[effect:rush, count:2, val:0.4]</v>
      </c>
      <c r="O12" s="62">
        <f t="shared" si="6"/>
        <v>9</v>
      </c>
      <c r="P12" s="62">
        <f t="shared" si="7"/>
        <v>27</v>
      </c>
      <c r="Q12" s="62">
        <f t="shared" si="8"/>
        <v>58</v>
      </c>
      <c r="R12" s="62">
        <f t="shared" si="9"/>
        <v>49</v>
      </c>
      <c r="S12" s="62" t="str">
        <f>IFERROR(VLOOKUP(MID(N12,Q12,R12-Q12),[5]skilldef!$C:$D,2,FALSE),"-") &amp; " / " &amp; IFERROR(VLOOKUP(MID(N12,O12,P12-O12),[5]skilldef!$A:$B,2,FALSE),"-")</f>
        <v>- / -</v>
      </c>
      <c r="T12" s="48" t="str">
        <f t="shared" si="10"/>
        <v>[effect:rush, count:2, val:0.4]</v>
      </c>
      <c r="U12" s="62">
        <f t="shared" si="11"/>
        <v>9</v>
      </c>
      <c r="V12" s="62">
        <f t="shared" si="12"/>
        <v>13</v>
      </c>
      <c r="W12" s="62" t="e">
        <f t="shared" si="13"/>
        <v>#VALUE!</v>
      </c>
      <c r="X12" s="62">
        <f t="shared" si="14"/>
        <v>22</v>
      </c>
      <c r="Y12" s="62" t="str">
        <f>IFERROR(VLOOKUP(MID(T12,W12,X12-W12),[5]skilldef!$C:$D,2,FALSE),"-") &amp; " / " &amp; IFERROR(VLOOKUP(MID(T12,U12,V12-U12),[5]skilldef!$A:$B,2,FALSE),"-")</f>
        <v>- / 連続攻撃</v>
      </c>
      <c r="Z12" s="50"/>
      <c r="AA12" s="52"/>
      <c r="AB12" s="50"/>
      <c r="AC12" s="49" t="s">
        <v>272</v>
      </c>
      <c r="AH12" s="49" t="s">
        <v>309</v>
      </c>
    </row>
    <row r="13" spans="1:34" ht="68" customHeight="1" x14ac:dyDescent="0.15">
      <c r="A13" s="110">
        <v>47016112</v>
      </c>
      <c r="B13" s="166" t="s">
        <v>516</v>
      </c>
      <c r="C13" s="50">
        <v>3</v>
      </c>
      <c r="D13" s="50" t="s">
        <v>127</v>
      </c>
      <c r="E13" s="113" t="s">
        <v>410</v>
      </c>
      <c r="F13" s="51" t="s">
        <v>411</v>
      </c>
      <c r="G13" s="62" t="str">
        <f t="shared" si="0"/>
        <v>[effect:enemy_message, val1:1.3, val2:5.7]</v>
      </c>
      <c r="H13" s="62">
        <f t="shared" si="1"/>
        <v>9</v>
      </c>
      <c r="I13" s="62">
        <f t="shared" si="2"/>
        <v>22</v>
      </c>
      <c r="J13" s="62" t="e">
        <f t="shared" si="3"/>
        <v>#VALUE!</v>
      </c>
      <c r="K13" s="62">
        <f t="shared" si="4"/>
        <v>32</v>
      </c>
      <c r="L13" s="62" t="str">
        <f>IFERROR(VLOOKUP(MID(G13,J13,K13-J13),[5]skilldef!$C:$D,2,FALSE),"-") &amp; " / " &amp; IFERROR(VLOOKUP(MID(G13,H13,I13-H13),[5]skilldef!$A:$B,2,FALSE),"-")</f>
        <v>- / -</v>
      </c>
      <c r="M13" s="62" t="str">
        <f t="shared" si="5"/>
        <v>[effect:change_range_block, block_change:1, base_type:0, square_count:2, position01:0, value_h01:2, value_w01:1, new_block:block_blue, target:block_all, ignore01:block_positive, count:0, val:0, animation:change_range_block],[effect:change_range_block, block_change:1, base_type:0, square_count:2, position01:1, value_h01:2, value_w01:1, new_block:block_yellow, target:block_all, ignore01:block_positive, count:0, val:0, animation:change_range_block],[effect:damage_abnormal, target:unit_one, val:0.45, status:hungup, turn:1, animation:hungup01],[effect:damage_abnormal, target:unit_one, val:0.45, status:hungup, turn:1, animation:hungup01]</v>
      </c>
      <c r="N13" s="48" t="str">
        <f t="shared" si="16"/>
        <v>[effect:change_range_block, block_change:1, base_type:0, square_count:2, position01:0, value_h01:2, value_w01:1, new_block:block_blue, target:block_all, ignore01:block_positive, count:0, val:0, animation:change_range_block],[effect:change_range_block, block_change:1, base_type:0, square_count:2, position01:1, value_h01:2, value_w01:1, new_block:block_yellow, target:block_all, ignore01:block_positive, count:0, val:0, animation:change_range_block],[effect:damage_abnormal, target:unit_one, val:0.45, status:hungup, turn:1, animation:hungup01],[effect:damage_abnormal, target:unit_one, val:0.45, status:hungup, turn:1, animation:hungup01]</v>
      </c>
      <c r="O13" s="62">
        <f t="shared" si="6"/>
        <v>9</v>
      </c>
      <c r="P13" s="62">
        <f t="shared" si="7"/>
        <v>27</v>
      </c>
      <c r="Q13" s="62">
        <f t="shared" si="8"/>
        <v>143</v>
      </c>
      <c r="R13" s="62">
        <f t="shared" si="9"/>
        <v>43</v>
      </c>
      <c r="S13" s="62" t="str">
        <f>IFERROR(VLOOKUP(MID(N13,Q13,R13-Q13),[5]skilldef!$C:$D,2,FALSE),"-") &amp; " / " &amp; IFERROR(VLOOKUP(MID(N13,O13,P13-O13),[5]skilldef!$A:$B,2,FALSE),"-")</f>
        <v>- / -</v>
      </c>
      <c r="T13" s="48" t="str">
        <f t="shared" si="10"/>
        <v>[effect:change_range_block, block_change:1, base_type:0, square_count:2, position01:1, value_h01:2, value_w01:1, new_block:block_yellow, target:block_all, ignore01:block_positive, count:0, val:0, animation:change_range_block],[effect:damage_abnormal, target:unit_one, val:0.45, status:hungup, turn:1, animation:hungup01],[effect:damage_abnormal, target:unit_one, val:0.45, status:hungup, turn:1, animation:hungup01]</v>
      </c>
      <c r="U13" s="62">
        <f t="shared" si="11"/>
        <v>9</v>
      </c>
      <c r="V13" s="62">
        <f t="shared" si="12"/>
        <v>27</v>
      </c>
      <c r="W13" s="62">
        <f t="shared" si="13"/>
        <v>145</v>
      </c>
      <c r="X13" s="62">
        <f t="shared" si="14"/>
        <v>43</v>
      </c>
      <c r="Y13" s="62" t="str">
        <f>IFERROR(VLOOKUP(MID(T13,W13,X13-W13),[5]skilldef!$C:$D,2,FALSE),"-") &amp; " / " &amp; IFERROR(VLOOKUP(MID(T13,U13,V13-U13),[5]skilldef!$A:$B,2,FALSE),"-")</f>
        <v>- / -</v>
      </c>
      <c r="Z13" s="50"/>
      <c r="AA13" s="52"/>
      <c r="AB13" s="50"/>
      <c r="AC13" s="49" t="s">
        <v>268</v>
      </c>
      <c r="AE13" s="108"/>
      <c r="AH13" s="49" t="s">
        <v>309</v>
      </c>
    </row>
    <row r="14" spans="1:34" ht="34" customHeight="1" x14ac:dyDescent="0.15">
      <c r="A14" s="110">
        <v>47016113</v>
      </c>
      <c r="B14" s="116" t="s">
        <v>462</v>
      </c>
      <c r="C14" s="50">
        <v>3</v>
      </c>
      <c r="D14" s="50" t="s">
        <v>127</v>
      </c>
      <c r="E14" s="113" t="s">
        <v>412</v>
      </c>
      <c r="F14" s="51" t="s">
        <v>413</v>
      </c>
      <c r="G14" s="62" t="str">
        <f t="shared" si="0"/>
        <v>[effect:enemy_message, val1:1.4, val2:3.2]</v>
      </c>
      <c r="H14" s="62">
        <f t="shared" si="1"/>
        <v>9</v>
      </c>
      <c r="I14" s="62">
        <f t="shared" si="2"/>
        <v>22</v>
      </c>
      <c r="J14" s="62" t="e">
        <f t="shared" si="3"/>
        <v>#VALUE!</v>
      </c>
      <c r="K14" s="62">
        <f t="shared" si="4"/>
        <v>32</v>
      </c>
      <c r="L14" s="62" t="str">
        <f>IFERROR(VLOOKUP(MID(G14,J14,K14-J14),[5]skilldef!$C:$D,2,FALSE),"-") &amp; " / " &amp; IFERROR(VLOOKUP(MID(G14,H14,I14-H14),[5]skilldef!$A:$B,2,FALSE),"-")</f>
        <v>- / -</v>
      </c>
      <c r="M14" s="62" t="str">
        <f t="shared" si="5"/>
        <v>[effect:change_range_block, block_change:1, base_type:0, square_count:5, position01:6, value_h01:4.0, value_w01:3.0, new_block:block_heart, target:normal, count:0, val:0, animation:change_range_block]</v>
      </c>
      <c r="N14" s="48" t="str">
        <f t="shared" si="16"/>
        <v>[effect:change_range_block, block_change:1, base_type:0, square_count:5, position01:6, value_h01:4.0, value_w01:3.0, new_block:block_heart, target:normal, count:0, val:0, animation:change_range_block]</v>
      </c>
      <c r="O14" s="62">
        <f t="shared" si="6"/>
        <v>9</v>
      </c>
      <c r="P14" s="62">
        <f t="shared" si="7"/>
        <v>27</v>
      </c>
      <c r="Q14" s="62">
        <f t="shared" si="8"/>
        <v>148</v>
      </c>
      <c r="R14" s="62">
        <f t="shared" si="9"/>
        <v>43</v>
      </c>
      <c r="S14" s="62" t="str">
        <f>IFERROR(VLOOKUP(MID(N14,Q14,R14-Q14),[5]skilldef!$C:$D,2,FALSE),"-") &amp; " / " &amp; IFERROR(VLOOKUP(MID(N14,O14,P14-O14),[5]skilldef!$A:$B,2,FALSE),"-")</f>
        <v>- / -</v>
      </c>
      <c r="T14" s="48" t="str">
        <f t="shared" si="10"/>
        <v>none</v>
      </c>
      <c r="U14" s="62" t="e">
        <f t="shared" si="11"/>
        <v>#VALUE!</v>
      </c>
      <c r="V14" s="62">
        <f t="shared" si="12"/>
        <v>4</v>
      </c>
      <c r="W14" s="62" t="e">
        <f t="shared" si="13"/>
        <v>#VALUE!</v>
      </c>
      <c r="X14" s="62" t="e">
        <f t="shared" si="14"/>
        <v>#VALUE!</v>
      </c>
      <c r="Y14" s="62" t="str">
        <f>IFERROR(VLOOKUP(MID(T14,W14,X14-W14),[5]skilldef!$C:$D,2,FALSE),"-") &amp; " / " &amp; IFERROR(VLOOKUP(MID(T14,U14,V14-U14),[5]skilldef!$A:$B,2,FALSE),"-")</f>
        <v>- / -</v>
      </c>
      <c r="Z14" s="50"/>
      <c r="AA14" s="52"/>
      <c r="AB14" s="50"/>
      <c r="AC14" s="49" t="s">
        <v>269</v>
      </c>
      <c r="AE14" s="108"/>
      <c r="AH14" s="49" t="s">
        <v>309</v>
      </c>
    </row>
    <row r="15" spans="1:34" ht="31" customHeight="1" x14ac:dyDescent="0.15">
      <c r="A15" s="110">
        <v>47016114</v>
      </c>
      <c r="B15" s="116" t="s">
        <v>528</v>
      </c>
      <c r="C15" s="50">
        <v>3</v>
      </c>
      <c r="D15" s="50" t="s">
        <v>127</v>
      </c>
      <c r="E15" s="51" t="s">
        <v>414</v>
      </c>
      <c r="F15" s="51" t="s">
        <v>415</v>
      </c>
      <c r="G15" s="62" t="str">
        <f t="shared" si="0"/>
        <v>[effect:enemy_message, val1:1.5, val2:1.4]</v>
      </c>
      <c r="H15" s="62">
        <f t="shared" si="1"/>
        <v>9</v>
      </c>
      <c r="I15" s="62">
        <f t="shared" si="2"/>
        <v>22</v>
      </c>
      <c r="J15" s="62" t="e">
        <f t="shared" si="3"/>
        <v>#VALUE!</v>
      </c>
      <c r="K15" s="62">
        <f t="shared" si="4"/>
        <v>32</v>
      </c>
      <c r="L15" s="62" t="str">
        <f>IFERROR(VLOOKUP(MID(G15,J15,K15-J15),[5]skilldef!$C:$D,2,FALSE),"-") &amp; " / " &amp; IFERROR(VLOOKUP(MID(G15,H15,I15-H15),[5]skilldef!$A:$B,2,FALSE),"-")</f>
        <v>- / -</v>
      </c>
      <c r="M15" s="62" t="str">
        <f t="shared" si="5"/>
        <v>[effect:panel_freeze, target:normal, color:block_blue, count:-1],[effect:rush, count:1, val:0.7]</v>
      </c>
      <c r="N15" s="48" t="str">
        <f t="shared" si="16"/>
        <v>[effect:panel_freeze, target:normal, color:block_blue, count:-1],[effect:rush, count:1, val:0.7]</v>
      </c>
      <c r="O15" s="62">
        <f t="shared" si="6"/>
        <v>9</v>
      </c>
      <c r="P15" s="62">
        <f t="shared" si="7"/>
        <v>21</v>
      </c>
      <c r="Q15" s="62">
        <f t="shared" si="8"/>
        <v>30</v>
      </c>
      <c r="R15" s="62">
        <f t="shared" si="9"/>
        <v>36</v>
      </c>
      <c r="S15" s="62" t="str">
        <f>IFERROR(VLOOKUP(MID(N15,Q15,R15-Q15),[5]skilldef!$C:$D,2,FALSE),"-") &amp; " / " &amp; IFERROR(VLOOKUP(MID(N15,O15,P15-O15),[5]skilldef!$A:$B,2,FALSE),"-")</f>
        <v>- / -</v>
      </c>
      <c r="T15" s="48" t="str">
        <f t="shared" si="10"/>
        <v>[effect:rush, count:1, val:0.7]</v>
      </c>
      <c r="U15" s="62">
        <f t="shared" si="11"/>
        <v>9</v>
      </c>
      <c r="V15" s="62">
        <f t="shared" si="12"/>
        <v>13</v>
      </c>
      <c r="W15" s="62" t="e">
        <f t="shared" si="13"/>
        <v>#VALUE!</v>
      </c>
      <c r="X15" s="62">
        <f t="shared" si="14"/>
        <v>22</v>
      </c>
      <c r="Y15" s="62" t="str">
        <f>IFERROR(VLOOKUP(MID(T15,W15,X15-W15),[5]skilldef!$C:$D,2,FALSE),"-") &amp; " / " &amp; IFERROR(VLOOKUP(MID(T15,U15,V15-U15),[5]skilldef!$A:$B,2,FALSE),"-")</f>
        <v>- / 連続攻撃</v>
      </c>
      <c r="Z15" s="50"/>
      <c r="AA15" s="52"/>
      <c r="AB15" s="50"/>
      <c r="AC15" s="49" t="s">
        <v>270</v>
      </c>
    </row>
    <row r="16" spans="1:34" ht="21" customHeight="1" x14ac:dyDescent="0.15">
      <c r="A16" s="110">
        <v>47016115</v>
      </c>
      <c r="B16" s="116" t="s">
        <v>463</v>
      </c>
      <c r="C16" s="50">
        <v>3</v>
      </c>
      <c r="D16" s="50" t="s">
        <v>127</v>
      </c>
      <c r="E16" s="51" t="s">
        <v>416</v>
      </c>
      <c r="F16" s="51" t="s">
        <v>417</v>
      </c>
      <c r="G16" s="62" t="str">
        <f t="shared" si="0"/>
        <v>[effect:enemy_message, val1:1.2, val2:1.2]</v>
      </c>
      <c r="H16" s="62">
        <f t="shared" si="1"/>
        <v>9</v>
      </c>
      <c r="I16" s="62">
        <f t="shared" si="2"/>
        <v>22</v>
      </c>
      <c r="J16" s="62" t="e">
        <f t="shared" si="3"/>
        <v>#VALUE!</v>
      </c>
      <c r="K16" s="62">
        <f t="shared" si="4"/>
        <v>32</v>
      </c>
      <c r="L16" s="62" t="str">
        <f>IFERROR(VLOOKUP(MID(G16,J16,K16-J16),[5]skilldef!$C:$D,2,FALSE),"-") &amp; " / " &amp; IFERROR(VLOOKUP(MID(G16,H16,I16-H16),[5]skilldef!$A:$B,2,FALSE),"-")</f>
        <v>- / -</v>
      </c>
      <c r="M16" s="62" t="str">
        <f t="shared" si="5"/>
        <v>[effect:rush, count:4, val:0.2]</v>
      </c>
      <c r="N16" s="48" t="str">
        <f t="shared" si="16"/>
        <v>[effect:rush, count:4, val:0.2]</v>
      </c>
      <c r="O16" s="62">
        <f t="shared" si="6"/>
        <v>9</v>
      </c>
      <c r="P16" s="62">
        <f t="shared" si="7"/>
        <v>13</v>
      </c>
      <c r="Q16" s="62" t="e">
        <f t="shared" si="8"/>
        <v>#VALUE!</v>
      </c>
      <c r="R16" s="62">
        <f t="shared" si="9"/>
        <v>22</v>
      </c>
      <c r="S16" s="62" t="str">
        <f>IFERROR(VLOOKUP(MID(N16,Q16,R16-Q16),[5]skilldef!$C:$D,2,FALSE),"-") &amp; " / " &amp; IFERROR(VLOOKUP(MID(N16,O16,P16-O16),[5]skilldef!$A:$B,2,FALSE),"-")</f>
        <v>- / 連続攻撃</v>
      </c>
      <c r="T16" s="48" t="str">
        <f t="shared" si="10"/>
        <v>none</v>
      </c>
      <c r="U16" s="62" t="e">
        <f t="shared" si="11"/>
        <v>#VALUE!</v>
      </c>
      <c r="V16" s="62">
        <f t="shared" si="12"/>
        <v>4</v>
      </c>
      <c r="W16" s="62" t="e">
        <f t="shared" si="13"/>
        <v>#VALUE!</v>
      </c>
      <c r="X16" s="62" t="e">
        <f t="shared" si="14"/>
        <v>#VALUE!</v>
      </c>
      <c r="Y16" s="62" t="str">
        <f>IFERROR(VLOOKUP(MID(T16,W16,X16-W16),[5]skilldef!$C:$D,2,FALSE),"-") &amp; " / " &amp; IFERROR(VLOOKUP(MID(T16,U16,V16-U16),[5]skilldef!$A:$B,2,FALSE),"-")</f>
        <v>- / -</v>
      </c>
      <c r="Z16" s="50"/>
      <c r="AA16" s="52"/>
      <c r="AB16" s="50"/>
      <c r="AC16" s="49" t="s">
        <v>271</v>
      </c>
      <c r="AE16" s="108"/>
      <c r="AH16" s="49" t="s">
        <v>309</v>
      </c>
    </row>
    <row r="17" spans="1:34" ht="31" customHeight="1" x14ac:dyDescent="0.15">
      <c r="A17" s="107">
        <v>47016116</v>
      </c>
      <c r="B17" s="116" t="s">
        <v>464</v>
      </c>
      <c r="C17" s="50">
        <v>3</v>
      </c>
      <c r="D17" s="50" t="s">
        <v>127</v>
      </c>
      <c r="E17" s="51" t="s">
        <v>418</v>
      </c>
      <c r="F17" s="51" t="s">
        <v>385</v>
      </c>
      <c r="G17" s="62" t="str">
        <f t="shared" si="0"/>
        <v>[effect:enemy_message, val1:1.8, val2:1.7]</v>
      </c>
      <c r="H17" s="62">
        <f t="shared" si="1"/>
        <v>9</v>
      </c>
      <c r="I17" s="62">
        <f t="shared" si="2"/>
        <v>22</v>
      </c>
      <c r="J17" s="62" t="e">
        <f t="shared" si="3"/>
        <v>#VALUE!</v>
      </c>
      <c r="K17" s="62">
        <f t="shared" si="4"/>
        <v>32</v>
      </c>
      <c r="L17" s="62" t="str">
        <f>IFERROR(VLOOKUP(MID(G17,J17,K17-J17),[5]skilldef!$C:$D,2,FALSE),"-") &amp; " / " &amp; IFERROR(VLOOKUP(MID(G17,H17,I17-H17),[5]skilldef!$A:$B,2,FALSE),"-")</f>
        <v>- / -</v>
      </c>
      <c r="M17" s="62" t="str">
        <f t="shared" si="5"/>
        <v>[effect:crash_condition, target:unit_all, turn:4, val:-2, animation:crash_panel_reduce03],[effect:fix_speed, target:myself, turn:1]</v>
      </c>
      <c r="N17" s="48" t="str">
        <f t="shared" si="16"/>
        <v>[effect:crash_condition, target:unit_all, turn:4, val:-2, animation:crash_panel_reduce03],[effect:fix_speed, target:myself, turn:1]</v>
      </c>
      <c r="O17" s="62">
        <f t="shared" si="6"/>
        <v>9</v>
      </c>
      <c r="P17" s="62">
        <f t="shared" si="7"/>
        <v>24</v>
      </c>
      <c r="Q17" s="62">
        <f t="shared" si="8"/>
        <v>33</v>
      </c>
      <c r="R17" s="62">
        <f t="shared" si="9"/>
        <v>41</v>
      </c>
      <c r="S17" s="62" t="str">
        <f>IFERROR(VLOOKUP(MID(N17,Q17,R17-Q17),[5]skilldef!$C:$D,2,FALSE),"-") &amp; " / " &amp; IFERROR(VLOOKUP(MID(N17,O17,P17-O17),[5]skilldef!$A:$B,2,FALSE),"-")</f>
        <v>味方全体に / -</v>
      </c>
      <c r="T17" s="48" t="str">
        <f t="shared" si="10"/>
        <v>[effect:fix_speed, target:myself, turn:1]</v>
      </c>
      <c r="U17" s="62">
        <f t="shared" si="11"/>
        <v>9</v>
      </c>
      <c r="V17" s="62">
        <f t="shared" si="12"/>
        <v>18</v>
      </c>
      <c r="W17" s="62">
        <f t="shared" si="13"/>
        <v>27</v>
      </c>
      <c r="X17" s="62">
        <f t="shared" si="14"/>
        <v>33</v>
      </c>
      <c r="Y17" s="62" t="str">
        <f>IFERROR(VLOOKUP(MID(T17,W17,X17-W17),[5]skilldef!$C:$D,2,FALSE),"-") &amp; " / " &amp; IFERROR(VLOOKUP(MID(T17,U17,V17-U17),[5]skilldef!$A:$B,2,FALSE),"-")</f>
        <v>自分自身に / 行動値設定</v>
      </c>
      <c r="Z17" s="50"/>
      <c r="AA17" s="52"/>
      <c r="AB17" s="50"/>
      <c r="AC17" s="49" t="s">
        <v>275</v>
      </c>
      <c r="AE17" s="108"/>
      <c r="AG17" s="49" t="s">
        <v>281</v>
      </c>
      <c r="AH17" s="49" t="s">
        <v>309</v>
      </c>
    </row>
    <row r="18" spans="1:34" ht="37" customHeight="1" x14ac:dyDescent="0.15">
      <c r="A18" s="107">
        <v>47016117</v>
      </c>
      <c r="B18" s="116" t="s">
        <v>465</v>
      </c>
      <c r="C18" s="50">
        <v>3</v>
      </c>
      <c r="D18" s="50" t="s">
        <v>127</v>
      </c>
      <c r="E18" s="51" t="s">
        <v>419</v>
      </c>
      <c r="F18" s="51" t="s">
        <v>496</v>
      </c>
      <c r="G18" s="62" t="str">
        <f t="shared" si="0"/>
        <v>[effect:enemy_message, val1:1.6, val2:1.6]</v>
      </c>
      <c r="H18" s="62">
        <f t="shared" si="1"/>
        <v>9</v>
      </c>
      <c r="I18" s="62">
        <f t="shared" si="2"/>
        <v>22</v>
      </c>
      <c r="J18" s="62" t="e">
        <f t="shared" si="3"/>
        <v>#VALUE!</v>
      </c>
      <c r="K18" s="62">
        <f t="shared" si="4"/>
        <v>32</v>
      </c>
      <c r="L18" s="62" t="str">
        <f>IFERROR(VLOOKUP(MID(G18,J18,K18-J18),[5]skilldef!$C:$D,2,FALSE),"-") &amp; " / " &amp; IFERROR(VLOOKUP(MID(G18,H18,I18-H18),[5]skilldef!$A:$B,2,FALSE),"-")</f>
        <v>- / -</v>
      </c>
      <c r="M18" s="62" t="str">
        <f t="shared" si="5"/>
        <v>[effect:fix_speed, target:myself, turn:1]</v>
      </c>
      <c r="N18" s="48" t="str">
        <f>IFERROR(LEFT(M18,FIND("],",M18)+#REF!),M18)</f>
        <v>[effect:fix_speed, target:myself, turn:1]</v>
      </c>
      <c r="O18" s="62">
        <f t="shared" si="6"/>
        <v>9</v>
      </c>
      <c r="P18" s="62">
        <f t="shared" si="7"/>
        <v>18</v>
      </c>
      <c r="Q18" s="62">
        <f t="shared" si="8"/>
        <v>27</v>
      </c>
      <c r="R18" s="62">
        <f t="shared" si="9"/>
        <v>33</v>
      </c>
      <c r="S18" s="62" t="str">
        <f>IFERROR(VLOOKUP(MID(N18,Q18,R18-Q18),[5]skilldef!$C:$D,2,FALSE),"-") &amp; " / " &amp; IFERROR(VLOOKUP(MID(N18,O18,P18-O18),[5]skilldef!$A:$B,2,FALSE),"-")</f>
        <v>自分自身に / 行動値設定</v>
      </c>
      <c r="T18" s="48" t="str">
        <f t="shared" si="10"/>
        <v>none</v>
      </c>
      <c r="U18" s="62" t="e">
        <f t="shared" si="11"/>
        <v>#VALUE!</v>
      </c>
      <c r="V18" s="62">
        <f t="shared" si="12"/>
        <v>4</v>
      </c>
      <c r="W18" s="62" t="e">
        <f t="shared" si="13"/>
        <v>#VALUE!</v>
      </c>
      <c r="X18" s="62" t="e">
        <f t="shared" si="14"/>
        <v>#VALUE!</v>
      </c>
      <c r="Y18" s="62" t="str">
        <f>IFERROR(VLOOKUP(MID(T18,W18,X18-W18),[5]skilldef!$C:$D,2,FALSE),"-") &amp; " / " &amp; IFERROR(VLOOKUP(MID(T18,U18,V18-U18),[5]skilldef!$A:$B,2,FALSE),"-")</f>
        <v>- / -</v>
      </c>
      <c r="Z18" s="50"/>
      <c r="AA18" s="52"/>
      <c r="AB18" s="50"/>
      <c r="AC18" s="49" t="s">
        <v>274</v>
      </c>
    </row>
    <row r="19" spans="1:34" ht="35" customHeight="1" x14ac:dyDescent="0.15">
      <c r="A19" s="107">
        <v>47016118</v>
      </c>
      <c r="B19" s="116" t="s">
        <v>466</v>
      </c>
      <c r="C19" s="50">
        <v>3</v>
      </c>
      <c r="D19" s="50" t="s">
        <v>127</v>
      </c>
      <c r="E19" s="51" t="s">
        <v>420</v>
      </c>
      <c r="F19" s="51" t="s">
        <v>421</v>
      </c>
      <c r="G19" s="62" t="str">
        <f t="shared" si="0"/>
        <v>[effect:enemy_message, val1:1.2, val2:3.7]</v>
      </c>
      <c r="H19" s="62">
        <f t="shared" si="1"/>
        <v>9</v>
      </c>
      <c r="I19" s="62">
        <f t="shared" si="2"/>
        <v>22</v>
      </c>
      <c r="J19" s="62" t="e">
        <f t="shared" si="3"/>
        <v>#VALUE!</v>
      </c>
      <c r="K19" s="62">
        <f t="shared" si="4"/>
        <v>32</v>
      </c>
      <c r="L19" s="62" t="str">
        <f>IFERROR(VLOOKUP(MID(G19,J19,K19-J19),[5]skilldef!$C:$D,2,FALSE),"-") &amp; " / " &amp; IFERROR(VLOOKUP(MID(G19,H19,I19-H19),[5]skilldef!$A:$B,2,FALSE),"-")</f>
        <v>- / -</v>
      </c>
      <c r="M19" s="62" t="str">
        <f t="shared" si="5"/>
        <v>[effect:fix_speed, target:myself, turn:1],[effect:break_enchance_enemy, target:myself, val:500, lowest_val:0, count:-1, status:defense, turn:3, block01:block_yellow, calc:add, animation:enemy_enhance_defense]</v>
      </c>
      <c r="N19" s="48" t="str">
        <f t="shared" ref="N19:N26" si="17">IFERROR(LEFT(M19,FIND("],",M19)+S28),M19)</f>
        <v>[effect:fix_speed, target:myself, turn:1],[effect:break_enchance_enemy, target:myself, val:500, lowest_val:0, count:-1, status:defense, turn:3, block01:block_yellow, calc:add, animation:enemy_enhance_defense]</v>
      </c>
      <c r="O19" s="62">
        <f t="shared" si="6"/>
        <v>9</v>
      </c>
      <c r="P19" s="62">
        <f t="shared" si="7"/>
        <v>18</v>
      </c>
      <c r="Q19" s="62">
        <f t="shared" si="8"/>
        <v>27</v>
      </c>
      <c r="R19" s="62">
        <f t="shared" si="9"/>
        <v>33</v>
      </c>
      <c r="S19" s="62" t="str">
        <f>IFERROR(VLOOKUP(MID(N19,Q19,R19-Q19),[5]skilldef!$C:$D,2,FALSE),"-") &amp; " / " &amp; IFERROR(VLOOKUP(MID(N19,O19,P19-O19),[5]skilldef!$A:$B,2,FALSE),"-")</f>
        <v>自分自身に / 行動値設定</v>
      </c>
      <c r="T19" s="48" t="str">
        <f t="shared" si="10"/>
        <v>[effect:break_enchance_enemy, target:myself, val:500, lowest_val:0, count:-1, status:defense, turn:3, block01:block_yellow, calc:add, animation:enemy_enhance_defense]</v>
      </c>
      <c r="U19" s="62">
        <f t="shared" si="11"/>
        <v>9</v>
      </c>
      <c r="V19" s="62">
        <f t="shared" si="12"/>
        <v>29</v>
      </c>
      <c r="W19" s="62">
        <f t="shared" si="13"/>
        <v>38</v>
      </c>
      <c r="X19" s="62">
        <f t="shared" si="14"/>
        <v>44</v>
      </c>
      <c r="Y19" s="62" t="str">
        <f>IFERROR(VLOOKUP(MID(T19,W19,X19-W19),[5]skilldef!$C:$D,2,FALSE),"-") &amp; " / " &amp; IFERROR(VLOOKUP(MID(T19,U19,V19-U19),[5]skilldef!$A:$B,2,FALSE),"-")</f>
        <v>自分自身に / -</v>
      </c>
      <c r="Z19" s="50"/>
      <c r="AA19" s="52"/>
      <c r="AB19" s="50"/>
      <c r="AC19" s="49" t="s">
        <v>276</v>
      </c>
    </row>
    <row r="20" spans="1:34" ht="30" customHeight="1" x14ac:dyDescent="0.15">
      <c r="A20" s="107">
        <v>47016119</v>
      </c>
      <c r="B20" s="116" t="s">
        <v>467</v>
      </c>
      <c r="C20" s="50">
        <v>3</v>
      </c>
      <c r="D20" s="50" t="s">
        <v>127</v>
      </c>
      <c r="E20" s="51" t="s">
        <v>422</v>
      </c>
      <c r="F20" s="51" t="s">
        <v>423</v>
      </c>
      <c r="G20" s="62" t="str">
        <f t="shared" si="0"/>
        <v>[effect:enemy_message, val1:1.2, val2:3.0]</v>
      </c>
      <c r="H20" s="62">
        <f t="shared" si="1"/>
        <v>9</v>
      </c>
      <c r="I20" s="62">
        <f t="shared" si="2"/>
        <v>22</v>
      </c>
      <c r="J20" s="62" t="e">
        <f t="shared" si="3"/>
        <v>#VALUE!</v>
      </c>
      <c r="K20" s="62">
        <f t="shared" si="4"/>
        <v>32</v>
      </c>
      <c r="L20" s="62" t="str">
        <f>IFERROR(VLOOKUP(MID(G20,J20,K20-J20),[5]skilldef!$C:$D,2,FALSE),"-") &amp; " / " &amp; IFERROR(VLOOKUP(MID(G20,H20,I20-H20),[5]skilldef!$A:$B,2,FALSE),"-")</f>
        <v>- / -</v>
      </c>
      <c r="M20" s="62" t="str">
        <f t="shared" si="5"/>
        <v>[effect:attack_break, target:unit_all, turn:3, val:0.5, calc:mul, animation:attack_break02],[effect:panel_freeze, target:crash, count:-1]</v>
      </c>
      <c r="N20" s="48" t="str">
        <f t="shared" si="17"/>
        <v>[effect:attack_break, target:unit_all, turn:3, val:0.5, calc:mul, animation:attack_break02],[effect:panel_freeze, target:crash, count:-1]</v>
      </c>
      <c r="O20" s="62">
        <f t="shared" si="6"/>
        <v>9</v>
      </c>
      <c r="P20" s="62">
        <f t="shared" si="7"/>
        <v>21</v>
      </c>
      <c r="Q20" s="62">
        <f t="shared" si="8"/>
        <v>30</v>
      </c>
      <c r="R20" s="62">
        <f t="shared" si="9"/>
        <v>38</v>
      </c>
      <c r="S20" s="62" t="str">
        <f>IFERROR(VLOOKUP(MID(N20,Q20,R20-Q20),[5]skilldef!$C:$D,2,FALSE),"-") &amp; " / " &amp; IFERROR(VLOOKUP(MID(N20,O20,P20-O20),[5]skilldef!$A:$B,2,FALSE),"-")</f>
        <v>味方全体に / -</v>
      </c>
      <c r="T20" s="48" t="str">
        <f t="shared" si="10"/>
        <v>[effect:panel_freeze, target:crash, count:-1]</v>
      </c>
      <c r="U20" s="62">
        <f t="shared" si="11"/>
        <v>9</v>
      </c>
      <c r="V20" s="62">
        <f t="shared" si="12"/>
        <v>21</v>
      </c>
      <c r="W20" s="62">
        <f t="shared" si="13"/>
        <v>30</v>
      </c>
      <c r="X20" s="62">
        <f t="shared" si="14"/>
        <v>35</v>
      </c>
      <c r="Y20" s="62" t="str">
        <f>IFERROR(VLOOKUP(MID(T20,W20,X20-W20),[5]skilldef!$C:$D,2,FALSE),"-") &amp; " / " &amp; IFERROR(VLOOKUP(MID(T20,U20,V20-U20),[5]skilldef!$A:$B,2,FALSE),"-")</f>
        <v>- / -</v>
      </c>
      <c r="Z20" s="50"/>
      <c r="AA20" s="52"/>
      <c r="AB20" s="50"/>
      <c r="AC20" s="49" t="s">
        <v>277</v>
      </c>
      <c r="AH20" s="49" t="s">
        <v>309</v>
      </c>
    </row>
    <row r="21" spans="1:34" ht="51" customHeight="1" x14ac:dyDescent="0.15">
      <c r="A21" s="107">
        <v>47016120</v>
      </c>
      <c r="B21" s="116" t="s">
        <v>468</v>
      </c>
      <c r="C21" s="50">
        <v>3</v>
      </c>
      <c r="D21" s="50" t="s">
        <v>127</v>
      </c>
      <c r="E21" s="113" t="s">
        <v>424</v>
      </c>
      <c r="F21" s="51" t="s">
        <v>425</v>
      </c>
      <c r="G21" s="62" t="str">
        <f t="shared" si="0"/>
        <v>[effect:enemy_message, val1:1.3, val2:2.6]</v>
      </c>
      <c r="H21" s="62">
        <f t="shared" si="1"/>
        <v>9</v>
      </c>
      <c r="I21" s="62">
        <f t="shared" si="2"/>
        <v>22</v>
      </c>
      <c r="J21" s="62" t="e">
        <f t="shared" si="3"/>
        <v>#VALUE!</v>
      </c>
      <c r="K21" s="62">
        <f t="shared" si="4"/>
        <v>32</v>
      </c>
      <c r="L21" s="62" t="str">
        <f>IFERROR(VLOOKUP(MID(G21,J21,K21-J21),[5]skilldef!$C:$D,2,FALSE),"-") &amp; " / " &amp; IFERROR(VLOOKUP(MID(G21,H21,I21-H21),[5]skilldef!$A:$B,2,FALSE),"-")</f>
        <v>- / -</v>
      </c>
      <c r="M21" s="62" t="str">
        <f t="shared" si="5"/>
        <v>[effect:change_range_block, block_change:1, base_type:0, square_count:5, position01:6, value_h01:4.0, value_w01:3.0, new_block:block_heart, target:normal, count:0, val:0, animation:change_range_block],[effect:change_range_block, block_change:1, base_type:0, square_count:5, position01:12, value_h01:2, value_w01:1, new_block:block_yellow, target:normal, ignore01:block_positive, count:0, val:0, animation:change_range_block]</v>
      </c>
      <c r="N21" s="48" t="str">
        <f t="shared" si="17"/>
        <v>[effect:change_range_block, block_change:1, base_type:0, square_count:5, position01:6, value_h01:4.0, value_w01:3.0, new_block:block_heart, target:normal, count:0, val:0, animation:change_range_block],[effect:change_range_block, block_change:1, base_type:0, square_count:5, position01:12, value_h01:2, value_w01:1, new_block:block_yellow, target:normal, ignore01:block_positive, count:0, val:0, animation:change_range_block]</v>
      </c>
      <c r="O21" s="62">
        <f t="shared" si="6"/>
        <v>9</v>
      </c>
      <c r="P21" s="62">
        <f t="shared" si="7"/>
        <v>27</v>
      </c>
      <c r="Q21" s="62">
        <f t="shared" si="8"/>
        <v>148</v>
      </c>
      <c r="R21" s="62">
        <f t="shared" si="9"/>
        <v>43</v>
      </c>
      <c r="S21" s="62" t="str">
        <f>IFERROR(VLOOKUP(MID(N21,Q21,R21-Q21),[5]skilldef!$C:$D,2,FALSE),"-") &amp; " / " &amp; IFERROR(VLOOKUP(MID(N21,O21,P21-O21),[5]skilldef!$A:$B,2,FALSE),"-")</f>
        <v>- / -</v>
      </c>
      <c r="T21" s="48" t="str">
        <f t="shared" si="10"/>
        <v>[effect:change_range_block, block_change:1, base_type:0, square_count:5, position01:12, value_h01:2, value_w01:1, new_block:block_yellow, target:normal, ignore01:block_positive, count:0, val:0, animation:change_range_block]</v>
      </c>
      <c r="U21" s="62">
        <f t="shared" si="11"/>
        <v>9</v>
      </c>
      <c r="V21" s="62">
        <f t="shared" si="12"/>
        <v>27</v>
      </c>
      <c r="W21" s="62">
        <f t="shared" si="13"/>
        <v>146</v>
      </c>
      <c r="X21" s="62">
        <f t="shared" si="14"/>
        <v>43</v>
      </c>
      <c r="Y21" s="62" t="str">
        <f>IFERROR(VLOOKUP(MID(T21,W21,X21-W21),[5]skilldef!$C:$D,2,FALSE),"-") &amp; " / " &amp; IFERROR(VLOOKUP(MID(T21,U21,V21-U21),[5]skilldef!$A:$B,2,FALSE),"-")</f>
        <v>- / -</v>
      </c>
      <c r="Z21" s="50"/>
      <c r="AA21" s="52"/>
      <c r="AB21" s="50"/>
      <c r="AC21" s="49" t="s">
        <v>269</v>
      </c>
      <c r="AH21" s="49" t="s">
        <v>309</v>
      </c>
    </row>
    <row r="22" spans="1:34" ht="21" customHeight="1" x14ac:dyDescent="0.15">
      <c r="A22" s="107">
        <v>47016122</v>
      </c>
      <c r="B22" s="116" t="s">
        <v>529</v>
      </c>
      <c r="C22" s="50">
        <v>3</v>
      </c>
      <c r="D22" s="50" t="s">
        <v>198</v>
      </c>
      <c r="E22" s="51" t="s">
        <v>426</v>
      </c>
      <c r="F22" s="51" t="s">
        <v>365</v>
      </c>
      <c r="G22" s="62" t="str">
        <f t="shared" si="0"/>
        <v>[effect:enemy_message, val1:1.2, val2:2.3]</v>
      </c>
      <c r="H22" s="62">
        <f t="shared" si="1"/>
        <v>9</v>
      </c>
      <c r="I22" s="62">
        <f t="shared" si="2"/>
        <v>22</v>
      </c>
      <c r="J22" s="62" t="e">
        <f t="shared" si="3"/>
        <v>#VALUE!</v>
      </c>
      <c r="K22" s="62">
        <f t="shared" si="4"/>
        <v>32</v>
      </c>
      <c r="L22" s="62" t="str">
        <f>IFERROR(VLOOKUP(MID(G22,J22,K22-J22),[5]skilldef!$C:$D,2,FALSE),"-") &amp; " / " &amp; IFERROR(VLOOKUP(MID(G22,H22,I22-H22),[5]skilldef!$A:$B,2,FALSE),"-")</f>
        <v>- / -</v>
      </c>
      <c r="M22" s="62" t="str">
        <f t="shared" si="5"/>
        <v>[effect:panel_freeze, target:normal, color:block_yellow, count:8],[effect:critical, val:1.2, animation:enemy_critical]</v>
      </c>
      <c r="N22" s="48" t="str">
        <f t="shared" si="17"/>
        <v>[effect:panel_freeze, target:normal, color:block_yellow, count:8],[effect:critical, val:1.2, animation:enemy_critical]</v>
      </c>
      <c r="O22" s="62">
        <f t="shared" si="6"/>
        <v>9</v>
      </c>
      <c r="P22" s="62">
        <f t="shared" si="7"/>
        <v>21</v>
      </c>
      <c r="Q22" s="62">
        <f t="shared" si="8"/>
        <v>30</v>
      </c>
      <c r="R22" s="62">
        <f t="shared" si="9"/>
        <v>36</v>
      </c>
      <c r="S22" s="62" t="str">
        <f>IFERROR(VLOOKUP(MID(N22,Q22,R22-Q22),[5]skilldef!$C:$D,2,FALSE),"-") &amp; " / " &amp; IFERROR(VLOOKUP(MID(N22,O22,P22-O22),[5]skilldef!$A:$B,2,FALSE),"-")</f>
        <v>- / -</v>
      </c>
      <c r="T22" s="48" t="str">
        <f t="shared" si="10"/>
        <v>[effect:critical, val:1.2, animation:enemy_critical]</v>
      </c>
      <c r="U22" s="62">
        <f t="shared" si="11"/>
        <v>9</v>
      </c>
      <c r="V22" s="62">
        <f t="shared" si="12"/>
        <v>17</v>
      </c>
      <c r="W22" s="62" t="e">
        <f t="shared" si="13"/>
        <v>#VALUE!</v>
      </c>
      <c r="X22" s="62">
        <f t="shared" si="14"/>
        <v>26</v>
      </c>
      <c r="Y22" s="62" t="str">
        <f>IFERROR(VLOOKUP(MID(T22,W22,X22-W22),[5]skilldef!$C:$D,2,FALSE),"-") &amp; " / " &amp; IFERROR(VLOOKUP(MID(T22,U22,V22-U22),[5]skilldef!$A:$B,2,FALSE),"-")</f>
        <v>- / 大攻撃</v>
      </c>
      <c r="Z22" s="50"/>
      <c r="AA22" s="52"/>
      <c r="AB22" s="50"/>
      <c r="AC22" s="49" t="s">
        <v>278</v>
      </c>
      <c r="AH22" s="49" t="s">
        <v>309</v>
      </c>
    </row>
    <row r="23" spans="1:34" ht="21" customHeight="1" x14ac:dyDescent="0.15">
      <c r="A23" s="107">
        <v>47016123</v>
      </c>
      <c r="B23" s="116" t="s">
        <v>530</v>
      </c>
      <c r="C23" s="50">
        <v>3</v>
      </c>
      <c r="D23" s="50" t="s">
        <v>127</v>
      </c>
      <c r="E23" s="51" t="s">
        <v>427</v>
      </c>
      <c r="F23" s="51" t="s">
        <v>366</v>
      </c>
      <c r="G23" s="62" t="str">
        <f t="shared" si="0"/>
        <v>[effect:enemy_message, val1:1.3, val2:2.0]</v>
      </c>
      <c r="H23" s="62">
        <f t="shared" si="1"/>
        <v>9</v>
      </c>
      <c r="I23" s="62">
        <f t="shared" si="2"/>
        <v>22</v>
      </c>
      <c r="J23" s="62" t="e">
        <f t="shared" si="3"/>
        <v>#VALUE!</v>
      </c>
      <c r="K23" s="62">
        <f t="shared" si="4"/>
        <v>32</v>
      </c>
      <c r="L23" s="62" t="str">
        <f>IFERROR(VLOOKUP(MID(G23,J23,K23-J23),[5]skilldef!$C:$D,2,FALSE),"-") &amp; " / " &amp; IFERROR(VLOOKUP(MID(G23,H23,I23-H23),[5]skilldef!$A:$B,2,FALSE),"-")</f>
        <v>- / -</v>
      </c>
      <c r="M23" s="62" t="str">
        <f t="shared" si="5"/>
        <v>[effect:panel_freeze, target:normal, color:block_blue, count:8],[effect:spread, val:0.23]</v>
      </c>
      <c r="N23" s="48" t="str">
        <f t="shared" si="17"/>
        <v>[effect:panel_freeze, target:normal, color:block_blue, count:8],[effect:spread, val:0.23]</v>
      </c>
      <c r="O23" s="62">
        <f t="shared" si="6"/>
        <v>9</v>
      </c>
      <c r="P23" s="62">
        <f t="shared" si="7"/>
        <v>21</v>
      </c>
      <c r="Q23" s="62">
        <f t="shared" si="8"/>
        <v>30</v>
      </c>
      <c r="R23" s="62">
        <f t="shared" si="9"/>
        <v>36</v>
      </c>
      <c r="S23" s="62" t="str">
        <f>IFERROR(VLOOKUP(MID(N23,Q23,R23-Q23),[5]skilldef!$C:$D,2,FALSE),"-") &amp; " / " &amp; IFERROR(VLOOKUP(MID(N23,O23,P23-O23),[5]skilldef!$A:$B,2,FALSE),"-")</f>
        <v>- / -</v>
      </c>
      <c r="T23" s="48" t="str">
        <f t="shared" si="10"/>
        <v>[effect:spread, val:0.23]</v>
      </c>
      <c r="U23" s="62">
        <f t="shared" si="11"/>
        <v>9</v>
      </c>
      <c r="V23" s="62">
        <f t="shared" si="12"/>
        <v>15</v>
      </c>
      <c r="W23" s="62" t="e">
        <f t="shared" si="13"/>
        <v>#VALUE!</v>
      </c>
      <c r="X23" s="62" t="e">
        <f t="shared" si="14"/>
        <v>#VALUE!</v>
      </c>
      <c r="Y23" s="62" t="str">
        <f>IFERROR(VLOOKUP(MID(T23,W23,X23-W23),[5]skilldef!$C:$D,2,FALSE),"-") &amp; " / " &amp; IFERROR(VLOOKUP(MID(T23,U23,V23-U23),[5]skilldef!$A:$B,2,FALSE),"-")</f>
        <v>- / 全体攻撃</v>
      </c>
      <c r="Z23" s="50"/>
      <c r="AA23" s="52"/>
      <c r="AB23" s="50"/>
      <c r="AC23" s="49" t="s">
        <v>279</v>
      </c>
      <c r="AH23" s="49" t="s">
        <v>309</v>
      </c>
    </row>
    <row r="24" spans="1:34" ht="33" customHeight="1" x14ac:dyDescent="0.15">
      <c r="A24" s="107">
        <v>47016124</v>
      </c>
      <c r="B24" s="116" t="s">
        <v>469</v>
      </c>
      <c r="C24" s="50">
        <v>3</v>
      </c>
      <c r="D24" s="50" t="s">
        <v>127</v>
      </c>
      <c r="E24" s="51" t="s">
        <v>428</v>
      </c>
      <c r="F24" s="51" t="s">
        <v>367</v>
      </c>
      <c r="G24" s="62" t="str">
        <f t="shared" si="0"/>
        <v>[effect:enemy_message, val1:1.2, val2:2.2]</v>
      </c>
      <c r="H24" s="62">
        <f t="shared" si="1"/>
        <v>9</v>
      </c>
      <c r="I24" s="62">
        <f t="shared" si="2"/>
        <v>22</v>
      </c>
      <c r="J24" s="62" t="e">
        <f t="shared" si="3"/>
        <v>#VALUE!</v>
      </c>
      <c r="K24" s="62">
        <f t="shared" si="4"/>
        <v>32</v>
      </c>
      <c r="L24" s="62" t="str">
        <f>IFERROR(VLOOKUP(MID(G24,J24,K24-J24),[5]skilldef!$C:$D,2,FALSE),"-") &amp; " / " &amp; IFERROR(VLOOKUP(MID(G24,H24,I24-H24),[5]skilldef!$A:$B,2,FALSE),"-")</f>
        <v>- / -</v>
      </c>
      <c r="M24" s="62" t="str">
        <f t="shared" si="5"/>
        <v>[effect:force_change_block, new_block:block_blue, target:normal, count:7, val:0, animation:change_block],[effect:rush, count:2, val:0.4]</v>
      </c>
      <c r="N24" s="48" t="str">
        <f t="shared" si="17"/>
        <v>[effect:force_change_block, new_block:block_blue, target:normal, count:7, val:0, animation:change_block],[effect:rush, count:2, val:0.4]</v>
      </c>
      <c r="O24" s="62">
        <f t="shared" si="6"/>
        <v>9</v>
      </c>
      <c r="P24" s="62">
        <f t="shared" si="7"/>
        <v>27</v>
      </c>
      <c r="Q24" s="62">
        <f t="shared" si="8"/>
        <v>58</v>
      </c>
      <c r="R24" s="62">
        <f t="shared" si="9"/>
        <v>49</v>
      </c>
      <c r="S24" s="62" t="str">
        <f>IFERROR(VLOOKUP(MID(N24,Q24,R24-Q24),[5]skilldef!$C:$D,2,FALSE),"-") &amp; " / " &amp; IFERROR(VLOOKUP(MID(N24,O24,P24-O24),[5]skilldef!$A:$B,2,FALSE),"-")</f>
        <v>- / -</v>
      </c>
      <c r="T24" s="48" t="str">
        <f t="shared" si="10"/>
        <v>[effect:rush, count:2, val:0.4]</v>
      </c>
      <c r="U24" s="62">
        <f t="shared" si="11"/>
        <v>9</v>
      </c>
      <c r="V24" s="62">
        <f t="shared" si="12"/>
        <v>13</v>
      </c>
      <c r="W24" s="62" t="e">
        <f t="shared" si="13"/>
        <v>#VALUE!</v>
      </c>
      <c r="X24" s="62">
        <f t="shared" si="14"/>
        <v>22</v>
      </c>
      <c r="Y24" s="62" t="str">
        <f>IFERROR(VLOOKUP(MID(T24,W24,X24-W24),[5]skilldef!$C:$D,2,FALSE),"-") &amp; " / " &amp; IFERROR(VLOOKUP(MID(T24,U24,V24-U24),[5]skilldef!$A:$B,2,FALSE),"-")</f>
        <v>- / 連続攻撃</v>
      </c>
      <c r="Z24" s="50"/>
      <c r="AA24" s="52"/>
      <c r="AB24" s="50"/>
      <c r="AC24" s="49" t="s">
        <v>282</v>
      </c>
      <c r="AH24" s="49" t="s">
        <v>309</v>
      </c>
    </row>
    <row r="25" spans="1:34" ht="49" customHeight="1" x14ac:dyDescent="0.15">
      <c r="A25" s="107">
        <v>47016125</v>
      </c>
      <c r="B25" s="116" t="s">
        <v>531</v>
      </c>
      <c r="C25" s="50">
        <v>3</v>
      </c>
      <c r="D25" s="50" t="s">
        <v>127</v>
      </c>
      <c r="E25" s="113" t="s">
        <v>429</v>
      </c>
      <c r="F25" s="51" t="s">
        <v>551</v>
      </c>
      <c r="G25" s="62" t="str">
        <f t="shared" si="0"/>
        <v>[effect:enemy_message, val1:1.3, val2:4.2]</v>
      </c>
      <c r="H25" s="62">
        <f t="shared" si="1"/>
        <v>9</v>
      </c>
      <c r="I25" s="62">
        <f t="shared" si="2"/>
        <v>22</v>
      </c>
      <c r="J25" s="62" t="e">
        <f t="shared" si="3"/>
        <v>#VALUE!</v>
      </c>
      <c r="K25" s="62">
        <f t="shared" si="4"/>
        <v>32</v>
      </c>
      <c r="L25" s="62" t="str">
        <f>IFERROR(VLOOKUP(MID(G25,J25,K25-J25),[5]skilldef!$C:$D,2,FALSE),"-") &amp; " / " &amp; IFERROR(VLOOKUP(MID(G25,H25,I25-H25),[5]skilldef!$A:$B,2,FALSE),"-")</f>
        <v>- / -</v>
      </c>
      <c r="M25" s="62" t="str">
        <f t="shared" si="5"/>
        <v>[effect:change_range_block, block_change:1, base_type:0, square_count:5, position01:6, value_h01:4.0, value_w01:3.0, new_block:block_blue, target:normal, count:0, val:0, animation:change_range_block],[effect:panel_freeze, target:normal, color:block_blue, count:-1],[effect:rush, count:1, val:0.7]</v>
      </c>
      <c r="N25" s="48" t="str">
        <f t="shared" si="17"/>
        <v>[effect:change_range_block, block_change:1, base_type:0, square_count:5, position01:6, value_h01:4.0, value_w01:3.0, new_block:block_blue, target:normal, count:0, val:0, animation:change_range_block],[effect:panel_freeze, target:normal, color:block_blue, count:-1],[effect:rush, count:1, val:0.7]</v>
      </c>
      <c r="O25" s="62">
        <f t="shared" si="6"/>
        <v>9</v>
      </c>
      <c r="P25" s="62">
        <f t="shared" si="7"/>
        <v>27</v>
      </c>
      <c r="Q25" s="62">
        <f t="shared" si="8"/>
        <v>147</v>
      </c>
      <c r="R25" s="62">
        <f t="shared" si="9"/>
        <v>43</v>
      </c>
      <c r="S25" s="62" t="str">
        <f>IFERROR(VLOOKUP(MID(N25,Q25,R25-Q25),[5]skilldef!$C:$D,2,FALSE),"-") &amp; " / " &amp; IFERROR(VLOOKUP(MID(N25,O25,P25-O25),[5]skilldef!$A:$B,2,FALSE),"-")</f>
        <v>- / -</v>
      </c>
      <c r="T25" s="48" t="str">
        <f t="shared" si="10"/>
        <v>[effect:panel_freeze, target:normal, color:block_blue, count:-1],[effect:rush, count:1, val:0.7]</v>
      </c>
      <c r="U25" s="62">
        <f t="shared" si="11"/>
        <v>9</v>
      </c>
      <c r="V25" s="62">
        <f t="shared" si="12"/>
        <v>21</v>
      </c>
      <c r="W25" s="62">
        <f t="shared" si="13"/>
        <v>30</v>
      </c>
      <c r="X25" s="62">
        <f t="shared" si="14"/>
        <v>36</v>
      </c>
      <c r="Y25" s="62" t="str">
        <f>IFERROR(VLOOKUP(MID(T25,W25,X25-W25),[5]skilldef!$C:$D,2,FALSE),"-") &amp; " / " &amp; IFERROR(VLOOKUP(MID(T25,U25,V25-U25),[5]skilldef!$A:$B,2,FALSE),"-")</f>
        <v>- / -</v>
      </c>
      <c r="Z25" s="50"/>
      <c r="AA25" s="52"/>
      <c r="AB25" s="50"/>
      <c r="AC25" s="49" t="s">
        <v>280</v>
      </c>
      <c r="AH25" s="49" t="s">
        <v>309</v>
      </c>
    </row>
    <row r="26" spans="1:34" ht="41" customHeight="1" x14ac:dyDescent="0.15">
      <c r="A26" s="109">
        <v>47016126</v>
      </c>
      <c r="B26" s="116" t="s">
        <v>470</v>
      </c>
      <c r="C26" s="50">
        <v>3</v>
      </c>
      <c r="D26" s="50" t="s">
        <v>127</v>
      </c>
      <c r="E26" s="113" t="s">
        <v>430</v>
      </c>
      <c r="F26" s="51" t="s">
        <v>431</v>
      </c>
      <c r="G26" s="62" t="str">
        <f t="shared" si="0"/>
        <v>[effect:enemy_message, val1:1.2, val2:2.2]</v>
      </c>
      <c r="H26" s="62">
        <f t="shared" si="1"/>
        <v>9</v>
      </c>
      <c r="I26" s="62">
        <f t="shared" si="2"/>
        <v>22</v>
      </c>
      <c r="J26" s="62" t="e">
        <f t="shared" si="3"/>
        <v>#VALUE!</v>
      </c>
      <c r="K26" s="62">
        <f t="shared" si="4"/>
        <v>32</v>
      </c>
      <c r="L26" s="62" t="str">
        <f>IFERROR(VLOOKUP(MID(G26,J26,K26-J26),[5]skilldef!$C:$D,2,FALSE),"-") &amp; " / " &amp; IFERROR(VLOOKUP(MID(G26,H26,I26-H26),[5]skilldef!$A:$B,2,FALSE),"-")</f>
        <v>- / -</v>
      </c>
      <c r="M26" s="62" t="str">
        <f t="shared" si="5"/>
        <v>[effect:tolerance, target:myself, turn:-1, count:-1, tolerance_effect:all, animation:enemy_tolerance],[effect:change_range_block, block_change:1, base_type:0, square_count:2, position01:0, value_h01:2, value_w01:1, new_block:block_red, target:block_all, ignore01:block_positive, count:0, val:0, animation:change_range_block],[effect:change_range_block, block_change:1, base_type:0, square_count:2, position01:1, value_h01:2, value_w01:1, new_block:block_green, target:block_all, ignore01:block_positive, count:0, val:0, animation:change_range_block],[effect:fix_speed, target:myself, turn:2]</v>
      </c>
      <c r="N26" s="48" t="str">
        <f t="shared" si="17"/>
        <v>[effect:tolerance, target:myself, turn:-1, count:-1, tolerance_effect:all, animation:enemy_tolerance],[effect:change_range_block, block_change:1, base_type:0, square_count:2, position01:0, value_h01:2, value_w01:1, new_block:block_red, target:block_all, ignore01:block_positive, count:0, val:0, animation:change_range_block],[effect:change_range_block, block_change:1, base_type:0, square_count:2, position01:1, value_h01:2, value_w01:1, new_block:block_green, target:block_all, ignore01:block_positive, count:0, val:0, animation:change_range_block],[effect:fix_speed, target:myself, turn:2]</v>
      </c>
      <c r="O26" s="62">
        <f t="shared" si="6"/>
        <v>9</v>
      </c>
      <c r="P26" s="62">
        <f t="shared" si="7"/>
        <v>18</v>
      </c>
      <c r="Q26" s="62">
        <f t="shared" si="8"/>
        <v>27</v>
      </c>
      <c r="R26" s="62">
        <f t="shared" si="9"/>
        <v>33</v>
      </c>
      <c r="S26" s="62" t="str">
        <f>IFERROR(VLOOKUP(MID(N26,Q26,R26-Q26),[5]skilldef!$C:$D,2,FALSE),"-") &amp; " / " &amp; IFERROR(VLOOKUP(MID(N26,O26,P26-O26),[5]skilldef!$A:$B,2,FALSE),"-")</f>
        <v>自分自身に / 状態異常耐性</v>
      </c>
      <c r="T26" s="48" t="str">
        <f t="shared" si="10"/>
        <v>[effect:change_range_block, block_change:1, base_type:0, square_count:2, position01:0, value_h01:2, value_w01:1, new_block:block_red, target:block_all, ignore01:block_positive, count:0, val:0, animation:change_range_block],[effect:change_range_block, block_change:1, base_type:0, square_count:2, position01:1, value_h01:2, value_w01:1, new_block:block_green, target:block_all, ignore01:block_positive, count:0, val:0, animation:change_range_block],[effect:fix_speed, target:myself, turn:2]</v>
      </c>
      <c r="U26" s="62">
        <f t="shared" si="11"/>
        <v>9</v>
      </c>
      <c r="V26" s="62">
        <f t="shared" si="12"/>
        <v>27</v>
      </c>
      <c r="W26" s="62">
        <f t="shared" si="13"/>
        <v>142</v>
      </c>
      <c r="X26" s="62">
        <f t="shared" si="14"/>
        <v>43</v>
      </c>
      <c r="Y26" s="62" t="str">
        <f>IFERROR(VLOOKUP(MID(T26,W26,X26-W26),[5]skilldef!$C:$D,2,FALSE),"-") &amp; " / " &amp; IFERROR(VLOOKUP(MID(T26,U26,V26-U26),[5]skilldef!$A:$B,2,FALSE),"-")</f>
        <v>- / -</v>
      </c>
      <c r="Z26" s="50"/>
      <c r="AA26" s="52"/>
      <c r="AB26" s="50"/>
      <c r="AC26" s="49" t="s">
        <v>283</v>
      </c>
      <c r="AG26" s="49" t="s">
        <v>289</v>
      </c>
      <c r="AH26" s="49" t="s">
        <v>309</v>
      </c>
    </row>
    <row r="27" spans="1:34" ht="33" customHeight="1" x14ac:dyDescent="0.15">
      <c r="A27" s="109">
        <v>47016127</v>
      </c>
      <c r="B27" s="116" t="s">
        <v>471</v>
      </c>
      <c r="C27" s="50">
        <v>3</v>
      </c>
      <c r="D27" s="50" t="s">
        <v>127</v>
      </c>
      <c r="E27" s="51" t="s">
        <v>432</v>
      </c>
      <c r="F27" s="51" t="s">
        <v>370</v>
      </c>
      <c r="G27" s="62" t="str">
        <f t="shared" si="0"/>
        <v>[effect:enemy_message, val1:1.3, val2:2.1]</v>
      </c>
      <c r="H27" s="62">
        <f t="shared" si="1"/>
        <v>9</v>
      </c>
      <c r="I27" s="62">
        <f t="shared" si="2"/>
        <v>22</v>
      </c>
      <c r="J27" s="62" t="e">
        <f t="shared" si="3"/>
        <v>#VALUE!</v>
      </c>
      <c r="K27" s="62">
        <f t="shared" si="4"/>
        <v>32</v>
      </c>
      <c r="L27" s="62" t="str">
        <f>IFERROR(VLOOKUP(MID(G27,J27,K27-J27),[5]skilldef!$C:$D,2,FALSE),"-") &amp; " / " &amp; IFERROR(VLOOKUP(MID(G27,H27,I27-H27),[5]skilldef!$A:$B,2,FALSE),"-")</f>
        <v>- / -</v>
      </c>
      <c r="M27" s="62" t="str">
        <f t="shared" si="5"/>
        <v>[effect:drop_freeze, turn:5, block_type:normal, block_color:block_red, rate:1.0, animation:drop_protect]</v>
      </c>
      <c r="N27" s="48" t="str">
        <f>IFERROR(LEFT(M27,FIND("],",M27)+S37),M27)</f>
        <v>[effect:drop_freeze, turn:5, block_type:normal, block_color:block_red, rate:1.0, animation:drop_protect]</v>
      </c>
      <c r="O27" s="62">
        <f t="shared" si="6"/>
        <v>9</v>
      </c>
      <c r="P27" s="62">
        <f t="shared" si="7"/>
        <v>20</v>
      </c>
      <c r="Q27" s="62" t="e">
        <f t="shared" si="8"/>
        <v>#VALUE!</v>
      </c>
      <c r="R27" s="62">
        <f t="shared" si="9"/>
        <v>28</v>
      </c>
      <c r="S27" s="62" t="str">
        <f>IFERROR(VLOOKUP(MID(N27,Q27,R27-Q27),[5]skilldef!$C:$D,2,FALSE),"-") &amp; " / " &amp; IFERROR(VLOOKUP(MID(N27,O27,P27-O27),[5]skilldef!$A:$B,2,FALSE),"-")</f>
        <v>- / -</v>
      </c>
      <c r="T27" s="48" t="str">
        <f t="shared" si="10"/>
        <v>none</v>
      </c>
      <c r="U27" s="62" t="e">
        <f t="shared" si="11"/>
        <v>#VALUE!</v>
      </c>
      <c r="V27" s="62">
        <f t="shared" si="12"/>
        <v>4</v>
      </c>
      <c r="W27" s="62" t="e">
        <f t="shared" si="13"/>
        <v>#VALUE!</v>
      </c>
      <c r="X27" s="62" t="e">
        <f t="shared" si="14"/>
        <v>#VALUE!</v>
      </c>
      <c r="Y27" s="62" t="str">
        <f>IFERROR(VLOOKUP(MID(T27,W27,X27-W27),[5]skilldef!$C:$D,2,FALSE),"-") &amp; " / " &amp; IFERROR(VLOOKUP(MID(T27,U27,V27-U27),[5]skilldef!$A:$B,2,FALSE),"-")</f>
        <v>- / -</v>
      </c>
      <c r="Z27" s="50"/>
      <c r="AA27" s="52"/>
      <c r="AB27" s="50"/>
      <c r="AC27" s="49" t="s">
        <v>284</v>
      </c>
      <c r="AH27" s="49" t="s">
        <v>309</v>
      </c>
    </row>
    <row r="28" spans="1:34" ht="33" customHeight="1" x14ac:dyDescent="0.15">
      <c r="A28" s="109">
        <v>47016129</v>
      </c>
      <c r="B28" s="116" t="s">
        <v>545</v>
      </c>
      <c r="C28" s="50">
        <v>3</v>
      </c>
      <c r="D28" s="50" t="s">
        <v>127</v>
      </c>
      <c r="E28" s="49" t="s">
        <v>433</v>
      </c>
      <c r="F28" s="51" t="s">
        <v>371</v>
      </c>
      <c r="G28" s="62" t="str">
        <f t="shared" si="0"/>
        <v>[effect:enemy_message, val1:1.2, val2:2.2]</v>
      </c>
      <c r="H28" s="62">
        <f t="shared" si="1"/>
        <v>9</v>
      </c>
      <c r="I28" s="62">
        <f t="shared" si="2"/>
        <v>22</v>
      </c>
      <c r="J28" s="62" t="e">
        <f t="shared" si="3"/>
        <v>#VALUE!</v>
      </c>
      <c r="K28" s="62">
        <f t="shared" si="4"/>
        <v>32</v>
      </c>
      <c r="L28" s="62" t="str">
        <f>IFERROR(VLOOKUP(MID(G28,J28,K28-J28),[5]skilldef!$C:$D,2,FALSE),"-") &amp; " / " &amp; IFERROR(VLOOKUP(MID(G28,H28,I28-H28),[5]skilldef!$A:$B,2,FALSE),"-")</f>
        <v>- / -</v>
      </c>
      <c r="M28" s="62" t="str">
        <f t="shared" si="5"/>
        <v>[effect:force_change_block, new_block:block_red, target:normal, count:5, val:0, animation:change_block],[effect:rush, count:2, val:0.4]</v>
      </c>
      <c r="N28" s="48" t="str">
        <f t="shared" ref="N28:N35" si="18">IFERROR(LEFT(M28,FIND("],",M28)+S39),M28)</f>
        <v>[effect:force_change_block, new_block:block_red, target:normal, count:5, val:0, animation:change_block],[effect:rush, count:2, val:0.4]</v>
      </c>
      <c r="O28" s="62">
        <f t="shared" si="6"/>
        <v>9</v>
      </c>
      <c r="P28" s="62">
        <f t="shared" si="7"/>
        <v>27</v>
      </c>
      <c r="Q28" s="62">
        <f t="shared" si="8"/>
        <v>57</v>
      </c>
      <c r="R28" s="62">
        <f t="shared" si="9"/>
        <v>48</v>
      </c>
      <c r="S28" s="62" t="str">
        <f>IFERROR(VLOOKUP(MID(N28,Q28,R28-Q28),[5]skilldef!$C:$D,2,FALSE),"-") &amp; " / " &amp; IFERROR(VLOOKUP(MID(N28,O28,P28-O28),[5]skilldef!$A:$B,2,FALSE),"-")</f>
        <v>- / -</v>
      </c>
      <c r="T28" s="48" t="str">
        <f t="shared" si="10"/>
        <v>[effect:rush, count:2, val:0.4]</v>
      </c>
      <c r="U28" s="62">
        <f t="shared" si="11"/>
        <v>9</v>
      </c>
      <c r="V28" s="62">
        <f t="shared" si="12"/>
        <v>13</v>
      </c>
      <c r="W28" s="62" t="e">
        <f t="shared" si="13"/>
        <v>#VALUE!</v>
      </c>
      <c r="X28" s="62">
        <f t="shared" si="14"/>
        <v>22</v>
      </c>
      <c r="Y28" s="62" t="str">
        <f>IFERROR(VLOOKUP(MID(T28,W28,X28-W28),[5]skilldef!$C:$D,2,FALSE),"-") &amp; " / " &amp; IFERROR(VLOOKUP(MID(T28,U28,V28-U28),[5]skilldef!$A:$B,2,FALSE),"-")</f>
        <v>- / 連続攻撃</v>
      </c>
      <c r="Z28" s="50"/>
      <c r="AA28" s="52"/>
      <c r="AB28" s="50"/>
      <c r="AC28" s="49" t="s">
        <v>285</v>
      </c>
      <c r="AH28" s="49" t="s">
        <v>309</v>
      </c>
    </row>
    <row r="29" spans="1:34" ht="34" customHeight="1" x14ac:dyDescent="0.15">
      <c r="A29" s="109">
        <v>47016130</v>
      </c>
      <c r="B29" s="116" t="s">
        <v>517</v>
      </c>
      <c r="C29" s="50">
        <v>3</v>
      </c>
      <c r="D29" s="50" t="s">
        <v>127</v>
      </c>
      <c r="E29" s="51" t="s">
        <v>434</v>
      </c>
      <c r="F29" s="51" t="s">
        <v>521</v>
      </c>
      <c r="G29" s="62" t="str">
        <f t="shared" si="0"/>
        <v>[effect:enemy_message, val1:1.3, val2:2.1]</v>
      </c>
      <c r="H29" s="62">
        <f t="shared" si="1"/>
        <v>9</v>
      </c>
      <c r="I29" s="62">
        <f t="shared" si="2"/>
        <v>22</v>
      </c>
      <c r="J29" s="62" t="e">
        <f t="shared" si="3"/>
        <v>#VALUE!</v>
      </c>
      <c r="K29" s="62">
        <f t="shared" si="4"/>
        <v>32</v>
      </c>
      <c r="L29" s="62" t="str">
        <f>IFERROR(VLOOKUP(MID(G29,J29,K29-J29),[5]skilldef!$C:$D,2,FALSE),"-") &amp; " / " &amp; IFERROR(VLOOKUP(MID(G29,H29,I29-H29),[5]skilldef!$A:$B,2,FALSE),"-")</f>
        <v>- / -</v>
      </c>
      <c r="M29" s="62" t="str">
        <f t="shared" si="5"/>
        <v>[effect:force_change_block, new_block:block_red, target:block_blue, count:5, val:0, animation:change_block],[effect:rush, count:1, val:0.7]</v>
      </c>
      <c r="N29" s="48" t="str">
        <f t="shared" si="18"/>
        <v>[effect:force_change_block, new_block:block_red, target:block_blue, count:5, val:0, animation:change_block],[effect:rush, count:1, val:0.7]</v>
      </c>
      <c r="O29" s="62">
        <f t="shared" si="6"/>
        <v>9</v>
      </c>
      <c r="P29" s="62">
        <f t="shared" si="7"/>
        <v>27</v>
      </c>
      <c r="Q29" s="62">
        <f t="shared" si="8"/>
        <v>57</v>
      </c>
      <c r="R29" s="62">
        <f t="shared" si="9"/>
        <v>48</v>
      </c>
      <c r="S29" s="62" t="str">
        <f>IFERROR(VLOOKUP(MID(N29,Q29,R29-Q29),[5]skilldef!$C:$D,2,FALSE),"-") &amp; " / " &amp; IFERROR(VLOOKUP(MID(N29,O29,P29-O29),[5]skilldef!$A:$B,2,FALSE),"-")</f>
        <v>- / -</v>
      </c>
      <c r="T29" s="48" t="str">
        <f t="shared" si="10"/>
        <v>[effect:rush, count:1, val:0.7]</v>
      </c>
      <c r="U29" s="62">
        <f t="shared" si="11"/>
        <v>9</v>
      </c>
      <c r="V29" s="62">
        <f t="shared" si="12"/>
        <v>13</v>
      </c>
      <c r="W29" s="62" t="e">
        <f t="shared" si="13"/>
        <v>#VALUE!</v>
      </c>
      <c r="X29" s="62">
        <f t="shared" si="14"/>
        <v>22</v>
      </c>
      <c r="Y29" s="62" t="str">
        <f>IFERROR(VLOOKUP(MID(T29,W29,X29-W29),[5]skilldef!$C:$D,2,FALSE),"-") &amp; " / " &amp; IFERROR(VLOOKUP(MID(T29,U29,V29-U29),[5]skilldef!$A:$B,2,FALSE),"-")</f>
        <v>- / 連続攻撃</v>
      </c>
      <c r="Z29" s="50"/>
      <c r="AA29" s="52"/>
      <c r="AB29" s="50"/>
      <c r="AC29" s="49" t="s">
        <v>286</v>
      </c>
      <c r="AH29" s="49" t="s">
        <v>309</v>
      </c>
    </row>
    <row r="30" spans="1:34" ht="50" customHeight="1" x14ac:dyDescent="0.15">
      <c r="A30" s="109">
        <v>47016131</v>
      </c>
      <c r="B30" s="116" t="s">
        <v>472</v>
      </c>
      <c r="C30" s="50">
        <v>3</v>
      </c>
      <c r="D30" s="50" t="s">
        <v>127</v>
      </c>
      <c r="E30" s="113" t="s">
        <v>435</v>
      </c>
      <c r="F30" s="51" t="s">
        <v>372</v>
      </c>
      <c r="G30" s="62" t="str">
        <f t="shared" si="0"/>
        <v>[effect:enemy_message, val1:1.8, val2:1.8]</v>
      </c>
      <c r="H30" s="62">
        <f t="shared" si="1"/>
        <v>9</v>
      </c>
      <c r="I30" s="62">
        <f t="shared" si="2"/>
        <v>22</v>
      </c>
      <c r="J30" s="62" t="e">
        <f t="shared" si="3"/>
        <v>#VALUE!</v>
      </c>
      <c r="K30" s="62">
        <f t="shared" si="4"/>
        <v>32</v>
      </c>
      <c r="L30" s="62" t="str">
        <f>IFERROR(VLOOKUP(MID(G30,J30,K30-J30),[5]skilldef!$C:$D,2,FALSE),"-") &amp; " / " &amp; IFERROR(VLOOKUP(MID(G30,H30,I30-H30),[5]skilldef!$A:$B,2,FALSE),"-")</f>
        <v>- / -</v>
      </c>
      <c r="M30" s="62" t="str">
        <f t="shared" si="5"/>
        <v>[effect:change_range_block, block_change:1, base_type:0, square_count:5, position01:0, position02:2, position03:4, value_h01:5, value_h02:5, value_h03:5, value_w01:1, value_w02:1, value_w03:1, new_block:block_red, target:normal, count:0, val:0, animation:change_range_block],[effect:rush, count:1, val:0.7]</v>
      </c>
      <c r="N30" s="48" t="str">
        <f t="shared" si="18"/>
        <v>[effect:change_range_block, block_change:1, base_type:0, square_count:5, position01:0, position02:2, position03:4, value_h01:5, value_h02:5, value_h03:5, value_w01:1, value_w02:1, value_w03:1, new_block:block_red, target:normal, count:0, val:0, animation:change_range_block],[effect:rush, count:1, val:0.7]</v>
      </c>
      <c r="O30" s="62">
        <f t="shared" si="6"/>
        <v>9</v>
      </c>
      <c r="P30" s="62">
        <f t="shared" si="7"/>
        <v>27</v>
      </c>
      <c r="Q30" s="62">
        <f t="shared" si="8"/>
        <v>222</v>
      </c>
      <c r="R30" s="62">
        <f t="shared" si="9"/>
        <v>43</v>
      </c>
      <c r="S30" s="62" t="str">
        <f>IFERROR(VLOOKUP(MID(N30,Q30,R30-Q30),[5]skilldef!$C:$D,2,FALSE),"-") &amp; " / " &amp; IFERROR(VLOOKUP(MID(N30,O30,P30-O30),[5]skilldef!$A:$B,2,FALSE),"-")</f>
        <v>- / -</v>
      </c>
      <c r="T30" s="48" t="str">
        <f t="shared" si="10"/>
        <v>[effect:rush, count:1, val:0.7]</v>
      </c>
      <c r="U30" s="62">
        <f t="shared" si="11"/>
        <v>9</v>
      </c>
      <c r="V30" s="62">
        <f t="shared" si="12"/>
        <v>13</v>
      </c>
      <c r="W30" s="62" t="e">
        <f t="shared" si="13"/>
        <v>#VALUE!</v>
      </c>
      <c r="X30" s="62">
        <f t="shared" si="14"/>
        <v>22</v>
      </c>
      <c r="Y30" s="62" t="str">
        <f>IFERROR(VLOOKUP(MID(T30,W30,X30-W30),[5]skilldef!$C:$D,2,FALSE),"-") &amp; " / " &amp; IFERROR(VLOOKUP(MID(T30,U30,V30-U30),[5]skilldef!$A:$B,2,FALSE),"-")</f>
        <v>- / 連続攻撃</v>
      </c>
      <c r="Z30" s="50"/>
      <c r="AA30" s="52"/>
      <c r="AB30" s="50"/>
      <c r="AC30" s="49" t="s">
        <v>287</v>
      </c>
      <c r="AH30" s="49" t="s">
        <v>309</v>
      </c>
    </row>
    <row r="31" spans="1:34" ht="38" customHeight="1" x14ac:dyDescent="0.15">
      <c r="A31" s="109">
        <v>47016132</v>
      </c>
      <c r="B31" s="116" t="s">
        <v>473</v>
      </c>
      <c r="C31" s="50">
        <v>3</v>
      </c>
      <c r="D31" s="50" t="s">
        <v>127</v>
      </c>
      <c r="E31" s="51" t="s">
        <v>436</v>
      </c>
      <c r="F31" s="51" t="s">
        <v>373</v>
      </c>
      <c r="G31" s="62" t="str">
        <f t="shared" si="0"/>
        <v>[effect:enemy_message, val1:1.2, val2:3.1]</v>
      </c>
      <c r="H31" s="62">
        <f t="shared" si="1"/>
        <v>9</v>
      </c>
      <c r="I31" s="62">
        <f t="shared" si="2"/>
        <v>22</v>
      </c>
      <c r="J31" s="62" t="e">
        <f t="shared" si="3"/>
        <v>#VALUE!</v>
      </c>
      <c r="K31" s="62">
        <f t="shared" si="4"/>
        <v>32</v>
      </c>
      <c r="L31" s="62" t="str">
        <f>IFERROR(VLOOKUP(MID(G31,J31,K31-J31),[5]skilldef!$C:$D,2,FALSE),"-") &amp; " / " &amp; IFERROR(VLOOKUP(MID(G31,H31,I31-H31),[5]skilldef!$A:$B,2,FALSE),"-")</f>
        <v>- / -</v>
      </c>
      <c r="M31" s="62" t="str">
        <f t="shared" si="5"/>
        <v>[effect:panel_freeze, target:normal, count:10],[effect:damage_gravity, val:0.4, animation:fevergauge_down]</v>
      </c>
      <c r="N31" s="48" t="str">
        <f t="shared" si="18"/>
        <v>[effect:panel_freeze, target:normal, count:10],[effect:damage_gravity, val:0.4, animation:fevergauge_down]</v>
      </c>
      <c r="O31" s="62">
        <f t="shared" si="6"/>
        <v>9</v>
      </c>
      <c r="P31" s="62">
        <f t="shared" si="7"/>
        <v>21</v>
      </c>
      <c r="Q31" s="62">
        <f t="shared" si="8"/>
        <v>30</v>
      </c>
      <c r="R31" s="62">
        <f t="shared" si="9"/>
        <v>36</v>
      </c>
      <c r="S31" s="62" t="str">
        <f>IFERROR(VLOOKUP(MID(N31,Q31,R31-Q31),[5]skilldef!$C:$D,2,FALSE),"-") &amp; " / " &amp; IFERROR(VLOOKUP(MID(N31,O31,P31-O31),[5]skilldef!$A:$B,2,FALSE),"-")</f>
        <v>- / -</v>
      </c>
      <c r="T31" s="48" t="str">
        <f t="shared" si="10"/>
        <v>[effect:damage_gravity, val:0.4, animation:fevergauge_down]</v>
      </c>
      <c r="U31" s="62">
        <f t="shared" si="11"/>
        <v>9</v>
      </c>
      <c r="V31" s="62">
        <f t="shared" si="12"/>
        <v>23</v>
      </c>
      <c r="W31" s="62" t="e">
        <f t="shared" si="13"/>
        <v>#VALUE!</v>
      </c>
      <c r="X31" s="62">
        <f t="shared" si="14"/>
        <v>32</v>
      </c>
      <c r="Y31" s="62" t="str">
        <f>IFERROR(VLOOKUP(MID(T31,W31,X31-W31),[5]skilldef!$C:$D,2,FALSE),"-") &amp; " / " &amp; IFERROR(VLOOKUP(MID(T31,U31,V31-U31),[5]skilldef!$A:$B,2,FALSE),"-")</f>
        <v>- / 割合ダメージ</v>
      </c>
      <c r="Z31" s="50"/>
      <c r="AA31" s="52"/>
      <c r="AB31" s="50"/>
      <c r="AC31" s="49" t="s">
        <v>288</v>
      </c>
      <c r="AH31" s="49" t="s">
        <v>309</v>
      </c>
    </row>
    <row r="32" spans="1:34" ht="34" customHeight="1" x14ac:dyDescent="0.15">
      <c r="A32" s="111">
        <v>47016133</v>
      </c>
      <c r="B32" s="116" t="s">
        <v>474</v>
      </c>
      <c r="C32" s="50">
        <v>3</v>
      </c>
      <c r="D32" s="50" t="s">
        <v>127</v>
      </c>
      <c r="E32" s="51" t="s">
        <v>437</v>
      </c>
      <c r="F32" s="51" t="s">
        <v>438</v>
      </c>
      <c r="G32" s="62" t="str">
        <f t="shared" si="0"/>
        <v>[effect:enemy_message, val1:1.2, val2:2.0]</v>
      </c>
      <c r="H32" s="62">
        <f t="shared" si="1"/>
        <v>9</v>
      </c>
      <c r="I32" s="62">
        <f t="shared" si="2"/>
        <v>22</v>
      </c>
      <c r="J32" s="62" t="e">
        <f t="shared" si="3"/>
        <v>#VALUE!</v>
      </c>
      <c r="K32" s="62">
        <f t="shared" si="4"/>
        <v>32</v>
      </c>
      <c r="L32" s="62" t="str">
        <f>IFERROR(VLOOKUP(MID(G32,J32,K32-J32),[5]skilldef!$C:$D,2,FALSE),"-") &amp; " / " &amp; IFERROR(VLOOKUP(MID(G32,H32,I32-H32),[5]skilldef!$A:$B,2,FALSE),"-")</f>
        <v>- / -</v>
      </c>
      <c r="M32" s="62" t="str">
        <f t="shared" si="5"/>
        <v>[effect:tolerance, target:myself, turn:-1, count:-1, tolerance_effect:all, animation:enemy_tolerance],[effect:change_range_block, block_change:1, base_type:1, square_count:5, position01:12, value_rad01:5.0,  new_block:block_red, target:normal, count:0, val:0, animation:change_range_block],[effect:fix_speed, target:myself, turn:1]</v>
      </c>
      <c r="N32" s="48" t="str">
        <f t="shared" si="18"/>
        <v>[effect:tolerance, target:myself, turn:-1, count:-1, tolerance_effect:all, animation:enemy_tolerance],[effect:change_range_block, block_change:1, base_type:1, square_count:5, position01:12, value_rad01:5.0,  new_block:block_red, target:normal, count:0, val:0, animation:change_range_block],[effect:fix_speed, target:myself, turn:1]</v>
      </c>
      <c r="O32" s="62">
        <f t="shared" si="6"/>
        <v>9</v>
      </c>
      <c r="P32" s="62">
        <f t="shared" si="7"/>
        <v>18</v>
      </c>
      <c r="Q32" s="62">
        <f t="shared" si="8"/>
        <v>27</v>
      </c>
      <c r="R32" s="62">
        <f t="shared" si="9"/>
        <v>33</v>
      </c>
      <c r="S32" s="62" t="str">
        <f>IFERROR(VLOOKUP(MID(N32,Q32,R32-Q32),[5]skilldef!$C:$D,2,FALSE),"-") &amp; " / " &amp; IFERROR(VLOOKUP(MID(N32,O32,P32-O32),[5]skilldef!$A:$B,2,FALSE),"-")</f>
        <v>自分自身に / 状態異常耐性</v>
      </c>
      <c r="T32" s="48" t="str">
        <f t="shared" si="10"/>
        <v>[effect:change_range_block, block_change:1, base_type:1, square_count:5, position01:12, value_rad01:5.0,  new_block:block_red, target:normal, count:0, val:0, animation:change_range_block],[effect:fix_speed, target:myself, turn:1]</v>
      </c>
      <c r="U32" s="62">
        <f t="shared" si="11"/>
        <v>9</v>
      </c>
      <c r="V32" s="62">
        <f t="shared" si="12"/>
        <v>27</v>
      </c>
      <c r="W32" s="62">
        <f t="shared" si="13"/>
        <v>135</v>
      </c>
      <c r="X32" s="62">
        <f t="shared" si="14"/>
        <v>43</v>
      </c>
      <c r="Y32" s="62" t="str">
        <f>IFERROR(VLOOKUP(MID(T32,W32,X32-W32),[5]skilldef!$C:$D,2,FALSE),"-") &amp; " / " &amp; IFERROR(VLOOKUP(MID(T32,U32,V32-U32),[5]skilldef!$A:$B,2,FALSE),"-")</f>
        <v>- / -</v>
      </c>
      <c r="Z32" s="50"/>
      <c r="AA32" s="52"/>
      <c r="AB32" s="50"/>
      <c r="AC32" s="49" t="s">
        <v>290</v>
      </c>
      <c r="AG32" s="49" t="s">
        <v>296</v>
      </c>
      <c r="AH32" s="49" t="s">
        <v>309</v>
      </c>
    </row>
    <row r="33" spans="1:35" ht="21" customHeight="1" x14ac:dyDescent="0.15">
      <c r="A33" s="111">
        <v>47016134</v>
      </c>
      <c r="B33" s="116" t="s">
        <v>532</v>
      </c>
      <c r="C33" s="50">
        <v>3</v>
      </c>
      <c r="D33" s="50" t="s">
        <v>127</v>
      </c>
      <c r="E33" s="51" t="s">
        <v>439</v>
      </c>
      <c r="F33" s="51" t="s">
        <v>374</v>
      </c>
      <c r="G33" s="62" t="str">
        <f t="shared" ref="G33:G41" si="19">IFERROR(LEFT(B33,FIND("],",B33)),B33)</f>
        <v>[effect:enemy_message, val1:1.5, val2:1.4]</v>
      </c>
      <c r="H33" s="62">
        <f t="shared" si="1"/>
        <v>9</v>
      </c>
      <c r="I33" s="62">
        <f t="shared" ref="I33:I41" si="20">IFERROR(FIND(",",G33),LEN(G33))</f>
        <v>22</v>
      </c>
      <c r="J33" s="62" t="e">
        <f t="shared" ref="J33:J41" si="21">FIND("target:",G33)+7</f>
        <v>#VALUE!</v>
      </c>
      <c r="K33" s="62">
        <f t="shared" ref="K33:K41" si="22">FIND(",",G33,I33+1)</f>
        <v>32</v>
      </c>
      <c r="L33" s="62" t="str">
        <f>IFERROR(VLOOKUP(MID(G33,J33,K33-J33),[5]skilldef!$C:$D,2,FALSE),"-") &amp; " / " &amp; IFERROR(VLOOKUP(MID(G33,H33,I33-H33),[5]skilldef!$A:$B,2,FALSE),"-")</f>
        <v>- / -</v>
      </c>
      <c r="M33" s="62" t="str">
        <f t="shared" ref="M33:M41" si="23">IFERROR(RIGHT(B33,LEN(B33)-FIND("],",B33)-1),"none")</f>
        <v>[effect:panel_freeze, target:normal, color:block_red, count:-1],[effect:rush, count:1, val:0.7]</v>
      </c>
      <c r="N33" s="48" t="str">
        <f t="shared" si="18"/>
        <v>[effect:panel_freeze, target:normal, color:block_red, count:-1],[effect:rush, count:1, val:0.7]</v>
      </c>
      <c r="O33" s="62">
        <f t="shared" si="6"/>
        <v>9</v>
      </c>
      <c r="P33" s="62">
        <f t="shared" ref="P33:P41" si="24">IFERROR(FIND(",",N33),LEN(N33))</f>
        <v>21</v>
      </c>
      <c r="Q33" s="62">
        <f t="shared" ref="Q33:Q41" si="25">FIND("target:",N33)+7</f>
        <v>30</v>
      </c>
      <c r="R33" s="62">
        <f t="shared" ref="R33:R41" si="26">FIND(",",N33,P33+1)</f>
        <v>36</v>
      </c>
      <c r="S33" s="62" t="str">
        <f>IFERROR(VLOOKUP(MID(N33,Q33,R33-Q33),[5]skilldef!$C:$D,2,FALSE),"-") &amp; " / " &amp; IFERROR(VLOOKUP(MID(N33,O33,P33-O33),[5]skilldef!$A:$B,2,FALSE),"-")</f>
        <v>- / -</v>
      </c>
      <c r="T33" s="48" t="str">
        <f t="shared" ref="T33:T41" si="27">IFERROR(RIGHT(M33,LEN(M33)-FIND("],",M33)-1),"none")</f>
        <v>[effect:rush, count:1, val:0.7]</v>
      </c>
      <c r="U33" s="62">
        <f t="shared" si="11"/>
        <v>9</v>
      </c>
      <c r="V33" s="62">
        <f t="shared" ref="V33:V41" si="28">IFERROR(FIND(",",T33),LEN(T33))</f>
        <v>13</v>
      </c>
      <c r="W33" s="62" t="e">
        <f t="shared" ref="W33:W41" si="29">FIND("target:",T33)+7</f>
        <v>#VALUE!</v>
      </c>
      <c r="X33" s="62">
        <f t="shared" ref="X33:X41" si="30">FIND(",",T33,V33+1)</f>
        <v>22</v>
      </c>
      <c r="Y33" s="62" t="str">
        <f>IFERROR(VLOOKUP(MID(T33,W33,X33-W33),[5]skilldef!$C:$D,2,FALSE),"-") &amp; " / " &amp; IFERROR(VLOOKUP(MID(T33,U33,V33-U33),[5]skilldef!$A:$B,2,FALSE),"-")</f>
        <v>- / 連続攻撃</v>
      </c>
      <c r="Z33" s="50"/>
      <c r="AA33" s="52"/>
      <c r="AB33" s="50"/>
      <c r="AC33" s="49" t="s">
        <v>291</v>
      </c>
      <c r="AH33" s="49" t="s">
        <v>309</v>
      </c>
    </row>
    <row r="34" spans="1:35" ht="34" customHeight="1" x14ac:dyDescent="0.15">
      <c r="A34" s="111">
        <v>47016135</v>
      </c>
      <c r="B34" s="116" t="s">
        <v>498</v>
      </c>
      <c r="C34" s="50">
        <v>3</v>
      </c>
      <c r="D34" s="50" t="s">
        <v>127</v>
      </c>
      <c r="E34" s="51" t="s">
        <v>497</v>
      </c>
      <c r="F34" s="51" t="s">
        <v>375</v>
      </c>
      <c r="G34" s="62" t="str">
        <f t="shared" si="19"/>
        <v>[effect:enemy_message, val1:1.4, val2:3.0]</v>
      </c>
      <c r="H34" s="62">
        <f t="shared" si="1"/>
        <v>9</v>
      </c>
      <c r="I34" s="62">
        <f t="shared" si="20"/>
        <v>22</v>
      </c>
      <c r="J34" s="62" t="e">
        <f t="shared" si="21"/>
        <v>#VALUE!</v>
      </c>
      <c r="K34" s="62">
        <f t="shared" si="22"/>
        <v>32</v>
      </c>
      <c r="L34" s="62" t="str">
        <f>IFERROR(VLOOKUP(MID(G34,J34,K34-J34),[5]skilldef!$C:$D,2,FALSE),"-") &amp; " / " &amp; IFERROR(VLOOKUP(MID(G34,H34,I34-H34),[5]skilldef!$A:$B,2,FALSE),"-")</f>
        <v>- / -</v>
      </c>
      <c r="M34" s="62" t="str">
        <f t="shared" si="23"/>
        <v>[effect:dis_heart, turn:2, animation:enemy_dis_heart],[effect:change_panel_ratio, turn:2, block_type:heal, val:0.5, animation:block_incidence04]</v>
      </c>
      <c r="N34" s="48" t="str">
        <f t="shared" si="18"/>
        <v>[effect:dis_heart, turn:2, animation:enemy_dis_heart],[effect:change_panel_ratio, turn:2, block_type:heal, val:0.5, animation:block_incidence04]</v>
      </c>
      <c r="O34" s="62">
        <f t="shared" si="6"/>
        <v>9</v>
      </c>
      <c r="P34" s="62">
        <f t="shared" si="24"/>
        <v>18</v>
      </c>
      <c r="Q34" s="62" t="e">
        <f t="shared" si="25"/>
        <v>#VALUE!</v>
      </c>
      <c r="R34" s="62">
        <f t="shared" si="26"/>
        <v>26</v>
      </c>
      <c r="S34" s="62" t="str">
        <f>IFERROR(VLOOKUP(MID(N34,Q34,R34-Q34),[5]skilldef!$C:$D,2,FALSE),"-") &amp; " / " &amp; IFERROR(VLOOKUP(MID(N34,O34,P34-O34),[5]skilldef!$A:$B,2,FALSE),"-")</f>
        <v>- / ディスハート</v>
      </c>
      <c r="T34" s="48" t="str">
        <f t="shared" si="27"/>
        <v>[effect:change_panel_ratio, turn:2, block_type:heal, val:0.5, animation:block_incidence04]</v>
      </c>
      <c r="U34" s="62">
        <f t="shared" si="11"/>
        <v>9</v>
      </c>
      <c r="V34" s="62">
        <f t="shared" si="28"/>
        <v>27</v>
      </c>
      <c r="W34" s="62" t="e">
        <f t="shared" si="29"/>
        <v>#VALUE!</v>
      </c>
      <c r="X34" s="62">
        <f t="shared" si="30"/>
        <v>35</v>
      </c>
      <c r="Y34" s="62" t="str">
        <f>IFERROR(VLOOKUP(MID(T34,W34,X34-W34),[5]skilldef!$C:$D,2,FALSE),"-") &amp; " / " &amp; IFERROR(VLOOKUP(MID(T34,U34,V34-U34),[5]skilldef!$A:$B,2,FALSE),"-")</f>
        <v>- / -</v>
      </c>
      <c r="Z34" s="50"/>
      <c r="AA34" s="52"/>
      <c r="AB34" s="50"/>
      <c r="AC34" s="49" t="s">
        <v>292</v>
      </c>
      <c r="AH34" s="49" t="s">
        <v>309</v>
      </c>
    </row>
    <row r="35" spans="1:35" ht="36" customHeight="1" x14ac:dyDescent="0.15">
      <c r="A35" s="111">
        <v>47016136</v>
      </c>
      <c r="B35" s="116" t="s">
        <v>548</v>
      </c>
      <c r="C35" s="50">
        <v>3</v>
      </c>
      <c r="D35" s="50" t="s">
        <v>127</v>
      </c>
      <c r="E35" s="51" t="s">
        <v>499</v>
      </c>
      <c r="F35" s="51" t="s">
        <v>376</v>
      </c>
      <c r="G35" s="62" t="str">
        <f t="shared" si="19"/>
        <v>[effect:enemy_message, val1:1.3, val2:3.0]</v>
      </c>
      <c r="H35" s="62">
        <f t="shared" si="1"/>
        <v>9</v>
      </c>
      <c r="I35" s="62">
        <f t="shared" si="20"/>
        <v>22</v>
      </c>
      <c r="J35" s="62" t="e">
        <f t="shared" si="21"/>
        <v>#VALUE!</v>
      </c>
      <c r="K35" s="62">
        <f t="shared" si="22"/>
        <v>32</v>
      </c>
      <c r="L35" s="62" t="str">
        <f>IFERROR(VLOOKUP(MID(G35,J35,K35-J35),[5]skilldef!$C:$D,2,FALSE),"-") &amp; " / " &amp; IFERROR(VLOOKUP(MID(G35,H35,I35-H35),[5]skilldef!$A:$B,2,FALSE),"-")</f>
        <v>- / -</v>
      </c>
      <c r="M35" s="62" t="str">
        <f t="shared" si="23"/>
        <v>[effect:damage_gravity, val:0.4, animation:fevergauge_down]</v>
      </c>
      <c r="N35" s="48" t="str">
        <f t="shared" si="18"/>
        <v>[effect:damage_gravity, val:0.4, animation:fevergauge_down]</v>
      </c>
      <c r="O35" s="62">
        <f t="shared" si="6"/>
        <v>9</v>
      </c>
      <c r="P35" s="62">
        <f t="shared" si="24"/>
        <v>23</v>
      </c>
      <c r="Q35" s="62" t="e">
        <f t="shared" si="25"/>
        <v>#VALUE!</v>
      </c>
      <c r="R35" s="62">
        <f t="shared" si="26"/>
        <v>32</v>
      </c>
      <c r="S35" s="62" t="str">
        <f>IFERROR(VLOOKUP(MID(N35,Q35,R35-Q35),[5]skilldef!$C:$D,2,FALSE),"-") &amp; " / " &amp; IFERROR(VLOOKUP(MID(N35,O35,P35-O35),[5]skilldef!$A:$B,2,FALSE),"-")</f>
        <v>- / 割合ダメージ</v>
      </c>
      <c r="T35" s="48" t="str">
        <f t="shared" si="27"/>
        <v>none</v>
      </c>
      <c r="U35" s="62" t="e">
        <f t="shared" si="11"/>
        <v>#VALUE!</v>
      </c>
      <c r="V35" s="62">
        <f t="shared" si="28"/>
        <v>4</v>
      </c>
      <c r="W35" s="62" t="e">
        <f t="shared" si="29"/>
        <v>#VALUE!</v>
      </c>
      <c r="X35" s="62" t="e">
        <f t="shared" si="30"/>
        <v>#VALUE!</v>
      </c>
      <c r="Y35" s="62" t="str">
        <f>IFERROR(VLOOKUP(MID(T35,W35,X35-W35),[5]skilldef!$C:$D,2,FALSE),"-") &amp; " / " &amp; IFERROR(VLOOKUP(MID(T35,U35,V35-U35),[5]skilldef!$A:$B,2,FALSE),"-")</f>
        <v>- / -</v>
      </c>
      <c r="Z35" s="50"/>
      <c r="AA35" s="52"/>
      <c r="AB35" s="50"/>
      <c r="AC35" s="49" t="s">
        <v>293</v>
      </c>
      <c r="AH35" s="49" t="s">
        <v>309</v>
      </c>
    </row>
    <row r="36" spans="1:35" ht="39" customHeight="1" x14ac:dyDescent="0.15">
      <c r="A36" s="111">
        <v>47016137</v>
      </c>
      <c r="B36" s="117" t="s">
        <v>520</v>
      </c>
      <c r="C36" s="50">
        <v>3</v>
      </c>
      <c r="D36" s="50" t="s">
        <v>198</v>
      </c>
      <c r="E36" s="51" t="s">
        <v>442</v>
      </c>
      <c r="F36" s="51" t="s">
        <v>521</v>
      </c>
      <c r="G36" s="62" t="str">
        <f t="shared" si="19"/>
        <v>[effect:enemy_message, val1:1.2, val2:2.1]</v>
      </c>
      <c r="H36" s="62">
        <f t="shared" si="1"/>
        <v>9</v>
      </c>
      <c r="I36" s="62">
        <f t="shared" si="20"/>
        <v>22</v>
      </c>
      <c r="J36" s="62" t="e">
        <f t="shared" si="21"/>
        <v>#VALUE!</v>
      </c>
      <c r="K36" s="62">
        <f t="shared" si="22"/>
        <v>32</v>
      </c>
      <c r="L36" s="62"/>
      <c r="M36" s="62" t="str">
        <f t="shared" si="23"/>
        <v>[effect:force_change_block, new_block:block_red, target:block_blue, count:5, val:0, animation:change_block],[effect:rush, count:1, val:0.7]</v>
      </c>
      <c r="N36" s="48"/>
      <c r="O36" s="62"/>
      <c r="P36" s="62"/>
      <c r="Q36" s="62"/>
      <c r="R36" s="62"/>
      <c r="S36" s="62"/>
      <c r="T36" s="48" t="str">
        <f t="shared" si="27"/>
        <v>[effect:rush, count:1, val:0.7]</v>
      </c>
      <c r="U36" s="62">
        <f t="shared" si="11"/>
        <v>9</v>
      </c>
      <c r="V36" s="62">
        <f t="shared" si="28"/>
        <v>13</v>
      </c>
      <c r="W36" s="62" t="e">
        <f t="shared" si="29"/>
        <v>#VALUE!</v>
      </c>
      <c r="X36" s="62">
        <f t="shared" si="30"/>
        <v>22</v>
      </c>
      <c r="Y36" s="62"/>
      <c r="Z36" s="50"/>
      <c r="AA36" s="52"/>
      <c r="AB36" s="50"/>
      <c r="AC36" s="49" t="s">
        <v>308</v>
      </c>
      <c r="AH36" s="49" t="s">
        <v>309</v>
      </c>
    </row>
    <row r="37" spans="1:35" ht="46" customHeight="1" x14ac:dyDescent="0.15">
      <c r="A37" s="111">
        <v>47016138</v>
      </c>
      <c r="B37" s="116" t="s">
        <v>475</v>
      </c>
      <c r="C37" s="50">
        <v>3</v>
      </c>
      <c r="D37" s="50" t="s">
        <v>127</v>
      </c>
      <c r="E37" s="51" t="s">
        <v>443</v>
      </c>
      <c r="F37" s="51" t="s">
        <v>377</v>
      </c>
      <c r="G37" s="62" t="str">
        <f t="shared" si="19"/>
        <v>[effect:enemy_message, val1:1.6, val2:3.2]</v>
      </c>
      <c r="H37" s="62">
        <f t="shared" si="1"/>
        <v>9</v>
      </c>
      <c r="I37" s="62">
        <f t="shared" si="20"/>
        <v>22</v>
      </c>
      <c r="J37" s="62" t="e">
        <f t="shared" si="21"/>
        <v>#VALUE!</v>
      </c>
      <c r="K37" s="62">
        <f t="shared" si="22"/>
        <v>32</v>
      </c>
      <c r="L37" s="62" t="str">
        <f>IFERROR(VLOOKUP(MID(G37,J37,K37-J37),[5]skilldef!$C:$D,2,FALSE),"-") &amp; " / " &amp; IFERROR(VLOOKUP(MID(G37,H37,I37-H37),[5]skilldef!$A:$B,2,FALSE),"-")</f>
        <v>- / -</v>
      </c>
      <c r="M37" s="62" t="str">
        <f t="shared" si="23"/>
        <v>[effect:drop_freeze, turn:2, block_type:normal, rate:0.4, animation:drop_protect],[effect:rush, count:3, val:0.25]</v>
      </c>
      <c r="N37" s="48" t="str">
        <f t="shared" ref="N37" si="31">IFERROR(LEFT(M37,FIND("],",M37)+S47),M37)</f>
        <v>[effect:drop_freeze, turn:2, block_type:normal, rate:0.4, animation:drop_protect],[effect:rush, count:3, val:0.25]</v>
      </c>
      <c r="O37" s="62">
        <f t="shared" si="6"/>
        <v>9</v>
      </c>
      <c r="P37" s="62">
        <f t="shared" si="24"/>
        <v>20</v>
      </c>
      <c r="Q37" s="62" t="e">
        <f t="shared" si="25"/>
        <v>#VALUE!</v>
      </c>
      <c r="R37" s="62">
        <f t="shared" si="26"/>
        <v>28</v>
      </c>
      <c r="S37" s="62" t="str">
        <f>IFERROR(VLOOKUP(MID(N37,Q37,R37-Q37),[5]skilldef!$C:$D,2,FALSE),"-") &amp; " / " &amp; IFERROR(VLOOKUP(MID(N37,O37,P37-O37),[5]skilldef!$A:$B,2,FALSE),"-")</f>
        <v>- / -</v>
      </c>
      <c r="T37" s="48" t="str">
        <f t="shared" si="27"/>
        <v>[effect:rush, count:3, val:0.25]</v>
      </c>
      <c r="U37" s="62">
        <f t="shared" si="11"/>
        <v>9</v>
      </c>
      <c r="V37" s="62">
        <f t="shared" si="28"/>
        <v>13</v>
      </c>
      <c r="W37" s="62" t="e">
        <f t="shared" si="29"/>
        <v>#VALUE!</v>
      </c>
      <c r="X37" s="62">
        <f t="shared" si="30"/>
        <v>22</v>
      </c>
      <c r="Y37" s="62" t="str">
        <f>IFERROR(VLOOKUP(MID(T37,W37,X37-W37),[5]skilldef!$C:$D,2,FALSE),"-") &amp; " / " &amp; IFERROR(VLOOKUP(MID(T37,U37,V37-U37),[5]skilldef!$A:$B,2,FALSE),"-")</f>
        <v>- / 連続攻撃</v>
      </c>
      <c r="Z37" s="50"/>
      <c r="AA37" s="52"/>
      <c r="AB37" s="50"/>
      <c r="AC37" s="49" t="s">
        <v>294</v>
      </c>
      <c r="AH37" s="49" t="s">
        <v>309</v>
      </c>
    </row>
    <row r="38" spans="1:35" ht="34" customHeight="1" x14ac:dyDescent="0.15">
      <c r="A38" s="112">
        <v>47016139</v>
      </c>
      <c r="B38" s="116" t="s">
        <v>533</v>
      </c>
      <c r="C38" s="50">
        <v>3</v>
      </c>
      <c r="D38" s="50" t="s">
        <v>127</v>
      </c>
      <c r="E38" s="51" t="s">
        <v>444</v>
      </c>
      <c r="F38" s="51" t="s">
        <v>378</v>
      </c>
      <c r="G38" s="62" t="str">
        <f t="shared" si="19"/>
        <v>[effect:enemy_message, val1:1.2, val2:2.3]</v>
      </c>
      <c r="H38" s="62">
        <f t="shared" si="1"/>
        <v>9</v>
      </c>
      <c r="I38" s="62">
        <f t="shared" si="20"/>
        <v>22</v>
      </c>
      <c r="J38" s="62" t="e">
        <f t="shared" si="21"/>
        <v>#VALUE!</v>
      </c>
      <c r="K38" s="62">
        <f t="shared" si="22"/>
        <v>32</v>
      </c>
      <c r="L38" s="62" t="str">
        <f>IFERROR(VLOOKUP(MID(G38,J38,K38-J38),[5]skilldef!$C:$D,2,FALSE),"-") &amp; " / " &amp; IFERROR(VLOOKUP(MID(G38,H38,I38-H38),[5]skilldef!$A:$B,2,FALSE),"-")</f>
        <v>- / -</v>
      </c>
      <c r="M38" s="62" t="str">
        <f t="shared" si="23"/>
        <v>[effect:panel_freeze, target:normal, color:block_red, count:-1],[effect:damage_gravity, val:0.4, animation:fevergauge_down]</v>
      </c>
      <c r="N38" s="48" t="str">
        <f>IFERROR(LEFT(M38,FIND("],",M38)+#REF!),M38)</f>
        <v>[effect:panel_freeze, target:normal, color:block_red, count:-1],[effect:damage_gravity, val:0.4, animation:fevergauge_down]</v>
      </c>
      <c r="O38" s="62">
        <f t="shared" si="6"/>
        <v>9</v>
      </c>
      <c r="P38" s="62">
        <f t="shared" si="24"/>
        <v>21</v>
      </c>
      <c r="Q38" s="62">
        <f t="shared" si="25"/>
        <v>30</v>
      </c>
      <c r="R38" s="62">
        <f t="shared" si="26"/>
        <v>36</v>
      </c>
      <c r="S38" s="62" t="str">
        <f>IFERROR(VLOOKUP(MID(N38,Q38,R38-Q38),[5]skilldef!$C:$D,2,FALSE),"-") &amp; " / " &amp; IFERROR(VLOOKUP(MID(N38,O38,P38-O38),[5]skilldef!$A:$B,2,FALSE),"-")</f>
        <v>- / -</v>
      </c>
      <c r="T38" s="48" t="str">
        <f t="shared" si="27"/>
        <v>[effect:damage_gravity, val:0.4, animation:fevergauge_down]</v>
      </c>
      <c r="U38" s="62">
        <f t="shared" si="11"/>
        <v>9</v>
      </c>
      <c r="V38" s="62">
        <f t="shared" si="28"/>
        <v>23</v>
      </c>
      <c r="W38" s="62" t="e">
        <f t="shared" si="29"/>
        <v>#VALUE!</v>
      </c>
      <c r="X38" s="62">
        <f t="shared" si="30"/>
        <v>32</v>
      </c>
      <c r="Y38" s="62" t="str">
        <f>IFERROR(VLOOKUP(MID(T38,W38,X38-W38),[5]skilldef!$C:$D,2,FALSE),"-") &amp; " / " &amp; IFERROR(VLOOKUP(MID(T38,U38,V38-U38),[5]skilldef!$A:$B,2,FALSE),"-")</f>
        <v>- / 割合ダメージ</v>
      </c>
      <c r="Z38" s="50"/>
      <c r="AA38" s="52"/>
      <c r="AB38" s="50"/>
      <c r="AC38" s="49" t="s">
        <v>295</v>
      </c>
      <c r="AH38" s="49" t="s">
        <v>309</v>
      </c>
    </row>
    <row r="39" spans="1:35" ht="35" customHeight="1" x14ac:dyDescent="0.15">
      <c r="A39" s="112">
        <v>47016140</v>
      </c>
      <c r="B39" s="116" t="s">
        <v>518</v>
      </c>
      <c r="C39" s="50">
        <v>3</v>
      </c>
      <c r="D39" s="50" t="s">
        <v>127</v>
      </c>
      <c r="E39" s="51" t="s">
        <v>445</v>
      </c>
      <c r="F39" s="51" t="s">
        <v>519</v>
      </c>
      <c r="G39" s="62" t="str">
        <f t="shared" si="19"/>
        <v>[effect:enemy_message, val1:1.3, val2:3.7]</v>
      </c>
      <c r="H39" s="62">
        <f t="shared" si="1"/>
        <v>9</v>
      </c>
      <c r="I39" s="62">
        <f t="shared" si="20"/>
        <v>22</v>
      </c>
      <c r="J39" s="62" t="e">
        <f t="shared" si="21"/>
        <v>#VALUE!</v>
      </c>
      <c r="K39" s="62">
        <f t="shared" si="22"/>
        <v>32</v>
      </c>
      <c r="L39" s="62" t="str">
        <f>IFERROR(VLOOKUP(MID(G39,J39,K39-J39),[5]skilldef!$C:$D,2,FALSE),"-") &amp; " / " &amp; IFERROR(VLOOKUP(MID(G39,H39,I39-H39),[5]skilldef!$A:$B,2,FALSE),"-")</f>
        <v>- / -</v>
      </c>
      <c r="M39" s="62" t="str">
        <f t="shared" si="23"/>
        <v>[effect:tolerance, target:myself, turn:-1, count:-1, tolerance_effect:all, animation:enemy_tolerance],[effect:enhance_enemy, target:myself, turn:2, status:attack, val:0.03, calc:mul, animation:enemy_enhance_attack],[effect:attack_break, target:unit_all, turn:3, val:0.5, calc:mul, animation:attack_break02],[effect:fix_speed, target:myself, turn:1]</v>
      </c>
      <c r="N39" s="48" t="str">
        <f>IFERROR(LEFT(M39,FIND("],",M39)+#REF!),M39)</f>
        <v>[effect:tolerance, target:myself, turn:-1, count:-1, tolerance_effect:all, animation:enemy_tolerance],[effect:enhance_enemy, target:myself, turn:2, status:attack, val:0.03, calc:mul, animation:enemy_enhance_attack],[effect:attack_break, target:unit_all, turn:3, val:0.5, calc:mul, animation:attack_break02],[effect:fix_speed, target:myself, turn:1]</v>
      </c>
      <c r="O39" s="62">
        <f t="shared" si="6"/>
        <v>9</v>
      </c>
      <c r="P39" s="62">
        <f t="shared" si="24"/>
        <v>18</v>
      </c>
      <c r="Q39" s="62">
        <f t="shared" si="25"/>
        <v>27</v>
      </c>
      <c r="R39" s="62">
        <f t="shared" si="26"/>
        <v>33</v>
      </c>
      <c r="S39" s="62" t="str">
        <f>IFERROR(VLOOKUP(MID(N39,Q39,R39-Q39),[5]skilldef!$C:$D,2,FALSE),"-") &amp; " / " &amp; IFERROR(VLOOKUP(MID(N39,O39,P39-O39),[5]skilldef!$A:$B,2,FALSE),"-")</f>
        <v>自分自身に / 状態異常耐性</v>
      </c>
      <c r="T39" s="48" t="str">
        <f t="shared" si="27"/>
        <v>[effect:enhance_enemy, target:myself, turn:2, status:attack, val:0.03, calc:mul, animation:enemy_enhance_attack],[effect:attack_break, target:unit_all, turn:3, val:0.5, calc:mul, animation:attack_break02],[effect:fix_speed, target:myself, turn:1]</v>
      </c>
      <c r="U39" s="62">
        <f t="shared" si="11"/>
        <v>9</v>
      </c>
      <c r="V39" s="62">
        <f t="shared" si="28"/>
        <v>22</v>
      </c>
      <c r="W39" s="62">
        <f t="shared" si="29"/>
        <v>31</v>
      </c>
      <c r="X39" s="62">
        <f t="shared" si="30"/>
        <v>37</v>
      </c>
      <c r="Y39" s="62" t="str">
        <f>IFERROR(VLOOKUP(MID(T39,W39,X39-W39),[5]skilldef!$C:$D,2,FALSE),"-") &amp; " / " &amp; IFERROR(VLOOKUP(MID(T39,U39,V39-U39),[5]skilldef!$A:$B,2,FALSE),"-")</f>
        <v>自分自身に / ステータス強化</v>
      </c>
      <c r="Z39" s="50"/>
      <c r="AA39" s="52"/>
      <c r="AB39" s="50"/>
      <c r="AC39" s="49" t="s">
        <v>297</v>
      </c>
      <c r="AG39" s="49" t="s">
        <v>306</v>
      </c>
      <c r="AH39" s="49" t="s">
        <v>309</v>
      </c>
    </row>
    <row r="40" spans="1:35" ht="53" customHeight="1" x14ac:dyDescent="0.15">
      <c r="A40" s="112">
        <v>47016141</v>
      </c>
      <c r="B40" s="116" t="s">
        <v>534</v>
      </c>
      <c r="C40" s="50">
        <v>3</v>
      </c>
      <c r="D40" s="50" t="s">
        <v>127</v>
      </c>
      <c r="E40" s="113" t="s">
        <v>446</v>
      </c>
      <c r="F40" s="51" t="s">
        <v>379</v>
      </c>
      <c r="G40" s="62" t="str">
        <f t="shared" si="19"/>
        <v>[effect:enemy_message, val1:1.2, val2:3.4]</v>
      </c>
      <c r="H40" s="62">
        <f t="shared" si="1"/>
        <v>9</v>
      </c>
      <c r="I40" s="62">
        <f t="shared" si="20"/>
        <v>22</v>
      </c>
      <c r="J40" s="62" t="e">
        <f t="shared" si="21"/>
        <v>#VALUE!</v>
      </c>
      <c r="K40" s="62">
        <f t="shared" si="22"/>
        <v>32</v>
      </c>
      <c r="L40" s="62" t="str">
        <f>IFERROR(VLOOKUP(MID(G40,J40,K40-J40),[5]skilldef!$C:$D,2,FALSE),"-") &amp; " / " &amp; IFERROR(VLOOKUP(MID(G40,H40,I40-H40),[5]skilldef!$A:$B,2,FALSE),"-")</f>
        <v>- / -</v>
      </c>
      <c r="M40" s="62" t="str">
        <f t="shared" si="23"/>
        <v>[effect:change_range_block, block_change:1, base_type:0, square_count:5, position01:5, position02:15, value_h01:1, value_h02:1, value_w01:5, value_w02:5,  new_block:block_red, target:normal, count:0, val:0, animation:change_range_block],[effect:panel_freeze, target:normal, color:block_red, count:8],[effect:rush, count:1, val:0.7]</v>
      </c>
      <c r="N40" s="48" t="str">
        <f>IFERROR(LEFT(M40,FIND("],",M40)+#REF!),M40)</f>
        <v>[effect:change_range_block, block_change:1, base_type:0, square_count:5, position01:5, position02:15, value_h01:1, value_h02:1, value_w01:5, value_w02:5,  new_block:block_red, target:normal, count:0, val:0, animation:change_range_block],[effect:panel_freeze, target:normal, color:block_red, count:8],[effect:rush, count:1, val:0.7]</v>
      </c>
      <c r="O40" s="62">
        <f t="shared" si="6"/>
        <v>9</v>
      </c>
      <c r="P40" s="62">
        <f t="shared" si="24"/>
        <v>27</v>
      </c>
      <c r="Q40" s="62">
        <f t="shared" si="25"/>
        <v>184</v>
      </c>
      <c r="R40" s="62">
        <f t="shared" si="26"/>
        <v>43</v>
      </c>
      <c r="S40" s="62" t="str">
        <f>IFERROR(VLOOKUP(MID(N40,Q40,R40-Q40),[5]skilldef!$C:$D,2,FALSE),"-") &amp; " / " &amp; IFERROR(VLOOKUP(MID(N40,O40,P40-O40),[5]skilldef!$A:$B,2,FALSE),"-")</f>
        <v>- / -</v>
      </c>
      <c r="T40" s="48" t="str">
        <f t="shared" si="27"/>
        <v>[effect:panel_freeze, target:normal, color:block_red, count:8],[effect:rush, count:1, val:0.7]</v>
      </c>
      <c r="U40" s="62">
        <f t="shared" si="11"/>
        <v>9</v>
      </c>
      <c r="V40" s="62">
        <f t="shared" si="28"/>
        <v>21</v>
      </c>
      <c r="W40" s="62">
        <f t="shared" si="29"/>
        <v>30</v>
      </c>
      <c r="X40" s="62">
        <f t="shared" si="30"/>
        <v>36</v>
      </c>
      <c r="Y40" s="62" t="str">
        <f>IFERROR(VLOOKUP(MID(T40,W40,X40-W40),[5]skilldef!$C:$D,2,FALSE),"-") &amp; " / " &amp; IFERROR(VLOOKUP(MID(T40,U40,V40-U40),[5]skilldef!$A:$B,2,FALSE),"-")</f>
        <v>- / -</v>
      </c>
      <c r="Z40" s="50"/>
      <c r="AA40" s="52"/>
      <c r="AB40" s="50"/>
      <c r="AC40" s="49" t="s">
        <v>298</v>
      </c>
      <c r="AH40" s="49" t="s">
        <v>309</v>
      </c>
    </row>
    <row r="41" spans="1:35" ht="31" customHeight="1" x14ac:dyDescent="0.15">
      <c r="A41" s="112">
        <v>47016142</v>
      </c>
      <c r="B41" s="116" t="s">
        <v>476</v>
      </c>
      <c r="C41" s="50">
        <v>3</v>
      </c>
      <c r="D41" s="50" t="s">
        <v>127</v>
      </c>
      <c r="E41" s="51" t="s">
        <v>447</v>
      </c>
      <c r="F41" s="51" t="s">
        <v>448</v>
      </c>
      <c r="G41" s="62" t="str">
        <f t="shared" si="19"/>
        <v>[effect:enemy_message, val1:1.2, val2:1.2]</v>
      </c>
      <c r="H41" s="62">
        <f t="shared" si="1"/>
        <v>9</v>
      </c>
      <c r="I41" s="62">
        <f t="shared" si="20"/>
        <v>22</v>
      </c>
      <c r="J41" s="62" t="e">
        <f t="shared" si="21"/>
        <v>#VALUE!</v>
      </c>
      <c r="K41" s="62">
        <f t="shared" si="22"/>
        <v>32</v>
      </c>
      <c r="L41" s="62" t="str">
        <f>IFERROR(VLOOKUP(MID(G41,J41,K41-J41),[5]skilldef!$C:$D,2,FALSE),"-") &amp; " / " &amp; IFERROR(VLOOKUP(MID(G41,H41,I41-H41),[5]skilldef!$A:$B,2,FALSE),"-")</f>
        <v>- / -</v>
      </c>
      <c r="M41" s="62" t="str">
        <f t="shared" si="23"/>
        <v>[effect:rush, count:2, val:0.44]</v>
      </c>
      <c r="N41" s="48" t="str">
        <f>IFERROR(LEFT(M41,FIND("],",M41)+#REF!),M41)</f>
        <v>[effect:rush, count:2, val:0.44]</v>
      </c>
      <c r="O41" s="62">
        <f t="shared" si="6"/>
        <v>9</v>
      </c>
      <c r="P41" s="62">
        <f t="shared" si="24"/>
        <v>13</v>
      </c>
      <c r="Q41" s="62" t="e">
        <f t="shared" si="25"/>
        <v>#VALUE!</v>
      </c>
      <c r="R41" s="62">
        <f t="shared" si="26"/>
        <v>22</v>
      </c>
      <c r="S41" s="62" t="str">
        <f>IFERROR(VLOOKUP(MID(N41,Q41,R41-Q41),[5]skilldef!$C:$D,2,FALSE),"-") &amp; " / " &amp; IFERROR(VLOOKUP(MID(N41,O41,P41-O41),[5]skilldef!$A:$B,2,FALSE),"-")</f>
        <v>- / 連続攻撃</v>
      </c>
      <c r="T41" s="48" t="str">
        <f t="shared" si="27"/>
        <v>none</v>
      </c>
      <c r="U41" s="62" t="e">
        <f t="shared" si="11"/>
        <v>#VALUE!</v>
      </c>
      <c r="V41" s="62">
        <f t="shared" si="28"/>
        <v>4</v>
      </c>
      <c r="W41" s="62" t="e">
        <f t="shared" si="29"/>
        <v>#VALUE!</v>
      </c>
      <c r="X41" s="62" t="e">
        <f t="shared" si="30"/>
        <v>#VALUE!</v>
      </c>
      <c r="Y41" s="62" t="str">
        <f>IFERROR(VLOOKUP(MID(T41,W41,X41-W41),[5]skilldef!$C:$D,2,FALSE),"-") &amp; " / " &amp; IFERROR(VLOOKUP(MID(T41,U41,V41-U41),[5]skilldef!$A:$B,2,FALSE),"-")</f>
        <v>- / -</v>
      </c>
      <c r="Z41" s="50"/>
      <c r="AA41" s="52"/>
      <c r="AB41" s="50"/>
      <c r="AC41" s="49" t="s">
        <v>299</v>
      </c>
      <c r="AH41" s="49" t="s">
        <v>309</v>
      </c>
    </row>
    <row r="42" spans="1:35" ht="29" customHeight="1" x14ac:dyDescent="0.15">
      <c r="A42" s="112">
        <v>47016143</v>
      </c>
      <c r="B42" s="116" t="s">
        <v>535</v>
      </c>
      <c r="C42" s="50">
        <v>3</v>
      </c>
      <c r="D42" s="50" t="s">
        <v>127</v>
      </c>
      <c r="E42" s="51" t="s">
        <v>449</v>
      </c>
      <c r="F42" s="51" t="s">
        <v>380</v>
      </c>
      <c r="G42" s="62" t="str">
        <f t="shared" ref="G42:G47" si="32">IFERROR(LEFT(B42,FIND("],",B42)),B42)</f>
        <v>[effect:enemy_message, val1:1.2, val2:2.3]</v>
      </c>
      <c r="H42" s="62">
        <f t="shared" si="1"/>
        <v>9</v>
      </c>
      <c r="I42" s="62">
        <f t="shared" ref="I42:I47" si="33">IFERROR(FIND(",",G42),LEN(G42))</f>
        <v>22</v>
      </c>
      <c r="J42" s="62" t="e">
        <f t="shared" ref="J42:J47" si="34">FIND("target:",G42)+7</f>
        <v>#VALUE!</v>
      </c>
      <c r="K42" s="62">
        <f t="shared" ref="K42:K47" si="35">FIND(",",G42,I42+1)</f>
        <v>32</v>
      </c>
      <c r="L42" s="62" t="str">
        <f>IFERROR(VLOOKUP(MID(G42,J42,K42-J42),[5]skilldef!$C:$D,2,FALSE),"-") &amp; " / " &amp; IFERROR(VLOOKUP(MID(G42,H42,I42-H42),[5]skilldef!$A:$B,2,FALSE),"-")</f>
        <v>- / -</v>
      </c>
      <c r="M42" s="62" t="str">
        <f t="shared" ref="M42:M47" si="36">IFERROR(RIGHT(B42,LEN(B42)-FIND("],",B42)-1),"none")</f>
        <v>[effect:panel_freeze, target:normal, color:block_blue, count:10],[effect:rush, count:4, val:0.15]</v>
      </c>
      <c r="N42" s="48" t="str">
        <f>IFERROR(LEFT(M42,FIND("],",M42)+#REF!),M42)</f>
        <v>[effect:panel_freeze, target:normal, color:block_blue, count:10],[effect:rush, count:4, val:0.15]</v>
      </c>
      <c r="O42" s="62">
        <f t="shared" si="6"/>
        <v>9</v>
      </c>
      <c r="P42" s="62">
        <f t="shared" ref="P42:P47" si="37">IFERROR(FIND(",",N42),LEN(N42))</f>
        <v>21</v>
      </c>
      <c r="Q42" s="62">
        <f t="shared" ref="Q42:Q47" si="38">FIND("target:",N42)+7</f>
        <v>30</v>
      </c>
      <c r="R42" s="62">
        <f t="shared" ref="R42:R47" si="39">FIND(",",N42,P42+1)</f>
        <v>36</v>
      </c>
      <c r="S42" s="62" t="str">
        <f>IFERROR(VLOOKUP(MID(N42,Q42,R42-Q42),[5]skilldef!$C:$D,2,FALSE),"-") &amp; " / " &amp; IFERROR(VLOOKUP(MID(N42,O42,P42-O42),[5]skilldef!$A:$B,2,FALSE),"-")</f>
        <v>- / -</v>
      </c>
      <c r="T42" s="48" t="str">
        <f t="shared" ref="T42:T47" si="40">IFERROR(RIGHT(M42,LEN(M42)-FIND("],",M42)-1),"none")</f>
        <v>[effect:rush, count:4, val:0.15]</v>
      </c>
      <c r="U42" s="62">
        <f t="shared" si="11"/>
        <v>9</v>
      </c>
      <c r="V42" s="62">
        <f t="shared" ref="V42:V47" si="41">IFERROR(FIND(",",T42),LEN(T42))</f>
        <v>13</v>
      </c>
      <c r="W42" s="62" t="e">
        <f t="shared" ref="W42:W47" si="42">FIND("target:",T42)+7</f>
        <v>#VALUE!</v>
      </c>
      <c r="X42" s="62">
        <f t="shared" ref="X42:X47" si="43">FIND(",",T42,V42+1)</f>
        <v>22</v>
      </c>
      <c r="Y42" s="62" t="str">
        <f>IFERROR(VLOOKUP(MID(T42,W42,X42-W42),[5]skilldef!$C:$D,2,FALSE),"-") &amp; " / " &amp; IFERROR(VLOOKUP(MID(T42,U42,V42-U42),[5]skilldef!$A:$B,2,FALSE),"-")</f>
        <v>- / 連続攻撃</v>
      </c>
      <c r="Z42" s="50"/>
      <c r="AA42" s="52"/>
      <c r="AB42" s="50"/>
      <c r="AC42" s="49" t="s">
        <v>300</v>
      </c>
      <c r="AH42" s="49" t="s">
        <v>309</v>
      </c>
    </row>
    <row r="43" spans="1:35" ht="31" customHeight="1" x14ac:dyDescent="0.15">
      <c r="A43" s="112">
        <v>47016144</v>
      </c>
      <c r="B43" s="116" t="s">
        <v>477</v>
      </c>
      <c r="C43" s="50">
        <v>3</v>
      </c>
      <c r="D43" s="50" t="s">
        <v>127</v>
      </c>
      <c r="E43" s="51" t="s">
        <v>450</v>
      </c>
      <c r="F43" s="51" t="s">
        <v>381</v>
      </c>
      <c r="G43" s="62" t="str">
        <f t="shared" si="32"/>
        <v>[effect:enemy_message, val1:1.3, val2:2.1]</v>
      </c>
      <c r="H43" s="62">
        <f t="shared" si="1"/>
        <v>9</v>
      </c>
      <c r="I43" s="62">
        <f t="shared" si="33"/>
        <v>22</v>
      </c>
      <c r="J43" s="62" t="e">
        <f t="shared" si="34"/>
        <v>#VALUE!</v>
      </c>
      <c r="K43" s="62">
        <f t="shared" si="35"/>
        <v>32</v>
      </c>
      <c r="L43" s="62" t="str">
        <f>IFERROR(VLOOKUP(MID(G43,J43,K43-J43),[5]skilldef!$C:$D,2,FALSE),"-") &amp; " / " &amp; IFERROR(VLOOKUP(MID(G43,H43,I43-H43),[5]skilldef!$A:$B,2,FALSE),"-")</f>
        <v>- / -</v>
      </c>
      <c r="M43" s="62" t="str">
        <f t="shared" si="36"/>
        <v>[effect:drop_freeze, turn:3, block_type:normal, block_color:block_red, rate:1.0, animation:drop_protect]</v>
      </c>
      <c r="N43" s="48" t="str">
        <f>IFERROR(LEFT(M43,FIND("],",M43)+#REF!),M43)</f>
        <v>[effect:drop_freeze, turn:3, block_type:normal, block_color:block_red, rate:1.0, animation:drop_protect]</v>
      </c>
      <c r="O43" s="62">
        <f t="shared" si="6"/>
        <v>9</v>
      </c>
      <c r="P43" s="62">
        <f t="shared" si="37"/>
        <v>20</v>
      </c>
      <c r="Q43" s="62" t="e">
        <f t="shared" si="38"/>
        <v>#VALUE!</v>
      </c>
      <c r="R43" s="62">
        <f t="shared" si="39"/>
        <v>28</v>
      </c>
      <c r="S43" s="62" t="str">
        <f>IFERROR(VLOOKUP(MID(N43,Q43,R43-Q43),[5]skilldef!$C:$D,2,FALSE),"-") &amp; " / " &amp; IFERROR(VLOOKUP(MID(N43,O43,P43-O43),[5]skilldef!$A:$B,2,FALSE),"-")</f>
        <v>- / -</v>
      </c>
      <c r="T43" s="48" t="str">
        <f t="shared" si="40"/>
        <v>none</v>
      </c>
      <c r="U43" s="62" t="e">
        <f t="shared" si="11"/>
        <v>#VALUE!</v>
      </c>
      <c r="V43" s="62">
        <f t="shared" si="41"/>
        <v>4</v>
      </c>
      <c r="W43" s="62" t="e">
        <f t="shared" si="42"/>
        <v>#VALUE!</v>
      </c>
      <c r="X43" s="62" t="e">
        <f t="shared" si="43"/>
        <v>#VALUE!</v>
      </c>
      <c r="Y43" s="62" t="str">
        <f>IFERROR(VLOOKUP(MID(T43,W43,X43-W43),[5]skilldef!$C:$D,2,FALSE),"-") &amp; " / " &amp; IFERROR(VLOOKUP(MID(T43,U43,V43-U43),[5]skilldef!$A:$B,2,FALSE),"-")</f>
        <v>- / -</v>
      </c>
      <c r="Z43" s="50"/>
      <c r="AA43" s="52"/>
      <c r="AB43" s="50"/>
      <c r="AC43" s="49" t="s">
        <v>302</v>
      </c>
      <c r="AH43" s="49" t="s">
        <v>309</v>
      </c>
    </row>
    <row r="44" spans="1:35" ht="35" customHeight="1" x14ac:dyDescent="0.15">
      <c r="A44" s="112">
        <v>47016145</v>
      </c>
      <c r="B44" s="116" t="s">
        <v>478</v>
      </c>
      <c r="C44" s="50">
        <v>3</v>
      </c>
      <c r="D44" s="50" t="s">
        <v>127</v>
      </c>
      <c r="E44" s="51" t="s">
        <v>451</v>
      </c>
      <c r="F44" s="51" t="s">
        <v>382</v>
      </c>
      <c r="G44" s="62" t="str">
        <f t="shared" si="32"/>
        <v>[effect:enemy_message, val1:1.2, val2:2.6]</v>
      </c>
      <c r="H44" s="62">
        <f t="shared" si="1"/>
        <v>9</v>
      </c>
      <c r="I44" s="62">
        <f t="shared" si="33"/>
        <v>22</v>
      </c>
      <c r="J44" s="62" t="e">
        <f t="shared" si="34"/>
        <v>#VALUE!</v>
      </c>
      <c r="K44" s="62">
        <f t="shared" si="35"/>
        <v>32</v>
      </c>
      <c r="L44" s="62" t="str">
        <f>IFERROR(VLOOKUP(MID(G44,J44,K44-J44),[5]skilldef!$C:$D,2,FALSE),"-") &amp; " / " &amp; IFERROR(VLOOKUP(MID(G44,H44,I44-H44),[5]skilldef!$A:$B,2,FALSE),"-")</f>
        <v>- / -</v>
      </c>
      <c r="M44" s="62" t="str">
        <f t="shared" si="36"/>
        <v>[effect:drop_freeze, turn:5, block_type:normal, block_color:block_blue, rate:1.0, animation:drop_protect],[effect:spread, val:0.2]</v>
      </c>
      <c r="N44" s="48" t="str">
        <f>IFERROR(LEFT(M44,FIND("],",M44)+S72),M44)</f>
        <v>[effect:drop_freeze, turn:5, block_type:normal, block_color:block_blue, rate:1.0, animation:drop_protect]</v>
      </c>
      <c r="O44" s="62">
        <f t="shared" si="6"/>
        <v>9</v>
      </c>
      <c r="P44" s="62">
        <f t="shared" si="37"/>
        <v>20</v>
      </c>
      <c r="Q44" s="62" t="e">
        <f t="shared" si="38"/>
        <v>#VALUE!</v>
      </c>
      <c r="R44" s="62">
        <f t="shared" si="39"/>
        <v>28</v>
      </c>
      <c r="S44" s="62" t="str">
        <f>IFERROR(VLOOKUP(MID(N44,Q44,R44-Q44),[5]skilldef!$C:$D,2,FALSE),"-") &amp; " / " &amp; IFERROR(VLOOKUP(MID(N44,O44,P44-O44),[5]skilldef!$A:$B,2,FALSE),"-")</f>
        <v>- / -</v>
      </c>
      <c r="T44" s="48" t="str">
        <f t="shared" si="40"/>
        <v>[effect:spread, val:0.2]</v>
      </c>
      <c r="U44" s="62">
        <f t="shared" si="11"/>
        <v>9</v>
      </c>
      <c r="V44" s="62">
        <f t="shared" si="41"/>
        <v>15</v>
      </c>
      <c r="W44" s="62" t="e">
        <f t="shared" si="42"/>
        <v>#VALUE!</v>
      </c>
      <c r="X44" s="62" t="e">
        <f t="shared" si="43"/>
        <v>#VALUE!</v>
      </c>
      <c r="Y44" s="62" t="str">
        <f>IFERROR(VLOOKUP(MID(T44,W44,X44-W44),[5]skilldef!$C:$D,2,FALSE),"-") &amp; " / " &amp; IFERROR(VLOOKUP(MID(T44,U44,V44-U44),[5]skilldef!$A:$B,2,FALSE),"-")</f>
        <v>- / 全体攻撃</v>
      </c>
      <c r="Z44" s="50"/>
      <c r="AA44" s="52"/>
      <c r="AB44" s="50"/>
      <c r="AC44" s="49" t="s">
        <v>301</v>
      </c>
      <c r="AH44" s="49" t="s">
        <v>309</v>
      </c>
    </row>
    <row r="45" spans="1:35" ht="35" customHeight="1" x14ac:dyDescent="0.15">
      <c r="A45" s="112">
        <v>47016146</v>
      </c>
      <c r="B45" s="116" t="s">
        <v>479</v>
      </c>
      <c r="C45" s="50">
        <v>3</v>
      </c>
      <c r="D45" s="50" t="s">
        <v>127</v>
      </c>
      <c r="E45" s="51" t="s">
        <v>452</v>
      </c>
      <c r="F45" s="51" t="s">
        <v>383</v>
      </c>
      <c r="G45" s="62" t="e">
        <f>IFERROR(LEFT(#REF!,FIND("],",#REF!)),#REF!)</f>
        <v>#REF!</v>
      </c>
      <c r="H45" s="62" t="e">
        <f t="shared" si="1"/>
        <v>#REF!</v>
      </c>
      <c r="I45" s="62" t="e">
        <f t="shared" si="33"/>
        <v>#REF!</v>
      </c>
      <c r="J45" s="62" t="e">
        <f t="shared" si="34"/>
        <v>#REF!</v>
      </c>
      <c r="K45" s="62" t="e">
        <f t="shared" si="35"/>
        <v>#REF!</v>
      </c>
      <c r="L45" s="62" t="str">
        <f>IFERROR(VLOOKUP(MID(G45,J45,K45-J45),[5]skilldef!$C:$D,2,FALSE),"-") &amp; " / " &amp; IFERROR(VLOOKUP(MID(G45,H45,I45-H45),[5]skilldef!$A:$B,2,FALSE),"-")</f>
        <v>- / -</v>
      </c>
      <c r="M45" s="62" t="str">
        <f>IFERROR(RIGHT(#REF!,LEN(#REF!)-FIND("],",#REF!)-1),"none")</f>
        <v>none</v>
      </c>
      <c r="N45" s="48" t="str">
        <f>IFERROR(LEFT(M45,FIND("],",M45)+S73),M45)</f>
        <v>none</v>
      </c>
      <c r="O45" s="62" t="e">
        <f t="shared" si="6"/>
        <v>#VALUE!</v>
      </c>
      <c r="P45" s="62">
        <f t="shared" si="37"/>
        <v>4</v>
      </c>
      <c r="Q45" s="62" t="e">
        <f t="shared" si="38"/>
        <v>#VALUE!</v>
      </c>
      <c r="R45" s="62" t="e">
        <f t="shared" si="39"/>
        <v>#VALUE!</v>
      </c>
      <c r="S45" s="62" t="str">
        <f>IFERROR(VLOOKUP(MID(N45,Q45,R45-Q45),[5]skilldef!$C:$D,2,FALSE),"-") &amp; " / " &amp; IFERROR(VLOOKUP(MID(N45,O45,P45-O45),[5]skilldef!$A:$B,2,FALSE),"-")</f>
        <v>- / -</v>
      </c>
      <c r="T45" s="48" t="str">
        <f t="shared" si="40"/>
        <v>none</v>
      </c>
      <c r="U45" s="62" t="e">
        <f t="shared" si="11"/>
        <v>#VALUE!</v>
      </c>
      <c r="V45" s="62">
        <f t="shared" si="41"/>
        <v>4</v>
      </c>
      <c r="W45" s="62" t="e">
        <f t="shared" si="42"/>
        <v>#VALUE!</v>
      </c>
      <c r="X45" s="62" t="e">
        <f t="shared" si="43"/>
        <v>#VALUE!</v>
      </c>
      <c r="Y45" s="62" t="str">
        <f>IFERROR(VLOOKUP(MID(T45,W45,X45-W45),[5]skilldef!$C:$D,2,FALSE),"-") &amp; " / " &amp; IFERROR(VLOOKUP(MID(T45,U45,V45-U45),[5]skilldef!$A:$B,2,FALSE),"-")</f>
        <v>- / -</v>
      </c>
      <c r="Z45" s="50"/>
      <c r="AA45" s="52"/>
      <c r="AB45" s="50"/>
      <c r="AC45" s="49" t="s">
        <v>303</v>
      </c>
      <c r="AH45" s="49" t="s">
        <v>309</v>
      </c>
    </row>
    <row r="46" spans="1:35" ht="50" customHeight="1" x14ac:dyDescent="0.15">
      <c r="A46" s="112">
        <v>47016147</v>
      </c>
      <c r="B46" s="118" t="s">
        <v>480</v>
      </c>
      <c r="C46" s="50">
        <v>3</v>
      </c>
      <c r="D46" s="50" t="s">
        <v>127</v>
      </c>
      <c r="E46" s="51" t="s">
        <v>453</v>
      </c>
      <c r="F46" s="51" t="s">
        <v>454</v>
      </c>
      <c r="G46" s="62" t="str">
        <f>IFERROR(LEFT(B45,FIND("],",B45)),B45)</f>
        <v>[effect:enemy_message, val1:1.2, val2:2.7]</v>
      </c>
      <c r="H46" s="62">
        <f t="shared" si="1"/>
        <v>9</v>
      </c>
      <c r="I46" s="62">
        <f t="shared" si="33"/>
        <v>22</v>
      </c>
      <c r="J46" s="62" t="e">
        <f t="shared" si="34"/>
        <v>#VALUE!</v>
      </c>
      <c r="K46" s="62">
        <f t="shared" si="35"/>
        <v>32</v>
      </c>
      <c r="L46" s="62" t="str">
        <f>IFERROR(VLOOKUP(MID(G46,J46,K46-J46),[5]skilldef!$C:$D,2,FALSE),"-") &amp; " / " &amp; IFERROR(VLOOKUP(MID(G46,H46,I46-H46),[5]skilldef!$A:$B,2,FALSE),"-")</f>
        <v>- / -</v>
      </c>
      <c r="M46" s="62" t="str">
        <f>IFERROR(RIGHT(B45,LEN(B45)-FIND("],",B45)-1),"none")</f>
        <v>[effect:change_range_block, block_change:1, base_type:0, square_count:5, position01:6, value_h01:4.0, value_w01:3.0, new_block:block_red, target:normal, count:0, val:0, animation:change_range_block],[effect:damage_gravity, val:0.5, animation:fevergauge_down]</v>
      </c>
      <c r="N46" s="48" t="str">
        <f>IFERROR(LEFT(M46,FIND("],",M46)+S74),M46)</f>
        <v>[effect:change_range_block, block_change:1, base_type:0, square_count:5, position01:6, value_h01:4.0, value_w01:3.0, new_block:block_red, target:normal, count:0, val:0, animation:change_range_block]</v>
      </c>
      <c r="O46" s="62">
        <f t="shared" si="6"/>
        <v>9</v>
      </c>
      <c r="P46" s="62">
        <f t="shared" si="37"/>
        <v>27</v>
      </c>
      <c r="Q46" s="62">
        <f t="shared" si="38"/>
        <v>146</v>
      </c>
      <c r="R46" s="62">
        <f t="shared" si="39"/>
        <v>43</v>
      </c>
      <c r="S46" s="62" t="str">
        <f>IFERROR(VLOOKUP(MID(N46,Q46,R46-Q46),[5]skilldef!$C:$D,2,FALSE),"-") &amp; " / " &amp; IFERROR(VLOOKUP(MID(N46,O46,P46-O46),[5]skilldef!$A:$B,2,FALSE),"-")</f>
        <v>- / -</v>
      </c>
      <c r="T46" s="48" t="str">
        <f t="shared" si="40"/>
        <v>[effect:damage_gravity, val:0.5, animation:fevergauge_down]</v>
      </c>
      <c r="U46" s="62">
        <f t="shared" si="11"/>
        <v>9</v>
      </c>
      <c r="V46" s="62">
        <f t="shared" si="41"/>
        <v>23</v>
      </c>
      <c r="W46" s="62" t="e">
        <f t="shared" si="42"/>
        <v>#VALUE!</v>
      </c>
      <c r="X46" s="62">
        <f t="shared" si="43"/>
        <v>32</v>
      </c>
      <c r="Y46" s="62" t="str">
        <f>IFERROR(VLOOKUP(MID(T46,W46,X46-W46),[5]skilldef!$C:$D,2,FALSE),"-") &amp; " / " &amp; IFERROR(VLOOKUP(MID(T46,U46,V46-U46),[5]skilldef!$A:$B,2,FALSE),"-")</f>
        <v>- / 割合ダメージ</v>
      </c>
      <c r="Z46" s="50"/>
      <c r="AA46" s="52"/>
      <c r="AB46" s="50"/>
      <c r="AC46" s="49" t="s">
        <v>304</v>
      </c>
      <c r="AH46" s="49" t="s">
        <v>309</v>
      </c>
      <c r="AI46" s="49" t="s">
        <v>310</v>
      </c>
    </row>
    <row r="47" spans="1:35" ht="27" customHeight="1" thickBot="1" x14ac:dyDescent="0.2">
      <c r="A47" s="138">
        <v>47016148</v>
      </c>
      <c r="B47" s="160" t="s">
        <v>513</v>
      </c>
      <c r="C47" s="50">
        <v>3</v>
      </c>
      <c r="D47" s="161" t="s">
        <v>127</v>
      </c>
      <c r="E47" s="162" t="s">
        <v>455</v>
      </c>
      <c r="F47" s="162" t="s">
        <v>456</v>
      </c>
      <c r="G47" s="163" t="str">
        <f t="shared" si="32"/>
        <v>[effect:enemy_message, val1:1.7, val2:2.2]</v>
      </c>
      <c r="H47" s="163">
        <f t="shared" si="1"/>
        <v>9</v>
      </c>
      <c r="I47" s="163">
        <f t="shared" si="33"/>
        <v>22</v>
      </c>
      <c r="J47" s="163" t="e">
        <f t="shared" si="34"/>
        <v>#VALUE!</v>
      </c>
      <c r="K47" s="163">
        <f t="shared" si="35"/>
        <v>32</v>
      </c>
      <c r="L47" s="163" t="str">
        <f>IFERROR(VLOOKUP(MID(G47,J47,K47-J47),[5]skilldef!$C:$D,2,FALSE),"-") &amp; " / " &amp; IFERROR(VLOOKUP(MID(G47,H47,I47-H47),[5]skilldef!$A:$B,2,FALSE),"-")</f>
        <v>- / -</v>
      </c>
      <c r="M47" s="163" t="str">
        <f t="shared" si="36"/>
        <v>none</v>
      </c>
      <c r="N47" s="164" t="str">
        <f>IFERROR(LEFT(M47,FIND("],",M47)+S75),M47)</f>
        <v>none</v>
      </c>
      <c r="O47" s="163" t="e">
        <f t="shared" si="6"/>
        <v>#VALUE!</v>
      </c>
      <c r="P47" s="163">
        <f t="shared" si="37"/>
        <v>4</v>
      </c>
      <c r="Q47" s="163" t="e">
        <f t="shared" si="38"/>
        <v>#VALUE!</v>
      </c>
      <c r="R47" s="163" t="e">
        <f t="shared" si="39"/>
        <v>#VALUE!</v>
      </c>
      <c r="S47" s="163" t="str">
        <f>IFERROR(VLOOKUP(MID(N47,Q47,R47-Q47),[5]skilldef!$C:$D,2,FALSE),"-") &amp; " / " &amp; IFERROR(VLOOKUP(MID(N47,O47,P47-O47),[5]skilldef!$A:$B,2,FALSE),"-")</f>
        <v>- / -</v>
      </c>
      <c r="T47" s="164" t="str">
        <f t="shared" si="40"/>
        <v>none</v>
      </c>
      <c r="U47" s="163" t="e">
        <f t="shared" si="11"/>
        <v>#VALUE!</v>
      </c>
      <c r="V47" s="163">
        <f t="shared" si="41"/>
        <v>4</v>
      </c>
      <c r="W47" s="163" t="e">
        <f t="shared" si="42"/>
        <v>#VALUE!</v>
      </c>
      <c r="X47" s="163" t="e">
        <f t="shared" si="43"/>
        <v>#VALUE!</v>
      </c>
      <c r="Y47" s="163" t="str">
        <f>IFERROR(VLOOKUP(MID(T47,W47,X47-W47),[5]skilldef!$C:$D,2,FALSE),"-") &amp; " / " &amp; IFERROR(VLOOKUP(MID(T47,U47,V47-U47),[5]skilldef!$A:$B,2,FALSE),"-")</f>
        <v>- / -</v>
      </c>
      <c r="Z47" s="161"/>
      <c r="AA47" s="165"/>
      <c r="AB47" s="161"/>
      <c r="AC47" s="49" t="s">
        <v>305</v>
      </c>
    </row>
    <row r="48" spans="1:35" ht="27" customHeight="1" thickTop="1" x14ac:dyDescent="0.15">
      <c r="A48" s="106">
        <v>47016205</v>
      </c>
      <c r="B48" s="166" t="s">
        <v>547</v>
      </c>
      <c r="C48" s="50">
        <v>3</v>
      </c>
      <c r="D48" s="50" t="s">
        <v>127</v>
      </c>
      <c r="E48" s="51" t="s">
        <v>403</v>
      </c>
      <c r="F48" s="51" t="s">
        <v>386</v>
      </c>
      <c r="G48" s="62" t="str">
        <f t="shared" ref="G48:G70" si="44">IFERROR(LEFT(B48,FIND("],",B48)),B48)</f>
        <v>[effect:enemy_message, val1:1.2, val2:2.0]</v>
      </c>
      <c r="H48" s="62">
        <f t="shared" ref="H48:H71" si="45">FIND("effect:",G48)+7</f>
        <v>9</v>
      </c>
      <c r="I48" s="62">
        <f t="shared" ref="I48:I71" si="46">IFERROR(FIND(",",G48),LEN(G48))</f>
        <v>22</v>
      </c>
      <c r="J48" s="62" t="e">
        <f t="shared" ref="J48:J71" si="47">FIND("target:",G48)+7</f>
        <v>#VALUE!</v>
      </c>
      <c r="K48" s="62">
        <f t="shared" ref="K48:K71" si="48">FIND(",",G48,I48+1)</f>
        <v>32</v>
      </c>
      <c r="L48" s="62" t="str">
        <f>IFERROR(VLOOKUP(MID(G48,J48,K48-J48),[5]skilldef!$C:$D,2,FALSE),"-") &amp; " / " &amp; IFERROR(VLOOKUP(MID(G48,H48,I48-H48),[5]skilldef!$A:$B,2,FALSE),"-")</f>
        <v>- / -</v>
      </c>
      <c r="M48" s="62" t="str">
        <f t="shared" ref="M48:M70" si="49">IFERROR(RIGHT(B48,LEN(B48)-FIND("],",B48)-1),"none")</f>
        <v>[effect:panel_freeze, target:normal, color:block_red, count:3],[effect:rush, count:1, val:0.7]</v>
      </c>
      <c r="N48" s="48" t="str">
        <f>IFERROR(LEFT(M48,FIND("],",M48)+S53),M48)</f>
        <v>[effect:panel_freeze, target:normal, color:block_red, count:3],[effect:rush, count:1, val:0.7]</v>
      </c>
      <c r="O48" s="62">
        <f t="shared" ref="O48:O63" si="50">FIND("effect:",N48)+7</f>
        <v>9</v>
      </c>
      <c r="P48" s="62">
        <f t="shared" ref="P48:P63" si="51">IFERROR(FIND(",",N48),LEN(N48))</f>
        <v>21</v>
      </c>
      <c r="Q48" s="62">
        <f t="shared" ref="Q48:Q63" si="52">FIND("target:",N48)+7</f>
        <v>30</v>
      </c>
      <c r="R48" s="62">
        <f t="shared" ref="R48:R63" si="53">FIND(",",N48,P48+1)</f>
        <v>36</v>
      </c>
      <c r="S48" s="62" t="str">
        <f>IFERROR(VLOOKUP(MID(N48,Q48,R48-Q48),[5]skilldef!$C:$D,2,FALSE),"-") &amp; " / " &amp; IFERROR(VLOOKUP(MID(N48,O48,P48-O48),[5]skilldef!$A:$B,2,FALSE),"-")</f>
        <v>- / -</v>
      </c>
      <c r="T48" s="48" t="str">
        <f t="shared" ref="T48:T71" si="54">IFERROR(RIGHT(M48,LEN(M48)-FIND("],",M48)-1),"none")</f>
        <v>[effect:rush, count:1, val:0.7]</v>
      </c>
      <c r="U48" s="62">
        <f t="shared" ref="U48:U71" si="55">FIND("effect:",T48)+7</f>
        <v>9</v>
      </c>
      <c r="V48" s="62">
        <f t="shared" ref="V48:V71" si="56">IFERROR(FIND(",",T48),LEN(T48))</f>
        <v>13</v>
      </c>
      <c r="W48" s="62" t="e">
        <f t="shared" ref="W48:W71" si="57">FIND("target:",T48)+7</f>
        <v>#VALUE!</v>
      </c>
      <c r="X48" s="62">
        <f t="shared" ref="X48:X71" si="58">FIND(",",T48,V48+1)</f>
        <v>22</v>
      </c>
      <c r="Y48" s="62" t="str">
        <f>IFERROR(VLOOKUP(MID(T48,W48,X48-W48),[5]skilldef!$C:$D,2,FALSE),"-") &amp; " / " &amp; IFERROR(VLOOKUP(MID(T48,U48,V48-U48),[5]skilldef!$A:$B,2,FALSE),"-")</f>
        <v>- / 連続攻撃</v>
      </c>
      <c r="Z48" s="50"/>
      <c r="AA48" s="52"/>
      <c r="AB48" s="50"/>
      <c r="AC48" s="49" t="s">
        <v>261</v>
      </c>
      <c r="AH48" s="49" t="s">
        <v>309</v>
      </c>
    </row>
    <row r="49" spans="1:34" ht="27" customHeight="1" x14ac:dyDescent="0.15">
      <c r="A49" s="106">
        <v>47016206</v>
      </c>
      <c r="B49" s="166" t="s">
        <v>481</v>
      </c>
      <c r="C49" s="50">
        <v>3</v>
      </c>
      <c r="D49" s="50" t="s">
        <v>127</v>
      </c>
      <c r="E49" s="51" t="s">
        <v>404</v>
      </c>
      <c r="F49" s="51" t="s">
        <v>369</v>
      </c>
      <c r="G49" s="62" t="str">
        <f t="shared" si="44"/>
        <v>[effect:enemy_message, val1:1.2, val2:3.1]</v>
      </c>
      <c r="H49" s="62">
        <f t="shared" si="45"/>
        <v>9</v>
      </c>
      <c r="I49" s="62">
        <f t="shared" si="46"/>
        <v>22</v>
      </c>
      <c r="J49" s="62" t="e">
        <f t="shared" si="47"/>
        <v>#VALUE!</v>
      </c>
      <c r="K49" s="62">
        <f t="shared" si="48"/>
        <v>32</v>
      </c>
      <c r="L49" s="62" t="str">
        <f>IFERROR(VLOOKUP(MID(G49,J49,K49-J49),[5]skilldef!$C:$D,2,FALSE),"-") &amp; " / " &amp; IFERROR(VLOOKUP(MID(G49,H49,I49-H49),[5]skilldef!$A:$B,2,FALSE),"-")</f>
        <v>- / -</v>
      </c>
      <c r="M49" s="62" t="str">
        <f t="shared" si="49"/>
        <v>[effect:force_change_block, new_block:block_red, target:normal, count:5, val:0, animation:change_block],[effect:rush, count:1, val:0.6],[effect:freq_turn, target:myself, turn:1, val:1, animation:enemy_freq_turn]</v>
      </c>
      <c r="N49" s="48" t="str">
        <f>IFERROR(LEFT(M49,FIND("],",M49)+#REF!),M49)</f>
        <v>[effect:force_change_block, new_block:block_red, target:normal, count:5, val:0, animation:change_block],[effect:rush, count:1, val:0.6],[effect:freq_turn, target:myself, turn:1, val:1, animation:enemy_freq_turn]</v>
      </c>
      <c r="O49" s="62">
        <f t="shared" si="50"/>
        <v>9</v>
      </c>
      <c r="P49" s="62">
        <f t="shared" si="51"/>
        <v>27</v>
      </c>
      <c r="Q49" s="62">
        <f t="shared" si="52"/>
        <v>57</v>
      </c>
      <c r="R49" s="62">
        <f t="shared" si="53"/>
        <v>48</v>
      </c>
      <c r="S49" s="62" t="str">
        <f>IFERROR(VLOOKUP(MID(N49,Q49,R49-Q49),[5]skilldef!$C:$D,2,FALSE),"-") &amp; " / " &amp; IFERROR(VLOOKUP(MID(N49,O49,P49-O49),[5]skilldef!$A:$B,2,FALSE),"-")</f>
        <v>- / -</v>
      </c>
      <c r="T49" s="48" t="str">
        <f t="shared" si="54"/>
        <v>[effect:rush, count:1, val:0.6],[effect:freq_turn, target:myself, turn:1, val:1, animation:enemy_freq_turn]</v>
      </c>
      <c r="U49" s="62">
        <f t="shared" si="55"/>
        <v>9</v>
      </c>
      <c r="V49" s="62">
        <f t="shared" si="56"/>
        <v>13</v>
      </c>
      <c r="W49" s="62">
        <f t="shared" si="57"/>
        <v>59</v>
      </c>
      <c r="X49" s="62">
        <f t="shared" si="58"/>
        <v>22</v>
      </c>
      <c r="Y49" s="62" t="str">
        <f>IFERROR(VLOOKUP(MID(T49,W49,X49-W49),[5]skilldef!$C:$D,2,FALSE),"-") &amp; " / " &amp; IFERROR(VLOOKUP(MID(T49,U49,V49-U49),[5]skilldef!$A:$B,2,FALSE),"-")</f>
        <v>- / 連続攻撃</v>
      </c>
      <c r="Z49" s="50"/>
      <c r="AA49" s="52"/>
      <c r="AB49" s="50"/>
      <c r="AC49" s="49" t="s">
        <v>264</v>
      </c>
      <c r="AH49" s="49" t="s">
        <v>309</v>
      </c>
    </row>
    <row r="50" spans="1:34" ht="70" x14ac:dyDescent="0.15">
      <c r="A50" s="106">
        <v>47016207</v>
      </c>
      <c r="B50" s="166" t="s">
        <v>522</v>
      </c>
      <c r="C50" s="50">
        <v>3</v>
      </c>
      <c r="D50" s="50" t="s">
        <v>127</v>
      </c>
      <c r="E50" s="51" t="s">
        <v>405</v>
      </c>
      <c r="F50" s="51" t="s">
        <v>523</v>
      </c>
      <c r="G50" s="62" t="str">
        <f t="shared" si="44"/>
        <v>[effect:enemy_message, val1:1.2, val2:2.2]</v>
      </c>
      <c r="H50" s="62">
        <f t="shared" si="45"/>
        <v>9</v>
      </c>
      <c r="I50" s="62">
        <f t="shared" si="46"/>
        <v>22</v>
      </c>
      <c r="J50" s="62" t="e">
        <f t="shared" si="47"/>
        <v>#VALUE!</v>
      </c>
      <c r="K50" s="62">
        <f t="shared" si="48"/>
        <v>32</v>
      </c>
      <c r="L50" s="62" t="str">
        <f>IFERROR(VLOOKUP(MID(G50,J50,K50-J50),[5]skilldef!$C:$D,2,FALSE),"-") &amp; " / " &amp; IFERROR(VLOOKUP(MID(G50,H50,I50-H50),[5]skilldef!$A:$B,2,FALSE),"-")</f>
        <v>- / -</v>
      </c>
      <c r="M50" s="62" t="str">
        <f t="shared" si="49"/>
        <v>[effect:attack_break, target:unit_all, turn:2, val:0.5, calc:mul, animation:attack_break02],[effect:rush, count:1, val:0.7]</v>
      </c>
      <c r="N50" s="48" t="str">
        <f>IFERROR(LEFT(M50,FIND("],",M50)+#REF!),M50)</f>
        <v>[effect:attack_break, target:unit_all, turn:2, val:0.5, calc:mul, animation:attack_break02],[effect:rush, count:1, val:0.7]</v>
      </c>
      <c r="O50" s="62">
        <f t="shared" si="50"/>
        <v>9</v>
      </c>
      <c r="P50" s="62">
        <f t="shared" si="51"/>
        <v>21</v>
      </c>
      <c r="Q50" s="62">
        <f t="shared" si="52"/>
        <v>30</v>
      </c>
      <c r="R50" s="62">
        <f t="shared" si="53"/>
        <v>38</v>
      </c>
      <c r="S50" s="62" t="str">
        <f>IFERROR(VLOOKUP(MID(N50,Q50,R50-Q50),[5]skilldef!$C:$D,2,FALSE),"-") &amp; " / " &amp; IFERROR(VLOOKUP(MID(N50,O50,P50-O50),[5]skilldef!$A:$B,2,FALSE),"-")</f>
        <v>味方全体に / -</v>
      </c>
      <c r="T50" s="48" t="str">
        <f t="shared" si="54"/>
        <v>[effect:rush, count:1, val:0.7]</v>
      </c>
      <c r="U50" s="62">
        <f t="shared" si="55"/>
        <v>9</v>
      </c>
      <c r="V50" s="62">
        <f t="shared" si="56"/>
        <v>13</v>
      </c>
      <c r="W50" s="62" t="e">
        <f t="shared" si="57"/>
        <v>#VALUE!</v>
      </c>
      <c r="X50" s="62">
        <f t="shared" si="58"/>
        <v>22</v>
      </c>
      <c r="Y50" s="62" t="str">
        <f>IFERROR(VLOOKUP(MID(T50,W50,X50-W50),[5]skilldef!$C:$D,2,FALSE),"-") &amp; " / " &amp; IFERROR(VLOOKUP(MID(T50,U50,V50-U50),[5]skilldef!$A:$B,2,FALSE),"-")</f>
        <v>- / 連続攻撃</v>
      </c>
      <c r="Z50" s="50"/>
      <c r="AA50" s="52"/>
      <c r="AB50" s="50"/>
      <c r="AC50" s="49" t="s">
        <v>263</v>
      </c>
      <c r="AH50" s="49" t="s">
        <v>309</v>
      </c>
    </row>
    <row r="51" spans="1:34" ht="47" customHeight="1" x14ac:dyDescent="0.15">
      <c r="A51" s="110">
        <v>47016209</v>
      </c>
      <c r="B51" s="166" t="s">
        <v>544</v>
      </c>
      <c r="C51" s="50">
        <v>3</v>
      </c>
      <c r="D51" s="50" t="s">
        <v>127</v>
      </c>
      <c r="E51" s="113" t="s">
        <v>407</v>
      </c>
      <c r="F51" s="51" t="s">
        <v>457</v>
      </c>
      <c r="G51" s="62" t="str">
        <f t="shared" si="44"/>
        <v>[effect:enemy_message, val1:1.6, val2:3.4]</v>
      </c>
      <c r="H51" s="62">
        <f t="shared" si="45"/>
        <v>9</v>
      </c>
      <c r="I51" s="62">
        <f t="shared" si="46"/>
        <v>22</v>
      </c>
      <c r="J51" s="62" t="e">
        <f t="shared" si="47"/>
        <v>#VALUE!</v>
      </c>
      <c r="K51" s="62">
        <f t="shared" si="48"/>
        <v>32</v>
      </c>
      <c r="L51" s="62" t="str">
        <f>IFERROR(VLOOKUP(MID(G51,J51,K51-J51),[5]skilldef!$C:$D,2,FALSE),"-") &amp; " / " &amp; IFERROR(VLOOKUP(MID(G51,H51,I51-H51),[5]skilldef!$A:$B,2,FALSE),"-")</f>
        <v>- / -</v>
      </c>
      <c r="M51" s="62" t="str">
        <f t="shared" si="49"/>
        <v>[effect:change_range_block, block_change:1, base_type:0, square_count:5, position01:6, value_h01:4.0, value_w01:3.0, new_block:block_blue, target:normal, count:0, val:0, animation:change_range_block],[effect:change_range_block, block_change:1, base_type:0, square_count:5, position01:12, value_h01:2, value_w01:1, new_block:block_heart, target:normal, ignore01:block_positive, count:0, val:0, animation:change_range_block],[effect:fix_speed, target:myself, turn:2]</v>
      </c>
      <c r="N51" s="48" t="str">
        <f>IFERROR(LEFT(M51,FIND("],",M51)+S55),M51)</f>
        <v>[effect:change_range_block, block_change:1, base_type:0, square_count:5, position01:6, value_h01:4.0, value_w01:3.0, new_block:block_blue, target:normal, count:0, val:0, animation:change_range_block],[effect:change_range_block, block_change:1, base_type:0, square_count:5, position01:12, value_h01:2, value_w01:1, new_block:block_heart, target:normal, ignore01:block_positive, count:0, val:0, animation:change_range_block],[effect:fix_speed, target:myself, turn:2]</v>
      </c>
      <c r="O51" s="62">
        <f t="shared" si="50"/>
        <v>9</v>
      </c>
      <c r="P51" s="62">
        <f t="shared" si="51"/>
        <v>27</v>
      </c>
      <c r="Q51" s="62">
        <f t="shared" si="52"/>
        <v>147</v>
      </c>
      <c r="R51" s="62">
        <f t="shared" si="53"/>
        <v>43</v>
      </c>
      <c r="S51" s="62" t="str">
        <f>IFERROR(VLOOKUP(MID(N51,Q51,R51-Q51),[5]skilldef!$C:$D,2,FALSE),"-") &amp; " / " &amp; IFERROR(VLOOKUP(MID(N51,O51,P51-O51),[5]skilldef!$A:$B,2,FALSE),"-")</f>
        <v>- / -</v>
      </c>
      <c r="T51" s="48" t="str">
        <f t="shared" si="54"/>
        <v>[effect:change_range_block, block_change:1, base_type:0, square_count:5, position01:12, value_h01:2, value_w01:1, new_block:block_heart, target:normal, ignore01:block_positive, count:0, val:0, animation:change_range_block],[effect:fix_speed, target:myself, turn:2]</v>
      </c>
      <c r="U51" s="62">
        <f t="shared" si="55"/>
        <v>9</v>
      </c>
      <c r="V51" s="62">
        <f t="shared" si="56"/>
        <v>27</v>
      </c>
      <c r="W51" s="62">
        <f t="shared" si="57"/>
        <v>145</v>
      </c>
      <c r="X51" s="62">
        <f t="shared" si="58"/>
        <v>43</v>
      </c>
      <c r="Y51" s="62" t="str">
        <f>IFERROR(VLOOKUP(MID(T51,W51,X51-W51),[5]skilldef!$C:$D,2,FALSE),"-") &amp; " / " &amp; IFERROR(VLOOKUP(MID(T51,U51,V51-U51),[5]skilldef!$A:$B,2,FALSE),"-")</f>
        <v>- / -</v>
      </c>
      <c r="Z51" s="50"/>
      <c r="AA51" s="52"/>
      <c r="AB51" s="50"/>
      <c r="AC51" s="49" t="s">
        <v>266</v>
      </c>
      <c r="AE51" s="108"/>
      <c r="AG51" s="49" t="s">
        <v>273</v>
      </c>
      <c r="AH51" s="49" t="s">
        <v>309</v>
      </c>
    </row>
    <row r="52" spans="1:34" ht="34" customHeight="1" x14ac:dyDescent="0.15">
      <c r="A52" s="110">
        <v>47016210</v>
      </c>
      <c r="B52" s="166" t="s">
        <v>536</v>
      </c>
      <c r="C52" s="50">
        <v>3</v>
      </c>
      <c r="D52" s="50" t="s">
        <v>127</v>
      </c>
      <c r="E52" s="51" t="s">
        <v>408</v>
      </c>
      <c r="F52" s="51" t="s">
        <v>387</v>
      </c>
      <c r="G52" s="62" t="str">
        <f t="shared" si="44"/>
        <v>[effect:enemy_message, val1:1.3, val2:3.3]</v>
      </c>
      <c r="H52" s="62">
        <f t="shared" si="45"/>
        <v>9</v>
      </c>
      <c r="I52" s="62">
        <f t="shared" si="46"/>
        <v>22</v>
      </c>
      <c r="J52" s="62" t="e">
        <f t="shared" si="47"/>
        <v>#VALUE!</v>
      </c>
      <c r="K52" s="62">
        <f t="shared" si="48"/>
        <v>32</v>
      </c>
      <c r="L52" s="62" t="str">
        <f>IFERROR(VLOOKUP(MID(G52,J52,K52-J52),[5]skilldef!$C:$D,2,FALSE),"-") &amp; " / " &amp; IFERROR(VLOOKUP(MID(G52,H52,I52-H52),[5]skilldef!$A:$B,2,FALSE),"-")</f>
        <v>- / -</v>
      </c>
      <c r="M52" s="62" t="str">
        <f t="shared" si="49"/>
        <v>[effect:damage_gravity, val:0.3, animation:fevergauge_down],[effect:panel_freeze, target:normal, color:block_red, count:3],[effect:panel_freeze, target:normal, color:block_yellow, count:3]</v>
      </c>
      <c r="N52" s="48" t="str">
        <f>IFERROR(LEFT(M52,FIND("],",M52)+#REF!),M52)</f>
        <v>[effect:damage_gravity, val:0.3, animation:fevergauge_down],[effect:panel_freeze, target:normal, color:block_red, count:3],[effect:panel_freeze, target:normal, color:block_yellow, count:3]</v>
      </c>
      <c r="O52" s="62">
        <f t="shared" si="50"/>
        <v>9</v>
      </c>
      <c r="P52" s="62">
        <f t="shared" si="51"/>
        <v>23</v>
      </c>
      <c r="Q52" s="62">
        <f t="shared" si="52"/>
        <v>90</v>
      </c>
      <c r="R52" s="62">
        <f t="shared" si="53"/>
        <v>32</v>
      </c>
      <c r="S52" s="62" t="str">
        <f>IFERROR(VLOOKUP(MID(N52,Q52,R52-Q52),[5]skilldef!$C:$D,2,FALSE),"-") &amp; " / " &amp; IFERROR(VLOOKUP(MID(N52,O52,P52-O52),[5]skilldef!$A:$B,2,FALSE),"-")</f>
        <v>- / 割合ダメージ</v>
      </c>
      <c r="T52" s="48" t="str">
        <f t="shared" si="54"/>
        <v>[effect:panel_freeze, target:normal, color:block_red, count:3],[effect:panel_freeze, target:normal, color:block_yellow, count:3]</v>
      </c>
      <c r="U52" s="62">
        <f t="shared" si="55"/>
        <v>9</v>
      </c>
      <c r="V52" s="62">
        <f t="shared" si="56"/>
        <v>21</v>
      </c>
      <c r="W52" s="62">
        <f t="shared" si="57"/>
        <v>30</v>
      </c>
      <c r="X52" s="62">
        <f t="shared" si="58"/>
        <v>36</v>
      </c>
      <c r="Y52" s="62" t="str">
        <f>IFERROR(VLOOKUP(MID(T52,W52,X52-W52),[5]skilldef!$C:$D,2,FALSE),"-") &amp; " / " &amp; IFERROR(VLOOKUP(MID(T52,U52,V52-U52),[5]skilldef!$A:$B,2,FALSE),"-")</f>
        <v>- / -</v>
      </c>
      <c r="Z52" s="50"/>
      <c r="AA52" s="52"/>
      <c r="AB52" s="50"/>
      <c r="AC52" s="49" t="s">
        <v>267</v>
      </c>
      <c r="AE52" s="108"/>
      <c r="AH52" s="49" t="s">
        <v>309</v>
      </c>
    </row>
    <row r="53" spans="1:34" ht="31" customHeight="1" x14ac:dyDescent="0.15">
      <c r="A53" s="110">
        <v>47016214</v>
      </c>
      <c r="B53" s="166" t="s">
        <v>537</v>
      </c>
      <c r="C53" s="50">
        <v>3</v>
      </c>
      <c r="D53" s="50" t="s">
        <v>127</v>
      </c>
      <c r="E53" s="51" t="s">
        <v>414</v>
      </c>
      <c r="F53" s="51" t="s">
        <v>388</v>
      </c>
      <c r="G53" s="62" t="str">
        <f t="shared" si="44"/>
        <v>[effect:enemy_message, val1:1.5, val2:2.0]</v>
      </c>
      <c r="H53" s="62">
        <f t="shared" si="45"/>
        <v>9</v>
      </c>
      <c r="I53" s="62">
        <f t="shared" si="46"/>
        <v>22</v>
      </c>
      <c r="J53" s="62" t="e">
        <f t="shared" si="47"/>
        <v>#VALUE!</v>
      </c>
      <c r="K53" s="62">
        <f t="shared" si="48"/>
        <v>32</v>
      </c>
      <c r="L53" s="62" t="str">
        <f>IFERROR(VLOOKUP(MID(G53,J53,K53-J53),[5]skilldef!$C:$D,2,FALSE),"-") &amp; " / " &amp; IFERROR(VLOOKUP(MID(G53,H53,I53-H53),[5]skilldef!$A:$B,2,FALSE),"-")</f>
        <v>- / -</v>
      </c>
      <c r="M53" s="62" t="str">
        <f t="shared" si="49"/>
        <v>[effect:panel_freeze, target:normal, color:block_blue, count:4],[effect:rush, count:1, val:0.7]</v>
      </c>
      <c r="N53" s="48" t="str">
        <f>IFERROR(LEFT(M53,FIND("],",M53)+S58),M53)</f>
        <v>[effect:panel_freeze, target:normal, color:block_blue, count:4],[effect:rush, count:1, val:0.7]</v>
      </c>
      <c r="O53" s="62">
        <f t="shared" si="50"/>
        <v>9</v>
      </c>
      <c r="P53" s="62">
        <f t="shared" si="51"/>
        <v>21</v>
      </c>
      <c r="Q53" s="62">
        <f t="shared" si="52"/>
        <v>30</v>
      </c>
      <c r="R53" s="62">
        <f t="shared" si="53"/>
        <v>36</v>
      </c>
      <c r="S53" s="62" t="str">
        <f>IFERROR(VLOOKUP(MID(N53,Q53,R53-Q53),[5]skilldef!$C:$D,2,FALSE),"-") &amp; " / " &amp; IFERROR(VLOOKUP(MID(N53,O53,P53-O53),[5]skilldef!$A:$B,2,FALSE),"-")</f>
        <v>- / -</v>
      </c>
      <c r="T53" s="48" t="str">
        <f t="shared" si="54"/>
        <v>[effect:rush, count:1, val:0.7]</v>
      </c>
      <c r="U53" s="62">
        <f t="shared" si="55"/>
        <v>9</v>
      </c>
      <c r="V53" s="62">
        <f t="shared" si="56"/>
        <v>13</v>
      </c>
      <c r="W53" s="62" t="e">
        <f t="shared" si="57"/>
        <v>#VALUE!</v>
      </c>
      <c r="X53" s="62">
        <f t="shared" si="58"/>
        <v>22</v>
      </c>
      <c r="Y53" s="62" t="str">
        <f>IFERROR(VLOOKUP(MID(T53,W53,X53-W53),[5]skilldef!$C:$D,2,FALSE),"-") &amp; " / " &amp; IFERROR(VLOOKUP(MID(T53,U53,V53-U53),[5]skilldef!$A:$B,2,FALSE),"-")</f>
        <v>- / 連続攻撃</v>
      </c>
      <c r="Z53" s="50"/>
      <c r="AA53" s="52"/>
      <c r="AB53" s="50"/>
      <c r="AC53" s="49" t="s">
        <v>270</v>
      </c>
    </row>
    <row r="54" spans="1:34" ht="35" customHeight="1" x14ac:dyDescent="0.15">
      <c r="A54" s="107">
        <v>47016218</v>
      </c>
      <c r="B54" s="166" t="s">
        <v>482</v>
      </c>
      <c r="C54" s="50">
        <v>3</v>
      </c>
      <c r="D54" s="50" t="s">
        <v>127</v>
      </c>
      <c r="E54" s="51" t="s">
        <v>420</v>
      </c>
      <c r="F54" s="51" t="s">
        <v>421</v>
      </c>
      <c r="G54" s="62" t="str">
        <f t="shared" si="44"/>
        <v>[effect:enemy_message, val1:1.2, val2:3.7]</v>
      </c>
      <c r="H54" s="62">
        <f t="shared" si="45"/>
        <v>9</v>
      </c>
      <c r="I54" s="62">
        <f t="shared" si="46"/>
        <v>22</v>
      </c>
      <c r="J54" s="62" t="e">
        <f t="shared" si="47"/>
        <v>#VALUE!</v>
      </c>
      <c r="K54" s="62">
        <f t="shared" si="48"/>
        <v>32</v>
      </c>
      <c r="L54" s="62" t="str">
        <f>IFERROR(VLOOKUP(MID(G54,J54,K54-J54),[5]skilldef!$C:$D,2,FALSE),"-") &amp; " / " &amp; IFERROR(VLOOKUP(MID(G54,H54,I54-H54),[5]skilldef!$A:$B,2,FALSE),"-")</f>
        <v>- / -</v>
      </c>
      <c r="M54" s="62" t="str">
        <f t="shared" si="49"/>
        <v>[effect:fix_speed, target:myself, turn:1],[effect:break_enchance_enemy, target:myself, val:250, lowest_val:0, count:-1, status:defense, turn:3, block01:block_yellow, calc:add, animation:enemy_enhance_defense]</v>
      </c>
      <c r="N54" s="48" t="str">
        <f>IFERROR(LEFT(M54,FIND("],",M54)+#REF!),M54)</f>
        <v>[effect:fix_speed, target:myself, turn:1],[effect:break_enchance_enemy, target:myself, val:250, lowest_val:0, count:-1, status:defense, turn:3, block01:block_yellow, calc:add, animation:enemy_enhance_defense]</v>
      </c>
      <c r="O54" s="62">
        <f t="shared" si="50"/>
        <v>9</v>
      </c>
      <c r="P54" s="62">
        <f t="shared" si="51"/>
        <v>18</v>
      </c>
      <c r="Q54" s="62">
        <f t="shared" si="52"/>
        <v>27</v>
      </c>
      <c r="R54" s="62">
        <f t="shared" si="53"/>
        <v>33</v>
      </c>
      <c r="S54" s="62" t="str">
        <f>IFERROR(VLOOKUP(MID(N54,Q54,R54-Q54),[5]skilldef!$C:$D,2,FALSE),"-") &amp; " / " &amp; IFERROR(VLOOKUP(MID(N54,O54,P54-O54),[5]skilldef!$A:$B,2,FALSE),"-")</f>
        <v>自分自身に / 行動値設定</v>
      </c>
      <c r="T54" s="48" t="str">
        <f t="shared" si="54"/>
        <v>[effect:break_enchance_enemy, target:myself, val:250, lowest_val:0, count:-1, status:defense, turn:3, block01:block_yellow, calc:add, animation:enemy_enhance_defense]</v>
      </c>
      <c r="U54" s="62">
        <f t="shared" si="55"/>
        <v>9</v>
      </c>
      <c r="V54" s="62">
        <f t="shared" si="56"/>
        <v>29</v>
      </c>
      <c r="W54" s="62">
        <f t="shared" si="57"/>
        <v>38</v>
      </c>
      <c r="X54" s="62">
        <f t="shared" si="58"/>
        <v>44</v>
      </c>
      <c r="Y54" s="62" t="str">
        <f>IFERROR(VLOOKUP(MID(T54,W54,X54-W54),[5]skilldef!$C:$D,2,FALSE),"-") &amp; " / " &amp; IFERROR(VLOOKUP(MID(T54,U54,V54-U54),[5]skilldef!$A:$B,2,FALSE),"-")</f>
        <v>自分自身に / -</v>
      </c>
      <c r="Z54" s="50"/>
      <c r="AA54" s="52"/>
      <c r="AB54" s="50"/>
      <c r="AC54" s="49" t="s">
        <v>276</v>
      </c>
    </row>
    <row r="55" spans="1:34" ht="30" customHeight="1" x14ac:dyDescent="0.15">
      <c r="A55" s="107">
        <v>47016219</v>
      </c>
      <c r="B55" s="166" t="s">
        <v>483</v>
      </c>
      <c r="C55" s="50">
        <v>3</v>
      </c>
      <c r="D55" s="50" t="s">
        <v>127</v>
      </c>
      <c r="E55" s="51" t="s">
        <v>422</v>
      </c>
      <c r="F55" s="51" t="s">
        <v>458</v>
      </c>
      <c r="G55" s="62" t="str">
        <f t="shared" si="44"/>
        <v>[effect:enemy_message, val1:1.2, val2:3.0]</v>
      </c>
      <c r="H55" s="62">
        <f t="shared" si="45"/>
        <v>9</v>
      </c>
      <c r="I55" s="62">
        <f t="shared" si="46"/>
        <v>22</v>
      </c>
      <c r="J55" s="62" t="e">
        <f t="shared" si="47"/>
        <v>#VALUE!</v>
      </c>
      <c r="K55" s="62">
        <f t="shared" si="48"/>
        <v>32</v>
      </c>
      <c r="L55" s="62" t="str">
        <f>IFERROR(VLOOKUP(MID(G55,J55,K55-J55),[5]skilldef!$C:$D,2,FALSE),"-") &amp; " / " &amp; IFERROR(VLOOKUP(MID(G55,H55,I55-H55),[5]skilldef!$A:$B,2,FALSE),"-")</f>
        <v>- / -</v>
      </c>
      <c r="M55" s="62" t="str">
        <f t="shared" si="49"/>
        <v>[effect:attack_break, target:unit_all, turn:2, val:0.5, calc:mul, animation:attack_break02],[effect:panel_freeze, target:crash, count:-1]</v>
      </c>
      <c r="N55" s="48" t="str">
        <f>IFERROR(LEFT(M55,FIND("],",M55)+#REF!),M55)</f>
        <v>[effect:attack_break, target:unit_all, turn:2, val:0.5, calc:mul, animation:attack_break02],[effect:panel_freeze, target:crash, count:-1]</v>
      </c>
      <c r="O55" s="62">
        <f t="shared" si="50"/>
        <v>9</v>
      </c>
      <c r="P55" s="62">
        <f t="shared" si="51"/>
        <v>21</v>
      </c>
      <c r="Q55" s="62">
        <f t="shared" si="52"/>
        <v>30</v>
      </c>
      <c r="R55" s="62">
        <f t="shared" si="53"/>
        <v>38</v>
      </c>
      <c r="S55" s="62" t="str">
        <f>IFERROR(VLOOKUP(MID(N55,Q55,R55-Q55),[5]skilldef!$C:$D,2,FALSE),"-") &amp; " / " &amp; IFERROR(VLOOKUP(MID(N55,O55,P55-O55),[5]skilldef!$A:$B,2,FALSE),"-")</f>
        <v>味方全体に / -</v>
      </c>
      <c r="T55" s="48" t="str">
        <f t="shared" si="54"/>
        <v>[effect:panel_freeze, target:crash, count:-1]</v>
      </c>
      <c r="U55" s="62">
        <f t="shared" si="55"/>
        <v>9</v>
      </c>
      <c r="V55" s="62">
        <f t="shared" si="56"/>
        <v>21</v>
      </c>
      <c r="W55" s="62">
        <f t="shared" si="57"/>
        <v>30</v>
      </c>
      <c r="X55" s="62">
        <f t="shared" si="58"/>
        <v>35</v>
      </c>
      <c r="Y55" s="62" t="str">
        <f>IFERROR(VLOOKUP(MID(T55,W55,X55-W55),[5]skilldef!$C:$D,2,FALSE),"-") &amp; " / " &amp; IFERROR(VLOOKUP(MID(T55,U55,V55-U55),[5]skilldef!$A:$B,2,FALSE),"-")</f>
        <v>- / -</v>
      </c>
      <c r="Z55" s="50"/>
      <c r="AA55" s="52"/>
      <c r="AB55" s="50"/>
      <c r="AC55" s="49" t="s">
        <v>277</v>
      </c>
      <c r="AH55" s="49" t="s">
        <v>309</v>
      </c>
    </row>
    <row r="56" spans="1:34" ht="21" customHeight="1" x14ac:dyDescent="0.15">
      <c r="A56" s="107">
        <v>47016222</v>
      </c>
      <c r="B56" s="166" t="s">
        <v>538</v>
      </c>
      <c r="C56" s="50">
        <v>3</v>
      </c>
      <c r="D56" s="50" t="s">
        <v>198</v>
      </c>
      <c r="E56" s="51" t="s">
        <v>426</v>
      </c>
      <c r="F56" s="51" t="s">
        <v>389</v>
      </c>
      <c r="G56" s="62" t="str">
        <f t="shared" si="44"/>
        <v>[effect:enemy_message, val1:1.2, val2:2.3]</v>
      </c>
      <c r="H56" s="62">
        <f t="shared" si="45"/>
        <v>9</v>
      </c>
      <c r="I56" s="62">
        <f t="shared" si="46"/>
        <v>22</v>
      </c>
      <c r="J56" s="62" t="e">
        <f t="shared" si="47"/>
        <v>#VALUE!</v>
      </c>
      <c r="K56" s="62">
        <f t="shared" si="48"/>
        <v>32</v>
      </c>
      <c r="L56" s="62" t="str">
        <f>IFERROR(VLOOKUP(MID(G56,J56,K56-J56),[5]skilldef!$C:$D,2,FALSE),"-") &amp; " / " &amp; IFERROR(VLOOKUP(MID(G56,H56,I56-H56),[5]skilldef!$A:$B,2,FALSE),"-")</f>
        <v>- / -</v>
      </c>
      <c r="M56" s="62" t="str">
        <f t="shared" si="49"/>
        <v>[effect:panel_freeze, target:normal, color:block_yellow, count:3],[effect:critical, val:1.1, animation:enemy_critical]</v>
      </c>
      <c r="N56" s="48" t="str">
        <f>IFERROR(LEFT(M56,FIND("],",M56)+S60),M56)</f>
        <v>[effect:panel_freeze, target:normal, color:block_yellow, count:3],[effect:critical, val:1.1, animation:enemy_critical]</v>
      </c>
      <c r="O56" s="62">
        <f t="shared" si="50"/>
        <v>9</v>
      </c>
      <c r="P56" s="62">
        <f t="shared" si="51"/>
        <v>21</v>
      </c>
      <c r="Q56" s="62">
        <f t="shared" si="52"/>
        <v>30</v>
      </c>
      <c r="R56" s="62">
        <f t="shared" si="53"/>
        <v>36</v>
      </c>
      <c r="S56" s="62" t="str">
        <f>IFERROR(VLOOKUP(MID(N56,Q56,R56-Q56),[5]skilldef!$C:$D,2,FALSE),"-") &amp; " / " &amp; IFERROR(VLOOKUP(MID(N56,O56,P56-O56),[5]skilldef!$A:$B,2,FALSE),"-")</f>
        <v>- / -</v>
      </c>
      <c r="T56" s="48" t="str">
        <f t="shared" si="54"/>
        <v>[effect:critical, val:1.1, animation:enemy_critical]</v>
      </c>
      <c r="U56" s="62">
        <f t="shared" si="55"/>
        <v>9</v>
      </c>
      <c r="V56" s="62">
        <f t="shared" si="56"/>
        <v>17</v>
      </c>
      <c r="W56" s="62" t="e">
        <f t="shared" si="57"/>
        <v>#VALUE!</v>
      </c>
      <c r="X56" s="62">
        <f t="shared" si="58"/>
        <v>26</v>
      </c>
      <c r="Y56" s="62" t="str">
        <f>IFERROR(VLOOKUP(MID(T56,W56,X56-W56),[5]skilldef!$C:$D,2,FALSE),"-") &amp; " / " &amp; IFERROR(VLOOKUP(MID(T56,U56,V56-U56),[5]skilldef!$A:$B,2,FALSE),"-")</f>
        <v>- / 大攻撃</v>
      </c>
      <c r="Z56" s="50"/>
      <c r="AA56" s="52"/>
      <c r="AB56" s="50"/>
      <c r="AC56" s="49" t="s">
        <v>278</v>
      </c>
      <c r="AH56" s="49" t="s">
        <v>309</v>
      </c>
    </row>
    <row r="57" spans="1:34" ht="21" customHeight="1" x14ac:dyDescent="0.15">
      <c r="A57" s="107">
        <v>47016223</v>
      </c>
      <c r="B57" s="166" t="s">
        <v>546</v>
      </c>
      <c r="C57" s="50">
        <v>3</v>
      </c>
      <c r="D57" s="50" t="s">
        <v>127</v>
      </c>
      <c r="E57" s="51" t="s">
        <v>427</v>
      </c>
      <c r="F57" s="51" t="s">
        <v>390</v>
      </c>
      <c r="G57" s="62" t="str">
        <f t="shared" si="44"/>
        <v>[effect:enemy_message, val1:1.3, val2:2.0]</v>
      </c>
      <c r="H57" s="62">
        <f t="shared" si="45"/>
        <v>9</v>
      </c>
      <c r="I57" s="62">
        <f t="shared" si="46"/>
        <v>22</v>
      </c>
      <c r="J57" s="62" t="e">
        <f t="shared" si="47"/>
        <v>#VALUE!</v>
      </c>
      <c r="K57" s="62">
        <f t="shared" si="48"/>
        <v>32</v>
      </c>
      <c r="L57" s="62" t="str">
        <f>IFERROR(VLOOKUP(MID(G57,J57,K57-J57),[5]skilldef!$C:$D,2,FALSE),"-") &amp; " / " &amp; IFERROR(VLOOKUP(MID(G57,H57,I57-H57),[5]skilldef!$A:$B,2,FALSE),"-")</f>
        <v>- / -</v>
      </c>
      <c r="M57" s="62" t="str">
        <f t="shared" si="49"/>
        <v>[effect:panel_freeze, target:normal, color:block_blue, count:2],[effect:spread, val:0.23]</v>
      </c>
      <c r="N57" s="48" t="str">
        <f>IFERROR(LEFT(M57,FIND("],",M57)+#REF!),M57)</f>
        <v>[effect:panel_freeze, target:normal, color:block_blue, count:2],[effect:spread, val:0.23]</v>
      </c>
      <c r="O57" s="62">
        <f t="shared" si="50"/>
        <v>9</v>
      </c>
      <c r="P57" s="62">
        <f t="shared" si="51"/>
        <v>21</v>
      </c>
      <c r="Q57" s="62">
        <f t="shared" si="52"/>
        <v>30</v>
      </c>
      <c r="R57" s="62">
        <f t="shared" si="53"/>
        <v>36</v>
      </c>
      <c r="S57" s="62" t="str">
        <f>IFERROR(VLOOKUP(MID(N57,Q57,R57-Q57),[5]skilldef!$C:$D,2,FALSE),"-") &amp; " / " &amp; IFERROR(VLOOKUP(MID(N57,O57,P57-O57),[5]skilldef!$A:$B,2,FALSE),"-")</f>
        <v>- / -</v>
      </c>
      <c r="T57" s="48" t="str">
        <f t="shared" si="54"/>
        <v>[effect:spread, val:0.23]</v>
      </c>
      <c r="U57" s="62">
        <f t="shared" si="55"/>
        <v>9</v>
      </c>
      <c r="V57" s="62">
        <f t="shared" si="56"/>
        <v>15</v>
      </c>
      <c r="W57" s="62" t="e">
        <f t="shared" si="57"/>
        <v>#VALUE!</v>
      </c>
      <c r="X57" s="62" t="e">
        <f t="shared" si="58"/>
        <v>#VALUE!</v>
      </c>
      <c r="Y57" s="62" t="str">
        <f>IFERROR(VLOOKUP(MID(T57,W57,X57-W57),[5]skilldef!$C:$D,2,FALSE),"-") &amp; " / " &amp; IFERROR(VLOOKUP(MID(T57,U57,V57-U57),[5]skilldef!$A:$B,2,FALSE),"-")</f>
        <v>- / 全体攻撃</v>
      </c>
      <c r="Z57" s="50"/>
      <c r="AA57" s="52"/>
      <c r="AB57" s="50"/>
      <c r="AC57" s="49" t="s">
        <v>279</v>
      </c>
      <c r="AH57" s="49" t="s">
        <v>309</v>
      </c>
    </row>
    <row r="58" spans="1:34" ht="49" customHeight="1" x14ac:dyDescent="0.15">
      <c r="A58" s="107">
        <v>47016225</v>
      </c>
      <c r="B58" s="166" t="s">
        <v>539</v>
      </c>
      <c r="C58" s="50">
        <v>3</v>
      </c>
      <c r="D58" s="50" t="s">
        <v>127</v>
      </c>
      <c r="E58" s="113" t="s">
        <v>429</v>
      </c>
      <c r="F58" s="51" t="s">
        <v>552</v>
      </c>
      <c r="G58" s="62" t="str">
        <f t="shared" si="44"/>
        <v>[effect:enemy_message, val1:1.3, val2:4.8]</v>
      </c>
      <c r="H58" s="62">
        <f t="shared" si="45"/>
        <v>9</v>
      </c>
      <c r="I58" s="62">
        <f t="shared" si="46"/>
        <v>22</v>
      </c>
      <c r="J58" s="62" t="e">
        <f t="shared" si="47"/>
        <v>#VALUE!</v>
      </c>
      <c r="K58" s="62">
        <f t="shared" si="48"/>
        <v>32</v>
      </c>
      <c r="L58" s="62" t="str">
        <f>IFERROR(VLOOKUP(MID(G58,J58,K58-J58),[5]skilldef!$C:$D,2,FALSE),"-") &amp; " / " &amp; IFERROR(VLOOKUP(MID(G58,H58,I58-H58),[5]skilldef!$A:$B,2,FALSE),"-")</f>
        <v>- / -</v>
      </c>
      <c r="M58" s="62" t="str">
        <f t="shared" si="49"/>
        <v>[effect:change_range_block, block_change:1, base_type:0, square_count:5, position01:6, value_h01:4.0, value_w01:3.0, new_block:block_blue, target:normal, count:0, val:0, animation:change_range_block],[effect:panel_freeze, target:normal, color:block_blue, count:5],[effect:rush, count:1, val:0.7]</v>
      </c>
      <c r="N58" s="48" t="str">
        <f>IFERROR(LEFT(M58,FIND("],",M58)+#REF!),M58)</f>
        <v>[effect:change_range_block, block_change:1, base_type:0, square_count:5, position01:6, value_h01:4.0, value_w01:3.0, new_block:block_blue, target:normal, count:0, val:0, animation:change_range_block],[effect:panel_freeze, target:normal, color:block_blue, count:5],[effect:rush, count:1, val:0.7]</v>
      </c>
      <c r="O58" s="62">
        <f t="shared" si="50"/>
        <v>9</v>
      </c>
      <c r="P58" s="62">
        <f t="shared" si="51"/>
        <v>27</v>
      </c>
      <c r="Q58" s="62">
        <f t="shared" si="52"/>
        <v>147</v>
      </c>
      <c r="R58" s="62">
        <f t="shared" si="53"/>
        <v>43</v>
      </c>
      <c r="S58" s="62" t="str">
        <f>IFERROR(VLOOKUP(MID(N58,Q58,R58-Q58),[5]skilldef!$C:$D,2,FALSE),"-") &amp; " / " &amp; IFERROR(VLOOKUP(MID(N58,O58,P58-O58),[5]skilldef!$A:$B,2,FALSE),"-")</f>
        <v>- / -</v>
      </c>
      <c r="T58" s="48" t="str">
        <f t="shared" si="54"/>
        <v>[effect:panel_freeze, target:normal, color:block_blue, count:5],[effect:rush, count:1, val:0.7]</v>
      </c>
      <c r="U58" s="62">
        <f t="shared" si="55"/>
        <v>9</v>
      </c>
      <c r="V58" s="62">
        <f t="shared" si="56"/>
        <v>21</v>
      </c>
      <c r="W58" s="62">
        <f t="shared" si="57"/>
        <v>30</v>
      </c>
      <c r="X58" s="62">
        <f t="shared" si="58"/>
        <v>36</v>
      </c>
      <c r="Y58" s="62" t="str">
        <f>IFERROR(VLOOKUP(MID(T58,W58,X58-W58),[5]skilldef!$C:$D,2,FALSE),"-") &amp; " / " &amp; IFERROR(VLOOKUP(MID(T58,U58,V58-U58),[5]skilldef!$A:$B,2,FALSE),"-")</f>
        <v>- / -</v>
      </c>
      <c r="Z58" s="50"/>
      <c r="AA58" s="52"/>
      <c r="AB58" s="50"/>
      <c r="AC58" s="49" t="s">
        <v>280</v>
      </c>
      <c r="AH58" s="49" t="s">
        <v>309</v>
      </c>
    </row>
    <row r="59" spans="1:34" ht="33" customHeight="1" x14ac:dyDescent="0.15">
      <c r="A59" s="109">
        <v>47016227</v>
      </c>
      <c r="B59" s="166" t="s">
        <v>524</v>
      </c>
      <c r="C59" s="50">
        <v>3</v>
      </c>
      <c r="D59" s="50" t="s">
        <v>127</v>
      </c>
      <c r="E59" s="51" t="s">
        <v>432</v>
      </c>
      <c r="F59" s="51" t="s">
        <v>391</v>
      </c>
      <c r="G59" s="62" t="str">
        <f t="shared" si="44"/>
        <v>[effect:enemy_message, val1:1.3, val2:2.4]</v>
      </c>
      <c r="H59" s="62">
        <f t="shared" si="45"/>
        <v>9</v>
      </c>
      <c r="I59" s="62">
        <f t="shared" si="46"/>
        <v>22</v>
      </c>
      <c r="J59" s="62" t="e">
        <f t="shared" si="47"/>
        <v>#VALUE!</v>
      </c>
      <c r="K59" s="62">
        <f t="shared" si="48"/>
        <v>32</v>
      </c>
      <c r="L59" s="62" t="str">
        <f>IFERROR(VLOOKUP(MID(G59,J59,K59-J59),[5]skilldef!$C:$D,2,FALSE),"-") &amp; " / " &amp; IFERROR(VLOOKUP(MID(G59,H59,I59-H59),[5]skilldef!$A:$B,2,FALSE),"-")</f>
        <v>- / -</v>
      </c>
      <c r="M59" s="62" t="str">
        <f t="shared" si="49"/>
        <v>[effect:drop_freeze, turn:3, block_type:normal, block_color:block_red, rate:0.4, animation:drop_protect]</v>
      </c>
      <c r="N59" s="48" t="str">
        <f>IFERROR(LEFT(M59,FIND("],",M59)+S64),M59)</f>
        <v>[effect:drop_freeze, turn:3, block_type:normal, block_color:block_red, rate:0.4, animation:drop_protect]</v>
      </c>
      <c r="O59" s="62">
        <f t="shared" si="50"/>
        <v>9</v>
      </c>
      <c r="P59" s="62">
        <f t="shared" si="51"/>
        <v>20</v>
      </c>
      <c r="Q59" s="62" t="e">
        <f t="shared" si="52"/>
        <v>#VALUE!</v>
      </c>
      <c r="R59" s="62">
        <f t="shared" si="53"/>
        <v>28</v>
      </c>
      <c r="S59" s="62" t="str">
        <f>IFERROR(VLOOKUP(MID(N59,Q59,R59-Q59),[5]skilldef!$C:$D,2,FALSE),"-") &amp; " / " &amp; IFERROR(VLOOKUP(MID(N59,O59,P59-O59),[5]skilldef!$A:$B,2,FALSE),"-")</f>
        <v>- / -</v>
      </c>
      <c r="T59" s="48" t="str">
        <f t="shared" si="54"/>
        <v>none</v>
      </c>
      <c r="U59" s="62" t="e">
        <f t="shared" si="55"/>
        <v>#VALUE!</v>
      </c>
      <c r="V59" s="62">
        <f t="shared" si="56"/>
        <v>4</v>
      </c>
      <c r="W59" s="62" t="e">
        <f t="shared" si="57"/>
        <v>#VALUE!</v>
      </c>
      <c r="X59" s="62" t="e">
        <f t="shared" si="58"/>
        <v>#VALUE!</v>
      </c>
      <c r="Y59" s="62" t="str">
        <f>IFERROR(VLOOKUP(MID(T59,W59,X59-W59),[5]skilldef!$C:$D,2,FALSE),"-") &amp; " / " &amp; IFERROR(VLOOKUP(MID(T59,U59,V59-U59),[5]skilldef!$A:$B,2,FALSE),"-")</f>
        <v>- / -</v>
      </c>
      <c r="Z59" s="50"/>
      <c r="AA59" s="52"/>
      <c r="AB59" s="50"/>
      <c r="AC59" s="49" t="s">
        <v>284</v>
      </c>
      <c r="AH59" s="49" t="s">
        <v>309</v>
      </c>
    </row>
    <row r="60" spans="1:34" ht="38" customHeight="1" x14ac:dyDescent="0.15">
      <c r="A60" s="109">
        <v>47016232</v>
      </c>
      <c r="B60" s="166" t="s">
        <v>484</v>
      </c>
      <c r="C60" s="50">
        <v>3</v>
      </c>
      <c r="D60" s="50" t="s">
        <v>127</v>
      </c>
      <c r="E60" s="51" t="s">
        <v>436</v>
      </c>
      <c r="F60" s="51" t="s">
        <v>392</v>
      </c>
      <c r="G60" s="62" t="str">
        <f t="shared" si="44"/>
        <v>[effect:enemy_message, val1:1.2, val2:3.0]</v>
      </c>
      <c r="H60" s="62">
        <f t="shared" si="45"/>
        <v>9</v>
      </c>
      <c r="I60" s="62">
        <f t="shared" si="46"/>
        <v>22</v>
      </c>
      <c r="J60" s="62" t="e">
        <f t="shared" si="47"/>
        <v>#VALUE!</v>
      </c>
      <c r="K60" s="62">
        <f t="shared" si="48"/>
        <v>32</v>
      </c>
      <c r="L60" s="62" t="str">
        <f>IFERROR(VLOOKUP(MID(G60,J60,K60-J60),[5]skilldef!$C:$D,2,FALSE),"-") &amp; " / " &amp; IFERROR(VLOOKUP(MID(G60,H60,I60-H60),[5]skilldef!$A:$B,2,FALSE),"-")</f>
        <v>- / -</v>
      </c>
      <c r="M60" s="62" t="str">
        <f t="shared" si="49"/>
        <v>[effect:panel_freeze, target:normal, count:6],[effect:damage_gravity, val:0.4, animation:fevergauge_down]</v>
      </c>
      <c r="N60" s="48" t="str">
        <f>IFERROR(LEFT(M60,FIND("],",M60)+S68),M60)</f>
        <v>[effect:panel_freeze, target:normal, count:6],[effect:damage_gravity, val:0.4, animation:fevergauge_down]</v>
      </c>
      <c r="O60" s="62">
        <f t="shared" si="50"/>
        <v>9</v>
      </c>
      <c r="P60" s="62">
        <f t="shared" si="51"/>
        <v>21</v>
      </c>
      <c r="Q60" s="62">
        <f t="shared" si="52"/>
        <v>30</v>
      </c>
      <c r="R60" s="62">
        <f t="shared" si="53"/>
        <v>36</v>
      </c>
      <c r="S60" s="62" t="str">
        <f>IFERROR(VLOOKUP(MID(N60,Q60,R60-Q60),[5]skilldef!$C:$D,2,FALSE),"-") &amp; " / " &amp; IFERROR(VLOOKUP(MID(N60,O60,P60-O60),[5]skilldef!$A:$B,2,FALSE),"-")</f>
        <v>- / -</v>
      </c>
      <c r="T60" s="48" t="str">
        <f t="shared" si="54"/>
        <v>[effect:damage_gravity, val:0.4, animation:fevergauge_down]</v>
      </c>
      <c r="U60" s="62">
        <f t="shared" si="55"/>
        <v>9</v>
      </c>
      <c r="V60" s="62">
        <f t="shared" si="56"/>
        <v>23</v>
      </c>
      <c r="W60" s="62" t="e">
        <f t="shared" si="57"/>
        <v>#VALUE!</v>
      </c>
      <c r="X60" s="62">
        <f t="shared" si="58"/>
        <v>32</v>
      </c>
      <c r="Y60" s="62" t="str">
        <f>IFERROR(VLOOKUP(MID(T60,W60,X60-W60),[5]skilldef!$C:$D,2,FALSE),"-") &amp; " / " &amp; IFERROR(VLOOKUP(MID(T60,U60,V60-U60),[5]skilldef!$A:$B,2,FALSE),"-")</f>
        <v>- / 割合ダメージ</v>
      </c>
      <c r="Z60" s="50"/>
      <c r="AA60" s="52"/>
      <c r="AB60" s="50"/>
      <c r="AC60" s="49" t="s">
        <v>288</v>
      </c>
      <c r="AH60" s="49" t="s">
        <v>309</v>
      </c>
    </row>
    <row r="61" spans="1:34" ht="21" customHeight="1" x14ac:dyDescent="0.15">
      <c r="A61" s="111">
        <v>47016234</v>
      </c>
      <c r="B61" s="166" t="s">
        <v>540</v>
      </c>
      <c r="C61" s="50">
        <v>3</v>
      </c>
      <c r="D61" s="50" t="s">
        <v>127</v>
      </c>
      <c r="E61" s="51" t="s">
        <v>439</v>
      </c>
      <c r="F61" s="51" t="s">
        <v>393</v>
      </c>
      <c r="G61" s="62" t="str">
        <f t="shared" si="44"/>
        <v>[effect:enemy_message, val1:1.5, val2:2.0]</v>
      </c>
      <c r="H61" s="62">
        <f t="shared" si="45"/>
        <v>9</v>
      </c>
      <c r="I61" s="62">
        <f t="shared" si="46"/>
        <v>22</v>
      </c>
      <c r="J61" s="62" t="e">
        <f t="shared" si="47"/>
        <v>#VALUE!</v>
      </c>
      <c r="K61" s="62">
        <f t="shared" si="48"/>
        <v>32</v>
      </c>
      <c r="L61" s="62" t="str">
        <f>IFERROR(VLOOKUP(MID(G61,J61,K61-J61),[5]skilldef!$C:$D,2,FALSE),"-") &amp; " / " &amp; IFERROR(VLOOKUP(MID(G61,H61,I61-H61),[5]skilldef!$A:$B,2,FALSE),"-")</f>
        <v>- / -</v>
      </c>
      <c r="M61" s="62" t="str">
        <f t="shared" si="49"/>
        <v>[effect:panel_freeze, target:normal, color:block_red, count:6],[effect:rush, count:1, val:0.7]</v>
      </c>
      <c r="N61" s="48" t="str">
        <f>IFERROR(LEFT(M61,FIND("],",M61)+S70),M61)</f>
        <v>[effect:panel_freeze, target:normal, color:block_red, count:6],[effect:rush, count:1, val:0.7]</v>
      </c>
      <c r="O61" s="62">
        <f t="shared" si="50"/>
        <v>9</v>
      </c>
      <c r="P61" s="62">
        <f t="shared" si="51"/>
        <v>21</v>
      </c>
      <c r="Q61" s="62">
        <f t="shared" si="52"/>
        <v>30</v>
      </c>
      <c r="R61" s="62">
        <f t="shared" si="53"/>
        <v>36</v>
      </c>
      <c r="S61" s="62" t="str">
        <f>IFERROR(VLOOKUP(MID(N61,Q61,R61-Q61),[5]skilldef!$C:$D,2,FALSE),"-") &amp; " / " &amp; IFERROR(VLOOKUP(MID(N61,O61,P61-O61),[5]skilldef!$A:$B,2,FALSE),"-")</f>
        <v>- / -</v>
      </c>
      <c r="T61" s="48" t="str">
        <f t="shared" si="54"/>
        <v>[effect:rush, count:1, val:0.7]</v>
      </c>
      <c r="U61" s="62">
        <f t="shared" si="55"/>
        <v>9</v>
      </c>
      <c r="V61" s="62">
        <f t="shared" si="56"/>
        <v>13</v>
      </c>
      <c r="W61" s="62" t="e">
        <f t="shared" si="57"/>
        <v>#VALUE!</v>
      </c>
      <c r="X61" s="62">
        <f t="shared" si="58"/>
        <v>22</v>
      </c>
      <c r="Y61" s="62" t="str">
        <f>IFERROR(VLOOKUP(MID(T61,W61,X61-W61),[5]skilldef!$C:$D,2,FALSE),"-") &amp; " / " &amp; IFERROR(VLOOKUP(MID(T61,U61,V61-U61),[5]skilldef!$A:$B,2,FALSE),"-")</f>
        <v>- / 連続攻撃</v>
      </c>
      <c r="Z61" s="50"/>
      <c r="AA61" s="52"/>
      <c r="AB61" s="50"/>
      <c r="AC61" s="49" t="s">
        <v>291</v>
      </c>
      <c r="AH61" s="49" t="s">
        <v>309</v>
      </c>
    </row>
    <row r="62" spans="1:34" ht="34" customHeight="1" x14ac:dyDescent="0.15">
      <c r="A62" s="111">
        <v>47016235</v>
      </c>
      <c r="B62" s="116" t="s">
        <v>485</v>
      </c>
      <c r="C62" s="50">
        <v>3</v>
      </c>
      <c r="D62" s="50" t="s">
        <v>127</v>
      </c>
      <c r="E62" s="51" t="s">
        <v>440</v>
      </c>
      <c r="F62" s="51" t="s">
        <v>394</v>
      </c>
      <c r="G62" s="62" t="str">
        <f t="shared" si="44"/>
        <v>[effect:enemy_message, val1:1.3, val2:3.0]</v>
      </c>
      <c r="H62" s="62">
        <f t="shared" si="45"/>
        <v>9</v>
      </c>
      <c r="I62" s="62">
        <f t="shared" si="46"/>
        <v>22</v>
      </c>
      <c r="J62" s="62" t="e">
        <f t="shared" si="47"/>
        <v>#VALUE!</v>
      </c>
      <c r="K62" s="62">
        <f t="shared" si="48"/>
        <v>32</v>
      </c>
      <c r="L62" s="62" t="str">
        <f>IFERROR(VLOOKUP(MID(G62,J62,K62-J62),[5]skilldef!$C:$D,2,FALSE),"-") &amp; " / " &amp; IFERROR(VLOOKUP(MID(G62,H62,I62-H62),[5]skilldef!$A:$B,2,FALSE),"-")</f>
        <v>- / -</v>
      </c>
      <c r="M62" s="62" t="str">
        <f t="shared" si="49"/>
        <v>[effect:dis_heart, turn:1, animation:enemy_dis_heart],[effect:change_panel_ratio, turn:2, block_type:heal, val:0.5, animation:block_incidence04]</v>
      </c>
      <c r="N62" s="48" t="str">
        <f t="shared" ref="N62" si="59">IFERROR(LEFT(M62,FIND("],",M62)+S74),M62)</f>
        <v>[effect:dis_heart, turn:1, animation:enemy_dis_heart]</v>
      </c>
      <c r="O62" s="62">
        <f t="shared" si="50"/>
        <v>9</v>
      </c>
      <c r="P62" s="62">
        <f t="shared" si="51"/>
        <v>18</v>
      </c>
      <c r="Q62" s="62" t="e">
        <f t="shared" si="52"/>
        <v>#VALUE!</v>
      </c>
      <c r="R62" s="62">
        <f t="shared" si="53"/>
        <v>26</v>
      </c>
      <c r="S62" s="62" t="str">
        <f>IFERROR(VLOOKUP(MID(N62,Q62,R62-Q62),[5]skilldef!$C:$D,2,FALSE),"-") &amp; " / " &amp; IFERROR(VLOOKUP(MID(N62,O62,P62-O62),[5]skilldef!$A:$B,2,FALSE),"-")</f>
        <v>- / ディスハート</v>
      </c>
      <c r="T62" s="48" t="str">
        <f t="shared" si="54"/>
        <v>[effect:change_panel_ratio, turn:2, block_type:heal, val:0.5, animation:block_incidence04]</v>
      </c>
      <c r="U62" s="62">
        <f t="shared" si="55"/>
        <v>9</v>
      </c>
      <c r="V62" s="62">
        <f t="shared" si="56"/>
        <v>27</v>
      </c>
      <c r="W62" s="62" t="e">
        <f t="shared" si="57"/>
        <v>#VALUE!</v>
      </c>
      <c r="X62" s="62">
        <f t="shared" si="58"/>
        <v>35</v>
      </c>
      <c r="Y62" s="62" t="str">
        <f>IFERROR(VLOOKUP(MID(T62,W62,X62-W62),[5]skilldef!$C:$D,2,FALSE),"-") &amp; " / " &amp; IFERROR(VLOOKUP(MID(T62,U62,V62-U62),[5]skilldef!$A:$B,2,FALSE),"-")</f>
        <v>- / -</v>
      </c>
      <c r="Z62" s="50"/>
      <c r="AA62" s="52"/>
      <c r="AB62" s="50"/>
      <c r="AC62" s="49" t="s">
        <v>292</v>
      </c>
      <c r="AH62" s="49" t="s">
        <v>309</v>
      </c>
    </row>
    <row r="63" spans="1:34" ht="36" customHeight="1" x14ac:dyDescent="0.15">
      <c r="A63" s="111">
        <v>47016236</v>
      </c>
      <c r="B63" s="116" t="s">
        <v>486</v>
      </c>
      <c r="C63" s="50">
        <v>3</v>
      </c>
      <c r="D63" s="50" t="s">
        <v>127</v>
      </c>
      <c r="E63" s="51" t="s">
        <v>441</v>
      </c>
      <c r="F63" s="51" t="s">
        <v>376</v>
      </c>
      <c r="G63" s="62" t="str">
        <f t="shared" si="44"/>
        <v>[effect:enemy_message, val1:1.3, val2:3.0]</v>
      </c>
      <c r="H63" s="62">
        <f t="shared" si="45"/>
        <v>9</v>
      </c>
      <c r="I63" s="62">
        <f t="shared" si="46"/>
        <v>22</v>
      </c>
      <c r="J63" s="62" t="e">
        <f t="shared" si="47"/>
        <v>#VALUE!</v>
      </c>
      <c r="K63" s="62">
        <f t="shared" si="48"/>
        <v>32</v>
      </c>
      <c r="L63" s="62" t="str">
        <f>IFERROR(VLOOKUP(MID(G63,J63,K63-J63),[5]skilldef!$C:$D,2,FALSE),"-") &amp; " / " &amp; IFERROR(VLOOKUP(MID(G63,H63,I63-H63),[5]skilldef!$A:$B,2,FALSE),"-")</f>
        <v>- / -</v>
      </c>
      <c r="M63" s="62" t="str">
        <f t="shared" si="49"/>
        <v>[effect:damage_gravity, val:0.4, animation:fevergauge_down]</v>
      </c>
      <c r="N63" s="48" t="str">
        <f t="shared" ref="N63" si="60">IFERROR(LEFT(M63,FIND("],",M63)+S74),M63)</f>
        <v>[effect:damage_gravity, val:0.4, animation:fevergauge_down]</v>
      </c>
      <c r="O63" s="62">
        <f t="shared" si="50"/>
        <v>9</v>
      </c>
      <c r="P63" s="62">
        <f t="shared" si="51"/>
        <v>23</v>
      </c>
      <c r="Q63" s="62" t="e">
        <f t="shared" si="52"/>
        <v>#VALUE!</v>
      </c>
      <c r="R63" s="62">
        <f t="shared" si="53"/>
        <v>32</v>
      </c>
      <c r="S63" s="62" t="str">
        <f>IFERROR(VLOOKUP(MID(N63,Q63,R63-Q63),[5]skilldef!$C:$D,2,FALSE),"-") &amp; " / " &amp; IFERROR(VLOOKUP(MID(N63,O63,P63-O63),[5]skilldef!$A:$B,2,FALSE),"-")</f>
        <v>- / 割合ダメージ</v>
      </c>
      <c r="T63" s="48" t="str">
        <f t="shared" si="54"/>
        <v>none</v>
      </c>
      <c r="U63" s="62" t="e">
        <f t="shared" si="55"/>
        <v>#VALUE!</v>
      </c>
      <c r="V63" s="62">
        <f t="shared" si="56"/>
        <v>4</v>
      </c>
      <c r="W63" s="62" t="e">
        <f t="shared" si="57"/>
        <v>#VALUE!</v>
      </c>
      <c r="X63" s="62" t="e">
        <f t="shared" si="58"/>
        <v>#VALUE!</v>
      </c>
      <c r="Y63" s="62" t="str">
        <f>IFERROR(VLOOKUP(MID(T63,W63,X63-W63),[5]skilldef!$C:$D,2,FALSE),"-") &amp; " / " &amp; IFERROR(VLOOKUP(MID(T63,U63,V63-U63),[5]skilldef!$A:$B,2,FALSE),"-")</f>
        <v>- / -</v>
      </c>
      <c r="Z63" s="50"/>
      <c r="AA63" s="52"/>
      <c r="AB63" s="50"/>
      <c r="AC63" s="49" t="s">
        <v>293</v>
      </c>
      <c r="AH63" s="49" t="s">
        <v>309</v>
      </c>
    </row>
    <row r="64" spans="1:34" ht="46" customHeight="1" x14ac:dyDescent="0.15">
      <c r="A64" s="111">
        <v>47016238</v>
      </c>
      <c r="B64" s="166" t="s">
        <v>487</v>
      </c>
      <c r="C64" s="50">
        <v>3</v>
      </c>
      <c r="D64" s="50" t="s">
        <v>127</v>
      </c>
      <c r="E64" s="51" t="s">
        <v>443</v>
      </c>
      <c r="F64" s="51" t="s">
        <v>377</v>
      </c>
      <c r="G64" s="62" t="str">
        <f t="shared" si="44"/>
        <v>[effect:enemy_message, val1:1.6, val2:3.2]</v>
      </c>
      <c r="H64" s="62">
        <f t="shared" si="45"/>
        <v>9</v>
      </c>
      <c r="I64" s="62">
        <f t="shared" si="46"/>
        <v>22</v>
      </c>
      <c r="J64" s="62" t="e">
        <f t="shared" si="47"/>
        <v>#VALUE!</v>
      </c>
      <c r="K64" s="62">
        <f t="shared" si="48"/>
        <v>32</v>
      </c>
      <c r="L64" s="62" t="str">
        <f>IFERROR(VLOOKUP(MID(G64,J64,K64-J64),[5]skilldef!$C:$D,2,FALSE),"-") &amp; " / " &amp; IFERROR(VLOOKUP(MID(G64,H64,I64-H64),[5]skilldef!$A:$B,2,FALSE),"-")</f>
        <v>- / -</v>
      </c>
      <c r="M64" s="62" t="str">
        <f t="shared" si="49"/>
        <v>[effect:drop_freeze, turn:2, block_type:normal, rate:0.2, animation:drop_protect],[effect:rush, count:3, val:0.25]</v>
      </c>
      <c r="N64" s="48" t="str">
        <f>IFERROR(LEFT(M64,FIND("],",M64)+#REF!),M64)</f>
        <v>[effect:drop_freeze, turn:2, block_type:normal, rate:0.2, animation:drop_protect],[effect:rush, count:3, val:0.25]</v>
      </c>
      <c r="O64" s="62">
        <f t="shared" ref="O64:O71" si="61">FIND("effect:",N64)+7</f>
        <v>9</v>
      </c>
      <c r="P64" s="62">
        <f t="shared" ref="P64:P71" si="62">IFERROR(FIND(",",N64),LEN(N64))</f>
        <v>20</v>
      </c>
      <c r="Q64" s="62" t="e">
        <f t="shared" ref="Q64:Q71" si="63">FIND("target:",N64)+7</f>
        <v>#VALUE!</v>
      </c>
      <c r="R64" s="62">
        <f t="shared" ref="R64:R71" si="64">FIND(",",N64,P64+1)</f>
        <v>28</v>
      </c>
      <c r="S64" s="62" t="str">
        <f>IFERROR(VLOOKUP(MID(N64,Q64,R64-Q64),[5]skilldef!$C:$D,2,FALSE),"-") &amp; " / " &amp; IFERROR(VLOOKUP(MID(N64,O64,P64-O64),[5]skilldef!$A:$B,2,FALSE),"-")</f>
        <v>- / -</v>
      </c>
      <c r="T64" s="48" t="str">
        <f t="shared" si="54"/>
        <v>[effect:rush, count:3, val:0.25]</v>
      </c>
      <c r="U64" s="62">
        <f t="shared" si="55"/>
        <v>9</v>
      </c>
      <c r="V64" s="62">
        <f t="shared" si="56"/>
        <v>13</v>
      </c>
      <c r="W64" s="62" t="e">
        <f t="shared" si="57"/>
        <v>#VALUE!</v>
      </c>
      <c r="X64" s="62">
        <f t="shared" si="58"/>
        <v>22</v>
      </c>
      <c r="Y64" s="62" t="str">
        <f>IFERROR(VLOOKUP(MID(T64,W64,X64-W64),[5]skilldef!$C:$D,2,FALSE),"-") &amp; " / " &amp; IFERROR(VLOOKUP(MID(T64,U64,V64-U64),[5]skilldef!$A:$B,2,FALSE),"-")</f>
        <v>- / 連続攻撃</v>
      </c>
      <c r="Z64" s="50"/>
      <c r="AA64" s="52"/>
      <c r="AB64" s="50"/>
      <c r="AC64" s="49" t="s">
        <v>294</v>
      </c>
      <c r="AH64" s="49" t="s">
        <v>309</v>
      </c>
    </row>
    <row r="65" spans="1:34" ht="34" customHeight="1" x14ac:dyDescent="0.15">
      <c r="A65" s="112">
        <v>47016239</v>
      </c>
      <c r="B65" s="166" t="s">
        <v>541</v>
      </c>
      <c r="C65" s="50">
        <v>3</v>
      </c>
      <c r="D65" s="50" t="s">
        <v>127</v>
      </c>
      <c r="E65" s="51" t="s">
        <v>444</v>
      </c>
      <c r="F65" s="51" t="s">
        <v>395</v>
      </c>
      <c r="G65" s="62" t="str">
        <f t="shared" si="44"/>
        <v>[effect:enemy_message, val1:1.2, val2:2.9]</v>
      </c>
      <c r="H65" s="62">
        <f t="shared" si="45"/>
        <v>9</v>
      </c>
      <c r="I65" s="62">
        <f t="shared" si="46"/>
        <v>22</v>
      </c>
      <c r="J65" s="62" t="e">
        <f t="shared" si="47"/>
        <v>#VALUE!</v>
      </c>
      <c r="K65" s="62">
        <f t="shared" si="48"/>
        <v>32</v>
      </c>
      <c r="L65" s="62" t="str">
        <f>IFERROR(VLOOKUP(MID(G65,J65,K65-J65),[5]skilldef!$C:$D,2,FALSE),"-") &amp; " / " &amp; IFERROR(VLOOKUP(MID(G65,H65,I65-H65),[5]skilldef!$A:$B,2,FALSE),"-")</f>
        <v>- / -</v>
      </c>
      <c r="M65" s="62" t="str">
        <f t="shared" si="49"/>
        <v>[effect:panel_freeze, target:normal, color:block_red, count:4],[effect:damage_gravity, val:0.3, animation:fevergauge_down]</v>
      </c>
      <c r="N65" s="48" t="str">
        <f>IFERROR(LEFT(M65,FIND("],",M65)+#REF!),M65)</f>
        <v>[effect:panel_freeze, target:normal, color:block_red, count:4],[effect:damage_gravity, val:0.3, animation:fevergauge_down]</v>
      </c>
      <c r="O65" s="62">
        <f t="shared" si="61"/>
        <v>9</v>
      </c>
      <c r="P65" s="62">
        <f t="shared" si="62"/>
        <v>21</v>
      </c>
      <c r="Q65" s="62">
        <f t="shared" si="63"/>
        <v>30</v>
      </c>
      <c r="R65" s="62">
        <f t="shared" si="64"/>
        <v>36</v>
      </c>
      <c r="S65" s="62" t="str">
        <f>IFERROR(VLOOKUP(MID(N65,Q65,R65-Q65),[5]skilldef!$C:$D,2,FALSE),"-") &amp; " / " &amp; IFERROR(VLOOKUP(MID(N65,O65,P65-O65),[5]skilldef!$A:$B,2,FALSE),"-")</f>
        <v>- / -</v>
      </c>
      <c r="T65" s="48" t="str">
        <f t="shared" si="54"/>
        <v>[effect:damage_gravity, val:0.3, animation:fevergauge_down]</v>
      </c>
      <c r="U65" s="62">
        <f t="shared" si="55"/>
        <v>9</v>
      </c>
      <c r="V65" s="62">
        <f t="shared" si="56"/>
        <v>23</v>
      </c>
      <c r="W65" s="62" t="e">
        <f t="shared" si="57"/>
        <v>#VALUE!</v>
      </c>
      <c r="X65" s="62">
        <f t="shared" si="58"/>
        <v>32</v>
      </c>
      <c r="Y65" s="62" t="str">
        <f>IFERROR(VLOOKUP(MID(T65,W65,X65-W65),[5]skilldef!$C:$D,2,FALSE),"-") &amp; " / " &amp; IFERROR(VLOOKUP(MID(T65,U65,V65-U65),[5]skilldef!$A:$B,2,FALSE),"-")</f>
        <v>- / 割合ダメージ</v>
      </c>
      <c r="Z65" s="50"/>
      <c r="AA65" s="52"/>
      <c r="AB65" s="50"/>
      <c r="AC65" s="49" t="s">
        <v>295</v>
      </c>
      <c r="AH65" s="49" t="s">
        <v>309</v>
      </c>
    </row>
    <row r="66" spans="1:34" ht="35" customHeight="1" x14ac:dyDescent="0.15">
      <c r="A66" s="112">
        <v>47016240</v>
      </c>
      <c r="B66" s="166" t="s">
        <v>525</v>
      </c>
      <c r="C66" s="50">
        <v>3</v>
      </c>
      <c r="D66" s="50" t="s">
        <v>127</v>
      </c>
      <c r="E66" s="51" t="s">
        <v>445</v>
      </c>
      <c r="F66" s="51" t="s">
        <v>459</v>
      </c>
      <c r="G66" s="62" t="str">
        <f t="shared" si="44"/>
        <v>[effect:enemy_message, val1:1.3, val2:3.7]</v>
      </c>
      <c r="H66" s="62">
        <f t="shared" si="45"/>
        <v>9</v>
      </c>
      <c r="I66" s="62">
        <f t="shared" si="46"/>
        <v>22</v>
      </c>
      <c r="J66" s="62" t="e">
        <f t="shared" si="47"/>
        <v>#VALUE!</v>
      </c>
      <c r="K66" s="62">
        <f t="shared" si="48"/>
        <v>32</v>
      </c>
      <c r="L66" s="62" t="str">
        <f>IFERROR(VLOOKUP(MID(G66,J66,K66-J66),[5]skilldef!$C:$D,2,FALSE),"-") &amp; " / " &amp; IFERROR(VLOOKUP(MID(G66,H66,I66-H66),[5]skilldef!$A:$B,2,FALSE),"-")</f>
        <v>- / -</v>
      </c>
      <c r="M66" s="62" t="str">
        <f t="shared" si="49"/>
        <v>[effect:tolerance, target:myself, turn:-1, count:-1, tolerance_effect:all, animation:enemy_tolerance],[effect:enhance_enemy, target:myself, turn:2, status:attack, val:0.03, calc:mul, animation:enemy_enhance_attack],[effect:attack_break, target:unit_all, turn:2, val:0.5, calc:mul, animation:attack_break02],[effect:fix_speed, target:myself, turn:1]</v>
      </c>
      <c r="N66" s="48" t="str">
        <f>IFERROR(LEFT(M66,FIND("],",M66)+#REF!),M66)</f>
        <v>[effect:tolerance, target:myself, turn:-1, count:-1, tolerance_effect:all, animation:enemy_tolerance],[effect:enhance_enemy, target:myself, turn:2, status:attack, val:0.03, calc:mul, animation:enemy_enhance_attack],[effect:attack_break, target:unit_all, turn:2, val:0.5, calc:mul, animation:attack_break02],[effect:fix_speed, target:myself, turn:1]</v>
      </c>
      <c r="O66" s="62">
        <f t="shared" si="61"/>
        <v>9</v>
      </c>
      <c r="P66" s="62">
        <f t="shared" si="62"/>
        <v>18</v>
      </c>
      <c r="Q66" s="62">
        <f t="shared" si="63"/>
        <v>27</v>
      </c>
      <c r="R66" s="62">
        <f t="shared" si="64"/>
        <v>33</v>
      </c>
      <c r="S66" s="62" t="str">
        <f>IFERROR(VLOOKUP(MID(N66,Q66,R66-Q66),[5]skilldef!$C:$D,2,FALSE),"-") &amp; " / " &amp; IFERROR(VLOOKUP(MID(N66,O66,P66-O66),[5]skilldef!$A:$B,2,FALSE),"-")</f>
        <v>自分自身に / 状態異常耐性</v>
      </c>
      <c r="T66" s="48" t="str">
        <f t="shared" si="54"/>
        <v>[effect:enhance_enemy, target:myself, turn:2, status:attack, val:0.03, calc:mul, animation:enemy_enhance_attack],[effect:attack_break, target:unit_all, turn:2, val:0.5, calc:mul, animation:attack_break02],[effect:fix_speed, target:myself, turn:1]</v>
      </c>
      <c r="U66" s="62">
        <f t="shared" si="55"/>
        <v>9</v>
      </c>
      <c r="V66" s="62">
        <f t="shared" si="56"/>
        <v>22</v>
      </c>
      <c r="W66" s="62">
        <f t="shared" si="57"/>
        <v>31</v>
      </c>
      <c r="X66" s="62">
        <f t="shared" si="58"/>
        <v>37</v>
      </c>
      <c r="Y66" s="62" t="str">
        <f>IFERROR(VLOOKUP(MID(T66,W66,X66-W66),[5]skilldef!$C:$D,2,FALSE),"-") &amp; " / " &amp; IFERROR(VLOOKUP(MID(T66,U66,V66-U66),[5]skilldef!$A:$B,2,FALSE),"-")</f>
        <v>自分自身に / ステータス強化</v>
      </c>
      <c r="Z66" s="50"/>
      <c r="AA66" s="52"/>
      <c r="AB66" s="50"/>
      <c r="AC66" s="49" t="s">
        <v>297</v>
      </c>
      <c r="AG66" s="49" t="s">
        <v>306</v>
      </c>
      <c r="AH66" s="49" t="s">
        <v>309</v>
      </c>
    </row>
    <row r="67" spans="1:34" ht="53" customHeight="1" x14ac:dyDescent="0.15">
      <c r="A67" s="112">
        <v>47016241</v>
      </c>
      <c r="B67" s="166" t="s">
        <v>542</v>
      </c>
      <c r="C67" s="50">
        <v>3</v>
      </c>
      <c r="D67" s="50" t="s">
        <v>127</v>
      </c>
      <c r="E67" s="113" t="s">
        <v>446</v>
      </c>
      <c r="F67" s="51" t="s">
        <v>396</v>
      </c>
      <c r="G67" s="62" t="str">
        <f t="shared" si="44"/>
        <v>[effect:enemy_message, val1:1.2, val2:3.4]</v>
      </c>
      <c r="H67" s="62">
        <f t="shared" si="45"/>
        <v>9</v>
      </c>
      <c r="I67" s="62">
        <f t="shared" si="46"/>
        <v>22</v>
      </c>
      <c r="J67" s="62" t="e">
        <f t="shared" si="47"/>
        <v>#VALUE!</v>
      </c>
      <c r="K67" s="62">
        <f t="shared" si="48"/>
        <v>32</v>
      </c>
      <c r="L67" s="62" t="str">
        <f>IFERROR(VLOOKUP(MID(G67,J67,K67-J67),[5]skilldef!$C:$D,2,FALSE),"-") &amp; " / " &amp; IFERROR(VLOOKUP(MID(G67,H67,I67-H67),[5]skilldef!$A:$B,2,FALSE),"-")</f>
        <v>- / -</v>
      </c>
      <c r="M67" s="62" t="str">
        <f t="shared" si="49"/>
        <v>[effect:change_range_block, block_change:1, base_type:0, square_count:5, position01:5, position02:15, value_h01:1, value_h02:1, value_w01:5, value_w02:5,  new_block:block_red, target:normal, count:0, val:0, animation:change_range_block],[effect:panel_freeze, target:normal, color:block_red, count:4],[effect:rush, count:1, val:0.6]</v>
      </c>
      <c r="N67" s="48" t="str">
        <f>IFERROR(LEFT(M67,FIND("],",M67)+#REF!),M67)</f>
        <v>[effect:change_range_block, block_change:1, base_type:0, square_count:5, position01:5, position02:15, value_h01:1, value_h02:1, value_w01:5, value_w02:5,  new_block:block_red, target:normal, count:0, val:0, animation:change_range_block],[effect:panel_freeze, target:normal, color:block_red, count:4],[effect:rush, count:1, val:0.6]</v>
      </c>
      <c r="O67" s="62">
        <f t="shared" si="61"/>
        <v>9</v>
      </c>
      <c r="P67" s="62">
        <f t="shared" si="62"/>
        <v>27</v>
      </c>
      <c r="Q67" s="62">
        <f t="shared" si="63"/>
        <v>184</v>
      </c>
      <c r="R67" s="62">
        <f t="shared" si="64"/>
        <v>43</v>
      </c>
      <c r="S67" s="62" t="str">
        <f>IFERROR(VLOOKUP(MID(N67,Q67,R67-Q67),[5]skilldef!$C:$D,2,FALSE),"-") &amp; " / " &amp; IFERROR(VLOOKUP(MID(N67,O67,P67-O67),[5]skilldef!$A:$B,2,FALSE),"-")</f>
        <v>- / -</v>
      </c>
      <c r="T67" s="48" t="str">
        <f t="shared" si="54"/>
        <v>[effect:panel_freeze, target:normal, color:block_red, count:4],[effect:rush, count:1, val:0.6]</v>
      </c>
      <c r="U67" s="62">
        <f t="shared" si="55"/>
        <v>9</v>
      </c>
      <c r="V67" s="62">
        <f t="shared" si="56"/>
        <v>21</v>
      </c>
      <c r="W67" s="62">
        <f t="shared" si="57"/>
        <v>30</v>
      </c>
      <c r="X67" s="62">
        <f t="shared" si="58"/>
        <v>36</v>
      </c>
      <c r="Y67" s="62" t="str">
        <f>IFERROR(VLOOKUP(MID(T67,W67,X67-W67),[5]skilldef!$C:$D,2,FALSE),"-") &amp; " / " &amp; IFERROR(VLOOKUP(MID(T67,U67,V67-U67),[5]skilldef!$A:$B,2,FALSE),"-")</f>
        <v>- / -</v>
      </c>
      <c r="Z67" s="50"/>
      <c r="AA67" s="52"/>
      <c r="AB67" s="50"/>
      <c r="AC67" s="49" t="s">
        <v>298</v>
      </c>
      <c r="AH67" s="49" t="s">
        <v>309</v>
      </c>
    </row>
    <row r="68" spans="1:34" ht="29" customHeight="1" x14ac:dyDescent="0.15">
      <c r="A68" s="112">
        <v>47016243</v>
      </c>
      <c r="B68" s="166" t="s">
        <v>543</v>
      </c>
      <c r="C68" s="50">
        <v>3</v>
      </c>
      <c r="D68" s="50" t="s">
        <v>127</v>
      </c>
      <c r="E68" s="51" t="s">
        <v>449</v>
      </c>
      <c r="F68" s="51" t="s">
        <v>397</v>
      </c>
      <c r="G68" s="62" t="str">
        <f t="shared" si="44"/>
        <v>[effect:enemy_message, val1:1.2, val2:2.2]</v>
      </c>
      <c r="H68" s="62">
        <f t="shared" si="45"/>
        <v>9</v>
      </c>
      <c r="I68" s="62">
        <f t="shared" si="46"/>
        <v>22</v>
      </c>
      <c r="J68" s="62" t="e">
        <f t="shared" si="47"/>
        <v>#VALUE!</v>
      </c>
      <c r="K68" s="62">
        <f t="shared" si="48"/>
        <v>32</v>
      </c>
      <c r="L68" s="62" t="str">
        <f>IFERROR(VLOOKUP(MID(G68,J68,K68-J68),[5]skilldef!$C:$D,2,FALSE),"-") &amp; " / " &amp; IFERROR(VLOOKUP(MID(G68,H68,I68-H68),[5]skilldef!$A:$B,2,FALSE),"-")</f>
        <v>- / -</v>
      </c>
      <c r="M68" s="62" t="str">
        <f t="shared" si="49"/>
        <v>[effect:panel_freeze, target:normal, color:block_blue, count:5],[effect:rush, count:4, val:0.13]</v>
      </c>
      <c r="N68" s="48" t="str">
        <f>IFERROR(LEFT(M68,FIND("],",M68)+#REF!),M68)</f>
        <v>[effect:panel_freeze, target:normal, color:block_blue, count:5],[effect:rush, count:4, val:0.13]</v>
      </c>
      <c r="O68" s="62">
        <f t="shared" si="61"/>
        <v>9</v>
      </c>
      <c r="P68" s="62">
        <f t="shared" si="62"/>
        <v>21</v>
      </c>
      <c r="Q68" s="62">
        <f t="shared" si="63"/>
        <v>30</v>
      </c>
      <c r="R68" s="62">
        <f t="shared" si="64"/>
        <v>36</v>
      </c>
      <c r="S68" s="62" t="str">
        <f>IFERROR(VLOOKUP(MID(N68,Q68,R68-Q68),[5]skilldef!$C:$D,2,FALSE),"-") &amp; " / " &amp; IFERROR(VLOOKUP(MID(N68,O68,P68-O68),[5]skilldef!$A:$B,2,FALSE),"-")</f>
        <v>- / -</v>
      </c>
      <c r="T68" s="48" t="str">
        <f t="shared" si="54"/>
        <v>[effect:rush, count:4, val:0.13]</v>
      </c>
      <c r="U68" s="62">
        <f t="shared" si="55"/>
        <v>9</v>
      </c>
      <c r="V68" s="62">
        <f t="shared" si="56"/>
        <v>13</v>
      </c>
      <c r="W68" s="62" t="e">
        <f t="shared" si="57"/>
        <v>#VALUE!</v>
      </c>
      <c r="X68" s="62">
        <f t="shared" si="58"/>
        <v>22</v>
      </c>
      <c r="Y68" s="62" t="str">
        <f>IFERROR(VLOOKUP(MID(T68,W68,X68-W68),[5]skilldef!$C:$D,2,FALSE),"-") &amp; " / " &amp; IFERROR(VLOOKUP(MID(T68,U68,V68-U68),[5]skilldef!$A:$B,2,FALSE),"-")</f>
        <v>- / 連続攻撃</v>
      </c>
      <c r="Z68" s="50"/>
      <c r="AA68" s="52"/>
      <c r="AB68" s="50"/>
      <c r="AC68" s="49" t="s">
        <v>300</v>
      </c>
      <c r="AH68" s="49" t="s">
        <v>309</v>
      </c>
    </row>
    <row r="69" spans="1:34" ht="31" customHeight="1" x14ac:dyDescent="0.15">
      <c r="A69" s="112">
        <v>47016244</v>
      </c>
      <c r="B69" s="166" t="s">
        <v>488</v>
      </c>
      <c r="C69" s="50">
        <v>3</v>
      </c>
      <c r="D69" s="50" t="s">
        <v>127</v>
      </c>
      <c r="E69" s="51" t="s">
        <v>450</v>
      </c>
      <c r="F69" s="51" t="s">
        <v>398</v>
      </c>
      <c r="G69" s="62" t="str">
        <f t="shared" si="44"/>
        <v>[effect:enemy_message, val1:1.3, val2:2.4]</v>
      </c>
      <c r="H69" s="62">
        <f t="shared" si="45"/>
        <v>9</v>
      </c>
      <c r="I69" s="62">
        <f t="shared" si="46"/>
        <v>22</v>
      </c>
      <c r="J69" s="62" t="e">
        <f t="shared" si="47"/>
        <v>#VALUE!</v>
      </c>
      <c r="K69" s="62">
        <f t="shared" si="48"/>
        <v>32</v>
      </c>
      <c r="L69" s="62" t="str">
        <f>IFERROR(VLOOKUP(MID(G69,J69,K69-J69),[5]skilldef!$C:$D,2,FALSE),"-") &amp; " / " &amp; IFERROR(VLOOKUP(MID(G69,H69,I69-H69),[5]skilldef!$A:$B,2,FALSE),"-")</f>
        <v>- / -</v>
      </c>
      <c r="M69" s="62" t="str">
        <f t="shared" si="49"/>
        <v>[effect:drop_freeze, turn:2, block_type:normal, block_color:block_red, rate:0.5, animation:drop_protect]</v>
      </c>
      <c r="N69" s="48" t="str">
        <f>IFERROR(LEFT(M69,FIND("],",M69)+#REF!),M69)</f>
        <v>[effect:drop_freeze, turn:2, block_type:normal, block_color:block_red, rate:0.5, animation:drop_protect]</v>
      </c>
      <c r="O69" s="62">
        <f t="shared" si="61"/>
        <v>9</v>
      </c>
      <c r="P69" s="62">
        <f t="shared" si="62"/>
        <v>20</v>
      </c>
      <c r="Q69" s="62" t="e">
        <f t="shared" si="63"/>
        <v>#VALUE!</v>
      </c>
      <c r="R69" s="62">
        <f t="shared" si="64"/>
        <v>28</v>
      </c>
      <c r="S69" s="62" t="str">
        <f>IFERROR(VLOOKUP(MID(N69,Q69,R69-Q69),[5]skilldef!$C:$D,2,FALSE),"-") &amp; " / " &amp; IFERROR(VLOOKUP(MID(N69,O69,P69-O69),[5]skilldef!$A:$B,2,FALSE),"-")</f>
        <v>- / -</v>
      </c>
      <c r="T69" s="48" t="str">
        <f t="shared" si="54"/>
        <v>none</v>
      </c>
      <c r="U69" s="62" t="e">
        <f t="shared" si="55"/>
        <v>#VALUE!</v>
      </c>
      <c r="V69" s="62">
        <f t="shared" si="56"/>
        <v>4</v>
      </c>
      <c r="W69" s="62" t="e">
        <f t="shared" si="57"/>
        <v>#VALUE!</v>
      </c>
      <c r="X69" s="62" t="e">
        <f t="shared" si="58"/>
        <v>#VALUE!</v>
      </c>
      <c r="Y69" s="62" t="str">
        <f>IFERROR(VLOOKUP(MID(T69,W69,X69-W69),[5]skilldef!$C:$D,2,FALSE),"-") &amp; " / " &amp; IFERROR(VLOOKUP(MID(T69,U69,V69-U69),[5]skilldef!$A:$B,2,FALSE),"-")</f>
        <v>- / -</v>
      </c>
      <c r="Z69" s="50"/>
      <c r="AA69" s="52"/>
      <c r="AB69" s="50"/>
      <c r="AC69" s="49" t="s">
        <v>302</v>
      </c>
      <c r="AH69" s="49" t="s">
        <v>309</v>
      </c>
    </row>
    <row r="70" spans="1:34" ht="35" customHeight="1" x14ac:dyDescent="0.15">
      <c r="A70" s="112">
        <v>47016245</v>
      </c>
      <c r="B70" s="166" t="s">
        <v>489</v>
      </c>
      <c r="C70" s="50">
        <v>3</v>
      </c>
      <c r="D70" s="50" t="s">
        <v>127</v>
      </c>
      <c r="E70" s="51" t="s">
        <v>451</v>
      </c>
      <c r="F70" s="51" t="s">
        <v>399</v>
      </c>
      <c r="G70" s="62" t="str">
        <f t="shared" si="44"/>
        <v>[effect:enemy_message, val1:1.2, val2:2.9]</v>
      </c>
      <c r="H70" s="62">
        <f t="shared" si="45"/>
        <v>9</v>
      </c>
      <c r="I70" s="62">
        <f t="shared" si="46"/>
        <v>22</v>
      </c>
      <c r="J70" s="62" t="e">
        <f t="shared" si="47"/>
        <v>#VALUE!</v>
      </c>
      <c r="K70" s="62">
        <f t="shared" si="48"/>
        <v>32</v>
      </c>
      <c r="L70" s="62" t="str">
        <f>IFERROR(VLOOKUP(MID(G70,J70,K70-J70),[5]skilldef!$C:$D,2,FALSE),"-") &amp; " / " &amp; IFERROR(VLOOKUP(MID(G70,H70,I70-H70),[5]skilldef!$A:$B,2,FALSE),"-")</f>
        <v>- / -</v>
      </c>
      <c r="M70" s="62" t="str">
        <f t="shared" si="49"/>
        <v>[effect:drop_freeze, turn:2, block_type:normal, block_color:block_blue, rate:0.5, animation:drop_protect],[effect:spread, val:0.15]</v>
      </c>
      <c r="N70" s="48" t="str">
        <f>IFERROR(LEFT(M70,FIND("],",M70)+S118),M70)</f>
        <v>[effect:drop_freeze, turn:2, block_type:normal, block_color:block_blue, rate:0.5, animation:drop_protect]</v>
      </c>
      <c r="O70" s="62">
        <f t="shared" si="61"/>
        <v>9</v>
      </c>
      <c r="P70" s="62">
        <f t="shared" si="62"/>
        <v>20</v>
      </c>
      <c r="Q70" s="62" t="e">
        <f t="shared" si="63"/>
        <v>#VALUE!</v>
      </c>
      <c r="R70" s="62">
        <f t="shared" si="64"/>
        <v>28</v>
      </c>
      <c r="S70" s="62" t="str">
        <f>IFERROR(VLOOKUP(MID(N70,Q70,R70-Q70),[5]skilldef!$C:$D,2,FALSE),"-") &amp; " / " &amp; IFERROR(VLOOKUP(MID(N70,O70,P70-O70),[5]skilldef!$A:$B,2,FALSE),"-")</f>
        <v>- / -</v>
      </c>
      <c r="T70" s="48" t="str">
        <f t="shared" si="54"/>
        <v>[effect:spread, val:0.15]</v>
      </c>
      <c r="U70" s="62">
        <f t="shared" si="55"/>
        <v>9</v>
      </c>
      <c r="V70" s="62">
        <f t="shared" si="56"/>
        <v>15</v>
      </c>
      <c r="W70" s="62" t="e">
        <f t="shared" si="57"/>
        <v>#VALUE!</v>
      </c>
      <c r="X70" s="62" t="e">
        <f t="shared" si="58"/>
        <v>#VALUE!</v>
      </c>
      <c r="Y70" s="62" t="str">
        <f>IFERROR(VLOOKUP(MID(T70,W70,X70-W70),[5]skilldef!$C:$D,2,FALSE),"-") &amp; " / " &amp; IFERROR(VLOOKUP(MID(T70,U70,V70-U70),[5]skilldef!$A:$B,2,FALSE),"-")</f>
        <v>- / 全体攻撃</v>
      </c>
      <c r="Z70" s="50"/>
      <c r="AA70" s="52"/>
      <c r="AB70" s="50"/>
      <c r="AC70" s="49" t="s">
        <v>301</v>
      </c>
      <c r="AH70" s="49" t="s">
        <v>309</v>
      </c>
    </row>
    <row r="71" spans="1:34" ht="35" customHeight="1" x14ac:dyDescent="0.15">
      <c r="A71" s="112">
        <v>47016246</v>
      </c>
      <c r="B71" s="166" t="s">
        <v>550</v>
      </c>
      <c r="C71" s="50">
        <v>3</v>
      </c>
      <c r="D71" s="50" t="s">
        <v>127</v>
      </c>
      <c r="E71" s="51" t="s">
        <v>452</v>
      </c>
      <c r="F71" s="51" t="s">
        <v>400</v>
      </c>
      <c r="G71" s="62" t="e">
        <f>IFERROR(LEFT(#REF!,FIND("],",#REF!)),#REF!)</f>
        <v>#REF!</v>
      </c>
      <c r="H71" s="62" t="e">
        <f t="shared" si="45"/>
        <v>#REF!</v>
      </c>
      <c r="I71" s="62" t="e">
        <f t="shared" si="46"/>
        <v>#REF!</v>
      </c>
      <c r="J71" s="62" t="e">
        <f t="shared" si="47"/>
        <v>#REF!</v>
      </c>
      <c r="K71" s="62" t="e">
        <f t="shared" si="48"/>
        <v>#REF!</v>
      </c>
      <c r="L71" s="62" t="str">
        <f>IFERROR(VLOOKUP(MID(G71,J71,K71-J71),[5]skilldef!$C:$D,2,FALSE),"-") &amp; " / " &amp; IFERROR(VLOOKUP(MID(G71,H71,I71-H71),[5]skilldef!$A:$B,2,FALSE),"-")</f>
        <v>- / -</v>
      </c>
      <c r="M71" s="62" t="str">
        <f>IFERROR(RIGHT(#REF!,LEN(#REF!)-FIND("],",#REF!)-1),"none")</f>
        <v>none</v>
      </c>
      <c r="N71" s="48" t="str">
        <f>IFERROR(LEFT(M71,FIND("],",M71)+S119),M71)</f>
        <v>none</v>
      </c>
      <c r="O71" s="62" t="e">
        <f t="shared" si="61"/>
        <v>#VALUE!</v>
      </c>
      <c r="P71" s="62">
        <f t="shared" si="62"/>
        <v>4</v>
      </c>
      <c r="Q71" s="62" t="e">
        <f t="shared" si="63"/>
        <v>#VALUE!</v>
      </c>
      <c r="R71" s="62" t="e">
        <f t="shared" si="64"/>
        <v>#VALUE!</v>
      </c>
      <c r="S71" s="62" t="str">
        <f>IFERROR(VLOOKUP(MID(N71,Q71,R71-Q71),[5]skilldef!$C:$D,2,FALSE),"-") &amp; " / " &amp; IFERROR(VLOOKUP(MID(N71,O71,P71-O71),[5]skilldef!$A:$B,2,FALSE),"-")</f>
        <v>- / -</v>
      </c>
      <c r="T71" s="48" t="str">
        <f t="shared" si="54"/>
        <v>none</v>
      </c>
      <c r="U71" s="62" t="e">
        <f t="shared" si="55"/>
        <v>#VALUE!</v>
      </c>
      <c r="V71" s="62">
        <f t="shared" si="56"/>
        <v>4</v>
      </c>
      <c r="W71" s="62" t="e">
        <f t="shared" si="57"/>
        <v>#VALUE!</v>
      </c>
      <c r="X71" s="62" t="e">
        <f t="shared" si="58"/>
        <v>#VALUE!</v>
      </c>
      <c r="Y71" s="62" t="str">
        <f>IFERROR(VLOOKUP(MID(T71,W71,X71-W71),[5]skilldef!$C:$D,2,FALSE),"-") &amp; " / " &amp; IFERROR(VLOOKUP(MID(T71,U71,V71-U71),[5]skilldef!$A:$B,2,FALSE),"-")</f>
        <v>- / -</v>
      </c>
      <c r="Z71" s="50"/>
      <c r="AA71" s="52"/>
      <c r="AB71" s="50"/>
      <c r="AC71" s="49" t="s">
        <v>303</v>
      </c>
      <c r="AH71" s="49" t="s">
        <v>309</v>
      </c>
    </row>
  </sheetData>
  <autoFilter ref="A1:AB1"/>
  <phoneticPr fontId="5"/>
  <pageMargins left="0.75" right="0.75" top="1" bottom="1" header="0.3" footer="0.3"/>
  <pageSetup paperSize="9" orientation="portrait" horizontalDpi="4294967292" verticalDpi="429496729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 enableFormatConditionsCalculation="0">
    <tabColor rgb="FF0000FF"/>
  </sheetPr>
  <dimension ref="A1:L75"/>
  <sheetViews>
    <sheetView showGridLines="0" workbookViewId="0">
      <pane ySplit="1" topLeftCell="A21" activePane="bottomLeft" state="frozenSplit"/>
      <selection pane="bottomLeft" activeCell="A37" sqref="A37:XFD37"/>
    </sheetView>
  </sheetViews>
  <sheetFormatPr baseColWidth="12" defaultColWidth="12.83203125" defaultRowHeight="21" customHeight="1" x14ac:dyDescent="0.15"/>
  <cols>
    <col min="1" max="1" width="16.1640625" style="49" bestFit="1" customWidth="1"/>
    <col min="2" max="2" width="13.33203125" style="49" bestFit="1" customWidth="1"/>
    <col min="3" max="3" width="11.83203125" style="49" bestFit="1" customWidth="1"/>
    <col min="4" max="4" width="14.6640625" style="49" bestFit="1" customWidth="1"/>
    <col min="5" max="5" width="15.6640625" style="49" bestFit="1" customWidth="1"/>
    <col min="6" max="6" width="17" style="49" bestFit="1" customWidth="1"/>
    <col min="7" max="7" width="15.6640625" style="49" bestFit="1" customWidth="1"/>
    <col min="8" max="9" width="14.6640625" style="49" customWidth="1"/>
    <col min="10" max="10" width="14.6640625" style="49" bestFit="1" customWidth="1"/>
    <col min="11" max="11" width="22.83203125" style="39" bestFit="1" customWidth="1"/>
    <col min="12" max="12" width="38.33203125" style="45" customWidth="1"/>
    <col min="13" max="16384" width="12.83203125" style="45"/>
  </cols>
  <sheetData>
    <row r="1" spans="1:12" ht="21" customHeight="1" x14ac:dyDescent="0.15">
      <c r="A1" s="42" t="s">
        <v>84</v>
      </c>
      <c r="B1" s="42" t="s">
        <v>85</v>
      </c>
      <c r="C1" s="42" t="s">
        <v>86</v>
      </c>
      <c r="D1" s="42" t="s">
        <v>87</v>
      </c>
      <c r="E1" s="42" t="s">
        <v>70</v>
      </c>
      <c r="F1" s="53" t="s">
        <v>71</v>
      </c>
      <c r="G1" s="53" t="s">
        <v>72</v>
      </c>
      <c r="H1" s="42" t="s">
        <v>73</v>
      </c>
      <c r="I1" s="42" t="s">
        <v>74</v>
      </c>
      <c r="J1" s="42" t="s">
        <v>75</v>
      </c>
      <c r="K1" s="54" t="s">
        <v>88</v>
      </c>
    </row>
    <row r="2" spans="1:12" ht="21" customHeight="1" x14ac:dyDescent="0.15">
      <c r="A2" s="106">
        <v>47016100</v>
      </c>
      <c r="B2" s="106">
        <v>1</v>
      </c>
      <c r="C2" s="106">
        <v>500</v>
      </c>
      <c r="D2" s="106">
        <v>100</v>
      </c>
      <c r="E2" s="106" t="s">
        <v>255</v>
      </c>
      <c r="F2" s="106" t="s">
        <v>89</v>
      </c>
      <c r="G2" s="106">
        <v>1</v>
      </c>
      <c r="H2" s="106" t="s">
        <v>89</v>
      </c>
      <c r="I2" s="106">
        <v>1701</v>
      </c>
      <c r="J2" s="48">
        <f t="shared" ref="J2" si="0">D2</f>
        <v>100</v>
      </c>
      <c r="L2" s="176"/>
    </row>
    <row r="3" spans="1:12" ht="21" customHeight="1" x14ac:dyDescent="0.15">
      <c r="A3" s="106">
        <v>47016101</v>
      </c>
      <c r="B3" s="106">
        <v>1</v>
      </c>
      <c r="C3" s="106">
        <v>490</v>
      </c>
      <c r="D3" s="106">
        <v>100</v>
      </c>
      <c r="E3" s="106" t="s">
        <v>255</v>
      </c>
      <c r="F3" s="106" t="s">
        <v>53</v>
      </c>
      <c r="G3" s="106">
        <v>1</v>
      </c>
      <c r="H3" s="106" t="s">
        <v>53</v>
      </c>
      <c r="I3" s="106">
        <v>1702</v>
      </c>
      <c r="J3" s="48">
        <f t="shared" ref="J3" si="1">D3</f>
        <v>100</v>
      </c>
      <c r="L3" s="176"/>
    </row>
    <row r="4" spans="1:12" ht="21" customHeight="1" x14ac:dyDescent="0.15">
      <c r="A4" s="106">
        <v>47016102</v>
      </c>
      <c r="B4" s="106">
        <v>1</v>
      </c>
      <c r="C4" s="106">
        <v>480</v>
      </c>
      <c r="D4" s="106">
        <v>100</v>
      </c>
      <c r="E4" s="106" t="s">
        <v>255</v>
      </c>
      <c r="F4" s="106" t="s">
        <v>53</v>
      </c>
      <c r="G4" s="106">
        <v>1</v>
      </c>
      <c r="H4" s="106" t="s">
        <v>53</v>
      </c>
      <c r="I4" s="106">
        <v>1703</v>
      </c>
      <c r="J4" s="48">
        <f t="shared" ref="J4:J49" si="2">D4</f>
        <v>100</v>
      </c>
      <c r="L4" s="176"/>
    </row>
    <row r="5" spans="1:12" ht="21" customHeight="1" x14ac:dyDescent="0.15">
      <c r="A5" s="106">
        <v>47016103</v>
      </c>
      <c r="B5" s="106">
        <v>1</v>
      </c>
      <c r="C5" s="106">
        <v>470</v>
      </c>
      <c r="D5" s="106">
        <v>100</v>
      </c>
      <c r="E5" s="106" t="s">
        <v>255</v>
      </c>
      <c r="F5" s="106" t="s">
        <v>53</v>
      </c>
      <c r="G5" s="106">
        <v>1</v>
      </c>
      <c r="H5" s="106" t="s">
        <v>53</v>
      </c>
      <c r="I5" s="106">
        <v>1704</v>
      </c>
      <c r="J5" s="48">
        <f t="shared" ref="J5:J10" si="3">D5</f>
        <v>100</v>
      </c>
      <c r="L5" s="176"/>
    </row>
    <row r="6" spans="1:12" ht="21" customHeight="1" x14ac:dyDescent="0.15">
      <c r="A6" s="106">
        <v>47016104</v>
      </c>
      <c r="B6" s="106">
        <v>1</v>
      </c>
      <c r="C6" s="106">
        <v>460</v>
      </c>
      <c r="D6" s="106">
        <v>100</v>
      </c>
      <c r="E6" s="106" t="s">
        <v>255</v>
      </c>
      <c r="F6" s="106" t="s">
        <v>53</v>
      </c>
      <c r="G6" s="106">
        <v>1</v>
      </c>
      <c r="H6" s="106" t="s">
        <v>53</v>
      </c>
      <c r="I6" s="106">
        <v>1705</v>
      </c>
      <c r="J6" s="48">
        <f t="shared" si="3"/>
        <v>100</v>
      </c>
      <c r="L6" s="176"/>
    </row>
    <row r="7" spans="1:12" ht="21" customHeight="1" x14ac:dyDescent="0.15">
      <c r="A7" s="106">
        <v>47016105</v>
      </c>
      <c r="B7" s="106">
        <v>1</v>
      </c>
      <c r="C7" s="106">
        <v>450</v>
      </c>
      <c r="D7" s="106">
        <v>100</v>
      </c>
      <c r="E7" s="106" t="s">
        <v>255</v>
      </c>
      <c r="F7" s="106" t="s">
        <v>53</v>
      </c>
      <c r="G7" s="106">
        <v>1</v>
      </c>
      <c r="H7" s="106" t="s">
        <v>53</v>
      </c>
      <c r="I7" s="106">
        <v>1706</v>
      </c>
      <c r="J7" s="48">
        <f t="shared" si="3"/>
        <v>100</v>
      </c>
      <c r="L7" s="176"/>
    </row>
    <row r="8" spans="1:12" ht="21" customHeight="1" x14ac:dyDescent="0.15">
      <c r="A8" s="216">
        <v>47016175</v>
      </c>
      <c r="B8" s="106">
        <v>1</v>
      </c>
      <c r="C8" s="106">
        <v>445</v>
      </c>
      <c r="D8" s="106">
        <v>100</v>
      </c>
      <c r="E8" s="106" t="s">
        <v>53</v>
      </c>
      <c r="F8" s="106" t="s">
        <v>53</v>
      </c>
      <c r="G8" s="106">
        <v>1</v>
      </c>
      <c r="H8" s="106" t="s">
        <v>53</v>
      </c>
      <c r="I8" s="106">
        <v>1707</v>
      </c>
      <c r="J8" s="48">
        <f t="shared" si="3"/>
        <v>100</v>
      </c>
      <c r="L8" s="176"/>
    </row>
    <row r="9" spans="1:12" ht="21" customHeight="1" x14ac:dyDescent="0.15">
      <c r="A9" s="106">
        <v>47016106</v>
      </c>
      <c r="B9" s="106">
        <v>1</v>
      </c>
      <c r="C9" s="106">
        <v>440</v>
      </c>
      <c r="D9" s="106">
        <v>100</v>
      </c>
      <c r="E9" s="106" t="s">
        <v>255</v>
      </c>
      <c r="F9" s="106" t="s">
        <v>53</v>
      </c>
      <c r="G9" s="106">
        <v>1</v>
      </c>
      <c r="H9" s="106" t="s">
        <v>53</v>
      </c>
      <c r="I9" s="106">
        <v>1708</v>
      </c>
      <c r="J9" s="48">
        <f t="shared" ref="J9" si="4">D9</f>
        <v>100</v>
      </c>
      <c r="L9" s="176"/>
    </row>
    <row r="10" spans="1:12" ht="21" customHeight="1" x14ac:dyDescent="0.15">
      <c r="A10" s="106">
        <v>47016107</v>
      </c>
      <c r="B10" s="106">
        <v>1</v>
      </c>
      <c r="C10" s="106">
        <v>430</v>
      </c>
      <c r="D10" s="106">
        <v>100</v>
      </c>
      <c r="E10" s="106" t="s">
        <v>255</v>
      </c>
      <c r="F10" s="106" t="s">
        <v>53</v>
      </c>
      <c r="G10" s="106">
        <v>1</v>
      </c>
      <c r="H10" s="106" t="s">
        <v>53</v>
      </c>
      <c r="I10" s="106">
        <v>1709</v>
      </c>
      <c r="J10" s="48">
        <f t="shared" si="3"/>
        <v>100</v>
      </c>
      <c r="L10" s="176"/>
    </row>
    <row r="11" spans="1:12" ht="21" customHeight="1" x14ac:dyDescent="0.15">
      <c r="A11" s="106">
        <v>47016108</v>
      </c>
      <c r="B11" s="106">
        <v>1</v>
      </c>
      <c r="C11" s="106">
        <v>420</v>
      </c>
      <c r="D11" s="106">
        <v>100</v>
      </c>
      <c r="E11" s="106" t="s">
        <v>255</v>
      </c>
      <c r="F11" s="106" t="s">
        <v>53</v>
      </c>
      <c r="G11" s="106">
        <v>1</v>
      </c>
      <c r="H11" s="106" t="s">
        <v>53</v>
      </c>
      <c r="I11" s="106">
        <v>1710</v>
      </c>
      <c r="J11" s="48">
        <f t="shared" ref="J11:J16" si="5">D11</f>
        <v>100</v>
      </c>
      <c r="L11" s="176"/>
    </row>
    <row r="12" spans="1:12" ht="21" customHeight="1" x14ac:dyDescent="0.15">
      <c r="A12" s="106">
        <v>47016109</v>
      </c>
      <c r="B12" s="106">
        <v>1</v>
      </c>
      <c r="C12" s="106">
        <v>410</v>
      </c>
      <c r="D12" s="106">
        <v>100</v>
      </c>
      <c r="E12" s="106" t="s">
        <v>255</v>
      </c>
      <c r="F12" s="106" t="s">
        <v>53</v>
      </c>
      <c r="G12" s="106">
        <v>1</v>
      </c>
      <c r="H12" s="106" t="s">
        <v>53</v>
      </c>
      <c r="I12" s="106">
        <v>1711</v>
      </c>
      <c r="J12" s="48">
        <f>D12</f>
        <v>100</v>
      </c>
      <c r="L12" s="176"/>
    </row>
    <row r="13" spans="1:12" ht="21" customHeight="1" x14ac:dyDescent="0.15">
      <c r="A13" s="106">
        <v>47016110</v>
      </c>
      <c r="B13" s="106">
        <v>1</v>
      </c>
      <c r="C13" s="106">
        <v>400</v>
      </c>
      <c r="D13" s="106">
        <v>100</v>
      </c>
      <c r="E13" s="106" t="s">
        <v>255</v>
      </c>
      <c r="F13" s="106" t="s">
        <v>53</v>
      </c>
      <c r="G13" s="106">
        <v>1</v>
      </c>
      <c r="H13" s="106" t="s">
        <v>53</v>
      </c>
      <c r="I13" s="106">
        <v>1712</v>
      </c>
      <c r="J13" s="48">
        <f t="shared" ref="J13" si="6">D13</f>
        <v>100</v>
      </c>
      <c r="L13" s="176"/>
    </row>
    <row r="14" spans="1:12" ht="21" customHeight="1" x14ac:dyDescent="0.15">
      <c r="A14" s="106">
        <v>47016111</v>
      </c>
      <c r="B14" s="106">
        <v>1</v>
      </c>
      <c r="C14" s="106">
        <v>390</v>
      </c>
      <c r="D14" s="106">
        <v>100</v>
      </c>
      <c r="E14" s="106" t="s">
        <v>255</v>
      </c>
      <c r="F14" s="106" t="s">
        <v>53</v>
      </c>
      <c r="G14" s="106">
        <v>1</v>
      </c>
      <c r="H14" s="106" t="s">
        <v>53</v>
      </c>
      <c r="I14" s="106">
        <v>1713</v>
      </c>
      <c r="J14" s="48">
        <f t="shared" ref="J14" si="7">D14</f>
        <v>100</v>
      </c>
      <c r="L14" s="176"/>
    </row>
    <row r="15" spans="1:12" ht="21" customHeight="1" x14ac:dyDescent="0.15">
      <c r="A15" s="106">
        <v>47016112</v>
      </c>
      <c r="B15" s="106">
        <v>1</v>
      </c>
      <c r="C15" s="106">
        <v>380</v>
      </c>
      <c r="D15" s="106">
        <v>100</v>
      </c>
      <c r="E15" s="106" t="s">
        <v>255</v>
      </c>
      <c r="F15" s="106" t="s">
        <v>53</v>
      </c>
      <c r="G15" s="106">
        <v>1</v>
      </c>
      <c r="H15" s="106" t="s">
        <v>53</v>
      </c>
      <c r="I15" s="106">
        <v>1714</v>
      </c>
      <c r="J15" s="48">
        <f t="shared" si="5"/>
        <v>100</v>
      </c>
      <c r="L15" s="176"/>
    </row>
    <row r="16" spans="1:12" ht="21" customHeight="1" x14ac:dyDescent="0.15">
      <c r="A16" s="106">
        <v>47016113</v>
      </c>
      <c r="B16" s="106">
        <v>1</v>
      </c>
      <c r="C16" s="106">
        <v>370</v>
      </c>
      <c r="D16" s="106">
        <v>100</v>
      </c>
      <c r="E16" s="106" t="s">
        <v>255</v>
      </c>
      <c r="F16" s="106" t="s">
        <v>53</v>
      </c>
      <c r="G16" s="106">
        <v>1</v>
      </c>
      <c r="H16" s="106" t="s">
        <v>53</v>
      </c>
      <c r="I16" s="106">
        <v>1715</v>
      </c>
      <c r="J16" s="48">
        <f t="shared" si="5"/>
        <v>100</v>
      </c>
      <c r="L16" s="176"/>
    </row>
    <row r="17" spans="1:12" ht="21" customHeight="1" x14ac:dyDescent="0.15">
      <c r="A17" s="106">
        <v>47016114</v>
      </c>
      <c r="B17" s="106">
        <v>1</v>
      </c>
      <c r="C17" s="106">
        <v>360</v>
      </c>
      <c r="D17" s="106">
        <v>100</v>
      </c>
      <c r="E17" s="106" t="s">
        <v>255</v>
      </c>
      <c r="F17" s="106" t="s">
        <v>53</v>
      </c>
      <c r="G17" s="106">
        <v>1</v>
      </c>
      <c r="H17" s="106" t="s">
        <v>53</v>
      </c>
      <c r="I17" s="106">
        <v>1716</v>
      </c>
      <c r="J17" s="48">
        <f t="shared" ref="J17" si="8">D17</f>
        <v>100</v>
      </c>
      <c r="L17" s="176"/>
    </row>
    <row r="18" spans="1:12" ht="21" customHeight="1" x14ac:dyDescent="0.15">
      <c r="A18" s="106">
        <v>47016115</v>
      </c>
      <c r="B18" s="47">
        <v>1</v>
      </c>
      <c r="C18" s="47">
        <v>320</v>
      </c>
      <c r="D18" s="47">
        <v>100</v>
      </c>
      <c r="E18" s="47" t="s">
        <v>255</v>
      </c>
      <c r="F18" s="47" t="s">
        <v>53</v>
      </c>
      <c r="G18" s="47">
        <v>1</v>
      </c>
      <c r="H18" s="47" t="s">
        <v>53</v>
      </c>
      <c r="I18" s="47" t="s">
        <v>53</v>
      </c>
      <c r="J18" s="48">
        <f t="shared" si="2"/>
        <v>100</v>
      </c>
      <c r="L18" s="158" t="s">
        <v>311</v>
      </c>
    </row>
    <row r="19" spans="1:12" ht="21" customHeight="1" x14ac:dyDescent="0.15">
      <c r="A19" s="106">
        <v>47016116</v>
      </c>
      <c r="B19" s="47">
        <v>0</v>
      </c>
      <c r="C19" s="47">
        <v>310</v>
      </c>
      <c r="D19" s="47">
        <v>100</v>
      </c>
      <c r="E19" s="47" t="s">
        <v>255</v>
      </c>
      <c r="F19" s="47" t="s">
        <v>53</v>
      </c>
      <c r="G19" s="47">
        <v>1</v>
      </c>
      <c r="H19" s="47">
        <v>1</v>
      </c>
      <c r="I19" s="47" t="s">
        <v>53</v>
      </c>
      <c r="J19" s="48">
        <f t="shared" si="2"/>
        <v>100</v>
      </c>
      <c r="L19" s="158" t="s">
        <v>343</v>
      </c>
    </row>
    <row r="20" spans="1:12" ht="21" customHeight="1" x14ac:dyDescent="0.15">
      <c r="A20" s="106">
        <v>47016117</v>
      </c>
      <c r="B20" s="47">
        <v>0</v>
      </c>
      <c r="C20" s="47">
        <v>120</v>
      </c>
      <c r="D20" s="47">
        <v>33</v>
      </c>
      <c r="E20" s="47" t="s">
        <v>255</v>
      </c>
      <c r="F20" s="47" t="s">
        <v>53</v>
      </c>
      <c r="G20" s="47">
        <v>1</v>
      </c>
      <c r="H20" s="47" t="s">
        <v>53</v>
      </c>
      <c r="I20" s="47" t="s">
        <v>53</v>
      </c>
      <c r="J20" s="48">
        <f t="shared" si="2"/>
        <v>33</v>
      </c>
      <c r="L20" s="158" t="s">
        <v>328</v>
      </c>
    </row>
    <row r="21" spans="1:12" ht="21" customHeight="1" x14ac:dyDescent="0.15">
      <c r="A21" s="106">
        <v>47016118</v>
      </c>
      <c r="B21" s="47">
        <v>0</v>
      </c>
      <c r="C21" s="47">
        <v>110</v>
      </c>
      <c r="D21" s="47">
        <v>50</v>
      </c>
      <c r="E21" s="47" t="s">
        <v>255</v>
      </c>
      <c r="F21" s="47" t="s">
        <v>53</v>
      </c>
      <c r="G21" s="47" t="s">
        <v>255</v>
      </c>
      <c r="H21" s="47" t="s">
        <v>53</v>
      </c>
      <c r="I21" s="47" t="s">
        <v>53</v>
      </c>
      <c r="J21" s="48">
        <f t="shared" si="2"/>
        <v>50</v>
      </c>
      <c r="L21" s="158" t="s">
        <v>340</v>
      </c>
    </row>
    <row r="22" spans="1:12" ht="21" customHeight="1" x14ac:dyDescent="0.15">
      <c r="A22" s="106">
        <v>47016119</v>
      </c>
      <c r="B22" s="47">
        <v>0</v>
      </c>
      <c r="C22" s="47">
        <v>100</v>
      </c>
      <c r="D22" s="47">
        <v>100</v>
      </c>
      <c r="E22" s="47" t="s">
        <v>255</v>
      </c>
      <c r="F22" s="47" t="s">
        <v>53</v>
      </c>
      <c r="G22" s="47" t="s">
        <v>168</v>
      </c>
      <c r="H22" s="47" t="s">
        <v>53</v>
      </c>
      <c r="I22" s="47" t="s">
        <v>53</v>
      </c>
      <c r="J22" s="48">
        <f t="shared" si="2"/>
        <v>100</v>
      </c>
      <c r="L22" s="158" t="s">
        <v>339</v>
      </c>
    </row>
    <row r="23" spans="1:12" ht="21" customHeight="1" x14ac:dyDescent="0.15">
      <c r="A23" s="106">
        <v>47016120</v>
      </c>
      <c r="B23" s="47">
        <v>0</v>
      </c>
      <c r="C23" s="47">
        <v>340</v>
      </c>
      <c r="D23" s="47">
        <v>100</v>
      </c>
      <c r="E23" s="47">
        <v>50</v>
      </c>
      <c r="F23" s="47" t="s">
        <v>53</v>
      </c>
      <c r="G23" s="47">
        <v>1</v>
      </c>
      <c r="H23" s="47" t="s">
        <v>53</v>
      </c>
      <c r="I23" s="47" t="s">
        <v>53</v>
      </c>
      <c r="J23" s="48">
        <f t="shared" si="2"/>
        <v>100</v>
      </c>
      <c r="L23" s="158" t="s">
        <v>344</v>
      </c>
    </row>
    <row r="24" spans="1:12" ht="21" customHeight="1" x14ac:dyDescent="0.15">
      <c r="A24" s="110">
        <v>47016122</v>
      </c>
      <c r="B24" s="47">
        <v>1</v>
      </c>
      <c r="C24" s="47">
        <v>350</v>
      </c>
      <c r="D24" s="47">
        <v>100</v>
      </c>
      <c r="E24" s="47" t="s">
        <v>255</v>
      </c>
      <c r="F24" s="47" t="s">
        <v>53</v>
      </c>
      <c r="G24" s="47">
        <v>1</v>
      </c>
      <c r="H24" s="47" t="s">
        <v>53</v>
      </c>
      <c r="I24" s="47" t="s">
        <v>53</v>
      </c>
      <c r="J24" s="48">
        <f t="shared" si="2"/>
        <v>100</v>
      </c>
      <c r="L24" s="158" t="s">
        <v>341</v>
      </c>
    </row>
    <row r="25" spans="1:12" ht="21" customHeight="1" x14ac:dyDescent="0.15">
      <c r="A25" s="110">
        <v>47016123</v>
      </c>
      <c r="B25" s="47">
        <v>0</v>
      </c>
      <c r="C25" s="47">
        <v>300</v>
      </c>
      <c r="D25" s="47">
        <v>100</v>
      </c>
      <c r="E25" s="47" t="s">
        <v>255</v>
      </c>
      <c r="F25" s="47" t="s">
        <v>53</v>
      </c>
      <c r="G25" s="47">
        <v>1</v>
      </c>
      <c r="H25" s="47">
        <v>3</v>
      </c>
      <c r="I25" s="47" t="s">
        <v>53</v>
      </c>
      <c r="J25" s="48">
        <f t="shared" si="2"/>
        <v>100</v>
      </c>
      <c r="L25" s="158" t="s">
        <v>345</v>
      </c>
    </row>
    <row r="26" spans="1:12" ht="21" customHeight="1" x14ac:dyDescent="0.15">
      <c r="A26" s="110">
        <v>47016124</v>
      </c>
      <c r="B26" s="47">
        <v>0</v>
      </c>
      <c r="C26" s="47">
        <v>120</v>
      </c>
      <c r="D26" s="47">
        <v>50</v>
      </c>
      <c r="E26" s="47" t="s">
        <v>255</v>
      </c>
      <c r="F26" s="47">
        <v>50</v>
      </c>
      <c r="G26" s="47" t="s">
        <v>53</v>
      </c>
      <c r="H26" s="47" t="s">
        <v>53</v>
      </c>
      <c r="I26" s="47" t="s">
        <v>53</v>
      </c>
      <c r="J26" s="48">
        <f t="shared" si="2"/>
        <v>50</v>
      </c>
      <c r="L26" s="158" t="s">
        <v>312</v>
      </c>
    </row>
    <row r="27" spans="1:12" ht="21" customHeight="1" x14ac:dyDescent="0.15">
      <c r="A27" s="110">
        <v>47016125</v>
      </c>
      <c r="B27" s="47">
        <v>0</v>
      </c>
      <c r="C27" s="47">
        <v>110</v>
      </c>
      <c r="D27" s="47">
        <v>100</v>
      </c>
      <c r="E27" s="47" t="s">
        <v>255</v>
      </c>
      <c r="F27" s="47">
        <v>50</v>
      </c>
      <c r="G27" s="47" t="s">
        <v>255</v>
      </c>
      <c r="H27" s="47" t="s">
        <v>53</v>
      </c>
      <c r="I27" s="47" t="s">
        <v>53</v>
      </c>
      <c r="J27" s="48">
        <f t="shared" si="2"/>
        <v>100</v>
      </c>
      <c r="L27" s="158" t="s">
        <v>329</v>
      </c>
    </row>
    <row r="28" spans="1:12" ht="21" customHeight="1" x14ac:dyDescent="0.15">
      <c r="A28" s="110">
        <v>47016126</v>
      </c>
      <c r="B28" s="47">
        <v>0</v>
      </c>
      <c r="C28" s="47">
        <v>230</v>
      </c>
      <c r="D28" s="47">
        <v>100</v>
      </c>
      <c r="E28" s="47">
        <v>50</v>
      </c>
      <c r="F28" s="47" t="s">
        <v>53</v>
      </c>
      <c r="G28" s="47">
        <v>1</v>
      </c>
      <c r="H28" s="47" t="s">
        <v>53</v>
      </c>
      <c r="I28" s="47" t="s">
        <v>53</v>
      </c>
      <c r="J28" s="48">
        <f t="shared" si="2"/>
        <v>100</v>
      </c>
      <c r="L28" s="158" t="s">
        <v>314</v>
      </c>
    </row>
    <row r="29" spans="1:12" ht="21" customHeight="1" x14ac:dyDescent="0.15">
      <c r="A29" s="110">
        <v>47016127</v>
      </c>
      <c r="B29" s="47">
        <v>0</v>
      </c>
      <c r="C29" s="47">
        <v>220</v>
      </c>
      <c r="D29" s="47">
        <v>50</v>
      </c>
      <c r="E29" s="47">
        <v>50</v>
      </c>
      <c r="F29" s="47" t="s">
        <v>53</v>
      </c>
      <c r="G29" s="47" t="s">
        <v>255</v>
      </c>
      <c r="H29" s="47" t="s">
        <v>53</v>
      </c>
      <c r="I29" s="47" t="s">
        <v>53</v>
      </c>
      <c r="J29" s="48">
        <f t="shared" si="2"/>
        <v>50</v>
      </c>
      <c r="L29" s="158" t="s">
        <v>330</v>
      </c>
    </row>
    <row r="30" spans="1:12" ht="21" customHeight="1" x14ac:dyDescent="0.15">
      <c r="A30" s="110">
        <v>47016128</v>
      </c>
      <c r="B30" s="47">
        <v>0</v>
      </c>
      <c r="C30" s="47">
        <v>210</v>
      </c>
      <c r="D30" s="47">
        <v>100</v>
      </c>
      <c r="E30" s="47">
        <v>50</v>
      </c>
      <c r="F30" s="47" t="s">
        <v>53</v>
      </c>
      <c r="G30" s="47" t="s">
        <v>255</v>
      </c>
      <c r="H30" s="47" t="s">
        <v>53</v>
      </c>
      <c r="I30" s="47" t="s">
        <v>53</v>
      </c>
      <c r="J30" s="48">
        <f t="shared" si="2"/>
        <v>100</v>
      </c>
      <c r="L30" s="158" t="s">
        <v>313</v>
      </c>
    </row>
    <row r="31" spans="1:12" ht="21" customHeight="1" x14ac:dyDescent="0.15">
      <c r="A31" s="107">
        <v>47016129</v>
      </c>
      <c r="B31" s="110">
        <v>1</v>
      </c>
      <c r="C31" s="110">
        <v>500</v>
      </c>
      <c r="D31" s="110">
        <v>100</v>
      </c>
      <c r="E31" s="110" t="s">
        <v>53</v>
      </c>
      <c r="F31" s="110" t="s">
        <v>53</v>
      </c>
      <c r="G31" s="110">
        <v>1</v>
      </c>
      <c r="H31" s="110" t="s">
        <v>53</v>
      </c>
      <c r="I31" s="110">
        <v>1701</v>
      </c>
      <c r="J31" s="48">
        <f t="shared" si="2"/>
        <v>100</v>
      </c>
      <c r="L31" s="176"/>
    </row>
    <row r="32" spans="1:12" ht="21" customHeight="1" x14ac:dyDescent="0.15">
      <c r="A32" s="107">
        <v>47016130</v>
      </c>
      <c r="B32" s="110">
        <v>1</v>
      </c>
      <c r="C32" s="110">
        <v>490</v>
      </c>
      <c r="D32" s="110">
        <v>100</v>
      </c>
      <c r="E32" s="110" t="s">
        <v>53</v>
      </c>
      <c r="F32" s="110" t="s">
        <v>53</v>
      </c>
      <c r="G32" s="110">
        <v>1</v>
      </c>
      <c r="H32" s="110" t="s">
        <v>53</v>
      </c>
      <c r="I32" s="110">
        <v>1702</v>
      </c>
      <c r="J32" s="48">
        <f t="shared" si="2"/>
        <v>100</v>
      </c>
      <c r="L32" s="176"/>
    </row>
    <row r="33" spans="1:12" ht="21" customHeight="1" x14ac:dyDescent="0.15">
      <c r="A33" s="107">
        <v>47016131</v>
      </c>
      <c r="B33" s="110">
        <v>1</v>
      </c>
      <c r="C33" s="110">
        <v>480</v>
      </c>
      <c r="D33" s="110">
        <v>100</v>
      </c>
      <c r="E33" s="110" t="s">
        <v>53</v>
      </c>
      <c r="F33" s="110" t="s">
        <v>53</v>
      </c>
      <c r="G33" s="110">
        <v>1</v>
      </c>
      <c r="H33" s="110" t="s">
        <v>53</v>
      </c>
      <c r="I33" s="110">
        <v>1703</v>
      </c>
      <c r="J33" s="48">
        <f t="shared" ref="J33:J46" si="9">D33</f>
        <v>100</v>
      </c>
      <c r="L33" s="176"/>
    </row>
    <row r="34" spans="1:12" ht="21" customHeight="1" x14ac:dyDescent="0.15">
      <c r="A34" s="107">
        <v>47016132</v>
      </c>
      <c r="B34" s="110">
        <v>1</v>
      </c>
      <c r="C34" s="110">
        <v>470</v>
      </c>
      <c r="D34" s="110">
        <v>100</v>
      </c>
      <c r="E34" s="110" t="s">
        <v>53</v>
      </c>
      <c r="F34" s="110" t="s">
        <v>53</v>
      </c>
      <c r="G34" s="110">
        <v>1</v>
      </c>
      <c r="H34" s="110" t="s">
        <v>53</v>
      </c>
      <c r="I34" s="110">
        <v>1704</v>
      </c>
      <c r="J34" s="48">
        <f t="shared" si="9"/>
        <v>100</v>
      </c>
      <c r="L34" s="176"/>
    </row>
    <row r="35" spans="1:12" ht="21" customHeight="1" x14ac:dyDescent="0.15">
      <c r="A35" s="107">
        <v>47016133</v>
      </c>
      <c r="B35" s="110">
        <v>1</v>
      </c>
      <c r="C35" s="110">
        <v>460</v>
      </c>
      <c r="D35" s="110">
        <v>100</v>
      </c>
      <c r="E35" s="110" t="s">
        <v>53</v>
      </c>
      <c r="F35" s="110" t="s">
        <v>53</v>
      </c>
      <c r="G35" s="110">
        <v>1</v>
      </c>
      <c r="H35" s="110" t="s">
        <v>53</v>
      </c>
      <c r="I35" s="110">
        <v>1705</v>
      </c>
      <c r="J35" s="48">
        <f t="shared" si="9"/>
        <v>100</v>
      </c>
      <c r="L35" s="176"/>
    </row>
    <row r="36" spans="1:12" ht="21" customHeight="1" x14ac:dyDescent="0.15">
      <c r="A36" s="107">
        <v>47016134</v>
      </c>
      <c r="B36" s="110">
        <v>1</v>
      </c>
      <c r="C36" s="110">
        <v>450</v>
      </c>
      <c r="D36" s="110">
        <v>100</v>
      </c>
      <c r="E36" s="110" t="s">
        <v>53</v>
      </c>
      <c r="F36" s="110" t="s">
        <v>53</v>
      </c>
      <c r="G36" s="110">
        <v>1</v>
      </c>
      <c r="H36" s="110" t="s">
        <v>53</v>
      </c>
      <c r="I36" s="110">
        <v>1706</v>
      </c>
      <c r="J36" s="48">
        <f t="shared" si="9"/>
        <v>100</v>
      </c>
      <c r="L36" s="176"/>
    </row>
    <row r="37" spans="1:12" ht="21" customHeight="1" x14ac:dyDescent="0.15">
      <c r="A37" s="216">
        <v>47016176</v>
      </c>
      <c r="B37" s="110">
        <v>1</v>
      </c>
      <c r="C37" s="110">
        <v>445</v>
      </c>
      <c r="D37" s="110">
        <v>100</v>
      </c>
      <c r="E37" s="110" t="s">
        <v>53</v>
      </c>
      <c r="F37" s="110" t="s">
        <v>53</v>
      </c>
      <c r="G37" s="110">
        <v>1</v>
      </c>
      <c r="H37" s="110" t="s">
        <v>53</v>
      </c>
      <c r="I37" s="110">
        <v>1707</v>
      </c>
      <c r="J37" s="48">
        <f t="shared" si="9"/>
        <v>100</v>
      </c>
      <c r="L37" s="176"/>
    </row>
    <row r="38" spans="1:12" ht="21" customHeight="1" x14ac:dyDescent="0.15">
      <c r="A38" s="107">
        <v>47016135</v>
      </c>
      <c r="B38" s="110">
        <v>1</v>
      </c>
      <c r="C38" s="110">
        <v>440</v>
      </c>
      <c r="D38" s="110">
        <v>100</v>
      </c>
      <c r="E38" s="110" t="s">
        <v>53</v>
      </c>
      <c r="F38" s="110" t="s">
        <v>53</v>
      </c>
      <c r="G38" s="110">
        <v>1</v>
      </c>
      <c r="H38" s="110" t="s">
        <v>53</v>
      </c>
      <c r="I38" s="110">
        <v>1708</v>
      </c>
      <c r="J38" s="48">
        <f t="shared" si="9"/>
        <v>100</v>
      </c>
      <c r="L38" s="176"/>
    </row>
    <row r="39" spans="1:12" ht="21" customHeight="1" x14ac:dyDescent="0.15">
      <c r="A39" s="107">
        <v>47016136</v>
      </c>
      <c r="B39" s="110">
        <v>1</v>
      </c>
      <c r="C39" s="110">
        <v>430</v>
      </c>
      <c r="D39" s="110">
        <v>100</v>
      </c>
      <c r="E39" s="110" t="s">
        <v>53</v>
      </c>
      <c r="F39" s="110" t="s">
        <v>53</v>
      </c>
      <c r="G39" s="110">
        <v>1</v>
      </c>
      <c r="H39" s="110" t="s">
        <v>53</v>
      </c>
      <c r="I39" s="110">
        <v>1709</v>
      </c>
      <c r="J39" s="48">
        <f t="shared" si="9"/>
        <v>100</v>
      </c>
      <c r="L39" s="176"/>
    </row>
    <row r="40" spans="1:12" ht="21" customHeight="1" x14ac:dyDescent="0.15">
      <c r="A40" s="107">
        <v>47016137</v>
      </c>
      <c r="B40" s="110">
        <v>1</v>
      </c>
      <c r="C40" s="110">
        <v>420</v>
      </c>
      <c r="D40" s="110">
        <v>100</v>
      </c>
      <c r="E40" s="110" t="s">
        <v>53</v>
      </c>
      <c r="F40" s="110" t="s">
        <v>53</v>
      </c>
      <c r="G40" s="110">
        <v>1</v>
      </c>
      <c r="H40" s="110" t="s">
        <v>53</v>
      </c>
      <c r="I40" s="110">
        <v>1710</v>
      </c>
      <c r="J40" s="48">
        <f t="shared" si="9"/>
        <v>100</v>
      </c>
      <c r="L40" s="176"/>
    </row>
    <row r="41" spans="1:12" ht="21" customHeight="1" x14ac:dyDescent="0.15">
      <c r="A41" s="107">
        <v>47016138</v>
      </c>
      <c r="B41" s="110">
        <v>1</v>
      </c>
      <c r="C41" s="110">
        <v>410</v>
      </c>
      <c r="D41" s="110">
        <v>100</v>
      </c>
      <c r="E41" s="110" t="s">
        <v>53</v>
      </c>
      <c r="F41" s="110" t="s">
        <v>53</v>
      </c>
      <c r="G41" s="110">
        <v>1</v>
      </c>
      <c r="H41" s="110" t="s">
        <v>53</v>
      </c>
      <c r="I41" s="110">
        <v>1711</v>
      </c>
      <c r="J41" s="48">
        <f t="shared" si="9"/>
        <v>100</v>
      </c>
      <c r="L41" s="176"/>
    </row>
    <row r="42" spans="1:12" ht="21" customHeight="1" x14ac:dyDescent="0.15">
      <c r="A42" s="107">
        <v>47016139</v>
      </c>
      <c r="B42" s="110">
        <v>1</v>
      </c>
      <c r="C42" s="110">
        <v>400</v>
      </c>
      <c r="D42" s="110">
        <v>100</v>
      </c>
      <c r="E42" s="110" t="s">
        <v>53</v>
      </c>
      <c r="F42" s="110" t="s">
        <v>53</v>
      </c>
      <c r="G42" s="110">
        <v>1</v>
      </c>
      <c r="H42" s="110" t="s">
        <v>53</v>
      </c>
      <c r="I42" s="110">
        <v>1712</v>
      </c>
      <c r="J42" s="48">
        <f t="shared" si="9"/>
        <v>100</v>
      </c>
      <c r="L42" s="176"/>
    </row>
    <row r="43" spans="1:12" ht="21" customHeight="1" x14ac:dyDescent="0.15">
      <c r="A43" s="107">
        <v>47016140</v>
      </c>
      <c r="B43" s="110">
        <v>1</v>
      </c>
      <c r="C43" s="110">
        <v>390</v>
      </c>
      <c r="D43" s="110">
        <v>100</v>
      </c>
      <c r="E43" s="110" t="s">
        <v>53</v>
      </c>
      <c r="F43" s="110" t="s">
        <v>53</v>
      </c>
      <c r="G43" s="110">
        <v>1</v>
      </c>
      <c r="H43" s="110" t="s">
        <v>53</v>
      </c>
      <c r="I43" s="110">
        <v>1713</v>
      </c>
      <c r="J43" s="48">
        <f t="shared" si="9"/>
        <v>100</v>
      </c>
      <c r="L43" s="176"/>
    </row>
    <row r="44" spans="1:12" ht="21" customHeight="1" x14ac:dyDescent="0.15">
      <c r="A44" s="107">
        <v>47016141</v>
      </c>
      <c r="B44" s="110">
        <v>1</v>
      </c>
      <c r="C44" s="110">
        <v>380</v>
      </c>
      <c r="D44" s="110">
        <v>100</v>
      </c>
      <c r="E44" s="110" t="s">
        <v>53</v>
      </c>
      <c r="F44" s="110" t="s">
        <v>53</v>
      </c>
      <c r="G44" s="110">
        <v>1</v>
      </c>
      <c r="H44" s="110" t="s">
        <v>53</v>
      </c>
      <c r="I44" s="110">
        <v>1714</v>
      </c>
      <c r="J44" s="48">
        <f t="shared" si="9"/>
        <v>100</v>
      </c>
      <c r="L44" s="176"/>
    </row>
    <row r="45" spans="1:12" ht="21" customHeight="1" x14ac:dyDescent="0.15">
      <c r="A45" s="107">
        <v>47016142</v>
      </c>
      <c r="B45" s="110">
        <v>1</v>
      </c>
      <c r="C45" s="110">
        <v>370</v>
      </c>
      <c r="D45" s="110">
        <v>100</v>
      </c>
      <c r="E45" s="110" t="s">
        <v>53</v>
      </c>
      <c r="F45" s="110" t="s">
        <v>53</v>
      </c>
      <c r="G45" s="110">
        <v>1</v>
      </c>
      <c r="H45" s="110" t="s">
        <v>53</v>
      </c>
      <c r="I45" s="110">
        <v>1715</v>
      </c>
      <c r="J45" s="48">
        <f t="shared" si="9"/>
        <v>100</v>
      </c>
      <c r="L45" s="176"/>
    </row>
    <row r="46" spans="1:12" ht="21" customHeight="1" x14ac:dyDescent="0.15">
      <c r="A46" s="107">
        <v>47016143</v>
      </c>
      <c r="B46" s="110">
        <v>1</v>
      </c>
      <c r="C46" s="110">
        <v>360</v>
      </c>
      <c r="D46" s="110">
        <v>100</v>
      </c>
      <c r="E46" s="110" t="s">
        <v>53</v>
      </c>
      <c r="F46" s="110" t="s">
        <v>53</v>
      </c>
      <c r="G46" s="110">
        <v>1</v>
      </c>
      <c r="H46" s="110" t="s">
        <v>53</v>
      </c>
      <c r="I46" s="110">
        <v>1716</v>
      </c>
      <c r="J46" s="48">
        <f t="shared" si="9"/>
        <v>100</v>
      </c>
      <c r="L46" s="176"/>
    </row>
    <row r="47" spans="1:12" ht="21" customHeight="1" x14ac:dyDescent="0.15">
      <c r="A47" s="107">
        <v>47016144</v>
      </c>
      <c r="B47" s="47">
        <v>1</v>
      </c>
      <c r="C47" s="47">
        <v>300</v>
      </c>
      <c r="D47" s="47">
        <v>100</v>
      </c>
      <c r="E47" s="47" t="s">
        <v>255</v>
      </c>
      <c r="F47" s="47" t="s">
        <v>53</v>
      </c>
      <c r="G47" s="47">
        <v>1</v>
      </c>
      <c r="H47" s="47" t="s">
        <v>53</v>
      </c>
      <c r="I47" s="47" t="s">
        <v>53</v>
      </c>
      <c r="J47" s="48">
        <f t="shared" si="2"/>
        <v>100</v>
      </c>
      <c r="L47" s="158" t="s">
        <v>342</v>
      </c>
    </row>
    <row r="48" spans="1:12" ht="21" customHeight="1" x14ac:dyDescent="0.15">
      <c r="A48" s="107">
        <v>47016145</v>
      </c>
      <c r="B48" s="47">
        <v>0</v>
      </c>
      <c r="C48" s="47">
        <v>310</v>
      </c>
      <c r="D48" s="47">
        <v>100</v>
      </c>
      <c r="E48" s="47" t="s">
        <v>255</v>
      </c>
      <c r="F48" s="47" t="s">
        <v>53</v>
      </c>
      <c r="G48" s="47">
        <v>1</v>
      </c>
      <c r="H48" s="47">
        <v>1</v>
      </c>
      <c r="I48" s="47" t="s">
        <v>53</v>
      </c>
      <c r="J48" s="48">
        <f t="shared" si="2"/>
        <v>100</v>
      </c>
      <c r="L48" s="158" t="s">
        <v>331</v>
      </c>
    </row>
    <row r="49" spans="1:12" ht="21" customHeight="1" x14ac:dyDescent="0.15">
      <c r="A49" s="107">
        <v>47016146</v>
      </c>
      <c r="B49" s="47">
        <v>0</v>
      </c>
      <c r="C49" s="47">
        <v>320</v>
      </c>
      <c r="D49" s="47">
        <v>100</v>
      </c>
      <c r="E49" s="47" t="s">
        <v>255</v>
      </c>
      <c r="F49" s="47" t="s">
        <v>53</v>
      </c>
      <c r="G49" s="47">
        <v>1</v>
      </c>
      <c r="H49" s="47">
        <v>3</v>
      </c>
      <c r="I49" s="47" t="s">
        <v>53</v>
      </c>
      <c r="J49" s="48">
        <f t="shared" si="2"/>
        <v>100</v>
      </c>
      <c r="L49" s="158" t="s">
        <v>349</v>
      </c>
    </row>
    <row r="50" spans="1:12" ht="21" customHeight="1" x14ac:dyDescent="0.15">
      <c r="A50" s="107">
        <v>47016148</v>
      </c>
      <c r="B50" s="114">
        <v>0</v>
      </c>
      <c r="C50" s="114">
        <v>340</v>
      </c>
      <c r="D50" s="114">
        <v>100</v>
      </c>
      <c r="E50" s="114">
        <v>50</v>
      </c>
      <c r="F50" s="114" t="s">
        <v>53</v>
      </c>
      <c r="G50" s="114">
        <v>1</v>
      </c>
      <c r="H50" s="114" t="s">
        <v>53</v>
      </c>
      <c r="I50" s="114" t="s">
        <v>53</v>
      </c>
      <c r="J50" s="48">
        <f>D50</f>
        <v>100</v>
      </c>
      <c r="L50" s="158" t="s">
        <v>315</v>
      </c>
    </row>
    <row r="51" spans="1:12" ht="21" customHeight="1" x14ac:dyDescent="0.15">
      <c r="A51" s="107">
        <v>47016149</v>
      </c>
      <c r="B51" s="47">
        <v>0</v>
      </c>
      <c r="C51" s="47">
        <v>120</v>
      </c>
      <c r="D51" s="47">
        <v>50</v>
      </c>
      <c r="E51" s="47" t="s">
        <v>168</v>
      </c>
      <c r="F51" s="47" t="s">
        <v>53</v>
      </c>
      <c r="G51" s="47" t="s">
        <v>255</v>
      </c>
      <c r="H51" s="47" t="s">
        <v>53</v>
      </c>
      <c r="I51" s="47" t="s">
        <v>53</v>
      </c>
      <c r="J51" s="48">
        <f t="shared" ref="J51:J75" si="10">D51</f>
        <v>50</v>
      </c>
      <c r="L51" s="158" t="s">
        <v>332</v>
      </c>
    </row>
    <row r="52" spans="1:12" ht="21" customHeight="1" x14ac:dyDescent="0.15">
      <c r="A52" s="107">
        <v>47016150</v>
      </c>
      <c r="B52" s="47">
        <v>0</v>
      </c>
      <c r="C52" s="47">
        <v>110</v>
      </c>
      <c r="D52" s="47">
        <v>100</v>
      </c>
      <c r="E52" s="47" t="s">
        <v>168</v>
      </c>
      <c r="F52" s="47" t="s">
        <v>53</v>
      </c>
      <c r="G52" s="47" t="s">
        <v>255</v>
      </c>
      <c r="H52" s="47" t="s">
        <v>53</v>
      </c>
      <c r="I52" s="47" t="s">
        <v>53</v>
      </c>
      <c r="J52" s="48">
        <f t="shared" si="10"/>
        <v>100</v>
      </c>
      <c r="L52" s="158" t="s">
        <v>333</v>
      </c>
    </row>
    <row r="53" spans="1:12" ht="21" customHeight="1" x14ac:dyDescent="0.15">
      <c r="A53" s="107">
        <v>47016151</v>
      </c>
      <c r="B53" s="47">
        <v>0</v>
      </c>
      <c r="C53" s="47">
        <v>350</v>
      </c>
      <c r="D53" s="47">
        <v>100</v>
      </c>
      <c r="E53" s="47">
        <v>20</v>
      </c>
      <c r="F53" s="47" t="s">
        <v>53</v>
      </c>
      <c r="G53" s="47">
        <v>1</v>
      </c>
      <c r="H53" s="47" t="s">
        <v>53</v>
      </c>
      <c r="I53" s="47" t="s">
        <v>53</v>
      </c>
      <c r="J53" s="48">
        <f t="shared" si="10"/>
        <v>100</v>
      </c>
      <c r="L53" s="158" t="s">
        <v>334</v>
      </c>
    </row>
    <row r="54" spans="1:12" ht="21" customHeight="1" x14ac:dyDescent="0.15">
      <c r="A54" s="109">
        <v>47016152</v>
      </c>
      <c r="B54" s="47">
        <v>1</v>
      </c>
      <c r="C54" s="47">
        <v>450</v>
      </c>
      <c r="D54" s="47">
        <v>100</v>
      </c>
      <c r="E54" s="47" t="s">
        <v>255</v>
      </c>
      <c r="F54" s="47" t="s">
        <v>53</v>
      </c>
      <c r="G54" s="47">
        <v>1</v>
      </c>
      <c r="H54" s="47" t="s">
        <v>53</v>
      </c>
      <c r="I54" s="47" t="s">
        <v>53</v>
      </c>
      <c r="J54" s="48">
        <f t="shared" si="10"/>
        <v>100</v>
      </c>
      <c r="L54" s="158" t="s">
        <v>324</v>
      </c>
    </row>
    <row r="55" spans="1:12" ht="21" customHeight="1" x14ac:dyDescent="0.15">
      <c r="A55" s="109">
        <v>47016153</v>
      </c>
      <c r="B55" s="47">
        <v>0</v>
      </c>
      <c r="C55" s="47">
        <v>400</v>
      </c>
      <c r="D55" s="47">
        <v>100</v>
      </c>
      <c r="E55" s="47" t="s">
        <v>255</v>
      </c>
      <c r="F55" s="47" t="s">
        <v>53</v>
      </c>
      <c r="G55" s="47">
        <v>1</v>
      </c>
      <c r="H55" s="47">
        <v>1</v>
      </c>
      <c r="I55" s="47" t="s">
        <v>53</v>
      </c>
      <c r="J55" s="48">
        <f t="shared" si="10"/>
        <v>100</v>
      </c>
      <c r="L55" s="158" t="s">
        <v>316</v>
      </c>
    </row>
    <row r="56" spans="1:12" ht="21" customHeight="1" x14ac:dyDescent="0.15">
      <c r="A56" s="109">
        <v>47016155</v>
      </c>
      <c r="B56" s="47">
        <v>0</v>
      </c>
      <c r="C56" s="47">
        <v>140</v>
      </c>
      <c r="D56" s="47">
        <v>25</v>
      </c>
      <c r="E56" s="47" t="s">
        <v>255</v>
      </c>
      <c r="F56" s="47" t="s">
        <v>53</v>
      </c>
      <c r="G56" s="47" t="s">
        <v>255</v>
      </c>
      <c r="H56" s="47" t="s">
        <v>53</v>
      </c>
      <c r="I56" s="47" t="s">
        <v>53</v>
      </c>
      <c r="J56" s="48">
        <f t="shared" si="10"/>
        <v>25</v>
      </c>
      <c r="L56" s="158" t="s">
        <v>317</v>
      </c>
    </row>
    <row r="57" spans="1:12" ht="21" customHeight="1" x14ac:dyDescent="0.15">
      <c r="A57" s="109">
        <v>47016156</v>
      </c>
      <c r="B57" s="47">
        <v>0</v>
      </c>
      <c r="C57" s="47">
        <v>130</v>
      </c>
      <c r="D57" s="47">
        <v>33</v>
      </c>
      <c r="E57" s="47" t="s">
        <v>255</v>
      </c>
      <c r="F57" s="47" t="s">
        <v>53</v>
      </c>
      <c r="G57" s="47" t="s">
        <v>255</v>
      </c>
      <c r="H57" s="47" t="s">
        <v>53</v>
      </c>
      <c r="I57" s="47" t="s">
        <v>53</v>
      </c>
      <c r="J57" s="48">
        <f t="shared" si="10"/>
        <v>33</v>
      </c>
      <c r="L57" s="158" t="s">
        <v>318</v>
      </c>
    </row>
    <row r="58" spans="1:12" ht="21" customHeight="1" x14ac:dyDescent="0.15">
      <c r="A58" s="109">
        <v>47016157</v>
      </c>
      <c r="B58" s="47">
        <v>0</v>
      </c>
      <c r="C58" s="47">
        <v>120</v>
      </c>
      <c r="D58" s="47">
        <v>50</v>
      </c>
      <c r="E58" s="47" t="s">
        <v>255</v>
      </c>
      <c r="F58" s="47" t="s">
        <v>53</v>
      </c>
      <c r="G58" s="47" t="s">
        <v>255</v>
      </c>
      <c r="H58" s="47" t="s">
        <v>53</v>
      </c>
      <c r="I58" s="47" t="s">
        <v>53</v>
      </c>
      <c r="J58" s="48">
        <f t="shared" si="10"/>
        <v>50</v>
      </c>
      <c r="L58" s="158" t="s">
        <v>325</v>
      </c>
    </row>
    <row r="59" spans="1:12" ht="21" customHeight="1" x14ac:dyDescent="0.15">
      <c r="A59" s="109">
        <v>47016158</v>
      </c>
      <c r="B59" s="47">
        <v>0</v>
      </c>
      <c r="C59" s="47">
        <v>110</v>
      </c>
      <c r="D59" s="47">
        <v>100</v>
      </c>
      <c r="E59" s="47" t="s">
        <v>255</v>
      </c>
      <c r="F59" s="47" t="s">
        <v>53</v>
      </c>
      <c r="G59" s="47" t="s">
        <v>255</v>
      </c>
      <c r="H59" s="47" t="s">
        <v>53</v>
      </c>
      <c r="I59" s="47" t="s">
        <v>53</v>
      </c>
      <c r="J59" s="48">
        <f t="shared" si="10"/>
        <v>100</v>
      </c>
      <c r="L59" s="158" t="s">
        <v>337</v>
      </c>
    </row>
    <row r="60" spans="1:12" ht="21" customHeight="1" x14ac:dyDescent="0.15">
      <c r="A60" s="111">
        <v>47016159</v>
      </c>
      <c r="B60" s="47">
        <v>1</v>
      </c>
      <c r="C60" s="47">
        <v>500</v>
      </c>
      <c r="D60" s="47">
        <v>100</v>
      </c>
      <c r="E60" s="47" t="s">
        <v>255</v>
      </c>
      <c r="F60" s="47" t="s">
        <v>53</v>
      </c>
      <c r="G60" s="47">
        <v>1</v>
      </c>
      <c r="H60" s="47" t="s">
        <v>53</v>
      </c>
      <c r="I60" s="47" t="s">
        <v>53</v>
      </c>
      <c r="J60" s="48">
        <f t="shared" si="10"/>
        <v>100</v>
      </c>
      <c r="L60" s="158" t="s">
        <v>320</v>
      </c>
    </row>
    <row r="61" spans="1:12" ht="21" customHeight="1" x14ac:dyDescent="0.15">
      <c r="A61" s="111">
        <v>47016160</v>
      </c>
      <c r="B61" s="47">
        <v>0</v>
      </c>
      <c r="C61" s="47">
        <v>410</v>
      </c>
      <c r="D61" s="47">
        <v>100</v>
      </c>
      <c r="E61" s="47" t="s">
        <v>255</v>
      </c>
      <c r="F61" s="47" t="s">
        <v>53</v>
      </c>
      <c r="G61" s="47">
        <v>1</v>
      </c>
      <c r="H61" s="47">
        <v>1</v>
      </c>
      <c r="I61" s="47" t="s">
        <v>53</v>
      </c>
      <c r="J61" s="48">
        <f t="shared" si="10"/>
        <v>100</v>
      </c>
      <c r="L61" s="158" t="s">
        <v>319</v>
      </c>
    </row>
    <row r="62" spans="1:12" ht="21" customHeight="1" x14ac:dyDescent="0.15">
      <c r="A62" s="111">
        <v>47016161</v>
      </c>
      <c r="B62" s="47">
        <v>0</v>
      </c>
      <c r="C62" s="47">
        <v>420</v>
      </c>
      <c r="D62" s="47">
        <v>100</v>
      </c>
      <c r="E62" s="47" t="s">
        <v>255</v>
      </c>
      <c r="F62" s="47" t="s">
        <v>53</v>
      </c>
      <c r="G62" s="47">
        <v>1</v>
      </c>
      <c r="H62" s="47">
        <v>4</v>
      </c>
      <c r="I62" s="47" t="s">
        <v>53</v>
      </c>
      <c r="J62" s="48">
        <f t="shared" si="10"/>
        <v>100</v>
      </c>
      <c r="L62" s="158" t="s">
        <v>338</v>
      </c>
    </row>
    <row r="63" spans="1:12" ht="21" customHeight="1" x14ac:dyDescent="0.15">
      <c r="A63" s="111">
        <v>47016162</v>
      </c>
      <c r="B63" s="47">
        <v>0</v>
      </c>
      <c r="C63" s="47">
        <v>430</v>
      </c>
      <c r="D63" s="47">
        <v>100</v>
      </c>
      <c r="E63" s="47" t="s">
        <v>255</v>
      </c>
      <c r="F63" s="47" t="s">
        <v>53</v>
      </c>
      <c r="G63" s="47">
        <v>1</v>
      </c>
      <c r="H63" s="47">
        <v>5</v>
      </c>
      <c r="I63" s="47" t="s">
        <v>53</v>
      </c>
      <c r="J63" s="48">
        <f t="shared" si="10"/>
        <v>100</v>
      </c>
      <c r="L63" s="158" t="s">
        <v>347</v>
      </c>
    </row>
    <row r="64" spans="1:12" ht="21" customHeight="1" x14ac:dyDescent="0.15">
      <c r="A64" s="111">
        <v>47016163</v>
      </c>
      <c r="B64" s="47">
        <v>0</v>
      </c>
      <c r="C64" s="47">
        <v>120</v>
      </c>
      <c r="D64" s="47">
        <v>50</v>
      </c>
      <c r="E64" s="47" t="s">
        <v>53</v>
      </c>
      <c r="F64" s="47" t="s">
        <v>53</v>
      </c>
      <c r="G64" s="47" t="s">
        <v>53</v>
      </c>
      <c r="H64" s="47" t="s">
        <v>53</v>
      </c>
      <c r="I64" s="47" t="s">
        <v>53</v>
      </c>
      <c r="J64" s="48">
        <f t="shared" si="10"/>
        <v>50</v>
      </c>
      <c r="L64" s="158" t="s">
        <v>318</v>
      </c>
    </row>
    <row r="65" spans="1:12" ht="21" customHeight="1" x14ac:dyDescent="0.15">
      <c r="A65" s="111">
        <v>47016164</v>
      </c>
      <c r="B65" s="47">
        <v>0</v>
      </c>
      <c r="C65" s="47">
        <v>110</v>
      </c>
      <c r="D65" s="47">
        <v>100</v>
      </c>
      <c r="E65" s="47" t="s">
        <v>255</v>
      </c>
      <c r="F65" s="47" t="s">
        <v>53</v>
      </c>
      <c r="G65" s="47" t="s">
        <v>255</v>
      </c>
      <c r="H65" s="47" t="s">
        <v>53</v>
      </c>
      <c r="I65" s="47" t="s">
        <v>53</v>
      </c>
      <c r="J65" s="48">
        <f t="shared" si="10"/>
        <v>100</v>
      </c>
      <c r="L65" s="158" t="s">
        <v>348</v>
      </c>
    </row>
    <row r="66" spans="1:12" ht="21" customHeight="1" x14ac:dyDescent="0.15">
      <c r="A66" s="111">
        <v>47016165</v>
      </c>
      <c r="B66" s="47">
        <v>0</v>
      </c>
      <c r="C66" s="47">
        <v>450</v>
      </c>
      <c r="D66" s="47">
        <v>100</v>
      </c>
      <c r="E66" s="47">
        <v>30</v>
      </c>
      <c r="F66" s="47" t="s">
        <v>53</v>
      </c>
      <c r="G66" s="47">
        <v>1</v>
      </c>
      <c r="H66" s="47" t="s">
        <v>53</v>
      </c>
      <c r="I66" s="47" t="s">
        <v>53</v>
      </c>
      <c r="J66" s="48">
        <f t="shared" si="10"/>
        <v>100</v>
      </c>
      <c r="L66" s="158" t="s">
        <v>336</v>
      </c>
    </row>
    <row r="67" spans="1:12" ht="21" customHeight="1" x14ac:dyDescent="0.15">
      <c r="A67" s="112">
        <v>47016166</v>
      </c>
      <c r="B67" s="47">
        <v>1</v>
      </c>
      <c r="C67" s="47">
        <v>350</v>
      </c>
      <c r="D67" s="47">
        <v>100</v>
      </c>
      <c r="E67" s="47" t="s">
        <v>255</v>
      </c>
      <c r="F67" s="47" t="s">
        <v>53</v>
      </c>
      <c r="G67" s="47">
        <v>1</v>
      </c>
      <c r="H67" s="47" t="s">
        <v>53</v>
      </c>
      <c r="I67" s="47" t="s">
        <v>53</v>
      </c>
      <c r="J67" s="48">
        <f t="shared" si="10"/>
        <v>100</v>
      </c>
      <c r="L67" s="158" t="s">
        <v>346</v>
      </c>
    </row>
    <row r="68" spans="1:12" ht="21" customHeight="1" x14ac:dyDescent="0.15">
      <c r="A68" s="112">
        <v>47016167</v>
      </c>
      <c r="B68" s="47">
        <v>0</v>
      </c>
      <c r="C68" s="47">
        <v>320</v>
      </c>
      <c r="D68" s="47">
        <v>100</v>
      </c>
      <c r="E68" s="47" t="s">
        <v>255</v>
      </c>
      <c r="F68" s="47" t="s">
        <v>53</v>
      </c>
      <c r="G68" s="47">
        <v>1</v>
      </c>
      <c r="H68" s="47">
        <v>1</v>
      </c>
      <c r="I68" s="47" t="s">
        <v>53</v>
      </c>
      <c r="J68" s="48">
        <f t="shared" si="10"/>
        <v>100</v>
      </c>
      <c r="L68" s="158" t="s">
        <v>327</v>
      </c>
    </row>
    <row r="69" spans="1:12" ht="21" customHeight="1" x14ac:dyDescent="0.15">
      <c r="A69" s="112">
        <v>47016168</v>
      </c>
      <c r="B69" s="47">
        <v>0</v>
      </c>
      <c r="C69" s="47">
        <v>120</v>
      </c>
      <c r="D69" s="47">
        <v>50</v>
      </c>
      <c r="E69" s="47" t="s">
        <v>255</v>
      </c>
      <c r="F69" s="47" t="s">
        <v>53</v>
      </c>
      <c r="G69" s="47" t="s">
        <v>255</v>
      </c>
      <c r="H69" s="47" t="s">
        <v>53</v>
      </c>
      <c r="I69" s="47" t="s">
        <v>53</v>
      </c>
      <c r="J69" s="48">
        <f t="shared" si="10"/>
        <v>50</v>
      </c>
      <c r="L69" s="158" t="s">
        <v>321</v>
      </c>
    </row>
    <row r="70" spans="1:12" ht="21" customHeight="1" x14ac:dyDescent="0.15">
      <c r="A70" s="112">
        <v>47016169</v>
      </c>
      <c r="B70" s="47">
        <v>0</v>
      </c>
      <c r="C70" s="47">
        <v>110</v>
      </c>
      <c r="D70" s="47">
        <v>100</v>
      </c>
      <c r="E70" s="47" t="s">
        <v>255</v>
      </c>
      <c r="F70" s="47" t="s">
        <v>53</v>
      </c>
      <c r="G70" s="47" t="s">
        <v>255</v>
      </c>
      <c r="H70" s="47" t="s">
        <v>53</v>
      </c>
      <c r="I70" s="47" t="s">
        <v>53</v>
      </c>
      <c r="J70" s="48">
        <f t="shared" si="10"/>
        <v>100</v>
      </c>
      <c r="L70" s="158" t="s">
        <v>326</v>
      </c>
    </row>
    <row r="71" spans="1:12" ht="21" customHeight="1" x14ac:dyDescent="0.15">
      <c r="A71" s="112">
        <v>47016170</v>
      </c>
      <c r="B71" s="47">
        <v>0</v>
      </c>
      <c r="C71" s="47">
        <v>400</v>
      </c>
      <c r="D71" s="47">
        <v>100</v>
      </c>
      <c r="E71" s="47">
        <v>80</v>
      </c>
      <c r="F71" s="47" t="s">
        <v>53</v>
      </c>
      <c r="G71" s="47">
        <v>1</v>
      </c>
      <c r="H71" s="47" t="s">
        <v>53</v>
      </c>
      <c r="I71" s="47" t="s">
        <v>53</v>
      </c>
      <c r="J71" s="48">
        <f t="shared" si="10"/>
        <v>100</v>
      </c>
      <c r="L71" s="158" t="s">
        <v>302</v>
      </c>
    </row>
    <row r="72" spans="1:12" ht="21" customHeight="1" x14ac:dyDescent="0.15">
      <c r="A72" s="112">
        <v>47016171</v>
      </c>
      <c r="B72" s="47">
        <v>0</v>
      </c>
      <c r="C72" s="47">
        <v>425</v>
      </c>
      <c r="D72" s="47">
        <v>100</v>
      </c>
      <c r="E72" s="47">
        <v>50</v>
      </c>
      <c r="F72" s="47" t="s">
        <v>53</v>
      </c>
      <c r="G72" s="47">
        <v>1</v>
      </c>
      <c r="H72" s="47" t="s">
        <v>53</v>
      </c>
      <c r="I72" s="47" t="s">
        <v>53</v>
      </c>
      <c r="J72" s="48">
        <f t="shared" si="10"/>
        <v>100</v>
      </c>
      <c r="L72" s="158" t="s">
        <v>350</v>
      </c>
    </row>
    <row r="73" spans="1:12" ht="21" customHeight="1" x14ac:dyDescent="0.15">
      <c r="A73" s="112">
        <v>47016172</v>
      </c>
      <c r="B73" s="47">
        <v>0</v>
      </c>
      <c r="C73" s="47">
        <v>450</v>
      </c>
      <c r="D73" s="47">
        <v>100</v>
      </c>
      <c r="E73" s="47">
        <v>30</v>
      </c>
      <c r="F73" s="47" t="s">
        <v>53</v>
      </c>
      <c r="G73" s="47">
        <v>1</v>
      </c>
      <c r="H73" s="47" t="s">
        <v>53</v>
      </c>
      <c r="I73" s="47" t="s">
        <v>53</v>
      </c>
      <c r="J73" s="48">
        <f t="shared" si="10"/>
        <v>100</v>
      </c>
      <c r="L73" s="158" t="s">
        <v>335</v>
      </c>
    </row>
    <row r="74" spans="1:12" ht="21" customHeight="1" x14ac:dyDescent="0.15">
      <c r="A74" s="112">
        <v>47016173</v>
      </c>
      <c r="B74" s="47">
        <v>0</v>
      </c>
      <c r="C74" s="47">
        <v>475</v>
      </c>
      <c r="D74" s="47">
        <v>100</v>
      </c>
      <c r="E74" s="47">
        <v>20</v>
      </c>
      <c r="F74" s="47" t="s">
        <v>53</v>
      </c>
      <c r="G74" s="47">
        <v>1</v>
      </c>
      <c r="H74" s="47" t="s">
        <v>53</v>
      </c>
      <c r="I74" s="47" t="s">
        <v>53</v>
      </c>
      <c r="J74" s="48">
        <f t="shared" si="10"/>
        <v>100</v>
      </c>
      <c r="L74" s="158" t="s">
        <v>322</v>
      </c>
    </row>
    <row r="75" spans="1:12" ht="21" customHeight="1" x14ac:dyDescent="0.15">
      <c r="A75" s="112">
        <v>47016174</v>
      </c>
      <c r="B75" s="47">
        <v>0</v>
      </c>
      <c r="C75" s="47">
        <v>500</v>
      </c>
      <c r="D75" s="47">
        <v>100</v>
      </c>
      <c r="E75" s="47" t="s">
        <v>53</v>
      </c>
      <c r="F75" s="47" t="s">
        <v>53</v>
      </c>
      <c r="G75" s="47">
        <v>0</v>
      </c>
      <c r="H75" s="47" t="s">
        <v>53</v>
      </c>
      <c r="I75" s="47">
        <v>0</v>
      </c>
      <c r="J75" s="48">
        <f t="shared" si="10"/>
        <v>100</v>
      </c>
      <c r="L75" s="158" t="s">
        <v>323</v>
      </c>
    </row>
  </sheetData>
  <autoFilter ref="A1:G1"/>
  <phoneticPr fontId="5"/>
  <conditionalFormatting sqref="K47:K1048576 K18:K30 K1:K2 K4">
    <cfRule type="duplicateValues" dxfId="27" priority="28"/>
  </conditionalFormatting>
  <conditionalFormatting sqref="K3">
    <cfRule type="duplicateValues" dxfId="26" priority="27"/>
  </conditionalFormatting>
  <conditionalFormatting sqref="K5">
    <cfRule type="duplicateValues" dxfId="25" priority="26"/>
  </conditionalFormatting>
  <conditionalFormatting sqref="K17">
    <cfRule type="duplicateValues" dxfId="24" priority="25"/>
  </conditionalFormatting>
  <conditionalFormatting sqref="K6">
    <cfRule type="duplicateValues" dxfId="23" priority="24"/>
  </conditionalFormatting>
  <conditionalFormatting sqref="K11">
    <cfRule type="duplicateValues" dxfId="22" priority="23"/>
  </conditionalFormatting>
  <conditionalFormatting sqref="K7:K8">
    <cfRule type="duplicateValues" dxfId="21" priority="22"/>
  </conditionalFormatting>
  <conditionalFormatting sqref="K10">
    <cfRule type="duplicateValues" dxfId="20" priority="21"/>
  </conditionalFormatting>
  <conditionalFormatting sqref="K9">
    <cfRule type="duplicateValues" dxfId="19" priority="20"/>
  </conditionalFormatting>
  <conditionalFormatting sqref="K15">
    <cfRule type="duplicateValues" dxfId="18" priority="19"/>
  </conditionalFormatting>
  <conditionalFormatting sqref="K14">
    <cfRule type="duplicateValues" dxfId="17" priority="18"/>
  </conditionalFormatting>
  <conditionalFormatting sqref="K12">
    <cfRule type="duplicateValues" dxfId="16" priority="17"/>
  </conditionalFormatting>
  <conditionalFormatting sqref="K13">
    <cfRule type="duplicateValues" dxfId="15" priority="16"/>
  </conditionalFormatting>
  <conditionalFormatting sqref="K16">
    <cfRule type="duplicateValues" dxfId="14" priority="15"/>
  </conditionalFormatting>
  <conditionalFormatting sqref="K31 K33">
    <cfRule type="duplicateValues" dxfId="13" priority="14"/>
  </conditionalFormatting>
  <conditionalFormatting sqref="K32">
    <cfRule type="duplicateValues" dxfId="12" priority="13"/>
  </conditionalFormatting>
  <conditionalFormatting sqref="K34">
    <cfRule type="duplicateValues" dxfId="11" priority="12"/>
  </conditionalFormatting>
  <conditionalFormatting sqref="K46">
    <cfRule type="duplicateValues" dxfId="10" priority="11"/>
  </conditionalFormatting>
  <conditionalFormatting sqref="K35">
    <cfRule type="duplicateValues" dxfId="9" priority="10"/>
  </conditionalFormatting>
  <conditionalFormatting sqref="K40">
    <cfRule type="duplicateValues" dxfId="8" priority="9"/>
  </conditionalFormatting>
  <conditionalFormatting sqref="K36:K37">
    <cfRule type="duplicateValues" dxfId="7" priority="8"/>
  </conditionalFormatting>
  <conditionalFormatting sqref="K39">
    <cfRule type="duplicateValues" dxfId="6" priority="7"/>
  </conditionalFormatting>
  <conditionalFormatting sqref="K38">
    <cfRule type="duplicateValues" dxfId="5" priority="6"/>
  </conditionalFormatting>
  <conditionalFormatting sqref="K44">
    <cfRule type="duplicateValues" dxfId="4" priority="5"/>
  </conditionalFormatting>
  <conditionalFormatting sqref="K43">
    <cfRule type="duplicateValues" dxfId="3" priority="4"/>
  </conditionalFormatting>
  <conditionalFormatting sqref="K41">
    <cfRule type="duplicateValues" dxfId="2" priority="3"/>
  </conditionalFormatting>
  <conditionalFormatting sqref="K42">
    <cfRule type="duplicateValues" dxfId="1" priority="2"/>
  </conditionalFormatting>
  <conditionalFormatting sqref="K45">
    <cfRule type="duplicateValues" dxfId="0" priority="1"/>
  </conditionalFormatting>
  <printOptions gridLines="1"/>
  <pageMargins left="0.75" right="0.75" top="1" bottom="1" header="0.3" footer="0.3"/>
  <pageSetup paperSize="9" orientation="portrait" horizontalDpi="4294967292" vertic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 enableFormatConditionsCalculation="0">
    <tabColor rgb="FF0000FF"/>
    <outlinePr summaryBelow="0" summaryRight="0"/>
  </sheetPr>
  <dimension ref="A1:M1"/>
  <sheetViews>
    <sheetView showGridLines="0" workbookViewId="0">
      <pane ySplit="1" topLeftCell="A2" activePane="bottomLeft" state="frozen"/>
      <selection pane="bottomLeft" activeCell="A2" sqref="A2:XFD18"/>
    </sheetView>
  </sheetViews>
  <sheetFormatPr baseColWidth="12" defaultColWidth="13" defaultRowHeight="15" outlineLevelCol="1" x14ac:dyDescent="0.15"/>
  <cols>
    <col min="1" max="1" width="13" style="86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8" width="22" customWidth="1"/>
    <col min="9" max="11" width="11.1640625" customWidth="1"/>
    <col min="12" max="12" width="42.6640625" customWidth="1"/>
  </cols>
  <sheetData>
    <row r="1" spans="1:13" x14ac:dyDescent="0.15">
      <c r="A1" s="74" t="s">
        <v>188</v>
      </c>
      <c r="B1" s="71" t="s">
        <v>189</v>
      </c>
      <c r="C1" s="75" t="s">
        <v>190</v>
      </c>
      <c r="D1" s="75" t="s">
        <v>33</v>
      </c>
      <c r="E1" s="71" t="s">
        <v>191</v>
      </c>
      <c r="F1" s="75" t="s">
        <v>192</v>
      </c>
      <c r="G1" s="75" t="s">
        <v>33</v>
      </c>
      <c r="H1" s="71" t="s">
        <v>193</v>
      </c>
      <c r="I1" s="89" t="s">
        <v>195</v>
      </c>
      <c r="J1" s="77" t="s">
        <v>126</v>
      </c>
      <c r="K1" s="76" t="s">
        <v>186</v>
      </c>
      <c r="L1" s="90" t="s">
        <v>185</v>
      </c>
      <c r="M1" s="78" t="s">
        <v>196</v>
      </c>
    </row>
  </sheetData>
  <phoneticPr fontId="5"/>
  <pageMargins left="0.7" right="0.7" top="0.75" bottom="0.75" header="0.3" footer="0.3"/>
  <pageSetup paperSize="9" orientation="portrait" horizontalDpi="4294967292" verticalDpi="4294967292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>
    <tabColor rgb="FF0000FF"/>
    <outlinePr summaryBelow="0" summaryRight="0"/>
  </sheetPr>
  <dimension ref="A1:N32"/>
  <sheetViews>
    <sheetView showGridLines="0" tabSelected="1" workbookViewId="0">
      <pane ySplit="1" topLeftCell="A2" activePane="bottomLeft" state="frozen"/>
      <selection pane="bottomLeft" activeCell="M4" sqref="M4"/>
    </sheetView>
  </sheetViews>
  <sheetFormatPr baseColWidth="12" defaultColWidth="13" defaultRowHeight="15" outlineLevelCol="1" x14ac:dyDescent="0.15"/>
  <cols>
    <col min="1" max="1" width="13" style="86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9" width="22" customWidth="1"/>
    <col min="10" max="12" width="11.1640625" customWidth="1"/>
    <col min="13" max="13" width="42.6640625" customWidth="1"/>
  </cols>
  <sheetData>
    <row r="1" spans="1:14" x14ac:dyDescent="0.15">
      <c r="A1" s="74" t="s">
        <v>188</v>
      </c>
      <c r="B1" s="71" t="s">
        <v>150</v>
      </c>
      <c r="C1" s="75" t="s">
        <v>190</v>
      </c>
      <c r="D1" s="75" t="s">
        <v>33</v>
      </c>
      <c r="E1" s="71" t="s">
        <v>191</v>
      </c>
      <c r="F1" s="75" t="s">
        <v>18</v>
      </c>
      <c r="G1" s="75" t="s">
        <v>33</v>
      </c>
      <c r="H1" s="71" t="s">
        <v>193</v>
      </c>
      <c r="I1" s="87" t="s">
        <v>194</v>
      </c>
      <c r="J1" s="89" t="s">
        <v>195</v>
      </c>
      <c r="K1" s="77" t="s">
        <v>126</v>
      </c>
      <c r="L1" s="76" t="s">
        <v>186</v>
      </c>
      <c r="M1" s="90" t="s">
        <v>185</v>
      </c>
      <c r="N1" s="78" t="s">
        <v>196</v>
      </c>
    </row>
    <row r="2" spans="1:14" ht="68" customHeight="1" x14ac:dyDescent="0.15">
      <c r="A2" s="79" t="s">
        <v>200</v>
      </c>
      <c r="B2" s="80">
        <f>floors!$C$2</f>
        <v>47016</v>
      </c>
      <c r="C2" s="81" t="str">
        <f ca="1">VLOOKUP($B2,OFFSET([2]quests!$A$1,0,0,COUNTA([2]quests!$A:$A),MATCH(C$1,[2]quests!$1:$1,0)-MATCH($B$1,[2]quests!$1:$1,0)+1),MATCH(C$1,[2]quests!$1:$1,0)-MATCH($B$1,[2]quests!$1:$1,0)+1,FALSE)</f>
        <v>嫁入り道具はチェーンソー</v>
      </c>
      <c r="D2" s="81" t="str">
        <f ca="1">VLOOKUP($B2,OFFSET([2]quests!$A$1,0,0,COUNTA([2]quests!$A:$A),MATCH(D$1,[2]quests!$1:$1,0)-MATCH($B$1,[2]quests!$1:$1,0)+1),MATCH(D$1,[2]quests!$1:$1,0)-MATCH($B$1,[2]quests!$1:$1,0)+1,FALSE)</f>
        <v>季節イベント</v>
      </c>
      <c r="E2" s="82">
        <v>1</v>
      </c>
      <c r="F2" s="81" t="str">
        <f ca="1">VLOOKUP($B2&amp;"_"&amp;$E2,OFFSET([2]stages!$A$1,0,0,COUNTA([2]stages!$A:$A),MATCH(F$1,[2]stages!$2:$2,0)-MATCH("temp_stage",[2]stages!$2:$2,0)+1),MATCH(F$1,[2]stages!$2:$2,0)-MATCH("temp_stage",[2]stages!$2:$2,0)+1,FALSE)</f>
        <v>【上級】嫁入り道具はチェーンソー</v>
      </c>
      <c r="G2" s="81" t="str">
        <f ca="1">VLOOKUP($B2&amp;"_"&amp;$E2,OFFSET([2]stages!$A$1,0,0,COUNTA([2]stages!$A:$A),MATCH(G$1,[2]stages!$2:$2,0)-MATCH("temp_stage",[2]stages!$2:$2,0)+1),MATCH(G$1,[2]stages!$2:$2,0)-MATCH("temp_stage",[2]stages!$2:$2,0)+1,FALSE)</f>
        <v>季節イベント</v>
      </c>
      <c r="H2" s="83">
        <v>0</v>
      </c>
      <c r="I2" s="88">
        <f t="shared" ref="I2:I31" si="0">ROW()-1</f>
        <v>1</v>
      </c>
      <c r="J2" s="84" t="str">
        <f t="shared" ref="J2:J11" si="1">B2&amp;TEXT(I2,"00")</f>
        <v>4701601</v>
      </c>
      <c r="K2" s="82" t="s">
        <v>127</v>
      </c>
      <c r="L2" s="85" t="s">
        <v>354</v>
      </c>
      <c r="M2" s="201" t="s">
        <v>493</v>
      </c>
      <c r="N2" s="57" t="s">
        <v>199</v>
      </c>
    </row>
    <row r="3" spans="1:14" ht="68" customHeight="1" x14ac:dyDescent="0.15">
      <c r="A3" s="79" t="s">
        <v>200</v>
      </c>
      <c r="B3" s="80">
        <f>floors!$C$2</f>
        <v>47016</v>
      </c>
      <c r="C3" s="81" t="str">
        <f ca="1">VLOOKUP($B3,OFFSET([2]quests!$A$1,0,0,COUNTA([2]quests!$A:$A),MATCH(C$1,[2]quests!$1:$1,0)-MATCH($B$1,[2]quests!$1:$1,0)+1),MATCH(C$1,[2]quests!$1:$1,0)-MATCH($B$1,[2]quests!$1:$1,0)+1,FALSE)</f>
        <v>嫁入り道具はチェーンソー</v>
      </c>
      <c r="D3" s="81" t="str">
        <f ca="1">VLOOKUP($B3,OFFSET([2]quests!$A$1,0,0,COUNTA([2]quests!$A:$A),MATCH(D$1,[2]quests!$1:$1,0)-MATCH($B$1,[2]quests!$1:$1,0)+1),MATCH(D$1,[2]quests!$1:$1,0)-MATCH($B$1,[2]quests!$1:$1,0)+1,FALSE)</f>
        <v>季節イベント</v>
      </c>
      <c r="E3" s="82">
        <v>1</v>
      </c>
      <c r="F3" s="81" t="str">
        <f ca="1">VLOOKUP($B3&amp;"_"&amp;$E3,OFFSET([2]stages!$A$1,0,0,COUNTA([2]stages!$A:$A),MATCH(F$1,[2]stages!$2:$2,0)-MATCH("temp_stage",[2]stages!$2:$2,0)+1),MATCH(F$1,[2]stages!$2:$2,0)-MATCH("temp_stage",[2]stages!$2:$2,0)+1,FALSE)</f>
        <v>【上級】嫁入り道具はチェーンソー</v>
      </c>
      <c r="G3" s="81" t="str">
        <f ca="1">VLOOKUP($B3&amp;"_"&amp;$E3,OFFSET([2]stages!$A$1,0,0,COUNTA([2]stages!$A:$A),MATCH(G$1,[2]stages!$2:$2,0)-MATCH("temp_stage",[2]stages!$2:$2,0)+1),MATCH(G$1,[2]stages!$2:$2,0)-MATCH("temp_stage",[2]stages!$2:$2,0)+1,FALSE)</f>
        <v>季節イベント</v>
      </c>
      <c r="H3" s="83">
        <v>0</v>
      </c>
      <c r="I3" s="88">
        <f t="shared" si="0"/>
        <v>2</v>
      </c>
      <c r="J3" s="84" t="str">
        <f t="shared" si="1"/>
        <v>4701602</v>
      </c>
      <c r="K3" s="82" t="s">
        <v>127</v>
      </c>
      <c r="L3" s="85" t="s">
        <v>353</v>
      </c>
      <c r="M3" s="201" t="s">
        <v>352</v>
      </c>
      <c r="N3" s="57" t="s">
        <v>199</v>
      </c>
    </row>
    <row r="4" spans="1:14" ht="68" customHeight="1" x14ac:dyDescent="0.15">
      <c r="A4" s="79" t="s">
        <v>200</v>
      </c>
      <c r="B4" s="80">
        <f>floors!$C$2</f>
        <v>47016</v>
      </c>
      <c r="C4" s="81" t="str">
        <f ca="1">VLOOKUP($B4,OFFSET([2]quests!$A$1,0,0,COUNTA([2]quests!$A:$A),MATCH(C$1,[2]quests!$1:$1,0)-MATCH($B$1,[2]quests!$1:$1,0)+1),MATCH(C$1,[2]quests!$1:$1,0)-MATCH($B$1,[2]quests!$1:$1,0)+1,FALSE)</f>
        <v>嫁入り道具はチェーンソー</v>
      </c>
      <c r="D4" s="81" t="str">
        <f ca="1">VLOOKUP($B4,OFFSET([2]quests!$A$1,0,0,COUNTA([2]quests!$A:$A),MATCH(D$1,[2]quests!$1:$1,0)-MATCH($B$1,[2]quests!$1:$1,0)+1),MATCH(D$1,[2]quests!$1:$1,0)-MATCH($B$1,[2]quests!$1:$1,0)+1,FALSE)</f>
        <v>季節イベント</v>
      </c>
      <c r="E4" s="82">
        <v>1</v>
      </c>
      <c r="F4" s="81" t="str">
        <f ca="1">VLOOKUP($B4&amp;"_"&amp;$E4,OFFSET([2]stages!$A$1,0,0,COUNTA([2]stages!$A:$A),MATCH(F$1,[2]stages!$2:$2,0)-MATCH("temp_stage",[2]stages!$2:$2,0)+1),MATCH(F$1,[2]stages!$2:$2,0)-MATCH("temp_stage",[2]stages!$2:$2,0)+1,FALSE)</f>
        <v>【上級】嫁入り道具はチェーンソー</v>
      </c>
      <c r="G4" s="81" t="str">
        <f ca="1">VLOOKUP($B4&amp;"_"&amp;$E4,OFFSET([2]stages!$A$1,0,0,COUNTA([2]stages!$A:$A),MATCH(G$1,[2]stages!$2:$2,0)-MATCH("temp_stage",[2]stages!$2:$2,0)+1),MATCH(G$1,[2]stages!$2:$2,0)-MATCH("temp_stage",[2]stages!$2:$2,0)+1,FALSE)</f>
        <v>季節イベント</v>
      </c>
      <c r="H4" s="83">
        <v>0</v>
      </c>
      <c r="I4" s="88">
        <f t="shared" si="0"/>
        <v>3</v>
      </c>
      <c r="J4" s="84" t="str">
        <f t="shared" si="1"/>
        <v>4701603</v>
      </c>
      <c r="K4" s="82" t="s">
        <v>127</v>
      </c>
      <c r="L4" s="85" t="s">
        <v>356</v>
      </c>
      <c r="M4" s="201" t="s">
        <v>553</v>
      </c>
      <c r="N4" s="57" t="s">
        <v>199</v>
      </c>
    </row>
    <row r="5" spans="1:14" ht="68" customHeight="1" x14ac:dyDescent="0.15">
      <c r="A5" s="79" t="s">
        <v>200</v>
      </c>
      <c r="B5" s="80">
        <f>floors!$C$2</f>
        <v>47016</v>
      </c>
      <c r="C5" s="81" t="str">
        <f ca="1">VLOOKUP($B5,OFFSET([2]quests!$A$1,0,0,COUNTA([2]quests!$A:$A),MATCH(C$1,[2]quests!$1:$1,0)-MATCH($B$1,[2]quests!$1:$1,0)+1),MATCH(C$1,[2]quests!$1:$1,0)-MATCH($B$1,[2]quests!$1:$1,0)+1,FALSE)</f>
        <v>嫁入り道具はチェーンソー</v>
      </c>
      <c r="D5" s="81" t="str">
        <f ca="1">VLOOKUP($B5,OFFSET([2]quests!$A$1,0,0,COUNTA([2]quests!$A:$A),MATCH(D$1,[2]quests!$1:$1,0)-MATCH($B$1,[2]quests!$1:$1,0)+1),MATCH(D$1,[2]quests!$1:$1,0)-MATCH($B$1,[2]quests!$1:$1,0)+1,FALSE)</f>
        <v>季節イベント</v>
      </c>
      <c r="E5" s="82">
        <v>1</v>
      </c>
      <c r="F5" s="81" t="str">
        <f ca="1">VLOOKUP($B5&amp;"_"&amp;$E5,OFFSET([2]stages!$A$1,0,0,COUNTA([2]stages!$A:$A),MATCH(F$1,[2]stages!$2:$2,0)-MATCH("temp_stage",[2]stages!$2:$2,0)+1),MATCH(F$1,[2]stages!$2:$2,0)-MATCH("temp_stage",[2]stages!$2:$2,0)+1,FALSE)</f>
        <v>【上級】嫁入り道具はチェーンソー</v>
      </c>
      <c r="G5" s="81" t="str">
        <f ca="1">VLOOKUP($B5&amp;"_"&amp;$E5,OFFSET([2]stages!$A$1,0,0,COUNTA([2]stages!$A:$A),MATCH(G$1,[2]stages!$2:$2,0)-MATCH("temp_stage",[2]stages!$2:$2,0)+1),MATCH(G$1,[2]stages!$2:$2,0)-MATCH("temp_stage",[2]stages!$2:$2,0)+1,FALSE)</f>
        <v>季節イベント</v>
      </c>
      <c r="H5" s="83">
        <v>0</v>
      </c>
      <c r="I5" s="88">
        <f>ROW()-1</f>
        <v>4</v>
      </c>
      <c r="J5" s="84" t="str">
        <f>B5&amp;TEXT(I5,"00")</f>
        <v>4701604</v>
      </c>
      <c r="K5" s="82" t="s">
        <v>198</v>
      </c>
      <c r="L5" s="85" t="s">
        <v>351</v>
      </c>
      <c r="M5" s="201" t="s">
        <v>494</v>
      </c>
      <c r="N5" s="57" t="s">
        <v>199</v>
      </c>
    </row>
    <row r="6" spans="1:14" ht="77" customHeight="1" x14ac:dyDescent="0.15">
      <c r="A6" s="79" t="s">
        <v>197</v>
      </c>
      <c r="B6" s="80">
        <f>floors!$C$2</f>
        <v>47016</v>
      </c>
      <c r="C6" s="81" t="str">
        <f ca="1">VLOOKUP($B6,OFFSET([2]quests!$A$1,0,0,COUNTA([2]quests!$A:$A),MATCH(C$1,[2]quests!$1:$1,0)-MATCH($B$1,[2]quests!$1:$1,0)+1),MATCH(C$1,[2]quests!$1:$1,0)-MATCH($B$1,[2]quests!$1:$1,0)+1,FALSE)</f>
        <v>嫁入り道具はチェーンソー</v>
      </c>
      <c r="D6" s="81" t="str">
        <f ca="1">VLOOKUP($B6,OFFSET([2]quests!$A$1,0,0,COUNTA([2]quests!$A:$A),MATCH(D$1,[2]quests!$1:$1,0)-MATCH($B$1,[2]quests!$1:$1,0)+1),MATCH(D$1,[2]quests!$1:$1,0)-MATCH($B$1,[2]quests!$1:$1,0)+1,FALSE)</f>
        <v>季節イベント</v>
      </c>
      <c r="E6" s="82">
        <v>1</v>
      </c>
      <c r="F6" s="81" t="str">
        <f ca="1">VLOOKUP($B6&amp;"_"&amp;$E6,OFFSET([2]stages!$A$1,0,0,COUNTA([2]stages!$A:$A),MATCH(F$1,[2]stages!$2:$2,0)-MATCH("temp_stage",[2]stages!$2:$2,0)+1),MATCH(F$1,[2]stages!$2:$2,0)-MATCH("temp_stage",[2]stages!$2:$2,0)+1,FALSE)</f>
        <v>【上級】嫁入り道具はチェーンソー</v>
      </c>
      <c r="G6" s="81" t="str">
        <f ca="1">VLOOKUP($B6&amp;"_"&amp;$E6,OFFSET([2]stages!$A$1,0,0,COUNTA([2]stages!$A:$A),MATCH(G$1,[2]stages!$2:$2,0)-MATCH("temp_stage",[2]stages!$2:$2,0)+1),MATCH(G$1,[2]stages!$2:$2,0)-MATCH("temp_stage",[2]stages!$2:$2,0)+1,FALSE)</f>
        <v>季節イベント</v>
      </c>
      <c r="H6" s="83">
        <v>1</v>
      </c>
      <c r="I6" s="88">
        <f t="shared" si="0"/>
        <v>5</v>
      </c>
      <c r="J6" s="84" t="str">
        <f t="shared" si="1"/>
        <v>4701605</v>
      </c>
      <c r="K6" s="82" t="s">
        <v>127</v>
      </c>
      <c r="L6" s="85" t="s">
        <v>254</v>
      </c>
      <c r="M6" s="201" t="s">
        <v>357</v>
      </c>
      <c r="N6" s="57" t="s">
        <v>199</v>
      </c>
    </row>
    <row r="7" spans="1:14" ht="77" customHeight="1" x14ac:dyDescent="0.15">
      <c r="A7" s="79" t="s">
        <v>197</v>
      </c>
      <c r="B7" s="80">
        <f>floors!$C$2</f>
        <v>47016</v>
      </c>
      <c r="C7" s="81" t="str">
        <f ca="1">VLOOKUP($B7,OFFSET([2]quests!$A$1,0,0,COUNTA([2]quests!$A:$A),MATCH(C$1,[2]quests!$1:$1,0)-MATCH($B$1,[2]quests!$1:$1,0)+1),MATCH(C$1,[2]quests!$1:$1,0)-MATCH($B$1,[2]quests!$1:$1,0)+1,FALSE)</f>
        <v>嫁入り道具はチェーンソー</v>
      </c>
      <c r="D7" s="81" t="str">
        <f ca="1">VLOOKUP($B7,OFFSET([2]quests!$A$1,0,0,COUNTA([2]quests!$A:$A),MATCH(D$1,[2]quests!$1:$1,0)-MATCH($B$1,[2]quests!$1:$1,0)+1),MATCH(D$1,[2]quests!$1:$1,0)-MATCH($B$1,[2]quests!$1:$1,0)+1,FALSE)</f>
        <v>季節イベント</v>
      </c>
      <c r="E7" s="82">
        <v>1</v>
      </c>
      <c r="F7" s="81" t="str">
        <f ca="1">VLOOKUP($B7&amp;"_"&amp;$E7,OFFSET([2]stages!$A$1,0,0,COUNTA([2]stages!$A:$A),MATCH(F$1,[2]stages!$2:$2,0)-MATCH("temp_stage",[2]stages!$2:$2,0)+1),MATCH(F$1,[2]stages!$2:$2,0)-MATCH("temp_stage",[2]stages!$2:$2,0)+1,FALSE)</f>
        <v>【上級】嫁入り道具はチェーンソー</v>
      </c>
      <c r="G7" s="81" t="str">
        <f ca="1">VLOOKUP($B7&amp;"_"&amp;$E7,OFFSET([2]stages!$A$1,0,0,COUNTA([2]stages!$A:$A),MATCH(G$1,[2]stages!$2:$2,0)-MATCH("temp_stage",[2]stages!$2:$2,0)+1),MATCH(G$1,[2]stages!$2:$2,0)-MATCH("temp_stage",[2]stages!$2:$2,0)+1,FALSE)</f>
        <v>季節イベント</v>
      </c>
      <c r="H7" s="83">
        <v>2</v>
      </c>
      <c r="I7" s="88">
        <f t="shared" si="0"/>
        <v>6</v>
      </c>
      <c r="J7" s="84" t="str">
        <f t="shared" si="1"/>
        <v>4701606</v>
      </c>
      <c r="K7" s="82" t="s">
        <v>127</v>
      </c>
      <c r="L7" s="85" t="s">
        <v>254</v>
      </c>
      <c r="M7" s="201" t="s">
        <v>360</v>
      </c>
      <c r="N7" s="57" t="s">
        <v>199</v>
      </c>
    </row>
    <row r="8" spans="1:14" ht="77" customHeight="1" x14ac:dyDescent="0.15">
      <c r="A8" s="79" t="s">
        <v>197</v>
      </c>
      <c r="B8" s="80">
        <f>floors!$C$2</f>
        <v>47016</v>
      </c>
      <c r="C8" s="81" t="str">
        <f ca="1">VLOOKUP($B8,OFFSET([2]quests!$A$1,0,0,COUNTA([2]quests!$A:$A),MATCH(C$1,[2]quests!$1:$1,0)-MATCH($B$1,[2]quests!$1:$1,0)+1),MATCH(C$1,[2]quests!$1:$1,0)-MATCH($B$1,[2]quests!$1:$1,0)+1,FALSE)</f>
        <v>嫁入り道具はチェーンソー</v>
      </c>
      <c r="D8" s="81" t="str">
        <f ca="1">VLOOKUP($B8,OFFSET([2]quests!$A$1,0,0,COUNTA([2]quests!$A:$A),MATCH(D$1,[2]quests!$1:$1,0)-MATCH($B$1,[2]quests!$1:$1,0)+1),MATCH(D$1,[2]quests!$1:$1,0)-MATCH($B$1,[2]quests!$1:$1,0)+1,FALSE)</f>
        <v>季節イベント</v>
      </c>
      <c r="E8" s="82">
        <v>1</v>
      </c>
      <c r="F8" s="81" t="str">
        <f ca="1">VLOOKUP($B8&amp;"_"&amp;$E8,OFFSET([2]stages!$A$1,0,0,COUNTA([2]stages!$A:$A),MATCH(F$1,[2]stages!$2:$2,0)-MATCH("temp_stage",[2]stages!$2:$2,0)+1),MATCH(F$1,[2]stages!$2:$2,0)-MATCH("temp_stage",[2]stages!$2:$2,0)+1,FALSE)</f>
        <v>【上級】嫁入り道具はチェーンソー</v>
      </c>
      <c r="G8" s="81" t="str">
        <f ca="1">VLOOKUP($B8&amp;"_"&amp;$E8,OFFSET([2]stages!$A$1,0,0,COUNTA([2]stages!$A:$A),MATCH(G$1,[2]stages!$2:$2,0)-MATCH("temp_stage",[2]stages!$2:$2,0)+1),MATCH(G$1,[2]stages!$2:$2,0)-MATCH("temp_stage",[2]stages!$2:$2,0)+1,FALSE)</f>
        <v>季節イベント</v>
      </c>
      <c r="H8" s="83">
        <v>2</v>
      </c>
      <c r="I8" s="88">
        <f t="shared" si="0"/>
        <v>7</v>
      </c>
      <c r="J8" s="84" t="str">
        <f t="shared" si="1"/>
        <v>4701607</v>
      </c>
      <c r="K8" s="82" t="s">
        <v>127</v>
      </c>
      <c r="L8" s="85" t="s">
        <v>254</v>
      </c>
      <c r="M8" s="201" t="s">
        <v>358</v>
      </c>
      <c r="N8" s="57" t="s">
        <v>199</v>
      </c>
    </row>
    <row r="9" spans="1:14" ht="77" customHeight="1" x14ac:dyDescent="0.15">
      <c r="A9" s="79" t="s">
        <v>197</v>
      </c>
      <c r="B9" s="80">
        <f>floors!$C$2</f>
        <v>47016</v>
      </c>
      <c r="C9" s="81" t="str">
        <f ca="1">VLOOKUP($B9,OFFSET([2]quests!$A$1,0,0,COUNTA([2]quests!$A:$A),MATCH(C$1,[2]quests!$1:$1,0)-MATCH($B$1,[2]quests!$1:$1,0)+1),MATCH(C$1,[2]quests!$1:$1,0)-MATCH($B$1,[2]quests!$1:$1,0)+1,FALSE)</f>
        <v>嫁入り道具はチェーンソー</v>
      </c>
      <c r="D9" s="81" t="str">
        <f ca="1">VLOOKUP($B9,OFFSET([2]quests!$A$1,0,0,COUNTA([2]quests!$A:$A),MATCH(D$1,[2]quests!$1:$1,0)-MATCH($B$1,[2]quests!$1:$1,0)+1),MATCH(D$1,[2]quests!$1:$1,0)-MATCH($B$1,[2]quests!$1:$1,0)+1,FALSE)</f>
        <v>季節イベント</v>
      </c>
      <c r="E9" s="82">
        <v>1</v>
      </c>
      <c r="F9" s="81" t="str">
        <f ca="1">VLOOKUP($B9&amp;"_"&amp;$E9,OFFSET([2]stages!$A$1,0,0,COUNTA([2]stages!$A:$A),MATCH(F$1,[2]stages!$2:$2,0)-MATCH("temp_stage",[2]stages!$2:$2,0)+1),MATCH(F$1,[2]stages!$2:$2,0)-MATCH("temp_stage",[2]stages!$2:$2,0)+1,FALSE)</f>
        <v>【上級】嫁入り道具はチェーンソー</v>
      </c>
      <c r="G9" s="81" t="str">
        <f ca="1">VLOOKUP($B9&amp;"_"&amp;$E9,OFFSET([2]stages!$A$1,0,0,COUNTA([2]stages!$A:$A),MATCH(G$1,[2]stages!$2:$2,0)-MATCH("temp_stage",[2]stages!$2:$2,0)+1),MATCH(G$1,[2]stages!$2:$2,0)-MATCH("temp_stage",[2]stages!$2:$2,0)+1,FALSE)</f>
        <v>季節イベント</v>
      </c>
      <c r="H9" s="83">
        <v>3</v>
      </c>
      <c r="I9" s="88">
        <f t="shared" si="0"/>
        <v>8</v>
      </c>
      <c r="J9" s="84" t="str">
        <f t="shared" si="1"/>
        <v>4701608</v>
      </c>
      <c r="K9" s="82" t="s">
        <v>127</v>
      </c>
      <c r="L9" s="85" t="s">
        <v>254</v>
      </c>
      <c r="M9" s="201" t="s">
        <v>361</v>
      </c>
      <c r="N9" s="57" t="s">
        <v>199</v>
      </c>
    </row>
    <row r="10" spans="1:14" ht="77" customHeight="1" x14ac:dyDescent="0.15">
      <c r="A10" s="79" t="s">
        <v>197</v>
      </c>
      <c r="B10" s="80">
        <f>floors!$C$2</f>
        <v>47016</v>
      </c>
      <c r="C10" s="81" t="str">
        <f ca="1">VLOOKUP($B10,OFFSET([2]quests!$A$1,0,0,COUNTA([2]quests!$A:$A),MATCH(C$1,[2]quests!$1:$1,0)-MATCH($B$1,[2]quests!$1:$1,0)+1),MATCH(C$1,[2]quests!$1:$1,0)-MATCH($B$1,[2]quests!$1:$1,0)+1,FALSE)</f>
        <v>嫁入り道具はチェーンソー</v>
      </c>
      <c r="D10" s="81" t="str">
        <f ca="1">VLOOKUP($B10,OFFSET([2]quests!$A$1,0,0,COUNTA([2]quests!$A:$A),MATCH(D$1,[2]quests!$1:$1,0)-MATCH($B$1,[2]quests!$1:$1,0)+1),MATCH(D$1,[2]quests!$1:$1,0)-MATCH($B$1,[2]quests!$1:$1,0)+1,FALSE)</f>
        <v>季節イベント</v>
      </c>
      <c r="E10" s="82">
        <v>1</v>
      </c>
      <c r="F10" s="81" t="str">
        <f ca="1">VLOOKUP($B10&amp;"_"&amp;$E10,OFFSET([2]stages!$A$1,0,0,COUNTA([2]stages!$A:$A),MATCH(F$1,[2]stages!$2:$2,0)-MATCH("temp_stage",[2]stages!$2:$2,0)+1),MATCH(F$1,[2]stages!$2:$2,0)-MATCH("temp_stage",[2]stages!$2:$2,0)+1,FALSE)</f>
        <v>【上級】嫁入り道具はチェーンソー</v>
      </c>
      <c r="G10" s="81" t="str">
        <f ca="1">VLOOKUP($B10&amp;"_"&amp;$E10,OFFSET([2]stages!$A$1,0,0,COUNTA([2]stages!$A:$A),MATCH(G$1,[2]stages!$2:$2,0)-MATCH("temp_stage",[2]stages!$2:$2,0)+1),MATCH(G$1,[2]stages!$2:$2,0)-MATCH("temp_stage",[2]stages!$2:$2,0)+1,FALSE)</f>
        <v>季節イベント</v>
      </c>
      <c r="H10" s="83">
        <v>3</v>
      </c>
      <c r="I10" s="88">
        <f t="shared" si="0"/>
        <v>9</v>
      </c>
      <c r="J10" s="84" t="str">
        <f t="shared" si="1"/>
        <v>4701609</v>
      </c>
      <c r="K10" s="82" t="s">
        <v>127</v>
      </c>
      <c r="L10" s="85" t="s">
        <v>254</v>
      </c>
      <c r="M10" s="201" t="s">
        <v>514</v>
      </c>
      <c r="N10" s="57" t="s">
        <v>199</v>
      </c>
    </row>
    <row r="11" spans="1:14" ht="77" customHeight="1" thickBot="1" x14ac:dyDescent="0.2">
      <c r="A11" s="184" t="s">
        <v>197</v>
      </c>
      <c r="B11" s="185">
        <f>floors!$C$2</f>
        <v>47016</v>
      </c>
      <c r="C11" s="186" t="str">
        <f ca="1">VLOOKUP($B11,OFFSET([2]quests!$A$1,0,0,COUNTA([2]quests!$A:$A),MATCH(C$1,[2]quests!$1:$1,0)-MATCH($B$1,[2]quests!$1:$1,0)+1),MATCH(C$1,[2]quests!$1:$1,0)-MATCH($B$1,[2]quests!$1:$1,0)+1,FALSE)</f>
        <v>嫁入り道具はチェーンソー</v>
      </c>
      <c r="D11" s="186" t="str">
        <f ca="1">VLOOKUP($B11,OFFSET([2]quests!$A$1,0,0,COUNTA([2]quests!$A:$A),MATCH(D$1,[2]quests!$1:$1,0)-MATCH($B$1,[2]quests!$1:$1,0)+1),MATCH(D$1,[2]quests!$1:$1,0)-MATCH($B$1,[2]quests!$1:$1,0)+1,FALSE)</f>
        <v>季節イベント</v>
      </c>
      <c r="E11" s="187">
        <v>1</v>
      </c>
      <c r="F11" s="186" t="str">
        <f ca="1">VLOOKUP($B11&amp;"_"&amp;$E11,OFFSET([2]stages!$A$1,0,0,COUNTA([2]stages!$A:$A),MATCH(F$1,[2]stages!$2:$2,0)-MATCH("temp_stage",[2]stages!$2:$2,0)+1),MATCH(F$1,[2]stages!$2:$2,0)-MATCH("temp_stage",[2]stages!$2:$2,0)+1,FALSE)</f>
        <v>【上級】嫁入り道具はチェーンソー</v>
      </c>
      <c r="G11" s="186" t="str">
        <f ca="1">VLOOKUP($B11&amp;"_"&amp;$E11,OFFSET([2]stages!$A$1,0,0,COUNTA([2]stages!$A:$A),MATCH(G$1,[2]stages!$2:$2,0)-MATCH("temp_stage",[2]stages!$2:$2,0)+1),MATCH(G$1,[2]stages!$2:$2,0)-MATCH("temp_stage",[2]stages!$2:$2,0)+1,FALSE)</f>
        <v>季節イベント</v>
      </c>
      <c r="H11" s="188">
        <v>3</v>
      </c>
      <c r="I11" s="189">
        <f t="shared" si="0"/>
        <v>10</v>
      </c>
      <c r="J11" s="190" t="str">
        <f t="shared" si="1"/>
        <v>4701610</v>
      </c>
      <c r="K11" s="187" t="s">
        <v>127</v>
      </c>
      <c r="L11" s="191" t="s">
        <v>254</v>
      </c>
      <c r="M11" s="202" t="s">
        <v>359</v>
      </c>
      <c r="N11" s="192" t="s">
        <v>199</v>
      </c>
    </row>
    <row r="12" spans="1:14" ht="68" customHeight="1" thickTop="1" x14ac:dyDescent="0.15">
      <c r="A12" s="177" t="s">
        <v>200</v>
      </c>
      <c r="B12" s="178">
        <f>floors!$C$2</f>
        <v>47016</v>
      </c>
      <c r="C12" s="81" t="str">
        <f ca="1">VLOOKUP($B12,OFFSET([2]quests!$A$1,0,0,COUNTA([2]quests!$A:$A),MATCH(C$1,[2]quests!$1:$1,0)-MATCH($B$1,[2]quests!$1:$1,0)+1),MATCH(C$1,[2]quests!$1:$1,0)-MATCH($B$1,[2]quests!$1:$1,0)+1,FALSE)</f>
        <v>嫁入り道具はチェーンソー</v>
      </c>
      <c r="D12" s="81" t="str">
        <f ca="1">VLOOKUP($B12,OFFSET([2]quests!$A$1,0,0,COUNTA([2]quests!$A:$A),MATCH(D$1,[2]quests!$1:$1,0)-MATCH($B$1,[2]quests!$1:$1,0)+1),MATCH(D$1,[2]quests!$1:$1,0)-MATCH($B$1,[2]quests!$1:$1,0)+1,FALSE)</f>
        <v>季節イベント</v>
      </c>
      <c r="E12" s="179">
        <v>2</v>
      </c>
      <c r="F12" s="81" t="str">
        <f ca="1">VLOOKUP($B12&amp;"_"&amp;$E12,OFFSET([2]stages!$A$1,0,0,COUNTA([2]stages!$A:$A),MATCH(F$1,[2]stages!$2:$2,0)-MATCH("temp_stage",[2]stages!$2:$2,0)+1),MATCH(F$1,[2]stages!$2:$2,0)-MATCH("temp_stage",[2]stages!$2:$2,0)+1,FALSE)</f>
        <v>【超級】嫁入り道具はチェーンソー</v>
      </c>
      <c r="G12" s="81" t="str">
        <f ca="1">VLOOKUP($B12&amp;"_"&amp;$E12,OFFSET([2]stages!$A$1,0,0,COUNTA([2]stages!$A:$A),MATCH(G$1,[2]stages!$2:$2,0)-MATCH("temp_stage",[2]stages!$2:$2,0)+1),MATCH(G$1,[2]stages!$2:$2,0)-MATCH("temp_stage",[2]stages!$2:$2,0)+1,FALSE)</f>
        <v>季節イベント</v>
      </c>
      <c r="H12" s="83">
        <v>0</v>
      </c>
      <c r="I12" s="180">
        <f t="shared" si="0"/>
        <v>11</v>
      </c>
      <c r="J12" s="181" t="str">
        <f t="shared" ref="J12:J14" si="2">B12&amp;TEXT(I12,"00")</f>
        <v>4701611</v>
      </c>
      <c r="K12" s="179" t="s">
        <v>127</v>
      </c>
      <c r="L12" s="182" t="s">
        <v>354</v>
      </c>
      <c r="M12" s="203" t="s">
        <v>491</v>
      </c>
      <c r="N12" s="183" t="s">
        <v>199</v>
      </c>
    </row>
    <row r="13" spans="1:14" ht="68" customHeight="1" x14ac:dyDescent="0.15">
      <c r="A13" s="177" t="s">
        <v>200</v>
      </c>
      <c r="B13" s="80">
        <f>floors!$C$2</f>
        <v>47016</v>
      </c>
      <c r="C13" s="81" t="str">
        <f ca="1">VLOOKUP($B13,OFFSET([2]quests!$A$1,0,0,COUNTA([2]quests!$A:$A),MATCH(C$1,[2]quests!$1:$1,0)-MATCH($B$1,[2]quests!$1:$1,0)+1),MATCH(C$1,[2]quests!$1:$1,0)-MATCH($B$1,[2]quests!$1:$1,0)+1,FALSE)</f>
        <v>嫁入り道具はチェーンソー</v>
      </c>
      <c r="D13" s="81" t="str">
        <f ca="1">VLOOKUP($B13,OFFSET([2]quests!$A$1,0,0,COUNTA([2]quests!$A:$A),MATCH(D$1,[2]quests!$1:$1,0)-MATCH($B$1,[2]quests!$1:$1,0)+1),MATCH(D$1,[2]quests!$1:$1,0)-MATCH($B$1,[2]quests!$1:$1,0)+1,FALSE)</f>
        <v>季節イベント</v>
      </c>
      <c r="E13" s="82">
        <v>2</v>
      </c>
      <c r="F13" s="81" t="str">
        <f ca="1">VLOOKUP($B13&amp;"_"&amp;$E13,OFFSET([2]stages!$A$1,0,0,COUNTA([2]stages!$A:$A),MATCH(F$1,[2]stages!$2:$2,0)-MATCH("temp_stage",[2]stages!$2:$2,0)+1),MATCH(F$1,[2]stages!$2:$2,0)-MATCH("temp_stage",[2]stages!$2:$2,0)+1,FALSE)</f>
        <v>【超級】嫁入り道具はチェーンソー</v>
      </c>
      <c r="G13" s="81" t="str">
        <f ca="1">VLOOKUP($B13&amp;"_"&amp;$E13,OFFSET([2]stages!$A$1,0,0,COUNTA([2]stages!$A:$A),MATCH(G$1,[2]stages!$2:$2,0)-MATCH("temp_stage",[2]stages!$2:$2,0)+1),MATCH(G$1,[2]stages!$2:$2,0)-MATCH("temp_stage",[2]stages!$2:$2,0)+1,FALSE)</f>
        <v>季節イベント</v>
      </c>
      <c r="H13" s="83">
        <v>0</v>
      </c>
      <c r="I13" s="88">
        <f t="shared" si="0"/>
        <v>12</v>
      </c>
      <c r="J13" s="84" t="str">
        <f t="shared" si="2"/>
        <v>4701612</v>
      </c>
      <c r="K13" s="82" t="s">
        <v>127</v>
      </c>
      <c r="L13" s="85" t="s">
        <v>353</v>
      </c>
      <c r="M13" s="203" t="s">
        <v>352</v>
      </c>
      <c r="N13" s="57" t="s">
        <v>199</v>
      </c>
    </row>
    <row r="14" spans="1:14" ht="68" customHeight="1" x14ac:dyDescent="0.15">
      <c r="A14" s="177" t="s">
        <v>200</v>
      </c>
      <c r="B14" s="80">
        <f>floors!$C$2</f>
        <v>47016</v>
      </c>
      <c r="C14" s="81" t="str">
        <f ca="1">VLOOKUP($B14,OFFSET([2]quests!$A$1,0,0,COUNTA([2]quests!$A:$A),MATCH(C$1,[2]quests!$1:$1,0)-MATCH($B$1,[2]quests!$1:$1,0)+1),MATCH(C$1,[2]quests!$1:$1,0)-MATCH($B$1,[2]quests!$1:$1,0)+1,FALSE)</f>
        <v>嫁入り道具はチェーンソー</v>
      </c>
      <c r="D14" s="81" t="str">
        <f ca="1">VLOOKUP($B14,OFFSET([2]quests!$A$1,0,0,COUNTA([2]quests!$A:$A),MATCH(D$1,[2]quests!$1:$1,0)-MATCH($B$1,[2]quests!$1:$1,0)+1),MATCH(D$1,[2]quests!$1:$1,0)-MATCH($B$1,[2]quests!$1:$1,0)+1,FALSE)</f>
        <v>季節イベント</v>
      </c>
      <c r="E14" s="82">
        <v>2</v>
      </c>
      <c r="F14" s="81" t="str">
        <f ca="1">VLOOKUP($B14&amp;"_"&amp;$E14,OFFSET([2]stages!$A$1,0,0,COUNTA([2]stages!$A:$A),MATCH(F$1,[2]stages!$2:$2,0)-MATCH("temp_stage",[2]stages!$2:$2,0)+1),MATCH(F$1,[2]stages!$2:$2,0)-MATCH("temp_stage",[2]stages!$2:$2,0)+1,FALSE)</f>
        <v>【超級】嫁入り道具はチェーンソー</v>
      </c>
      <c r="G14" s="81" t="str">
        <f ca="1">VLOOKUP($B14&amp;"_"&amp;$E14,OFFSET([2]stages!$A$1,0,0,COUNTA([2]stages!$A:$A),MATCH(G$1,[2]stages!$2:$2,0)-MATCH("temp_stage",[2]stages!$2:$2,0)+1),MATCH(G$1,[2]stages!$2:$2,0)-MATCH("temp_stage",[2]stages!$2:$2,0)+1,FALSE)</f>
        <v>季節イベント</v>
      </c>
      <c r="H14" s="83">
        <v>0</v>
      </c>
      <c r="I14" s="88">
        <f t="shared" si="0"/>
        <v>13</v>
      </c>
      <c r="J14" s="84" t="str">
        <f t="shared" si="2"/>
        <v>4701613</v>
      </c>
      <c r="K14" s="82" t="s">
        <v>127</v>
      </c>
      <c r="L14" s="85" t="s">
        <v>356</v>
      </c>
      <c r="M14" s="203" t="s">
        <v>355</v>
      </c>
      <c r="N14" s="57" t="s">
        <v>199</v>
      </c>
    </row>
    <row r="15" spans="1:14" ht="68" customHeight="1" x14ac:dyDescent="0.15">
      <c r="A15" s="177" t="s">
        <v>200</v>
      </c>
      <c r="B15" s="80">
        <f>floors!$C$2</f>
        <v>47016</v>
      </c>
      <c r="C15" s="81" t="str">
        <f ca="1">VLOOKUP($B15,OFFSET([2]quests!$A$1,0,0,COUNTA([2]quests!$A:$A),MATCH(C$1,[2]quests!$1:$1,0)-MATCH($B$1,[2]quests!$1:$1,0)+1),MATCH(C$1,[2]quests!$1:$1,0)-MATCH($B$1,[2]quests!$1:$1,0)+1,FALSE)</f>
        <v>嫁入り道具はチェーンソー</v>
      </c>
      <c r="D15" s="81" t="str">
        <f ca="1">VLOOKUP($B15,OFFSET([2]quests!$A$1,0,0,COUNTA([2]quests!$A:$A),MATCH(D$1,[2]quests!$1:$1,0)-MATCH($B$1,[2]quests!$1:$1,0)+1),MATCH(D$1,[2]quests!$1:$1,0)-MATCH($B$1,[2]quests!$1:$1,0)+1,FALSE)</f>
        <v>季節イベント</v>
      </c>
      <c r="E15" s="82">
        <v>2</v>
      </c>
      <c r="F15" s="81" t="str">
        <f ca="1">VLOOKUP($B15&amp;"_"&amp;$E15,OFFSET([2]stages!$A$1,0,0,COUNTA([2]stages!$A:$A),MATCH(F$1,[2]stages!$2:$2,0)-MATCH("temp_stage",[2]stages!$2:$2,0)+1),MATCH(F$1,[2]stages!$2:$2,0)-MATCH("temp_stage",[2]stages!$2:$2,0)+1,FALSE)</f>
        <v>【超級】嫁入り道具はチェーンソー</v>
      </c>
      <c r="G15" s="81" t="str">
        <f ca="1">VLOOKUP($B15&amp;"_"&amp;$E15,OFFSET([2]stages!$A$1,0,0,COUNTA([2]stages!$A:$A),MATCH(G$1,[2]stages!$2:$2,0)-MATCH("temp_stage",[2]stages!$2:$2,0)+1),MATCH(G$1,[2]stages!$2:$2,0)-MATCH("temp_stage",[2]stages!$2:$2,0)+1,FALSE)</f>
        <v>季節イベント</v>
      </c>
      <c r="H15" s="83">
        <v>0</v>
      </c>
      <c r="I15" s="88">
        <f>ROW()-1</f>
        <v>14</v>
      </c>
      <c r="J15" s="84" t="str">
        <f>B15&amp;TEXT(I15,"00")</f>
        <v>4701614</v>
      </c>
      <c r="K15" s="82" t="s">
        <v>127</v>
      </c>
      <c r="L15" s="85" t="s">
        <v>351</v>
      </c>
      <c r="M15" s="203" t="s">
        <v>492</v>
      </c>
      <c r="N15" s="57" t="s">
        <v>199</v>
      </c>
    </row>
    <row r="16" spans="1:14" ht="77" customHeight="1" x14ac:dyDescent="0.15">
      <c r="A16" s="79" t="s">
        <v>197</v>
      </c>
      <c r="B16" s="80">
        <f>floors!$C$2</f>
        <v>47016</v>
      </c>
      <c r="C16" s="81" t="str">
        <f ca="1">VLOOKUP($B16,OFFSET([2]quests!$A$1,0,0,COUNTA([2]quests!$A:$A),MATCH(C$1,[2]quests!$1:$1,0)-MATCH($B$1,[2]quests!$1:$1,0)+1),MATCH(C$1,[2]quests!$1:$1,0)-MATCH($B$1,[2]quests!$1:$1,0)+1,FALSE)</f>
        <v>嫁入り道具はチェーンソー</v>
      </c>
      <c r="D16" s="81" t="str">
        <f ca="1">VLOOKUP($B16,OFFSET([2]quests!$A$1,0,0,COUNTA([2]quests!$A:$A),MATCH(D$1,[2]quests!$1:$1,0)-MATCH($B$1,[2]quests!$1:$1,0)+1),MATCH(D$1,[2]quests!$1:$1,0)-MATCH($B$1,[2]quests!$1:$1,0)+1,FALSE)</f>
        <v>季節イベント</v>
      </c>
      <c r="E16" s="82">
        <v>2</v>
      </c>
      <c r="F16" s="81" t="str">
        <f ca="1">VLOOKUP($B16&amp;"_"&amp;$E16,OFFSET([2]stages!$A$1,0,0,COUNTA([2]stages!$A:$A),MATCH(F$1,[2]stages!$2:$2,0)-MATCH("temp_stage",[2]stages!$2:$2,0)+1),MATCH(F$1,[2]stages!$2:$2,0)-MATCH("temp_stage",[2]stages!$2:$2,0)+1,FALSE)</f>
        <v>【超級】嫁入り道具はチェーンソー</v>
      </c>
      <c r="G16" s="81" t="str">
        <f ca="1">VLOOKUP($B16&amp;"_"&amp;$E16,OFFSET([2]stages!$A$1,0,0,COUNTA([2]stages!$A:$A),MATCH(G$1,[2]stages!$2:$2,0)-MATCH("temp_stage",[2]stages!$2:$2,0)+1),MATCH(G$1,[2]stages!$2:$2,0)-MATCH("temp_stage",[2]stages!$2:$2,0)+1,FALSE)</f>
        <v>季節イベント</v>
      </c>
      <c r="H16" s="83">
        <v>1</v>
      </c>
      <c r="I16" s="88">
        <f t="shared" si="0"/>
        <v>15</v>
      </c>
      <c r="J16" s="84" t="str">
        <f t="shared" ref="J16:J24" si="3">B16&amp;TEXT(I16,"00")</f>
        <v>4701615</v>
      </c>
      <c r="K16" s="82" t="s">
        <v>127</v>
      </c>
      <c r="L16" s="85" t="s">
        <v>254</v>
      </c>
      <c r="M16" s="203" t="s">
        <v>357</v>
      </c>
      <c r="N16" s="57" t="s">
        <v>199</v>
      </c>
    </row>
    <row r="17" spans="1:14" ht="77" customHeight="1" x14ac:dyDescent="0.15">
      <c r="A17" s="79" t="s">
        <v>197</v>
      </c>
      <c r="B17" s="80">
        <f>floors!$C$2</f>
        <v>47016</v>
      </c>
      <c r="C17" s="81" t="str">
        <f ca="1">VLOOKUP($B17,OFFSET([2]quests!$A$1,0,0,COUNTA([2]quests!$A:$A),MATCH(C$1,[2]quests!$1:$1,0)-MATCH($B$1,[2]quests!$1:$1,0)+1),MATCH(C$1,[2]quests!$1:$1,0)-MATCH($B$1,[2]quests!$1:$1,0)+1,FALSE)</f>
        <v>嫁入り道具はチェーンソー</v>
      </c>
      <c r="D17" s="81" t="str">
        <f ca="1">VLOOKUP($B17,OFFSET([2]quests!$A$1,0,0,COUNTA([2]quests!$A:$A),MATCH(D$1,[2]quests!$1:$1,0)-MATCH($B$1,[2]quests!$1:$1,0)+1),MATCH(D$1,[2]quests!$1:$1,0)-MATCH($B$1,[2]quests!$1:$1,0)+1,FALSE)</f>
        <v>季節イベント</v>
      </c>
      <c r="E17" s="82">
        <v>2</v>
      </c>
      <c r="F17" s="81" t="str">
        <f ca="1">VLOOKUP($B17&amp;"_"&amp;$E17,OFFSET([2]stages!$A$1,0,0,COUNTA([2]stages!$A:$A),MATCH(F$1,[2]stages!$2:$2,0)-MATCH("temp_stage",[2]stages!$2:$2,0)+1),MATCH(F$1,[2]stages!$2:$2,0)-MATCH("temp_stage",[2]stages!$2:$2,0)+1,FALSE)</f>
        <v>【超級】嫁入り道具はチェーンソー</v>
      </c>
      <c r="G17" s="81" t="str">
        <f ca="1">VLOOKUP($B17&amp;"_"&amp;$E17,OFFSET([2]stages!$A$1,0,0,COUNTA([2]stages!$A:$A),MATCH(G$1,[2]stages!$2:$2,0)-MATCH("temp_stage",[2]stages!$2:$2,0)+1),MATCH(G$1,[2]stages!$2:$2,0)-MATCH("temp_stage",[2]stages!$2:$2,0)+1,FALSE)</f>
        <v>季節イベント</v>
      </c>
      <c r="H17" s="83">
        <v>2</v>
      </c>
      <c r="I17" s="88">
        <f t="shared" si="0"/>
        <v>16</v>
      </c>
      <c r="J17" s="84" t="str">
        <f t="shared" si="3"/>
        <v>4701616</v>
      </c>
      <c r="K17" s="82" t="s">
        <v>127</v>
      </c>
      <c r="L17" s="85" t="s">
        <v>254</v>
      </c>
      <c r="M17" s="203" t="s">
        <v>360</v>
      </c>
      <c r="N17" s="57" t="s">
        <v>199</v>
      </c>
    </row>
    <row r="18" spans="1:14" ht="77" customHeight="1" x14ac:dyDescent="0.15">
      <c r="A18" s="79" t="s">
        <v>197</v>
      </c>
      <c r="B18" s="80">
        <f>floors!$C$2</f>
        <v>47016</v>
      </c>
      <c r="C18" s="81" t="str">
        <f ca="1">VLOOKUP($B18,OFFSET([2]quests!$A$1,0,0,COUNTA([2]quests!$A:$A),MATCH(C$1,[2]quests!$1:$1,0)-MATCH($B$1,[2]quests!$1:$1,0)+1),MATCH(C$1,[2]quests!$1:$1,0)-MATCH($B$1,[2]quests!$1:$1,0)+1,FALSE)</f>
        <v>嫁入り道具はチェーンソー</v>
      </c>
      <c r="D18" s="81" t="str">
        <f ca="1">VLOOKUP($B18,OFFSET([2]quests!$A$1,0,0,COUNTA([2]quests!$A:$A),MATCH(D$1,[2]quests!$1:$1,0)-MATCH($B$1,[2]quests!$1:$1,0)+1),MATCH(D$1,[2]quests!$1:$1,0)-MATCH($B$1,[2]quests!$1:$1,0)+1,FALSE)</f>
        <v>季節イベント</v>
      </c>
      <c r="E18" s="82">
        <v>2</v>
      </c>
      <c r="F18" s="81" t="str">
        <f ca="1">VLOOKUP($B18&amp;"_"&amp;$E18,OFFSET([2]stages!$A$1,0,0,COUNTA([2]stages!$A:$A),MATCH(F$1,[2]stages!$2:$2,0)-MATCH("temp_stage",[2]stages!$2:$2,0)+1),MATCH(F$1,[2]stages!$2:$2,0)-MATCH("temp_stage",[2]stages!$2:$2,0)+1,FALSE)</f>
        <v>【超級】嫁入り道具はチェーンソー</v>
      </c>
      <c r="G18" s="81" t="str">
        <f ca="1">VLOOKUP($B18&amp;"_"&amp;$E18,OFFSET([2]stages!$A$1,0,0,COUNTA([2]stages!$A:$A),MATCH(G$1,[2]stages!$2:$2,0)-MATCH("temp_stage",[2]stages!$2:$2,0)+1),MATCH(G$1,[2]stages!$2:$2,0)-MATCH("temp_stage",[2]stages!$2:$2,0)+1,FALSE)</f>
        <v>季節イベント</v>
      </c>
      <c r="H18" s="83">
        <v>2</v>
      </c>
      <c r="I18" s="88">
        <f t="shared" si="0"/>
        <v>17</v>
      </c>
      <c r="J18" s="84" t="str">
        <f t="shared" si="3"/>
        <v>4701617</v>
      </c>
      <c r="K18" s="82" t="s">
        <v>127</v>
      </c>
      <c r="L18" s="85" t="s">
        <v>254</v>
      </c>
      <c r="M18" s="203" t="s">
        <v>358</v>
      </c>
      <c r="N18" s="57" t="s">
        <v>199</v>
      </c>
    </row>
    <row r="19" spans="1:14" ht="77" customHeight="1" x14ac:dyDescent="0.15">
      <c r="A19" s="79" t="s">
        <v>197</v>
      </c>
      <c r="B19" s="80">
        <f>floors!$C$2</f>
        <v>47016</v>
      </c>
      <c r="C19" s="81" t="str">
        <f ca="1">VLOOKUP($B19,OFFSET([2]quests!$A$1,0,0,COUNTA([2]quests!$A:$A),MATCH(C$1,[2]quests!$1:$1,0)-MATCH($B$1,[2]quests!$1:$1,0)+1),MATCH(C$1,[2]quests!$1:$1,0)-MATCH($B$1,[2]quests!$1:$1,0)+1,FALSE)</f>
        <v>嫁入り道具はチェーンソー</v>
      </c>
      <c r="D19" s="81" t="str">
        <f ca="1">VLOOKUP($B19,OFFSET([2]quests!$A$1,0,0,COUNTA([2]quests!$A:$A),MATCH(D$1,[2]quests!$1:$1,0)-MATCH($B$1,[2]quests!$1:$1,0)+1),MATCH(D$1,[2]quests!$1:$1,0)-MATCH($B$1,[2]quests!$1:$1,0)+1,FALSE)</f>
        <v>季節イベント</v>
      </c>
      <c r="E19" s="82">
        <v>2</v>
      </c>
      <c r="F19" s="81" t="str">
        <f ca="1">VLOOKUP($B19&amp;"_"&amp;$E19,OFFSET([2]stages!$A$1,0,0,COUNTA([2]stages!$A:$A),MATCH(F$1,[2]stages!$2:$2,0)-MATCH("temp_stage",[2]stages!$2:$2,0)+1),MATCH(F$1,[2]stages!$2:$2,0)-MATCH("temp_stage",[2]stages!$2:$2,0)+1,FALSE)</f>
        <v>【超級】嫁入り道具はチェーンソー</v>
      </c>
      <c r="G19" s="81" t="str">
        <f ca="1">VLOOKUP($B19&amp;"_"&amp;$E19,OFFSET([2]stages!$A$1,0,0,COUNTA([2]stages!$A:$A),MATCH(G$1,[2]stages!$2:$2,0)-MATCH("temp_stage",[2]stages!$2:$2,0)+1),MATCH(G$1,[2]stages!$2:$2,0)-MATCH("temp_stage",[2]stages!$2:$2,0)+1,FALSE)</f>
        <v>季節イベント</v>
      </c>
      <c r="H19" s="83">
        <v>3</v>
      </c>
      <c r="I19" s="88">
        <f t="shared" si="0"/>
        <v>18</v>
      </c>
      <c r="J19" s="84" t="str">
        <f t="shared" si="3"/>
        <v>4701618</v>
      </c>
      <c r="K19" s="82" t="s">
        <v>127</v>
      </c>
      <c r="L19" s="85" t="s">
        <v>254</v>
      </c>
      <c r="M19" s="203" t="s">
        <v>361</v>
      </c>
      <c r="N19" s="57" t="s">
        <v>199</v>
      </c>
    </row>
    <row r="20" spans="1:14" ht="77" customHeight="1" x14ac:dyDescent="0.15">
      <c r="A20" s="79" t="s">
        <v>197</v>
      </c>
      <c r="B20" s="80">
        <f>floors!$C$2</f>
        <v>47016</v>
      </c>
      <c r="C20" s="81" t="str">
        <f ca="1">VLOOKUP($B20,OFFSET([2]quests!$A$1,0,0,COUNTA([2]quests!$A:$A),MATCH(C$1,[2]quests!$1:$1,0)-MATCH($B$1,[2]quests!$1:$1,0)+1),MATCH(C$1,[2]quests!$1:$1,0)-MATCH($B$1,[2]quests!$1:$1,0)+1,FALSE)</f>
        <v>嫁入り道具はチェーンソー</v>
      </c>
      <c r="D20" s="81" t="str">
        <f ca="1">VLOOKUP($B20,OFFSET([2]quests!$A$1,0,0,COUNTA([2]quests!$A:$A),MATCH(D$1,[2]quests!$1:$1,0)-MATCH($B$1,[2]quests!$1:$1,0)+1),MATCH(D$1,[2]quests!$1:$1,0)-MATCH($B$1,[2]quests!$1:$1,0)+1,FALSE)</f>
        <v>季節イベント</v>
      </c>
      <c r="E20" s="82">
        <v>2</v>
      </c>
      <c r="F20" s="81" t="str">
        <f ca="1">VLOOKUP($B20&amp;"_"&amp;$E20,OFFSET([2]stages!$A$1,0,0,COUNTA([2]stages!$A:$A),MATCH(F$1,[2]stages!$2:$2,0)-MATCH("temp_stage",[2]stages!$2:$2,0)+1),MATCH(F$1,[2]stages!$2:$2,0)-MATCH("temp_stage",[2]stages!$2:$2,0)+1,FALSE)</f>
        <v>【超級】嫁入り道具はチェーンソー</v>
      </c>
      <c r="G20" s="81" t="str">
        <f ca="1">VLOOKUP($B20&amp;"_"&amp;$E20,OFFSET([2]stages!$A$1,0,0,COUNTA([2]stages!$A:$A),MATCH(G$1,[2]stages!$2:$2,0)-MATCH("temp_stage",[2]stages!$2:$2,0)+1),MATCH(G$1,[2]stages!$2:$2,0)-MATCH("temp_stage",[2]stages!$2:$2,0)+1,FALSE)</f>
        <v>季節イベント</v>
      </c>
      <c r="H20" s="83">
        <v>3</v>
      </c>
      <c r="I20" s="88">
        <f t="shared" si="0"/>
        <v>19</v>
      </c>
      <c r="J20" s="84" t="str">
        <f t="shared" si="3"/>
        <v>4701619</v>
      </c>
      <c r="K20" s="82" t="s">
        <v>127</v>
      </c>
      <c r="L20" s="85" t="s">
        <v>254</v>
      </c>
      <c r="M20" s="203" t="s">
        <v>362</v>
      </c>
      <c r="N20" s="57" t="s">
        <v>199</v>
      </c>
    </row>
    <row r="21" spans="1:14" ht="77" customHeight="1" thickBot="1" x14ac:dyDescent="0.2">
      <c r="A21" s="184" t="s">
        <v>197</v>
      </c>
      <c r="B21" s="185">
        <f>floors!$C$2</f>
        <v>47016</v>
      </c>
      <c r="C21" s="186" t="str">
        <f ca="1">VLOOKUP($B21,OFFSET([2]quests!$A$1,0,0,COUNTA([2]quests!$A:$A),MATCH(C$1,[2]quests!$1:$1,0)-MATCH($B$1,[2]quests!$1:$1,0)+1),MATCH(C$1,[2]quests!$1:$1,0)-MATCH($B$1,[2]quests!$1:$1,0)+1,FALSE)</f>
        <v>嫁入り道具はチェーンソー</v>
      </c>
      <c r="D21" s="186" t="str">
        <f ca="1">VLOOKUP($B21,OFFSET([2]quests!$A$1,0,0,COUNTA([2]quests!$A:$A),MATCH(D$1,[2]quests!$1:$1,0)-MATCH($B$1,[2]quests!$1:$1,0)+1),MATCH(D$1,[2]quests!$1:$1,0)-MATCH($B$1,[2]quests!$1:$1,0)+1,FALSE)</f>
        <v>季節イベント</v>
      </c>
      <c r="E21" s="187">
        <v>2</v>
      </c>
      <c r="F21" s="186" t="str">
        <f ca="1">VLOOKUP($B21&amp;"_"&amp;$E21,OFFSET([2]stages!$A$1,0,0,COUNTA([2]stages!$A:$A),MATCH(F$1,[2]stages!$2:$2,0)-MATCH("temp_stage",[2]stages!$2:$2,0)+1),MATCH(F$1,[2]stages!$2:$2,0)-MATCH("temp_stage",[2]stages!$2:$2,0)+1,FALSE)</f>
        <v>【超級】嫁入り道具はチェーンソー</v>
      </c>
      <c r="G21" s="186" t="str">
        <f ca="1">VLOOKUP($B21&amp;"_"&amp;$E21,OFFSET([2]stages!$A$1,0,0,COUNTA([2]stages!$A:$A),MATCH(G$1,[2]stages!$2:$2,0)-MATCH("temp_stage",[2]stages!$2:$2,0)+1),MATCH(G$1,[2]stages!$2:$2,0)-MATCH("temp_stage",[2]stages!$2:$2,0)+1,FALSE)</f>
        <v>季節イベント</v>
      </c>
      <c r="H21" s="188">
        <v>3</v>
      </c>
      <c r="I21" s="189">
        <f t="shared" si="0"/>
        <v>20</v>
      </c>
      <c r="J21" s="190" t="str">
        <f t="shared" si="3"/>
        <v>4701620</v>
      </c>
      <c r="K21" s="187" t="s">
        <v>127</v>
      </c>
      <c r="L21" s="191" t="s">
        <v>254</v>
      </c>
      <c r="M21" s="204" t="s">
        <v>359</v>
      </c>
      <c r="N21" s="192" t="s">
        <v>199</v>
      </c>
    </row>
    <row r="22" spans="1:14" ht="68" customHeight="1" thickTop="1" x14ac:dyDescent="0.15">
      <c r="A22" s="177" t="s">
        <v>200</v>
      </c>
      <c r="B22" s="178">
        <f>floors!$C$2</f>
        <v>47016</v>
      </c>
      <c r="C22" s="81" t="str">
        <f ca="1">VLOOKUP($B22,OFFSET([2]quests!$A$1,0,0,COUNTA([2]quests!$A:$A),MATCH(C$1,[2]quests!$1:$1,0)-MATCH($B$1,[2]quests!$1:$1,0)+1),MATCH(C$1,[2]quests!$1:$1,0)-MATCH($B$1,[2]quests!$1:$1,0)+1,FALSE)</f>
        <v>嫁入り道具はチェーンソー</v>
      </c>
      <c r="D22" s="81" t="str">
        <f ca="1">VLOOKUP($B22,OFFSET([2]quests!$A$1,0,0,COUNTA([2]quests!$A:$A),MATCH(D$1,[2]quests!$1:$1,0)-MATCH($B$1,[2]quests!$1:$1,0)+1),MATCH(D$1,[2]quests!$1:$1,0)-MATCH($B$1,[2]quests!$1:$1,0)+1,FALSE)</f>
        <v>季節イベント</v>
      </c>
      <c r="E22" s="179">
        <v>3</v>
      </c>
      <c r="F22" s="81" t="str">
        <f ca="1">VLOOKUP($B22&amp;"_"&amp;$E22,OFFSET([2]stages!$A$1,0,0,COUNTA([2]stages!$A:$A),MATCH(F$1,[2]stages!$2:$2,0)-MATCH("temp_stage",[2]stages!$2:$2,0)+1),MATCH(F$1,[2]stages!$2:$2,0)-MATCH("temp_stage",[2]stages!$2:$2,0)+1,FALSE)</f>
        <v>【ｳｨｻﾞ】嫁入り道具はチェーンソー</v>
      </c>
      <c r="G22" s="81" t="str">
        <f ca="1">VLOOKUP($B22&amp;"_"&amp;$E22,OFFSET([2]stages!$A$1,0,0,COUNTA([2]stages!$A:$A),MATCH(G$1,[2]stages!$2:$2,0)-MATCH("temp_stage",[2]stages!$2:$2,0)+1),MATCH(G$1,[2]stages!$2:$2,0)-MATCH("temp_stage",[2]stages!$2:$2,0)+1,FALSE)</f>
        <v>季節イベント</v>
      </c>
      <c r="H22" s="83">
        <v>0</v>
      </c>
      <c r="I22" s="180">
        <f t="shared" si="0"/>
        <v>21</v>
      </c>
      <c r="J22" s="181" t="str">
        <f t="shared" si="3"/>
        <v>4701621</v>
      </c>
      <c r="K22" s="179" t="s">
        <v>127</v>
      </c>
      <c r="L22" s="182" t="s">
        <v>354</v>
      </c>
      <c r="M22" s="203" t="s">
        <v>491</v>
      </c>
      <c r="N22" s="183" t="s">
        <v>199</v>
      </c>
    </row>
    <row r="23" spans="1:14" ht="68" customHeight="1" x14ac:dyDescent="0.15">
      <c r="A23" s="177" t="s">
        <v>200</v>
      </c>
      <c r="B23" s="80">
        <f>floors!$C$2</f>
        <v>47016</v>
      </c>
      <c r="C23" s="81" t="str">
        <f ca="1">VLOOKUP($B23,OFFSET([2]quests!$A$1,0,0,COUNTA([2]quests!$A:$A),MATCH(C$1,[2]quests!$1:$1,0)-MATCH($B$1,[2]quests!$1:$1,0)+1),MATCH(C$1,[2]quests!$1:$1,0)-MATCH($B$1,[2]quests!$1:$1,0)+1,FALSE)</f>
        <v>嫁入り道具はチェーンソー</v>
      </c>
      <c r="D23" s="81" t="str">
        <f ca="1">VLOOKUP($B23,OFFSET([2]quests!$A$1,0,0,COUNTA([2]quests!$A:$A),MATCH(D$1,[2]quests!$1:$1,0)-MATCH($B$1,[2]quests!$1:$1,0)+1),MATCH(D$1,[2]quests!$1:$1,0)-MATCH($B$1,[2]quests!$1:$1,0)+1,FALSE)</f>
        <v>季節イベント</v>
      </c>
      <c r="E23" s="82">
        <v>3</v>
      </c>
      <c r="F23" s="81" t="str">
        <f ca="1">VLOOKUP($B23&amp;"_"&amp;$E23,OFFSET([2]stages!$A$1,0,0,COUNTA([2]stages!$A:$A),MATCH(F$1,[2]stages!$2:$2,0)-MATCH("temp_stage",[2]stages!$2:$2,0)+1),MATCH(F$1,[2]stages!$2:$2,0)-MATCH("temp_stage",[2]stages!$2:$2,0)+1,FALSE)</f>
        <v>【ｳｨｻﾞ】嫁入り道具はチェーンソー</v>
      </c>
      <c r="G23" s="81" t="str">
        <f ca="1">VLOOKUP($B23&amp;"_"&amp;$E23,OFFSET([2]stages!$A$1,0,0,COUNTA([2]stages!$A:$A),MATCH(G$1,[2]stages!$2:$2,0)-MATCH("temp_stage",[2]stages!$2:$2,0)+1),MATCH(G$1,[2]stages!$2:$2,0)-MATCH("temp_stage",[2]stages!$2:$2,0)+1,FALSE)</f>
        <v>季節イベント</v>
      </c>
      <c r="H23" s="83">
        <v>0</v>
      </c>
      <c r="I23" s="88">
        <f t="shared" si="0"/>
        <v>22</v>
      </c>
      <c r="J23" s="84" t="str">
        <f t="shared" si="3"/>
        <v>4701622</v>
      </c>
      <c r="K23" s="82" t="s">
        <v>127</v>
      </c>
      <c r="L23" s="85" t="s">
        <v>353</v>
      </c>
      <c r="M23" s="203" t="s">
        <v>352</v>
      </c>
      <c r="N23" s="57" t="s">
        <v>199</v>
      </c>
    </row>
    <row r="24" spans="1:14" ht="68" customHeight="1" x14ac:dyDescent="0.15">
      <c r="A24" s="177" t="s">
        <v>200</v>
      </c>
      <c r="B24" s="80">
        <f>floors!$C$2</f>
        <v>47016</v>
      </c>
      <c r="C24" s="81" t="str">
        <f ca="1">VLOOKUP($B24,OFFSET([2]quests!$A$1,0,0,COUNTA([2]quests!$A:$A),MATCH(C$1,[2]quests!$1:$1,0)-MATCH($B$1,[2]quests!$1:$1,0)+1),MATCH(C$1,[2]quests!$1:$1,0)-MATCH($B$1,[2]quests!$1:$1,0)+1,FALSE)</f>
        <v>嫁入り道具はチェーンソー</v>
      </c>
      <c r="D24" s="81" t="str">
        <f ca="1">VLOOKUP($B24,OFFSET([2]quests!$A$1,0,0,COUNTA([2]quests!$A:$A),MATCH(D$1,[2]quests!$1:$1,0)-MATCH($B$1,[2]quests!$1:$1,0)+1),MATCH(D$1,[2]quests!$1:$1,0)-MATCH($B$1,[2]quests!$1:$1,0)+1,FALSE)</f>
        <v>季節イベント</v>
      </c>
      <c r="E24" s="82">
        <v>3</v>
      </c>
      <c r="F24" s="81" t="str">
        <f ca="1">VLOOKUP($B24&amp;"_"&amp;$E24,OFFSET([2]stages!$A$1,0,0,COUNTA([2]stages!$A:$A),MATCH(F$1,[2]stages!$2:$2,0)-MATCH("temp_stage",[2]stages!$2:$2,0)+1),MATCH(F$1,[2]stages!$2:$2,0)-MATCH("temp_stage",[2]stages!$2:$2,0)+1,FALSE)</f>
        <v>【ｳｨｻﾞ】嫁入り道具はチェーンソー</v>
      </c>
      <c r="G24" s="81" t="str">
        <f ca="1">VLOOKUP($B24&amp;"_"&amp;$E24,OFFSET([2]stages!$A$1,0,0,COUNTA([2]stages!$A:$A),MATCH(G$1,[2]stages!$2:$2,0)-MATCH("temp_stage",[2]stages!$2:$2,0)+1),MATCH(G$1,[2]stages!$2:$2,0)-MATCH("temp_stage",[2]stages!$2:$2,0)+1,FALSE)</f>
        <v>季節イベント</v>
      </c>
      <c r="H24" s="83">
        <v>0</v>
      </c>
      <c r="I24" s="88">
        <f t="shared" si="0"/>
        <v>23</v>
      </c>
      <c r="J24" s="84" t="str">
        <f t="shared" si="3"/>
        <v>4701623</v>
      </c>
      <c r="K24" s="82" t="s">
        <v>127</v>
      </c>
      <c r="L24" s="85" t="s">
        <v>356</v>
      </c>
      <c r="M24" s="203" t="s">
        <v>355</v>
      </c>
      <c r="N24" s="57" t="s">
        <v>199</v>
      </c>
    </row>
    <row r="25" spans="1:14" ht="68" customHeight="1" x14ac:dyDescent="0.15">
      <c r="A25" s="177" t="s">
        <v>200</v>
      </c>
      <c r="B25" s="80">
        <f>floors!$C$2</f>
        <v>47016</v>
      </c>
      <c r="C25" s="81" t="str">
        <f ca="1">VLOOKUP($B25,OFFSET([2]quests!$A$1,0,0,COUNTA([2]quests!$A:$A),MATCH(C$1,[2]quests!$1:$1,0)-MATCH($B$1,[2]quests!$1:$1,0)+1),MATCH(C$1,[2]quests!$1:$1,0)-MATCH($B$1,[2]quests!$1:$1,0)+1,FALSE)</f>
        <v>嫁入り道具はチェーンソー</v>
      </c>
      <c r="D25" s="81" t="str">
        <f ca="1">VLOOKUP($B25,OFFSET([2]quests!$A$1,0,0,COUNTA([2]quests!$A:$A),MATCH(D$1,[2]quests!$1:$1,0)-MATCH($B$1,[2]quests!$1:$1,0)+1),MATCH(D$1,[2]quests!$1:$1,0)-MATCH($B$1,[2]quests!$1:$1,0)+1,FALSE)</f>
        <v>季節イベント</v>
      </c>
      <c r="E25" s="82">
        <v>3</v>
      </c>
      <c r="F25" s="81" t="str">
        <f ca="1">VLOOKUP($B25&amp;"_"&amp;$E25,OFFSET([2]stages!$A$1,0,0,COUNTA([2]stages!$A:$A),MATCH(F$1,[2]stages!$2:$2,0)-MATCH("temp_stage",[2]stages!$2:$2,0)+1),MATCH(F$1,[2]stages!$2:$2,0)-MATCH("temp_stage",[2]stages!$2:$2,0)+1,FALSE)</f>
        <v>【ｳｨｻﾞ】嫁入り道具はチェーンソー</v>
      </c>
      <c r="G25" s="81" t="str">
        <f ca="1">VLOOKUP($B25&amp;"_"&amp;$E25,OFFSET([2]stages!$A$1,0,0,COUNTA([2]stages!$A:$A),MATCH(G$1,[2]stages!$2:$2,0)-MATCH("temp_stage",[2]stages!$2:$2,0)+1),MATCH(G$1,[2]stages!$2:$2,0)-MATCH("temp_stage",[2]stages!$2:$2,0)+1,FALSE)</f>
        <v>季節イベント</v>
      </c>
      <c r="H25" s="83">
        <v>0</v>
      </c>
      <c r="I25" s="88">
        <f>ROW()-1</f>
        <v>24</v>
      </c>
      <c r="J25" s="84" t="str">
        <f>B25&amp;TEXT(I25,"00")</f>
        <v>4701624</v>
      </c>
      <c r="K25" s="82" t="s">
        <v>127</v>
      </c>
      <c r="L25" s="85" t="s">
        <v>351</v>
      </c>
      <c r="M25" s="203" t="s">
        <v>492</v>
      </c>
      <c r="N25" s="57" t="s">
        <v>199</v>
      </c>
    </row>
    <row r="26" spans="1:14" ht="77" customHeight="1" x14ac:dyDescent="0.15">
      <c r="A26" s="79" t="s">
        <v>197</v>
      </c>
      <c r="B26" s="80">
        <f>floors!$C$2</f>
        <v>47016</v>
      </c>
      <c r="C26" s="81" t="str">
        <f ca="1">VLOOKUP($B26,OFFSET([2]quests!$A$1,0,0,COUNTA([2]quests!$A:$A),MATCH(C$1,[2]quests!$1:$1,0)-MATCH($B$1,[2]quests!$1:$1,0)+1),MATCH(C$1,[2]quests!$1:$1,0)-MATCH($B$1,[2]quests!$1:$1,0)+1,FALSE)</f>
        <v>嫁入り道具はチェーンソー</v>
      </c>
      <c r="D26" s="81" t="str">
        <f ca="1">VLOOKUP($B26,OFFSET([2]quests!$A$1,0,0,COUNTA([2]quests!$A:$A),MATCH(D$1,[2]quests!$1:$1,0)-MATCH($B$1,[2]quests!$1:$1,0)+1),MATCH(D$1,[2]quests!$1:$1,0)-MATCH($B$1,[2]quests!$1:$1,0)+1,FALSE)</f>
        <v>季節イベント</v>
      </c>
      <c r="E26" s="82">
        <v>3</v>
      </c>
      <c r="F26" s="81" t="str">
        <f ca="1">VLOOKUP($B26&amp;"_"&amp;$E26,OFFSET([2]stages!$A$1,0,0,COUNTA([2]stages!$A:$A),MATCH(F$1,[2]stages!$2:$2,0)-MATCH("temp_stage",[2]stages!$2:$2,0)+1),MATCH(F$1,[2]stages!$2:$2,0)-MATCH("temp_stage",[2]stages!$2:$2,0)+1,FALSE)</f>
        <v>【ｳｨｻﾞ】嫁入り道具はチェーンソー</v>
      </c>
      <c r="G26" s="81" t="str">
        <f ca="1">VLOOKUP($B26&amp;"_"&amp;$E26,OFFSET([2]stages!$A$1,0,0,COUNTA([2]stages!$A:$A),MATCH(G$1,[2]stages!$2:$2,0)-MATCH("temp_stage",[2]stages!$2:$2,0)+1),MATCH(G$1,[2]stages!$2:$2,0)-MATCH("temp_stage",[2]stages!$2:$2,0)+1,FALSE)</f>
        <v>季節イベント</v>
      </c>
      <c r="H26" s="83">
        <v>1</v>
      </c>
      <c r="I26" s="88">
        <f t="shared" si="0"/>
        <v>25</v>
      </c>
      <c r="J26" s="84" t="str">
        <f t="shared" ref="J26:J31" si="4">B26&amp;TEXT(I26,"00")</f>
        <v>4701625</v>
      </c>
      <c r="K26" s="82" t="s">
        <v>127</v>
      </c>
      <c r="L26" s="85" t="s">
        <v>254</v>
      </c>
      <c r="M26" s="203" t="s">
        <v>357</v>
      </c>
      <c r="N26" s="57" t="s">
        <v>199</v>
      </c>
    </row>
    <row r="27" spans="1:14" ht="77" customHeight="1" x14ac:dyDescent="0.15">
      <c r="A27" s="79" t="s">
        <v>197</v>
      </c>
      <c r="B27" s="80">
        <f>floors!$C$2</f>
        <v>47016</v>
      </c>
      <c r="C27" s="81" t="str">
        <f ca="1">VLOOKUP($B27,OFFSET([2]quests!$A$1,0,0,COUNTA([2]quests!$A:$A),MATCH(C$1,[2]quests!$1:$1,0)-MATCH($B$1,[2]quests!$1:$1,0)+1),MATCH(C$1,[2]quests!$1:$1,0)-MATCH($B$1,[2]quests!$1:$1,0)+1,FALSE)</f>
        <v>嫁入り道具はチェーンソー</v>
      </c>
      <c r="D27" s="81" t="str">
        <f ca="1">VLOOKUP($B27,OFFSET([2]quests!$A$1,0,0,COUNTA([2]quests!$A:$A),MATCH(D$1,[2]quests!$1:$1,0)-MATCH($B$1,[2]quests!$1:$1,0)+1),MATCH(D$1,[2]quests!$1:$1,0)-MATCH($B$1,[2]quests!$1:$1,0)+1,FALSE)</f>
        <v>季節イベント</v>
      </c>
      <c r="E27" s="82">
        <v>3</v>
      </c>
      <c r="F27" s="81" t="str">
        <f ca="1">VLOOKUP($B27&amp;"_"&amp;$E27,OFFSET([2]stages!$A$1,0,0,COUNTA([2]stages!$A:$A),MATCH(F$1,[2]stages!$2:$2,0)-MATCH("temp_stage",[2]stages!$2:$2,0)+1),MATCH(F$1,[2]stages!$2:$2,0)-MATCH("temp_stage",[2]stages!$2:$2,0)+1,FALSE)</f>
        <v>【ｳｨｻﾞ】嫁入り道具はチェーンソー</v>
      </c>
      <c r="G27" s="81" t="str">
        <f ca="1">VLOOKUP($B27&amp;"_"&amp;$E27,OFFSET([2]stages!$A$1,0,0,COUNTA([2]stages!$A:$A),MATCH(G$1,[2]stages!$2:$2,0)-MATCH("temp_stage",[2]stages!$2:$2,0)+1),MATCH(G$1,[2]stages!$2:$2,0)-MATCH("temp_stage",[2]stages!$2:$2,0)+1,FALSE)</f>
        <v>季節イベント</v>
      </c>
      <c r="H27" s="83">
        <v>2</v>
      </c>
      <c r="I27" s="88">
        <f t="shared" si="0"/>
        <v>26</v>
      </c>
      <c r="J27" s="84" t="str">
        <f t="shared" si="4"/>
        <v>4701626</v>
      </c>
      <c r="K27" s="82" t="s">
        <v>127</v>
      </c>
      <c r="L27" s="85" t="s">
        <v>254</v>
      </c>
      <c r="M27" s="203" t="s">
        <v>360</v>
      </c>
      <c r="N27" s="57" t="s">
        <v>199</v>
      </c>
    </row>
    <row r="28" spans="1:14" ht="77" customHeight="1" x14ac:dyDescent="0.15">
      <c r="A28" s="79" t="s">
        <v>197</v>
      </c>
      <c r="B28" s="80">
        <f>floors!$C$2</f>
        <v>47016</v>
      </c>
      <c r="C28" s="81" t="str">
        <f ca="1">VLOOKUP($B28,OFFSET([2]quests!$A$1,0,0,COUNTA([2]quests!$A:$A),MATCH(C$1,[2]quests!$1:$1,0)-MATCH($B$1,[2]quests!$1:$1,0)+1),MATCH(C$1,[2]quests!$1:$1,0)-MATCH($B$1,[2]quests!$1:$1,0)+1,FALSE)</f>
        <v>嫁入り道具はチェーンソー</v>
      </c>
      <c r="D28" s="81" t="str">
        <f ca="1">VLOOKUP($B28,OFFSET([2]quests!$A$1,0,0,COUNTA([2]quests!$A:$A),MATCH(D$1,[2]quests!$1:$1,0)-MATCH($B$1,[2]quests!$1:$1,0)+1),MATCH(D$1,[2]quests!$1:$1,0)-MATCH($B$1,[2]quests!$1:$1,0)+1,FALSE)</f>
        <v>季節イベント</v>
      </c>
      <c r="E28" s="82">
        <v>3</v>
      </c>
      <c r="F28" s="81" t="str">
        <f ca="1">VLOOKUP($B28&amp;"_"&amp;$E28,OFFSET([2]stages!$A$1,0,0,COUNTA([2]stages!$A:$A),MATCH(F$1,[2]stages!$2:$2,0)-MATCH("temp_stage",[2]stages!$2:$2,0)+1),MATCH(F$1,[2]stages!$2:$2,0)-MATCH("temp_stage",[2]stages!$2:$2,0)+1,FALSE)</f>
        <v>【ｳｨｻﾞ】嫁入り道具はチェーンソー</v>
      </c>
      <c r="G28" s="81" t="str">
        <f ca="1">VLOOKUP($B28&amp;"_"&amp;$E28,OFFSET([2]stages!$A$1,0,0,COUNTA([2]stages!$A:$A),MATCH(G$1,[2]stages!$2:$2,0)-MATCH("temp_stage",[2]stages!$2:$2,0)+1),MATCH(G$1,[2]stages!$2:$2,0)-MATCH("temp_stage",[2]stages!$2:$2,0)+1,FALSE)</f>
        <v>季節イベント</v>
      </c>
      <c r="H28" s="83">
        <v>2</v>
      </c>
      <c r="I28" s="88">
        <f t="shared" si="0"/>
        <v>27</v>
      </c>
      <c r="J28" s="84" t="str">
        <f t="shared" si="4"/>
        <v>4701627</v>
      </c>
      <c r="K28" s="82" t="s">
        <v>127</v>
      </c>
      <c r="L28" s="85" t="s">
        <v>254</v>
      </c>
      <c r="M28" s="203" t="s">
        <v>358</v>
      </c>
      <c r="N28" s="57" t="s">
        <v>199</v>
      </c>
    </row>
    <row r="29" spans="1:14" ht="77" customHeight="1" x14ac:dyDescent="0.15">
      <c r="A29" s="79" t="s">
        <v>197</v>
      </c>
      <c r="B29" s="80">
        <f>floors!$C$2</f>
        <v>47016</v>
      </c>
      <c r="C29" s="81" t="str">
        <f ca="1">VLOOKUP($B29,OFFSET([2]quests!$A$1,0,0,COUNTA([2]quests!$A:$A),MATCH(C$1,[2]quests!$1:$1,0)-MATCH($B$1,[2]quests!$1:$1,0)+1),MATCH(C$1,[2]quests!$1:$1,0)-MATCH($B$1,[2]quests!$1:$1,0)+1,FALSE)</f>
        <v>嫁入り道具はチェーンソー</v>
      </c>
      <c r="D29" s="81" t="str">
        <f ca="1">VLOOKUP($B29,OFFSET([2]quests!$A$1,0,0,COUNTA([2]quests!$A:$A),MATCH(D$1,[2]quests!$1:$1,0)-MATCH($B$1,[2]quests!$1:$1,0)+1),MATCH(D$1,[2]quests!$1:$1,0)-MATCH($B$1,[2]quests!$1:$1,0)+1,FALSE)</f>
        <v>季節イベント</v>
      </c>
      <c r="E29" s="82">
        <v>3</v>
      </c>
      <c r="F29" s="81" t="str">
        <f ca="1">VLOOKUP($B29&amp;"_"&amp;$E29,OFFSET([2]stages!$A$1,0,0,COUNTA([2]stages!$A:$A),MATCH(F$1,[2]stages!$2:$2,0)-MATCH("temp_stage",[2]stages!$2:$2,0)+1),MATCH(F$1,[2]stages!$2:$2,0)-MATCH("temp_stage",[2]stages!$2:$2,0)+1,FALSE)</f>
        <v>【ｳｨｻﾞ】嫁入り道具はチェーンソー</v>
      </c>
      <c r="G29" s="81" t="str">
        <f ca="1">VLOOKUP($B29&amp;"_"&amp;$E29,OFFSET([2]stages!$A$1,0,0,COUNTA([2]stages!$A:$A),MATCH(G$1,[2]stages!$2:$2,0)-MATCH("temp_stage",[2]stages!$2:$2,0)+1),MATCH(G$1,[2]stages!$2:$2,0)-MATCH("temp_stage",[2]stages!$2:$2,0)+1,FALSE)</f>
        <v>季節イベント</v>
      </c>
      <c r="H29" s="83">
        <v>3</v>
      </c>
      <c r="I29" s="88">
        <f t="shared" si="0"/>
        <v>28</v>
      </c>
      <c r="J29" s="84" t="str">
        <f t="shared" si="4"/>
        <v>4701628</v>
      </c>
      <c r="K29" s="82" t="s">
        <v>127</v>
      </c>
      <c r="L29" s="85" t="s">
        <v>254</v>
      </c>
      <c r="M29" s="203" t="s">
        <v>361</v>
      </c>
      <c r="N29" s="57" t="s">
        <v>199</v>
      </c>
    </row>
    <row r="30" spans="1:14" ht="77" customHeight="1" x14ac:dyDescent="0.15">
      <c r="A30" s="79" t="s">
        <v>197</v>
      </c>
      <c r="B30" s="80">
        <f>floors!$C$2</f>
        <v>47016</v>
      </c>
      <c r="C30" s="81" t="str">
        <f ca="1">VLOOKUP($B30,OFFSET([2]quests!$A$1,0,0,COUNTA([2]quests!$A:$A),MATCH(C$1,[2]quests!$1:$1,0)-MATCH($B$1,[2]quests!$1:$1,0)+1),MATCH(C$1,[2]quests!$1:$1,0)-MATCH($B$1,[2]quests!$1:$1,0)+1,FALSE)</f>
        <v>嫁入り道具はチェーンソー</v>
      </c>
      <c r="D30" s="81" t="str">
        <f ca="1">VLOOKUP($B30,OFFSET([2]quests!$A$1,0,0,COUNTA([2]quests!$A:$A),MATCH(D$1,[2]quests!$1:$1,0)-MATCH($B$1,[2]quests!$1:$1,0)+1),MATCH(D$1,[2]quests!$1:$1,0)-MATCH($B$1,[2]quests!$1:$1,0)+1,FALSE)</f>
        <v>季節イベント</v>
      </c>
      <c r="E30" s="82">
        <v>3</v>
      </c>
      <c r="F30" s="81" t="str">
        <f ca="1">VLOOKUP($B30&amp;"_"&amp;$E30,OFFSET([2]stages!$A$1,0,0,COUNTA([2]stages!$A:$A),MATCH(F$1,[2]stages!$2:$2,0)-MATCH("temp_stage",[2]stages!$2:$2,0)+1),MATCH(F$1,[2]stages!$2:$2,0)-MATCH("temp_stage",[2]stages!$2:$2,0)+1,FALSE)</f>
        <v>【ｳｨｻﾞ】嫁入り道具はチェーンソー</v>
      </c>
      <c r="G30" s="81" t="str">
        <f ca="1">VLOOKUP($B30&amp;"_"&amp;$E30,OFFSET([2]stages!$A$1,0,0,COUNTA([2]stages!$A:$A),MATCH(G$1,[2]stages!$2:$2,0)-MATCH("temp_stage",[2]stages!$2:$2,0)+1),MATCH(G$1,[2]stages!$2:$2,0)-MATCH("temp_stage",[2]stages!$2:$2,0)+1,FALSE)</f>
        <v>季節イベント</v>
      </c>
      <c r="H30" s="83">
        <v>3</v>
      </c>
      <c r="I30" s="88">
        <f t="shared" si="0"/>
        <v>29</v>
      </c>
      <c r="J30" s="84" t="str">
        <f t="shared" si="4"/>
        <v>4701629</v>
      </c>
      <c r="K30" s="82" t="s">
        <v>127</v>
      </c>
      <c r="L30" s="85" t="s">
        <v>254</v>
      </c>
      <c r="M30" s="203" t="s">
        <v>362</v>
      </c>
      <c r="N30" s="57" t="s">
        <v>199</v>
      </c>
    </row>
    <row r="31" spans="1:14" ht="77" customHeight="1" thickBot="1" x14ac:dyDescent="0.2">
      <c r="A31" s="79" t="s">
        <v>197</v>
      </c>
      <c r="B31" s="80">
        <f>floors!$C$2</f>
        <v>47016</v>
      </c>
      <c r="C31" s="193" t="str">
        <f ca="1">VLOOKUP($B31,OFFSET([2]quests!$A$1,0,0,COUNTA([2]quests!$A:$A),MATCH(C$1,[2]quests!$1:$1,0)-MATCH($B$1,[2]quests!$1:$1,0)+1),MATCH(C$1,[2]quests!$1:$1,0)-MATCH($B$1,[2]quests!$1:$1,0)+1,FALSE)</f>
        <v>嫁入り道具はチェーンソー</v>
      </c>
      <c r="D31" s="193" t="str">
        <f ca="1">VLOOKUP($B31,OFFSET([2]quests!$A$1,0,0,COUNTA([2]quests!$A:$A),MATCH(D$1,[2]quests!$1:$1,0)-MATCH($B$1,[2]quests!$1:$1,0)+1),MATCH(D$1,[2]quests!$1:$1,0)-MATCH($B$1,[2]quests!$1:$1,0)+1,FALSE)</f>
        <v>季節イベント</v>
      </c>
      <c r="E31" s="82">
        <v>3</v>
      </c>
      <c r="F31" s="193" t="str">
        <f ca="1">VLOOKUP($B31&amp;"_"&amp;$E31,OFFSET([2]stages!$A$1,0,0,COUNTA([2]stages!$A:$A),MATCH(F$1,[2]stages!$2:$2,0)-MATCH("temp_stage",[2]stages!$2:$2,0)+1),MATCH(F$1,[2]stages!$2:$2,0)-MATCH("temp_stage",[2]stages!$2:$2,0)+1,FALSE)</f>
        <v>【ｳｨｻﾞ】嫁入り道具はチェーンソー</v>
      </c>
      <c r="G31" s="193" t="str">
        <f ca="1">VLOOKUP($B31&amp;"_"&amp;$E31,OFFSET([2]stages!$A$1,0,0,COUNTA([2]stages!$A:$A),MATCH(G$1,[2]stages!$2:$2,0)-MATCH("temp_stage",[2]stages!$2:$2,0)+1),MATCH(G$1,[2]stages!$2:$2,0)-MATCH("temp_stage",[2]stages!$2:$2,0)+1,FALSE)</f>
        <v>季節イベント</v>
      </c>
      <c r="H31" s="194">
        <v>3</v>
      </c>
      <c r="I31" s="88">
        <f t="shared" si="0"/>
        <v>30</v>
      </c>
      <c r="J31" s="84" t="str">
        <f t="shared" si="4"/>
        <v>4701630</v>
      </c>
      <c r="K31" s="82" t="s">
        <v>127</v>
      </c>
      <c r="L31" s="85" t="s">
        <v>254</v>
      </c>
      <c r="M31" s="204" t="s">
        <v>359</v>
      </c>
      <c r="N31" s="57" t="s">
        <v>199</v>
      </c>
    </row>
    <row r="32" spans="1:14" ht="16" thickTop="1" x14ac:dyDescent="0.15"/>
  </sheetData>
  <phoneticPr fontId="5"/>
  <dataValidations count="1">
    <dataValidation type="list" allowBlank="1" showInputMessage="1" showErrorMessage="1" sqref="A2:A31">
      <formula1>"complete,failure"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 enableFormatConditionsCalculation="0">
    <tabColor rgb="FF0000FF"/>
    <outlinePr summaryBelow="0" summaryRight="0"/>
  </sheetPr>
  <dimension ref="A1:X5"/>
  <sheetViews>
    <sheetView showGridLines="0" workbookViewId="0">
      <pane ySplit="1" topLeftCell="A2" activePane="bottomLeft" state="frozen"/>
      <selection pane="bottomLeft" activeCell="T21" sqref="T21"/>
    </sheetView>
  </sheetViews>
  <sheetFormatPr baseColWidth="12" defaultColWidth="13" defaultRowHeight="15" outlineLevelCol="1" x14ac:dyDescent="0.15"/>
  <cols>
    <col min="1" max="1" width="12" customWidth="1"/>
    <col min="2" max="2" width="7" bestFit="1" customWidth="1" collapsed="1"/>
    <col min="3" max="3" width="17" hidden="1" customWidth="1" outlineLevel="1"/>
    <col min="4" max="4" width="18.83203125" hidden="1" customWidth="1" outlineLevel="1"/>
    <col min="5" max="5" width="6.83203125" bestFit="1" customWidth="1" collapsed="1"/>
    <col min="6" max="6" width="22.5" hidden="1" customWidth="1" outlineLevel="1"/>
    <col min="7" max="7" width="22" hidden="1" customWidth="1" outlineLevel="1"/>
    <col min="8" max="8" width="9.83203125" bestFit="1" customWidth="1"/>
    <col min="9" max="9" width="12" bestFit="1" customWidth="1"/>
    <col min="10" max="10" width="7.1640625" bestFit="1" customWidth="1"/>
    <col min="11" max="11" width="6.5" bestFit="1" customWidth="1"/>
    <col min="12" max="12" width="9" bestFit="1" customWidth="1"/>
    <col min="13" max="13" width="9.6640625" bestFit="1" customWidth="1" collapsed="1"/>
    <col min="14" max="14" width="12" hidden="1" customWidth="1" outlineLevel="1"/>
    <col min="15" max="15" width="10" bestFit="1" customWidth="1"/>
    <col min="16" max="16" width="4.5" bestFit="1" customWidth="1"/>
    <col min="17" max="17" width="7.6640625" bestFit="1" customWidth="1"/>
    <col min="18" max="18" width="6.33203125" bestFit="1" customWidth="1"/>
    <col min="19" max="19" width="9" bestFit="1" customWidth="1"/>
    <col min="20" max="20" width="10.1640625" bestFit="1" customWidth="1"/>
    <col min="21" max="21" width="7.5" bestFit="1" customWidth="1"/>
    <col min="22" max="22" width="3.83203125" bestFit="1" customWidth="1"/>
    <col min="23" max="23" width="15" bestFit="1" customWidth="1"/>
    <col min="24" max="24" width="16.83203125" bestFit="1" customWidth="1"/>
  </cols>
  <sheetData>
    <row r="1" spans="1:24" x14ac:dyDescent="0.15">
      <c r="A1" s="92" t="s">
        <v>212</v>
      </c>
      <c r="B1" s="93" t="s">
        <v>213</v>
      </c>
      <c r="C1" s="75" t="s">
        <v>214</v>
      </c>
      <c r="D1" s="75" t="s">
        <v>33</v>
      </c>
      <c r="E1" s="93" t="s">
        <v>215</v>
      </c>
      <c r="F1" s="75" t="s">
        <v>216</v>
      </c>
      <c r="G1" s="75" t="s">
        <v>33</v>
      </c>
      <c r="H1" s="93" t="s">
        <v>217</v>
      </c>
      <c r="I1" s="93" t="s">
        <v>218</v>
      </c>
      <c r="J1" s="93" t="s">
        <v>219</v>
      </c>
      <c r="K1" s="71" t="s">
        <v>220</v>
      </c>
      <c r="L1" s="71" t="s">
        <v>221</v>
      </c>
      <c r="M1" s="71" t="s">
        <v>156</v>
      </c>
      <c r="N1" s="75" t="s">
        <v>16</v>
      </c>
      <c r="O1" s="71" t="s">
        <v>222</v>
      </c>
      <c r="P1" s="71" t="s">
        <v>57</v>
      </c>
      <c r="Q1" s="71" t="s">
        <v>223</v>
      </c>
      <c r="R1" s="71" t="s">
        <v>38</v>
      </c>
      <c r="S1" s="71" t="s">
        <v>40</v>
      </c>
      <c r="T1" s="71" t="s">
        <v>42</v>
      </c>
      <c r="U1" s="71" t="s">
        <v>44</v>
      </c>
      <c r="V1" s="71" t="s">
        <v>46</v>
      </c>
      <c r="W1" s="71" t="s">
        <v>224</v>
      </c>
      <c r="X1" s="71" t="s">
        <v>225</v>
      </c>
    </row>
    <row r="2" spans="1:24" x14ac:dyDescent="0.15">
      <c r="A2" s="94" t="str">
        <f>B2&amp;"_"&amp;E2&amp;"_"&amp;H2&amp;"_"&amp;I2&amp;"_"&amp;J2</f>
        <v>47016_1_everyone_full_member_1</v>
      </c>
      <c r="B2" s="7">
        <v>47016</v>
      </c>
      <c r="C2" s="81" t="str">
        <f ca="1">VLOOKUP($B2,OFFSET([2]quests!$A$1,0,0,COUNTA([2]quests!$A:$A),MATCH(C$1,[2]quests!$1:$1,0)-MATCH($B$1,[2]quests!$1:$1,0)+1),MATCH(C$1,[2]quests!$1:$1,0)-MATCH($B$1,[2]quests!$1:$1,0)+1,FALSE)</f>
        <v>嫁入り道具はチェーンソー</v>
      </c>
      <c r="D2" s="81" t="str">
        <f ca="1">VLOOKUP($B2,OFFSET([2]quests!$A$1,0,0,COUNTA([2]quests!$A:$A),MATCH(D$1,[2]quests!$1:$1,0)-MATCH($B$1,[2]quests!$1:$1,0)+1),MATCH(D$1,[2]quests!$1:$1,0)-MATCH($B$1,[2]quests!$1:$1,0)+1,FALSE)</f>
        <v>季節イベント</v>
      </c>
      <c r="E2" s="82">
        <v>1</v>
      </c>
      <c r="F2" s="81" t="str">
        <f ca="1">VLOOKUP($B2&amp;"_"&amp;$E2,OFFSET([2]stages!$A$1,0,0,COUNTA([2]stages!$A:$A),MATCH(F$1,[2]stages!$2:$2,0)-MATCH("temp_stage",[2]stages!$2:$2,0)+1),MATCH(F$1,[2]stages!$2:$2,0)-MATCH("temp_stage",[2]stages!$2:$2,0)+1,FALSE)</f>
        <v>【上級】嫁入り道具はチェーンソー</v>
      </c>
      <c r="G2" s="81" t="str">
        <f ca="1">VLOOKUP($B2&amp;"_"&amp;$E2,OFFSET([2]stages!$A$1,0,0,COUNTA([2]stages!$A:$A),MATCH(G$1,[2]stages!$2:$2,0)-MATCH("temp_stage",[2]stages!$2:$2,0)+1),MATCH(G$1,[2]stages!$2:$2,0)-MATCH("temp_stage",[2]stages!$2:$2,0)+1,FALSE)</f>
        <v>季節イベント</v>
      </c>
      <c r="H2" s="83" t="s">
        <v>226</v>
      </c>
      <c r="I2" s="82" t="s">
        <v>508</v>
      </c>
      <c r="J2" s="82">
        <v>1</v>
      </c>
      <c r="K2" s="82">
        <v>1000</v>
      </c>
      <c r="L2" s="82" t="s">
        <v>227</v>
      </c>
      <c r="M2" s="205">
        <v>1697</v>
      </c>
      <c r="N2" s="95" t="str">
        <f ca="1">IF(L2="unit",VLOOKUP($M2,OFFSET([4]characters!$A$1,0,0,COUNTA([4]characters!$A:$A),MATCH(N$1,[4]characters!$1:$1,0)-MATCH("character_id",[4]characters!$1:$1,0)+1),MATCH(N$1,[4]characters!$1:$1,0)-MATCH("character_id",[4]characters!$1:$1,0)+1,FALSE),"")</f>
        <v>駆動する機会 ガーネット</v>
      </c>
      <c r="O2" s="82">
        <v>1</v>
      </c>
      <c r="P2" s="82">
        <v>1</v>
      </c>
      <c r="Q2" s="82">
        <v>1</v>
      </c>
      <c r="R2" s="82">
        <v>0</v>
      </c>
      <c r="S2" s="82">
        <v>0</v>
      </c>
      <c r="T2" s="82">
        <v>0</v>
      </c>
      <c r="U2" s="82">
        <v>0</v>
      </c>
      <c r="V2" s="82">
        <v>1</v>
      </c>
      <c r="W2" s="96" t="s">
        <v>228</v>
      </c>
      <c r="X2" s="97" t="s">
        <v>229</v>
      </c>
    </row>
    <row r="3" spans="1:24" x14ac:dyDescent="0.15">
      <c r="A3" s="94" t="str">
        <f>B3&amp;"_"&amp;E3&amp;"_"&amp;H3&amp;"_"&amp;I3&amp;"_"&amp;J3</f>
        <v>47016_2_everyone_full_member_1</v>
      </c>
      <c r="B3" s="7">
        <v>47016</v>
      </c>
      <c r="C3" s="81" t="str">
        <f ca="1">VLOOKUP($B3,OFFSET([2]quests!$A$1,0,0,COUNTA([2]quests!$A:$A),MATCH(C$1,[2]quests!$1:$1,0)-MATCH($B$1,[2]quests!$1:$1,0)+1),MATCH(C$1,[2]quests!$1:$1,0)-MATCH($B$1,[2]quests!$1:$1,0)+1,FALSE)</f>
        <v>嫁入り道具はチェーンソー</v>
      </c>
      <c r="D3" s="81" t="str">
        <f ca="1">VLOOKUP($B3,OFFSET([2]quests!$A$1,0,0,COUNTA([2]quests!$A:$A),MATCH(D$1,[2]quests!$1:$1,0)-MATCH($B$1,[2]quests!$1:$1,0)+1),MATCH(D$1,[2]quests!$1:$1,0)-MATCH($B$1,[2]quests!$1:$1,0)+1,FALSE)</f>
        <v>季節イベント</v>
      </c>
      <c r="E3" s="82">
        <v>2</v>
      </c>
      <c r="F3" s="81" t="str">
        <f ca="1">VLOOKUP($B3&amp;"_"&amp;$E3,OFFSET([2]stages!$A$1,0,0,COUNTA([2]stages!$A:$A),MATCH(F$1,[2]stages!$2:$2,0)-MATCH("temp_stage",[2]stages!$2:$2,0)+1),MATCH(F$1,[2]stages!$2:$2,0)-MATCH("temp_stage",[2]stages!$2:$2,0)+1,FALSE)</f>
        <v>【超級】嫁入り道具はチェーンソー</v>
      </c>
      <c r="G3" s="81" t="str">
        <f ca="1">VLOOKUP($B3&amp;"_"&amp;$E3,OFFSET([2]stages!$A$1,0,0,COUNTA([2]stages!$A:$A),MATCH(G$1,[2]stages!$2:$2,0)-MATCH("temp_stage",[2]stages!$2:$2,0)+1),MATCH(G$1,[2]stages!$2:$2,0)-MATCH("temp_stage",[2]stages!$2:$2,0)+1,FALSE)</f>
        <v>季節イベント</v>
      </c>
      <c r="H3" s="83" t="s">
        <v>226</v>
      </c>
      <c r="I3" s="82" t="s">
        <v>508</v>
      </c>
      <c r="J3" s="82">
        <v>1</v>
      </c>
      <c r="K3" s="82">
        <v>1000</v>
      </c>
      <c r="L3" s="82" t="s">
        <v>227</v>
      </c>
      <c r="M3" s="205">
        <v>1697</v>
      </c>
      <c r="N3" s="95" t="str">
        <f ca="1">IF(L3="unit",VLOOKUP($M3,OFFSET([4]characters!$A$1,0,0,COUNTA([4]characters!$A:$A),MATCH(N$1,[4]characters!$1:$1,0)-MATCH("character_id",[4]characters!$1:$1,0)+1),MATCH(N$1,[4]characters!$1:$1,0)-MATCH("character_id",[4]characters!$1:$1,0)+1,FALSE),"")</f>
        <v>駆動する機会 ガーネット</v>
      </c>
      <c r="O3" s="82">
        <v>1</v>
      </c>
      <c r="P3" s="82">
        <v>1</v>
      </c>
      <c r="Q3" s="82">
        <v>1</v>
      </c>
      <c r="R3" s="82">
        <v>0</v>
      </c>
      <c r="S3" s="82">
        <v>0</v>
      </c>
      <c r="T3" s="82">
        <v>0</v>
      </c>
      <c r="U3" s="82">
        <v>0</v>
      </c>
      <c r="V3" s="82">
        <v>1</v>
      </c>
      <c r="W3" s="96" t="s">
        <v>228</v>
      </c>
      <c r="X3" s="97" t="s">
        <v>229</v>
      </c>
    </row>
    <row r="4" spans="1:24" x14ac:dyDescent="0.15">
      <c r="A4" s="94" t="str">
        <f>B4&amp;"_"&amp;E4&amp;"_"&amp;H4&amp;"_"&amp;I4&amp;"_"&amp;J4</f>
        <v>47016_3_everyone_full_member_1</v>
      </c>
      <c r="B4" s="7">
        <v>47016</v>
      </c>
      <c r="C4" s="81" t="str">
        <f ca="1">VLOOKUP($B4,OFFSET([2]quests!$A$1,0,0,COUNTA([2]quests!$A:$A),MATCH(C$1,[2]quests!$1:$1,0)-MATCH($B$1,[2]quests!$1:$1,0)+1),MATCH(C$1,[2]quests!$1:$1,0)-MATCH($B$1,[2]quests!$1:$1,0)+1,FALSE)</f>
        <v>嫁入り道具はチェーンソー</v>
      </c>
      <c r="D4" s="81" t="str">
        <f ca="1">VLOOKUP($B4,OFFSET([2]quests!$A$1,0,0,COUNTA([2]quests!$A:$A),MATCH(D$1,[2]quests!$1:$1,0)-MATCH($B$1,[2]quests!$1:$1,0)+1),MATCH(D$1,[2]quests!$1:$1,0)-MATCH($B$1,[2]quests!$1:$1,0)+1,FALSE)</f>
        <v>季節イベント</v>
      </c>
      <c r="E4" s="82">
        <v>3</v>
      </c>
      <c r="F4" s="81" t="str">
        <f ca="1">VLOOKUP($B4&amp;"_"&amp;$E4,OFFSET([2]stages!$A$1,0,0,COUNTA([2]stages!$A:$A),MATCH(F$1,[2]stages!$2:$2,0)-MATCH("temp_stage",[2]stages!$2:$2,0)+1),MATCH(F$1,[2]stages!$2:$2,0)-MATCH("temp_stage",[2]stages!$2:$2,0)+1,FALSE)</f>
        <v>【ｳｨｻﾞ】嫁入り道具はチェーンソー</v>
      </c>
      <c r="G4" s="81" t="str">
        <f ca="1">VLOOKUP($B4&amp;"_"&amp;$E4,OFFSET([2]stages!$A$1,0,0,COUNTA([2]stages!$A:$A),MATCH(G$1,[2]stages!$2:$2,0)-MATCH("temp_stage",[2]stages!$2:$2,0)+1),MATCH(G$1,[2]stages!$2:$2,0)-MATCH("temp_stage",[2]stages!$2:$2,0)+1,FALSE)</f>
        <v>季節イベント</v>
      </c>
      <c r="H4" s="83" t="s">
        <v>226</v>
      </c>
      <c r="I4" s="82" t="s">
        <v>508</v>
      </c>
      <c r="J4" s="82">
        <v>1</v>
      </c>
      <c r="K4" s="82">
        <v>1000</v>
      </c>
      <c r="L4" s="82" t="s">
        <v>227</v>
      </c>
      <c r="M4" s="205">
        <v>1697</v>
      </c>
      <c r="N4" s="95" t="str">
        <f ca="1">IF(L4="unit",VLOOKUP($M4,OFFSET([4]characters!$A$1,0,0,COUNTA([4]characters!$A:$A),MATCH(N$1,[4]characters!$1:$1,0)-MATCH("character_id",[4]characters!$1:$1,0)+1),MATCH(N$1,[4]characters!$1:$1,0)-MATCH("character_id",[4]characters!$1:$1,0)+1,FALSE),"")</f>
        <v>駆動する機会 ガーネット</v>
      </c>
      <c r="O4" s="82">
        <v>1</v>
      </c>
      <c r="P4" s="82">
        <v>1</v>
      </c>
      <c r="Q4" s="82">
        <v>1</v>
      </c>
      <c r="R4" s="82">
        <v>0</v>
      </c>
      <c r="S4" s="82">
        <v>0</v>
      </c>
      <c r="T4" s="82">
        <v>0</v>
      </c>
      <c r="U4" s="82">
        <v>0</v>
      </c>
      <c r="V4" s="82">
        <v>1</v>
      </c>
      <c r="W4" s="96" t="s">
        <v>228</v>
      </c>
      <c r="X4" s="97" t="s">
        <v>229</v>
      </c>
    </row>
    <row r="5" spans="1:24" x14ac:dyDescent="0.15">
      <c r="A5" s="94" t="str">
        <f>B5&amp;"_"&amp;E5&amp;"_"&amp;H5&amp;"_"&amp;I5&amp;"_"&amp;J5</f>
        <v>47016_3_everyone_no_continue_1</v>
      </c>
      <c r="B5" s="7">
        <v>47016</v>
      </c>
      <c r="C5" s="81" t="str">
        <f ca="1">VLOOKUP($B5,OFFSET([2]quests!$A$1,0,0,COUNTA([2]quests!$A:$A),MATCH(C$1,[2]quests!$1:$1,0)-MATCH($B$1,[2]quests!$1:$1,0)+1),MATCH(C$1,[2]quests!$1:$1,0)-MATCH($B$1,[2]quests!$1:$1,0)+1,FALSE)</f>
        <v>嫁入り道具はチェーンソー</v>
      </c>
      <c r="D5" s="81" t="str">
        <f ca="1">VLOOKUP($B5,OFFSET([2]quests!$A$1,0,0,COUNTA([2]quests!$A:$A),MATCH(D$1,[2]quests!$1:$1,0)-MATCH($B$1,[2]quests!$1:$1,0)+1),MATCH(D$1,[2]quests!$1:$1,0)-MATCH($B$1,[2]quests!$1:$1,0)+1,FALSE)</f>
        <v>季節イベント</v>
      </c>
      <c r="E5" s="82">
        <v>3</v>
      </c>
      <c r="F5" s="81" t="str">
        <f ca="1">VLOOKUP($B5&amp;"_"&amp;$E5,OFFSET([2]stages!$A$1,0,0,COUNTA([2]stages!$A:$A),MATCH(F$1,[2]stages!$2:$2,0)-MATCH("temp_stage",[2]stages!$2:$2,0)+1),MATCH(F$1,[2]stages!$2:$2,0)-MATCH("temp_stage",[2]stages!$2:$2,0)+1,FALSE)</f>
        <v>【ｳｨｻﾞ】嫁入り道具はチェーンソー</v>
      </c>
      <c r="G5" s="81" t="str">
        <f ca="1">VLOOKUP($B5&amp;"_"&amp;$E5,OFFSET([2]stages!$A$1,0,0,COUNTA([2]stages!$A:$A),MATCH(G$1,[2]stages!$2:$2,0)-MATCH("temp_stage",[2]stages!$2:$2,0)+1),MATCH(G$1,[2]stages!$2:$2,0)-MATCH("temp_stage",[2]stages!$2:$2,0)+1,FALSE)</f>
        <v>季節イベント</v>
      </c>
      <c r="H5" s="83" t="s">
        <v>226</v>
      </c>
      <c r="I5" s="82" t="s">
        <v>230</v>
      </c>
      <c r="J5" s="82">
        <v>1</v>
      </c>
      <c r="K5" s="82">
        <v>1000</v>
      </c>
      <c r="L5" s="82" t="s">
        <v>227</v>
      </c>
      <c r="M5" s="205">
        <v>1697</v>
      </c>
      <c r="N5" s="95" t="str">
        <f ca="1">IF(L5="unit",VLOOKUP($M5,OFFSET([4]characters!$A$1,0,0,COUNTA([4]characters!$A:$A),MATCH(N$1,[4]characters!$1:$1,0)-MATCH("character_id",[4]characters!$1:$1,0)+1),MATCH(N$1,[4]characters!$1:$1,0)-MATCH("character_id",[4]characters!$1:$1,0)+1,FALSE),"")</f>
        <v>駆動する機会 ガーネット</v>
      </c>
      <c r="O5" s="82">
        <v>1</v>
      </c>
      <c r="P5" s="82">
        <v>1</v>
      </c>
      <c r="Q5" s="82">
        <v>1</v>
      </c>
      <c r="R5" s="82">
        <v>0</v>
      </c>
      <c r="S5" s="82">
        <v>0</v>
      </c>
      <c r="T5" s="82">
        <v>0</v>
      </c>
      <c r="U5" s="82">
        <v>0</v>
      </c>
      <c r="V5" s="82">
        <v>1</v>
      </c>
      <c r="W5" s="96" t="s">
        <v>228</v>
      </c>
      <c r="X5" s="97" t="s">
        <v>229</v>
      </c>
    </row>
  </sheetData>
  <phoneticPr fontId="5"/>
  <pageMargins left="0.7" right="0.7" top="0.75" bottom="0.75" header="0.3" footer="0.3"/>
  <pageSetup paperSize="9" orientation="portrait" horizontalDpi="4294967292" verticalDpi="429496729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 enableFormatConditionsCalculation="0">
    <tabColor rgb="FF0000FF"/>
  </sheetPr>
  <dimension ref="A1:R25"/>
  <sheetViews>
    <sheetView workbookViewId="0">
      <selection activeCell="D28" sqref="D28"/>
    </sheetView>
  </sheetViews>
  <sheetFormatPr baseColWidth="12" defaultRowHeight="15" x14ac:dyDescent="0.15"/>
  <cols>
    <col min="17" max="18" width="19" bestFit="1" customWidth="1"/>
  </cols>
  <sheetData>
    <row r="1" spans="1:18" x14ac:dyDescent="0.15">
      <c r="A1" s="63" t="s">
        <v>150</v>
      </c>
      <c r="B1" s="63" t="s">
        <v>151</v>
      </c>
      <c r="C1" s="64" t="s">
        <v>152</v>
      </c>
      <c r="D1" s="70" t="s">
        <v>153</v>
      </c>
      <c r="E1" s="65" t="s">
        <v>154</v>
      </c>
      <c r="F1" s="210" t="s">
        <v>155</v>
      </c>
      <c r="G1" s="63" t="s">
        <v>156</v>
      </c>
      <c r="H1" s="63" t="s">
        <v>157</v>
      </c>
      <c r="I1" s="63" t="s">
        <v>158</v>
      </c>
      <c r="J1" s="63" t="s">
        <v>159</v>
      </c>
      <c r="K1" s="63" t="s">
        <v>160</v>
      </c>
      <c r="L1" s="63" t="s">
        <v>161</v>
      </c>
      <c r="M1" s="63" t="s">
        <v>162</v>
      </c>
      <c r="N1" s="63" t="s">
        <v>163</v>
      </c>
      <c r="O1" s="63" t="s">
        <v>164</v>
      </c>
      <c r="P1" s="63" t="s">
        <v>165</v>
      </c>
      <c r="Q1" s="63" t="s">
        <v>166</v>
      </c>
      <c r="R1" s="63" t="s">
        <v>167</v>
      </c>
    </row>
    <row r="2" spans="1:18" x14ac:dyDescent="0.15">
      <c r="A2" s="22">
        <v>47016</v>
      </c>
      <c r="B2" s="57">
        <v>3</v>
      </c>
      <c r="C2" s="69" t="str">
        <f t="shared" ref="C2:C8" si="0">A2&amp; "_"&amp;B2</f>
        <v>47016_3</v>
      </c>
      <c r="D2" s="18" t="str">
        <f ca="1">VLOOKUP($C2,OFFSET([2]stages!$A$1,0,0,COUNTA([2]stages!$A:$A),MATCH(D$1,[2]stages!$2:$2,0)-MATCH($C$1,[2]stages!$2:$2,0)+1),MATCH(D$1,[2]stages!$2:$2,0)-MATCH($C$1,[2]stages!$2:$2,0)+1,FALSE)</f>
        <v>everyone</v>
      </c>
      <c r="E2" s="207">
        <v>1</v>
      </c>
      <c r="F2" s="57" t="s">
        <v>509</v>
      </c>
      <c r="G2" s="209">
        <v>1697</v>
      </c>
      <c r="H2" s="57">
        <v>1</v>
      </c>
      <c r="I2" s="57">
        <v>1</v>
      </c>
      <c r="J2" s="57">
        <v>1</v>
      </c>
      <c r="K2" s="57">
        <v>0</v>
      </c>
      <c r="L2" s="57">
        <v>0</v>
      </c>
      <c r="M2" s="57">
        <v>0</v>
      </c>
      <c r="N2" s="57">
        <v>0</v>
      </c>
      <c r="O2" s="57">
        <v>1</v>
      </c>
      <c r="P2" s="57">
        <v>301</v>
      </c>
      <c r="Q2" s="57" t="s">
        <v>169</v>
      </c>
      <c r="R2" s="57" t="s">
        <v>170</v>
      </c>
    </row>
    <row r="3" spans="1:18" x14ac:dyDescent="0.15">
      <c r="A3" s="22">
        <v>47016</v>
      </c>
      <c r="B3" s="57">
        <v>3</v>
      </c>
      <c r="C3" s="69" t="str">
        <f t="shared" si="0"/>
        <v>47016_3</v>
      </c>
      <c r="D3" s="18" t="str">
        <f ca="1">VLOOKUP($C3,OFFSET([2]stages!$A$1,0,0,COUNTA([2]stages!$A:$A),MATCH(D$1,[2]stages!$2:$2,0)-MATCH($C$1,[2]stages!$2:$2,0)+1),MATCH(D$1,[2]stages!$2:$2,0)-MATCH($C$1,[2]stages!$2:$2,0)+1,FALSE)</f>
        <v>everyone</v>
      </c>
      <c r="E3" s="207">
        <v>2</v>
      </c>
      <c r="F3" s="57" t="s">
        <v>509</v>
      </c>
      <c r="G3" s="209">
        <v>607</v>
      </c>
      <c r="H3" s="57">
        <v>1</v>
      </c>
      <c r="I3" s="57">
        <v>1</v>
      </c>
      <c r="J3" s="57">
        <v>1</v>
      </c>
      <c r="K3" s="57">
        <v>0</v>
      </c>
      <c r="L3" s="57">
        <v>0</v>
      </c>
      <c r="M3" s="57">
        <v>0</v>
      </c>
      <c r="N3" s="57">
        <v>0</v>
      </c>
      <c r="O3" s="57">
        <v>1</v>
      </c>
      <c r="P3" s="57">
        <v>33</v>
      </c>
      <c r="Q3" s="57" t="s">
        <v>169</v>
      </c>
      <c r="R3" s="57" t="s">
        <v>170</v>
      </c>
    </row>
    <row r="4" spans="1:18" x14ac:dyDescent="0.15">
      <c r="A4" s="22">
        <v>47016</v>
      </c>
      <c r="B4" s="57">
        <v>3</v>
      </c>
      <c r="C4" s="69" t="str">
        <f t="shared" si="0"/>
        <v>47016_3</v>
      </c>
      <c r="D4" s="18" t="str">
        <f ca="1">VLOOKUP($C4,OFFSET([2]stages!$A$1,0,0,COUNTA([2]stages!$A:$A),MATCH(D$1,[2]stages!$2:$2,0)-MATCH($C$1,[2]stages!$2:$2,0)+1),MATCH(D$1,[2]stages!$2:$2,0)-MATCH($C$1,[2]stages!$2:$2,0)+1,FALSE)</f>
        <v>everyone</v>
      </c>
      <c r="E4" s="207">
        <v>3</v>
      </c>
      <c r="F4" s="57" t="s">
        <v>509</v>
      </c>
      <c r="G4" s="209">
        <v>608</v>
      </c>
      <c r="H4" s="57">
        <v>1</v>
      </c>
      <c r="I4" s="57">
        <v>1</v>
      </c>
      <c r="J4" s="57">
        <v>1</v>
      </c>
      <c r="K4" s="57">
        <v>0</v>
      </c>
      <c r="L4" s="57">
        <v>0</v>
      </c>
      <c r="M4" s="57">
        <v>0</v>
      </c>
      <c r="N4" s="57">
        <v>0</v>
      </c>
      <c r="O4" s="57">
        <v>1</v>
      </c>
      <c r="P4" s="57">
        <v>33</v>
      </c>
      <c r="Q4" s="57" t="s">
        <v>169</v>
      </c>
      <c r="R4" s="57" t="s">
        <v>170</v>
      </c>
    </row>
    <row r="5" spans="1:18" x14ac:dyDescent="0.15">
      <c r="A5" s="22">
        <v>47016</v>
      </c>
      <c r="B5" s="57">
        <v>3</v>
      </c>
      <c r="C5" s="69" t="str">
        <f t="shared" si="0"/>
        <v>47016_3</v>
      </c>
      <c r="D5" s="18" t="str">
        <f ca="1">VLOOKUP($C5,OFFSET([2]stages!$A$1,0,0,COUNTA([2]stages!$A:$A),MATCH(D$1,[2]stages!$2:$2,0)-MATCH($C$1,[2]stages!$2:$2,0)+1),MATCH(D$1,[2]stages!$2:$2,0)-MATCH($C$1,[2]stages!$2:$2,0)+1,FALSE)</f>
        <v>everyone</v>
      </c>
      <c r="E5" s="207">
        <v>4</v>
      </c>
      <c r="F5" s="57" t="s">
        <v>509</v>
      </c>
      <c r="G5" s="209">
        <v>609</v>
      </c>
      <c r="H5" s="57">
        <v>1</v>
      </c>
      <c r="I5" s="57">
        <v>1</v>
      </c>
      <c r="J5" s="57">
        <v>1</v>
      </c>
      <c r="K5" s="57">
        <v>0</v>
      </c>
      <c r="L5" s="57">
        <v>0</v>
      </c>
      <c r="M5" s="57">
        <v>0</v>
      </c>
      <c r="N5" s="57">
        <v>0</v>
      </c>
      <c r="O5" s="57">
        <v>1</v>
      </c>
      <c r="P5" s="57">
        <v>33</v>
      </c>
      <c r="Q5" s="57" t="s">
        <v>169</v>
      </c>
      <c r="R5" s="57" t="s">
        <v>170</v>
      </c>
    </row>
    <row r="6" spans="1:18" x14ac:dyDescent="0.15">
      <c r="A6" s="22">
        <v>47016</v>
      </c>
      <c r="B6" s="57">
        <v>3</v>
      </c>
      <c r="C6" s="69" t="str">
        <f>A6&amp; "_"&amp;B6</f>
        <v>47016_3</v>
      </c>
      <c r="D6" s="18" t="str">
        <f ca="1">VLOOKUP($C6,OFFSET([2]stages!$A$1,0,0,COUNTA([2]stages!$A:$A),MATCH(D$1,[2]stages!$2:$2,0)-MATCH($C$1,[2]stages!$2:$2,0)+1),MATCH(D$1,[2]stages!$2:$2,0)-MATCH($C$1,[2]stages!$2:$2,0)+1,FALSE)</f>
        <v>everyone</v>
      </c>
      <c r="E6" s="207">
        <v>5</v>
      </c>
      <c r="F6" s="211" t="s">
        <v>510</v>
      </c>
      <c r="G6" s="212">
        <v>706</v>
      </c>
      <c r="H6" s="211">
        <v>1</v>
      </c>
      <c r="I6" s="57">
        <v>1</v>
      </c>
      <c r="J6" s="57">
        <v>1</v>
      </c>
      <c r="K6" s="57">
        <v>0</v>
      </c>
      <c r="L6" s="57">
        <v>0</v>
      </c>
      <c r="M6" s="57">
        <v>0</v>
      </c>
      <c r="N6" s="57">
        <v>0</v>
      </c>
      <c r="O6" s="57">
        <v>1</v>
      </c>
      <c r="P6" s="57">
        <v>100</v>
      </c>
      <c r="Q6" s="57" t="s">
        <v>169</v>
      </c>
      <c r="R6" s="57" t="s">
        <v>170</v>
      </c>
    </row>
    <row r="7" spans="1:18" x14ac:dyDescent="0.15">
      <c r="A7" s="22">
        <v>47016</v>
      </c>
      <c r="B7" s="57">
        <v>3</v>
      </c>
      <c r="C7" s="69" t="str">
        <f>A7&amp; "_"&amp;B7</f>
        <v>47016_3</v>
      </c>
      <c r="D7" s="18" t="str">
        <f ca="1">VLOOKUP($C7,OFFSET([2]stages!$A$1,0,0,COUNTA([2]stages!$A:$A),MATCH(D$1,[2]stages!$2:$2,0)-MATCH($C$1,[2]stages!$2:$2,0)+1),MATCH(D$1,[2]stages!$2:$2,0)-MATCH($C$1,[2]stages!$2:$2,0)+1,FALSE)</f>
        <v>everyone</v>
      </c>
      <c r="E7" s="207">
        <v>6</v>
      </c>
      <c r="F7" s="211" t="s">
        <v>510</v>
      </c>
      <c r="G7" s="212">
        <v>706</v>
      </c>
      <c r="H7" s="211">
        <v>2</v>
      </c>
      <c r="I7" s="57">
        <v>1</v>
      </c>
      <c r="J7" s="57">
        <v>1</v>
      </c>
      <c r="K7" s="57">
        <v>0</v>
      </c>
      <c r="L7" s="57">
        <v>0</v>
      </c>
      <c r="M7" s="57">
        <v>0</v>
      </c>
      <c r="N7" s="57">
        <v>0</v>
      </c>
      <c r="O7" s="57">
        <v>1</v>
      </c>
      <c r="P7" s="57">
        <v>200</v>
      </c>
      <c r="Q7" s="57" t="s">
        <v>169</v>
      </c>
      <c r="R7" s="57" t="s">
        <v>170</v>
      </c>
    </row>
    <row r="8" spans="1:18" ht="16" thickBot="1" x14ac:dyDescent="0.2">
      <c r="A8" s="22">
        <v>47016</v>
      </c>
      <c r="B8" s="192">
        <v>3</v>
      </c>
      <c r="C8" s="206" t="str">
        <f t="shared" si="0"/>
        <v>47016_3</v>
      </c>
      <c r="D8" s="197" t="str">
        <f ca="1">VLOOKUP($C8,OFFSET([2]stages!$A$1,0,0,COUNTA([2]stages!$A:$A),MATCH(D$1,[2]stages!$2:$2,0)-MATCH($C$1,[2]stages!$2:$2,0)+1),MATCH(D$1,[2]stages!$2:$2,0)-MATCH($C$1,[2]stages!$2:$2,0)+1,FALSE)</f>
        <v>everyone</v>
      </c>
      <c r="E8" s="192">
        <v>7</v>
      </c>
      <c r="F8" s="213" t="s">
        <v>510</v>
      </c>
      <c r="G8" s="214">
        <v>706</v>
      </c>
      <c r="H8" s="213">
        <v>3</v>
      </c>
      <c r="I8" s="192">
        <v>1</v>
      </c>
      <c r="J8" s="192">
        <v>1</v>
      </c>
      <c r="K8" s="192">
        <v>0</v>
      </c>
      <c r="L8" s="192">
        <v>0</v>
      </c>
      <c r="M8" s="192">
        <v>0</v>
      </c>
      <c r="N8" s="192">
        <v>0</v>
      </c>
      <c r="O8" s="192">
        <v>1</v>
      </c>
      <c r="P8" s="192">
        <v>300</v>
      </c>
      <c r="Q8" s="192" t="s">
        <v>169</v>
      </c>
      <c r="R8" s="192" t="s">
        <v>170</v>
      </c>
    </row>
    <row r="9" spans="1:18" ht="16" thickTop="1" x14ac:dyDescent="0.15">
      <c r="A9" s="22">
        <v>47016</v>
      </c>
      <c r="B9" s="57">
        <v>2</v>
      </c>
      <c r="C9" s="69" t="str">
        <f t="shared" ref="C9:C12" si="1">A9&amp; "_"&amp;B9</f>
        <v>47016_2</v>
      </c>
      <c r="D9" s="18" t="str">
        <f ca="1">VLOOKUP($C9,OFFSET([2]stages!$A$1,0,0,COUNTA([2]stages!$A:$A),MATCH(D$1,[2]stages!$2:$2,0)-MATCH($C$1,[2]stages!$2:$2,0)+1),MATCH(D$1,[2]stages!$2:$2,0)-MATCH($C$1,[2]stages!$2:$2,0)+1,FALSE)</f>
        <v>everyone</v>
      </c>
      <c r="E9" s="208">
        <v>8</v>
      </c>
      <c r="F9" s="57" t="s">
        <v>509</v>
      </c>
      <c r="G9" s="209">
        <v>1697</v>
      </c>
      <c r="H9" s="57">
        <v>1</v>
      </c>
      <c r="I9" s="57">
        <v>1</v>
      </c>
      <c r="J9" s="57">
        <v>1</v>
      </c>
      <c r="K9" s="57">
        <v>0</v>
      </c>
      <c r="L9" s="57">
        <v>0</v>
      </c>
      <c r="M9" s="57">
        <v>0</v>
      </c>
      <c r="N9" s="57">
        <v>0</v>
      </c>
      <c r="O9" s="57">
        <v>1</v>
      </c>
      <c r="P9" s="57">
        <v>251</v>
      </c>
      <c r="Q9" s="57" t="s">
        <v>169</v>
      </c>
      <c r="R9" s="57" t="s">
        <v>170</v>
      </c>
    </row>
    <row r="10" spans="1:18" x14ac:dyDescent="0.15">
      <c r="A10" s="22">
        <v>47016</v>
      </c>
      <c r="B10" s="57">
        <v>2</v>
      </c>
      <c r="C10" s="69" t="str">
        <f t="shared" si="1"/>
        <v>47016_2</v>
      </c>
      <c r="D10" s="18" t="str">
        <f ca="1">VLOOKUP($C10,OFFSET([2]stages!$A$1,0,0,COUNTA([2]stages!$A:$A),MATCH(D$1,[2]stages!$2:$2,0)-MATCH($C$1,[2]stages!$2:$2,0)+1),MATCH(D$1,[2]stages!$2:$2,0)-MATCH($C$1,[2]stages!$2:$2,0)+1,FALSE)</f>
        <v>everyone</v>
      </c>
      <c r="E10" s="207">
        <v>9</v>
      </c>
      <c r="F10" s="57" t="s">
        <v>509</v>
      </c>
      <c r="G10" s="209">
        <v>121</v>
      </c>
      <c r="H10" s="57">
        <v>1</v>
      </c>
      <c r="I10" s="57">
        <v>1</v>
      </c>
      <c r="J10" s="57">
        <v>1</v>
      </c>
      <c r="K10" s="57">
        <v>0</v>
      </c>
      <c r="L10" s="57">
        <v>0</v>
      </c>
      <c r="M10" s="57">
        <v>0</v>
      </c>
      <c r="N10" s="57">
        <v>0</v>
      </c>
      <c r="O10" s="57">
        <v>1</v>
      </c>
      <c r="P10" s="57">
        <v>93</v>
      </c>
      <c r="Q10" s="57" t="s">
        <v>169</v>
      </c>
      <c r="R10" s="57" t="s">
        <v>170</v>
      </c>
    </row>
    <row r="11" spans="1:18" x14ac:dyDescent="0.15">
      <c r="A11" s="22">
        <v>47016</v>
      </c>
      <c r="B11" s="57">
        <v>2</v>
      </c>
      <c r="C11" s="69" t="str">
        <f t="shared" si="1"/>
        <v>47016_2</v>
      </c>
      <c r="D11" s="18" t="str">
        <f ca="1">VLOOKUP($C11,OFFSET([2]stages!$A$1,0,0,COUNTA([2]stages!$A:$A),MATCH(D$1,[2]stages!$2:$2,0)-MATCH($C$1,[2]stages!$2:$2,0)+1),MATCH(D$1,[2]stages!$2:$2,0)-MATCH($C$1,[2]stages!$2:$2,0)+1,FALSE)</f>
        <v>everyone</v>
      </c>
      <c r="E11" s="207">
        <v>10</v>
      </c>
      <c r="F11" s="57" t="s">
        <v>509</v>
      </c>
      <c r="G11" s="209">
        <v>122</v>
      </c>
      <c r="H11" s="57">
        <v>1</v>
      </c>
      <c r="I11" s="57">
        <v>1</v>
      </c>
      <c r="J11" s="57">
        <v>1</v>
      </c>
      <c r="K11" s="57">
        <v>0</v>
      </c>
      <c r="L11" s="57">
        <v>0</v>
      </c>
      <c r="M11" s="57">
        <v>0</v>
      </c>
      <c r="N11" s="57">
        <v>0</v>
      </c>
      <c r="O11" s="57">
        <v>1</v>
      </c>
      <c r="P11" s="57">
        <v>93</v>
      </c>
      <c r="Q11" s="57" t="s">
        <v>169</v>
      </c>
      <c r="R11" s="57" t="s">
        <v>170</v>
      </c>
    </row>
    <row r="12" spans="1:18" x14ac:dyDescent="0.15">
      <c r="A12" s="22">
        <v>47016</v>
      </c>
      <c r="B12" s="57">
        <v>2</v>
      </c>
      <c r="C12" s="69" t="str">
        <f t="shared" si="1"/>
        <v>47016_2</v>
      </c>
      <c r="D12" s="18" t="str">
        <f ca="1">VLOOKUP($C12,OFFSET([2]stages!$A$1,0,0,COUNTA([2]stages!$A:$A),MATCH(D$1,[2]stages!$2:$2,0)-MATCH($C$1,[2]stages!$2:$2,0)+1),MATCH(D$1,[2]stages!$2:$2,0)-MATCH($C$1,[2]stages!$2:$2,0)+1,FALSE)</f>
        <v>everyone</v>
      </c>
      <c r="E12" s="207">
        <v>11</v>
      </c>
      <c r="F12" s="57" t="s">
        <v>509</v>
      </c>
      <c r="G12" s="209">
        <v>123</v>
      </c>
      <c r="H12" s="57">
        <v>1</v>
      </c>
      <c r="I12" s="57">
        <v>1</v>
      </c>
      <c r="J12" s="57">
        <v>1</v>
      </c>
      <c r="K12" s="57">
        <v>0</v>
      </c>
      <c r="L12" s="57">
        <v>0</v>
      </c>
      <c r="M12" s="57">
        <v>0</v>
      </c>
      <c r="N12" s="57">
        <v>0</v>
      </c>
      <c r="O12" s="57">
        <v>1</v>
      </c>
      <c r="P12" s="57">
        <v>93</v>
      </c>
      <c r="Q12" s="57" t="s">
        <v>169</v>
      </c>
      <c r="R12" s="57" t="s">
        <v>170</v>
      </c>
    </row>
    <row r="13" spans="1:18" x14ac:dyDescent="0.15">
      <c r="A13" s="22">
        <v>47016</v>
      </c>
      <c r="B13" s="57">
        <v>2</v>
      </c>
      <c r="C13" s="69" t="str">
        <f t="shared" ref="C13" si="2">A13&amp; "_"&amp;B13</f>
        <v>47016_2</v>
      </c>
      <c r="D13" s="18" t="str">
        <f ca="1">VLOOKUP($C13,OFFSET([2]stages!$A$1,0,0,COUNTA([2]stages!$A:$A),MATCH(D$1,[2]stages!$2:$2,0)-MATCH($C$1,[2]stages!$2:$2,0)+1),MATCH(D$1,[2]stages!$2:$2,0)-MATCH($C$1,[2]stages!$2:$2,0)+1,FALSE)</f>
        <v>everyone</v>
      </c>
      <c r="E13" s="207">
        <v>12</v>
      </c>
      <c r="F13" s="57" t="s">
        <v>509</v>
      </c>
      <c r="G13" s="209">
        <v>125</v>
      </c>
      <c r="H13" s="57">
        <v>1</v>
      </c>
      <c r="I13" s="57">
        <v>1</v>
      </c>
      <c r="J13" s="57">
        <v>1</v>
      </c>
      <c r="K13" s="57">
        <v>0</v>
      </c>
      <c r="L13" s="57">
        <v>0</v>
      </c>
      <c r="M13" s="57">
        <v>0</v>
      </c>
      <c r="N13" s="57">
        <v>0</v>
      </c>
      <c r="O13" s="57">
        <v>1</v>
      </c>
      <c r="P13" s="57">
        <v>20</v>
      </c>
      <c r="Q13" s="57" t="s">
        <v>169</v>
      </c>
      <c r="R13" s="57" t="s">
        <v>170</v>
      </c>
    </row>
    <row r="14" spans="1:18" x14ac:dyDescent="0.15">
      <c r="A14" s="22">
        <v>47016</v>
      </c>
      <c r="B14" s="57">
        <v>2</v>
      </c>
      <c r="C14" s="69" t="str">
        <f>A14&amp; "_"&amp;B14</f>
        <v>47016_2</v>
      </c>
      <c r="D14" s="18" t="str">
        <f ca="1">VLOOKUP($C14,OFFSET([2]stages!$A$1,0,0,COUNTA([2]stages!$A:$A),MATCH(D$1,[2]stages!$2:$2,0)-MATCH($C$1,[2]stages!$2:$2,0)+1),MATCH(D$1,[2]stages!$2:$2,0)-MATCH($C$1,[2]stages!$2:$2,0)+1,FALSE)</f>
        <v>everyone</v>
      </c>
      <c r="E14" s="207">
        <v>13</v>
      </c>
      <c r="F14" s="211" t="s">
        <v>510</v>
      </c>
      <c r="G14" s="212">
        <v>706</v>
      </c>
      <c r="H14" s="211">
        <v>1</v>
      </c>
      <c r="I14" s="57">
        <v>1</v>
      </c>
      <c r="J14" s="57">
        <v>1</v>
      </c>
      <c r="K14" s="57">
        <v>0</v>
      </c>
      <c r="L14" s="57">
        <v>0</v>
      </c>
      <c r="M14" s="57">
        <v>0</v>
      </c>
      <c r="N14" s="57">
        <v>0</v>
      </c>
      <c r="O14" s="57">
        <v>1</v>
      </c>
      <c r="P14" s="57">
        <v>80</v>
      </c>
      <c r="Q14" s="57" t="s">
        <v>169</v>
      </c>
      <c r="R14" s="57" t="s">
        <v>170</v>
      </c>
    </row>
    <row r="15" spans="1:18" x14ac:dyDescent="0.15">
      <c r="A15" s="22">
        <v>47016</v>
      </c>
      <c r="B15" s="57">
        <v>2</v>
      </c>
      <c r="C15" s="69" t="str">
        <f>A15&amp; "_"&amp;B15</f>
        <v>47016_2</v>
      </c>
      <c r="D15" s="18" t="str">
        <f ca="1">VLOOKUP($C15,OFFSET([2]stages!$A$1,0,0,COUNTA([2]stages!$A:$A),MATCH(D$1,[2]stages!$2:$2,0)-MATCH($C$1,[2]stages!$2:$2,0)+1),MATCH(D$1,[2]stages!$2:$2,0)-MATCH($C$1,[2]stages!$2:$2,0)+1,FALSE)</f>
        <v>everyone</v>
      </c>
      <c r="E15" s="207">
        <v>14</v>
      </c>
      <c r="F15" s="211" t="s">
        <v>510</v>
      </c>
      <c r="G15" s="212">
        <v>706</v>
      </c>
      <c r="H15" s="211">
        <v>2</v>
      </c>
      <c r="I15" s="57">
        <v>1</v>
      </c>
      <c r="J15" s="57">
        <v>1</v>
      </c>
      <c r="K15" s="57">
        <v>0</v>
      </c>
      <c r="L15" s="57">
        <v>0</v>
      </c>
      <c r="M15" s="57">
        <v>0</v>
      </c>
      <c r="N15" s="57">
        <v>0</v>
      </c>
      <c r="O15" s="57">
        <v>1</v>
      </c>
      <c r="P15" s="57">
        <v>250</v>
      </c>
      <c r="Q15" s="57" t="s">
        <v>169</v>
      </c>
      <c r="R15" s="57" t="s">
        <v>170</v>
      </c>
    </row>
    <row r="16" spans="1:18" ht="16" thickBot="1" x14ac:dyDescent="0.2">
      <c r="A16" s="22">
        <v>47016</v>
      </c>
      <c r="B16" s="192">
        <v>2</v>
      </c>
      <c r="C16" s="206" t="str">
        <f t="shared" ref="C16:C22" si="3">A16&amp; "_"&amp;B16</f>
        <v>47016_2</v>
      </c>
      <c r="D16" s="197" t="str">
        <f ca="1">VLOOKUP($C16,OFFSET([2]stages!$A$1,0,0,COUNTA([2]stages!$A:$A),MATCH(D$1,[2]stages!$2:$2,0)-MATCH($C$1,[2]stages!$2:$2,0)+1),MATCH(D$1,[2]stages!$2:$2,0)-MATCH($C$1,[2]stages!$2:$2,0)+1,FALSE)</f>
        <v>everyone</v>
      </c>
      <c r="E16" s="192">
        <v>15</v>
      </c>
      <c r="F16" s="213" t="s">
        <v>510</v>
      </c>
      <c r="G16" s="214">
        <v>706</v>
      </c>
      <c r="H16" s="213">
        <v>3</v>
      </c>
      <c r="I16" s="192">
        <v>1</v>
      </c>
      <c r="J16" s="192">
        <v>1</v>
      </c>
      <c r="K16" s="192">
        <v>0</v>
      </c>
      <c r="L16" s="192">
        <v>0</v>
      </c>
      <c r="M16" s="192">
        <v>0</v>
      </c>
      <c r="N16" s="192">
        <v>0</v>
      </c>
      <c r="O16" s="192">
        <v>1</v>
      </c>
      <c r="P16" s="192">
        <v>120</v>
      </c>
      <c r="Q16" s="192" t="s">
        <v>169</v>
      </c>
      <c r="R16" s="192" t="s">
        <v>170</v>
      </c>
    </row>
    <row r="17" spans="1:18" ht="16" thickTop="1" x14ac:dyDescent="0.15">
      <c r="A17" s="22">
        <v>47016</v>
      </c>
      <c r="B17" s="57">
        <v>1</v>
      </c>
      <c r="C17" s="69" t="str">
        <f t="shared" si="3"/>
        <v>47016_1</v>
      </c>
      <c r="D17" s="18" t="str">
        <f ca="1">VLOOKUP($C17,OFFSET([2]stages!$A$1,0,0,COUNTA([2]stages!$A:$A),MATCH(D$1,[2]stages!$2:$2,0)-MATCH($C$1,[2]stages!$2:$2,0)+1),MATCH(D$1,[2]stages!$2:$2,0)-MATCH($C$1,[2]stages!$2:$2,0)+1,FALSE)</f>
        <v>everyone</v>
      </c>
      <c r="E17" s="208">
        <v>16</v>
      </c>
      <c r="F17" s="57" t="s">
        <v>509</v>
      </c>
      <c r="G17" s="209">
        <v>1697</v>
      </c>
      <c r="H17" s="57">
        <v>1</v>
      </c>
      <c r="I17" s="57">
        <v>1</v>
      </c>
      <c r="J17" s="57">
        <v>1</v>
      </c>
      <c r="K17" s="57">
        <v>0</v>
      </c>
      <c r="L17" s="57">
        <v>0</v>
      </c>
      <c r="M17" s="57">
        <v>0</v>
      </c>
      <c r="N17" s="57">
        <v>0</v>
      </c>
      <c r="O17" s="57">
        <v>1</v>
      </c>
      <c r="P17" s="57">
        <v>100</v>
      </c>
      <c r="Q17" s="57" t="s">
        <v>169</v>
      </c>
      <c r="R17" s="57" t="s">
        <v>170</v>
      </c>
    </row>
    <row r="18" spans="1:18" x14ac:dyDescent="0.15">
      <c r="A18" s="22">
        <v>47016</v>
      </c>
      <c r="B18" s="57">
        <v>1</v>
      </c>
      <c r="C18" s="69" t="str">
        <f t="shared" ref="C18" si="4">A18&amp; "_"&amp;B18</f>
        <v>47016_1</v>
      </c>
      <c r="D18" s="18" t="str">
        <f ca="1">VLOOKUP($C18,OFFSET([2]stages!$A$1,0,0,COUNTA([2]stages!$A:$A),MATCH(D$1,[2]stages!$2:$2,0)-MATCH($C$1,[2]stages!$2:$2,0)+1),MATCH(D$1,[2]stages!$2:$2,0)-MATCH($C$1,[2]stages!$2:$2,0)+1,FALSE)</f>
        <v>everyone</v>
      </c>
      <c r="E18" s="207">
        <v>17</v>
      </c>
      <c r="F18" s="57" t="s">
        <v>509</v>
      </c>
      <c r="G18" s="209">
        <v>348</v>
      </c>
      <c r="H18" s="57">
        <v>1</v>
      </c>
      <c r="I18" s="57">
        <v>1</v>
      </c>
      <c r="J18" s="57">
        <v>1</v>
      </c>
      <c r="K18" s="57">
        <v>0</v>
      </c>
      <c r="L18" s="57">
        <v>0</v>
      </c>
      <c r="M18" s="57">
        <v>0</v>
      </c>
      <c r="N18" s="57">
        <v>0</v>
      </c>
      <c r="O18" s="57">
        <v>1</v>
      </c>
      <c r="P18" s="57">
        <v>150</v>
      </c>
      <c r="Q18" s="57" t="s">
        <v>169</v>
      </c>
      <c r="R18" s="57" t="s">
        <v>170</v>
      </c>
    </row>
    <row r="19" spans="1:18" x14ac:dyDescent="0.15">
      <c r="A19" s="22">
        <v>47016</v>
      </c>
      <c r="B19" s="57">
        <v>1</v>
      </c>
      <c r="C19" s="69" t="str">
        <f t="shared" si="3"/>
        <v>47016_1</v>
      </c>
      <c r="D19" s="18" t="str">
        <f ca="1">VLOOKUP($C19,OFFSET([2]stages!$A$1,0,0,COUNTA([2]stages!$A:$A),MATCH(D$1,[2]stages!$2:$2,0)-MATCH($C$1,[2]stages!$2:$2,0)+1),MATCH(D$1,[2]stages!$2:$2,0)-MATCH($C$1,[2]stages!$2:$2,0)+1,FALSE)</f>
        <v>everyone</v>
      </c>
      <c r="E19" s="207">
        <v>18</v>
      </c>
      <c r="F19" s="57" t="s">
        <v>509</v>
      </c>
      <c r="G19" s="209">
        <v>121</v>
      </c>
      <c r="H19" s="57">
        <v>1</v>
      </c>
      <c r="I19" s="57">
        <v>1</v>
      </c>
      <c r="J19" s="57">
        <v>1</v>
      </c>
      <c r="K19" s="57">
        <v>0</v>
      </c>
      <c r="L19" s="57">
        <v>0</v>
      </c>
      <c r="M19" s="57">
        <v>0</v>
      </c>
      <c r="N19" s="57">
        <v>0</v>
      </c>
      <c r="O19" s="57">
        <v>1</v>
      </c>
      <c r="P19" s="57">
        <v>130</v>
      </c>
      <c r="Q19" s="57" t="s">
        <v>169</v>
      </c>
      <c r="R19" s="57" t="s">
        <v>170</v>
      </c>
    </row>
    <row r="20" spans="1:18" x14ac:dyDescent="0.15">
      <c r="A20" s="22">
        <v>47016</v>
      </c>
      <c r="B20" s="57">
        <v>1</v>
      </c>
      <c r="C20" s="69" t="str">
        <f t="shared" si="3"/>
        <v>47016_1</v>
      </c>
      <c r="D20" s="18" t="str">
        <f ca="1">VLOOKUP($C20,OFFSET([2]stages!$A$1,0,0,COUNTA([2]stages!$A:$A),MATCH(D$1,[2]stages!$2:$2,0)-MATCH($C$1,[2]stages!$2:$2,0)+1),MATCH(D$1,[2]stages!$2:$2,0)-MATCH($C$1,[2]stages!$2:$2,0)+1,FALSE)</f>
        <v>everyone</v>
      </c>
      <c r="E20" s="207">
        <v>19</v>
      </c>
      <c r="F20" s="57" t="s">
        <v>509</v>
      </c>
      <c r="G20" s="209">
        <v>122</v>
      </c>
      <c r="H20" s="57">
        <v>1</v>
      </c>
      <c r="I20" s="57">
        <v>1</v>
      </c>
      <c r="J20" s="57">
        <v>1</v>
      </c>
      <c r="K20" s="57">
        <v>0</v>
      </c>
      <c r="L20" s="57">
        <v>0</v>
      </c>
      <c r="M20" s="57">
        <v>0</v>
      </c>
      <c r="N20" s="57">
        <v>0</v>
      </c>
      <c r="O20" s="57">
        <v>1</v>
      </c>
      <c r="P20" s="57">
        <v>130</v>
      </c>
      <c r="Q20" s="57" t="s">
        <v>169</v>
      </c>
      <c r="R20" s="57" t="s">
        <v>170</v>
      </c>
    </row>
    <row r="21" spans="1:18" x14ac:dyDescent="0.15">
      <c r="A21" s="22">
        <v>47016</v>
      </c>
      <c r="B21" s="57">
        <v>1</v>
      </c>
      <c r="C21" s="69" t="str">
        <f t="shared" si="3"/>
        <v>47016_1</v>
      </c>
      <c r="D21" s="18" t="str">
        <f ca="1">VLOOKUP($C21,OFFSET([2]stages!$A$1,0,0,COUNTA([2]stages!$A:$A),MATCH(D$1,[2]stages!$2:$2,0)-MATCH($C$1,[2]stages!$2:$2,0)+1),MATCH(D$1,[2]stages!$2:$2,0)-MATCH($C$1,[2]stages!$2:$2,0)+1,FALSE)</f>
        <v>everyone</v>
      </c>
      <c r="E21" s="207">
        <v>20</v>
      </c>
      <c r="F21" s="57" t="s">
        <v>509</v>
      </c>
      <c r="G21" s="209">
        <v>123</v>
      </c>
      <c r="H21" s="57">
        <v>1</v>
      </c>
      <c r="I21" s="57">
        <v>1</v>
      </c>
      <c r="J21" s="57">
        <v>1</v>
      </c>
      <c r="K21" s="57">
        <v>0</v>
      </c>
      <c r="L21" s="57">
        <v>0</v>
      </c>
      <c r="M21" s="57">
        <v>0</v>
      </c>
      <c r="N21" s="57">
        <v>0</v>
      </c>
      <c r="O21" s="57">
        <v>1</v>
      </c>
      <c r="P21" s="57">
        <v>130</v>
      </c>
      <c r="Q21" s="57" t="s">
        <v>169</v>
      </c>
      <c r="R21" s="57" t="s">
        <v>170</v>
      </c>
    </row>
    <row r="22" spans="1:18" x14ac:dyDescent="0.15">
      <c r="A22" s="22">
        <v>47016</v>
      </c>
      <c r="B22" s="57">
        <v>1</v>
      </c>
      <c r="C22" s="69" t="str">
        <f t="shared" si="3"/>
        <v>47016_1</v>
      </c>
      <c r="D22" s="18" t="str">
        <f ca="1">VLOOKUP($C22,OFFSET([2]stages!$A$1,0,0,COUNTA([2]stages!$A:$A),MATCH(D$1,[2]stages!$2:$2,0)-MATCH($C$1,[2]stages!$2:$2,0)+1),MATCH(D$1,[2]stages!$2:$2,0)-MATCH($C$1,[2]stages!$2:$2,0)+1,FALSE)</f>
        <v>everyone</v>
      </c>
      <c r="E22" s="207">
        <v>21</v>
      </c>
      <c r="F22" s="57" t="s">
        <v>509</v>
      </c>
      <c r="G22" s="209">
        <v>125</v>
      </c>
      <c r="H22" s="57">
        <v>1</v>
      </c>
      <c r="I22" s="57">
        <v>1</v>
      </c>
      <c r="J22" s="57">
        <v>1</v>
      </c>
      <c r="K22" s="57">
        <v>0</v>
      </c>
      <c r="L22" s="57">
        <v>0</v>
      </c>
      <c r="M22" s="57">
        <v>0</v>
      </c>
      <c r="N22" s="57">
        <v>0</v>
      </c>
      <c r="O22" s="57">
        <v>1</v>
      </c>
      <c r="P22" s="57">
        <v>10</v>
      </c>
      <c r="Q22" s="57" t="s">
        <v>169</v>
      </c>
      <c r="R22" s="57" t="s">
        <v>170</v>
      </c>
    </row>
    <row r="23" spans="1:18" x14ac:dyDescent="0.15">
      <c r="A23" s="22">
        <v>47016</v>
      </c>
      <c r="B23" s="57">
        <v>1</v>
      </c>
      <c r="C23" s="69" t="str">
        <f>A23&amp; "_"&amp;B23</f>
        <v>47016_1</v>
      </c>
      <c r="D23" s="18" t="str">
        <f ca="1">VLOOKUP($C23,OFFSET([2]stages!$A$1,0,0,COUNTA([2]stages!$A:$A),MATCH(D$1,[2]stages!$2:$2,0)-MATCH($C$1,[2]stages!$2:$2,0)+1),MATCH(D$1,[2]stages!$2:$2,0)-MATCH($C$1,[2]stages!$2:$2,0)+1,FALSE)</f>
        <v>everyone</v>
      </c>
      <c r="E23" s="207">
        <v>22</v>
      </c>
      <c r="F23" s="211" t="s">
        <v>510</v>
      </c>
      <c r="G23" s="211">
        <v>706</v>
      </c>
      <c r="H23" s="211">
        <v>1</v>
      </c>
      <c r="I23" s="57">
        <v>1</v>
      </c>
      <c r="J23" s="57">
        <v>1</v>
      </c>
      <c r="K23" s="57">
        <v>0</v>
      </c>
      <c r="L23" s="57">
        <v>0</v>
      </c>
      <c r="M23" s="57">
        <v>0</v>
      </c>
      <c r="N23" s="57">
        <v>0</v>
      </c>
      <c r="O23" s="57">
        <v>1</v>
      </c>
      <c r="P23" s="57">
        <v>50</v>
      </c>
      <c r="Q23" s="57" t="s">
        <v>169</v>
      </c>
      <c r="R23" s="57" t="s">
        <v>170</v>
      </c>
    </row>
    <row r="24" spans="1:18" x14ac:dyDescent="0.15">
      <c r="A24" s="22">
        <v>47016</v>
      </c>
      <c r="B24" s="57">
        <v>1</v>
      </c>
      <c r="C24" s="69" t="str">
        <f>A24&amp; "_"&amp;B24</f>
        <v>47016_1</v>
      </c>
      <c r="D24" s="18" t="str">
        <f ca="1">VLOOKUP($C24,OFFSET([2]stages!$A$1,0,0,COUNTA([2]stages!$A:$A),MATCH(D$1,[2]stages!$2:$2,0)-MATCH($C$1,[2]stages!$2:$2,0)+1),MATCH(D$1,[2]stages!$2:$2,0)-MATCH($C$1,[2]stages!$2:$2,0)+1,FALSE)</f>
        <v>everyone</v>
      </c>
      <c r="E24" s="207">
        <v>23</v>
      </c>
      <c r="F24" s="211" t="s">
        <v>510</v>
      </c>
      <c r="G24" s="211">
        <v>706</v>
      </c>
      <c r="H24" s="211">
        <v>2</v>
      </c>
      <c r="I24" s="57">
        <v>1</v>
      </c>
      <c r="J24" s="57">
        <v>1</v>
      </c>
      <c r="K24" s="57">
        <v>0</v>
      </c>
      <c r="L24" s="57">
        <v>0</v>
      </c>
      <c r="M24" s="57">
        <v>0</v>
      </c>
      <c r="N24" s="57">
        <v>0</v>
      </c>
      <c r="O24" s="57">
        <v>1</v>
      </c>
      <c r="P24" s="57">
        <v>200</v>
      </c>
      <c r="Q24" s="57" t="s">
        <v>169</v>
      </c>
      <c r="R24" s="57" t="s">
        <v>170</v>
      </c>
    </row>
    <row r="25" spans="1:18" x14ac:dyDescent="0.15">
      <c r="A25" s="22">
        <v>47016</v>
      </c>
      <c r="B25" s="57">
        <v>1</v>
      </c>
      <c r="C25" s="69" t="str">
        <f t="shared" ref="C25" si="5">A25&amp; "_"&amp;B25</f>
        <v>47016_1</v>
      </c>
      <c r="D25" s="18" t="str">
        <f ca="1">VLOOKUP($C25,OFFSET([2]stages!$A$1,0,0,COUNTA([2]stages!$A:$A),MATCH(D$1,[2]stages!$2:$2,0)-MATCH($C$1,[2]stages!$2:$2,0)+1),MATCH(D$1,[2]stages!$2:$2,0)-MATCH($C$1,[2]stages!$2:$2,0)+1,FALSE)</f>
        <v>everyone</v>
      </c>
      <c r="E25" s="207">
        <v>24</v>
      </c>
      <c r="F25" s="211" t="s">
        <v>510</v>
      </c>
      <c r="G25" s="211">
        <v>706</v>
      </c>
      <c r="H25" s="211">
        <v>3</v>
      </c>
      <c r="I25" s="57">
        <v>1</v>
      </c>
      <c r="J25" s="57">
        <v>1</v>
      </c>
      <c r="K25" s="57">
        <v>0</v>
      </c>
      <c r="L25" s="57">
        <v>0</v>
      </c>
      <c r="M25" s="57">
        <v>0</v>
      </c>
      <c r="N25" s="57">
        <v>0</v>
      </c>
      <c r="O25" s="57">
        <v>1</v>
      </c>
      <c r="P25" s="57">
        <v>100</v>
      </c>
      <c r="Q25" s="57" t="s">
        <v>169</v>
      </c>
      <c r="R25" s="57" t="s">
        <v>170</v>
      </c>
    </row>
  </sheetData>
  <phoneticPr fontId="5"/>
  <dataValidations count="1">
    <dataValidation type="list" allowBlank="1" showInputMessage="1" showErrorMessage="1" sqref="F2:F5 F9:F13 F17:F22">
      <formula1>"bit,link,polygon,unit"</formula1>
    </dataValidation>
  </dataValidations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output</vt:lpstr>
      <vt:lpstr>floors</vt:lpstr>
      <vt:lpstr>enemy_habitats</vt:lpstr>
      <vt:lpstr>enemy_habitat_S</vt:lpstr>
      <vt:lpstr>enemy_skill_sets</vt:lpstr>
      <vt:lpstr>enemy_skills</vt:lpstr>
      <vt:lpstr>enemy_skill_triggers</vt:lpstr>
      <vt:lpstr>stage_hints_complete</vt:lpstr>
      <vt:lpstr>stage_hints_failure</vt:lpstr>
      <vt:lpstr>stage_bonuses</vt:lpstr>
      <vt:lpstr>bugbonuses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椿秀典</dc:creator>
  <cp:lastModifiedBy>Microsoft Office ユーザー</cp:lastModifiedBy>
  <dcterms:created xsi:type="dcterms:W3CDTF">2015-01-30T13:36:44Z</dcterms:created>
  <dcterms:modified xsi:type="dcterms:W3CDTF">2017-06-09T02:48:25Z</dcterms:modified>
</cp:coreProperties>
</file>