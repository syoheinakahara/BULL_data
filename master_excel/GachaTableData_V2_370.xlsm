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70010" sheetId="106" r:id="rId4"/>
    <sheet name="tables_370010" sheetId="82" r:id="rId5"/>
    <sheet name="input_370100" sheetId="140" r:id="rId6"/>
    <sheet name="tables_370100" sheetId="141" r:id="rId7"/>
    <sheet name="tables_settle_370100" sheetId="14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tables_370010!$A$1:$V$283</definedName>
    <definedName name="_xlnm._FilterDatabase" localSheetId="6" hidden="1">tables_370100!$A$1:$V$271</definedName>
    <definedName name="_xlnm._FilterDatabase" localSheetId="7" hidden="1">tables_settle_370100!$A$1:$V$2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40" l="1"/>
  <c r="I3" i="141"/>
  <c r="D3" i="141"/>
  <c r="J3" i="141"/>
  <c r="E3" i="141"/>
  <c r="C3" i="141"/>
  <c r="I2" i="141"/>
  <c r="D2" i="141"/>
  <c r="J2" i="141"/>
  <c r="E2" i="141"/>
  <c r="C2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I284" i="141"/>
  <c r="D284" i="141"/>
  <c r="J284" i="141"/>
  <c r="E284" i="141"/>
  <c r="C284" i="141"/>
  <c r="I285" i="141"/>
  <c r="D285" i="141"/>
  <c r="J285" i="141"/>
  <c r="E285" i="141"/>
  <c r="C285" i="141"/>
  <c r="I286" i="141"/>
  <c r="D286" i="141"/>
  <c r="J286" i="141"/>
  <c r="E286" i="141"/>
  <c r="C286" i="141"/>
  <c r="I287" i="141"/>
  <c r="D287" i="141"/>
  <c r="J287" i="141"/>
  <c r="E287" i="141"/>
  <c r="C287" i="141"/>
  <c r="I288" i="141"/>
  <c r="D288" i="141"/>
  <c r="J288" i="141"/>
  <c r="E288" i="141"/>
  <c r="C288" i="141"/>
  <c r="I289" i="141"/>
  <c r="D289" i="141"/>
  <c r="J289" i="141"/>
  <c r="E289" i="141"/>
  <c r="C289" i="141"/>
  <c r="I290" i="141"/>
  <c r="D290" i="141"/>
  <c r="J290" i="141"/>
  <c r="E290" i="141"/>
  <c r="C290" i="141"/>
  <c r="I291" i="141"/>
  <c r="D291" i="141"/>
  <c r="J291" i="141"/>
  <c r="E291" i="141"/>
  <c r="C291" i="141"/>
  <c r="I292" i="141"/>
  <c r="D292" i="141"/>
  <c r="J292" i="141"/>
  <c r="E292" i="141"/>
  <c r="C292" i="141"/>
  <c r="I293" i="141"/>
  <c r="D293" i="141"/>
  <c r="J293" i="141"/>
  <c r="E293" i="141"/>
  <c r="C293" i="141"/>
  <c r="I294" i="141"/>
  <c r="D294" i="141"/>
  <c r="J294" i="141"/>
  <c r="E294" i="141"/>
  <c r="C294" i="141"/>
  <c r="F5" i="140"/>
  <c r="F6" i="140"/>
  <c r="A36" i="140"/>
  <c r="E6" i="140"/>
  <c r="Q3" i="140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E18" i="140"/>
  <c r="E19" i="140"/>
  <c r="B19" i="140"/>
  <c r="E5" i="140"/>
  <c r="E24" i="140"/>
  <c r="B24" i="140"/>
  <c r="B17" i="140"/>
  <c r="B18" i="140"/>
  <c r="G18" i="140"/>
  <c r="H18" i="140"/>
  <c r="O3" i="141"/>
  <c r="G17" i="140"/>
  <c r="E17" i="140"/>
  <c r="H17" i="140"/>
  <c r="O2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E28" i="140"/>
  <c r="B28" i="140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E29" i="140"/>
  <c r="B29" i="140"/>
  <c r="B23" i="140"/>
  <c r="B22" i="140"/>
  <c r="G22" i="140"/>
  <c r="H22" i="140"/>
  <c r="O256" i="141"/>
  <c r="G23" i="140"/>
  <c r="E23" i="140"/>
  <c r="H23" i="140"/>
  <c r="O257" i="141"/>
  <c r="O258" i="141"/>
  <c r="O259" i="141"/>
  <c r="O262" i="141"/>
  <c r="O263" i="141"/>
  <c r="O264" i="141"/>
  <c r="O265" i="141"/>
  <c r="O266" i="141"/>
  <c r="O267" i="141"/>
  <c r="O268" i="141"/>
  <c r="O269" i="141"/>
  <c r="O270" i="141"/>
  <c r="O271" i="141"/>
  <c r="O274" i="141"/>
  <c r="O275" i="141"/>
  <c r="O276" i="141"/>
  <c r="O277" i="141"/>
  <c r="O278" i="141"/>
  <c r="O279" i="141"/>
  <c r="O280" i="141"/>
  <c r="O281" i="141"/>
  <c r="G29" i="140"/>
  <c r="H29" i="140"/>
  <c r="O282" i="141"/>
  <c r="O283" i="141"/>
  <c r="O284" i="141"/>
  <c r="O285" i="141"/>
  <c r="O286" i="141"/>
  <c r="O287" i="141"/>
  <c r="O288" i="141"/>
  <c r="O289" i="141"/>
  <c r="O290" i="141"/>
  <c r="O291" i="141"/>
  <c r="O292" i="141"/>
  <c r="O293" i="141"/>
  <c r="O294" i="141"/>
  <c r="R3" i="140"/>
  <c r="O260" i="141"/>
  <c r="R4" i="140"/>
  <c r="O261" i="141"/>
  <c r="R5" i="140"/>
  <c r="O272" i="141"/>
  <c r="R6" i="140"/>
  <c r="O273" i="141"/>
  <c r="P3" i="141"/>
  <c r="P4" i="141"/>
  <c r="P5" i="141"/>
  <c r="P6" i="141"/>
  <c r="P7" i="141"/>
  <c r="P8" i="141"/>
  <c r="P9" i="141"/>
  <c r="P10" i="141"/>
  <c r="P11" i="141"/>
  <c r="P12" i="141"/>
  <c r="P13" i="141"/>
  <c r="P14" i="141"/>
  <c r="P15" i="141"/>
  <c r="P16" i="141"/>
  <c r="P17" i="141"/>
  <c r="P18" i="141"/>
  <c r="P19" i="141"/>
  <c r="P20" i="141"/>
  <c r="P21" i="141"/>
  <c r="P22" i="141"/>
  <c r="P23" i="141"/>
  <c r="P24" i="141"/>
  <c r="P25" i="141"/>
  <c r="P26" i="141"/>
  <c r="P27" i="141"/>
  <c r="P28" i="141"/>
  <c r="P29" i="141"/>
  <c r="P30" i="141"/>
  <c r="P31" i="141"/>
  <c r="P32" i="141"/>
  <c r="P33" i="141"/>
  <c r="P34" i="141"/>
  <c r="P35" i="141"/>
  <c r="P36" i="141"/>
  <c r="P37" i="141"/>
  <c r="P38" i="141"/>
  <c r="P39" i="141"/>
  <c r="P40" i="141"/>
  <c r="P41" i="141"/>
  <c r="P42" i="141"/>
  <c r="P43" i="141"/>
  <c r="P44" i="141"/>
  <c r="P45" i="141"/>
  <c r="P46" i="141"/>
  <c r="P47" i="141"/>
  <c r="P48" i="141"/>
  <c r="P49" i="141"/>
  <c r="P50" i="141"/>
  <c r="P51" i="141"/>
  <c r="P52" i="141"/>
  <c r="P53" i="141"/>
  <c r="P54" i="141"/>
  <c r="P55" i="141"/>
  <c r="P56" i="141"/>
  <c r="P57" i="141"/>
  <c r="P58" i="141"/>
  <c r="P59" i="141"/>
  <c r="P60" i="141"/>
  <c r="P61" i="141"/>
  <c r="P62" i="141"/>
  <c r="P63" i="141"/>
  <c r="P64" i="141"/>
  <c r="P65" i="141"/>
  <c r="P66" i="141"/>
  <c r="P67" i="141"/>
  <c r="P68" i="141"/>
  <c r="P69" i="141"/>
  <c r="P70" i="141"/>
  <c r="P71" i="141"/>
  <c r="P72" i="141"/>
  <c r="P73" i="141"/>
  <c r="P74" i="141"/>
  <c r="P75" i="141"/>
  <c r="P76" i="141"/>
  <c r="P77" i="141"/>
  <c r="P78" i="141"/>
  <c r="P79" i="141"/>
  <c r="P80" i="141"/>
  <c r="P81" i="141"/>
  <c r="P82" i="141"/>
  <c r="P83" i="141"/>
  <c r="P84" i="141"/>
  <c r="P85" i="141"/>
  <c r="P86" i="141"/>
  <c r="P87" i="141"/>
  <c r="P88" i="141"/>
  <c r="P89" i="141"/>
  <c r="P90" i="141"/>
  <c r="P91" i="141"/>
  <c r="P92" i="141"/>
  <c r="P93" i="141"/>
  <c r="P94" i="141"/>
  <c r="P95" i="141"/>
  <c r="P96" i="141"/>
  <c r="P97" i="141"/>
  <c r="P98" i="141"/>
  <c r="P99" i="141"/>
  <c r="P100" i="141"/>
  <c r="P101" i="141"/>
  <c r="P102" i="141"/>
  <c r="P103" i="141"/>
  <c r="P104" i="141"/>
  <c r="P105" i="141"/>
  <c r="P106" i="141"/>
  <c r="P107" i="141"/>
  <c r="P108" i="141"/>
  <c r="P109" i="141"/>
  <c r="P110" i="141"/>
  <c r="P111" i="141"/>
  <c r="P112" i="141"/>
  <c r="P113" i="141"/>
  <c r="P114" i="141"/>
  <c r="P115" i="141"/>
  <c r="P116" i="141"/>
  <c r="P117" i="141"/>
  <c r="P118" i="141"/>
  <c r="P119" i="141"/>
  <c r="P120" i="141"/>
  <c r="P121" i="141"/>
  <c r="P122" i="141"/>
  <c r="P123" i="141"/>
  <c r="P124" i="141"/>
  <c r="P125" i="141"/>
  <c r="P126" i="141"/>
  <c r="P127" i="141"/>
  <c r="P128" i="141"/>
  <c r="P129" i="141"/>
  <c r="P130" i="141"/>
  <c r="P131" i="141"/>
  <c r="P132" i="141"/>
  <c r="P133" i="141"/>
  <c r="P134" i="141"/>
  <c r="P135" i="141"/>
  <c r="P136" i="141"/>
  <c r="P137" i="141"/>
  <c r="P138" i="141"/>
  <c r="P139" i="141"/>
  <c r="P140" i="141"/>
  <c r="P141" i="141"/>
  <c r="P142" i="141"/>
  <c r="P143" i="141"/>
  <c r="P144" i="141"/>
  <c r="P145" i="141"/>
  <c r="P146" i="141"/>
  <c r="P147" i="141"/>
  <c r="P148" i="141"/>
  <c r="P149" i="141"/>
  <c r="P150" i="141"/>
  <c r="P151" i="141"/>
  <c r="P152" i="141"/>
  <c r="P153" i="141"/>
  <c r="P154" i="141"/>
  <c r="P155" i="141"/>
  <c r="P156" i="141"/>
  <c r="P157" i="141"/>
  <c r="P158" i="141"/>
  <c r="P159" i="141"/>
  <c r="P160" i="141"/>
  <c r="P161" i="141"/>
  <c r="P162" i="141"/>
  <c r="P163" i="141"/>
  <c r="P164" i="141"/>
  <c r="P165" i="141"/>
  <c r="P166" i="141"/>
  <c r="P167" i="141"/>
  <c r="P168" i="141"/>
  <c r="P169" i="141"/>
  <c r="P170" i="141"/>
  <c r="P171" i="141"/>
  <c r="P172" i="141"/>
  <c r="P173" i="141"/>
  <c r="P174" i="141"/>
  <c r="P175" i="141"/>
  <c r="P176" i="141"/>
  <c r="P177" i="141"/>
  <c r="P178" i="141"/>
  <c r="P179" i="141"/>
  <c r="P180" i="141"/>
  <c r="P181" i="141"/>
  <c r="P182" i="141"/>
  <c r="P183" i="141"/>
  <c r="P184" i="141"/>
  <c r="P185" i="141"/>
  <c r="P186" i="141"/>
  <c r="P187" i="141"/>
  <c r="P188" i="141"/>
  <c r="P189" i="141"/>
  <c r="P190" i="141"/>
  <c r="P191" i="141"/>
  <c r="P192" i="141"/>
  <c r="P193" i="141"/>
  <c r="P194" i="141"/>
  <c r="P195" i="141"/>
  <c r="P196" i="141"/>
  <c r="P197" i="141"/>
  <c r="P198" i="141"/>
  <c r="P199" i="141"/>
  <c r="P200" i="141"/>
  <c r="P201" i="141"/>
  <c r="P202" i="141"/>
  <c r="P203" i="141"/>
  <c r="P204" i="141"/>
  <c r="P205" i="141"/>
  <c r="P206" i="141"/>
  <c r="P207" i="141"/>
  <c r="P208" i="141"/>
  <c r="P209" i="141"/>
  <c r="P210" i="141"/>
  <c r="P211" i="141"/>
  <c r="P212" i="141"/>
  <c r="P213" i="141"/>
  <c r="P214" i="141"/>
  <c r="P215" i="141"/>
  <c r="P216" i="141"/>
  <c r="P217" i="141"/>
  <c r="P218" i="141"/>
  <c r="P219" i="141"/>
  <c r="P220" i="141"/>
  <c r="P221" i="141"/>
  <c r="P222" i="141"/>
  <c r="P223" i="141"/>
  <c r="P224" i="141"/>
  <c r="P225" i="141"/>
  <c r="P226" i="141"/>
  <c r="P227" i="141"/>
  <c r="P228" i="141"/>
  <c r="P229" i="141"/>
  <c r="P230" i="141"/>
  <c r="P231" i="141"/>
  <c r="P232" i="141"/>
  <c r="P233" i="141"/>
  <c r="P234" i="141"/>
  <c r="P235" i="141"/>
  <c r="P236" i="141"/>
  <c r="P237" i="141"/>
  <c r="P238" i="141"/>
  <c r="P239" i="141"/>
  <c r="P240" i="141"/>
  <c r="P241" i="141"/>
  <c r="P242" i="141"/>
  <c r="P243" i="141"/>
  <c r="P244" i="141"/>
  <c r="P245" i="141"/>
  <c r="P246" i="141"/>
  <c r="P247" i="141"/>
  <c r="P248" i="141"/>
  <c r="P249" i="141"/>
  <c r="P250" i="141"/>
  <c r="P251" i="141"/>
  <c r="P252" i="141"/>
  <c r="P253" i="141"/>
  <c r="P254" i="141"/>
  <c r="P255" i="141"/>
  <c r="P256" i="141"/>
  <c r="P257" i="141"/>
  <c r="P258" i="141"/>
  <c r="P259" i="141"/>
  <c r="P260" i="141"/>
  <c r="P261" i="141"/>
  <c r="P262" i="141"/>
  <c r="P263" i="141"/>
  <c r="P264" i="141"/>
  <c r="P265" i="141"/>
  <c r="P266" i="141"/>
  <c r="P267" i="141"/>
  <c r="P268" i="141"/>
  <c r="P269" i="141"/>
  <c r="P270" i="141"/>
  <c r="P271" i="141"/>
  <c r="P272" i="141"/>
  <c r="P273" i="141"/>
  <c r="P274" i="141"/>
  <c r="P275" i="141"/>
  <c r="P276" i="141"/>
  <c r="P277" i="141"/>
  <c r="P278" i="141"/>
  <c r="P279" i="141"/>
  <c r="P280" i="141"/>
  <c r="P281" i="141"/>
  <c r="P282" i="141"/>
  <c r="P283" i="141"/>
  <c r="P284" i="141"/>
  <c r="P285" i="141"/>
  <c r="P286" i="141"/>
  <c r="P287" i="141"/>
  <c r="P288" i="141"/>
  <c r="P289" i="141"/>
  <c r="P290" i="141"/>
  <c r="P291" i="141"/>
  <c r="P292" i="141"/>
  <c r="P293" i="141"/>
  <c r="P294" i="141"/>
  <c r="P2" i="141"/>
  <c r="B10" i="106"/>
  <c r="A3" i="146"/>
  <c r="A4" i="146"/>
  <c r="A5" i="146"/>
  <c r="A2" i="14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F5" i="106"/>
  <c r="F6" i="106"/>
  <c r="A36" i="106"/>
  <c r="A284" i="141"/>
  <c r="F284" i="141"/>
  <c r="H284" i="141"/>
  <c r="K284" i="141"/>
  <c r="L284" i="141"/>
  <c r="M284" i="141"/>
  <c r="N284" i="141"/>
  <c r="F285" i="141"/>
  <c r="F286" i="141"/>
  <c r="F287" i="141"/>
  <c r="F288" i="141"/>
  <c r="F289" i="141"/>
  <c r="F290" i="141"/>
  <c r="F291" i="141"/>
  <c r="F292" i="141"/>
  <c r="F293" i="141"/>
  <c r="F294" i="141"/>
  <c r="B10" i="140"/>
  <c r="A285" i="141"/>
  <c r="H285" i="141"/>
  <c r="K285" i="141"/>
  <c r="L285" i="141"/>
  <c r="M285" i="141"/>
  <c r="N285" i="141"/>
  <c r="A286" i="141"/>
  <c r="H286" i="141"/>
  <c r="K286" i="141"/>
  <c r="L286" i="141"/>
  <c r="M286" i="141"/>
  <c r="N286" i="141"/>
  <c r="A287" i="141"/>
  <c r="H287" i="141"/>
  <c r="K287" i="141"/>
  <c r="L287" i="141"/>
  <c r="M287" i="141"/>
  <c r="N287" i="141"/>
  <c r="A288" i="141"/>
  <c r="H288" i="141"/>
  <c r="K288" i="141"/>
  <c r="L288" i="141"/>
  <c r="M288" i="141"/>
  <c r="N288" i="141"/>
  <c r="A289" i="141"/>
  <c r="H289" i="141"/>
  <c r="K289" i="141"/>
  <c r="L289" i="141"/>
  <c r="M289" i="141"/>
  <c r="N289" i="141"/>
  <c r="A290" i="141"/>
  <c r="H290" i="141"/>
  <c r="K290" i="141"/>
  <c r="L290" i="141"/>
  <c r="M290" i="141"/>
  <c r="N290" i="141"/>
  <c r="A291" i="141"/>
  <c r="H291" i="141"/>
  <c r="K291" i="141"/>
  <c r="L291" i="141"/>
  <c r="M291" i="141"/>
  <c r="N291" i="141"/>
  <c r="A292" i="141"/>
  <c r="H292" i="141"/>
  <c r="K292" i="141"/>
  <c r="L292" i="141"/>
  <c r="M292" i="141"/>
  <c r="N292" i="141"/>
  <c r="A293" i="141"/>
  <c r="H293" i="141"/>
  <c r="K293" i="141"/>
  <c r="L293" i="141"/>
  <c r="M293" i="141"/>
  <c r="N293" i="141"/>
  <c r="A294" i="141"/>
  <c r="H294" i="141"/>
  <c r="K294" i="141"/>
  <c r="L294" i="141"/>
  <c r="M294" i="141"/>
  <c r="N294" i="141"/>
  <c r="A283" i="141"/>
  <c r="A2" i="106"/>
  <c r="A290" i="82"/>
  <c r="F290" i="82"/>
  <c r="H290" i="82"/>
  <c r="K290" i="82"/>
  <c r="L290" i="82"/>
  <c r="M290" i="82"/>
  <c r="N290" i="82"/>
  <c r="F291" i="82"/>
  <c r="F292" i="82"/>
  <c r="F293" i="82"/>
  <c r="F294" i="82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6" i="106"/>
  <c r="B26" i="106"/>
  <c r="E28" i="106"/>
  <c r="B28" i="106"/>
  <c r="E29" i="106"/>
  <c r="B29" i="106"/>
  <c r="E6" i="106"/>
  <c r="E21" i="106"/>
  <c r="B21" i="106"/>
  <c r="B23" i="106"/>
  <c r="G23" i="106"/>
  <c r="E23" i="106"/>
  <c r="H23" i="106"/>
  <c r="G29" i="106"/>
  <c r="H29" i="106"/>
  <c r="O290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R3" i="106"/>
  <c r="O260" i="82"/>
  <c r="R4" i="106"/>
  <c r="O261" i="82"/>
  <c r="O262" i="82"/>
  <c r="O263" i="82"/>
  <c r="O264" i="82"/>
  <c r="O265" i="82"/>
  <c r="O266" i="82"/>
  <c r="O267" i="82"/>
  <c r="O268" i="82"/>
  <c r="O269" i="82"/>
  <c r="O270" i="82"/>
  <c r="O271" i="82"/>
  <c r="R5" i="106"/>
  <c r="O272" i="82"/>
  <c r="R6" i="106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1" i="82"/>
  <c r="O292" i="82"/>
  <c r="O293" i="82"/>
  <c r="O294" i="82"/>
  <c r="P290" i="82"/>
  <c r="A291" i="82"/>
  <c r="H291" i="82"/>
  <c r="K291" i="82"/>
  <c r="L291" i="82"/>
  <c r="M291" i="82"/>
  <c r="N291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P3" i="146"/>
  <c r="P4" i="146"/>
  <c r="P5" i="146"/>
  <c r="P2" i="146"/>
  <c r="I3" i="146"/>
  <c r="D3" i="146"/>
  <c r="J3" i="146"/>
  <c r="E3" i="146"/>
  <c r="F3" i="146"/>
  <c r="C3" i="146"/>
  <c r="H3" i="146"/>
  <c r="K3" i="146"/>
  <c r="L3" i="146"/>
  <c r="M3" i="146"/>
  <c r="N3" i="146"/>
  <c r="I4" i="146"/>
  <c r="D4" i="146"/>
  <c r="J4" i="146"/>
  <c r="E4" i="146"/>
  <c r="F4" i="146"/>
  <c r="C4" i="146"/>
  <c r="H4" i="146"/>
  <c r="K4" i="146"/>
  <c r="L4" i="146"/>
  <c r="M4" i="146"/>
  <c r="N4" i="146"/>
  <c r="I5" i="146"/>
  <c r="D5" i="146"/>
  <c r="J5" i="146"/>
  <c r="E5" i="146"/>
  <c r="F5" i="146"/>
  <c r="C5" i="146"/>
  <c r="H5" i="146"/>
  <c r="K5" i="146"/>
  <c r="L5" i="146"/>
  <c r="M5" i="146"/>
  <c r="N5" i="146"/>
  <c r="I2" i="146"/>
  <c r="D2" i="146"/>
  <c r="J2" i="146"/>
  <c r="E2" i="146"/>
  <c r="F2" i="146"/>
  <c r="C2" i="146"/>
  <c r="N2" i="146"/>
  <c r="M2" i="146"/>
  <c r="L2" i="146"/>
  <c r="K2" i="146"/>
  <c r="H2" i="146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" i="141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N283" i="141"/>
  <c r="M283" i="141"/>
  <c r="L283" i="141"/>
  <c r="K283" i="141"/>
  <c r="H283" i="141"/>
  <c r="N282" i="141"/>
  <c r="M282" i="141"/>
  <c r="L282" i="141"/>
  <c r="K282" i="141"/>
  <c r="H282" i="141"/>
  <c r="N281" i="141"/>
  <c r="M281" i="141"/>
  <c r="L281" i="141"/>
  <c r="K281" i="141"/>
  <c r="H281" i="141"/>
  <c r="N280" i="141"/>
  <c r="M280" i="141"/>
  <c r="L280" i="141"/>
  <c r="K280" i="141"/>
  <c r="H280" i="141"/>
  <c r="N279" i="141"/>
  <c r="M279" i="141"/>
  <c r="L279" i="141"/>
  <c r="K279" i="141"/>
  <c r="H279" i="141"/>
  <c r="N278" i="141"/>
  <c r="M278" i="141"/>
  <c r="L278" i="141"/>
  <c r="K278" i="141"/>
  <c r="H278" i="141"/>
  <c r="N277" i="141"/>
  <c r="M277" i="141"/>
  <c r="L277" i="141"/>
  <c r="K277" i="141"/>
  <c r="H277" i="141"/>
  <c r="N276" i="141"/>
  <c r="M276" i="141"/>
  <c r="L276" i="141"/>
  <c r="K276" i="141"/>
  <c r="H276" i="141"/>
  <c r="N275" i="141"/>
  <c r="M275" i="141"/>
  <c r="L275" i="141"/>
  <c r="K275" i="141"/>
  <c r="H275" i="141"/>
  <c r="N274" i="141"/>
  <c r="M274" i="141"/>
  <c r="L274" i="141"/>
  <c r="K274" i="141"/>
  <c r="H274" i="141"/>
  <c r="N273" i="141"/>
  <c r="M273" i="141"/>
  <c r="L273" i="141"/>
  <c r="K273" i="141"/>
  <c r="H273" i="141"/>
  <c r="N272" i="141"/>
  <c r="M272" i="141"/>
  <c r="L272" i="141"/>
  <c r="K272" i="141"/>
  <c r="H272" i="141"/>
  <c r="N271" i="141"/>
  <c r="M271" i="141"/>
  <c r="L271" i="141"/>
  <c r="K271" i="141"/>
  <c r="H271" i="141"/>
  <c r="N270" i="141"/>
  <c r="M270" i="141"/>
  <c r="L270" i="141"/>
  <c r="K270" i="141"/>
  <c r="H270" i="141"/>
  <c r="N269" i="141"/>
  <c r="M269" i="141"/>
  <c r="L269" i="141"/>
  <c r="K269" i="141"/>
  <c r="H269" i="141"/>
  <c r="N268" i="141"/>
  <c r="M268" i="141"/>
  <c r="L268" i="141"/>
  <c r="K268" i="141"/>
  <c r="H268" i="141"/>
  <c r="N267" i="141"/>
  <c r="M267" i="141"/>
  <c r="L267" i="141"/>
  <c r="K267" i="141"/>
  <c r="H267" i="141"/>
  <c r="N266" i="141"/>
  <c r="M266" i="141"/>
  <c r="L266" i="141"/>
  <c r="K266" i="141"/>
  <c r="H266" i="141"/>
  <c r="N265" i="141"/>
  <c r="M265" i="141"/>
  <c r="L265" i="141"/>
  <c r="K265" i="141"/>
  <c r="H265" i="141"/>
  <c r="N264" i="141"/>
  <c r="M264" i="141"/>
  <c r="L264" i="141"/>
  <c r="K264" i="141"/>
  <c r="H264" i="141"/>
  <c r="N263" i="141"/>
  <c r="M263" i="141"/>
  <c r="L263" i="141"/>
  <c r="K263" i="141"/>
  <c r="H263" i="141"/>
  <c r="N262" i="141"/>
  <c r="M262" i="141"/>
  <c r="L262" i="141"/>
  <c r="K262" i="141"/>
  <c r="H262" i="141"/>
  <c r="N261" i="141"/>
  <c r="M261" i="141"/>
  <c r="L261" i="141"/>
  <c r="K261" i="141"/>
  <c r="H261" i="141"/>
  <c r="N260" i="141"/>
  <c r="M260" i="141"/>
  <c r="L260" i="141"/>
  <c r="K260" i="141"/>
  <c r="H260" i="141"/>
  <c r="N259" i="141"/>
  <c r="M259" i="141"/>
  <c r="L259" i="141"/>
  <c r="K259" i="141"/>
  <c r="H259" i="141"/>
  <c r="N258" i="141"/>
  <c r="M258" i="141"/>
  <c r="L258" i="141"/>
  <c r="K258" i="141"/>
  <c r="H258" i="141"/>
  <c r="N257" i="141"/>
  <c r="M257" i="141"/>
  <c r="L257" i="141"/>
  <c r="K257" i="141"/>
  <c r="H257" i="141"/>
  <c r="N256" i="141"/>
  <c r="M256" i="141"/>
  <c r="L256" i="141"/>
  <c r="K256" i="141"/>
  <c r="H256" i="141"/>
  <c r="N255" i="141"/>
  <c r="M255" i="141"/>
  <c r="L255" i="141"/>
  <c r="K255" i="141"/>
  <c r="H255" i="141"/>
  <c r="N254" i="141"/>
  <c r="M254" i="141"/>
  <c r="L254" i="141"/>
  <c r="K254" i="141"/>
  <c r="H254" i="141"/>
  <c r="N253" i="141"/>
  <c r="M253" i="141"/>
  <c r="L253" i="141"/>
  <c r="K253" i="141"/>
  <c r="H253" i="141"/>
  <c r="N252" i="141"/>
  <c r="M252" i="141"/>
  <c r="L252" i="141"/>
  <c r="K252" i="141"/>
  <c r="H252" i="141"/>
  <c r="N251" i="141"/>
  <c r="M251" i="141"/>
  <c r="L251" i="141"/>
  <c r="K251" i="141"/>
  <c r="H251" i="141"/>
  <c r="N250" i="141"/>
  <c r="M250" i="141"/>
  <c r="L250" i="141"/>
  <c r="K250" i="141"/>
  <c r="H250" i="141"/>
  <c r="N249" i="141"/>
  <c r="M249" i="141"/>
  <c r="L249" i="141"/>
  <c r="K249" i="141"/>
  <c r="H249" i="141"/>
  <c r="N248" i="141"/>
  <c r="M248" i="141"/>
  <c r="L248" i="141"/>
  <c r="K248" i="141"/>
  <c r="H248" i="141"/>
  <c r="N247" i="141"/>
  <c r="M247" i="141"/>
  <c r="L247" i="141"/>
  <c r="K247" i="141"/>
  <c r="H247" i="141"/>
  <c r="N246" i="141"/>
  <c r="M246" i="141"/>
  <c r="L246" i="141"/>
  <c r="K246" i="141"/>
  <c r="H246" i="141"/>
  <c r="N245" i="141"/>
  <c r="M245" i="141"/>
  <c r="L245" i="141"/>
  <c r="K245" i="141"/>
  <c r="H245" i="141"/>
  <c r="N244" i="141"/>
  <c r="M244" i="141"/>
  <c r="L244" i="141"/>
  <c r="K244" i="141"/>
  <c r="H244" i="141"/>
  <c r="N243" i="141"/>
  <c r="M243" i="141"/>
  <c r="L243" i="141"/>
  <c r="K243" i="141"/>
  <c r="H243" i="141"/>
  <c r="N242" i="141"/>
  <c r="M242" i="141"/>
  <c r="L242" i="141"/>
  <c r="K242" i="141"/>
  <c r="H242" i="141"/>
  <c r="N241" i="141"/>
  <c r="M241" i="141"/>
  <c r="L241" i="141"/>
  <c r="K241" i="141"/>
  <c r="H241" i="141"/>
  <c r="N240" i="141"/>
  <c r="M240" i="141"/>
  <c r="L240" i="141"/>
  <c r="K240" i="141"/>
  <c r="H240" i="141"/>
  <c r="N239" i="141"/>
  <c r="M239" i="141"/>
  <c r="L239" i="141"/>
  <c r="K239" i="141"/>
  <c r="H239" i="141"/>
  <c r="N238" i="141"/>
  <c r="M238" i="141"/>
  <c r="L238" i="141"/>
  <c r="K238" i="141"/>
  <c r="H238" i="141"/>
  <c r="N237" i="141"/>
  <c r="M237" i="141"/>
  <c r="L237" i="141"/>
  <c r="K237" i="141"/>
  <c r="H237" i="141"/>
  <c r="N236" i="141"/>
  <c r="M236" i="141"/>
  <c r="L236" i="141"/>
  <c r="K236" i="141"/>
  <c r="H236" i="141"/>
  <c r="N235" i="141"/>
  <c r="M235" i="141"/>
  <c r="L235" i="141"/>
  <c r="K235" i="141"/>
  <c r="H235" i="141"/>
  <c r="N234" i="141"/>
  <c r="M234" i="141"/>
  <c r="L234" i="141"/>
  <c r="K234" i="141"/>
  <c r="H234" i="141"/>
  <c r="N233" i="141"/>
  <c r="M233" i="141"/>
  <c r="L233" i="141"/>
  <c r="K233" i="141"/>
  <c r="H233" i="141"/>
  <c r="N232" i="141"/>
  <c r="M232" i="141"/>
  <c r="L232" i="141"/>
  <c r="K232" i="141"/>
  <c r="H232" i="141"/>
  <c r="N231" i="141"/>
  <c r="M231" i="141"/>
  <c r="L231" i="141"/>
  <c r="K231" i="141"/>
  <c r="H231" i="141"/>
  <c r="N230" i="141"/>
  <c r="M230" i="141"/>
  <c r="L230" i="141"/>
  <c r="K230" i="141"/>
  <c r="H230" i="141"/>
  <c r="N229" i="141"/>
  <c r="M229" i="141"/>
  <c r="L229" i="141"/>
  <c r="K229" i="141"/>
  <c r="H229" i="141"/>
  <c r="N228" i="141"/>
  <c r="M228" i="141"/>
  <c r="L228" i="141"/>
  <c r="K228" i="141"/>
  <c r="H228" i="141"/>
  <c r="N227" i="141"/>
  <c r="M227" i="141"/>
  <c r="L227" i="141"/>
  <c r="K227" i="141"/>
  <c r="H227" i="141"/>
  <c r="N226" i="141"/>
  <c r="M226" i="141"/>
  <c r="L226" i="141"/>
  <c r="K226" i="141"/>
  <c r="H226" i="141"/>
  <c r="N225" i="141"/>
  <c r="M225" i="141"/>
  <c r="L225" i="141"/>
  <c r="K225" i="141"/>
  <c r="H225" i="141"/>
  <c r="N224" i="141"/>
  <c r="M224" i="141"/>
  <c r="L224" i="141"/>
  <c r="K224" i="141"/>
  <c r="H224" i="141"/>
  <c r="N223" i="141"/>
  <c r="M223" i="141"/>
  <c r="L223" i="141"/>
  <c r="K223" i="141"/>
  <c r="H223" i="141"/>
  <c r="N222" i="141"/>
  <c r="M222" i="141"/>
  <c r="L222" i="141"/>
  <c r="K222" i="141"/>
  <c r="H222" i="141"/>
  <c r="N221" i="141"/>
  <c r="M221" i="141"/>
  <c r="L221" i="141"/>
  <c r="K221" i="141"/>
  <c r="H221" i="141"/>
  <c r="N220" i="141"/>
  <c r="M220" i="141"/>
  <c r="L220" i="141"/>
  <c r="K220" i="141"/>
  <c r="H220" i="141"/>
  <c r="N219" i="141"/>
  <c r="M219" i="141"/>
  <c r="L219" i="141"/>
  <c r="K219" i="141"/>
  <c r="H219" i="141"/>
  <c r="N218" i="141"/>
  <c r="M218" i="141"/>
  <c r="L218" i="141"/>
  <c r="K218" i="141"/>
  <c r="H218" i="141"/>
  <c r="N217" i="141"/>
  <c r="M217" i="141"/>
  <c r="L217" i="141"/>
  <c r="K217" i="141"/>
  <c r="H217" i="141"/>
  <c r="N216" i="141"/>
  <c r="M216" i="141"/>
  <c r="L216" i="141"/>
  <c r="K216" i="141"/>
  <c r="H216" i="141"/>
  <c r="N215" i="141"/>
  <c r="M215" i="141"/>
  <c r="L215" i="141"/>
  <c r="K215" i="141"/>
  <c r="H215" i="141"/>
  <c r="N214" i="141"/>
  <c r="M214" i="141"/>
  <c r="L214" i="141"/>
  <c r="K214" i="141"/>
  <c r="H214" i="141"/>
  <c r="N213" i="141"/>
  <c r="M213" i="141"/>
  <c r="L213" i="141"/>
  <c r="K213" i="141"/>
  <c r="H213" i="141"/>
  <c r="N212" i="141"/>
  <c r="M212" i="141"/>
  <c r="L212" i="141"/>
  <c r="K212" i="141"/>
  <c r="H212" i="141"/>
  <c r="N211" i="141"/>
  <c r="M211" i="141"/>
  <c r="L211" i="141"/>
  <c r="K211" i="141"/>
  <c r="H211" i="141"/>
  <c r="N210" i="141"/>
  <c r="M210" i="141"/>
  <c r="L210" i="141"/>
  <c r="K210" i="141"/>
  <c r="H210" i="141"/>
  <c r="N209" i="141"/>
  <c r="M209" i="141"/>
  <c r="L209" i="141"/>
  <c r="K209" i="141"/>
  <c r="H209" i="141"/>
  <c r="N208" i="141"/>
  <c r="M208" i="141"/>
  <c r="L208" i="141"/>
  <c r="K208" i="141"/>
  <c r="H208" i="141"/>
  <c r="N207" i="141"/>
  <c r="M207" i="141"/>
  <c r="L207" i="141"/>
  <c r="K207" i="141"/>
  <c r="H207" i="141"/>
  <c r="N206" i="141"/>
  <c r="M206" i="141"/>
  <c r="L206" i="141"/>
  <c r="K206" i="141"/>
  <c r="H206" i="141"/>
  <c r="N205" i="141"/>
  <c r="M205" i="141"/>
  <c r="L205" i="141"/>
  <c r="K205" i="141"/>
  <c r="H205" i="141"/>
  <c r="N204" i="141"/>
  <c r="M204" i="141"/>
  <c r="L204" i="141"/>
  <c r="K204" i="141"/>
  <c r="H204" i="141"/>
  <c r="N203" i="141"/>
  <c r="M203" i="141"/>
  <c r="L203" i="141"/>
  <c r="K203" i="141"/>
  <c r="H203" i="141"/>
  <c r="N202" i="141"/>
  <c r="M202" i="141"/>
  <c r="L202" i="141"/>
  <c r="K202" i="141"/>
  <c r="H202" i="141"/>
  <c r="N201" i="141"/>
  <c r="M201" i="141"/>
  <c r="L201" i="141"/>
  <c r="K201" i="141"/>
  <c r="H201" i="141"/>
  <c r="N200" i="141"/>
  <c r="M200" i="141"/>
  <c r="L200" i="141"/>
  <c r="K200" i="141"/>
  <c r="H200" i="141"/>
  <c r="N199" i="141"/>
  <c r="M199" i="141"/>
  <c r="L199" i="141"/>
  <c r="K199" i="141"/>
  <c r="H199" i="141"/>
  <c r="N198" i="141"/>
  <c r="M198" i="141"/>
  <c r="L198" i="141"/>
  <c r="K198" i="141"/>
  <c r="H198" i="141"/>
  <c r="N197" i="141"/>
  <c r="M197" i="141"/>
  <c r="L197" i="141"/>
  <c r="K197" i="141"/>
  <c r="H197" i="141"/>
  <c r="N196" i="141"/>
  <c r="M196" i="141"/>
  <c r="L196" i="141"/>
  <c r="K196" i="141"/>
  <c r="H196" i="141"/>
  <c r="N195" i="141"/>
  <c r="M195" i="141"/>
  <c r="L195" i="141"/>
  <c r="K195" i="141"/>
  <c r="H195" i="141"/>
  <c r="N194" i="141"/>
  <c r="M194" i="141"/>
  <c r="L194" i="141"/>
  <c r="K194" i="141"/>
  <c r="H194" i="141"/>
  <c r="N193" i="141"/>
  <c r="M193" i="141"/>
  <c r="L193" i="141"/>
  <c r="K193" i="141"/>
  <c r="H193" i="141"/>
  <c r="N192" i="141"/>
  <c r="M192" i="141"/>
  <c r="L192" i="141"/>
  <c r="K192" i="141"/>
  <c r="H192" i="141"/>
  <c r="N191" i="141"/>
  <c r="M191" i="141"/>
  <c r="L191" i="141"/>
  <c r="K191" i="141"/>
  <c r="H191" i="141"/>
  <c r="N190" i="141"/>
  <c r="M190" i="141"/>
  <c r="L190" i="141"/>
  <c r="K190" i="141"/>
  <c r="H190" i="141"/>
  <c r="N189" i="141"/>
  <c r="M189" i="141"/>
  <c r="L189" i="141"/>
  <c r="K189" i="141"/>
  <c r="H189" i="141"/>
  <c r="N188" i="141"/>
  <c r="M188" i="141"/>
  <c r="L188" i="141"/>
  <c r="K188" i="141"/>
  <c r="H188" i="141"/>
  <c r="N187" i="141"/>
  <c r="M187" i="141"/>
  <c r="L187" i="141"/>
  <c r="K187" i="141"/>
  <c r="H187" i="141"/>
  <c r="N186" i="141"/>
  <c r="M186" i="141"/>
  <c r="L186" i="141"/>
  <c r="K186" i="141"/>
  <c r="H186" i="141"/>
  <c r="N185" i="141"/>
  <c r="M185" i="141"/>
  <c r="L185" i="141"/>
  <c r="K185" i="141"/>
  <c r="H185" i="141"/>
  <c r="N184" i="141"/>
  <c r="M184" i="141"/>
  <c r="L184" i="141"/>
  <c r="K184" i="141"/>
  <c r="H184" i="141"/>
  <c r="N183" i="141"/>
  <c r="M183" i="141"/>
  <c r="L183" i="141"/>
  <c r="K183" i="141"/>
  <c r="H183" i="141"/>
  <c r="N182" i="141"/>
  <c r="M182" i="141"/>
  <c r="L182" i="141"/>
  <c r="K182" i="141"/>
  <c r="H182" i="141"/>
  <c r="N181" i="141"/>
  <c r="M181" i="141"/>
  <c r="L181" i="141"/>
  <c r="K181" i="141"/>
  <c r="H181" i="141"/>
  <c r="N180" i="141"/>
  <c r="M180" i="141"/>
  <c r="L180" i="141"/>
  <c r="K180" i="141"/>
  <c r="H180" i="141"/>
  <c r="N179" i="141"/>
  <c r="M179" i="141"/>
  <c r="L179" i="141"/>
  <c r="K179" i="141"/>
  <c r="H179" i="141"/>
  <c r="N178" i="141"/>
  <c r="M178" i="141"/>
  <c r="L178" i="141"/>
  <c r="K178" i="141"/>
  <c r="H178" i="141"/>
  <c r="N177" i="141"/>
  <c r="M177" i="141"/>
  <c r="L177" i="141"/>
  <c r="K177" i="141"/>
  <c r="H177" i="141"/>
  <c r="N176" i="141"/>
  <c r="M176" i="141"/>
  <c r="L176" i="141"/>
  <c r="K176" i="141"/>
  <c r="H176" i="141"/>
  <c r="N175" i="141"/>
  <c r="M175" i="141"/>
  <c r="L175" i="141"/>
  <c r="K175" i="141"/>
  <c r="H175" i="141"/>
  <c r="N174" i="141"/>
  <c r="M174" i="141"/>
  <c r="L174" i="141"/>
  <c r="K174" i="141"/>
  <c r="H174" i="141"/>
  <c r="N173" i="141"/>
  <c r="M173" i="141"/>
  <c r="L173" i="141"/>
  <c r="K173" i="141"/>
  <c r="H173" i="141"/>
  <c r="N172" i="141"/>
  <c r="M172" i="141"/>
  <c r="L172" i="141"/>
  <c r="K172" i="141"/>
  <c r="H172" i="141"/>
  <c r="N171" i="141"/>
  <c r="M171" i="141"/>
  <c r="L171" i="141"/>
  <c r="K171" i="141"/>
  <c r="H171" i="141"/>
  <c r="N170" i="141"/>
  <c r="M170" i="141"/>
  <c r="L170" i="141"/>
  <c r="K170" i="141"/>
  <c r="H170" i="141"/>
  <c r="N169" i="141"/>
  <c r="M169" i="141"/>
  <c r="L169" i="141"/>
  <c r="K169" i="141"/>
  <c r="H169" i="141"/>
  <c r="N168" i="141"/>
  <c r="M168" i="141"/>
  <c r="L168" i="141"/>
  <c r="K168" i="141"/>
  <c r="H168" i="141"/>
  <c r="N167" i="141"/>
  <c r="M167" i="141"/>
  <c r="L167" i="141"/>
  <c r="K167" i="141"/>
  <c r="H167" i="141"/>
  <c r="N166" i="141"/>
  <c r="M166" i="141"/>
  <c r="L166" i="141"/>
  <c r="K166" i="141"/>
  <c r="H166" i="141"/>
  <c r="N165" i="141"/>
  <c r="M165" i="141"/>
  <c r="L165" i="141"/>
  <c r="K165" i="141"/>
  <c r="H165" i="141"/>
  <c r="N164" i="141"/>
  <c r="M164" i="141"/>
  <c r="L164" i="141"/>
  <c r="K164" i="141"/>
  <c r="H164" i="141"/>
  <c r="N163" i="141"/>
  <c r="M163" i="141"/>
  <c r="L163" i="141"/>
  <c r="K163" i="141"/>
  <c r="H163" i="141"/>
  <c r="N162" i="141"/>
  <c r="M162" i="141"/>
  <c r="L162" i="141"/>
  <c r="K162" i="141"/>
  <c r="H162" i="141"/>
  <c r="N161" i="141"/>
  <c r="M161" i="141"/>
  <c r="L161" i="141"/>
  <c r="K161" i="141"/>
  <c r="H161" i="141"/>
  <c r="N160" i="141"/>
  <c r="M160" i="141"/>
  <c r="L160" i="141"/>
  <c r="K160" i="141"/>
  <c r="H160" i="141"/>
  <c r="N159" i="141"/>
  <c r="M159" i="141"/>
  <c r="L159" i="141"/>
  <c r="K159" i="141"/>
  <c r="H159" i="141"/>
  <c r="N158" i="141"/>
  <c r="M158" i="141"/>
  <c r="L158" i="141"/>
  <c r="K158" i="141"/>
  <c r="H158" i="141"/>
  <c r="N157" i="141"/>
  <c r="M157" i="141"/>
  <c r="L157" i="141"/>
  <c r="K157" i="141"/>
  <c r="H157" i="141"/>
  <c r="N156" i="141"/>
  <c r="M156" i="141"/>
  <c r="L156" i="141"/>
  <c r="K156" i="141"/>
  <c r="H156" i="141"/>
  <c r="N155" i="141"/>
  <c r="M155" i="141"/>
  <c r="L155" i="141"/>
  <c r="K155" i="141"/>
  <c r="H155" i="141"/>
  <c r="N154" i="141"/>
  <c r="M154" i="141"/>
  <c r="L154" i="141"/>
  <c r="K154" i="141"/>
  <c r="H154" i="141"/>
  <c r="N153" i="141"/>
  <c r="M153" i="141"/>
  <c r="L153" i="141"/>
  <c r="K153" i="141"/>
  <c r="H153" i="141"/>
  <c r="N152" i="141"/>
  <c r="M152" i="141"/>
  <c r="L152" i="141"/>
  <c r="K152" i="141"/>
  <c r="H152" i="141"/>
  <c r="N151" i="141"/>
  <c r="M151" i="141"/>
  <c r="L151" i="141"/>
  <c r="K151" i="141"/>
  <c r="H151" i="141"/>
  <c r="N150" i="141"/>
  <c r="M150" i="141"/>
  <c r="L150" i="141"/>
  <c r="K150" i="141"/>
  <c r="H150" i="141"/>
  <c r="N149" i="141"/>
  <c r="M149" i="141"/>
  <c r="L149" i="141"/>
  <c r="K149" i="141"/>
  <c r="H149" i="141"/>
  <c r="N148" i="141"/>
  <c r="M148" i="141"/>
  <c r="L148" i="141"/>
  <c r="K148" i="141"/>
  <c r="H148" i="141"/>
  <c r="N147" i="141"/>
  <c r="M147" i="141"/>
  <c r="L147" i="141"/>
  <c r="K147" i="141"/>
  <c r="H147" i="141"/>
  <c r="N146" i="141"/>
  <c r="M146" i="141"/>
  <c r="L146" i="141"/>
  <c r="K146" i="141"/>
  <c r="H146" i="141"/>
  <c r="N145" i="141"/>
  <c r="M145" i="141"/>
  <c r="L145" i="141"/>
  <c r="K145" i="141"/>
  <c r="H145" i="141"/>
  <c r="N144" i="141"/>
  <c r="M144" i="141"/>
  <c r="L144" i="141"/>
  <c r="K144" i="141"/>
  <c r="H144" i="141"/>
  <c r="N143" i="141"/>
  <c r="M143" i="141"/>
  <c r="L143" i="141"/>
  <c r="K143" i="141"/>
  <c r="H143" i="141"/>
  <c r="N142" i="141"/>
  <c r="M142" i="141"/>
  <c r="L142" i="141"/>
  <c r="K142" i="141"/>
  <c r="H142" i="141"/>
  <c r="N141" i="141"/>
  <c r="M141" i="141"/>
  <c r="L141" i="141"/>
  <c r="K141" i="141"/>
  <c r="H141" i="141"/>
  <c r="N140" i="141"/>
  <c r="M140" i="141"/>
  <c r="L140" i="141"/>
  <c r="K140" i="141"/>
  <c r="H140" i="141"/>
  <c r="N139" i="141"/>
  <c r="M139" i="141"/>
  <c r="L139" i="141"/>
  <c r="K139" i="141"/>
  <c r="H139" i="141"/>
  <c r="N138" i="141"/>
  <c r="M138" i="141"/>
  <c r="L138" i="141"/>
  <c r="K138" i="141"/>
  <c r="H138" i="141"/>
  <c r="N137" i="141"/>
  <c r="M137" i="141"/>
  <c r="L137" i="141"/>
  <c r="K137" i="141"/>
  <c r="H137" i="141"/>
  <c r="N136" i="141"/>
  <c r="M136" i="141"/>
  <c r="L136" i="141"/>
  <c r="K136" i="141"/>
  <c r="H136" i="141"/>
  <c r="N135" i="141"/>
  <c r="M135" i="141"/>
  <c r="L135" i="141"/>
  <c r="K135" i="141"/>
  <c r="H135" i="141"/>
  <c r="N134" i="141"/>
  <c r="M134" i="141"/>
  <c r="L134" i="141"/>
  <c r="K134" i="141"/>
  <c r="H134" i="141"/>
  <c r="N133" i="141"/>
  <c r="M133" i="141"/>
  <c r="L133" i="141"/>
  <c r="K133" i="141"/>
  <c r="H133" i="141"/>
  <c r="N132" i="141"/>
  <c r="M132" i="141"/>
  <c r="L132" i="141"/>
  <c r="K132" i="141"/>
  <c r="H132" i="141"/>
  <c r="N131" i="141"/>
  <c r="M131" i="141"/>
  <c r="L131" i="141"/>
  <c r="K131" i="141"/>
  <c r="H131" i="141"/>
  <c r="N130" i="141"/>
  <c r="M130" i="141"/>
  <c r="L130" i="141"/>
  <c r="K130" i="141"/>
  <c r="H130" i="141"/>
  <c r="N129" i="141"/>
  <c r="M129" i="141"/>
  <c r="L129" i="141"/>
  <c r="K129" i="141"/>
  <c r="H129" i="141"/>
  <c r="N128" i="141"/>
  <c r="M128" i="141"/>
  <c r="L128" i="141"/>
  <c r="K128" i="141"/>
  <c r="H128" i="141"/>
  <c r="N127" i="141"/>
  <c r="M127" i="141"/>
  <c r="L127" i="141"/>
  <c r="K127" i="141"/>
  <c r="H127" i="141"/>
  <c r="N126" i="141"/>
  <c r="M126" i="141"/>
  <c r="L126" i="141"/>
  <c r="K126" i="141"/>
  <c r="H126" i="141"/>
  <c r="N125" i="141"/>
  <c r="M125" i="141"/>
  <c r="L125" i="141"/>
  <c r="K125" i="141"/>
  <c r="H125" i="141"/>
  <c r="N124" i="141"/>
  <c r="M124" i="141"/>
  <c r="L124" i="141"/>
  <c r="K124" i="141"/>
  <c r="H124" i="141"/>
  <c r="N123" i="141"/>
  <c r="M123" i="141"/>
  <c r="L123" i="141"/>
  <c r="K123" i="141"/>
  <c r="H123" i="141"/>
  <c r="N122" i="141"/>
  <c r="M122" i="141"/>
  <c r="L122" i="141"/>
  <c r="K122" i="141"/>
  <c r="H122" i="141"/>
  <c r="N121" i="141"/>
  <c r="M121" i="141"/>
  <c r="L121" i="141"/>
  <c r="K121" i="141"/>
  <c r="H121" i="141"/>
  <c r="N120" i="141"/>
  <c r="M120" i="141"/>
  <c r="L120" i="141"/>
  <c r="K120" i="141"/>
  <c r="H120" i="141"/>
  <c r="N119" i="141"/>
  <c r="M119" i="141"/>
  <c r="L119" i="141"/>
  <c r="K119" i="141"/>
  <c r="H119" i="141"/>
  <c r="N118" i="141"/>
  <c r="M118" i="141"/>
  <c r="L118" i="141"/>
  <c r="K118" i="141"/>
  <c r="H118" i="141"/>
  <c r="N117" i="141"/>
  <c r="M117" i="141"/>
  <c r="L117" i="141"/>
  <c r="K117" i="141"/>
  <c r="H117" i="141"/>
  <c r="N116" i="141"/>
  <c r="M116" i="141"/>
  <c r="L116" i="141"/>
  <c r="K116" i="141"/>
  <c r="H116" i="141"/>
  <c r="N115" i="141"/>
  <c r="M115" i="141"/>
  <c r="L115" i="141"/>
  <c r="K115" i="141"/>
  <c r="H115" i="141"/>
  <c r="N114" i="141"/>
  <c r="M114" i="141"/>
  <c r="L114" i="141"/>
  <c r="K114" i="141"/>
  <c r="H114" i="141"/>
  <c r="N113" i="141"/>
  <c r="M113" i="141"/>
  <c r="L113" i="141"/>
  <c r="K113" i="141"/>
  <c r="H113" i="141"/>
  <c r="N112" i="141"/>
  <c r="M112" i="141"/>
  <c r="L112" i="141"/>
  <c r="K112" i="141"/>
  <c r="H112" i="141"/>
  <c r="N111" i="141"/>
  <c r="M111" i="141"/>
  <c r="L111" i="141"/>
  <c r="K111" i="141"/>
  <c r="H111" i="141"/>
  <c r="N110" i="141"/>
  <c r="M110" i="141"/>
  <c r="L110" i="141"/>
  <c r="K110" i="141"/>
  <c r="H110" i="141"/>
  <c r="N109" i="141"/>
  <c r="M109" i="141"/>
  <c r="L109" i="141"/>
  <c r="K109" i="141"/>
  <c r="H109" i="141"/>
  <c r="N108" i="141"/>
  <c r="M108" i="141"/>
  <c r="L108" i="141"/>
  <c r="K108" i="141"/>
  <c r="H108" i="141"/>
  <c r="N107" i="141"/>
  <c r="M107" i="141"/>
  <c r="L107" i="141"/>
  <c r="K107" i="141"/>
  <c r="H107" i="141"/>
  <c r="N106" i="141"/>
  <c r="M106" i="141"/>
  <c r="L106" i="141"/>
  <c r="K106" i="141"/>
  <c r="H106" i="141"/>
  <c r="N105" i="141"/>
  <c r="M105" i="141"/>
  <c r="L105" i="141"/>
  <c r="K105" i="141"/>
  <c r="H105" i="141"/>
  <c r="N104" i="141"/>
  <c r="M104" i="141"/>
  <c r="L104" i="141"/>
  <c r="K104" i="141"/>
  <c r="H104" i="141"/>
  <c r="N103" i="141"/>
  <c r="M103" i="141"/>
  <c r="L103" i="141"/>
  <c r="K103" i="141"/>
  <c r="H103" i="141"/>
  <c r="N102" i="141"/>
  <c r="M102" i="141"/>
  <c r="L102" i="141"/>
  <c r="K102" i="141"/>
  <c r="H102" i="141"/>
  <c r="N101" i="141"/>
  <c r="M101" i="141"/>
  <c r="L101" i="141"/>
  <c r="K101" i="141"/>
  <c r="H101" i="141"/>
  <c r="N100" i="141"/>
  <c r="M100" i="141"/>
  <c r="L100" i="141"/>
  <c r="K100" i="141"/>
  <c r="H100" i="141"/>
  <c r="N99" i="141"/>
  <c r="M99" i="141"/>
  <c r="L99" i="141"/>
  <c r="K99" i="141"/>
  <c r="H99" i="141"/>
  <c r="N98" i="141"/>
  <c r="M98" i="141"/>
  <c r="L98" i="141"/>
  <c r="K98" i="141"/>
  <c r="H98" i="141"/>
  <c r="N97" i="141"/>
  <c r="M97" i="141"/>
  <c r="L97" i="141"/>
  <c r="K97" i="141"/>
  <c r="H97" i="141"/>
  <c r="N96" i="141"/>
  <c r="M96" i="141"/>
  <c r="L96" i="141"/>
  <c r="K96" i="141"/>
  <c r="H96" i="141"/>
  <c r="N95" i="141"/>
  <c r="M95" i="141"/>
  <c r="L95" i="141"/>
  <c r="K95" i="141"/>
  <c r="H95" i="141"/>
  <c r="N94" i="141"/>
  <c r="M94" i="141"/>
  <c r="L94" i="141"/>
  <c r="K94" i="141"/>
  <c r="H94" i="141"/>
  <c r="N93" i="141"/>
  <c r="M93" i="141"/>
  <c r="L93" i="141"/>
  <c r="K93" i="141"/>
  <c r="H93" i="141"/>
  <c r="N92" i="141"/>
  <c r="M92" i="141"/>
  <c r="L92" i="141"/>
  <c r="K92" i="141"/>
  <c r="H92" i="141"/>
  <c r="N91" i="141"/>
  <c r="M91" i="141"/>
  <c r="L91" i="141"/>
  <c r="K91" i="141"/>
  <c r="H91" i="141"/>
  <c r="N90" i="141"/>
  <c r="M90" i="141"/>
  <c r="L90" i="141"/>
  <c r="K90" i="141"/>
  <c r="H90" i="141"/>
  <c r="N89" i="141"/>
  <c r="M89" i="141"/>
  <c r="L89" i="141"/>
  <c r="K89" i="141"/>
  <c r="H89" i="141"/>
  <c r="N88" i="141"/>
  <c r="M88" i="141"/>
  <c r="L88" i="141"/>
  <c r="K88" i="141"/>
  <c r="H88" i="141"/>
  <c r="N87" i="141"/>
  <c r="M87" i="141"/>
  <c r="L87" i="141"/>
  <c r="K87" i="141"/>
  <c r="H87" i="141"/>
  <c r="N86" i="141"/>
  <c r="M86" i="141"/>
  <c r="L86" i="141"/>
  <c r="K86" i="141"/>
  <c r="H86" i="141"/>
  <c r="N85" i="141"/>
  <c r="M85" i="141"/>
  <c r="L85" i="141"/>
  <c r="K85" i="141"/>
  <c r="H85" i="141"/>
  <c r="N84" i="141"/>
  <c r="M84" i="141"/>
  <c r="L84" i="141"/>
  <c r="K84" i="141"/>
  <c r="H84" i="141"/>
  <c r="N83" i="141"/>
  <c r="M83" i="141"/>
  <c r="L83" i="141"/>
  <c r="K83" i="141"/>
  <c r="H83" i="141"/>
  <c r="N82" i="141"/>
  <c r="M82" i="141"/>
  <c r="L82" i="141"/>
  <c r="K82" i="141"/>
  <c r="H82" i="141"/>
  <c r="N81" i="141"/>
  <c r="M81" i="141"/>
  <c r="L81" i="141"/>
  <c r="K81" i="141"/>
  <c r="H81" i="141"/>
  <c r="N80" i="141"/>
  <c r="M80" i="141"/>
  <c r="L80" i="141"/>
  <c r="K80" i="141"/>
  <c r="H80" i="141"/>
  <c r="N79" i="141"/>
  <c r="M79" i="141"/>
  <c r="L79" i="141"/>
  <c r="K79" i="141"/>
  <c r="H79" i="141"/>
  <c r="N78" i="141"/>
  <c r="M78" i="141"/>
  <c r="L78" i="141"/>
  <c r="K78" i="141"/>
  <c r="H78" i="141"/>
  <c r="N77" i="141"/>
  <c r="M77" i="141"/>
  <c r="L77" i="141"/>
  <c r="K77" i="141"/>
  <c r="H77" i="141"/>
  <c r="N76" i="141"/>
  <c r="M76" i="141"/>
  <c r="L76" i="141"/>
  <c r="K76" i="141"/>
  <c r="H76" i="141"/>
  <c r="N75" i="141"/>
  <c r="M75" i="141"/>
  <c r="L75" i="141"/>
  <c r="K75" i="141"/>
  <c r="H75" i="141"/>
  <c r="N74" i="141"/>
  <c r="M74" i="141"/>
  <c r="L74" i="141"/>
  <c r="K74" i="141"/>
  <c r="H74" i="141"/>
  <c r="N73" i="141"/>
  <c r="M73" i="141"/>
  <c r="L73" i="141"/>
  <c r="K73" i="141"/>
  <c r="H73" i="141"/>
  <c r="N72" i="141"/>
  <c r="M72" i="141"/>
  <c r="L72" i="141"/>
  <c r="K72" i="141"/>
  <c r="H72" i="141"/>
  <c r="N71" i="141"/>
  <c r="M71" i="141"/>
  <c r="L71" i="141"/>
  <c r="K71" i="141"/>
  <c r="H71" i="141"/>
  <c r="N70" i="141"/>
  <c r="M70" i="141"/>
  <c r="L70" i="141"/>
  <c r="K70" i="141"/>
  <c r="H70" i="141"/>
  <c r="N69" i="141"/>
  <c r="M69" i="141"/>
  <c r="L69" i="141"/>
  <c r="K69" i="141"/>
  <c r="H69" i="141"/>
  <c r="N68" i="141"/>
  <c r="M68" i="141"/>
  <c r="L68" i="141"/>
  <c r="K68" i="141"/>
  <c r="H68" i="141"/>
  <c r="N67" i="141"/>
  <c r="M67" i="141"/>
  <c r="L67" i="141"/>
  <c r="K67" i="141"/>
  <c r="H67" i="141"/>
  <c r="N66" i="141"/>
  <c r="M66" i="141"/>
  <c r="L66" i="141"/>
  <c r="K66" i="141"/>
  <c r="H66" i="141"/>
  <c r="N65" i="141"/>
  <c r="M65" i="141"/>
  <c r="L65" i="141"/>
  <c r="K65" i="141"/>
  <c r="H65" i="141"/>
  <c r="N64" i="141"/>
  <c r="M64" i="141"/>
  <c r="L64" i="141"/>
  <c r="K64" i="141"/>
  <c r="H64" i="141"/>
  <c r="N63" i="141"/>
  <c r="M63" i="141"/>
  <c r="L63" i="141"/>
  <c r="K63" i="141"/>
  <c r="H63" i="141"/>
  <c r="N62" i="141"/>
  <c r="M62" i="141"/>
  <c r="L62" i="141"/>
  <c r="K62" i="141"/>
  <c r="H62" i="141"/>
  <c r="N61" i="141"/>
  <c r="M61" i="141"/>
  <c r="L61" i="141"/>
  <c r="K61" i="141"/>
  <c r="H61" i="141"/>
  <c r="N60" i="141"/>
  <c r="M60" i="141"/>
  <c r="L60" i="141"/>
  <c r="K60" i="141"/>
  <c r="H60" i="141"/>
  <c r="N59" i="141"/>
  <c r="M59" i="141"/>
  <c r="L59" i="141"/>
  <c r="K59" i="141"/>
  <c r="H59" i="141"/>
  <c r="N58" i="141"/>
  <c r="M58" i="141"/>
  <c r="L58" i="141"/>
  <c r="K58" i="141"/>
  <c r="H58" i="141"/>
  <c r="N57" i="141"/>
  <c r="M57" i="141"/>
  <c r="L57" i="141"/>
  <c r="K57" i="141"/>
  <c r="H57" i="141"/>
  <c r="N56" i="141"/>
  <c r="M56" i="141"/>
  <c r="L56" i="141"/>
  <c r="K56" i="141"/>
  <c r="H56" i="141"/>
  <c r="N55" i="141"/>
  <c r="M55" i="141"/>
  <c r="L55" i="141"/>
  <c r="K55" i="141"/>
  <c r="H55" i="141"/>
  <c r="N54" i="141"/>
  <c r="M54" i="141"/>
  <c r="L54" i="141"/>
  <c r="K54" i="141"/>
  <c r="H54" i="141"/>
  <c r="N53" i="141"/>
  <c r="M53" i="141"/>
  <c r="L53" i="141"/>
  <c r="K53" i="141"/>
  <c r="H53" i="141"/>
  <c r="N52" i="141"/>
  <c r="M52" i="141"/>
  <c r="L52" i="141"/>
  <c r="K52" i="141"/>
  <c r="H52" i="141"/>
  <c r="N51" i="141"/>
  <c r="M51" i="141"/>
  <c r="L51" i="141"/>
  <c r="K51" i="141"/>
  <c r="H51" i="141"/>
  <c r="N50" i="141"/>
  <c r="M50" i="141"/>
  <c r="L50" i="141"/>
  <c r="K50" i="141"/>
  <c r="H50" i="141"/>
  <c r="N49" i="141"/>
  <c r="M49" i="141"/>
  <c r="L49" i="141"/>
  <c r="K49" i="141"/>
  <c r="H49" i="141"/>
  <c r="N48" i="141"/>
  <c r="M48" i="141"/>
  <c r="L48" i="141"/>
  <c r="K48" i="141"/>
  <c r="H48" i="141"/>
  <c r="N47" i="141"/>
  <c r="M47" i="141"/>
  <c r="L47" i="141"/>
  <c r="K47" i="141"/>
  <c r="H47" i="141"/>
  <c r="N46" i="141"/>
  <c r="M46" i="141"/>
  <c r="L46" i="141"/>
  <c r="K46" i="141"/>
  <c r="H46" i="141"/>
  <c r="N45" i="141"/>
  <c r="M45" i="141"/>
  <c r="L45" i="141"/>
  <c r="K45" i="141"/>
  <c r="H45" i="141"/>
  <c r="N44" i="141"/>
  <c r="M44" i="141"/>
  <c r="L44" i="141"/>
  <c r="K44" i="141"/>
  <c r="H44" i="141"/>
  <c r="N43" i="141"/>
  <c r="M43" i="141"/>
  <c r="L43" i="141"/>
  <c r="K43" i="141"/>
  <c r="H43" i="141"/>
  <c r="N42" i="141"/>
  <c r="M42" i="141"/>
  <c r="L42" i="141"/>
  <c r="K42" i="141"/>
  <c r="H42" i="141"/>
  <c r="N41" i="141"/>
  <c r="M41" i="141"/>
  <c r="L41" i="141"/>
  <c r="K41" i="141"/>
  <c r="H41" i="141"/>
  <c r="N40" i="141"/>
  <c r="M40" i="141"/>
  <c r="L40" i="141"/>
  <c r="K40" i="141"/>
  <c r="H40" i="141"/>
  <c r="N39" i="141"/>
  <c r="M39" i="141"/>
  <c r="L39" i="141"/>
  <c r="K39" i="141"/>
  <c r="H39" i="141"/>
  <c r="N38" i="141"/>
  <c r="M38" i="141"/>
  <c r="L38" i="141"/>
  <c r="K38" i="141"/>
  <c r="H38" i="141"/>
  <c r="N37" i="141"/>
  <c r="M37" i="141"/>
  <c r="L37" i="141"/>
  <c r="K37" i="141"/>
  <c r="H37" i="141"/>
  <c r="N36" i="141"/>
  <c r="M36" i="141"/>
  <c r="L36" i="141"/>
  <c r="K36" i="141"/>
  <c r="H36" i="141"/>
  <c r="N35" i="141"/>
  <c r="M35" i="141"/>
  <c r="L35" i="141"/>
  <c r="K35" i="141"/>
  <c r="H35" i="141"/>
  <c r="N34" i="141"/>
  <c r="M34" i="141"/>
  <c r="L34" i="141"/>
  <c r="K34" i="141"/>
  <c r="H34" i="141"/>
  <c r="N33" i="141"/>
  <c r="M33" i="141"/>
  <c r="L33" i="141"/>
  <c r="K33" i="141"/>
  <c r="H33" i="141"/>
  <c r="N32" i="141"/>
  <c r="M32" i="141"/>
  <c r="L32" i="141"/>
  <c r="K32" i="141"/>
  <c r="H32" i="141"/>
  <c r="N31" i="141"/>
  <c r="M31" i="141"/>
  <c r="L31" i="141"/>
  <c r="K31" i="141"/>
  <c r="H31" i="141"/>
  <c r="N30" i="141"/>
  <c r="M30" i="141"/>
  <c r="L30" i="141"/>
  <c r="K30" i="141"/>
  <c r="H30" i="141"/>
  <c r="N29" i="141"/>
  <c r="M29" i="141"/>
  <c r="L29" i="141"/>
  <c r="K29" i="141"/>
  <c r="H29" i="141"/>
  <c r="N28" i="141"/>
  <c r="M28" i="141"/>
  <c r="L28" i="141"/>
  <c r="K28" i="141"/>
  <c r="H28" i="141"/>
  <c r="N27" i="141"/>
  <c r="M27" i="141"/>
  <c r="L27" i="141"/>
  <c r="K27" i="141"/>
  <c r="H27" i="141"/>
  <c r="N26" i="141"/>
  <c r="M26" i="141"/>
  <c r="L26" i="141"/>
  <c r="K26" i="141"/>
  <c r="H26" i="141"/>
  <c r="N25" i="141"/>
  <c r="M25" i="141"/>
  <c r="L25" i="141"/>
  <c r="K25" i="141"/>
  <c r="H25" i="141"/>
  <c r="N24" i="141"/>
  <c r="M24" i="141"/>
  <c r="L24" i="141"/>
  <c r="K24" i="141"/>
  <c r="H24" i="141"/>
  <c r="N23" i="141"/>
  <c r="M23" i="141"/>
  <c r="L23" i="141"/>
  <c r="K23" i="141"/>
  <c r="H23" i="141"/>
  <c r="N22" i="141"/>
  <c r="M22" i="141"/>
  <c r="L22" i="141"/>
  <c r="K22" i="141"/>
  <c r="H22" i="141"/>
  <c r="N21" i="141"/>
  <c r="M21" i="141"/>
  <c r="L21" i="141"/>
  <c r="K21" i="141"/>
  <c r="H21" i="141"/>
  <c r="N20" i="141"/>
  <c r="M20" i="141"/>
  <c r="L20" i="141"/>
  <c r="K20" i="141"/>
  <c r="H20" i="141"/>
  <c r="N19" i="141"/>
  <c r="M19" i="141"/>
  <c r="L19" i="141"/>
  <c r="K19" i="141"/>
  <c r="H19" i="141"/>
  <c r="N18" i="141"/>
  <c r="M18" i="141"/>
  <c r="L18" i="141"/>
  <c r="K18" i="141"/>
  <c r="H18" i="141"/>
  <c r="N17" i="141"/>
  <c r="M17" i="141"/>
  <c r="L17" i="141"/>
  <c r="K17" i="141"/>
  <c r="H17" i="141"/>
  <c r="N16" i="141"/>
  <c r="M16" i="141"/>
  <c r="L16" i="141"/>
  <c r="K16" i="141"/>
  <c r="H16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P6" i="140"/>
  <c r="O6" i="140"/>
  <c r="M6" i="140"/>
  <c r="V5" i="140"/>
  <c r="P5" i="140"/>
  <c r="O5" i="140"/>
  <c r="M5" i="140"/>
  <c r="V4" i="140"/>
  <c r="P4" i="140"/>
  <c r="O4" i="140"/>
  <c r="M4" i="140"/>
  <c r="V3" i="140"/>
  <c r="P3" i="140"/>
  <c r="O3" i="140"/>
  <c r="M3" i="140"/>
  <c r="V2" i="140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5" i="106"/>
  <c r="B32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<sst xmlns="http://schemas.openxmlformats.org/spreadsheetml/2006/main" count="522" uniqueCount="275">
  <si>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</si>
  <si>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</si>
  <si>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</si>
  <si>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</si>
  <si>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</si>
  <si>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</si>
  <si>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</si>
  <si>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</si>
  <si>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</si>
  <si>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</si>
  <si>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</si>
  <si>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</si>
  <si>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</si>
  <si>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</si>
  <si>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</si>
  <si>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</si>
  <si>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</si>
  <si>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</si>
  <si>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</si>
  <si>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</si>
  <si>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</si>
  <si>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</si>
  <si>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</si>
  <si>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</si>
  <si>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</si>
  <si>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</si>
  <si>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</si>
  <si>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</si>
  <si>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</si>
  <si>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</si>
  <si>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</si>
  <si>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</si>
  <si>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</si>
  <si>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</si>
  <si>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</si>
  <si>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</si>
  <si>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</si>
  <si>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</si>
  <si>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</si>
  <si>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</si>
  <si>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</si>
  <si>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</si>
  <si>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</si>
  <si>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</si>
  <si>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</si>
  <si>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</si>
  <si>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</si>
  <si>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</si>
  <si>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</si>
  <si>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</si>
  <si>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</si>
  <si>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</si>
  <si>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</si>
  <si>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</si>
  <si>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</si>
  <si>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</si>
  <si>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</si>
  <si>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</si>
  <si>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</si>
  <si>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</si>
  <si>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</si>
  <si>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</si>
  <si>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</si>
  <si>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</si>
  <si>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</si>
  <si>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</si>
  <si>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</si>
  <si>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</si>
  <si>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</si>
  <si>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</si>
  <si>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</si>
  <si>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</si>
  <si>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</si>
  <si>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</si>
  <si>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</si>
  <si>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</si>
  <si>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</si>
  <si>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</si>
  <si>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</si>
  <si>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</si>
  <si>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</si>
  <si>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</si>
  <si>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</si>
  <si>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</si>
  <si>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</si>
  <si>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</si>
  <si>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</si>
  <si>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</si>
  <si>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</si>
  <si>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</si>
  <si>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</si>
  <si>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</si>
  <si>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</si>
  <si>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</si>
  <si>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</si>
  <si>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</si>
  <si>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</si>
  <si>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</si>
  <si>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</si>
  <si>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</si>
  <si>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</si>
  <si>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</si>
  <si>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</si>
  <si>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</si>
  <si>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</si>
  <si>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</si>
  <si>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</si>
  <si>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</si>
  <si>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</si>
  <si>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</si>
  <si>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</si>
  <si>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</si>
  <si>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</si>
  <si>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</si>
  <si>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</si>
  <si>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</si>
  <si>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</si>
  <si>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</si>
  <si>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</si>
  <si>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</si>
  <si>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</si>
  <si>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</si>
  <si>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</si>
  <si>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</si>
  <si>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</si>
  <si>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</si>
  <si>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</si>
  <si>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</si>
  <si>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</si>
  <si>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</si>
  <si>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</si>
  <si>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</si>
  <si>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</si>
  <si>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</si>
  <si>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</si>
  <si>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</si>
  <si>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</si>
  <si>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</si>
  <si>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</si>
  <si>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</si>
  <si>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</si>
  <si>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</si>
  <si>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</si>
  <si>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</si>
  <si>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</si>
  <si>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</si>
  <si>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</si>
  <si>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</si>
  <si>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</si>
  <si>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</si>
  <si>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</si>
  <si>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</si>
  <si>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</si>
  <si>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</si>
  <si>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</si>
  <si>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</si>
  <si>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</si>
  <si>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</si>
  <si>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</si>
  <si>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</si>
  <si>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</si>
  <si>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</si>
  <si>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</si>
  <si>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</si>
  <si>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</si>
  <si>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</si>
  <si>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</si>
  <si>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</si>
  <si>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</si>
  <si>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</si>
  <si>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</si>
  <si>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</si>
  <si>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</si>
  <si>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</si>
  <si>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</si>
  <si>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</si>
  <si>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</si>
  <si>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</si>
  <si>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</si>
  <si>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</si>
  <si>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</si>
  <si>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</si>
  <si>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</si>
  <si>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</si>
  <si>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</si>
  <si>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</si>
  <si>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</si>
  <si>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</si>
  <si>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</si>
  <si>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</si>
  <si>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</si>
  <si>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</si>
  <si>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</si>
  <si>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</si>
  <si>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</si>
  <si>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</si>
  <si>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</si>
  <si>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</si>
  <si>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</si>
  <si>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</si>
  <si>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</si>
  <si>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</si>
  <si>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</si>
  <si>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</si>
  <si>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</si>
  <si>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</si>
  <si>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</si>
  <si>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</si>
  <si>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</si>
  <si>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</si>
  <si>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</si>
  <si>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</si>
  <si>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</si>
  <si>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</si>
  <si>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</si>
  <si>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</si>
  <si>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</si>
  <si>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</si>
  <si>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</si>
  <si>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</si>
  <si>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</si>
  <si>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</si>
  <si>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</si>
  <si>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</si>
  <si>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</si>
  <si>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</si>
  <si>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</si>
  <si>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</si>
  <si>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</si>
  <si>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</si>
  <si>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</si>
  <si>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</si>
  <si>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</si>
  <si>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</si>
  <si>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</si>
  <si>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</si>
  <si>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</si>
  <si>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</si>
  <si>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</si>
  <si>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</si>
  <si>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</si>
  <si>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</si>
  <si>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</si>
  <si>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</si>
  <si>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</si>
  <si>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</si>
  <si>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</si>
  <si>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</si>
  <si>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リトルハンプティx1</t>
    <phoneticPr fontId="19"/>
  </si>
  <si>
    <t>bit</t>
    <phoneticPr fontId="19"/>
  </si>
  <si>
    <t>unit</t>
    <phoneticPr fontId="19"/>
  </si>
  <si>
    <t>unit</t>
    <phoneticPr fontId="19"/>
  </si>
  <si>
    <t>100万ビット</t>
    <phoneticPr fontId="19"/>
  </si>
  <si>
    <t>item</t>
    <phoneticPr fontId="19"/>
  </si>
  <si>
    <t>STEP1特典として
100万ビットをプレゼント！</t>
    <phoneticPr fontId="19"/>
  </si>
  <si>
    <t>368101</t>
    <phoneticPr fontId="19"/>
  </si>
  <si>
    <t>3681011</t>
    <phoneticPr fontId="19"/>
  </si>
  <si>
    <t>3681021</t>
    <phoneticPr fontId="19"/>
  </si>
  <si>
    <t>3681031</t>
    <phoneticPr fontId="19"/>
  </si>
  <si>
    <t>3681041</t>
    <phoneticPr fontId="19"/>
  </si>
  <si>
    <t>マスターキーx5</t>
    <phoneticPr fontId="19"/>
  </si>
  <si>
    <t>ギガ秘術の果実x1</t>
    <phoneticPr fontId="19"/>
  </si>
  <si>
    <t>1周年記念ステップアップガチャ特典</t>
    <rPh sb="15" eb="17">
      <t>トクテン</t>
    </rPh>
    <phoneticPr fontId="19"/>
  </si>
  <si>
    <t>368102</t>
    <phoneticPr fontId="19"/>
  </si>
  <si>
    <t>368103</t>
    <phoneticPr fontId="19"/>
  </si>
  <si>
    <t>368104</t>
    <phoneticPr fontId="19"/>
  </si>
  <si>
    <t>STEP2特典として
マスターキー5個をプレゼント！</t>
    <phoneticPr fontId="19"/>
  </si>
  <si>
    <t>STEP3特典として
ギガ秘術の果実1体をプレゼント！</t>
    <phoneticPr fontId="19"/>
  </si>
  <si>
    <t>STEP4特典として
リトルハンプティ1体をプレゼント！</t>
    <phoneticPr fontId="19"/>
  </si>
  <si>
    <t>skip</t>
    <phoneticPr fontId="19"/>
  </si>
  <si>
    <t>tables_settle_370100</t>
    <phoneticPr fontId="19"/>
  </si>
  <si>
    <t>tables_370100</t>
    <phoneticPr fontId="19"/>
  </si>
  <si>
    <t>ピックアップ確率</t>
    <phoneticPr fontId="19"/>
  </si>
  <si>
    <t>old</t>
    <phoneticPr fontId="19"/>
  </si>
  <si>
    <t>tables_370010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</si>
</sst>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3" fillId="0" borderId="1" xfId="3036" applyFont="1" applyBorder="1"/>
    <xf numFmtId="0" fontId="3" fillId="4" borderId="1" xfId="2978" applyFont="1" applyFill="1" applyBorder="1"/>
    <xf numFmtId="0" fontId="23" fillId="25" borderId="0" xfId="0" applyFont="1" applyFill="1" applyBorder="1" applyAlignment="1">
      <alignment horizontal="right"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未定（R５アマラ）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未定（R５ローレンス）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ユークリッドチャレンジ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ユークリッドチャレンジ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ユークリッドチャレンジ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ユークリッドチャレンジ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ユークリッドチャレンジ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ユークリッドチャレンジ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ユークリッドチャレンジ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ユークリッドチャレンジ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ユークリッドチャレンジ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ユークリッドチャレンジ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222</v>
      </c>
      <c r="K40" s="86" t="s">
        <v>196</v>
      </c>
      <c r="M40" s="86" t="s">
        <v>247</v>
      </c>
    </row>
    <row r="41" spans="1:13" x14ac:dyDescent="0.15">
      <c r="J41" s="86" t="s">
        <v>223</v>
      </c>
      <c r="K41" s="86" t="s">
        <v>224</v>
      </c>
      <c r="M41" s="66" t="s">
        <v>191</v>
      </c>
    </row>
    <row r="42" spans="1:13" x14ac:dyDescent="0.15">
      <c r="J42" s="86" t="s">
        <v>225</v>
      </c>
      <c r="K42" s="86" t="s">
        <v>226</v>
      </c>
    </row>
    <row r="43" spans="1:13" x14ac:dyDescent="0.15">
      <c r="J43" s="86" t="s">
        <v>227</v>
      </c>
      <c r="K43" s="86" t="s">
        <v>228</v>
      </c>
    </row>
    <row r="44" spans="1:13" x14ac:dyDescent="0.15">
      <c r="J44" s="86" t="s">
        <v>229</v>
      </c>
      <c r="K44" s="86" t="s">
        <v>230</v>
      </c>
    </row>
    <row r="45" spans="1:13" x14ac:dyDescent="0.15">
      <c r="J45" s="86" t="s">
        <v>231</v>
      </c>
      <c r="K45" s="86" t="s">
        <v>232</v>
      </c>
    </row>
    <row r="46" spans="1:13" x14ac:dyDescent="0.15">
      <c r="J46" s="86" t="s">
        <v>233</v>
      </c>
      <c r="K46" s="86" t="s">
        <v>234</v>
      </c>
    </row>
    <row r="47" spans="1:13" x14ac:dyDescent="0.15">
      <c r="J47" s="86" t="s">
        <v>235</v>
      </c>
      <c r="K47" s="86" t="s">
        <v>239</v>
      </c>
    </row>
    <row r="48" spans="1:13" x14ac:dyDescent="0.15">
      <c r="J48" s="86" t="s">
        <v>236</v>
      </c>
      <c r="K48" s="86" t="s">
        <v>240</v>
      </c>
    </row>
    <row r="49" spans="10:11" x14ac:dyDescent="0.15">
      <c r="J49" s="86" t="s">
        <v>237</v>
      </c>
      <c r="K49" s="86" t="s">
        <v>241</v>
      </c>
    </row>
    <row r="50" spans="10:11" x14ac:dyDescent="0.15">
      <c r="J50" s="86" t="s">
        <v>238</v>
      </c>
      <c r="K50" s="86" t="s">
        <v>242</v>
      </c>
    </row>
    <row r="51" spans="10:11" x14ac:dyDescent="0.15">
      <c r="J51" s="86" t="s">
        <v>244</v>
      </c>
      <c r="K51" s="86" t="s">
        <v>243</v>
      </c>
    </row>
    <row r="52" spans="10:11" x14ac:dyDescent="0.15">
      <c r="J52" s="86" t="s">
        <v>245</v>
      </c>
      <c r="K52" s="86" t="s">
        <v>246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F15" sqref="F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273</v>
      </c>
      <c r="B2" s="61" t="s">
        <v>116</v>
      </c>
      <c r="C2" s="50" t="str">
        <f t="shared" ref="C2:C4" si="0">RIGHT(F2,6)</f>
        <v>370010</v>
      </c>
      <c r="D2" s="19" t="s">
        <v>46</v>
      </c>
      <c r="E2" s="17" t="str">
        <f t="shared" ref="E2:E7" si="1">B2&amp;C2&amp;D2</f>
        <v>gacha_select_tables_370010.tmp</v>
      </c>
      <c r="F2" s="94" t="s">
        <v>274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269</v>
      </c>
      <c r="B3" s="79" t="s">
        <v>220</v>
      </c>
      <c r="C3" s="50" t="str">
        <f t="shared" si="0"/>
        <v>370100</v>
      </c>
      <c r="D3" s="19" t="s">
        <v>46</v>
      </c>
      <c r="E3" s="17" t="str">
        <f t="shared" ref="E3:E4" si="2">B3&amp;C3&amp;D3</f>
        <v>gacha_settle_tables_370100.tmp</v>
      </c>
      <c r="F3" s="91" t="s">
        <v>270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273</v>
      </c>
      <c r="B4" s="61" t="s">
        <v>116</v>
      </c>
      <c r="C4" s="50" t="str">
        <f t="shared" si="0"/>
        <v>370100</v>
      </c>
      <c r="D4" s="19" t="s">
        <v>46</v>
      </c>
      <c r="E4" s="17" t="str">
        <f t="shared" si="2"/>
        <v>gacha_select_tables_370100.tmp</v>
      </c>
      <c r="F4" s="91" t="s">
        <v>271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269</v>
      </c>
      <c r="B5" s="27" t="s">
        <v>51</v>
      </c>
      <c r="C5" s="32">
        <v>368</v>
      </c>
      <c r="D5" s="19" t="s">
        <v>47</v>
      </c>
      <c r="E5" s="17" t="str">
        <f t="shared" si="1"/>
        <v>gacha_bonus_tables_368.tmp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0" t="s">
        <v>269</v>
      </c>
      <c r="B6" s="19" t="s">
        <v>49</v>
      </c>
      <c r="C6" s="32">
        <v>368</v>
      </c>
      <c r="D6" s="19" t="s">
        <v>47</v>
      </c>
      <c r="E6" s="17" t="str">
        <f t="shared" si="1"/>
        <v>gifts_tmp_368.tmp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0" t="s">
        <v>269</v>
      </c>
      <c r="B7" s="19" t="s">
        <v>50</v>
      </c>
      <c r="C7" s="32">
        <v>368</v>
      </c>
      <c r="D7" s="19" t="s">
        <v>47</v>
      </c>
      <c r="E7" s="17" t="str">
        <f t="shared" si="1"/>
        <v>gifts_i18n_368.tmp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H9" sqref="H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370010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732</v>
      </c>
      <c r="M3" s="37" t="str">
        <f>VLOOKUP(L3,[1]characters!$A:$C,3,FALSE)</f>
        <v>上杉謙信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VLOOKUP(L3,tables_370010!B:C,2,FALSE)</f>
        <v>PremiumSS5R5only</v>
      </c>
      <c r="R3" s="62">
        <f t="shared" ref="R3:R20" si="0">N3*A$36</f>
        <v>42120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734</v>
      </c>
      <c r="M4" s="37" t="str">
        <f>VLOOKUP(L4,[1]characters!$A:$C,3,FALSE)</f>
        <v>伊達政宗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VLOOKUP(L4,tables_370010!B:C,2,FALSE)</f>
        <v>PremiumSS5R5only</v>
      </c>
      <c r="R4" s="62">
        <f t="shared" si="0"/>
        <v>42120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1.2820512820512815E-4</v>
      </c>
      <c r="F5">
        <f>(COUNTIF(tables_370010!C:C,input_370010!A26)+COUNTIF(tables_370010!C:C,input_370010!A28)+COUNTIF(tables_370010!C:C,input_370010!A29))</f>
        <v>43</v>
      </c>
      <c r="H5" s="87">
        <v>0.04</v>
      </c>
      <c r="I5" s="31">
        <v>4</v>
      </c>
      <c r="L5" s="60">
        <v>848</v>
      </c>
      <c r="M5" s="37" t="str">
        <f>VLOOKUP(L5,[1]characters!$A:$C,3,FALSE)</f>
        <v>メタトロン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VLOOKUP(L5,tables_370010!B:C,2,FALSE)</f>
        <v>PremiumSS5R5only</v>
      </c>
      <c r="R5" s="62">
        <f>N5*A$36</f>
        <v>42120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1.1790123456790123E-2</v>
      </c>
      <c r="F6">
        <f>(COUNTIF(tables_370010!C:C,input_370010!A18)+COUNTIF(tables_370010!C:C,input_370010!A20)+COUNTIF(tables_370010!C:C,input_370010!A22))</f>
        <v>81</v>
      </c>
      <c r="H6" s="74">
        <v>0</v>
      </c>
      <c r="I6" s="31">
        <v>0</v>
      </c>
      <c r="L6" s="92">
        <v>850</v>
      </c>
      <c r="M6" s="37" t="str">
        <f>VLOOKUP(L6,[1]characters!$A:$C,3,FALSE)</f>
        <v>バアル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VLOOKUP(L6,tables_370010!B:C,2,FALSE)</f>
        <v>PremiumSS5R5only</v>
      </c>
      <c r="R6" s="62">
        <f t="shared" si="0"/>
        <v>42120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VLOOKUP(L7,tables_370010!B:C,2,FALSE)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VLOOKUP(L8,tables_370010!B:C,2,FALSE)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VLOOKUP(L9,tables_370010!B:C,2,FALSE)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</f>
        <v>0.95499999999999996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VLOOKUP(L10,tables_370010!B:C,2,FALSE)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4.4999999999999998E-2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VLOOKUP(L11,tables_370010!B:C,2,FALSE)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VLOOKUP(L12,tables_370010!B:C,2,FALSE)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VLOOKUP(L13,tables_370010!B:C,2,FALSE)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VLOOKUP(L14,tables_370010!B:C,2,FALSE)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0.04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VLOOKUP(L15,tables_370010!B:C,2,FALSE)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VLOOKUP(L16,tables_370010!B:C,2,FALSE)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0.19320037986704652</v>
      </c>
      <c r="C17" s="88">
        <f t="shared" ref="C17:C29" si="2">SUMIF(Q:Q,A17,N:N)</f>
        <v>0</v>
      </c>
      <c r="D17" s="76">
        <f t="shared" ref="D17:D26" si="3">B17-C17</f>
        <v>0.19320037986704652</v>
      </c>
      <c r="E17">
        <f>COUNTIF(tables_370010!C:C,input_370010!A17)-COUNTIF(Q:Q,A17)</f>
        <v>20</v>
      </c>
      <c r="F17" s="43">
        <f>IFERROR(B17/E17,0)</f>
        <v>9.6600189933523269E-3</v>
      </c>
      <c r="G17">
        <f>A$36*B17</f>
        <v>813760</v>
      </c>
      <c r="H17">
        <f t="shared" ref="H17:H26" si="4">IFERROR(ROUND(G17/E17,5),0)</f>
        <v>40688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VLOOKUP(L17,tables_370010!B:C,2,FALSE)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4.2602089268755916E-2</v>
      </c>
      <c r="C18" s="88">
        <f t="shared" si="2"/>
        <v>0</v>
      </c>
      <c r="D18" s="76">
        <f t="shared" si="3"/>
        <v>4.2602089268755916E-2</v>
      </c>
      <c r="E18">
        <f>COUNTIF(tables_370010!C:C,input_370010!A18)-COUNTIF(Q:Q,A18)</f>
        <v>20</v>
      </c>
      <c r="F18" s="43">
        <f t="shared" ref="F18:F31" si="7">IFERROR(B18/E18,0)</f>
        <v>2.1301044634377958E-3</v>
      </c>
      <c r="G18">
        <f t="shared" ref="G18:G31" si="8">A$36*B18</f>
        <v>179439.99999999991</v>
      </c>
      <c r="H18">
        <f t="shared" si="4"/>
        <v>8972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VLOOKUP(L18,tables_370010!B:C,2,FALSE)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0.30654320987654321</v>
      </c>
      <c r="C19" s="88">
        <f t="shared" si="2"/>
        <v>0</v>
      </c>
      <c r="D19" s="76">
        <f t="shared" si="3"/>
        <v>0.30654320987654321</v>
      </c>
      <c r="E19">
        <f>COUNTIF(tables_370010!C:C,input_370010!A19)-COUNTIF(Q:Q,A19)</f>
        <v>52</v>
      </c>
      <c r="F19" s="43">
        <f t="shared" si="7"/>
        <v>5.8950617283950613E-3</v>
      </c>
      <c r="G19">
        <f t="shared" si="8"/>
        <v>1291160</v>
      </c>
      <c r="H19">
        <f t="shared" si="4"/>
        <v>24830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VLOOKUP(L19,tables_370010!B:C,2,FALSE)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0.27588888888888891</v>
      </c>
      <c r="C20" s="88">
        <f t="shared" si="2"/>
        <v>0</v>
      </c>
      <c r="D20" s="76">
        <f t="shared" si="3"/>
        <v>0.27588888888888891</v>
      </c>
      <c r="E20">
        <f>COUNTIF(tables_370010!C:C,input_370010!A20)-COUNTIF(Q:Q,A20)</f>
        <v>52</v>
      </c>
      <c r="F20" s="43">
        <f t="shared" si="7"/>
        <v>5.3055555555555555E-3</v>
      </c>
      <c r="G20">
        <f t="shared" si="8"/>
        <v>1162044</v>
      </c>
      <c r="H20">
        <f t="shared" si="4"/>
        <v>22347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VLOOKUP(L20,tables_370010!B:C,2,FALSE)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3.0654320987654322E-2</v>
      </c>
      <c r="C21" s="88">
        <f t="shared" si="2"/>
        <v>0</v>
      </c>
      <c r="D21" s="76">
        <f t="shared" si="3"/>
        <v>3.0654320987654322E-2</v>
      </c>
      <c r="E21">
        <f>COUNTIF(tables_370010!C:C,input_370010!A21)-COUNTIF(Q:Q,A21)</f>
        <v>52</v>
      </c>
      <c r="F21" s="43">
        <f t="shared" si="7"/>
        <v>5.8950617283950622E-4</v>
      </c>
      <c r="G21">
        <f t="shared" si="8"/>
        <v>129116</v>
      </c>
      <c r="H21">
        <f t="shared" si="4"/>
        <v>2483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8.7867996201329526E-2</v>
      </c>
      <c r="C22" s="88">
        <f t="shared" si="2"/>
        <v>0</v>
      </c>
      <c r="D22" s="76">
        <f t="shared" si="3"/>
        <v>8.7867996201329526E-2</v>
      </c>
      <c r="E22">
        <f>COUNTIF(tables_370010!C:C,input_370010!A22)-COUNTIF(Q:Q,A22)</f>
        <v>9</v>
      </c>
      <c r="F22" s="43">
        <f t="shared" si="7"/>
        <v>9.7631106890366144E-3</v>
      </c>
      <c r="G22">
        <f t="shared" si="8"/>
        <v>370099.99999999994</v>
      </c>
      <c r="H22">
        <f t="shared" si="4"/>
        <v>41122.222220000003</v>
      </c>
      <c r="I22">
        <f t="shared" si="5"/>
        <v>0.2222200000032899</v>
      </c>
      <c r="J22">
        <f t="shared" si="6"/>
        <v>4.5000450003833832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1.8243114909781578E-2</v>
      </c>
      <c r="C23" s="88">
        <f t="shared" si="2"/>
        <v>0</v>
      </c>
      <c r="D23" s="76">
        <f t="shared" si="3"/>
        <v>1.8243114909781578E-2</v>
      </c>
      <c r="E23">
        <f>COUNTIF(tables_370010!C:C,input_370010!A23)-COUNTIF(Q:Q,A23)</f>
        <v>9</v>
      </c>
      <c r="F23" s="43">
        <f t="shared" si="7"/>
        <v>2.0270127677535087E-3</v>
      </c>
      <c r="G23">
        <f t="shared" si="8"/>
        <v>76840</v>
      </c>
      <c r="H23">
        <f t="shared" si="4"/>
        <v>8537.7777800000003</v>
      </c>
      <c r="I23">
        <f t="shared" si="5"/>
        <v>0.77778000000034808</v>
      </c>
      <c r="J23">
        <f t="shared" si="6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2.564102564102563E-4</v>
      </c>
      <c r="C24" s="88">
        <f t="shared" si="2"/>
        <v>0</v>
      </c>
      <c r="D24" s="76">
        <f t="shared" si="3"/>
        <v>2.564102564102563E-4</v>
      </c>
      <c r="E24">
        <f>COUNTIF(tables_370010!C:C,input_370010!A24)-COUNTIF(Q:Q,A24)</f>
        <v>4</v>
      </c>
      <c r="F24" s="43">
        <f t="shared" si="7"/>
        <v>6.4102564102564075E-5</v>
      </c>
      <c r="G24">
        <f t="shared" si="8"/>
        <v>1079.9999999999995</v>
      </c>
      <c r="H24">
        <f t="shared" si="4"/>
        <v>270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2.3076923076923068E-4</v>
      </c>
      <c r="C25" s="88">
        <f t="shared" si="2"/>
        <v>0</v>
      </c>
      <c r="D25" s="76">
        <f t="shared" si="3"/>
        <v>2.3076923076923068E-4</v>
      </c>
      <c r="E25">
        <f>COUNTIF(tables_370010!C:C,input_370010!A25)-COUNTIF(Q:Q,A25)</f>
        <v>4</v>
      </c>
      <c r="F25" s="43">
        <f t="shared" si="7"/>
        <v>5.7692307692307671E-5</v>
      </c>
      <c r="G25">
        <f t="shared" si="8"/>
        <v>971.99999999999966</v>
      </c>
      <c r="H25">
        <f t="shared" si="4"/>
        <v>243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2.5641025641025633E-5</v>
      </c>
      <c r="C26" s="88">
        <f t="shared" si="2"/>
        <v>0</v>
      </c>
      <c r="D26" s="76">
        <f t="shared" si="3"/>
        <v>2.5641025641025633E-5</v>
      </c>
      <c r="E26">
        <f>COUNTIF(tables_370010!C:C,input_370010!A26)-COUNTIF(Q:Q,A26)</f>
        <v>4</v>
      </c>
      <c r="F26" s="43">
        <f t="shared" si="7"/>
        <v>6.4102564102564082E-6</v>
      </c>
      <c r="G26">
        <f t="shared" si="8"/>
        <v>107.99999999999997</v>
      </c>
      <c r="H26">
        <f t="shared" si="4"/>
        <v>27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3.4102564102564087E-3</v>
      </c>
      <c r="C27" s="88">
        <f t="shared" si="2"/>
        <v>0</v>
      </c>
      <c r="D27" s="76">
        <f t="shared" ref="D27:D29" si="9">B27-C27</f>
        <v>3.4102564102564087E-3</v>
      </c>
      <c r="E27">
        <f>COUNTIF(tables_370010!C:C,input_370010!A27)-COUNTIF(Q:Q,A27)</f>
        <v>28</v>
      </c>
      <c r="F27" s="43">
        <f>IFERROR(B27/E27,0)</f>
        <v>1.2179487179487173E-4</v>
      </c>
      <c r="G27">
        <f t="shared" si="8"/>
        <v>14363.999999999993</v>
      </c>
      <c r="H27">
        <f t="shared" ref="H27:H29" si="10">IFERROR(ROUND(G27/E27,5),0)</f>
        <v>513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1.7948717948717944E-4</v>
      </c>
      <c r="C28" s="88">
        <f t="shared" si="2"/>
        <v>0</v>
      </c>
      <c r="D28" s="76">
        <f t="shared" si="9"/>
        <v>1.7948717948717944E-4</v>
      </c>
      <c r="E28">
        <f>COUNTIF(tables_370010!C:C,input_370010!A28)-COUNTIF(Q:Q,A28)</f>
        <v>28</v>
      </c>
      <c r="F28" s="43">
        <f t="shared" si="7"/>
        <v>6.4102564102564091E-6</v>
      </c>
      <c r="G28">
        <f t="shared" si="8"/>
        <v>755.99999999999977</v>
      </c>
      <c r="H28">
        <f t="shared" si="10"/>
        <v>27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8.9743589743589711E-4</v>
      </c>
      <c r="C29" s="88">
        <f t="shared" si="2"/>
        <v>0.04</v>
      </c>
      <c r="D29" s="76">
        <f t="shared" si="9"/>
        <v>-3.9102564102564102E-2</v>
      </c>
      <c r="E29">
        <f>COUNTIF(tables_370010!C:C,input_370010!A29)-COUNTIF(Q:Q,A29)</f>
        <v>7</v>
      </c>
      <c r="F29" s="43">
        <f t="shared" si="7"/>
        <v>1.2820512820512815E-4</v>
      </c>
      <c r="G29">
        <f t="shared" si="8"/>
        <v>3779.9999999999986</v>
      </c>
      <c r="H29">
        <f t="shared" si="10"/>
        <v>540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COUNTIF(tables_370010!C:C,input_370010!A30)-COUNTIF(Q:Q,A30)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COUNTIF(tables_370010!C:C,input_370010!A31)-COUNTIF(Q:Q,A31)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0.96</v>
      </c>
      <c r="C32" s="41">
        <f>SUM(C19:C31)</f>
        <v>0.04</v>
      </c>
      <c r="D32" s="42">
        <f t="shared" ref="D32" si="15">B32-C32</f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4212000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SUMIF(tables_370010!C:C,input_370010!A40,tables_370010!O:O)</f>
        <v>1291160</v>
      </c>
      <c r="C40" s="54">
        <f t="shared" ref="C40:C46" ca="1" si="16">B40/B$47</f>
        <v>0.49708944191203647</v>
      </c>
      <c r="E40">
        <v>3</v>
      </c>
      <c r="F40">
        <f ca="1">SUMIF(tables_370010!J:J,input_370010!E40,tables_370010!O:O)</f>
        <v>2106000</v>
      </c>
      <c r="G40">
        <f ca="1">F40/A36</f>
        <v>0.5</v>
      </c>
    </row>
    <row r="41" spans="1:7" x14ac:dyDescent="0.15">
      <c r="A41" s="33" t="s">
        <v>107</v>
      </c>
      <c r="B41">
        <f ca="1">SUMIF(tables_370010!C:C,input_370010!A41,tables_370010!O:O)</f>
        <v>1162044</v>
      </c>
      <c r="C41" s="54">
        <f t="shared" ca="1" si="16"/>
        <v>0.44738049772083283</v>
      </c>
      <c r="E41">
        <v>4</v>
      </c>
      <c r="F41">
        <f ca="1">SUMIF(tables_370010!J:J,input_370010!E41,tables_370010!O:O)</f>
        <v>1726919.999980001</v>
      </c>
      <c r="G41">
        <f ca="1">F41/A36</f>
        <v>0.40999999999525188</v>
      </c>
    </row>
    <row r="42" spans="1:7" x14ac:dyDescent="0.15">
      <c r="A42" s="33" t="s">
        <v>112</v>
      </c>
      <c r="B42">
        <f ca="1">SUMIF(tables_370010!C:C,input_370010!A42,tables_370010!O:O)</f>
        <v>14364</v>
      </c>
      <c r="C42" s="54">
        <f t="shared" ca="1" si="16"/>
        <v>5.5300603671307137E-3</v>
      </c>
      <c r="E42">
        <v>5</v>
      </c>
      <c r="F42">
        <f ca="1">SUMIF(tables_370010!J:J,input_370010!E42,tables_370010!O:O)</f>
        <v>379080.00002000004</v>
      </c>
      <c r="G42">
        <f ca="1">F42/A36</f>
        <v>9.0000000004748351E-2</v>
      </c>
    </row>
    <row r="43" spans="1:7" x14ac:dyDescent="0.15">
      <c r="A43" s="33" t="s">
        <v>113</v>
      </c>
      <c r="B43">
        <f>SUMIF(tables_370010!C:C,input_370010!A43,tables_370010!O:O)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SUMIF(tables_370010!C:C,input_370010!A44,tables_370010!O:O)</f>
        <v>129116</v>
      </c>
      <c r="C44" s="54">
        <f t="shared" ca="1" si="16"/>
        <v>4.9708944191203648E-2</v>
      </c>
      <c r="E44" t="s">
        <v>104</v>
      </c>
      <c r="F44" s="55"/>
    </row>
    <row r="45" spans="1:7" x14ac:dyDescent="0.15">
      <c r="A45" s="33" t="s">
        <v>114</v>
      </c>
      <c r="B45">
        <f ca="1">SUMIF(tables_370010!C:C,input_370010!A45,tables_370010!O:O)</f>
        <v>756</v>
      </c>
      <c r="C45" s="54">
        <f t="shared" ca="1" si="16"/>
        <v>2.9105580879635332E-4</v>
      </c>
      <c r="E45" t="s">
        <v>210</v>
      </c>
      <c r="F45" s="55">
        <f ca="1">SUMIF(tables_370010!I:I,input_370010!E45,tables_370010!P:P)</f>
        <v>0.23640170940170963</v>
      </c>
    </row>
    <row r="46" spans="1:7" x14ac:dyDescent="0.15">
      <c r="A46" s="33" t="s">
        <v>115</v>
      </c>
      <c r="B46">
        <f>SUMIF(tables_370010!C:C,input_370010!A46,tables_370010!O:O)</f>
        <v>0</v>
      </c>
      <c r="C46" s="54">
        <f t="shared" ca="1" si="16"/>
        <v>0</v>
      </c>
      <c r="E46" t="s">
        <v>211</v>
      </c>
      <c r="F46" s="55">
        <f ca="1">SUMIF(tables_370010!I:I,input_370010!E46,tables_370010!P:P)</f>
        <v>0.20081671415004759</v>
      </c>
    </row>
    <row r="47" spans="1:7" x14ac:dyDescent="0.15">
      <c r="A47" s="39" t="s">
        <v>60</v>
      </c>
      <c r="B47">
        <f ca="1">SUM(B40:B46)</f>
        <v>2597440</v>
      </c>
      <c r="C47" s="55">
        <f ca="1">SUM(C40:C46)</f>
        <v>1</v>
      </c>
      <c r="E47" t="s">
        <v>212</v>
      </c>
      <c r="F47" s="55">
        <f ca="1">SUMIF(tables_370010!I:I,input_370010!E47,tables_370010!P:P)</f>
        <v>0.51889363722697046</v>
      </c>
    </row>
    <row r="48" spans="1:7" x14ac:dyDescent="0.15">
      <c r="E48" t="s">
        <v>213</v>
      </c>
      <c r="F48" s="55">
        <f ca="1">SUMIF(tables_370010!I:I,input_370010!E48,tables_370010!P:P)</f>
        <v>4.4487179487179472E-2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78" activePane="bottomLeft" state="frozen"/>
      <selection activeCell="E10" sqref="E10"/>
      <selection pane="bottomLeft" activeCell="P277" sqref="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input_370010!A$2</f>
        <v>370010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IFERROR(VLOOKUP(B2,input_370010!L:R,7,FALSE),VLOOKUP(tables_370010!C2,input_370010!A:H,8,FALSE))</f>
        <v>40688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input_370010!A$2</f>
        <v>370010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IFERROR(VLOOKUP(B3,input_370010!L:R,7,FALSE),VLOOKUP(tables_370010!C3,input_370010!A:H,8,FALSE))</f>
        <v>8972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input_370010!A$2</f>
        <v>370010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IFERROR(VLOOKUP(B4,input_370010!L:R,7,FALSE),VLOOKUP(tables_370010!C4,input_370010!A:H,8,FALSE))</f>
        <v>40688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input_370010!A$2</f>
        <v>370010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IFERROR(VLOOKUP(B5,input_370010!L:R,7,FALSE),VLOOKUP(tables_370010!C5,input_370010!A:H,8,FALSE))</f>
        <v>8972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input_370010!A$2</f>
        <v>370010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IFERROR(VLOOKUP(B6,input_370010!L:R,7,FALSE),VLOOKUP(tables_370010!C6,input_370010!A:H,8,FALSE))</f>
        <v>40688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input_370010!A$2</f>
        <v>370010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IFERROR(VLOOKUP(B7,input_370010!L:R,7,FALSE),VLOOKUP(tables_370010!C7,input_370010!A:H,8,FALSE))</f>
        <v>8972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input_370010!A$2</f>
        <v>370010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IFERROR(VLOOKUP(B8,input_370010!L:R,7,FALSE),VLOOKUP(tables_370010!C8,input_370010!A:H,8,FALSE))</f>
        <v>40688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input_370010!A$2</f>
        <v>370010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IFERROR(VLOOKUP(B9,input_370010!L:R,7,FALSE),VLOOKUP(tables_370010!C9,input_370010!A:H,8,FALSE))</f>
        <v>8972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input_370010!A$2</f>
        <v>370010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IFERROR(VLOOKUP(B10,input_370010!L:R,7,FALSE),VLOOKUP(tables_370010!C10,input_370010!A:H,8,FALSE))</f>
        <v>40688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input_370010!A$2</f>
        <v>370010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IFERROR(VLOOKUP(B11,input_370010!L:R,7,FALSE),VLOOKUP(tables_370010!C11,input_370010!A:H,8,FALSE))</f>
        <v>8972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input_370010!A$2</f>
        <v>370010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IFERROR(VLOOKUP(B12,input_370010!L:R,7,FALSE),VLOOKUP(tables_370010!C12,input_370010!A:H,8,FALSE))</f>
        <v>40688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input_370010!A$2</f>
        <v>370010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IFERROR(VLOOKUP(B13,input_370010!L:R,7,FALSE),VLOOKUP(tables_370010!C13,input_370010!A:H,8,FALSE))</f>
        <v>8972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input_370010!A$2</f>
        <v>370010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IFERROR(VLOOKUP(B14,input_370010!L:R,7,FALSE),VLOOKUP(tables_370010!C14,input_370010!A:H,8,FALSE))</f>
        <v>40688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input_370010!A$2</f>
        <v>370010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IFERROR(VLOOKUP(B15,input_370010!L:R,7,FALSE),VLOOKUP(tables_370010!C15,input_370010!A:H,8,FALSE))</f>
        <v>8972</v>
      </c>
      <c r="P15" s="46">
        <f t="shared" ref="P15:P78" ca="1" si="2">O15/SUM(O:O)</f>
        <v>2.1301044634377967E-3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input_370010!A$2</f>
        <v>370010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IFERROR(VLOOKUP(B16,input_370010!L:R,7,FALSE),VLOOKUP(tables_370010!C16,input_370010!A:H,8,FALSE))</f>
        <v>40688</v>
      </c>
      <c r="P16" s="46">
        <f t="shared" ca="1" si="2"/>
        <v>9.6600189933523269E-3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input_370010!A$2</f>
        <v>370010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IFERROR(VLOOKUP(B17,input_370010!L:R,7,FALSE),VLOOKUP(tables_370010!C17,input_370010!A:H,8,FALSE))</f>
        <v>8972</v>
      </c>
      <c r="P17" s="46">
        <f t="shared" ca="1" si="2"/>
        <v>2.1301044634377967E-3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input_370010!A$2</f>
        <v>370010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IFERROR(VLOOKUP(B18,input_370010!L:R,7,FALSE),VLOOKUP(tables_370010!C18,input_370010!A:H,8,FALSE))</f>
        <v>40688</v>
      </c>
      <c r="P18" s="46">
        <f t="shared" ca="1" si="2"/>
        <v>9.6600189933523269E-3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input_370010!A$2</f>
        <v>370010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IFERROR(VLOOKUP(B19,input_370010!L:R,7,FALSE),VLOOKUP(tables_370010!C19,input_370010!A:H,8,FALSE))</f>
        <v>8972</v>
      </c>
      <c r="P19" s="46">
        <f t="shared" ca="1" si="2"/>
        <v>2.1301044634377967E-3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input_370010!A$2</f>
        <v>370010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IFERROR(VLOOKUP(B20,input_370010!L:R,7,FALSE),VLOOKUP(tables_370010!C20,input_370010!A:H,8,FALSE))</f>
        <v>40688</v>
      </c>
      <c r="P20" s="46">
        <f t="shared" ca="1" si="2"/>
        <v>9.6600189933523269E-3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input_370010!A$2</f>
        <v>370010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IFERROR(VLOOKUP(B21,input_370010!L:R,7,FALSE),VLOOKUP(tables_370010!C21,input_370010!A:H,8,FALSE))</f>
        <v>8972</v>
      </c>
      <c r="P21" s="46">
        <f t="shared" ca="1" si="2"/>
        <v>2.1301044634377967E-3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input_370010!A$2</f>
        <v>370010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IFERROR(VLOOKUP(B22,input_370010!L:R,7,FALSE),VLOOKUP(tables_370010!C22,input_370010!A:H,8,FALSE))</f>
        <v>40688</v>
      </c>
      <c r="P22" s="46">
        <f t="shared" ca="1" si="2"/>
        <v>9.6600189933523269E-3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input_370010!A$2</f>
        <v>370010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IFERROR(VLOOKUP(B23,input_370010!L:R,7,FALSE),VLOOKUP(tables_370010!C23,input_370010!A:H,8,FALSE))</f>
        <v>8972</v>
      </c>
      <c r="P23" s="46">
        <f t="shared" ca="1" si="2"/>
        <v>2.1301044634377967E-3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input_370010!A$2</f>
        <v>370010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IFERROR(VLOOKUP(B24,input_370010!L:R,7,FALSE),VLOOKUP(tables_370010!C24,input_370010!A:H,8,FALSE))</f>
        <v>40688</v>
      </c>
      <c r="P24" s="46">
        <f t="shared" ca="1" si="2"/>
        <v>9.6600189933523269E-3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input_370010!A$2</f>
        <v>370010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IFERROR(VLOOKUP(B25,input_370010!L:R,7,FALSE),VLOOKUP(tables_370010!C25,input_370010!A:H,8,FALSE))</f>
        <v>8972</v>
      </c>
      <c r="P25" s="46">
        <f t="shared" ca="1" si="2"/>
        <v>2.1301044634377967E-3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input_370010!A$2</f>
        <v>370010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IFERROR(VLOOKUP(B26,input_370010!L:R,7,FALSE),VLOOKUP(tables_370010!C26,input_370010!A:H,8,FALSE))</f>
        <v>40688</v>
      </c>
      <c r="P26" s="46">
        <f t="shared" ca="1" si="2"/>
        <v>9.6600189933523269E-3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input_370010!A$2</f>
        <v>370010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IFERROR(VLOOKUP(B27,input_370010!L:R,7,FALSE),VLOOKUP(tables_370010!C27,input_370010!A:H,8,FALSE))</f>
        <v>8972</v>
      </c>
      <c r="P27" s="46">
        <f t="shared" ca="1" si="2"/>
        <v>2.1301044634377967E-3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input_370010!A$2</f>
        <v>370010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IFERROR(VLOOKUP(B28,input_370010!L:R,7,FALSE),VLOOKUP(tables_370010!C28,input_370010!A:H,8,FALSE))</f>
        <v>40688</v>
      </c>
      <c r="P28" s="46">
        <f t="shared" ca="1" si="2"/>
        <v>9.6600189933523269E-3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input_370010!A$2</f>
        <v>370010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IFERROR(VLOOKUP(B29,input_370010!L:R,7,FALSE),VLOOKUP(tables_370010!C29,input_370010!A:H,8,FALSE))</f>
        <v>8972</v>
      </c>
      <c r="P29" s="46">
        <f t="shared" ca="1" si="2"/>
        <v>2.1301044634377967E-3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input_370010!A$2</f>
        <v>370010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IFERROR(VLOOKUP(B30,input_370010!L:R,7,FALSE),VLOOKUP(tables_370010!C30,input_370010!A:H,8,FALSE))</f>
        <v>40688</v>
      </c>
      <c r="P30" s="46">
        <f t="shared" ca="1" si="2"/>
        <v>9.6600189933523269E-3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input_370010!A$2</f>
        <v>370010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IFERROR(VLOOKUP(B31,input_370010!L:R,7,FALSE),VLOOKUP(tables_370010!C31,input_370010!A:H,8,FALSE))</f>
        <v>8972</v>
      </c>
      <c r="P31" s="46">
        <f t="shared" ca="1" si="2"/>
        <v>2.1301044634377967E-3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input_370010!A$2</f>
        <v>370010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IFERROR(VLOOKUP(B32,input_370010!L:R,7,FALSE),VLOOKUP(tables_370010!C32,input_370010!A:H,8,FALSE))</f>
        <v>40688</v>
      </c>
      <c r="P32" s="46">
        <f t="shared" ca="1" si="2"/>
        <v>9.6600189933523269E-3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input_370010!A$2</f>
        <v>370010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IFERROR(VLOOKUP(B33,input_370010!L:R,7,FALSE),VLOOKUP(tables_370010!C33,input_370010!A:H,8,FALSE))</f>
        <v>8972</v>
      </c>
      <c r="P33" s="46">
        <f t="shared" ca="1" si="2"/>
        <v>2.1301044634377967E-3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input_370010!A$2</f>
        <v>370010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IFERROR(VLOOKUP(B34,input_370010!L:R,7,FALSE),VLOOKUP(tables_370010!C34,input_370010!A:H,8,FALSE))</f>
        <v>40688</v>
      </c>
      <c r="P34" s="46">
        <f t="shared" ca="1" si="2"/>
        <v>9.6600189933523269E-3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input_370010!A$2</f>
        <v>370010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IFERROR(VLOOKUP(B35,input_370010!L:R,7,FALSE),VLOOKUP(tables_370010!C35,input_370010!A:H,8,FALSE))</f>
        <v>8972</v>
      </c>
      <c r="P35" s="46">
        <f t="shared" ca="1" si="2"/>
        <v>2.1301044634377967E-3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input_370010!A$2</f>
        <v>370010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IFERROR(VLOOKUP(B36,input_370010!L:R,7,FALSE),VLOOKUP(tables_370010!C36,input_370010!A:H,8,FALSE))</f>
        <v>40688</v>
      </c>
      <c r="P36" s="46">
        <f t="shared" ca="1" si="2"/>
        <v>9.6600189933523269E-3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input_370010!A$2</f>
        <v>370010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IFERROR(VLOOKUP(B37,input_370010!L:R,7,FALSE),VLOOKUP(tables_370010!C37,input_370010!A:H,8,FALSE))</f>
        <v>8972</v>
      </c>
      <c r="P37" s="46">
        <f t="shared" ca="1" si="2"/>
        <v>2.1301044634377967E-3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input_370010!A$2</f>
        <v>370010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IFERROR(VLOOKUP(B38,input_370010!L:R,7,FALSE),VLOOKUP(tables_370010!C38,input_370010!A:H,8,FALSE))</f>
        <v>40688</v>
      </c>
      <c r="P38" s="46">
        <f t="shared" ca="1" si="2"/>
        <v>9.6600189933523269E-3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input_370010!A$2</f>
        <v>370010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IFERROR(VLOOKUP(B39,input_370010!L:R,7,FALSE),VLOOKUP(tables_370010!C39,input_370010!A:H,8,FALSE))</f>
        <v>8972</v>
      </c>
      <c r="P39" s="46">
        <f t="shared" ca="1" si="2"/>
        <v>2.1301044634377967E-3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input_370010!A$2</f>
        <v>370010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IFERROR(VLOOKUP(B40,input_370010!L:R,7,FALSE),VLOOKUP(tables_370010!C40,input_370010!A:H,8,FALSE))</f>
        <v>40688</v>
      </c>
      <c r="P40" s="46">
        <f t="shared" ca="1" si="2"/>
        <v>9.6600189933523269E-3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input_370010!A$2</f>
        <v>370010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IFERROR(VLOOKUP(B41,input_370010!L:R,7,FALSE),VLOOKUP(tables_370010!C41,input_370010!A:H,8,FALSE))</f>
        <v>8972</v>
      </c>
      <c r="P41" s="46">
        <f t="shared" ca="1" si="2"/>
        <v>2.1301044634377967E-3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input_370010!A$2</f>
        <v>370010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IFERROR(VLOOKUP(B42,input_370010!L:R,7,FALSE),VLOOKUP(tables_370010!C42,input_370010!A:H,8,FALSE))</f>
        <v>270</v>
      </c>
      <c r="P42" s="46">
        <f t="shared" ca="1" si="2"/>
        <v>6.4102564102564103E-5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input_370010!A$2</f>
        <v>370010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IFERROR(VLOOKUP(B43,input_370010!L:R,7,FALSE),VLOOKUP(tables_370010!C43,input_370010!A:H,8,FALSE))</f>
        <v>243</v>
      </c>
      <c r="P43" s="46">
        <f t="shared" ca="1" si="2"/>
        <v>5.7692307692307691E-5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input_370010!A$2</f>
        <v>370010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IFERROR(VLOOKUP(B44,input_370010!L:R,7,FALSE),VLOOKUP(tables_370010!C44,input_370010!A:H,8,FALSE))</f>
        <v>27</v>
      </c>
      <c r="P44" s="46">
        <f t="shared" ca="1" si="2"/>
        <v>6.4102564102564099E-6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input_370010!A$2</f>
        <v>370010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IFERROR(VLOOKUP(B45,input_370010!L:R,7,FALSE),VLOOKUP(tables_370010!C45,input_370010!A:H,8,FALSE))</f>
        <v>270</v>
      </c>
      <c r="P45" s="46">
        <f t="shared" ca="1" si="2"/>
        <v>6.4102564102564103E-5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input_370010!A$2</f>
        <v>370010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IFERROR(VLOOKUP(B46,input_370010!L:R,7,FALSE),VLOOKUP(tables_370010!C46,input_370010!A:H,8,FALSE))</f>
        <v>243</v>
      </c>
      <c r="P46" s="46">
        <f t="shared" ca="1" si="2"/>
        <v>5.7692307692307691E-5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input_370010!A$2</f>
        <v>370010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IFERROR(VLOOKUP(B47,input_370010!L:R,7,FALSE),VLOOKUP(tables_370010!C47,input_370010!A:H,8,FALSE))</f>
        <v>27</v>
      </c>
      <c r="P47" s="46">
        <f t="shared" ca="1" si="2"/>
        <v>6.4102564102564099E-6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input_370010!A$2</f>
        <v>370010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IFERROR(VLOOKUP(B48,input_370010!L:R,7,FALSE),VLOOKUP(tables_370010!C48,input_370010!A:H,8,FALSE))</f>
        <v>270</v>
      </c>
      <c r="P48" s="46">
        <f t="shared" ca="1" si="2"/>
        <v>6.4102564102564103E-5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input_370010!A$2</f>
        <v>370010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IFERROR(VLOOKUP(B49,input_370010!L:R,7,FALSE),VLOOKUP(tables_370010!C49,input_370010!A:H,8,FALSE))</f>
        <v>243</v>
      </c>
      <c r="P49" s="46">
        <f t="shared" ca="1" si="2"/>
        <v>5.7692307692307691E-5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input_370010!A$2</f>
        <v>370010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IFERROR(VLOOKUP(B50,input_370010!L:R,7,FALSE),VLOOKUP(tables_370010!C50,input_370010!A:H,8,FALSE))</f>
        <v>27</v>
      </c>
      <c r="P50" s="46">
        <f t="shared" ca="1" si="2"/>
        <v>6.4102564102564099E-6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input_370010!A$2</f>
        <v>370010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IFERROR(VLOOKUP(B51,input_370010!L:R,7,FALSE),VLOOKUP(tables_370010!C51,input_370010!A:H,8,FALSE))</f>
        <v>24830</v>
      </c>
      <c r="P51" s="46">
        <f t="shared" ca="1" si="2"/>
        <v>5.8950617283950613E-3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input_370010!A$2</f>
        <v>370010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IFERROR(VLOOKUP(B52,input_370010!L:R,7,FALSE),VLOOKUP(tables_370010!C52,input_370010!A:H,8,FALSE))</f>
        <v>22347</v>
      </c>
      <c r="P52" s="46">
        <f t="shared" ca="1" si="2"/>
        <v>5.3055555555555555E-3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input_370010!A$2</f>
        <v>370010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IFERROR(VLOOKUP(B53,input_370010!L:R,7,FALSE),VLOOKUP(tables_370010!C53,input_370010!A:H,8,FALSE))</f>
        <v>2483</v>
      </c>
      <c r="P53" s="46">
        <f t="shared" ca="1" si="2"/>
        <v>5.8950617283950622E-4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input_370010!A$2</f>
        <v>370010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IFERROR(VLOOKUP(B54,input_370010!L:R,7,FALSE),VLOOKUP(tables_370010!C54,input_370010!A:H,8,FALSE))</f>
        <v>24830</v>
      </c>
      <c r="P54" s="46">
        <f t="shared" ca="1" si="2"/>
        <v>5.8950617283950613E-3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input_370010!A$2</f>
        <v>370010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IFERROR(VLOOKUP(B55,input_370010!L:R,7,FALSE),VLOOKUP(tables_370010!C55,input_370010!A:H,8,FALSE))</f>
        <v>22347</v>
      </c>
      <c r="P55" s="46">
        <f t="shared" ca="1" si="2"/>
        <v>5.3055555555555555E-3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input_370010!A$2</f>
        <v>370010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IFERROR(VLOOKUP(B56,input_370010!L:R,7,FALSE),VLOOKUP(tables_370010!C56,input_370010!A:H,8,FALSE))</f>
        <v>2483</v>
      </c>
      <c r="P56" s="46">
        <f t="shared" ca="1" si="2"/>
        <v>5.8950617283950622E-4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input_370010!A$2</f>
        <v>370010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IFERROR(VLOOKUP(B57,input_370010!L:R,7,FALSE),VLOOKUP(tables_370010!C57,input_370010!A:H,8,FALSE))</f>
        <v>24830</v>
      </c>
      <c r="P57" s="46">
        <f t="shared" ca="1" si="2"/>
        <v>5.8950617283950613E-3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input_370010!A$2</f>
        <v>370010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IFERROR(VLOOKUP(B58,input_370010!L:R,7,FALSE),VLOOKUP(tables_370010!C58,input_370010!A:H,8,FALSE))</f>
        <v>22347</v>
      </c>
      <c r="P58" s="46">
        <f t="shared" ca="1" si="2"/>
        <v>5.3055555555555555E-3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input_370010!A$2</f>
        <v>370010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IFERROR(VLOOKUP(B59,input_370010!L:R,7,FALSE),VLOOKUP(tables_370010!C59,input_370010!A:H,8,FALSE))</f>
        <v>2483</v>
      </c>
      <c r="P59" s="46">
        <f t="shared" ca="1" si="2"/>
        <v>5.8950617283950622E-4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input_370010!A$2</f>
        <v>370010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IFERROR(VLOOKUP(B60,input_370010!L:R,7,FALSE),VLOOKUP(tables_370010!C60,input_370010!A:H,8,FALSE))</f>
        <v>24830</v>
      </c>
      <c r="P60" s="46">
        <f t="shared" ca="1" si="2"/>
        <v>5.8950617283950613E-3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input_370010!A$2</f>
        <v>370010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IFERROR(VLOOKUP(B61,input_370010!L:R,7,FALSE),VLOOKUP(tables_370010!C61,input_370010!A:H,8,FALSE))</f>
        <v>22347</v>
      </c>
      <c r="P61" s="46">
        <f t="shared" ca="1" si="2"/>
        <v>5.3055555555555555E-3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input_370010!A$2</f>
        <v>370010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IFERROR(VLOOKUP(B62,input_370010!L:R,7,FALSE),VLOOKUP(tables_370010!C62,input_370010!A:H,8,FALSE))</f>
        <v>2483</v>
      </c>
      <c r="P62" s="46">
        <f t="shared" ca="1" si="2"/>
        <v>5.8950617283950622E-4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input_370010!A$2</f>
        <v>370010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IFERROR(VLOOKUP(B63,input_370010!L:R,7,FALSE),VLOOKUP(tables_370010!C63,input_370010!A:H,8,FALSE))</f>
        <v>24830</v>
      </c>
      <c r="P63" s="46">
        <f t="shared" ca="1" si="2"/>
        <v>5.8950617283950613E-3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input_370010!A$2</f>
        <v>370010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IFERROR(VLOOKUP(B64,input_370010!L:R,7,FALSE),VLOOKUP(tables_370010!C64,input_370010!A:H,8,FALSE))</f>
        <v>22347</v>
      </c>
      <c r="P64" s="46">
        <f t="shared" ca="1" si="2"/>
        <v>5.3055555555555555E-3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input_370010!A$2</f>
        <v>370010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IFERROR(VLOOKUP(B65,input_370010!L:R,7,FALSE),VLOOKUP(tables_370010!C65,input_370010!A:H,8,FALSE))</f>
        <v>2483</v>
      </c>
      <c r="P65" s="46">
        <f t="shared" ca="1" si="2"/>
        <v>5.8950617283950622E-4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input_370010!A$2</f>
        <v>370010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IFERROR(VLOOKUP(B66,input_370010!L:R,7,FALSE),VLOOKUP(tables_370010!C66,input_370010!A:H,8,FALSE))</f>
        <v>24830</v>
      </c>
      <c r="P66" s="46">
        <f t="shared" ca="1" si="2"/>
        <v>5.8950617283950613E-3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input_370010!A$2</f>
        <v>370010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IFERROR(VLOOKUP(B67,input_370010!L:R,7,FALSE),VLOOKUP(tables_370010!C67,input_370010!A:H,8,FALSE))</f>
        <v>22347</v>
      </c>
      <c r="P67" s="46">
        <f t="shared" ca="1" si="2"/>
        <v>5.3055555555555555E-3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input_370010!A$2</f>
        <v>370010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IFERROR(VLOOKUP(B68,input_370010!L:R,7,FALSE),VLOOKUP(tables_370010!C68,input_370010!A:H,8,FALSE))</f>
        <v>2483</v>
      </c>
      <c r="P68" s="46">
        <f t="shared" ca="1" si="2"/>
        <v>5.8950617283950622E-4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input_370010!A$2</f>
        <v>370010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IFERROR(VLOOKUP(B69,input_370010!L:R,7,FALSE),VLOOKUP(tables_370010!C69,input_370010!A:H,8,FALSE))</f>
        <v>24830</v>
      </c>
      <c r="P69" s="46">
        <f t="shared" ca="1" si="2"/>
        <v>5.8950617283950613E-3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input_370010!A$2</f>
        <v>370010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IFERROR(VLOOKUP(B70,input_370010!L:R,7,FALSE),VLOOKUP(tables_370010!C70,input_370010!A:H,8,FALSE))</f>
        <v>22347</v>
      </c>
      <c r="P70" s="46">
        <f t="shared" ca="1" si="2"/>
        <v>5.3055555555555555E-3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input_370010!A$2</f>
        <v>370010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IFERROR(VLOOKUP(B71,input_370010!L:R,7,FALSE),VLOOKUP(tables_370010!C71,input_370010!A:H,8,FALSE))</f>
        <v>2483</v>
      </c>
      <c r="P71" s="46">
        <f t="shared" ca="1" si="2"/>
        <v>5.8950617283950622E-4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input_370010!A$2</f>
        <v>370010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IFERROR(VLOOKUP(B72,input_370010!L:R,7,FALSE),VLOOKUP(tables_370010!C72,input_370010!A:H,8,FALSE))</f>
        <v>24830</v>
      </c>
      <c r="P72" s="46">
        <f t="shared" ca="1" si="2"/>
        <v>5.8950617283950613E-3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input_370010!A$2</f>
        <v>370010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IFERROR(VLOOKUP(B73,input_370010!L:R,7,FALSE),VLOOKUP(tables_370010!C73,input_370010!A:H,8,FALSE))</f>
        <v>22347</v>
      </c>
      <c r="P73" s="46">
        <f t="shared" ca="1" si="2"/>
        <v>5.3055555555555555E-3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input_370010!A$2</f>
        <v>370010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IFERROR(VLOOKUP(B74,input_370010!L:R,7,FALSE),VLOOKUP(tables_370010!C74,input_370010!A:H,8,FALSE))</f>
        <v>2483</v>
      </c>
      <c r="P74" s="46">
        <f t="shared" ca="1" si="2"/>
        <v>5.8950617283950622E-4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input_370010!A$2</f>
        <v>370010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IFERROR(VLOOKUP(B75,input_370010!L:R,7,FALSE),VLOOKUP(tables_370010!C75,input_370010!A:H,8,FALSE))</f>
        <v>24830</v>
      </c>
      <c r="P75" s="46">
        <f t="shared" ca="1" si="2"/>
        <v>5.8950617283950613E-3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input_370010!A$2</f>
        <v>370010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IFERROR(VLOOKUP(B76,input_370010!L:R,7,FALSE),VLOOKUP(tables_370010!C76,input_370010!A:H,8,FALSE))</f>
        <v>22347</v>
      </c>
      <c r="P76" s="46">
        <f t="shared" ca="1" si="2"/>
        <v>5.3055555555555555E-3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input_370010!A$2</f>
        <v>370010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IFERROR(VLOOKUP(B77,input_370010!L:R,7,FALSE),VLOOKUP(tables_370010!C77,input_370010!A:H,8,FALSE))</f>
        <v>2483</v>
      </c>
      <c r="P77" s="46">
        <f t="shared" ca="1" si="2"/>
        <v>5.8950617283950622E-4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input_370010!A$2</f>
        <v>370010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IFERROR(VLOOKUP(B78,input_370010!L:R,7,FALSE),VLOOKUP(tables_370010!C78,input_370010!A:H,8,FALSE))</f>
        <v>24830</v>
      </c>
      <c r="P78" s="46">
        <f t="shared" ca="1" si="2"/>
        <v>5.8950617283950613E-3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input_370010!A$2</f>
        <v>370010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IFERROR(VLOOKUP(B79,input_370010!L:R,7,FALSE),VLOOKUP(tables_370010!C79,input_370010!A:H,8,FALSE))</f>
        <v>22347</v>
      </c>
      <c r="P79" s="46">
        <f t="shared" ref="P79:P142" ca="1" si="5">O79/SUM(O:O)</f>
        <v>5.3055555555555555E-3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input_370010!A$2</f>
        <v>370010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IFERROR(VLOOKUP(B80,input_370010!L:R,7,FALSE),VLOOKUP(tables_370010!C80,input_370010!A:H,8,FALSE))</f>
        <v>2483</v>
      </c>
      <c r="P80" s="46">
        <f t="shared" ca="1" si="5"/>
        <v>5.8950617283950622E-4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input_370010!A$2</f>
        <v>370010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IFERROR(VLOOKUP(B81,input_370010!L:R,7,FALSE),VLOOKUP(tables_370010!C81,input_370010!A:H,8,FALSE))</f>
        <v>24830</v>
      </c>
      <c r="P81" s="46">
        <f t="shared" ca="1" si="5"/>
        <v>5.8950617283950613E-3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input_370010!A$2</f>
        <v>370010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IFERROR(VLOOKUP(B82,input_370010!L:R,7,FALSE),VLOOKUP(tables_370010!C82,input_370010!A:H,8,FALSE))</f>
        <v>22347</v>
      </c>
      <c r="P82" s="46">
        <f t="shared" ca="1" si="5"/>
        <v>5.3055555555555555E-3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input_370010!A$2</f>
        <v>370010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IFERROR(VLOOKUP(B83,input_370010!L:R,7,FALSE),VLOOKUP(tables_370010!C83,input_370010!A:H,8,FALSE))</f>
        <v>2483</v>
      </c>
      <c r="P83" s="46">
        <f t="shared" ca="1" si="5"/>
        <v>5.8950617283950622E-4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input_370010!A$2</f>
        <v>370010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IFERROR(VLOOKUP(B84,input_370010!L:R,7,FALSE),VLOOKUP(tables_370010!C84,input_370010!A:H,8,FALSE))</f>
        <v>24830</v>
      </c>
      <c r="P84" s="46">
        <f t="shared" ca="1" si="5"/>
        <v>5.8950617283950613E-3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input_370010!A$2</f>
        <v>370010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IFERROR(VLOOKUP(B85,input_370010!L:R,7,FALSE),VLOOKUP(tables_370010!C85,input_370010!A:H,8,FALSE))</f>
        <v>22347</v>
      </c>
      <c r="P85" s="46">
        <f t="shared" ca="1" si="5"/>
        <v>5.3055555555555555E-3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input_370010!A$2</f>
        <v>370010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IFERROR(VLOOKUP(B86,input_370010!L:R,7,FALSE),VLOOKUP(tables_370010!C86,input_370010!A:H,8,FALSE))</f>
        <v>2483</v>
      </c>
      <c r="P86" s="46">
        <f t="shared" ca="1" si="5"/>
        <v>5.8950617283950622E-4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input_370010!A$2</f>
        <v>370010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IFERROR(VLOOKUP(B87,input_370010!L:R,7,FALSE),VLOOKUP(tables_370010!C87,input_370010!A:H,8,FALSE))</f>
        <v>24830</v>
      </c>
      <c r="P87" s="46">
        <f t="shared" ca="1" si="5"/>
        <v>5.8950617283950613E-3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input_370010!A$2</f>
        <v>370010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IFERROR(VLOOKUP(B88,input_370010!L:R,7,FALSE),VLOOKUP(tables_370010!C88,input_370010!A:H,8,FALSE))</f>
        <v>22347</v>
      </c>
      <c r="P88" s="46">
        <f t="shared" ca="1" si="5"/>
        <v>5.3055555555555555E-3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input_370010!A$2</f>
        <v>370010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IFERROR(VLOOKUP(B89,input_370010!L:R,7,FALSE),VLOOKUP(tables_370010!C89,input_370010!A:H,8,FALSE))</f>
        <v>2483</v>
      </c>
      <c r="P89" s="46">
        <f t="shared" ca="1" si="5"/>
        <v>5.8950617283950622E-4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input_370010!A$2</f>
        <v>370010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IFERROR(VLOOKUP(B90,input_370010!L:R,7,FALSE),VLOOKUP(tables_370010!C90,input_370010!A:H,8,FALSE))</f>
        <v>24830</v>
      </c>
      <c r="P90" s="46">
        <f t="shared" ca="1" si="5"/>
        <v>5.8950617283950613E-3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input_370010!A$2</f>
        <v>370010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IFERROR(VLOOKUP(B91,input_370010!L:R,7,FALSE),VLOOKUP(tables_370010!C91,input_370010!A:H,8,FALSE))</f>
        <v>22347</v>
      </c>
      <c r="P91" s="46">
        <f t="shared" ca="1" si="5"/>
        <v>5.3055555555555555E-3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input_370010!A$2</f>
        <v>370010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IFERROR(VLOOKUP(B92,input_370010!L:R,7,FALSE),VLOOKUP(tables_370010!C92,input_370010!A:H,8,FALSE))</f>
        <v>2483</v>
      </c>
      <c r="P92" s="46">
        <f t="shared" ca="1" si="5"/>
        <v>5.8950617283950622E-4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input_370010!A$2</f>
        <v>370010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IFERROR(VLOOKUP(B93,input_370010!L:R,7,FALSE),VLOOKUP(tables_370010!C93,input_370010!A:H,8,FALSE))</f>
        <v>24830</v>
      </c>
      <c r="P93" s="46">
        <f t="shared" ca="1" si="5"/>
        <v>5.8950617283950613E-3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input_370010!A$2</f>
        <v>370010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IFERROR(VLOOKUP(B94,input_370010!L:R,7,FALSE),VLOOKUP(tables_370010!C94,input_370010!A:H,8,FALSE))</f>
        <v>22347</v>
      </c>
      <c r="P94" s="46">
        <f t="shared" ca="1" si="5"/>
        <v>5.3055555555555555E-3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input_370010!A$2</f>
        <v>370010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IFERROR(VLOOKUP(B95,input_370010!L:R,7,FALSE),VLOOKUP(tables_370010!C95,input_370010!A:H,8,FALSE))</f>
        <v>2483</v>
      </c>
      <c r="P95" s="46">
        <f t="shared" ca="1" si="5"/>
        <v>5.8950617283950622E-4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input_370010!A$2</f>
        <v>370010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IFERROR(VLOOKUP(B96,input_370010!L:R,7,FALSE),VLOOKUP(tables_370010!C96,input_370010!A:H,8,FALSE))</f>
        <v>24830</v>
      </c>
      <c r="P96" s="46">
        <f t="shared" ca="1" si="5"/>
        <v>5.8950617283950613E-3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input_370010!A$2</f>
        <v>370010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IFERROR(VLOOKUP(B97,input_370010!L:R,7,FALSE),VLOOKUP(tables_370010!C97,input_370010!A:H,8,FALSE))</f>
        <v>22347</v>
      </c>
      <c r="P97" s="46">
        <f t="shared" ca="1" si="5"/>
        <v>5.3055555555555555E-3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input_370010!A$2</f>
        <v>370010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IFERROR(VLOOKUP(B98,input_370010!L:R,7,FALSE),VLOOKUP(tables_370010!C98,input_370010!A:H,8,FALSE))</f>
        <v>2483</v>
      </c>
      <c r="P98" s="46">
        <f t="shared" ca="1" si="5"/>
        <v>5.8950617283950622E-4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input_370010!A$2</f>
        <v>370010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IFERROR(VLOOKUP(B99,input_370010!L:R,7,FALSE),VLOOKUP(tables_370010!C99,input_370010!A:H,8,FALSE))</f>
        <v>24830</v>
      </c>
      <c r="P99" s="46">
        <f t="shared" ca="1" si="5"/>
        <v>5.8950617283950613E-3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input_370010!A$2</f>
        <v>370010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IFERROR(VLOOKUP(B100,input_370010!L:R,7,FALSE),VLOOKUP(tables_370010!C100,input_370010!A:H,8,FALSE))</f>
        <v>22347</v>
      </c>
      <c r="P100" s="46">
        <f t="shared" ca="1" si="5"/>
        <v>5.3055555555555555E-3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input_370010!A$2</f>
        <v>370010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IFERROR(VLOOKUP(B101,input_370010!L:R,7,FALSE),VLOOKUP(tables_370010!C101,input_370010!A:H,8,FALSE))</f>
        <v>2483</v>
      </c>
      <c r="P101" s="46">
        <f t="shared" ca="1" si="5"/>
        <v>5.8950617283950622E-4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input_370010!A$2</f>
        <v>370010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IFERROR(VLOOKUP(B102,input_370010!L:R,7,FALSE),VLOOKUP(tables_370010!C102,input_370010!A:H,8,FALSE))</f>
        <v>24830</v>
      </c>
      <c r="P102" s="46">
        <f t="shared" ca="1" si="5"/>
        <v>5.8950617283950613E-3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input_370010!A$2</f>
        <v>370010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IFERROR(VLOOKUP(B103,input_370010!L:R,7,FALSE),VLOOKUP(tables_370010!C103,input_370010!A:H,8,FALSE))</f>
        <v>22347</v>
      </c>
      <c r="P103" s="46">
        <f t="shared" ca="1" si="5"/>
        <v>5.3055555555555555E-3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input_370010!A$2</f>
        <v>370010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IFERROR(VLOOKUP(B104,input_370010!L:R,7,FALSE),VLOOKUP(tables_370010!C104,input_370010!A:H,8,FALSE))</f>
        <v>2483</v>
      </c>
      <c r="P104" s="46">
        <f t="shared" ca="1" si="5"/>
        <v>5.8950617283950622E-4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input_370010!A$2</f>
        <v>370010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IFERROR(VLOOKUP(B105,input_370010!L:R,7,FALSE),VLOOKUP(tables_370010!C105,input_370010!A:H,8,FALSE))</f>
        <v>24830</v>
      </c>
      <c r="P105" s="46">
        <f t="shared" ca="1" si="5"/>
        <v>5.8950617283950613E-3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input_370010!A$2</f>
        <v>370010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IFERROR(VLOOKUP(B106,input_370010!L:R,7,FALSE),VLOOKUP(tables_370010!C106,input_370010!A:H,8,FALSE))</f>
        <v>22347</v>
      </c>
      <c r="P106" s="46">
        <f t="shared" ca="1" si="5"/>
        <v>5.3055555555555555E-3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input_370010!A$2</f>
        <v>370010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IFERROR(VLOOKUP(B107,input_370010!L:R,7,FALSE),VLOOKUP(tables_370010!C107,input_370010!A:H,8,FALSE))</f>
        <v>2483</v>
      </c>
      <c r="P107" s="46">
        <f t="shared" ca="1" si="5"/>
        <v>5.8950617283950622E-4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input_370010!A$2</f>
        <v>370010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IFERROR(VLOOKUP(B108,input_370010!L:R,7,FALSE),VLOOKUP(tables_370010!C108,input_370010!A:H,8,FALSE))</f>
        <v>24830</v>
      </c>
      <c r="P108" s="46">
        <f t="shared" ca="1" si="5"/>
        <v>5.8950617283950613E-3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input_370010!A$2</f>
        <v>370010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IFERROR(VLOOKUP(B109,input_370010!L:R,7,FALSE),VLOOKUP(tables_370010!C109,input_370010!A:H,8,FALSE))</f>
        <v>22347</v>
      </c>
      <c r="P109" s="46">
        <f t="shared" ca="1" si="5"/>
        <v>5.3055555555555555E-3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input_370010!A$2</f>
        <v>370010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IFERROR(VLOOKUP(B110,input_370010!L:R,7,FALSE),VLOOKUP(tables_370010!C110,input_370010!A:H,8,FALSE))</f>
        <v>2483</v>
      </c>
      <c r="P110" s="46">
        <f t="shared" ca="1" si="5"/>
        <v>5.8950617283950622E-4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input_370010!A$2</f>
        <v>370010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IFERROR(VLOOKUP(B111,input_370010!L:R,7,FALSE),VLOOKUP(tables_370010!C111,input_370010!A:H,8,FALSE))</f>
        <v>270</v>
      </c>
      <c r="P111" s="46">
        <f t="shared" ca="1" si="5"/>
        <v>6.4102564102564103E-5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input_370010!A$2</f>
        <v>370010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IFERROR(VLOOKUP(B112,input_370010!L:R,7,FALSE),VLOOKUP(tables_370010!C112,input_370010!A:H,8,FALSE))</f>
        <v>243</v>
      </c>
      <c r="P112" s="46">
        <f t="shared" ca="1" si="5"/>
        <v>5.7692307692307691E-5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input_370010!A$2</f>
        <v>370010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IFERROR(VLOOKUP(B113,input_370010!L:R,7,FALSE),VLOOKUP(tables_370010!C113,input_370010!A:H,8,FALSE))</f>
        <v>27</v>
      </c>
      <c r="P113" s="46">
        <f t="shared" ca="1" si="5"/>
        <v>6.4102564102564099E-6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input_370010!A$2</f>
        <v>370010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IFERROR(VLOOKUP(B114,input_370010!L:R,7,FALSE),VLOOKUP(tables_370010!C114,input_370010!A:H,8,FALSE))</f>
        <v>24830</v>
      </c>
      <c r="P114" s="46">
        <f t="shared" ca="1" si="5"/>
        <v>5.8950617283950613E-3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input_370010!A$2</f>
        <v>370010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IFERROR(VLOOKUP(B115,input_370010!L:R,7,FALSE),VLOOKUP(tables_370010!C115,input_370010!A:H,8,FALSE))</f>
        <v>22347</v>
      </c>
      <c r="P115" s="46">
        <f t="shared" ca="1" si="5"/>
        <v>5.3055555555555555E-3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input_370010!A$2</f>
        <v>370010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IFERROR(VLOOKUP(B116,input_370010!L:R,7,FALSE),VLOOKUP(tables_370010!C116,input_370010!A:H,8,FALSE))</f>
        <v>2483</v>
      </c>
      <c r="P116" s="46">
        <f t="shared" ca="1" si="5"/>
        <v>5.8950617283950622E-4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input_370010!A$2</f>
        <v>370010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IFERROR(VLOOKUP(B117,input_370010!L:R,7,FALSE),VLOOKUP(tables_370010!C117,input_370010!A:H,8,FALSE))</f>
        <v>24830</v>
      </c>
      <c r="P117" s="46">
        <f t="shared" ca="1" si="5"/>
        <v>5.8950617283950613E-3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input_370010!A$2</f>
        <v>370010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IFERROR(VLOOKUP(B118,input_370010!L:R,7,FALSE),VLOOKUP(tables_370010!C118,input_370010!A:H,8,FALSE))</f>
        <v>22347</v>
      </c>
      <c r="P118" s="46">
        <f t="shared" ca="1" si="5"/>
        <v>5.3055555555555555E-3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input_370010!A$2</f>
        <v>370010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IFERROR(VLOOKUP(B119,input_370010!L:R,7,FALSE),VLOOKUP(tables_370010!C119,input_370010!A:H,8,FALSE))</f>
        <v>2483</v>
      </c>
      <c r="P119" s="46">
        <f t="shared" ca="1" si="5"/>
        <v>5.8950617283950622E-4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input_370010!A$2</f>
        <v>370010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IFERROR(VLOOKUP(B120,input_370010!L:R,7,FALSE),VLOOKUP(tables_370010!C120,input_370010!A:H,8,FALSE))</f>
        <v>24830</v>
      </c>
      <c r="P120" s="46">
        <f t="shared" ca="1" si="5"/>
        <v>5.8950617283950613E-3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input_370010!A$2</f>
        <v>370010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IFERROR(VLOOKUP(B121,input_370010!L:R,7,FALSE),VLOOKUP(tables_370010!C121,input_370010!A:H,8,FALSE))</f>
        <v>22347</v>
      </c>
      <c r="P121" s="46">
        <f t="shared" ca="1" si="5"/>
        <v>5.3055555555555555E-3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input_370010!A$2</f>
        <v>370010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IFERROR(VLOOKUP(B122,input_370010!L:R,7,FALSE),VLOOKUP(tables_370010!C122,input_370010!A:H,8,FALSE))</f>
        <v>2483</v>
      </c>
      <c r="P122" s="46">
        <f t="shared" ca="1" si="5"/>
        <v>5.8950617283950622E-4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input_370010!A$2</f>
        <v>370010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IFERROR(VLOOKUP(B123,input_370010!L:R,7,FALSE),VLOOKUP(tables_370010!C123,input_370010!A:H,8,FALSE))</f>
        <v>24830</v>
      </c>
      <c r="P123" s="46">
        <f t="shared" ca="1" si="5"/>
        <v>5.8950617283950613E-3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input_370010!A$2</f>
        <v>370010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IFERROR(VLOOKUP(B124,input_370010!L:R,7,FALSE),VLOOKUP(tables_370010!C124,input_370010!A:H,8,FALSE))</f>
        <v>22347</v>
      </c>
      <c r="P124" s="46">
        <f t="shared" ca="1" si="5"/>
        <v>5.3055555555555555E-3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input_370010!A$2</f>
        <v>370010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IFERROR(VLOOKUP(B125,input_370010!L:R,7,FALSE),VLOOKUP(tables_370010!C125,input_370010!A:H,8,FALSE))</f>
        <v>2483</v>
      </c>
      <c r="P125" s="46">
        <f t="shared" ca="1" si="5"/>
        <v>5.8950617283950622E-4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input_370010!A$2</f>
        <v>370010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IFERROR(VLOOKUP(B126,input_370010!L:R,7,FALSE),VLOOKUP(tables_370010!C126,input_370010!A:H,8,FALSE))</f>
        <v>24830</v>
      </c>
      <c r="P126" s="46">
        <f t="shared" ca="1" si="5"/>
        <v>5.8950617283950613E-3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input_370010!A$2</f>
        <v>370010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IFERROR(VLOOKUP(B127,input_370010!L:R,7,FALSE),VLOOKUP(tables_370010!C127,input_370010!A:H,8,FALSE))</f>
        <v>22347</v>
      </c>
      <c r="P127" s="46">
        <f t="shared" ca="1" si="5"/>
        <v>5.3055555555555555E-3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input_370010!A$2</f>
        <v>370010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IFERROR(VLOOKUP(B128,input_370010!L:R,7,FALSE),VLOOKUP(tables_370010!C128,input_370010!A:H,8,FALSE))</f>
        <v>2483</v>
      </c>
      <c r="P128" s="46">
        <f t="shared" ca="1" si="5"/>
        <v>5.8950617283950622E-4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input_370010!A$2</f>
        <v>370010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IFERROR(VLOOKUP(B129,input_370010!L:R,7,FALSE),VLOOKUP(tables_370010!C129,input_370010!A:H,8,FALSE))</f>
        <v>24830</v>
      </c>
      <c r="P129" s="46">
        <f t="shared" ca="1" si="5"/>
        <v>5.8950617283950613E-3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input_370010!A$2</f>
        <v>370010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IFERROR(VLOOKUP(B130,input_370010!L:R,7,FALSE),VLOOKUP(tables_370010!C130,input_370010!A:H,8,FALSE))</f>
        <v>22347</v>
      </c>
      <c r="P130" s="46">
        <f t="shared" ca="1" si="5"/>
        <v>5.3055555555555555E-3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input_370010!A$2</f>
        <v>370010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IFERROR(VLOOKUP(B131,input_370010!L:R,7,FALSE),VLOOKUP(tables_370010!C131,input_370010!A:H,8,FALSE))</f>
        <v>2483</v>
      </c>
      <c r="P131" s="46">
        <f t="shared" ca="1" si="5"/>
        <v>5.8950617283950622E-4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input_370010!A$2</f>
        <v>370010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IFERROR(VLOOKUP(B132,input_370010!L:R,7,FALSE),VLOOKUP(tables_370010!C132,input_370010!A:H,8,FALSE))</f>
        <v>24830</v>
      </c>
      <c r="P132" s="46">
        <f t="shared" ca="1" si="5"/>
        <v>5.8950617283950613E-3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input_370010!A$2</f>
        <v>370010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IFERROR(VLOOKUP(B133,input_370010!L:R,7,FALSE),VLOOKUP(tables_370010!C133,input_370010!A:H,8,FALSE))</f>
        <v>22347</v>
      </c>
      <c r="P133" s="46">
        <f t="shared" ca="1" si="5"/>
        <v>5.3055555555555555E-3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input_370010!A$2</f>
        <v>370010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IFERROR(VLOOKUP(B134,input_370010!L:R,7,FALSE),VLOOKUP(tables_370010!C134,input_370010!A:H,8,FALSE))</f>
        <v>2483</v>
      </c>
      <c r="P134" s="46">
        <f t="shared" ca="1" si="5"/>
        <v>5.8950617283950622E-4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input_370010!A$2</f>
        <v>370010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IFERROR(VLOOKUP(B135,input_370010!L:R,7,FALSE),VLOOKUP(tables_370010!C135,input_370010!A:H,8,FALSE))</f>
        <v>24830</v>
      </c>
      <c r="P135" s="46">
        <f t="shared" ca="1" si="5"/>
        <v>5.8950617283950613E-3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input_370010!A$2</f>
        <v>370010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IFERROR(VLOOKUP(B136,input_370010!L:R,7,FALSE),VLOOKUP(tables_370010!C136,input_370010!A:H,8,FALSE))</f>
        <v>22347</v>
      </c>
      <c r="P136" s="46">
        <f t="shared" ca="1" si="5"/>
        <v>5.3055555555555555E-3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input_370010!A$2</f>
        <v>370010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IFERROR(VLOOKUP(B137,input_370010!L:R,7,FALSE),VLOOKUP(tables_370010!C137,input_370010!A:H,8,FALSE))</f>
        <v>2483</v>
      </c>
      <c r="P137" s="46">
        <f t="shared" ca="1" si="5"/>
        <v>5.8950617283950622E-4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input_370010!A$2</f>
        <v>370010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IFERROR(VLOOKUP(B138,input_370010!L:R,7,FALSE),VLOOKUP(tables_370010!C138,input_370010!A:H,8,FALSE))</f>
        <v>513</v>
      </c>
      <c r="P138" s="46">
        <f t="shared" ca="1" si="5"/>
        <v>1.217948717948718E-4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input_370010!A$2</f>
        <v>370010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IFERROR(VLOOKUP(B139,input_370010!L:R,7,FALSE),VLOOKUP(tables_370010!C139,input_370010!A:H,8,FALSE))</f>
        <v>27</v>
      </c>
      <c r="P139" s="46">
        <f t="shared" ca="1" si="5"/>
        <v>6.4102564102564099E-6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input_370010!A$2</f>
        <v>370010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IFERROR(VLOOKUP(B140,input_370010!L:R,7,FALSE),VLOOKUP(tables_370010!C140,input_370010!A:H,8,FALSE))</f>
        <v>513</v>
      </c>
      <c r="P140" s="46">
        <f t="shared" ca="1" si="5"/>
        <v>1.217948717948718E-4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input_370010!A$2</f>
        <v>370010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IFERROR(VLOOKUP(B141,input_370010!L:R,7,FALSE),VLOOKUP(tables_370010!C141,input_370010!A:H,8,FALSE))</f>
        <v>27</v>
      </c>
      <c r="P141" s="46">
        <f t="shared" ca="1" si="5"/>
        <v>6.4102564102564099E-6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input_370010!A$2</f>
        <v>370010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IFERROR(VLOOKUP(B142,input_370010!L:R,7,FALSE),VLOOKUP(tables_370010!C142,input_370010!A:H,8,FALSE))</f>
        <v>513</v>
      </c>
      <c r="P142" s="46">
        <f t="shared" ca="1" si="5"/>
        <v>1.217948717948718E-4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input_370010!A$2</f>
        <v>370010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IFERROR(VLOOKUP(B143,input_370010!L:R,7,FALSE),VLOOKUP(tables_370010!C143,input_370010!A:H,8,FALSE))</f>
        <v>27</v>
      </c>
      <c r="P143" s="46">
        <f t="shared" ref="P143:P206" ca="1" si="8">O143/SUM(O:O)</f>
        <v>6.4102564102564099E-6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input_370010!A$2</f>
        <v>370010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IFERROR(VLOOKUP(B144,input_370010!L:R,7,FALSE),VLOOKUP(tables_370010!C144,input_370010!A:H,8,FALSE))</f>
        <v>513</v>
      </c>
      <c r="P144" s="46">
        <f t="shared" ca="1" si="8"/>
        <v>1.217948717948718E-4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input_370010!A$2</f>
        <v>370010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IFERROR(VLOOKUP(B145,input_370010!L:R,7,FALSE),VLOOKUP(tables_370010!C145,input_370010!A:H,8,FALSE))</f>
        <v>27</v>
      </c>
      <c r="P145" s="46">
        <f t="shared" ca="1" si="8"/>
        <v>6.4102564102564099E-6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input_370010!A$2</f>
        <v>370010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IFERROR(VLOOKUP(B146,input_370010!L:R,7,FALSE),VLOOKUP(tables_370010!C146,input_370010!A:H,8,FALSE))</f>
        <v>24830</v>
      </c>
      <c r="P146" s="46">
        <f t="shared" ca="1" si="8"/>
        <v>5.8950617283950613E-3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input_370010!A$2</f>
        <v>370010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IFERROR(VLOOKUP(B147,input_370010!L:R,7,FALSE),VLOOKUP(tables_370010!C147,input_370010!A:H,8,FALSE))</f>
        <v>22347</v>
      </c>
      <c r="P147" s="46">
        <f t="shared" ca="1" si="8"/>
        <v>5.3055555555555555E-3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input_370010!A$2</f>
        <v>370010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IFERROR(VLOOKUP(B148,input_370010!L:R,7,FALSE),VLOOKUP(tables_370010!C148,input_370010!A:H,8,FALSE))</f>
        <v>2483</v>
      </c>
      <c r="P148" s="46">
        <f t="shared" ca="1" si="8"/>
        <v>5.8950617283950622E-4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input_370010!A$2</f>
        <v>370010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IFERROR(VLOOKUP(B149,input_370010!L:R,7,FALSE),VLOOKUP(tables_370010!C149,input_370010!A:H,8,FALSE))</f>
        <v>513</v>
      </c>
      <c r="P149" s="46">
        <f t="shared" ca="1" si="8"/>
        <v>1.217948717948718E-4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input_370010!A$2</f>
        <v>370010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IFERROR(VLOOKUP(B150,input_370010!L:R,7,FALSE),VLOOKUP(tables_370010!C150,input_370010!A:H,8,FALSE))</f>
        <v>27</v>
      </c>
      <c r="P150" s="46">
        <f t="shared" ca="1" si="8"/>
        <v>6.4102564102564099E-6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input_370010!A$2</f>
        <v>370010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IFERROR(VLOOKUP(B151,input_370010!L:R,7,FALSE),VLOOKUP(tables_370010!C151,input_370010!A:H,8,FALSE))</f>
        <v>513</v>
      </c>
      <c r="P151" s="46">
        <f t="shared" ca="1" si="8"/>
        <v>1.217948717948718E-4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input_370010!A$2</f>
        <v>370010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IFERROR(VLOOKUP(B152,input_370010!L:R,7,FALSE),VLOOKUP(tables_370010!C152,input_370010!A:H,8,FALSE))</f>
        <v>27</v>
      </c>
      <c r="P152" s="46">
        <f t="shared" ca="1" si="8"/>
        <v>6.4102564102564099E-6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input_370010!A$2</f>
        <v>370010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IFERROR(VLOOKUP(B153,input_370010!L:R,7,FALSE),VLOOKUP(tables_370010!C153,input_370010!A:H,8,FALSE))</f>
        <v>24830</v>
      </c>
      <c r="P153" s="46">
        <f t="shared" ca="1" si="8"/>
        <v>5.8950617283950613E-3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input_370010!A$2</f>
        <v>370010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IFERROR(VLOOKUP(B154,input_370010!L:R,7,FALSE),VLOOKUP(tables_370010!C154,input_370010!A:H,8,FALSE))</f>
        <v>22347</v>
      </c>
      <c r="P154" s="46">
        <f t="shared" ca="1" si="8"/>
        <v>5.3055555555555555E-3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input_370010!A$2</f>
        <v>370010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IFERROR(VLOOKUP(B155,input_370010!L:R,7,FALSE),VLOOKUP(tables_370010!C155,input_370010!A:H,8,FALSE))</f>
        <v>2483</v>
      </c>
      <c r="P155" s="46">
        <f t="shared" ca="1" si="8"/>
        <v>5.8950617283950622E-4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input_370010!A$2</f>
        <v>370010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IFERROR(VLOOKUP(B156,input_370010!L:R,7,FALSE),VLOOKUP(tables_370010!C156,input_370010!A:H,8,FALSE))</f>
        <v>513</v>
      </c>
      <c r="P156" s="46">
        <f t="shared" ca="1" si="8"/>
        <v>1.217948717948718E-4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input_370010!A$2</f>
        <v>370010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IFERROR(VLOOKUP(B157,input_370010!L:R,7,FALSE),VLOOKUP(tables_370010!C157,input_370010!A:H,8,FALSE))</f>
        <v>27</v>
      </c>
      <c r="P157" s="46">
        <f t="shared" ca="1" si="8"/>
        <v>6.4102564102564099E-6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input_370010!A$2</f>
        <v>370010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IFERROR(VLOOKUP(B158,input_370010!L:R,7,FALSE),VLOOKUP(tables_370010!C158,input_370010!A:H,8,FALSE))</f>
        <v>24830</v>
      </c>
      <c r="P158" s="46">
        <f t="shared" ca="1" si="8"/>
        <v>5.8950617283950613E-3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input_370010!A$2</f>
        <v>370010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IFERROR(VLOOKUP(B159,input_370010!L:R,7,FALSE),VLOOKUP(tables_370010!C159,input_370010!A:H,8,FALSE))</f>
        <v>22347</v>
      </c>
      <c r="P159" s="46">
        <f t="shared" ca="1" si="8"/>
        <v>5.3055555555555555E-3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input_370010!A$2</f>
        <v>370010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IFERROR(VLOOKUP(B160,input_370010!L:R,7,FALSE),VLOOKUP(tables_370010!C160,input_370010!A:H,8,FALSE))</f>
        <v>2483</v>
      </c>
      <c r="P160" s="46">
        <f t="shared" ca="1" si="8"/>
        <v>5.8950617283950622E-4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input_370010!A$2</f>
        <v>370010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IFERROR(VLOOKUP(B161,input_370010!L:R,7,FALSE),VLOOKUP(tables_370010!C161,input_370010!A:H,8,FALSE))</f>
        <v>24830</v>
      </c>
      <c r="P161" s="46">
        <f t="shared" ca="1" si="8"/>
        <v>5.8950617283950613E-3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input_370010!A$2</f>
        <v>370010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IFERROR(VLOOKUP(B162,input_370010!L:R,7,FALSE),VLOOKUP(tables_370010!C162,input_370010!A:H,8,FALSE))</f>
        <v>22347</v>
      </c>
      <c r="P162" s="46">
        <f t="shared" ca="1" si="8"/>
        <v>5.3055555555555555E-3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input_370010!A$2</f>
        <v>370010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IFERROR(VLOOKUP(B163,input_370010!L:R,7,FALSE),VLOOKUP(tables_370010!C163,input_370010!A:H,8,FALSE))</f>
        <v>2483</v>
      </c>
      <c r="P163" s="46">
        <f t="shared" ca="1" si="8"/>
        <v>5.8950617283950622E-4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input_370010!A$2</f>
        <v>370010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IFERROR(VLOOKUP(B164,input_370010!L:R,7,FALSE),VLOOKUP(tables_370010!C164,input_370010!A:H,8,FALSE))</f>
        <v>513</v>
      </c>
      <c r="P164" s="46">
        <f t="shared" ca="1" si="8"/>
        <v>1.217948717948718E-4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input_370010!A$2</f>
        <v>370010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IFERROR(VLOOKUP(B165,input_370010!L:R,7,FALSE),VLOOKUP(tables_370010!C165,input_370010!A:H,8,FALSE))</f>
        <v>27</v>
      </c>
      <c r="P165" s="46">
        <f t="shared" ca="1" si="8"/>
        <v>6.4102564102564099E-6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input_370010!A$2</f>
        <v>370010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IFERROR(VLOOKUP(B166,input_370010!L:R,7,FALSE),VLOOKUP(tables_370010!C166,input_370010!A:H,8,FALSE))</f>
        <v>24830</v>
      </c>
      <c r="P166" s="46">
        <f t="shared" ca="1" si="8"/>
        <v>5.8950617283950613E-3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input_370010!A$2</f>
        <v>370010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IFERROR(VLOOKUP(B167,input_370010!L:R,7,FALSE),VLOOKUP(tables_370010!C167,input_370010!A:H,8,FALSE))</f>
        <v>22347</v>
      </c>
      <c r="P167" s="46">
        <f t="shared" ca="1" si="8"/>
        <v>5.3055555555555555E-3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input_370010!A$2</f>
        <v>370010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IFERROR(VLOOKUP(B168,input_370010!L:R,7,FALSE),VLOOKUP(tables_370010!C168,input_370010!A:H,8,FALSE))</f>
        <v>2483</v>
      </c>
      <c r="P168" s="46">
        <f t="shared" ca="1" si="8"/>
        <v>5.8950617283950622E-4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input_370010!A$2</f>
        <v>370010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IFERROR(VLOOKUP(B169,input_370010!L:R,7,FALSE),VLOOKUP(tables_370010!C169,input_370010!A:H,8,FALSE))</f>
        <v>513</v>
      </c>
      <c r="P169" s="46">
        <f t="shared" ca="1" si="8"/>
        <v>1.217948717948718E-4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input_370010!A$2</f>
        <v>370010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IFERROR(VLOOKUP(B170,input_370010!L:R,7,FALSE),VLOOKUP(tables_370010!C170,input_370010!A:H,8,FALSE))</f>
        <v>27</v>
      </c>
      <c r="P170" s="46">
        <f t="shared" ca="1" si="8"/>
        <v>6.4102564102564099E-6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input_370010!A$2</f>
        <v>370010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IFERROR(VLOOKUP(B171,input_370010!L:R,7,FALSE),VLOOKUP(tables_370010!C171,input_370010!A:H,8,FALSE))</f>
        <v>24830</v>
      </c>
      <c r="P171" s="46">
        <f t="shared" ca="1" si="8"/>
        <v>5.8950617283950613E-3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input_370010!A$2</f>
        <v>370010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IFERROR(VLOOKUP(B172,input_370010!L:R,7,FALSE),VLOOKUP(tables_370010!C172,input_370010!A:H,8,FALSE))</f>
        <v>22347</v>
      </c>
      <c r="P172" s="46">
        <f t="shared" ca="1" si="8"/>
        <v>5.3055555555555555E-3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input_370010!A$2</f>
        <v>370010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IFERROR(VLOOKUP(B173,input_370010!L:R,7,FALSE),VLOOKUP(tables_370010!C173,input_370010!A:H,8,FALSE))</f>
        <v>2483</v>
      </c>
      <c r="P173" s="46">
        <f t="shared" ca="1" si="8"/>
        <v>5.8950617283950622E-4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input_370010!A$2</f>
        <v>370010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IFERROR(VLOOKUP(B174,input_370010!L:R,7,FALSE),VLOOKUP(tables_370010!C174,input_370010!A:H,8,FALSE))</f>
        <v>513</v>
      </c>
      <c r="P174" s="46">
        <f t="shared" ca="1" si="8"/>
        <v>1.217948717948718E-4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input_370010!A$2</f>
        <v>370010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IFERROR(VLOOKUP(B175,input_370010!L:R,7,FALSE),VLOOKUP(tables_370010!C175,input_370010!A:H,8,FALSE))</f>
        <v>27</v>
      </c>
      <c r="P175" s="46">
        <f t="shared" ca="1" si="8"/>
        <v>6.4102564102564099E-6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input_370010!A$2</f>
        <v>370010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IFERROR(VLOOKUP(B176,input_370010!L:R,7,FALSE),VLOOKUP(tables_370010!C176,input_370010!A:H,8,FALSE))</f>
        <v>513</v>
      </c>
      <c r="P176" s="46">
        <f t="shared" ca="1" si="8"/>
        <v>1.217948717948718E-4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input_370010!A$2</f>
        <v>370010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IFERROR(VLOOKUP(B177,input_370010!L:R,7,FALSE),VLOOKUP(tables_370010!C177,input_370010!A:H,8,FALSE))</f>
        <v>27</v>
      </c>
      <c r="P177" s="46">
        <f t="shared" ca="1" si="8"/>
        <v>6.4102564102564099E-6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input_370010!A$2</f>
        <v>370010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IFERROR(VLOOKUP(B178,input_370010!L:R,7,FALSE),VLOOKUP(tables_370010!C178,input_370010!A:H,8,FALSE))</f>
        <v>24830</v>
      </c>
      <c r="P178" s="46">
        <f t="shared" ca="1" si="8"/>
        <v>5.8950617283950613E-3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input_370010!A$2</f>
        <v>370010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IFERROR(VLOOKUP(B179,input_370010!L:R,7,FALSE),VLOOKUP(tables_370010!C179,input_370010!A:H,8,FALSE))</f>
        <v>22347</v>
      </c>
      <c r="P179" s="46">
        <f t="shared" ca="1" si="8"/>
        <v>5.3055555555555555E-3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input_370010!A$2</f>
        <v>370010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IFERROR(VLOOKUP(B180,input_370010!L:R,7,FALSE),VLOOKUP(tables_370010!C180,input_370010!A:H,8,FALSE))</f>
        <v>2483</v>
      </c>
      <c r="P180" s="46">
        <f t="shared" ca="1" si="8"/>
        <v>5.8950617283950622E-4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input_370010!A$2</f>
        <v>370010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IFERROR(VLOOKUP(B181,input_370010!L:R,7,FALSE),VLOOKUP(tables_370010!C181,input_370010!A:H,8,FALSE))</f>
        <v>24830</v>
      </c>
      <c r="P181" s="46">
        <f t="shared" ca="1" si="8"/>
        <v>5.8950617283950613E-3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input_370010!A$2</f>
        <v>370010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IFERROR(VLOOKUP(B182,input_370010!L:R,7,FALSE),VLOOKUP(tables_370010!C182,input_370010!A:H,8,FALSE))</f>
        <v>22347</v>
      </c>
      <c r="P182" s="46">
        <f t="shared" ca="1" si="8"/>
        <v>5.3055555555555555E-3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input_370010!A$2</f>
        <v>370010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IFERROR(VLOOKUP(B183,input_370010!L:R,7,FALSE),VLOOKUP(tables_370010!C183,input_370010!A:H,8,FALSE))</f>
        <v>2483</v>
      </c>
      <c r="P183" s="46">
        <f t="shared" ca="1" si="8"/>
        <v>5.8950617283950622E-4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input_370010!A$2</f>
        <v>370010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IFERROR(VLOOKUP(B184,input_370010!L:R,7,FALSE),VLOOKUP(tables_370010!C184,input_370010!A:H,8,FALSE))</f>
        <v>513</v>
      </c>
      <c r="P184" s="46">
        <f t="shared" ca="1" si="8"/>
        <v>1.217948717948718E-4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input_370010!A$2</f>
        <v>370010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IFERROR(VLOOKUP(B185,input_370010!L:R,7,FALSE),VLOOKUP(tables_370010!C185,input_370010!A:H,8,FALSE))</f>
        <v>27</v>
      </c>
      <c r="P185" s="46">
        <f t="shared" ca="1" si="8"/>
        <v>6.4102564102564099E-6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input_370010!A$2</f>
        <v>370010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IFERROR(VLOOKUP(B186,input_370010!L:R,7,FALSE),VLOOKUP(tables_370010!C186,input_370010!A:H,8,FALSE))</f>
        <v>24830</v>
      </c>
      <c r="P186" s="46">
        <f t="shared" ca="1" si="8"/>
        <v>5.8950617283950613E-3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input_370010!A$2</f>
        <v>370010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IFERROR(VLOOKUP(B187,input_370010!L:R,7,FALSE),VLOOKUP(tables_370010!C187,input_370010!A:H,8,FALSE))</f>
        <v>22347</v>
      </c>
      <c r="P187" s="46">
        <f t="shared" ca="1" si="8"/>
        <v>5.3055555555555555E-3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input_370010!A$2</f>
        <v>370010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IFERROR(VLOOKUP(B188,input_370010!L:R,7,FALSE),VLOOKUP(tables_370010!C188,input_370010!A:H,8,FALSE))</f>
        <v>2483</v>
      </c>
      <c r="P188" s="46">
        <f t="shared" ca="1" si="8"/>
        <v>5.8950617283950622E-4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input_370010!A$2</f>
        <v>370010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IFERROR(VLOOKUP(B189,input_370010!L:R,7,FALSE),VLOOKUP(tables_370010!C189,input_370010!A:H,8,FALSE))</f>
        <v>513</v>
      </c>
      <c r="P189" s="46">
        <f t="shared" ca="1" si="8"/>
        <v>1.217948717948718E-4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input_370010!A$2</f>
        <v>370010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IFERROR(VLOOKUP(B190,input_370010!L:R,7,FALSE),VLOOKUP(tables_370010!C190,input_370010!A:H,8,FALSE))</f>
        <v>27</v>
      </c>
      <c r="P190" s="46">
        <f t="shared" ca="1" si="8"/>
        <v>6.4102564102564099E-6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input_370010!A$2</f>
        <v>370010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IFERROR(VLOOKUP(B191,input_370010!L:R,7,FALSE),VLOOKUP(tables_370010!C191,input_370010!A:H,8,FALSE))</f>
        <v>513</v>
      </c>
      <c r="P191" s="46">
        <f t="shared" ca="1" si="8"/>
        <v>1.217948717948718E-4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input_370010!A$2</f>
        <v>370010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IFERROR(VLOOKUP(B192,input_370010!L:R,7,FALSE),VLOOKUP(tables_370010!C192,input_370010!A:H,8,FALSE))</f>
        <v>27</v>
      </c>
      <c r="P192" s="46">
        <f t="shared" ca="1" si="8"/>
        <v>6.4102564102564099E-6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input_370010!A$2</f>
        <v>370010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IFERROR(VLOOKUP(B193,input_370010!L:R,7,FALSE),VLOOKUP(tables_370010!C193,input_370010!A:H,8,FALSE))</f>
        <v>24830</v>
      </c>
      <c r="P193" s="46">
        <f t="shared" ca="1" si="8"/>
        <v>5.8950617283950613E-3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input_370010!A$2</f>
        <v>370010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IFERROR(VLOOKUP(B194,input_370010!L:R,7,FALSE),VLOOKUP(tables_370010!C194,input_370010!A:H,8,FALSE))</f>
        <v>22347</v>
      </c>
      <c r="P194" s="46">
        <f t="shared" ca="1" si="8"/>
        <v>5.3055555555555555E-3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input_370010!A$2</f>
        <v>370010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IFERROR(VLOOKUP(B195,input_370010!L:R,7,FALSE),VLOOKUP(tables_370010!C195,input_370010!A:H,8,FALSE))</f>
        <v>2483</v>
      </c>
      <c r="P195" s="46">
        <f t="shared" ca="1" si="8"/>
        <v>5.8950617283950622E-4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input_370010!A$2</f>
        <v>370010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IFERROR(VLOOKUP(B196,input_370010!L:R,7,FALSE),VLOOKUP(tables_370010!C196,input_370010!A:H,8,FALSE))</f>
        <v>513</v>
      </c>
      <c r="P196" s="46">
        <f t="shared" ca="1" si="8"/>
        <v>1.217948717948718E-4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input_370010!A$2</f>
        <v>370010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IFERROR(VLOOKUP(B197,input_370010!L:R,7,FALSE),VLOOKUP(tables_370010!C197,input_370010!A:H,8,FALSE))</f>
        <v>27</v>
      </c>
      <c r="P197" s="46">
        <f t="shared" ca="1" si="8"/>
        <v>6.4102564102564099E-6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input_370010!A$2</f>
        <v>370010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IFERROR(VLOOKUP(B198,input_370010!L:R,7,FALSE),VLOOKUP(tables_370010!C198,input_370010!A:H,8,FALSE))</f>
        <v>24830</v>
      </c>
      <c r="P198" s="46">
        <f t="shared" ca="1" si="8"/>
        <v>5.8950617283950613E-3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input_370010!A$2</f>
        <v>370010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IFERROR(VLOOKUP(B199,input_370010!L:R,7,FALSE),VLOOKUP(tables_370010!C199,input_370010!A:H,8,FALSE))</f>
        <v>22347</v>
      </c>
      <c r="P199" s="46">
        <f t="shared" ca="1" si="8"/>
        <v>5.3055555555555555E-3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input_370010!A$2</f>
        <v>370010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IFERROR(VLOOKUP(B200,input_370010!L:R,7,FALSE),VLOOKUP(tables_370010!C200,input_370010!A:H,8,FALSE))</f>
        <v>2483</v>
      </c>
      <c r="P200" s="46">
        <f t="shared" ca="1" si="8"/>
        <v>5.8950617283950622E-4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input_370010!A$2</f>
        <v>370010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IFERROR(VLOOKUP(B201,input_370010!L:R,7,FALSE),VLOOKUP(tables_370010!C201,input_370010!A:H,8,FALSE))</f>
        <v>513</v>
      </c>
      <c r="P201" s="46">
        <f t="shared" ca="1" si="8"/>
        <v>1.217948717948718E-4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input_370010!A$2</f>
        <v>370010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IFERROR(VLOOKUP(B202,input_370010!L:R,7,FALSE),VLOOKUP(tables_370010!C202,input_370010!A:H,8,FALSE))</f>
        <v>27</v>
      </c>
      <c r="P202" s="46">
        <f t="shared" ca="1" si="8"/>
        <v>6.4102564102564099E-6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input_370010!A$2</f>
        <v>370010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IFERROR(VLOOKUP(B203,input_370010!L:R,7,FALSE),VLOOKUP(tables_370010!C203,input_370010!A:H,8,FALSE))</f>
        <v>24830</v>
      </c>
      <c r="P203" s="46">
        <f t="shared" ca="1" si="8"/>
        <v>5.8950617283950613E-3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input_370010!A$2</f>
        <v>370010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IFERROR(VLOOKUP(B204,input_370010!L:R,7,FALSE),VLOOKUP(tables_370010!C204,input_370010!A:H,8,FALSE))</f>
        <v>22347</v>
      </c>
      <c r="P204" s="46">
        <f t="shared" ca="1" si="8"/>
        <v>5.3055555555555555E-3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input_370010!A$2</f>
        <v>370010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IFERROR(VLOOKUP(B205,input_370010!L:R,7,FALSE),VLOOKUP(tables_370010!C205,input_370010!A:H,8,FALSE))</f>
        <v>2483</v>
      </c>
      <c r="P205" s="46">
        <f t="shared" ca="1" si="8"/>
        <v>5.8950617283950622E-4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input_370010!A$2</f>
        <v>370010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IFERROR(VLOOKUP(B206,input_370010!L:R,7,FALSE),VLOOKUP(tables_370010!C206,input_370010!A:H,8,FALSE))</f>
        <v>513</v>
      </c>
      <c r="P206" s="46">
        <f t="shared" ca="1" si="8"/>
        <v>1.217948717948718E-4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input_370010!A$2</f>
        <v>370010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IFERROR(VLOOKUP(B207,input_370010!L:R,7,FALSE),VLOOKUP(tables_370010!C207,input_370010!A:H,8,FALSE))</f>
        <v>27</v>
      </c>
      <c r="P207" s="46">
        <f t="shared" ref="P207:P270" ca="1" si="11">O207/SUM(O:O)</f>
        <v>6.4102564102564099E-6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input_370010!A$2</f>
        <v>370010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IFERROR(VLOOKUP(B208,input_370010!L:R,7,FALSE),VLOOKUP(tables_370010!C208,input_370010!A:H,8,FALSE))</f>
        <v>513</v>
      </c>
      <c r="P208" s="46">
        <f t="shared" ca="1" si="11"/>
        <v>1.217948717948718E-4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input_370010!A$2</f>
        <v>370010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IFERROR(VLOOKUP(B209,input_370010!L:R,7,FALSE),VLOOKUP(tables_370010!C209,input_370010!A:H,8,FALSE))</f>
        <v>27</v>
      </c>
      <c r="P209" s="46">
        <f t="shared" ca="1" si="11"/>
        <v>6.4102564102564099E-6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input_370010!A$2</f>
        <v>370010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IFERROR(VLOOKUP(B210,input_370010!L:R,7,FALSE),VLOOKUP(tables_370010!C210,input_370010!A:H,8,FALSE))</f>
        <v>24830</v>
      </c>
      <c r="P210" s="46">
        <f t="shared" ca="1" si="11"/>
        <v>5.8950617283950613E-3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input_370010!A$2</f>
        <v>370010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IFERROR(VLOOKUP(B211,input_370010!L:R,7,FALSE),VLOOKUP(tables_370010!C211,input_370010!A:H,8,FALSE))</f>
        <v>22347</v>
      </c>
      <c r="P211" s="46">
        <f t="shared" ca="1" si="11"/>
        <v>5.3055555555555555E-3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input_370010!A$2</f>
        <v>370010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IFERROR(VLOOKUP(B212,input_370010!L:R,7,FALSE),VLOOKUP(tables_370010!C212,input_370010!A:H,8,FALSE))</f>
        <v>2483</v>
      </c>
      <c r="P212" s="46">
        <f t="shared" ca="1" si="11"/>
        <v>5.8950617283950622E-4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input_370010!A$2</f>
        <v>370010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IFERROR(VLOOKUP(B213,input_370010!L:R,7,FALSE),VLOOKUP(tables_370010!C213,input_370010!A:H,8,FALSE))</f>
        <v>513</v>
      </c>
      <c r="P213" s="46">
        <f t="shared" ca="1" si="11"/>
        <v>1.217948717948718E-4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input_370010!A$2</f>
        <v>370010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IFERROR(VLOOKUP(B214,input_370010!L:R,7,FALSE),VLOOKUP(tables_370010!C214,input_370010!A:H,8,FALSE))</f>
        <v>27</v>
      </c>
      <c r="P214" s="46">
        <f t="shared" ca="1" si="11"/>
        <v>6.4102564102564099E-6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input_370010!A$2</f>
        <v>370010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IFERROR(VLOOKUP(B215,input_370010!L:R,7,FALSE),VLOOKUP(tables_370010!C215,input_370010!A:H,8,FALSE))</f>
        <v>513</v>
      </c>
      <c r="P215" s="46">
        <f t="shared" ca="1" si="11"/>
        <v>1.217948717948718E-4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input_370010!A$2</f>
        <v>370010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IFERROR(VLOOKUP(B216,input_370010!L:R,7,FALSE),VLOOKUP(tables_370010!C216,input_370010!A:H,8,FALSE))</f>
        <v>27</v>
      </c>
      <c r="P216" s="46">
        <f t="shared" ca="1" si="11"/>
        <v>6.4102564102564099E-6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input_370010!A$2</f>
        <v>370010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IFERROR(VLOOKUP(B217,input_370010!L:R,7,FALSE),VLOOKUP(tables_370010!C217,input_370010!A:H,8,FALSE))</f>
        <v>24830</v>
      </c>
      <c r="P217" s="46">
        <f t="shared" ca="1" si="11"/>
        <v>5.8950617283950613E-3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input_370010!A$2</f>
        <v>370010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IFERROR(VLOOKUP(B218,input_370010!L:R,7,FALSE),VLOOKUP(tables_370010!C218,input_370010!A:H,8,FALSE))</f>
        <v>22347</v>
      </c>
      <c r="P218" s="46">
        <f t="shared" ca="1" si="11"/>
        <v>5.3055555555555555E-3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input_370010!A$2</f>
        <v>370010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IFERROR(VLOOKUP(B219,input_370010!L:R,7,FALSE),VLOOKUP(tables_370010!C219,input_370010!A:H,8,FALSE))</f>
        <v>2483</v>
      </c>
      <c r="P219" s="46">
        <f t="shared" ca="1" si="11"/>
        <v>5.8950617283950622E-4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input_370010!A$2</f>
        <v>370010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IFERROR(VLOOKUP(B220,input_370010!L:R,7,FALSE),VLOOKUP(tables_370010!C220,input_370010!A:H,8,FALSE))</f>
        <v>24830</v>
      </c>
      <c r="P220" s="46">
        <f t="shared" ca="1" si="11"/>
        <v>5.8950617283950613E-3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input_370010!A$2</f>
        <v>370010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IFERROR(VLOOKUP(B221,input_370010!L:R,7,FALSE),VLOOKUP(tables_370010!C221,input_370010!A:H,8,FALSE))</f>
        <v>22347</v>
      </c>
      <c r="P221" s="46">
        <f t="shared" ca="1" si="11"/>
        <v>5.3055555555555555E-3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input_370010!A$2</f>
        <v>370010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IFERROR(VLOOKUP(B222,input_370010!L:R,7,FALSE),VLOOKUP(tables_370010!C222,input_370010!A:H,8,FALSE))</f>
        <v>2483</v>
      </c>
      <c r="P222" s="46">
        <f t="shared" ca="1" si="11"/>
        <v>5.8950617283950622E-4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input_370010!A$2</f>
        <v>370010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IFERROR(VLOOKUP(B223,input_370010!L:R,7,FALSE),VLOOKUP(tables_370010!C223,input_370010!A:H,8,FALSE))</f>
        <v>513</v>
      </c>
      <c r="P223" s="46">
        <f t="shared" ca="1" si="11"/>
        <v>1.217948717948718E-4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input_370010!A$2</f>
        <v>370010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IFERROR(VLOOKUP(B224,input_370010!L:R,7,FALSE),VLOOKUP(tables_370010!C224,input_370010!A:H,8,FALSE))</f>
        <v>27</v>
      </c>
      <c r="P224" s="46">
        <f t="shared" ca="1" si="11"/>
        <v>6.4102564102564099E-6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input_370010!A$2</f>
        <v>370010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IFERROR(VLOOKUP(B225,input_370010!L:R,7,FALSE),VLOOKUP(tables_370010!C225,input_370010!A:H,8,FALSE))</f>
        <v>24830</v>
      </c>
      <c r="P225" s="46">
        <f t="shared" ca="1" si="11"/>
        <v>5.8950617283950613E-3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input_370010!A$2</f>
        <v>370010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IFERROR(VLOOKUP(B226,input_370010!L:R,7,FALSE),VLOOKUP(tables_370010!C226,input_370010!A:H,8,FALSE))</f>
        <v>22347</v>
      </c>
      <c r="P226" s="46">
        <f t="shared" ca="1" si="11"/>
        <v>5.3055555555555555E-3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input_370010!A$2</f>
        <v>370010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IFERROR(VLOOKUP(B227,input_370010!L:R,7,FALSE),VLOOKUP(tables_370010!C227,input_370010!A:H,8,FALSE))</f>
        <v>2483</v>
      </c>
      <c r="P227" s="46">
        <f t="shared" ca="1" si="11"/>
        <v>5.8950617283950622E-4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input_370010!A$2</f>
        <v>370010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IFERROR(VLOOKUP(B228,input_370010!L:R,7,FALSE),VLOOKUP(tables_370010!C228,input_370010!A:H,8,FALSE))</f>
        <v>24830</v>
      </c>
      <c r="P228" s="46">
        <f t="shared" ca="1" si="11"/>
        <v>5.8950617283950613E-3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input_370010!A$2</f>
        <v>370010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IFERROR(VLOOKUP(B229,input_370010!L:R,7,FALSE),VLOOKUP(tables_370010!C229,input_370010!A:H,8,FALSE))</f>
        <v>22347</v>
      </c>
      <c r="P229" s="46">
        <f t="shared" ca="1" si="11"/>
        <v>5.3055555555555555E-3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input_370010!A$2</f>
        <v>370010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IFERROR(VLOOKUP(B230,input_370010!L:R,7,FALSE),VLOOKUP(tables_370010!C230,input_370010!A:H,8,FALSE))</f>
        <v>2483</v>
      </c>
      <c r="P230" s="46">
        <f t="shared" ca="1" si="11"/>
        <v>5.8950617283950622E-4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input_370010!A$2</f>
        <v>370010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IFERROR(VLOOKUP(B231,input_370010!L:R,7,FALSE),VLOOKUP(tables_370010!C231,input_370010!A:H,8,FALSE))</f>
        <v>513</v>
      </c>
      <c r="P231" s="46">
        <f t="shared" ca="1" si="11"/>
        <v>1.217948717948718E-4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input_370010!A$2</f>
        <v>370010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IFERROR(VLOOKUP(B232,input_370010!L:R,7,FALSE),VLOOKUP(tables_370010!C232,input_370010!A:H,8,FALSE))</f>
        <v>27</v>
      </c>
      <c r="P232" s="46">
        <f t="shared" ca="1" si="11"/>
        <v>6.4102564102564099E-6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input_370010!A$2</f>
        <v>370010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IFERROR(VLOOKUP(B233,input_370010!L:R,7,FALSE),VLOOKUP(tables_370010!C233,input_370010!A:H,8,FALSE))</f>
        <v>24830</v>
      </c>
      <c r="P233" s="46">
        <f t="shared" ca="1" si="11"/>
        <v>5.8950617283950613E-3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input_370010!A$2</f>
        <v>370010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IFERROR(VLOOKUP(B234,input_370010!L:R,7,FALSE),VLOOKUP(tables_370010!C234,input_370010!A:H,8,FALSE))</f>
        <v>22347</v>
      </c>
      <c r="P234" s="46">
        <f t="shared" ca="1" si="11"/>
        <v>5.3055555555555555E-3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input_370010!A$2</f>
        <v>370010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IFERROR(VLOOKUP(B235,input_370010!L:R,7,FALSE),VLOOKUP(tables_370010!C235,input_370010!A:H,8,FALSE))</f>
        <v>2483</v>
      </c>
      <c r="P235" s="46">
        <f t="shared" ca="1" si="11"/>
        <v>5.8950617283950622E-4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input_370010!A$2</f>
        <v>370010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IFERROR(VLOOKUP(B236,input_370010!L:R,7,FALSE),VLOOKUP(tables_370010!C236,input_370010!A:H,8,FALSE))</f>
        <v>513</v>
      </c>
      <c r="P236" s="46">
        <f t="shared" ca="1" si="11"/>
        <v>1.217948717948718E-4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input_370010!A$2</f>
        <v>370010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IFERROR(VLOOKUP(B237,input_370010!L:R,7,FALSE),VLOOKUP(tables_370010!C237,input_370010!A:H,8,FALSE))</f>
        <v>27</v>
      </c>
      <c r="P237" s="46">
        <f t="shared" ca="1" si="11"/>
        <v>6.4102564102564099E-6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input_370010!A$2</f>
        <v>370010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IFERROR(VLOOKUP(B238,input_370010!L:R,7,FALSE),VLOOKUP(tables_370010!C238,input_370010!A:H,8,FALSE))</f>
        <v>513</v>
      </c>
      <c r="P238" s="46">
        <f t="shared" ca="1" si="11"/>
        <v>1.217948717948718E-4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input_370010!A$2</f>
        <v>370010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IFERROR(VLOOKUP(B239,input_370010!L:R,7,FALSE),VLOOKUP(tables_370010!C239,input_370010!A:H,8,FALSE))</f>
        <v>27</v>
      </c>
      <c r="P239" s="46">
        <f t="shared" ca="1" si="11"/>
        <v>6.4102564102564099E-6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input_370010!A$2</f>
        <v>370010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IFERROR(VLOOKUP(B240,input_370010!L:R,7,FALSE),VLOOKUP(tables_370010!C240,input_370010!A:H,8,FALSE))</f>
        <v>24830</v>
      </c>
      <c r="P240" s="46">
        <f t="shared" ca="1" si="11"/>
        <v>5.8950617283950613E-3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input_370010!A$2</f>
        <v>370010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IFERROR(VLOOKUP(B241,input_370010!L:R,7,FALSE),VLOOKUP(tables_370010!C241,input_370010!A:H,8,FALSE))</f>
        <v>22347</v>
      </c>
      <c r="P241" s="46">
        <f t="shared" ca="1" si="11"/>
        <v>5.3055555555555555E-3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input_370010!A$2</f>
        <v>370010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IFERROR(VLOOKUP(B242,input_370010!L:R,7,FALSE),VLOOKUP(tables_370010!C242,input_370010!A:H,8,FALSE))</f>
        <v>2483</v>
      </c>
      <c r="P242" s="46">
        <f t="shared" ca="1" si="11"/>
        <v>5.8950617283950622E-4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input_370010!A$2</f>
        <v>370010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IFERROR(VLOOKUP(B243,input_370010!L:R,7,FALSE),VLOOKUP(tables_370010!C243,input_370010!A:H,8,FALSE))</f>
        <v>24830</v>
      </c>
      <c r="P243" s="46">
        <f t="shared" ca="1" si="11"/>
        <v>5.8950617283950613E-3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input_370010!A$2</f>
        <v>370010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IFERROR(VLOOKUP(B244,input_370010!L:R,7,FALSE),VLOOKUP(tables_370010!C244,input_370010!A:H,8,FALSE))</f>
        <v>22347</v>
      </c>
      <c r="P244" s="46">
        <f t="shared" ca="1" si="11"/>
        <v>5.3055555555555555E-3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input_370010!A$2</f>
        <v>370010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IFERROR(VLOOKUP(B245,input_370010!L:R,7,FALSE),VLOOKUP(tables_370010!C245,input_370010!A:H,8,FALSE))</f>
        <v>2483</v>
      </c>
      <c r="P245" s="46">
        <f t="shared" ca="1" si="11"/>
        <v>5.8950617283950622E-4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input_370010!A$2</f>
        <v>370010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IFERROR(VLOOKUP(B246,input_370010!L:R,7,FALSE),VLOOKUP(tables_370010!C246,input_370010!A:H,8,FALSE))</f>
        <v>24830</v>
      </c>
      <c r="P246" s="46">
        <f t="shared" ca="1" si="11"/>
        <v>5.8950617283950613E-3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input_370010!A$2</f>
        <v>370010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IFERROR(VLOOKUP(B247,input_370010!L:R,7,FALSE),VLOOKUP(tables_370010!C247,input_370010!A:H,8,FALSE))</f>
        <v>22347</v>
      </c>
      <c r="P247" s="46">
        <f t="shared" ca="1" si="11"/>
        <v>5.3055555555555555E-3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input_370010!A$2</f>
        <v>370010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IFERROR(VLOOKUP(B248,input_370010!L:R,7,FALSE),VLOOKUP(tables_370010!C248,input_370010!A:H,8,FALSE))</f>
        <v>2483</v>
      </c>
      <c r="P248" s="46">
        <f t="shared" ca="1" si="11"/>
        <v>5.8950617283950622E-4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input_370010!A$2</f>
        <v>370010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IFERROR(VLOOKUP(B249,input_370010!L:R,7,FALSE),VLOOKUP(tables_370010!C249,input_370010!A:H,8,FALSE))</f>
        <v>24830</v>
      </c>
      <c r="P249" s="46">
        <f t="shared" ca="1" si="11"/>
        <v>5.8950617283950613E-3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input_370010!A$2</f>
        <v>370010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IFERROR(VLOOKUP(B250,input_370010!L:R,7,FALSE),VLOOKUP(tables_370010!C250,input_370010!A:H,8,FALSE))</f>
        <v>22347</v>
      </c>
      <c r="P250" s="46">
        <f t="shared" ca="1" si="11"/>
        <v>5.3055555555555555E-3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input_370010!A$2</f>
        <v>370010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IFERROR(VLOOKUP(B251,input_370010!L:R,7,FALSE),VLOOKUP(tables_370010!C251,input_370010!A:H,8,FALSE))</f>
        <v>2483</v>
      </c>
      <c r="P251" s="46">
        <f t="shared" ca="1" si="11"/>
        <v>5.8950617283950622E-4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input_370010!A$2</f>
        <v>370010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IFERROR(VLOOKUP(B252,input_370010!L:R,7,FALSE),VLOOKUP(tables_370010!C252,input_370010!A:H,8,FALSE))</f>
        <v>513</v>
      </c>
      <c r="P252" s="46">
        <f t="shared" ca="1" si="11"/>
        <v>1.217948717948718E-4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input_370010!A$2</f>
        <v>370010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IFERROR(VLOOKUP(B253,input_370010!L:R,7,FALSE),VLOOKUP(tables_370010!C253,input_370010!A:H,8,FALSE))</f>
        <v>27</v>
      </c>
      <c r="P253" s="46">
        <f t="shared" ca="1" si="11"/>
        <v>6.4102564102564099E-6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input_370010!A$2</f>
        <v>370010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IFERROR(VLOOKUP(B254,input_370010!L:R,7,FALSE),VLOOKUP(tables_370010!C254,input_370010!A:H,8,FALSE))</f>
        <v>513</v>
      </c>
      <c r="P254" s="46">
        <f t="shared" ca="1" si="11"/>
        <v>1.217948717948718E-4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input_370010!A$2</f>
        <v>370010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IFERROR(VLOOKUP(B255,input_370010!L:R,7,FALSE),VLOOKUP(tables_370010!C255,input_370010!A:H,8,FALSE))</f>
        <v>27</v>
      </c>
      <c r="P255" s="46">
        <f t="shared" ca="1" si="11"/>
        <v>6.4102564102564099E-6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input_370010!A$2</f>
        <v>370010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IFERROR(VLOOKUP(B256,input_370010!L:R,7,FALSE),VLOOKUP(tables_370010!C256,input_370010!A:H,8,FALSE))</f>
        <v>41122.222220000003</v>
      </c>
      <c r="P256" s="46">
        <f t="shared" ca="1" si="11"/>
        <v>9.7631106885090226E-3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input_370010!A$2</f>
        <v>370010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IFERROR(VLOOKUP(B257,input_370010!L:R,7,FALSE),VLOOKUP(tables_370010!C257,input_370010!A:H,8,FALSE))</f>
        <v>8537.7777800000003</v>
      </c>
      <c r="P257" s="46">
        <f t="shared" ca="1" si="11"/>
        <v>2.0270127682811018E-3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input_370010!A$2</f>
        <v>370010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IFERROR(VLOOKUP(B258,input_370010!L:R,7,FALSE),VLOOKUP(tables_370010!C258,input_370010!A:H,8,FALSE))</f>
        <v>41122.222220000003</v>
      </c>
      <c r="P258" s="46">
        <f t="shared" ca="1" si="11"/>
        <v>9.7631106885090226E-3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input_370010!A$2</f>
        <v>370010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IFERROR(VLOOKUP(B259,input_370010!L:R,7,FALSE),VLOOKUP(tables_370010!C259,input_370010!A:H,8,FALSE))</f>
        <v>8537.7777800000003</v>
      </c>
      <c r="P259" s="46">
        <f t="shared" ca="1" si="11"/>
        <v>2.0270127682811018E-3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input_370010!A$2</f>
        <v>370010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>IFERROR(VLOOKUP(B260,input_370010!L:R,7,FALSE),VLOOKUP(tables_370010!C260,input_370010!A:H,8,FALSE))</f>
        <v>42120</v>
      </c>
      <c r="P260" s="46">
        <f t="shared" ca="1" si="11"/>
        <v>0.01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input_370010!A$2</f>
        <v>370010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>IFERROR(VLOOKUP(B261,input_370010!L:R,7,FALSE),VLOOKUP(tables_370010!C261,input_370010!A:H,8,FALSE))</f>
        <v>42120</v>
      </c>
      <c r="P261" s="46">
        <f t="shared" ca="1" si="11"/>
        <v>0.01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input_370010!A$2</f>
        <v>370010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IFERROR(VLOOKUP(B262,input_370010!L:R,7,FALSE),VLOOKUP(tables_370010!C262,input_370010!A:H,8,FALSE))</f>
        <v>513</v>
      </c>
      <c r="P262" s="46">
        <f t="shared" ca="1" si="11"/>
        <v>1.217948717948718E-4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input_370010!A$2</f>
        <v>370010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IFERROR(VLOOKUP(B263,input_370010!L:R,7,FALSE),VLOOKUP(tables_370010!C263,input_370010!A:H,8,FALSE))</f>
        <v>27</v>
      </c>
      <c r="P263" s="46">
        <f t="shared" ca="1" si="11"/>
        <v>6.4102564102564099E-6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input_370010!A$2</f>
        <v>370010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IFERROR(VLOOKUP(B264,input_370010!L:R,7,FALSE),VLOOKUP(tables_370010!C264,input_370010!A:H,8,FALSE))</f>
        <v>513</v>
      </c>
      <c r="P264" s="46">
        <f t="shared" ca="1" si="11"/>
        <v>1.217948717948718E-4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input_370010!A$2</f>
        <v>370010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IFERROR(VLOOKUP(B265,input_370010!L:R,7,FALSE),VLOOKUP(tables_370010!C265,input_370010!A:H,8,FALSE))</f>
        <v>27</v>
      </c>
      <c r="P265" s="46">
        <f t="shared" ca="1" si="11"/>
        <v>6.4102564102564099E-6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input_370010!A$2</f>
        <v>370010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IFERROR(VLOOKUP(B266,input_370010!L:R,7,FALSE),VLOOKUP(tables_370010!C266,input_370010!A:H,8,FALSE))</f>
        <v>24830</v>
      </c>
      <c r="P266" s="46">
        <f t="shared" ca="1" si="11"/>
        <v>5.8950617283950613E-3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input_370010!A$2</f>
        <v>370010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IFERROR(VLOOKUP(B267,input_370010!L:R,7,FALSE),VLOOKUP(tables_370010!C267,input_370010!A:H,8,FALSE))</f>
        <v>22347</v>
      </c>
      <c r="P267" s="46">
        <f t="shared" ca="1" si="11"/>
        <v>5.3055555555555555E-3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input_370010!A$2</f>
        <v>370010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IFERROR(VLOOKUP(B268,input_370010!L:R,7,FALSE),VLOOKUP(tables_370010!C268,input_370010!A:H,8,FALSE))</f>
        <v>2483</v>
      </c>
      <c r="P268" s="46">
        <f t="shared" ca="1" si="11"/>
        <v>5.8950617283950622E-4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input_370010!A$2</f>
        <v>370010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IFERROR(VLOOKUP(B269,input_370010!L:R,7,FALSE),VLOOKUP(tables_370010!C269,input_370010!A:H,8,FALSE))</f>
        <v>24830</v>
      </c>
      <c r="P269" s="46">
        <f t="shared" ca="1" si="11"/>
        <v>5.8950617283950613E-3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input_370010!A$2</f>
        <v>370010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IFERROR(VLOOKUP(B270,input_370010!L:R,7,FALSE),VLOOKUP(tables_370010!C270,input_370010!A:H,8,FALSE))</f>
        <v>22347</v>
      </c>
      <c r="P270" s="46">
        <f t="shared" ca="1" si="11"/>
        <v>5.3055555555555555E-3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input_370010!A$2</f>
        <v>370010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IFERROR(VLOOKUP(B271,input_370010!L:R,7,FALSE),VLOOKUP(tables_370010!C271,input_370010!A:H,8,FALSE))</f>
        <v>2483</v>
      </c>
      <c r="P271" s="46">
        <f t="shared" ref="P271:P283" ca="1" si="14">O271/SUM(O:O)</f>
        <v>5.8950617283950622E-4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input_370010!A$2</f>
        <v>370010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IFERROR(VLOOKUP(B272,input_370010!L:R,7,FALSE),VLOOKUP(tables_370010!C272,input_370010!A:H,8,FALSE))</f>
        <v>42120</v>
      </c>
      <c r="P272" s="46">
        <f t="shared" ca="1" si="14"/>
        <v>0.01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input_370010!A$2</f>
        <v>370010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>IFERROR(VLOOKUP(B273,input_370010!L:R,7,FALSE),VLOOKUP(tables_370010!C273,input_370010!A:H,8,FALSE))</f>
        <v>42120</v>
      </c>
      <c r="P273" s="46">
        <f t="shared" ca="1" si="14"/>
        <v>0.01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input_370010!A$2</f>
        <v>370010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IFERROR(VLOOKUP(B274,input_370010!L:R,7,FALSE),VLOOKUP(tables_370010!C274,input_370010!A:H,8,FALSE))</f>
        <v>41122.222220000003</v>
      </c>
      <c r="P274" s="46">
        <f t="shared" ca="1" si="14"/>
        <v>9.7631106885090226E-3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input_370010!A$2</f>
        <v>370010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IFERROR(VLOOKUP(B275,input_370010!L:R,7,FALSE),VLOOKUP(tables_370010!C275,input_370010!A:H,8,FALSE))</f>
        <v>8537.7777800000003</v>
      </c>
      <c r="P275" s="46">
        <f t="shared" ca="1" si="14"/>
        <v>2.0270127682811018E-3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input_370010!A$2</f>
        <v>370010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IFERROR(VLOOKUP(B276,input_370010!L:R,7,FALSE),VLOOKUP(tables_370010!C276,input_370010!A:H,8,FALSE))</f>
        <v>41122.222220000003</v>
      </c>
      <c r="P276" s="46">
        <f t="shared" ca="1" si="14"/>
        <v>9.7631106885090226E-3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input_370010!A$2</f>
        <v>370010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IFERROR(VLOOKUP(B277,input_370010!L:R,7,FALSE),VLOOKUP(tables_370010!C277,input_370010!A:H,8,FALSE))</f>
        <v>8537.7777800000003</v>
      </c>
      <c r="P277" s="46">
        <f t="shared" ca="1" si="14"/>
        <v>2.0270127682811018E-3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input_370010!A$2</f>
        <v>370010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IFERROR(VLOOKUP(B278,input_370010!L:R,7,FALSE),VLOOKUP(tables_370010!C278,input_370010!A:H,8,FALSE))</f>
        <v>41122.222220000003</v>
      </c>
      <c r="P278" s="46">
        <f t="shared" ca="1" si="14"/>
        <v>9.7631106885090226E-3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input_370010!A$2</f>
        <v>370010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IFERROR(VLOOKUP(B279,input_370010!L:R,7,FALSE),VLOOKUP(tables_370010!C279,input_370010!A:H,8,FALSE))</f>
        <v>8537.7777800000003</v>
      </c>
      <c r="P279" s="46">
        <f t="shared" ca="1" si="14"/>
        <v>2.0270127682811018E-3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input_370010!A$2</f>
        <v>370010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IFERROR(VLOOKUP(B280,input_370010!L:R,7,FALSE),VLOOKUP(tables_370010!C280,input_370010!A:H,8,FALSE))</f>
        <v>41122.222220000003</v>
      </c>
      <c r="P280" s="46">
        <f t="shared" ca="1" si="14"/>
        <v>9.7631106885090226E-3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input_370010!A$2</f>
        <v>370010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IFERROR(VLOOKUP(B281,input_370010!L:R,7,FALSE),VLOOKUP(tables_370010!C281,input_370010!A:H,8,FALSE))</f>
        <v>8537.7777800000003</v>
      </c>
      <c r="P281" s="46">
        <f t="shared" ca="1" si="14"/>
        <v>2.0270127682811018E-3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input_370010!A$2</f>
        <v>370010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IFERROR(VLOOKUP(B282,input_370010!L:R,7,FALSE),VLOOKUP(tables_370010!C282,input_370010!A:H,8,FALSE))</f>
        <v>540</v>
      </c>
      <c r="P282" s="46">
        <f t="shared" ca="1" si="14"/>
        <v>1.2820512820512821E-4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input_370010!A$2</f>
        <v>370010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IFERROR(VLOOKUP(B283,input_370010!L:R,7,FALSE),VLOOKUP(tables_370010!C283,input_370010!A:H,8,FALSE))</f>
        <v>540</v>
      </c>
      <c r="P283" s="46">
        <f t="shared" ca="1" si="14"/>
        <v>1.2820512820512821E-4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input_370010!A$2</f>
        <v>370010</v>
      </c>
      <c r="B284" s="84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IFERROR(VLOOKUP(B284,input_370010!L:R,7,FALSE),VLOOKUP(tables_370010!C284,input_370010!A:H,8,FALSE))</f>
        <v>540</v>
      </c>
      <c r="P284" s="46">
        <f t="shared" ref="P284:P289" ca="1" si="19">O284/SUM(O:O)</f>
        <v>1.2820512820512821E-4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input_370010!A$2</f>
        <v>370010</v>
      </c>
      <c r="B285" s="84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IFERROR(VLOOKUP(B285,input_370010!L:R,7,FALSE),VLOOKUP(tables_370010!C285,input_370010!A:H,8,FALSE))</f>
        <v>540</v>
      </c>
      <c r="P285" s="46">
        <f t="shared" ca="1" si="19"/>
        <v>1.2820512820512821E-4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input_370010!A$2</f>
        <v>370010</v>
      </c>
      <c r="B286" s="8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IFERROR(VLOOKUP(B286,input_370010!L:R,7,FALSE),VLOOKUP(tables_370010!C286,input_370010!A:H,8,FALSE))</f>
        <v>41122.222220000003</v>
      </c>
      <c r="P286" s="46">
        <f t="shared" ca="1" si="19"/>
        <v>9.7631106885090226E-3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input_370010!A$2</f>
        <v>370010</v>
      </c>
      <c r="B287" s="84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IFERROR(VLOOKUP(B287,input_370010!L:R,7,FALSE),VLOOKUP(tables_370010!C287,input_370010!A:H,8,FALSE))</f>
        <v>8537.7777800000003</v>
      </c>
      <c r="P287" s="46">
        <f t="shared" ca="1" si="19"/>
        <v>2.0270127682811018E-3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input_370010!A$2</f>
        <v>370010</v>
      </c>
      <c r="B288" s="84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IFERROR(VLOOKUP(B288,input_370010!L:R,7,FALSE),VLOOKUP(tables_370010!C288,input_370010!A:H,8,FALSE))</f>
        <v>41122.222220000003</v>
      </c>
      <c r="P288" s="46">
        <f t="shared" ca="1" si="19"/>
        <v>9.7631106885090226E-3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input_370010!A$2</f>
        <v>370010</v>
      </c>
      <c r="B289" s="84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IFERROR(VLOOKUP(B289,input_370010!L:R,7,FALSE),VLOOKUP(tables_370010!C289,input_370010!A:H,8,FALSE))</f>
        <v>8537.7777800000003</v>
      </c>
      <c r="P289" s="46">
        <f t="shared" ca="1" si="19"/>
        <v>2.0270127682811018E-3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input_370010!A$2</f>
        <v>370010</v>
      </c>
      <c r="B290" s="84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IFERROR(VLOOKUP(B290,input_370010!L:R,7,FALSE),VLOOKUP(tables_370010!C290,input_370010!A:H,8,FALSE))</f>
        <v>540</v>
      </c>
      <c r="P290" s="46">
        <f t="shared" ref="P290:P294" ca="1" si="22">O290/SUM(O:O)</f>
        <v>1.2820512820512821E-4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input_370010!A$2</f>
        <v>370010</v>
      </c>
      <c r="B291" s="84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IFERROR(VLOOKUP(B291,input_370010!L:R,7,FALSE),VLOOKUP(tables_370010!C291,input_370010!A:H,8,FALSE))</f>
        <v>41122.222220000003</v>
      </c>
      <c r="P291" s="46">
        <f t="shared" ca="1" si="22"/>
        <v>9.7631106885090226E-3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input_370010!A$2</f>
        <v>370010</v>
      </c>
      <c r="B292" s="84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IFERROR(VLOOKUP(B292,input_370010!L:R,7,FALSE),VLOOKUP(tables_370010!C292,input_370010!A:H,8,FALSE))</f>
        <v>8537.7777800000003</v>
      </c>
      <c r="P292" s="46">
        <f t="shared" ca="1" si="22"/>
        <v>2.0270127682811018E-3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input_370010!A$2</f>
        <v>370010</v>
      </c>
      <c r="B293" s="84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IFERROR(VLOOKUP(B293,input_370010!L:R,7,FALSE),VLOOKUP(tables_370010!C293,input_370010!A:H,8,FALSE))</f>
        <v>540</v>
      </c>
      <c r="P293" s="46">
        <f t="shared" ca="1" si="22"/>
        <v>1.2820512820512821E-4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input_370010!A$2</f>
        <v>370010</v>
      </c>
      <c r="B294" s="84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IFERROR(VLOOKUP(B294,input_370010!L:R,7,FALSE),VLOOKUP(tables_370010!C294,input_370010!A:H,8,FALSE))</f>
        <v>540</v>
      </c>
      <c r="P294" s="46">
        <f t="shared" ca="1" si="22"/>
        <v>1.2820512820512821E-4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G13" sqref="G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370100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732</v>
      </c>
      <c r="M3" s="37" t="str">
        <f>VLOOKUP(L3,[1]characters!$A:$C,3,FALSE)</f>
        <v>上杉謙信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VLOOKUP(L3,tables_370100!B:C,2,FALSE)</f>
        <v>PremiumSS5R5only</v>
      </c>
      <c r="R3" s="62">
        <f t="shared" ref="R3:R20" si="0">N3*A$36</f>
        <v>42120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734</v>
      </c>
      <c r="M4" s="37" t="str">
        <f>VLOOKUP(L4,[1]characters!$A:$C,3,FALSE)</f>
        <v>伊達政宗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VLOOKUP(L4,tables_370100!B:C,2,FALSE)</f>
        <v>PremiumSS5R5only</v>
      </c>
      <c r="R4" s="62">
        <f t="shared" si="0"/>
        <v>42120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1.2820512820512815E-4</v>
      </c>
      <c r="F5">
        <f>(COUNTIF(tables_370100!C:C,input_370100!A26)+COUNTIF(tables_370100!C:C,input_370100!A28)+COUNTIF(tables_370100!C:C,input_370100!A29))</f>
        <v>43</v>
      </c>
      <c r="H5" s="87">
        <v>0.04</v>
      </c>
      <c r="I5" s="31">
        <v>4</v>
      </c>
      <c r="L5" s="60">
        <v>848</v>
      </c>
      <c r="M5" s="37" t="str">
        <f>VLOOKUP(L5,[1]characters!$A:$C,3,FALSE)</f>
        <v>メタトロン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VLOOKUP(L5,tables_370100!B:C,2,FALSE)</f>
        <v>PremiumSS5R5only</v>
      </c>
      <c r="R5" s="62">
        <f>N5*A$36</f>
        <v>42120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1.1790123456790123E-2</v>
      </c>
      <c r="F6">
        <f>(COUNTIF(tables_370100!C:C,input_370100!A18)+COUNTIF(tables_370100!C:C,input_370100!A20)+COUNTIF(tables_370100!C:C,input_370100!A22))</f>
        <v>81</v>
      </c>
      <c r="H6" s="74">
        <v>0</v>
      </c>
      <c r="I6" s="31">
        <v>0</v>
      </c>
      <c r="L6" s="92">
        <v>850</v>
      </c>
      <c r="M6" s="37" t="str">
        <f>VLOOKUP(L6,[1]characters!$A:$C,3,FALSE)</f>
        <v>バアル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VLOOKUP(L6,tables_370100!B:C,2,FALSE)</f>
        <v>PremiumSS5R5only</v>
      </c>
      <c r="R6" s="62">
        <f t="shared" si="0"/>
        <v>42120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VLOOKUP(L7,tables_370100!B:C,2,FALSE)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VLOOKUP(L8,tables_370100!B:C,2,FALSE)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VLOOKUP(L9,tables_370100!B:C,2,FALSE)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0.95499999999999996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VLOOKUP(L10,tables_370100!B:C,2,FALSE)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4.4999999999999998E-2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VLOOKUP(L11,tables_370100!B:C,2,FALSE)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VLOOKUP(L12,tables_370100!B:C,2,FALSE)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VLOOKUP(L13,tables_370100!B:C,2,FALSE)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VLOOKUP(L14,tables_370100!B:C,2,FALSE)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0.04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VLOOKUP(L15,tables_370100!B:C,2,FALSE)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VLOOKUP(L16,tables_370100!B:C,2,FALSE)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COUNTIF(tables_370100!C:C,input_370100!A17)-COUNTIF(Q:Q,A17)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VLOOKUP(L17,tables_370100!B:C,2,FALSE)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0.23580246913580244</v>
      </c>
      <c r="C18" s="75">
        <f t="shared" si="2"/>
        <v>0</v>
      </c>
      <c r="D18" s="76">
        <f t="shared" si="3"/>
        <v>0.23580246913580244</v>
      </c>
      <c r="E18">
        <f>COUNTIF(tables_370100!C:C,input_370100!A18)-COUNTIF(Q:Q,A18)</f>
        <v>20</v>
      </c>
      <c r="F18" s="43">
        <f t="shared" ref="F18:F31" si="7">IFERROR(B18/E18,0)</f>
        <v>1.1790123456790123E-2</v>
      </c>
      <c r="G18">
        <f t="shared" ref="G18:G31" si="8">A$36*B18</f>
        <v>993199.99999999988</v>
      </c>
      <c r="H18">
        <f t="shared" si="4"/>
        <v>49660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VLOOKUP(L18,tables_370100!B:C,2,FALSE)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COUNTIF(tables_370100!C:C,input_370100!A19)-COUNTIF(Q:Q,A19)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VLOOKUP(L19,tables_370100!B:C,2,FALSE)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0.58243209876543212</v>
      </c>
      <c r="C20" s="75">
        <f t="shared" si="2"/>
        <v>0</v>
      </c>
      <c r="D20" s="76">
        <f t="shared" si="3"/>
        <v>0.58243209876543212</v>
      </c>
      <c r="E20">
        <f>COUNTIF(tables_370100!C:C,input_370100!A20)-COUNTIF(Q:Q,A20)</f>
        <v>52</v>
      </c>
      <c r="F20" s="43">
        <f t="shared" si="7"/>
        <v>1.1200617283950618E-2</v>
      </c>
      <c r="G20">
        <f t="shared" si="8"/>
        <v>2453204</v>
      </c>
      <c r="H20">
        <f t="shared" si="4"/>
        <v>47177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VLOOKUP(L20,tables_370100!B:C,2,FALSE)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3.0654320987654322E-2</v>
      </c>
      <c r="C21" s="75">
        <f t="shared" si="2"/>
        <v>0</v>
      </c>
      <c r="D21" s="76">
        <f t="shared" si="3"/>
        <v>3.0654320987654322E-2</v>
      </c>
      <c r="E21">
        <f>COUNTIF(tables_370100!C:C,input_370100!A21)-COUNTIF(Q:Q,A21)</f>
        <v>52</v>
      </c>
      <c r="F21" s="43">
        <f t="shared" si="7"/>
        <v>5.8950617283950622E-4</v>
      </c>
      <c r="G21">
        <f t="shared" si="8"/>
        <v>129116</v>
      </c>
      <c r="H21">
        <f t="shared" si="4"/>
        <v>2483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8.7867996201329526E-2</v>
      </c>
      <c r="C22" s="75">
        <f t="shared" si="2"/>
        <v>0</v>
      </c>
      <c r="D22" s="76">
        <f t="shared" si="3"/>
        <v>8.7867996201329526E-2</v>
      </c>
      <c r="E22">
        <f>COUNTIF(tables_370100!C:C,input_370100!A22)-COUNTIF(Q:Q,A22)</f>
        <v>9</v>
      </c>
      <c r="F22" s="43">
        <f t="shared" si="7"/>
        <v>9.7631106890366144E-3</v>
      </c>
      <c r="G22">
        <f t="shared" si="8"/>
        <v>370099.99999999994</v>
      </c>
      <c r="H22">
        <f t="shared" si="4"/>
        <v>41122.222220000003</v>
      </c>
      <c r="I22">
        <f t="shared" si="5"/>
        <v>0.2222200000032899</v>
      </c>
      <c r="J22">
        <f t="shared" si="6"/>
        <v>4.5000450003833832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1.8243114909781578E-2</v>
      </c>
      <c r="C23" s="75">
        <f t="shared" si="2"/>
        <v>0</v>
      </c>
      <c r="D23" s="76">
        <f t="shared" si="3"/>
        <v>1.8243114909781578E-2</v>
      </c>
      <c r="E23">
        <f>COUNTIF(tables_370100!C:C,input_370100!A23)-COUNTIF(Q:Q,A23)</f>
        <v>9</v>
      </c>
      <c r="F23" s="43">
        <f t="shared" si="7"/>
        <v>2.0270127677535087E-3</v>
      </c>
      <c r="G23">
        <f t="shared" si="8"/>
        <v>76840</v>
      </c>
      <c r="H23">
        <f t="shared" si="4"/>
        <v>8537.7777800000003</v>
      </c>
      <c r="I23">
        <f t="shared" si="5"/>
        <v>0.77778000000034808</v>
      </c>
      <c r="J23">
        <f t="shared" si="6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COUNTIF(tables_370100!C:C,input_370100!A24)-COUNTIF(Q:Q,A24)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4.8717948717948693E-4</v>
      </c>
      <c r="C25" s="75">
        <f t="shared" si="2"/>
        <v>0</v>
      </c>
      <c r="D25" s="76">
        <f t="shared" si="3"/>
        <v>4.8717948717948693E-4</v>
      </c>
      <c r="E25">
        <f>COUNTIF(tables_370100!C:C,input_370100!A25)-COUNTIF(Q:Q,A25)</f>
        <v>4</v>
      </c>
      <c r="F25" s="43">
        <f t="shared" si="7"/>
        <v>1.2179487179487173E-4</v>
      </c>
      <c r="G25">
        <f t="shared" si="8"/>
        <v>2051.9999999999991</v>
      </c>
      <c r="H25">
        <f t="shared" si="4"/>
        <v>513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2.5641025641025633E-5</v>
      </c>
      <c r="C26" s="75">
        <f t="shared" si="2"/>
        <v>0</v>
      </c>
      <c r="D26" s="76">
        <f t="shared" si="3"/>
        <v>2.5641025641025633E-5</v>
      </c>
      <c r="E26">
        <f>COUNTIF(tables_370100!C:C,input_370100!A26)-COUNTIF(Q:Q,A26)</f>
        <v>4</v>
      </c>
      <c r="F26" s="43">
        <f t="shared" si="7"/>
        <v>6.4102564102564082E-6</v>
      </c>
      <c r="G26">
        <f t="shared" si="8"/>
        <v>107.99999999999997</v>
      </c>
      <c r="H26">
        <f t="shared" si="4"/>
        <v>27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3.4102564102564087E-3</v>
      </c>
      <c r="C27" s="75">
        <f t="shared" si="2"/>
        <v>0</v>
      </c>
      <c r="D27" s="76">
        <f t="shared" si="3"/>
        <v>3.4102564102564087E-3</v>
      </c>
      <c r="E27">
        <f>COUNTIF(tables_370100!C:C,input_370100!A27)-COUNTIF(Q:Q,A27)</f>
        <v>28</v>
      </c>
      <c r="F27" s="43">
        <f>IFERROR(B27/E27,0)</f>
        <v>1.2179487179487173E-4</v>
      </c>
      <c r="G27">
        <f t="shared" si="8"/>
        <v>14363.999999999993</v>
      </c>
      <c r="H27">
        <f t="shared" si="4"/>
        <v>513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1.7948717948717944E-4</v>
      </c>
      <c r="C28" s="75">
        <f t="shared" si="2"/>
        <v>0</v>
      </c>
      <c r="D28" s="76">
        <f t="shared" si="3"/>
        <v>1.7948717948717944E-4</v>
      </c>
      <c r="E28">
        <f>COUNTIF(tables_370100!C:C,input_370100!A28)-COUNTIF(Q:Q,A28)</f>
        <v>28</v>
      </c>
      <c r="F28" s="43">
        <f t="shared" si="7"/>
        <v>6.4102564102564091E-6</v>
      </c>
      <c r="G28">
        <f t="shared" si="8"/>
        <v>755.99999999999977</v>
      </c>
      <c r="H28">
        <f t="shared" si="4"/>
        <v>27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8.9743589743589711E-4</v>
      </c>
      <c r="C29" s="75">
        <f t="shared" si="2"/>
        <v>0.04</v>
      </c>
      <c r="D29" s="76">
        <f t="shared" si="3"/>
        <v>-3.9102564102564102E-2</v>
      </c>
      <c r="E29">
        <f>COUNTIF(tables_370100!C:C,input_370100!A29)-COUNTIF(Q:Q,A29)</f>
        <v>7</v>
      </c>
      <c r="F29" s="43">
        <f t="shared" si="7"/>
        <v>1.2820512820512815E-4</v>
      </c>
      <c r="G29">
        <f t="shared" si="8"/>
        <v>3779.9999999999986</v>
      </c>
      <c r="H29">
        <f t="shared" si="4"/>
        <v>540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COUNTIF(tables_370100!C:C,input_370100!A30)-COUNTIF(Q:Q,A30)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COUNTIF(tables_370100!C:C,input_370100!A31)-COUNTIF(Q:Q,A31)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0.96</v>
      </c>
      <c r="C32" s="41">
        <f>SUM(C19:C31)</f>
        <v>0.04</v>
      </c>
      <c r="D32" s="42">
        <f t="shared" si="3"/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4212000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SUMIF(#REF!,input_370100!A40,#REF!)</f>
        <v>#REF!</v>
      </c>
      <c r="C40" s="54" t="e">
        <f t="shared" ref="C40:C46" si="9">B40/B$47</f>
        <v>#REF!</v>
      </c>
      <c r="E40">
        <v>3</v>
      </c>
      <c r="F40" t="e">
        <f>SUMIF(#REF!,input_370100!E40,#REF!)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SUMIF(#REF!,input_370100!A41,#REF!)</f>
        <v>#REF!</v>
      </c>
      <c r="C41" s="54" t="e">
        <f t="shared" si="9"/>
        <v>#REF!</v>
      </c>
      <c r="E41">
        <v>4</v>
      </c>
      <c r="F41" t="e">
        <f>SUMIF(#REF!,input_370100!E41,#REF!)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SUMIF(#REF!,input_370100!A42,#REF!)</f>
        <v>#REF!</v>
      </c>
      <c r="C42" s="54" t="e">
        <f t="shared" si="9"/>
        <v>#REF!</v>
      </c>
      <c r="E42">
        <v>5</v>
      </c>
      <c r="F42" t="e">
        <f>SUMIF(#REF!,input_370100!E42,#REF!)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SUMIF(#REF!,input_370100!A43,#REF!)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SUMIF(#REF!,input_370100!A44,#REF!)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SUMIF(#REF!,input_370100!A45,#REF!)</f>
        <v>#REF!</v>
      </c>
      <c r="C45" s="54" t="e">
        <f t="shared" si="9"/>
        <v>#REF!</v>
      </c>
      <c r="E45" t="s">
        <v>210</v>
      </c>
      <c r="F45" s="55" t="e">
        <f>SUMIF(#REF!,input_370100!E45,#REF!)</f>
        <v>#REF!</v>
      </c>
    </row>
    <row r="46" spans="1:7" x14ac:dyDescent="0.15">
      <c r="A46" s="33" t="s">
        <v>115</v>
      </c>
      <c r="B46" t="e">
        <f>SUMIF(#REF!,input_370100!A46,#REF!)</f>
        <v>#REF!</v>
      </c>
      <c r="C46" s="54" t="e">
        <f t="shared" si="9"/>
        <v>#REF!</v>
      </c>
      <c r="E46" t="s">
        <v>211</v>
      </c>
      <c r="F46" s="55" t="e">
        <f>SUMIF(#REF!,input_370100!E46,#REF!)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SUMIF(#REF!,input_370100!E47,#REF!)</f>
        <v>#REF!</v>
      </c>
    </row>
    <row r="48" spans="1:7" x14ac:dyDescent="0.15">
      <c r="E48" t="s">
        <v>213</v>
      </c>
      <c r="F48" s="55" t="e">
        <f>SUMIF(#REF!,input_370100!E48,#REF!)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80" activePane="bottomLeft" state="frozen"/>
      <selection activeCell="E12" sqref="E12"/>
      <selection pane="bottomLeft" activeCell="H286" sqref="H28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input_370100!A$2</f>
        <v>370100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IFERROR(VLOOKUP(B2,input_370100!L:R,7,FALSE),VLOOKUP(tables_370100!C2,input_370100!A:H,8,FALSE))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input_370100!A$2</f>
        <v>370100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IFERROR(VLOOKUP(B3,input_370100!L:R,7,FALSE),VLOOKUP(tables_370100!C3,input_370100!A:H,8,FALSE))</f>
        <v>49660</v>
      </c>
      <c r="P3" s="46">
        <f t="shared" ca="1" si="2"/>
        <v>1.1790123456790123E-2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input_370100!A$2</f>
        <v>370100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IFERROR(VLOOKUP(B4,input_370100!L:R,7,FALSE),VLOOKUP(tables_370100!C4,input_370100!A:H,8,FALSE))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input_370100!A$2</f>
        <v>370100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IFERROR(VLOOKUP(B5,input_370100!L:R,7,FALSE),VLOOKUP(tables_370100!C5,input_370100!A:H,8,FALSE))</f>
        <v>49660</v>
      </c>
      <c r="P5" s="46">
        <f t="shared" ca="1" si="2"/>
        <v>1.1790123456790123E-2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input_370100!A$2</f>
        <v>370100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IFERROR(VLOOKUP(B6,input_370100!L:R,7,FALSE),VLOOKUP(tables_370100!C6,input_370100!A:H,8,FALSE))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input_370100!A$2</f>
        <v>370100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IFERROR(VLOOKUP(B7,input_370100!L:R,7,FALSE),VLOOKUP(tables_370100!C7,input_370100!A:H,8,FALSE))</f>
        <v>49660</v>
      </c>
      <c r="P7" s="46">
        <f t="shared" ca="1" si="2"/>
        <v>1.1790123456790123E-2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input_370100!A$2</f>
        <v>370100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IFERROR(VLOOKUP(B8,input_370100!L:R,7,FALSE),VLOOKUP(tables_370100!C8,input_370100!A:H,8,FALSE))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input_370100!A$2</f>
        <v>370100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IFERROR(VLOOKUP(B9,input_370100!L:R,7,FALSE),VLOOKUP(tables_370100!C9,input_370100!A:H,8,FALSE))</f>
        <v>49660</v>
      </c>
      <c r="P9" s="46">
        <f t="shared" ca="1" si="2"/>
        <v>1.1790123456790123E-2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input_370100!A$2</f>
        <v>370100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IFERROR(VLOOKUP(B10,input_370100!L:R,7,FALSE),VLOOKUP(tables_370100!C10,input_370100!A:H,8,FALSE))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input_370100!A$2</f>
        <v>370100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IFERROR(VLOOKUP(B11,input_370100!L:R,7,FALSE),VLOOKUP(tables_370100!C11,input_370100!A:H,8,FALSE))</f>
        <v>49660</v>
      </c>
      <c r="P11" s="46">
        <f t="shared" ca="1" si="2"/>
        <v>1.1790123456790123E-2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input_370100!A$2</f>
        <v>370100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IFERROR(VLOOKUP(B12,input_370100!L:R,7,FALSE),VLOOKUP(tables_370100!C12,input_370100!A:H,8,FALSE))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input_370100!A$2</f>
        <v>370100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IFERROR(VLOOKUP(B13,input_370100!L:R,7,FALSE),VLOOKUP(tables_370100!C13,input_370100!A:H,8,FALSE))</f>
        <v>49660</v>
      </c>
      <c r="P13" s="46">
        <f t="shared" ca="1" si="2"/>
        <v>1.1790123456790123E-2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input_370100!A$2</f>
        <v>370100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IFERROR(VLOOKUP(B14,input_370100!L:R,7,FALSE),VLOOKUP(tables_370100!C14,input_370100!A:H,8,FALSE))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input_370100!A$2</f>
        <v>370100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IFERROR(VLOOKUP(B15,input_370100!L:R,7,FALSE),VLOOKUP(tables_370100!C15,input_370100!A:H,8,FALSE))</f>
        <v>49660</v>
      </c>
      <c r="P15" s="46">
        <f t="shared" ca="1" si="2"/>
        <v>1.1790123456790123E-2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input_370100!A$2</f>
        <v>370100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IFERROR(VLOOKUP(B16,input_370100!L:R,7,FALSE),VLOOKUP(tables_370100!C16,input_370100!A:H,8,FALSE))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input_370100!A$2</f>
        <v>370100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IFERROR(VLOOKUP(B17,input_370100!L:R,7,FALSE),VLOOKUP(tables_370100!C17,input_370100!A:H,8,FALSE))</f>
        <v>49660</v>
      </c>
      <c r="P17" s="46">
        <f t="shared" ca="1" si="2"/>
        <v>1.1790123456790123E-2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input_370100!A$2</f>
        <v>370100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IFERROR(VLOOKUP(B18,input_370100!L:R,7,FALSE),VLOOKUP(tables_370100!C18,input_370100!A:H,8,FALSE))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input_370100!A$2</f>
        <v>370100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IFERROR(VLOOKUP(B19,input_370100!L:R,7,FALSE),VLOOKUP(tables_370100!C19,input_370100!A:H,8,FALSE))</f>
        <v>49660</v>
      </c>
      <c r="P19" s="46">
        <f t="shared" ca="1" si="2"/>
        <v>1.1790123456790123E-2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input_370100!A$2</f>
        <v>370100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IFERROR(VLOOKUP(B20,input_370100!L:R,7,FALSE),VLOOKUP(tables_370100!C20,input_370100!A:H,8,FALSE))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input_370100!A$2</f>
        <v>370100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IFERROR(VLOOKUP(B21,input_370100!L:R,7,FALSE),VLOOKUP(tables_370100!C21,input_370100!A:H,8,FALSE))</f>
        <v>49660</v>
      </c>
      <c r="P21" s="46">
        <f t="shared" ca="1" si="2"/>
        <v>1.1790123456790123E-2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input_370100!A$2</f>
        <v>370100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IFERROR(VLOOKUP(B22,input_370100!L:R,7,FALSE),VLOOKUP(tables_370100!C22,input_370100!A:H,8,FALSE))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input_370100!A$2</f>
        <v>370100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IFERROR(VLOOKUP(B23,input_370100!L:R,7,FALSE),VLOOKUP(tables_370100!C23,input_370100!A:H,8,FALSE))</f>
        <v>49660</v>
      </c>
      <c r="P23" s="46">
        <f t="shared" ca="1" si="2"/>
        <v>1.1790123456790123E-2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input_370100!A$2</f>
        <v>370100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IFERROR(VLOOKUP(B24,input_370100!L:R,7,FALSE),VLOOKUP(tables_370100!C24,input_370100!A:H,8,FALSE))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input_370100!A$2</f>
        <v>370100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IFERROR(VLOOKUP(B25,input_370100!L:R,7,FALSE),VLOOKUP(tables_370100!C25,input_370100!A:H,8,FALSE))</f>
        <v>49660</v>
      </c>
      <c r="P25" s="46">
        <f t="shared" ca="1" si="2"/>
        <v>1.1790123456790123E-2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input_370100!A$2</f>
        <v>370100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IFERROR(VLOOKUP(B26,input_370100!L:R,7,FALSE),VLOOKUP(tables_370100!C26,input_370100!A:H,8,FALSE))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input_370100!A$2</f>
        <v>370100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IFERROR(VLOOKUP(B27,input_370100!L:R,7,FALSE),VLOOKUP(tables_370100!C27,input_370100!A:H,8,FALSE))</f>
        <v>49660</v>
      </c>
      <c r="P27" s="46">
        <f t="shared" ca="1" si="2"/>
        <v>1.1790123456790123E-2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input_370100!A$2</f>
        <v>370100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IFERROR(VLOOKUP(B28,input_370100!L:R,7,FALSE),VLOOKUP(tables_370100!C28,input_370100!A:H,8,FALSE))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input_370100!A$2</f>
        <v>370100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IFERROR(VLOOKUP(B29,input_370100!L:R,7,FALSE),VLOOKUP(tables_370100!C29,input_370100!A:H,8,FALSE))</f>
        <v>49660</v>
      </c>
      <c r="P29" s="46">
        <f t="shared" ca="1" si="2"/>
        <v>1.1790123456790123E-2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input_370100!A$2</f>
        <v>370100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IFERROR(VLOOKUP(B30,input_370100!L:R,7,FALSE),VLOOKUP(tables_370100!C30,input_370100!A:H,8,FALSE))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input_370100!A$2</f>
        <v>370100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IFERROR(VLOOKUP(B31,input_370100!L:R,7,FALSE),VLOOKUP(tables_370100!C31,input_370100!A:H,8,FALSE))</f>
        <v>49660</v>
      </c>
      <c r="P31" s="46">
        <f t="shared" ca="1" si="2"/>
        <v>1.1790123456790123E-2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input_370100!A$2</f>
        <v>370100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IFERROR(VLOOKUP(B32,input_370100!L:R,7,FALSE),VLOOKUP(tables_370100!C32,input_370100!A:H,8,FALSE))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input_370100!A$2</f>
        <v>370100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IFERROR(VLOOKUP(B33,input_370100!L:R,7,FALSE),VLOOKUP(tables_370100!C33,input_370100!A:H,8,FALSE))</f>
        <v>49660</v>
      </c>
      <c r="P33" s="46">
        <f t="shared" ca="1" si="2"/>
        <v>1.1790123456790123E-2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input_370100!A$2</f>
        <v>370100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IFERROR(VLOOKUP(B34,input_370100!L:R,7,FALSE),VLOOKUP(tables_370100!C34,input_370100!A:H,8,FALSE))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input_370100!A$2</f>
        <v>370100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IFERROR(VLOOKUP(B35,input_370100!L:R,7,FALSE),VLOOKUP(tables_370100!C35,input_370100!A:H,8,FALSE))</f>
        <v>49660</v>
      </c>
      <c r="P35" s="46">
        <f t="shared" ca="1" si="2"/>
        <v>1.1790123456790123E-2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input_370100!A$2</f>
        <v>370100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IFERROR(VLOOKUP(B36,input_370100!L:R,7,FALSE),VLOOKUP(tables_370100!C36,input_370100!A:H,8,FALSE))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input_370100!A$2</f>
        <v>370100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IFERROR(VLOOKUP(B37,input_370100!L:R,7,FALSE),VLOOKUP(tables_370100!C37,input_370100!A:H,8,FALSE))</f>
        <v>49660</v>
      </c>
      <c r="P37" s="46">
        <f t="shared" ca="1" si="2"/>
        <v>1.1790123456790123E-2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input_370100!A$2</f>
        <v>370100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IFERROR(VLOOKUP(B38,input_370100!L:R,7,FALSE),VLOOKUP(tables_370100!C38,input_370100!A:H,8,FALSE))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input_370100!A$2</f>
        <v>370100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IFERROR(VLOOKUP(B39,input_370100!L:R,7,FALSE),VLOOKUP(tables_370100!C39,input_370100!A:H,8,FALSE))</f>
        <v>49660</v>
      </c>
      <c r="P39" s="46">
        <f t="shared" ca="1" si="2"/>
        <v>1.1790123456790123E-2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input_370100!A$2</f>
        <v>370100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IFERROR(VLOOKUP(B40,input_370100!L:R,7,FALSE),VLOOKUP(tables_370100!C40,input_370100!A:H,8,FALSE))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input_370100!A$2</f>
        <v>370100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IFERROR(VLOOKUP(B41,input_370100!L:R,7,FALSE),VLOOKUP(tables_370100!C41,input_370100!A:H,8,FALSE))</f>
        <v>49660</v>
      </c>
      <c r="P41" s="46">
        <f t="shared" ca="1" si="2"/>
        <v>1.1790123456790123E-2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input_370100!A$2</f>
        <v>370100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IFERROR(VLOOKUP(B42,input_370100!L:R,7,FALSE),VLOOKUP(tables_370100!C42,input_370100!A:H,8,FALSE))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input_370100!A$2</f>
        <v>370100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IFERROR(VLOOKUP(B43,input_370100!L:R,7,FALSE),VLOOKUP(tables_370100!C43,input_370100!A:H,8,FALSE))</f>
        <v>513</v>
      </c>
      <c r="P43" s="46">
        <f t="shared" ca="1" si="2"/>
        <v>1.217948717948718E-4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input_370100!A$2</f>
        <v>370100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IFERROR(VLOOKUP(B44,input_370100!L:R,7,FALSE),VLOOKUP(tables_370100!C44,input_370100!A:H,8,FALSE))</f>
        <v>27</v>
      </c>
      <c r="P44" s="46">
        <f t="shared" ca="1" si="2"/>
        <v>6.4102564102564099E-6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input_370100!A$2</f>
        <v>370100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IFERROR(VLOOKUP(B45,input_370100!L:R,7,FALSE),VLOOKUP(tables_370100!C45,input_370100!A:H,8,FALSE))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input_370100!A$2</f>
        <v>370100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IFERROR(VLOOKUP(B46,input_370100!L:R,7,FALSE),VLOOKUP(tables_370100!C46,input_370100!A:H,8,FALSE))</f>
        <v>513</v>
      </c>
      <c r="P46" s="46">
        <f t="shared" ca="1" si="2"/>
        <v>1.217948717948718E-4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input_370100!A$2</f>
        <v>370100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IFERROR(VLOOKUP(B47,input_370100!L:R,7,FALSE),VLOOKUP(tables_370100!C47,input_370100!A:H,8,FALSE))</f>
        <v>27</v>
      </c>
      <c r="P47" s="46">
        <f t="shared" ca="1" si="2"/>
        <v>6.4102564102564099E-6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input_370100!A$2</f>
        <v>370100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IFERROR(VLOOKUP(B48,input_370100!L:R,7,FALSE),VLOOKUP(tables_370100!C48,input_370100!A:H,8,FALSE))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input_370100!A$2</f>
        <v>370100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IFERROR(VLOOKUP(B49,input_370100!L:R,7,FALSE),VLOOKUP(tables_370100!C49,input_370100!A:H,8,FALSE))</f>
        <v>513</v>
      </c>
      <c r="P49" s="46">
        <f t="shared" ca="1" si="2"/>
        <v>1.217948717948718E-4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input_370100!A$2</f>
        <v>370100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IFERROR(VLOOKUP(B50,input_370100!L:R,7,FALSE),VLOOKUP(tables_370100!C50,input_370100!A:H,8,FALSE))</f>
        <v>27</v>
      </c>
      <c r="P50" s="46">
        <f t="shared" ca="1" si="2"/>
        <v>6.4102564102564099E-6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input_370100!A$2</f>
        <v>370100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IFERROR(VLOOKUP(B51,input_370100!L:R,7,FALSE),VLOOKUP(tables_370100!C51,input_370100!A:H,8,FALSE))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input_370100!A$2</f>
        <v>370100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IFERROR(VLOOKUP(B52,input_370100!L:R,7,FALSE),VLOOKUP(tables_370100!C52,input_370100!A:H,8,FALSE))</f>
        <v>47177</v>
      </c>
      <c r="P52" s="46">
        <f t="shared" ca="1" si="2"/>
        <v>1.1200617283950618E-2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input_370100!A$2</f>
        <v>370100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IFERROR(VLOOKUP(B53,input_370100!L:R,7,FALSE),VLOOKUP(tables_370100!C53,input_370100!A:H,8,FALSE))</f>
        <v>2483</v>
      </c>
      <c r="P53" s="46">
        <f t="shared" ca="1" si="2"/>
        <v>5.8950617283950622E-4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input_370100!A$2</f>
        <v>370100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IFERROR(VLOOKUP(B54,input_370100!L:R,7,FALSE),VLOOKUP(tables_370100!C54,input_370100!A:H,8,FALSE))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input_370100!A$2</f>
        <v>370100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IFERROR(VLOOKUP(B55,input_370100!L:R,7,FALSE),VLOOKUP(tables_370100!C55,input_370100!A:H,8,FALSE))</f>
        <v>47177</v>
      </c>
      <c r="P55" s="46">
        <f t="shared" ca="1" si="2"/>
        <v>1.1200617283950618E-2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input_370100!A$2</f>
        <v>370100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IFERROR(VLOOKUP(B56,input_370100!L:R,7,FALSE),VLOOKUP(tables_370100!C56,input_370100!A:H,8,FALSE))</f>
        <v>2483</v>
      </c>
      <c r="P56" s="46">
        <f t="shared" ca="1" si="2"/>
        <v>5.8950617283950622E-4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input_370100!A$2</f>
        <v>370100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IFERROR(VLOOKUP(B57,input_370100!L:R,7,FALSE),VLOOKUP(tables_370100!C57,input_370100!A:H,8,FALSE))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input_370100!A$2</f>
        <v>370100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IFERROR(VLOOKUP(B58,input_370100!L:R,7,FALSE),VLOOKUP(tables_370100!C58,input_370100!A:H,8,FALSE))</f>
        <v>47177</v>
      </c>
      <c r="P58" s="46">
        <f t="shared" ca="1" si="2"/>
        <v>1.1200617283950618E-2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input_370100!A$2</f>
        <v>370100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IFERROR(VLOOKUP(B59,input_370100!L:R,7,FALSE),VLOOKUP(tables_370100!C59,input_370100!A:H,8,FALSE))</f>
        <v>2483</v>
      </c>
      <c r="P59" s="46">
        <f t="shared" ca="1" si="2"/>
        <v>5.8950617283950622E-4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input_370100!A$2</f>
        <v>370100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IFERROR(VLOOKUP(B60,input_370100!L:R,7,FALSE),VLOOKUP(tables_370100!C60,input_370100!A:H,8,FALSE))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input_370100!A$2</f>
        <v>370100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IFERROR(VLOOKUP(B61,input_370100!L:R,7,FALSE),VLOOKUP(tables_370100!C61,input_370100!A:H,8,FALSE))</f>
        <v>47177</v>
      </c>
      <c r="P61" s="46">
        <f t="shared" ca="1" si="2"/>
        <v>1.1200617283950618E-2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input_370100!A$2</f>
        <v>370100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IFERROR(VLOOKUP(B62,input_370100!L:R,7,FALSE),VLOOKUP(tables_370100!C62,input_370100!A:H,8,FALSE))</f>
        <v>2483</v>
      </c>
      <c r="P62" s="46">
        <f t="shared" ca="1" si="2"/>
        <v>5.8950617283950622E-4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input_370100!A$2</f>
        <v>370100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IFERROR(VLOOKUP(B63,input_370100!L:R,7,FALSE),VLOOKUP(tables_370100!C63,input_370100!A:H,8,FALSE))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input_370100!A$2</f>
        <v>370100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IFERROR(VLOOKUP(B64,input_370100!L:R,7,FALSE),VLOOKUP(tables_370100!C64,input_370100!A:H,8,FALSE))</f>
        <v>47177</v>
      </c>
      <c r="P64" s="46">
        <f t="shared" ca="1" si="2"/>
        <v>1.1200617283950618E-2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input_370100!A$2</f>
        <v>370100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IFERROR(VLOOKUP(B65,input_370100!L:R,7,FALSE),VLOOKUP(tables_370100!C65,input_370100!A:H,8,FALSE))</f>
        <v>2483</v>
      </c>
      <c r="P65" s="46">
        <f t="shared" ca="1" si="2"/>
        <v>5.8950617283950622E-4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input_370100!A$2</f>
        <v>370100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IFERROR(VLOOKUP(B66,input_370100!L:R,7,FALSE),VLOOKUP(tables_370100!C66,input_370100!A:H,8,FALSE))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input_370100!A$2</f>
        <v>370100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IFERROR(VLOOKUP(B67,input_370100!L:R,7,FALSE),VLOOKUP(tables_370100!C67,input_370100!A:H,8,FALSE))</f>
        <v>47177</v>
      </c>
      <c r="P67" s="46">
        <f t="shared" ca="1" si="5"/>
        <v>1.1200617283950618E-2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input_370100!A$2</f>
        <v>370100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IFERROR(VLOOKUP(B68,input_370100!L:R,7,FALSE),VLOOKUP(tables_370100!C68,input_370100!A:H,8,FALSE))</f>
        <v>2483</v>
      </c>
      <c r="P68" s="46">
        <f t="shared" ca="1" si="5"/>
        <v>5.8950617283950622E-4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input_370100!A$2</f>
        <v>370100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IFERROR(VLOOKUP(B69,input_370100!L:R,7,FALSE),VLOOKUP(tables_370100!C69,input_370100!A:H,8,FALSE))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input_370100!A$2</f>
        <v>370100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IFERROR(VLOOKUP(B70,input_370100!L:R,7,FALSE),VLOOKUP(tables_370100!C70,input_370100!A:H,8,FALSE))</f>
        <v>47177</v>
      </c>
      <c r="P70" s="46">
        <f t="shared" ca="1" si="5"/>
        <v>1.1200617283950618E-2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input_370100!A$2</f>
        <v>370100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IFERROR(VLOOKUP(B71,input_370100!L:R,7,FALSE),VLOOKUP(tables_370100!C71,input_370100!A:H,8,FALSE))</f>
        <v>2483</v>
      </c>
      <c r="P71" s="46">
        <f t="shared" ca="1" si="5"/>
        <v>5.8950617283950622E-4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input_370100!A$2</f>
        <v>370100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IFERROR(VLOOKUP(B72,input_370100!L:R,7,FALSE),VLOOKUP(tables_370100!C72,input_370100!A:H,8,FALSE))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input_370100!A$2</f>
        <v>370100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IFERROR(VLOOKUP(B73,input_370100!L:R,7,FALSE),VLOOKUP(tables_370100!C73,input_370100!A:H,8,FALSE))</f>
        <v>47177</v>
      </c>
      <c r="P73" s="46">
        <f t="shared" ca="1" si="5"/>
        <v>1.1200617283950618E-2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input_370100!A$2</f>
        <v>370100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IFERROR(VLOOKUP(B74,input_370100!L:R,7,FALSE),VLOOKUP(tables_370100!C74,input_370100!A:H,8,FALSE))</f>
        <v>2483</v>
      </c>
      <c r="P74" s="46">
        <f t="shared" ca="1" si="5"/>
        <v>5.8950617283950622E-4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input_370100!A$2</f>
        <v>370100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IFERROR(VLOOKUP(B75,input_370100!L:R,7,FALSE),VLOOKUP(tables_370100!C75,input_370100!A:H,8,FALSE))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input_370100!A$2</f>
        <v>370100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IFERROR(VLOOKUP(B76,input_370100!L:R,7,FALSE),VLOOKUP(tables_370100!C76,input_370100!A:H,8,FALSE))</f>
        <v>47177</v>
      </c>
      <c r="P76" s="46">
        <f t="shared" ca="1" si="5"/>
        <v>1.1200617283950618E-2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input_370100!A$2</f>
        <v>370100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IFERROR(VLOOKUP(B77,input_370100!L:R,7,FALSE),VLOOKUP(tables_370100!C77,input_370100!A:H,8,FALSE))</f>
        <v>2483</v>
      </c>
      <c r="P77" s="46">
        <f t="shared" ca="1" si="5"/>
        <v>5.8950617283950622E-4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input_370100!A$2</f>
        <v>370100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IFERROR(VLOOKUP(B78,input_370100!L:R,7,FALSE),VLOOKUP(tables_370100!C78,input_370100!A:H,8,FALSE))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input_370100!A$2</f>
        <v>370100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IFERROR(VLOOKUP(B79,input_370100!L:R,7,FALSE),VLOOKUP(tables_370100!C79,input_370100!A:H,8,FALSE))</f>
        <v>47177</v>
      </c>
      <c r="P79" s="46">
        <f t="shared" ca="1" si="5"/>
        <v>1.1200617283950618E-2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input_370100!A$2</f>
        <v>370100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IFERROR(VLOOKUP(B80,input_370100!L:R,7,FALSE),VLOOKUP(tables_370100!C80,input_370100!A:H,8,FALSE))</f>
        <v>2483</v>
      </c>
      <c r="P80" s="46">
        <f t="shared" ca="1" si="5"/>
        <v>5.8950617283950622E-4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input_370100!A$2</f>
        <v>370100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IFERROR(VLOOKUP(B81,input_370100!L:R,7,FALSE),VLOOKUP(tables_370100!C81,input_370100!A:H,8,FALSE))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input_370100!A$2</f>
        <v>370100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IFERROR(VLOOKUP(B82,input_370100!L:R,7,FALSE),VLOOKUP(tables_370100!C82,input_370100!A:H,8,FALSE))</f>
        <v>47177</v>
      </c>
      <c r="P82" s="46">
        <f t="shared" ca="1" si="5"/>
        <v>1.1200617283950618E-2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input_370100!A$2</f>
        <v>370100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IFERROR(VLOOKUP(B83,input_370100!L:R,7,FALSE),VLOOKUP(tables_370100!C83,input_370100!A:H,8,FALSE))</f>
        <v>2483</v>
      </c>
      <c r="P83" s="46">
        <f t="shared" ca="1" si="5"/>
        <v>5.8950617283950622E-4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input_370100!A$2</f>
        <v>370100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IFERROR(VLOOKUP(B84,input_370100!L:R,7,FALSE),VLOOKUP(tables_370100!C84,input_370100!A:H,8,FALSE))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input_370100!A$2</f>
        <v>370100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IFERROR(VLOOKUP(B85,input_370100!L:R,7,FALSE),VLOOKUP(tables_370100!C85,input_370100!A:H,8,FALSE))</f>
        <v>47177</v>
      </c>
      <c r="P85" s="46">
        <f t="shared" ca="1" si="5"/>
        <v>1.1200617283950618E-2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input_370100!A$2</f>
        <v>370100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IFERROR(VLOOKUP(B86,input_370100!L:R,7,FALSE),VLOOKUP(tables_370100!C86,input_370100!A:H,8,FALSE))</f>
        <v>2483</v>
      </c>
      <c r="P86" s="46">
        <f t="shared" ca="1" si="5"/>
        <v>5.8950617283950622E-4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input_370100!A$2</f>
        <v>370100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IFERROR(VLOOKUP(B87,input_370100!L:R,7,FALSE),VLOOKUP(tables_370100!C87,input_370100!A:H,8,FALSE))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input_370100!A$2</f>
        <v>370100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IFERROR(VLOOKUP(B88,input_370100!L:R,7,FALSE),VLOOKUP(tables_370100!C88,input_370100!A:H,8,FALSE))</f>
        <v>47177</v>
      </c>
      <c r="P88" s="46">
        <f t="shared" ca="1" si="5"/>
        <v>1.1200617283950618E-2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input_370100!A$2</f>
        <v>370100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IFERROR(VLOOKUP(B89,input_370100!L:R,7,FALSE),VLOOKUP(tables_370100!C89,input_370100!A:H,8,FALSE))</f>
        <v>2483</v>
      </c>
      <c r="P89" s="46">
        <f t="shared" ca="1" si="5"/>
        <v>5.8950617283950622E-4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input_370100!A$2</f>
        <v>370100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IFERROR(VLOOKUP(B90,input_370100!L:R,7,FALSE),VLOOKUP(tables_370100!C90,input_370100!A:H,8,FALSE))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input_370100!A$2</f>
        <v>370100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IFERROR(VLOOKUP(B91,input_370100!L:R,7,FALSE),VLOOKUP(tables_370100!C91,input_370100!A:H,8,FALSE))</f>
        <v>47177</v>
      </c>
      <c r="P91" s="46">
        <f t="shared" ca="1" si="5"/>
        <v>1.1200617283950618E-2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input_370100!A$2</f>
        <v>370100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IFERROR(VLOOKUP(B92,input_370100!L:R,7,FALSE),VLOOKUP(tables_370100!C92,input_370100!A:H,8,FALSE))</f>
        <v>2483</v>
      </c>
      <c r="P92" s="46">
        <f t="shared" ca="1" si="5"/>
        <v>5.8950617283950622E-4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input_370100!A$2</f>
        <v>370100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IFERROR(VLOOKUP(B93,input_370100!L:R,7,FALSE),VLOOKUP(tables_370100!C93,input_370100!A:H,8,FALSE))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input_370100!A$2</f>
        <v>370100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IFERROR(VLOOKUP(B94,input_370100!L:R,7,FALSE),VLOOKUP(tables_370100!C94,input_370100!A:H,8,FALSE))</f>
        <v>47177</v>
      </c>
      <c r="P94" s="46">
        <f t="shared" ca="1" si="5"/>
        <v>1.1200617283950618E-2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input_370100!A$2</f>
        <v>370100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IFERROR(VLOOKUP(B95,input_370100!L:R,7,FALSE),VLOOKUP(tables_370100!C95,input_370100!A:H,8,FALSE))</f>
        <v>2483</v>
      </c>
      <c r="P95" s="46">
        <f t="shared" ca="1" si="5"/>
        <v>5.8950617283950622E-4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input_370100!A$2</f>
        <v>370100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IFERROR(VLOOKUP(B96,input_370100!L:R,7,FALSE),VLOOKUP(tables_370100!C96,input_370100!A:H,8,FALSE))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input_370100!A$2</f>
        <v>370100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IFERROR(VLOOKUP(B97,input_370100!L:R,7,FALSE),VLOOKUP(tables_370100!C97,input_370100!A:H,8,FALSE))</f>
        <v>47177</v>
      </c>
      <c r="P97" s="46">
        <f t="shared" ca="1" si="5"/>
        <v>1.1200617283950618E-2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input_370100!A$2</f>
        <v>370100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IFERROR(VLOOKUP(B98,input_370100!L:R,7,FALSE),VLOOKUP(tables_370100!C98,input_370100!A:H,8,FALSE))</f>
        <v>2483</v>
      </c>
      <c r="P98" s="46">
        <f t="shared" ca="1" si="5"/>
        <v>5.8950617283950622E-4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input_370100!A$2</f>
        <v>370100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IFERROR(VLOOKUP(B99,input_370100!L:R,7,FALSE),VLOOKUP(tables_370100!C99,input_370100!A:H,8,FALSE))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input_370100!A$2</f>
        <v>370100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IFERROR(VLOOKUP(B100,input_370100!L:R,7,FALSE),VLOOKUP(tables_370100!C100,input_370100!A:H,8,FALSE))</f>
        <v>47177</v>
      </c>
      <c r="P100" s="46">
        <f t="shared" ca="1" si="5"/>
        <v>1.1200617283950618E-2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input_370100!A$2</f>
        <v>370100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IFERROR(VLOOKUP(B101,input_370100!L:R,7,FALSE),VLOOKUP(tables_370100!C101,input_370100!A:H,8,FALSE))</f>
        <v>2483</v>
      </c>
      <c r="P101" s="46">
        <f t="shared" ca="1" si="5"/>
        <v>5.8950617283950622E-4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input_370100!A$2</f>
        <v>370100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IFERROR(VLOOKUP(B102,input_370100!L:R,7,FALSE),VLOOKUP(tables_370100!C102,input_370100!A:H,8,FALSE))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input_370100!A$2</f>
        <v>370100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IFERROR(VLOOKUP(B103,input_370100!L:R,7,FALSE),VLOOKUP(tables_370100!C103,input_370100!A:H,8,FALSE))</f>
        <v>47177</v>
      </c>
      <c r="P103" s="46">
        <f t="shared" ca="1" si="5"/>
        <v>1.1200617283950618E-2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input_370100!A$2</f>
        <v>370100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IFERROR(VLOOKUP(B104,input_370100!L:R,7,FALSE),VLOOKUP(tables_370100!C104,input_370100!A:H,8,FALSE))</f>
        <v>2483</v>
      </c>
      <c r="P104" s="46">
        <f t="shared" ca="1" si="5"/>
        <v>5.8950617283950622E-4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input_370100!A$2</f>
        <v>370100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IFERROR(VLOOKUP(B105,input_370100!L:R,7,FALSE),VLOOKUP(tables_370100!C105,input_370100!A:H,8,FALSE))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input_370100!A$2</f>
        <v>370100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IFERROR(VLOOKUP(B106,input_370100!L:R,7,FALSE),VLOOKUP(tables_370100!C106,input_370100!A:H,8,FALSE))</f>
        <v>47177</v>
      </c>
      <c r="P106" s="46">
        <f t="shared" ca="1" si="5"/>
        <v>1.1200617283950618E-2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input_370100!A$2</f>
        <v>370100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IFERROR(VLOOKUP(B107,input_370100!L:R,7,FALSE),VLOOKUP(tables_370100!C107,input_370100!A:H,8,FALSE))</f>
        <v>2483</v>
      </c>
      <c r="P107" s="46">
        <f t="shared" ca="1" si="5"/>
        <v>5.8950617283950622E-4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input_370100!A$2</f>
        <v>370100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IFERROR(VLOOKUP(B108,input_370100!L:R,7,FALSE),VLOOKUP(tables_370100!C108,input_370100!A:H,8,FALSE))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input_370100!A$2</f>
        <v>370100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IFERROR(VLOOKUP(B109,input_370100!L:R,7,FALSE),VLOOKUP(tables_370100!C109,input_370100!A:H,8,FALSE))</f>
        <v>47177</v>
      </c>
      <c r="P109" s="46">
        <f t="shared" ca="1" si="5"/>
        <v>1.1200617283950618E-2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input_370100!A$2</f>
        <v>370100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IFERROR(VLOOKUP(B110,input_370100!L:R,7,FALSE),VLOOKUP(tables_370100!C110,input_370100!A:H,8,FALSE))</f>
        <v>2483</v>
      </c>
      <c r="P110" s="46">
        <f t="shared" ca="1" si="5"/>
        <v>5.8950617283950622E-4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input_370100!A$2</f>
        <v>370100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IFERROR(VLOOKUP(B111,input_370100!L:R,7,FALSE),VLOOKUP(tables_370100!C111,input_370100!A:H,8,FALSE))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input_370100!A$2</f>
        <v>370100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IFERROR(VLOOKUP(B112,input_370100!L:R,7,FALSE),VLOOKUP(tables_370100!C112,input_370100!A:H,8,FALSE))</f>
        <v>513</v>
      </c>
      <c r="P112" s="46">
        <f t="shared" ca="1" si="5"/>
        <v>1.217948717948718E-4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input_370100!A$2</f>
        <v>370100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IFERROR(VLOOKUP(B113,input_370100!L:R,7,FALSE),VLOOKUP(tables_370100!C113,input_370100!A:H,8,FALSE))</f>
        <v>27</v>
      </c>
      <c r="P113" s="46">
        <f t="shared" ca="1" si="5"/>
        <v>6.4102564102564099E-6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input_370100!A$2</f>
        <v>370100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IFERROR(VLOOKUP(B114,input_370100!L:R,7,FALSE),VLOOKUP(tables_370100!C114,input_370100!A:H,8,FALSE))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input_370100!A$2</f>
        <v>370100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IFERROR(VLOOKUP(B115,input_370100!L:R,7,FALSE),VLOOKUP(tables_370100!C115,input_370100!A:H,8,FALSE))</f>
        <v>47177</v>
      </c>
      <c r="P115" s="46">
        <f t="shared" ca="1" si="5"/>
        <v>1.1200617283950618E-2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input_370100!A$2</f>
        <v>370100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IFERROR(VLOOKUP(B116,input_370100!L:R,7,FALSE),VLOOKUP(tables_370100!C116,input_370100!A:H,8,FALSE))</f>
        <v>2483</v>
      </c>
      <c r="P116" s="46">
        <f t="shared" ca="1" si="5"/>
        <v>5.8950617283950622E-4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input_370100!A$2</f>
        <v>370100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IFERROR(VLOOKUP(B117,input_370100!L:R,7,FALSE),VLOOKUP(tables_370100!C117,input_370100!A:H,8,FALSE))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input_370100!A$2</f>
        <v>370100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IFERROR(VLOOKUP(B118,input_370100!L:R,7,FALSE),VLOOKUP(tables_370100!C118,input_370100!A:H,8,FALSE))</f>
        <v>47177</v>
      </c>
      <c r="P118" s="46">
        <f t="shared" ca="1" si="5"/>
        <v>1.1200617283950618E-2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input_370100!A$2</f>
        <v>370100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IFERROR(VLOOKUP(B119,input_370100!L:R,7,FALSE),VLOOKUP(tables_370100!C119,input_370100!A:H,8,FALSE))</f>
        <v>2483</v>
      </c>
      <c r="P119" s="46">
        <f t="shared" ca="1" si="5"/>
        <v>5.8950617283950622E-4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input_370100!A$2</f>
        <v>370100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IFERROR(VLOOKUP(B120,input_370100!L:R,7,FALSE),VLOOKUP(tables_370100!C120,input_370100!A:H,8,FALSE))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input_370100!A$2</f>
        <v>370100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IFERROR(VLOOKUP(B121,input_370100!L:R,7,FALSE),VLOOKUP(tables_370100!C121,input_370100!A:H,8,FALSE))</f>
        <v>47177</v>
      </c>
      <c r="P121" s="46">
        <f t="shared" ca="1" si="5"/>
        <v>1.1200617283950618E-2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input_370100!A$2</f>
        <v>370100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IFERROR(VLOOKUP(B122,input_370100!L:R,7,FALSE),VLOOKUP(tables_370100!C122,input_370100!A:H,8,FALSE))</f>
        <v>2483</v>
      </c>
      <c r="P122" s="46">
        <f t="shared" ca="1" si="5"/>
        <v>5.8950617283950622E-4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input_370100!A$2</f>
        <v>370100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IFERROR(VLOOKUP(B123,input_370100!L:R,7,FALSE),VLOOKUP(tables_370100!C123,input_370100!A:H,8,FALSE))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input_370100!A$2</f>
        <v>370100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IFERROR(VLOOKUP(B124,input_370100!L:R,7,FALSE),VLOOKUP(tables_370100!C124,input_370100!A:H,8,FALSE))</f>
        <v>47177</v>
      </c>
      <c r="P124" s="46">
        <f t="shared" ca="1" si="5"/>
        <v>1.1200617283950618E-2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input_370100!A$2</f>
        <v>370100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IFERROR(VLOOKUP(B125,input_370100!L:R,7,FALSE),VLOOKUP(tables_370100!C125,input_370100!A:H,8,FALSE))</f>
        <v>2483</v>
      </c>
      <c r="P125" s="46">
        <f t="shared" ca="1" si="5"/>
        <v>5.8950617283950622E-4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input_370100!A$2</f>
        <v>370100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IFERROR(VLOOKUP(B126,input_370100!L:R,7,FALSE),VLOOKUP(tables_370100!C126,input_370100!A:H,8,FALSE))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input_370100!A$2</f>
        <v>370100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IFERROR(VLOOKUP(B127,input_370100!L:R,7,FALSE),VLOOKUP(tables_370100!C127,input_370100!A:H,8,FALSE))</f>
        <v>47177</v>
      </c>
      <c r="P127" s="46">
        <f t="shared" ca="1" si="5"/>
        <v>1.1200617283950618E-2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input_370100!A$2</f>
        <v>370100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IFERROR(VLOOKUP(B128,input_370100!L:R,7,FALSE),VLOOKUP(tables_370100!C128,input_370100!A:H,8,FALSE))</f>
        <v>2483</v>
      </c>
      <c r="P128" s="46">
        <f t="shared" ca="1" si="5"/>
        <v>5.8950617283950622E-4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input_370100!A$2</f>
        <v>370100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IFERROR(VLOOKUP(B129,input_370100!L:R,7,FALSE),VLOOKUP(tables_370100!C129,input_370100!A:H,8,FALSE))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input_370100!A$2</f>
        <v>370100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IFERROR(VLOOKUP(B130,input_370100!L:R,7,FALSE),VLOOKUP(tables_370100!C130,input_370100!A:H,8,FALSE))</f>
        <v>47177</v>
      </c>
      <c r="P130" s="46">
        <f t="shared" ref="P130:P193" ca="1" si="8">O130/SUM(O:O)</f>
        <v>1.1200617283950618E-2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input_370100!A$2</f>
        <v>370100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IFERROR(VLOOKUP(B131,input_370100!L:R,7,FALSE),VLOOKUP(tables_370100!C131,input_370100!A:H,8,FALSE))</f>
        <v>2483</v>
      </c>
      <c r="P131" s="46">
        <f t="shared" ca="1" si="8"/>
        <v>5.8950617283950622E-4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input_370100!A$2</f>
        <v>370100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IFERROR(VLOOKUP(B132,input_370100!L:R,7,FALSE),VLOOKUP(tables_370100!C132,input_370100!A:H,8,FALSE))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input_370100!A$2</f>
        <v>370100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IFERROR(VLOOKUP(B133,input_370100!L:R,7,FALSE),VLOOKUP(tables_370100!C133,input_370100!A:H,8,FALSE))</f>
        <v>47177</v>
      </c>
      <c r="P133" s="46">
        <f t="shared" ca="1" si="8"/>
        <v>1.1200617283950618E-2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input_370100!A$2</f>
        <v>370100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IFERROR(VLOOKUP(B134,input_370100!L:R,7,FALSE),VLOOKUP(tables_370100!C134,input_370100!A:H,8,FALSE))</f>
        <v>2483</v>
      </c>
      <c r="P134" s="46">
        <f t="shared" ca="1" si="8"/>
        <v>5.8950617283950622E-4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input_370100!A$2</f>
        <v>370100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IFERROR(VLOOKUP(B135,input_370100!L:R,7,FALSE),VLOOKUP(tables_370100!C135,input_370100!A:H,8,FALSE))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input_370100!A$2</f>
        <v>370100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IFERROR(VLOOKUP(B136,input_370100!L:R,7,FALSE),VLOOKUP(tables_370100!C136,input_370100!A:H,8,FALSE))</f>
        <v>47177</v>
      </c>
      <c r="P136" s="46">
        <f t="shared" ca="1" si="8"/>
        <v>1.1200617283950618E-2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input_370100!A$2</f>
        <v>370100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IFERROR(VLOOKUP(B137,input_370100!L:R,7,FALSE),VLOOKUP(tables_370100!C137,input_370100!A:H,8,FALSE))</f>
        <v>2483</v>
      </c>
      <c r="P137" s="46">
        <f t="shared" ca="1" si="8"/>
        <v>5.8950617283950622E-4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input_370100!A$2</f>
        <v>370100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IFERROR(VLOOKUP(B138,input_370100!L:R,7,FALSE),VLOOKUP(tables_370100!C138,input_370100!A:H,8,FALSE))</f>
        <v>513</v>
      </c>
      <c r="P138" s="46">
        <f t="shared" ca="1" si="8"/>
        <v>1.217948717948718E-4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input_370100!A$2</f>
        <v>370100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IFERROR(VLOOKUP(B139,input_370100!L:R,7,FALSE),VLOOKUP(tables_370100!C139,input_370100!A:H,8,FALSE))</f>
        <v>27</v>
      </c>
      <c r="P139" s="46">
        <f t="shared" ca="1" si="8"/>
        <v>6.4102564102564099E-6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input_370100!A$2</f>
        <v>370100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IFERROR(VLOOKUP(B140,input_370100!L:R,7,FALSE),VLOOKUP(tables_370100!C140,input_370100!A:H,8,FALSE))</f>
        <v>513</v>
      </c>
      <c r="P140" s="46">
        <f t="shared" ca="1" si="8"/>
        <v>1.217948717948718E-4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input_370100!A$2</f>
        <v>370100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IFERROR(VLOOKUP(B141,input_370100!L:R,7,FALSE),VLOOKUP(tables_370100!C141,input_370100!A:H,8,FALSE))</f>
        <v>27</v>
      </c>
      <c r="P141" s="46">
        <f t="shared" ca="1" si="8"/>
        <v>6.4102564102564099E-6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input_370100!A$2</f>
        <v>370100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IFERROR(VLOOKUP(B142,input_370100!L:R,7,FALSE),VLOOKUP(tables_370100!C142,input_370100!A:H,8,FALSE))</f>
        <v>513</v>
      </c>
      <c r="P142" s="46">
        <f t="shared" ca="1" si="8"/>
        <v>1.217948717948718E-4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input_370100!A$2</f>
        <v>370100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IFERROR(VLOOKUP(B143,input_370100!L:R,7,FALSE),VLOOKUP(tables_370100!C143,input_370100!A:H,8,FALSE))</f>
        <v>27</v>
      </c>
      <c r="P143" s="46">
        <f t="shared" ca="1" si="8"/>
        <v>6.4102564102564099E-6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input_370100!A$2</f>
        <v>370100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IFERROR(VLOOKUP(B144,input_370100!L:R,7,FALSE),VLOOKUP(tables_370100!C144,input_370100!A:H,8,FALSE))</f>
        <v>513</v>
      </c>
      <c r="P144" s="46">
        <f t="shared" ca="1" si="8"/>
        <v>1.217948717948718E-4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input_370100!A$2</f>
        <v>370100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IFERROR(VLOOKUP(B145,input_370100!L:R,7,FALSE),VLOOKUP(tables_370100!C145,input_370100!A:H,8,FALSE))</f>
        <v>27</v>
      </c>
      <c r="P145" s="46">
        <f t="shared" ca="1" si="8"/>
        <v>6.4102564102564099E-6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input_370100!A$2</f>
        <v>370100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IFERROR(VLOOKUP(B146,input_370100!L:R,7,FALSE),VLOOKUP(tables_370100!C146,input_370100!A:H,8,FALSE))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input_370100!A$2</f>
        <v>370100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IFERROR(VLOOKUP(B147,input_370100!L:R,7,FALSE),VLOOKUP(tables_370100!C147,input_370100!A:H,8,FALSE))</f>
        <v>47177</v>
      </c>
      <c r="P147" s="46">
        <f t="shared" ca="1" si="8"/>
        <v>1.1200617283950618E-2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input_370100!A$2</f>
        <v>370100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IFERROR(VLOOKUP(B148,input_370100!L:R,7,FALSE),VLOOKUP(tables_370100!C148,input_370100!A:H,8,FALSE))</f>
        <v>2483</v>
      </c>
      <c r="P148" s="46">
        <f t="shared" ca="1" si="8"/>
        <v>5.8950617283950622E-4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input_370100!A$2</f>
        <v>370100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IFERROR(VLOOKUP(B149,input_370100!L:R,7,FALSE),VLOOKUP(tables_370100!C149,input_370100!A:H,8,FALSE))</f>
        <v>513</v>
      </c>
      <c r="P149" s="46">
        <f t="shared" ca="1" si="8"/>
        <v>1.217948717948718E-4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input_370100!A$2</f>
        <v>370100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IFERROR(VLOOKUP(B150,input_370100!L:R,7,FALSE),VLOOKUP(tables_370100!C150,input_370100!A:H,8,FALSE))</f>
        <v>27</v>
      </c>
      <c r="P150" s="46">
        <f t="shared" ca="1" si="8"/>
        <v>6.4102564102564099E-6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input_370100!A$2</f>
        <v>370100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IFERROR(VLOOKUP(B151,input_370100!L:R,7,FALSE),VLOOKUP(tables_370100!C151,input_370100!A:H,8,FALSE))</f>
        <v>513</v>
      </c>
      <c r="P151" s="46">
        <f t="shared" ca="1" si="8"/>
        <v>1.217948717948718E-4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input_370100!A$2</f>
        <v>370100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IFERROR(VLOOKUP(B152,input_370100!L:R,7,FALSE),VLOOKUP(tables_370100!C152,input_370100!A:H,8,FALSE))</f>
        <v>27</v>
      </c>
      <c r="P152" s="46">
        <f t="shared" ca="1" si="8"/>
        <v>6.4102564102564099E-6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input_370100!A$2</f>
        <v>370100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IFERROR(VLOOKUP(B153,input_370100!L:R,7,FALSE),VLOOKUP(tables_370100!C153,input_370100!A:H,8,FALSE))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input_370100!A$2</f>
        <v>370100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IFERROR(VLOOKUP(B154,input_370100!L:R,7,FALSE),VLOOKUP(tables_370100!C154,input_370100!A:H,8,FALSE))</f>
        <v>47177</v>
      </c>
      <c r="P154" s="46">
        <f t="shared" ca="1" si="8"/>
        <v>1.1200617283950618E-2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input_370100!A$2</f>
        <v>370100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IFERROR(VLOOKUP(B155,input_370100!L:R,7,FALSE),VLOOKUP(tables_370100!C155,input_370100!A:H,8,FALSE))</f>
        <v>2483</v>
      </c>
      <c r="P155" s="46">
        <f t="shared" ca="1" si="8"/>
        <v>5.8950617283950622E-4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input_370100!A$2</f>
        <v>370100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IFERROR(VLOOKUP(B156,input_370100!L:R,7,FALSE),VLOOKUP(tables_370100!C156,input_370100!A:H,8,FALSE))</f>
        <v>513</v>
      </c>
      <c r="P156" s="46">
        <f t="shared" ca="1" si="8"/>
        <v>1.217948717948718E-4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input_370100!A$2</f>
        <v>370100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IFERROR(VLOOKUP(B157,input_370100!L:R,7,FALSE),VLOOKUP(tables_370100!C157,input_370100!A:H,8,FALSE))</f>
        <v>27</v>
      </c>
      <c r="P157" s="46">
        <f t="shared" ca="1" si="8"/>
        <v>6.4102564102564099E-6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input_370100!A$2</f>
        <v>370100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IFERROR(VLOOKUP(B158,input_370100!L:R,7,FALSE),VLOOKUP(tables_370100!C158,input_370100!A:H,8,FALSE))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input_370100!A$2</f>
        <v>370100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IFERROR(VLOOKUP(B159,input_370100!L:R,7,FALSE),VLOOKUP(tables_370100!C159,input_370100!A:H,8,FALSE))</f>
        <v>47177</v>
      </c>
      <c r="P159" s="46">
        <f t="shared" ca="1" si="8"/>
        <v>1.1200617283950618E-2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input_370100!A$2</f>
        <v>370100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IFERROR(VLOOKUP(B160,input_370100!L:R,7,FALSE),VLOOKUP(tables_370100!C160,input_370100!A:H,8,FALSE))</f>
        <v>2483</v>
      </c>
      <c r="P160" s="46">
        <f t="shared" ca="1" si="8"/>
        <v>5.8950617283950622E-4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input_370100!A$2</f>
        <v>370100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IFERROR(VLOOKUP(B161,input_370100!L:R,7,FALSE),VLOOKUP(tables_370100!C161,input_370100!A:H,8,FALSE))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input_370100!A$2</f>
        <v>370100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IFERROR(VLOOKUP(B162,input_370100!L:R,7,FALSE),VLOOKUP(tables_370100!C162,input_370100!A:H,8,FALSE))</f>
        <v>47177</v>
      </c>
      <c r="P162" s="46">
        <f t="shared" ca="1" si="8"/>
        <v>1.1200617283950618E-2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input_370100!A$2</f>
        <v>370100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IFERROR(VLOOKUP(B163,input_370100!L:R,7,FALSE),VLOOKUP(tables_370100!C163,input_370100!A:H,8,FALSE))</f>
        <v>2483</v>
      </c>
      <c r="P163" s="46">
        <f t="shared" ca="1" si="8"/>
        <v>5.8950617283950622E-4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input_370100!A$2</f>
        <v>370100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IFERROR(VLOOKUP(B164,input_370100!L:R,7,FALSE),VLOOKUP(tables_370100!C164,input_370100!A:H,8,FALSE))</f>
        <v>513</v>
      </c>
      <c r="P164" s="46">
        <f t="shared" ca="1" si="8"/>
        <v>1.217948717948718E-4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input_370100!A$2</f>
        <v>370100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IFERROR(VLOOKUP(B165,input_370100!L:R,7,FALSE),VLOOKUP(tables_370100!C165,input_370100!A:H,8,FALSE))</f>
        <v>27</v>
      </c>
      <c r="P165" s="46">
        <f t="shared" ca="1" si="8"/>
        <v>6.4102564102564099E-6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input_370100!A$2</f>
        <v>370100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IFERROR(VLOOKUP(B166,input_370100!L:R,7,FALSE),VLOOKUP(tables_370100!C166,input_370100!A:H,8,FALSE))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input_370100!A$2</f>
        <v>370100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IFERROR(VLOOKUP(B167,input_370100!L:R,7,FALSE),VLOOKUP(tables_370100!C167,input_370100!A:H,8,FALSE))</f>
        <v>47177</v>
      </c>
      <c r="P167" s="46">
        <f t="shared" ca="1" si="8"/>
        <v>1.1200617283950618E-2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input_370100!A$2</f>
        <v>370100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IFERROR(VLOOKUP(B168,input_370100!L:R,7,FALSE),VLOOKUP(tables_370100!C168,input_370100!A:H,8,FALSE))</f>
        <v>2483</v>
      </c>
      <c r="P168" s="46">
        <f t="shared" ca="1" si="8"/>
        <v>5.8950617283950622E-4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input_370100!A$2</f>
        <v>370100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IFERROR(VLOOKUP(B169,input_370100!L:R,7,FALSE),VLOOKUP(tables_370100!C169,input_370100!A:H,8,FALSE))</f>
        <v>513</v>
      </c>
      <c r="P169" s="46">
        <f t="shared" ca="1" si="8"/>
        <v>1.217948717948718E-4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input_370100!A$2</f>
        <v>370100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IFERROR(VLOOKUP(B170,input_370100!L:R,7,FALSE),VLOOKUP(tables_370100!C170,input_370100!A:H,8,FALSE))</f>
        <v>27</v>
      </c>
      <c r="P170" s="46">
        <f t="shared" ca="1" si="8"/>
        <v>6.4102564102564099E-6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input_370100!A$2</f>
        <v>370100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IFERROR(VLOOKUP(B171,input_370100!L:R,7,FALSE),VLOOKUP(tables_370100!C171,input_370100!A:H,8,FALSE))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input_370100!A$2</f>
        <v>370100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IFERROR(VLOOKUP(B172,input_370100!L:R,7,FALSE),VLOOKUP(tables_370100!C172,input_370100!A:H,8,FALSE))</f>
        <v>47177</v>
      </c>
      <c r="P172" s="46">
        <f t="shared" ca="1" si="8"/>
        <v>1.1200617283950618E-2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input_370100!A$2</f>
        <v>370100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IFERROR(VLOOKUP(B173,input_370100!L:R,7,FALSE),VLOOKUP(tables_370100!C173,input_370100!A:H,8,FALSE))</f>
        <v>2483</v>
      </c>
      <c r="P173" s="46">
        <f t="shared" ca="1" si="8"/>
        <v>5.8950617283950622E-4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input_370100!A$2</f>
        <v>370100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IFERROR(VLOOKUP(B174,input_370100!L:R,7,FALSE),VLOOKUP(tables_370100!C174,input_370100!A:H,8,FALSE))</f>
        <v>513</v>
      </c>
      <c r="P174" s="46">
        <f t="shared" ca="1" si="8"/>
        <v>1.217948717948718E-4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input_370100!A$2</f>
        <v>370100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IFERROR(VLOOKUP(B175,input_370100!L:R,7,FALSE),VLOOKUP(tables_370100!C175,input_370100!A:H,8,FALSE))</f>
        <v>27</v>
      </c>
      <c r="P175" s="46">
        <f t="shared" ca="1" si="8"/>
        <v>6.4102564102564099E-6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input_370100!A$2</f>
        <v>370100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IFERROR(VLOOKUP(B176,input_370100!L:R,7,FALSE),VLOOKUP(tables_370100!C176,input_370100!A:H,8,FALSE))</f>
        <v>513</v>
      </c>
      <c r="P176" s="46">
        <f t="shared" ca="1" si="8"/>
        <v>1.217948717948718E-4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input_370100!A$2</f>
        <v>370100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IFERROR(VLOOKUP(B177,input_370100!L:R,7,FALSE),VLOOKUP(tables_370100!C177,input_370100!A:H,8,FALSE))</f>
        <v>27</v>
      </c>
      <c r="P177" s="46">
        <f t="shared" ca="1" si="8"/>
        <v>6.4102564102564099E-6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input_370100!A$2</f>
        <v>370100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IFERROR(VLOOKUP(B178,input_370100!L:R,7,FALSE),VLOOKUP(tables_370100!C178,input_370100!A:H,8,FALSE))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input_370100!A$2</f>
        <v>370100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IFERROR(VLOOKUP(B179,input_370100!L:R,7,FALSE),VLOOKUP(tables_370100!C179,input_370100!A:H,8,FALSE))</f>
        <v>47177</v>
      </c>
      <c r="P179" s="46">
        <f t="shared" ca="1" si="8"/>
        <v>1.1200617283950618E-2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input_370100!A$2</f>
        <v>370100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IFERROR(VLOOKUP(B180,input_370100!L:R,7,FALSE),VLOOKUP(tables_370100!C180,input_370100!A:H,8,FALSE))</f>
        <v>2483</v>
      </c>
      <c r="P180" s="46">
        <f t="shared" ca="1" si="8"/>
        <v>5.8950617283950622E-4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input_370100!A$2</f>
        <v>370100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IFERROR(VLOOKUP(B181,input_370100!L:R,7,FALSE),VLOOKUP(tables_370100!C181,input_370100!A:H,8,FALSE))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input_370100!A$2</f>
        <v>370100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IFERROR(VLOOKUP(B182,input_370100!L:R,7,FALSE),VLOOKUP(tables_370100!C182,input_370100!A:H,8,FALSE))</f>
        <v>47177</v>
      </c>
      <c r="P182" s="46">
        <f t="shared" ca="1" si="8"/>
        <v>1.1200617283950618E-2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input_370100!A$2</f>
        <v>370100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IFERROR(VLOOKUP(B183,input_370100!L:R,7,FALSE),VLOOKUP(tables_370100!C183,input_370100!A:H,8,FALSE))</f>
        <v>2483</v>
      </c>
      <c r="P183" s="46">
        <f t="shared" ca="1" si="8"/>
        <v>5.8950617283950622E-4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input_370100!A$2</f>
        <v>370100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IFERROR(VLOOKUP(B184,input_370100!L:R,7,FALSE),VLOOKUP(tables_370100!C184,input_370100!A:H,8,FALSE))</f>
        <v>513</v>
      </c>
      <c r="P184" s="46">
        <f t="shared" ca="1" si="8"/>
        <v>1.217948717948718E-4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input_370100!A$2</f>
        <v>370100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IFERROR(VLOOKUP(B185,input_370100!L:R,7,FALSE),VLOOKUP(tables_370100!C185,input_370100!A:H,8,FALSE))</f>
        <v>27</v>
      </c>
      <c r="P185" s="46">
        <f t="shared" ca="1" si="8"/>
        <v>6.4102564102564099E-6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input_370100!A$2</f>
        <v>370100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IFERROR(VLOOKUP(B186,input_370100!L:R,7,FALSE),VLOOKUP(tables_370100!C186,input_370100!A:H,8,FALSE))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input_370100!A$2</f>
        <v>370100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IFERROR(VLOOKUP(B187,input_370100!L:R,7,FALSE),VLOOKUP(tables_370100!C187,input_370100!A:H,8,FALSE))</f>
        <v>47177</v>
      </c>
      <c r="P187" s="46">
        <f t="shared" ca="1" si="8"/>
        <v>1.1200617283950618E-2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input_370100!A$2</f>
        <v>370100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IFERROR(VLOOKUP(B188,input_370100!L:R,7,FALSE),VLOOKUP(tables_370100!C188,input_370100!A:H,8,FALSE))</f>
        <v>2483</v>
      </c>
      <c r="P188" s="46">
        <f t="shared" ca="1" si="8"/>
        <v>5.8950617283950622E-4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input_370100!A$2</f>
        <v>370100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IFERROR(VLOOKUP(B189,input_370100!L:R,7,FALSE),VLOOKUP(tables_370100!C189,input_370100!A:H,8,FALSE))</f>
        <v>513</v>
      </c>
      <c r="P189" s="46">
        <f t="shared" ca="1" si="8"/>
        <v>1.217948717948718E-4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input_370100!A$2</f>
        <v>370100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IFERROR(VLOOKUP(B190,input_370100!L:R,7,FALSE),VLOOKUP(tables_370100!C190,input_370100!A:H,8,FALSE))</f>
        <v>27</v>
      </c>
      <c r="P190" s="46">
        <f t="shared" ca="1" si="8"/>
        <v>6.4102564102564099E-6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input_370100!A$2</f>
        <v>370100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IFERROR(VLOOKUP(B191,input_370100!L:R,7,FALSE),VLOOKUP(tables_370100!C191,input_370100!A:H,8,FALSE))</f>
        <v>513</v>
      </c>
      <c r="P191" s="46">
        <f t="shared" ca="1" si="8"/>
        <v>1.217948717948718E-4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input_370100!A$2</f>
        <v>370100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IFERROR(VLOOKUP(B192,input_370100!L:R,7,FALSE),VLOOKUP(tables_370100!C192,input_370100!A:H,8,FALSE))</f>
        <v>27</v>
      </c>
      <c r="P192" s="46">
        <f t="shared" ca="1" si="8"/>
        <v>6.4102564102564099E-6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input_370100!A$2</f>
        <v>370100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IFERROR(VLOOKUP(B193,input_370100!L:R,7,FALSE),VLOOKUP(tables_370100!C193,input_370100!A:H,8,FALSE))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input_370100!A$2</f>
        <v>370100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IFERROR(VLOOKUP(B194,input_370100!L:R,7,FALSE),VLOOKUP(tables_370100!C194,input_370100!A:H,8,FALSE))</f>
        <v>47177</v>
      </c>
      <c r="P194" s="46">
        <f t="shared" ref="P194:P257" ca="1" si="11">O194/SUM(O:O)</f>
        <v>1.1200617283950618E-2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input_370100!A$2</f>
        <v>370100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IFERROR(VLOOKUP(B195,input_370100!L:R,7,FALSE),VLOOKUP(tables_370100!C195,input_370100!A:H,8,FALSE))</f>
        <v>2483</v>
      </c>
      <c r="P195" s="46">
        <f t="shared" ca="1" si="11"/>
        <v>5.8950617283950622E-4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input_370100!A$2</f>
        <v>370100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IFERROR(VLOOKUP(B196,input_370100!L:R,7,FALSE),VLOOKUP(tables_370100!C196,input_370100!A:H,8,FALSE))</f>
        <v>513</v>
      </c>
      <c r="P196" s="46">
        <f t="shared" ca="1" si="11"/>
        <v>1.217948717948718E-4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input_370100!A$2</f>
        <v>370100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IFERROR(VLOOKUP(B197,input_370100!L:R,7,FALSE),VLOOKUP(tables_370100!C197,input_370100!A:H,8,FALSE))</f>
        <v>27</v>
      </c>
      <c r="P197" s="46">
        <f t="shared" ca="1" si="11"/>
        <v>6.4102564102564099E-6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input_370100!A$2</f>
        <v>370100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IFERROR(VLOOKUP(B198,input_370100!L:R,7,FALSE),VLOOKUP(tables_370100!C198,input_370100!A:H,8,FALSE))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input_370100!A$2</f>
        <v>370100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IFERROR(VLOOKUP(B199,input_370100!L:R,7,FALSE),VLOOKUP(tables_370100!C199,input_370100!A:H,8,FALSE))</f>
        <v>47177</v>
      </c>
      <c r="P199" s="46">
        <f t="shared" ca="1" si="11"/>
        <v>1.1200617283950618E-2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input_370100!A$2</f>
        <v>370100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IFERROR(VLOOKUP(B200,input_370100!L:R,7,FALSE),VLOOKUP(tables_370100!C200,input_370100!A:H,8,FALSE))</f>
        <v>2483</v>
      </c>
      <c r="P200" s="46">
        <f t="shared" ca="1" si="11"/>
        <v>5.8950617283950622E-4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input_370100!A$2</f>
        <v>370100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IFERROR(VLOOKUP(B201,input_370100!L:R,7,FALSE),VLOOKUP(tables_370100!C201,input_370100!A:H,8,FALSE))</f>
        <v>513</v>
      </c>
      <c r="P201" s="46">
        <f t="shared" ca="1" si="11"/>
        <v>1.217948717948718E-4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input_370100!A$2</f>
        <v>370100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IFERROR(VLOOKUP(B202,input_370100!L:R,7,FALSE),VLOOKUP(tables_370100!C202,input_370100!A:H,8,FALSE))</f>
        <v>27</v>
      </c>
      <c r="P202" s="46">
        <f t="shared" ca="1" si="11"/>
        <v>6.4102564102564099E-6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input_370100!A$2</f>
        <v>370100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IFERROR(VLOOKUP(B203,input_370100!L:R,7,FALSE),VLOOKUP(tables_370100!C203,input_370100!A:H,8,FALSE))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input_370100!A$2</f>
        <v>370100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IFERROR(VLOOKUP(B204,input_370100!L:R,7,FALSE),VLOOKUP(tables_370100!C204,input_370100!A:H,8,FALSE))</f>
        <v>47177</v>
      </c>
      <c r="P204" s="46">
        <f t="shared" ca="1" si="11"/>
        <v>1.1200617283950618E-2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input_370100!A$2</f>
        <v>370100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IFERROR(VLOOKUP(B205,input_370100!L:R,7,FALSE),VLOOKUP(tables_370100!C205,input_370100!A:H,8,FALSE))</f>
        <v>2483</v>
      </c>
      <c r="P205" s="46">
        <f t="shared" ca="1" si="11"/>
        <v>5.8950617283950622E-4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input_370100!A$2</f>
        <v>370100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IFERROR(VLOOKUP(B206,input_370100!L:R,7,FALSE),VLOOKUP(tables_370100!C206,input_370100!A:H,8,FALSE))</f>
        <v>513</v>
      </c>
      <c r="P206" s="46">
        <f t="shared" ca="1" si="11"/>
        <v>1.217948717948718E-4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input_370100!A$2</f>
        <v>370100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IFERROR(VLOOKUP(B207,input_370100!L:R,7,FALSE),VLOOKUP(tables_370100!C207,input_370100!A:H,8,FALSE))</f>
        <v>27</v>
      </c>
      <c r="P207" s="46">
        <f t="shared" ca="1" si="11"/>
        <v>6.4102564102564099E-6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input_370100!A$2</f>
        <v>370100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IFERROR(VLOOKUP(B208,input_370100!L:R,7,FALSE),VLOOKUP(tables_370100!C208,input_370100!A:H,8,FALSE))</f>
        <v>513</v>
      </c>
      <c r="P208" s="46">
        <f t="shared" ca="1" si="11"/>
        <v>1.217948717948718E-4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input_370100!A$2</f>
        <v>370100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IFERROR(VLOOKUP(B209,input_370100!L:R,7,FALSE),VLOOKUP(tables_370100!C209,input_370100!A:H,8,FALSE))</f>
        <v>27</v>
      </c>
      <c r="P209" s="46">
        <f t="shared" ca="1" si="11"/>
        <v>6.4102564102564099E-6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input_370100!A$2</f>
        <v>370100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IFERROR(VLOOKUP(B210,input_370100!L:R,7,FALSE),VLOOKUP(tables_370100!C210,input_370100!A:H,8,FALSE))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input_370100!A$2</f>
        <v>370100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IFERROR(VLOOKUP(B211,input_370100!L:R,7,FALSE),VLOOKUP(tables_370100!C211,input_370100!A:H,8,FALSE))</f>
        <v>47177</v>
      </c>
      <c r="P211" s="46">
        <f t="shared" ca="1" si="11"/>
        <v>1.1200617283950618E-2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input_370100!A$2</f>
        <v>370100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IFERROR(VLOOKUP(B212,input_370100!L:R,7,FALSE),VLOOKUP(tables_370100!C212,input_370100!A:H,8,FALSE))</f>
        <v>2483</v>
      </c>
      <c r="P212" s="46">
        <f t="shared" ca="1" si="11"/>
        <v>5.8950617283950622E-4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input_370100!A$2</f>
        <v>370100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IFERROR(VLOOKUP(B213,input_370100!L:R,7,FALSE),VLOOKUP(tables_370100!C213,input_370100!A:H,8,FALSE))</f>
        <v>513</v>
      </c>
      <c r="P213" s="46">
        <f t="shared" ca="1" si="11"/>
        <v>1.217948717948718E-4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input_370100!A$2</f>
        <v>370100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IFERROR(VLOOKUP(B214,input_370100!L:R,7,FALSE),VLOOKUP(tables_370100!C214,input_370100!A:H,8,FALSE))</f>
        <v>27</v>
      </c>
      <c r="P214" s="46">
        <f t="shared" ca="1" si="11"/>
        <v>6.4102564102564099E-6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input_370100!A$2</f>
        <v>370100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IFERROR(VLOOKUP(B215,input_370100!L:R,7,FALSE),VLOOKUP(tables_370100!C215,input_370100!A:H,8,FALSE))</f>
        <v>513</v>
      </c>
      <c r="P215" s="46">
        <f t="shared" ca="1" si="11"/>
        <v>1.217948717948718E-4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input_370100!A$2</f>
        <v>370100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IFERROR(VLOOKUP(B216,input_370100!L:R,7,FALSE),VLOOKUP(tables_370100!C216,input_370100!A:H,8,FALSE))</f>
        <v>27</v>
      </c>
      <c r="P216" s="46">
        <f t="shared" ca="1" si="11"/>
        <v>6.4102564102564099E-6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input_370100!A$2</f>
        <v>370100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IFERROR(VLOOKUP(B217,input_370100!L:R,7,FALSE),VLOOKUP(tables_370100!C217,input_370100!A:H,8,FALSE))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input_370100!A$2</f>
        <v>370100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IFERROR(VLOOKUP(B218,input_370100!L:R,7,FALSE),VLOOKUP(tables_370100!C218,input_370100!A:H,8,FALSE))</f>
        <v>47177</v>
      </c>
      <c r="P218" s="46">
        <f t="shared" ca="1" si="11"/>
        <v>1.1200617283950618E-2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input_370100!A$2</f>
        <v>370100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IFERROR(VLOOKUP(B219,input_370100!L:R,7,FALSE),VLOOKUP(tables_370100!C219,input_370100!A:H,8,FALSE))</f>
        <v>2483</v>
      </c>
      <c r="P219" s="46">
        <f t="shared" ca="1" si="11"/>
        <v>5.8950617283950622E-4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input_370100!A$2</f>
        <v>370100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IFERROR(VLOOKUP(B220,input_370100!L:R,7,FALSE),VLOOKUP(tables_370100!C220,input_370100!A:H,8,FALSE))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input_370100!A$2</f>
        <v>370100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IFERROR(VLOOKUP(B221,input_370100!L:R,7,FALSE),VLOOKUP(tables_370100!C221,input_370100!A:H,8,FALSE))</f>
        <v>47177</v>
      </c>
      <c r="P221" s="46">
        <f t="shared" ca="1" si="11"/>
        <v>1.1200617283950618E-2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input_370100!A$2</f>
        <v>370100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IFERROR(VLOOKUP(B222,input_370100!L:R,7,FALSE),VLOOKUP(tables_370100!C222,input_370100!A:H,8,FALSE))</f>
        <v>2483</v>
      </c>
      <c r="P222" s="46">
        <f t="shared" ca="1" si="11"/>
        <v>5.8950617283950622E-4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input_370100!A$2</f>
        <v>370100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IFERROR(VLOOKUP(B223,input_370100!L:R,7,FALSE),VLOOKUP(tables_370100!C223,input_370100!A:H,8,FALSE))</f>
        <v>513</v>
      </c>
      <c r="P223" s="46">
        <f t="shared" ca="1" si="11"/>
        <v>1.217948717948718E-4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input_370100!A$2</f>
        <v>370100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IFERROR(VLOOKUP(B224,input_370100!L:R,7,FALSE),VLOOKUP(tables_370100!C224,input_370100!A:H,8,FALSE))</f>
        <v>27</v>
      </c>
      <c r="P224" s="46">
        <f t="shared" ca="1" si="11"/>
        <v>6.4102564102564099E-6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input_370100!A$2</f>
        <v>370100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IFERROR(VLOOKUP(B225,input_370100!L:R,7,FALSE),VLOOKUP(tables_370100!C225,input_370100!A:H,8,FALSE))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input_370100!A$2</f>
        <v>370100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IFERROR(VLOOKUP(B226,input_370100!L:R,7,FALSE),VLOOKUP(tables_370100!C226,input_370100!A:H,8,FALSE))</f>
        <v>47177</v>
      </c>
      <c r="P226" s="46">
        <f t="shared" ca="1" si="11"/>
        <v>1.1200617283950618E-2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input_370100!A$2</f>
        <v>370100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IFERROR(VLOOKUP(B227,input_370100!L:R,7,FALSE),VLOOKUP(tables_370100!C227,input_370100!A:H,8,FALSE))</f>
        <v>2483</v>
      </c>
      <c r="P227" s="46">
        <f t="shared" ca="1" si="11"/>
        <v>5.8950617283950622E-4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input_370100!A$2</f>
        <v>370100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IFERROR(VLOOKUP(B228,input_370100!L:R,7,FALSE),VLOOKUP(tables_370100!C228,input_370100!A:H,8,FALSE))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input_370100!A$2</f>
        <v>370100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IFERROR(VLOOKUP(B229,input_370100!L:R,7,FALSE),VLOOKUP(tables_370100!C229,input_370100!A:H,8,FALSE))</f>
        <v>47177</v>
      </c>
      <c r="P229" s="46">
        <f t="shared" ca="1" si="11"/>
        <v>1.1200617283950618E-2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input_370100!A$2</f>
        <v>370100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IFERROR(VLOOKUP(B230,input_370100!L:R,7,FALSE),VLOOKUP(tables_370100!C230,input_370100!A:H,8,FALSE))</f>
        <v>2483</v>
      </c>
      <c r="P230" s="46">
        <f t="shared" ca="1" si="11"/>
        <v>5.8950617283950622E-4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input_370100!A$2</f>
        <v>370100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IFERROR(VLOOKUP(B231,input_370100!L:R,7,FALSE),VLOOKUP(tables_370100!C231,input_370100!A:H,8,FALSE))</f>
        <v>513</v>
      </c>
      <c r="P231" s="46">
        <f t="shared" ca="1" si="11"/>
        <v>1.217948717948718E-4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input_370100!A$2</f>
        <v>370100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IFERROR(VLOOKUP(B232,input_370100!L:R,7,FALSE),VLOOKUP(tables_370100!C232,input_370100!A:H,8,FALSE))</f>
        <v>27</v>
      </c>
      <c r="P232" s="46">
        <f t="shared" ca="1" si="11"/>
        <v>6.4102564102564099E-6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input_370100!A$2</f>
        <v>370100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IFERROR(VLOOKUP(B233,input_370100!L:R,7,FALSE),VLOOKUP(tables_370100!C233,input_370100!A:H,8,FALSE))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input_370100!A$2</f>
        <v>370100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IFERROR(VLOOKUP(B234,input_370100!L:R,7,FALSE),VLOOKUP(tables_370100!C234,input_370100!A:H,8,FALSE))</f>
        <v>47177</v>
      </c>
      <c r="P234" s="46">
        <f t="shared" ca="1" si="11"/>
        <v>1.1200617283950618E-2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input_370100!A$2</f>
        <v>370100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IFERROR(VLOOKUP(B235,input_370100!L:R,7,FALSE),VLOOKUP(tables_370100!C235,input_370100!A:H,8,FALSE))</f>
        <v>2483</v>
      </c>
      <c r="P235" s="46">
        <f t="shared" ca="1" si="11"/>
        <v>5.8950617283950622E-4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input_370100!A$2</f>
        <v>370100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IFERROR(VLOOKUP(B236,input_370100!L:R,7,FALSE),VLOOKUP(tables_370100!C236,input_370100!A:H,8,FALSE))</f>
        <v>513</v>
      </c>
      <c r="P236" s="46">
        <f t="shared" ca="1" si="11"/>
        <v>1.217948717948718E-4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input_370100!A$2</f>
        <v>370100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IFERROR(VLOOKUP(B237,input_370100!L:R,7,FALSE),VLOOKUP(tables_370100!C237,input_370100!A:H,8,FALSE))</f>
        <v>27</v>
      </c>
      <c r="P237" s="46">
        <f t="shared" ca="1" si="11"/>
        <v>6.4102564102564099E-6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input_370100!A$2</f>
        <v>370100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IFERROR(VLOOKUP(B238,input_370100!L:R,7,FALSE),VLOOKUP(tables_370100!C238,input_370100!A:H,8,FALSE))</f>
        <v>513</v>
      </c>
      <c r="P238" s="46">
        <f t="shared" ca="1" si="11"/>
        <v>1.217948717948718E-4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input_370100!A$2</f>
        <v>370100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IFERROR(VLOOKUP(B239,input_370100!L:R,7,FALSE),VLOOKUP(tables_370100!C239,input_370100!A:H,8,FALSE))</f>
        <v>27</v>
      </c>
      <c r="P239" s="46">
        <f t="shared" ca="1" si="11"/>
        <v>6.4102564102564099E-6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input_370100!A$2</f>
        <v>370100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IFERROR(VLOOKUP(B240,input_370100!L:R,7,FALSE),VLOOKUP(tables_370100!C240,input_370100!A:H,8,FALSE))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input_370100!A$2</f>
        <v>370100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IFERROR(VLOOKUP(B241,input_370100!L:R,7,FALSE),VLOOKUP(tables_370100!C241,input_370100!A:H,8,FALSE))</f>
        <v>47177</v>
      </c>
      <c r="P241" s="46">
        <f t="shared" ca="1" si="11"/>
        <v>1.1200617283950618E-2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input_370100!A$2</f>
        <v>370100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IFERROR(VLOOKUP(B242,input_370100!L:R,7,FALSE),VLOOKUP(tables_370100!C242,input_370100!A:H,8,FALSE))</f>
        <v>2483</v>
      </c>
      <c r="P242" s="46">
        <f t="shared" ca="1" si="11"/>
        <v>5.8950617283950622E-4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input_370100!A$2</f>
        <v>370100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IFERROR(VLOOKUP(B243,input_370100!L:R,7,FALSE),VLOOKUP(tables_370100!C243,input_370100!A:H,8,FALSE))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input_370100!A$2</f>
        <v>370100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IFERROR(VLOOKUP(B244,input_370100!L:R,7,FALSE),VLOOKUP(tables_370100!C244,input_370100!A:H,8,FALSE))</f>
        <v>47177</v>
      </c>
      <c r="P244" s="46">
        <f t="shared" ca="1" si="11"/>
        <v>1.1200617283950618E-2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input_370100!A$2</f>
        <v>370100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IFERROR(VLOOKUP(B245,input_370100!L:R,7,FALSE),VLOOKUP(tables_370100!C245,input_370100!A:H,8,FALSE))</f>
        <v>2483</v>
      </c>
      <c r="P245" s="46">
        <f t="shared" ca="1" si="11"/>
        <v>5.8950617283950622E-4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input_370100!A$2</f>
        <v>370100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IFERROR(VLOOKUP(B246,input_370100!L:R,7,FALSE),VLOOKUP(tables_370100!C246,input_370100!A:H,8,FALSE))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input_370100!A$2</f>
        <v>370100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IFERROR(VLOOKUP(B247,input_370100!L:R,7,FALSE),VLOOKUP(tables_370100!C247,input_370100!A:H,8,FALSE))</f>
        <v>47177</v>
      </c>
      <c r="P247" s="46">
        <f t="shared" ca="1" si="11"/>
        <v>1.1200617283950618E-2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input_370100!A$2</f>
        <v>370100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IFERROR(VLOOKUP(B248,input_370100!L:R,7,FALSE),VLOOKUP(tables_370100!C248,input_370100!A:H,8,FALSE))</f>
        <v>2483</v>
      </c>
      <c r="P248" s="46">
        <f t="shared" ca="1" si="11"/>
        <v>5.8950617283950622E-4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input_370100!A$2</f>
        <v>370100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IFERROR(VLOOKUP(B249,input_370100!L:R,7,FALSE),VLOOKUP(tables_370100!C249,input_370100!A:H,8,FALSE))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input_370100!A$2</f>
        <v>370100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IFERROR(VLOOKUP(B250,input_370100!L:R,7,FALSE),VLOOKUP(tables_370100!C250,input_370100!A:H,8,FALSE))</f>
        <v>47177</v>
      </c>
      <c r="P250" s="46">
        <f t="shared" ca="1" si="11"/>
        <v>1.1200617283950618E-2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input_370100!A$2</f>
        <v>370100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IFERROR(VLOOKUP(B251,input_370100!L:R,7,FALSE),VLOOKUP(tables_370100!C251,input_370100!A:H,8,FALSE))</f>
        <v>2483</v>
      </c>
      <c r="P251" s="46">
        <f t="shared" ca="1" si="11"/>
        <v>5.8950617283950622E-4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input_370100!A$2</f>
        <v>370100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IFERROR(VLOOKUP(B252,input_370100!L:R,7,FALSE),VLOOKUP(tables_370100!C252,input_370100!A:H,8,FALSE))</f>
        <v>513</v>
      </c>
      <c r="P252" s="46">
        <f t="shared" ca="1" si="11"/>
        <v>1.217948717948718E-4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input_370100!A$2</f>
        <v>370100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IFERROR(VLOOKUP(B253,input_370100!L:R,7,FALSE),VLOOKUP(tables_370100!C253,input_370100!A:H,8,FALSE))</f>
        <v>27</v>
      </c>
      <c r="P253" s="46">
        <f t="shared" ca="1" si="11"/>
        <v>6.4102564102564099E-6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input_370100!A$2</f>
        <v>370100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IFERROR(VLOOKUP(B254,input_370100!L:R,7,FALSE),VLOOKUP(tables_370100!C254,input_370100!A:H,8,FALSE))</f>
        <v>513</v>
      </c>
      <c r="P254" s="46">
        <f t="shared" ca="1" si="11"/>
        <v>1.217948717948718E-4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input_370100!A$2</f>
        <v>370100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IFERROR(VLOOKUP(B255,input_370100!L:R,7,FALSE),VLOOKUP(tables_370100!C255,input_370100!A:H,8,FALSE))</f>
        <v>27</v>
      </c>
      <c r="P255" s="46">
        <f t="shared" ca="1" si="11"/>
        <v>6.4102564102564099E-6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input_370100!A$2</f>
        <v>370100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IFERROR(VLOOKUP(B256,input_370100!L:R,7,FALSE),VLOOKUP(tables_370100!C256,input_370100!A:H,8,FALSE))</f>
        <v>41122.222220000003</v>
      </c>
      <c r="P256" s="46">
        <f t="shared" ca="1" si="11"/>
        <v>9.7631106885090226E-3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input_370100!A$2</f>
        <v>370100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IFERROR(VLOOKUP(B257,input_370100!L:R,7,FALSE),VLOOKUP(tables_370100!C257,input_370100!A:H,8,FALSE))</f>
        <v>8537.7777800000003</v>
      </c>
      <c r="P257" s="46">
        <f t="shared" ca="1" si="11"/>
        <v>2.0270127682811018E-3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input_370100!A$2</f>
        <v>370100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IFERROR(VLOOKUP(B258,input_370100!L:R,7,FALSE),VLOOKUP(tables_370100!C258,input_370100!A:H,8,FALSE))</f>
        <v>41122.222220000003</v>
      </c>
      <c r="P258" s="46">
        <f t="shared" ref="P258:P294" ca="1" si="14">O258/SUM(O:O)</f>
        <v>9.7631106885090226E-3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input_370100!A$2</f>
        <v>370100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IFERROR(VLOOKUP(B259,input_370100!L:R,7,FALSE),VLOOKUP(tables_370100!C259,input_370100!A:H,8,FALSE))</f>
        <v>8537.7777800000003</v>
      </c>
      <c r="P259" s="46">
        <f t="shared" ca="1" si="14"/>
        <v>2.0270127682811018E-3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input_370100!A$2</f>
        <v>370100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>IFERROR(VLOOKUP(B260,input_370100!L:R,7,FALSE),VLOOKUP(tables_370100!C260,input_370100!A:H,8,FALSE))</f>
        <v>42120</v>
      </c>
      <c r="P260" s="46">
        <f t="shared" ca="1" si="14"/>
        <v>0.01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input_370100!A$2</f>
        <v>370100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>IFERROR(VLOOKUP(B261,input_370100!L:R,7,FALSE),VLOOKUP(tables_370100!C261,input_370100!A:H,8,FALSE))</f>
        <v>42120</v>
      </c>
      <c r="P261" s="46">
        <f t="shared" ca="1" si="14"/>
        <v>0.01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input_370100!A$2</f>
        <v>370100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IFERROR(VLOOKUP(B262,input_370100!L:R,7,FALSE),VLOOKUP(tables_370100!C262,input_370100!A:H,8,FALSE))</f>
        <v>513</v>
      </c>
      <c r="P262" s="46">
        <f t="shared" ca="1" si="14"/>
        <v>1.217948717948718E-4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input_370100!A$2</f>
        <v>370100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IFERROR(VLOOKUP(B263,input_370100!L:R,7,FALSE),VLOOKUP(tables_370100!C263,input_370100!A:H,8,FALSE))</f>
        <v>27</v>
      </c>
      <c r="P263" s="46">
        <f t="shared" ca="1" si="14"/>
        <v>6.4102564102564099E-6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input_370100!A$2</f>
        <v>370100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IFERROR(VLOOKUP(B264,input_370100!L:R,7,FALSE),VLOOKUP(tables_370100!C264,input_370100!A:H,8,FALSE))</f>
        <v>513</v>
      </c>
      <c r="P264" s="46">
        <f t="shared" ca="1" si="14"/>
        <v>1.217948717948718E-4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input_370100!A$2</f>
        <v>370100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IFERROR(VLOOKUP(B265,input_370100!L:R,7,FALSE),VLOOKUP(tables_370100!C265,input_370100!A:H,8,FALSE))</f>
        <v>27</v>
      </c>
      <c r="P265" s="46">
        <f t="shared" ca="1" si="14"/>
        <v>6.4102564102564099E-6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input_370100!A$2</f>
        <v>370100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IFERROR(VLOOKUP(B266,input_370100!L:R,7,FALSE),VLOOKUP(tables_370100!C266,input_370100!A:H,8,FALSE))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input_370100!A$2</f>
        <v>370100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IFERROR(VLOOKUP(B267,input_370100!L:R,7,FALSE),VLOOKUP(tables_370100!C267,input_370100!A:H,8,FALSE))</f>
        <v>47177</v>
      </c>
      <c r="P267" s="46">
        <f t="shared" ca="1" si="14"/>
        <v>1.1200617283950618E-2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input_370100!A$2</f>
        <v>370100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IFERROR(VLOOKUP(B268,input_370100!L:R,7,FALSE),VLOOKUP(tables_370100!C268,input_370100!A:H,8,FALSE))</f>
        <v>2483</v>
      </c>
      <c r="P268" s="46">
        <f t="shared" ca="1" si="14"/>
        <v>5.8950617283950622E-4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input_370100!A$2</f>
        <v>370100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IFERROR(VLOOKUP(B269,input_370100!L:R,7,FALSE),VLOOKUP(tables_370100!C269,input_370100!A:H,8,FALSE))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input_370100!A$2</f>
        <v>370100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IFERROR(VLOOKUP(B270,input_370100!L:R,7,FALSE),VLOOKUP(tables_370100!C270,input_370100!A:H,8,FALSE))</f>
        <v>47177</v>
      </c>
      <c r="P270" s="46">
        <f t="shared" ca="1" si="14"/>
        <v>1.1200617283950618E-2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input_370100!A$2</f>
        <v>370100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IFERROR(VLOOKUP(B271,input_370100!L:R,7,FALSE),VLOOKUP(tables_370100!C271,input_370100!A:H,8,FALSE))</f>
        <v>2483</v>
      </c>
      <c r="P271" s="46">
        <f t="shared" ca="1" si="14"/>
        <v>5.8950617283950622E-4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input_370100!A$2</f>
        <v>370100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IFERROR(VLOOKUP(B272,input_370100!L:R,7,FALSE),VLOOKUP(tables_370100!C272,input_370100!A:H,8,FALSE))</f>
        <v>42120</v>
      </c>
      <c r="P272" s="46">
        <f t="shared" ca="1" si="14"/>
        <v>0.01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input_370100!A$2</f>
        <v>370100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>IFERROR(VLOOKUP(B273,input_370100!L:R,7,FALSE),VLOOKUP(tables_370100!C273,input_370100!A:H,8,FALSE))</f>
        <v>42120</v>
      </c>
      <c r="P273" s="46">
        <f t="shared" ca="1" si="14"/>
        <v>0.01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input_370100!A$2</f>
        <v>370100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IFERROR(VLOOKUP(B274,input_370100!L:R,7,FALSE),VLOOKUP(tables_370100!C274,input_370100!A:H,8,FALSE))</f>
        <v>41122.222220000003</v>
      </c>
      <c r="P274" s="46">
        <f t="shared" ca="1" si="14"/>
        <v>9.7631106885090226E-3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input_370100!A$2</f>
        <v>370100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IFERROR(VLOOKUP(B275,input_370100!L:R,7,FALSE),VLOOKUP(tables_370100!C275,input_370100!A:H,8,FALSE))</f>
        <v>8537.7777800000003</v>
      </c>
      <c r="P275" s="46">
        <f t="shared" ca="1" si="14"/>
        <v>2.0270127682811018E-3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input_370100!A$2</f>
        <v>370100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IFERROR(VLOOKUP(B276,input_370100!L:R,7,FALSE),VLOOKUP(tables_370100!C276,input_370100!A:H,8,FALSE))</f>
        <v>41122.222220000003</v>
      </c>
      <c r="P276" s="46">
        <f t="shared" ca="1" si="14"/>
        <v>9.7631106885090226E-3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input_370100!A$2</f>
        <v>370100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IFERROR(VLOOKUP(B277,input_370100!L:R,7,FALSE),VLOOKUP(tables_370100!C277,input_370100!A:H,8,FALSE))</f>
        <v>8537.7777800000003</v>
      </c>
      <c r="P277" s="46">
        <f t="shared" ca="1" si="14"/>
        <v>2.0270127682811018E-3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input_370100!A$2</f>
        <v>370100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IFERROR(VLOOKUP(B278,input_370100!L:R,7,FALSE),VLOOKUP(tables_370100!C278,input_370100!A:H,8,FALSE))</f>
        <v>41122.222220000003</v>
      </c>
      <c r="P278" s="46">
        <f t="shared" ca="1" si="14"/>
        <v>9.7631106885090226E-3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input_370100!A$2</f>
        <v>370100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IFERROR(VLOOKUP(B279,input_370100!L:R,7,FALSE),VLOOKUP(tables_370100!C279,input_370100!A:H,8,FALSE))</f>
        <v>8537.7777800000003</v>
      </c>
      <c r="P279" s="46">
        <f t="shared" ca="1" si="14"/>
        <v>2.0270127682811018E-3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input_370100!A$2</f>
        <v>370100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IFERROR(VLOOKUP(B280,input_370100!L:R,7,FALSE),VLOOKUP(tables_370100!C280,input_370100!A:H,8,FALSE))</f>
        <v>41122.222220000003</v>
      </c>
      <c r="P280" s="46">
        <f t="shared" ca="1" si="14"/>
        <v>9.7631106885090226E-3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input_370100!A$2</f>
        <v>370100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IFERROR(VLOOKUP(B281,input_370100!L:R,7,FALSE),VLOOKUP(tables_370100!C281,input_370100!A:H,8,FALSE))</f>
        <v>8537.7777800000003</v>
      </c>
      <c r="P281" s="46">
        <f t="shared" ca="1" si="14"/>
        <v>2.0270127682811018E-3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input_370100!A$2</f>
        <v>370100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IFERROR(VLOOKUP(B282,input_370100!L:R,7,FALSE),VLOOKUP(tables_370100!C282,input_370100!A:H,8,FALSE))</f>
        <v>540</v>
      </c>
      <c r="P282" s="46">
        <f t="shared" ca="1" si="14"/>
        <v>1.2820512820512821E-4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input_370100!A$2</f>
        <v>370100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IFERROR(VLOOKUP(B283,input_370100!L:R,7,FALSE),VLOOKUP(tables_370100!C283,input_370100!A:H,8,FALSE))</f>
        <v>540</v>
      </c>
      <c r="P283" s="46">
        <f t="shared" ca="1" si="14"/>
        <v>1.2820512820512821E-4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input_370100!A$2</f>
        <v>370100</v>
      </c>
      <c r="B284" s="84">
        <v>742</v>
      </c>
      <c r="C284" s="7" t="str">
        <f t="shared" ref="C284:C294" si="15">D284&amp;J284&amp;E284&amp;F284&amp;G284</f>
        <v>PremiumSS5R5only</v>
      </c>
      <c r="D284" s="7" t="str">
        <f t="shared" ref="D284:D29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IFERROR(VLOOKUP(B284,input_370100!L:R,7,FALSE),VLOOKUP(tables_370100!C284,input_370100!A:H,8,FALSE))</f>
        <v>540</v>
      </c>
      <c r="P284" s="46">
        <f t="shared" ca="1" si="14"/>
        <v>1.2820512820512821E-4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input_370100!A$2</f>
        <v>370100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IFERROR(VLOOKUP(B285,input_370100!L:R,7,FALSE),VLOOKUP(tables_370100!C285,input_370100!A:H,8,FALSE))</f>
        <v>540</v>
      </c>
      <c r="P285" s="46">
        <f t="shared" ca="1" si="14"/>
        <v>1.2820512820512821E-4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input_370100!A$2</f>
        <v>370100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IFERROR(VLOOKUP(B286,input_370100!L:R,7,FALSE),VLOOKUP(tables_370100!C286,input_370100!A:H,8,FALSE))</f>
        <v>41122.222220000003</v>
      </c>
      <c r="P286" s="46">
        <f t="shared" ca="1" si="14"/>
        <v>9.7631106885090226E-3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input_370100!A$2</f>
        <v>370100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IFERROR(VLOOKUP(B287,input_370100!L:R,7,FALSE),VLOOKUP(tables_370100!C287,input_370100!A:H,8,FALSE))</f>
        <v>8537.7777800000003</v>
      </c>
      <c r="P287" s="46">
        <f t="shared" ca="1" si="14"/>
        <v>2.0270127682811018E-3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input_370100!A$2</f>
        <v>370100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IFERROR(VLOOKUP(B288,input_370100!L:R,7,FALSE),VLOOKUP(tables_370100!C288,input_370100!A:H,8,FALSE))</f>
        <v>41122.222220000003</v>
      </c>
      <c r="P288" s="46">
        <f t="shared" ca="1" si="14"/>
        <v>9.7631106885090226E-3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input_370100!A$2</f>
        <v>370100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IFERROR(VLOOKUP(B289,input_370100!L:R,7,FALSE),VLOOKUP(tables_370100!C289,input_370100!A:H,8,FALSE))</f>
        <v>8537.7777800000003</v>
      </c>
      <c r="P289" s="46">
        <f t="shared" ca="1" si="14"/>
        <v>2.0270127682811018E-3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input_370100!A$2</f>
        <v>370100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IFERROR(VLOOKUP(B290,input_370100!L:R,7,FALSE),VLOOKUP(tables_370100!C290,input_370100!A:H,8,FALSE))</f>
        <v>540</v>
      </c>
      <c r="P290" s="46">
        <f t="shared" ca="1" si="14"/>
        <v>1.2820512820512821E-4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input_370100!A$2</f>
        <v>370100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IFERROR(VLOOKUP(B291,input_370100!L:R,7,FALSE),VLOOKUP(tables_370100!C291,input_370100!A:H,8,FALSE))</f>
        <v>41122.222220000003</v>
      </c>
      <c r="P291" s="46">
        <f t="shared" ca="1" si="14"/>
        <v>9.7631106885090226E-3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input_370100!A$2</f>
        <v>370100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IFERROR(VLOOKUP(B292,input_370100!L:R,7,FALSE),VLOOKUP(tables_370100!C292,input_370100!A:H,8,FALSE))</f>
        <v>8537.7777800000003</v>
      </c>
      <c r="P292" s="46">
        <f t="shared" ca="1" si="14"/>
        <v>2.0270127682811018E-3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input_370100!A$2</f>
        <v>370100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IFERROR(VLOOKUP(B293,input_370100!L:R,7,FALSE),VLOOKUP(tables_370100!C293,input_370100!A:H,8,FALSE))</f>
        <v>540</v>
      </c>
      <c r="P293" s="46">
        <f t="shared" ca="1" si="14"/>
        <v>1.2820512820512821E-4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input_370100!A$2</f>
        <v>370100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IFERROR(VLOOKUP(B294,input_370100!L:R,7,FALSE),VLOOKUP(tables_370100!C294,input_370100!A:H,8,FALSE))</f>
        <v>540</v>
      </c>
      <c r="P294" s="46">
        <f t="shared" ca="1" si="14"/>
        <v>1.2820512820512821E-4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4"/>
  <sheetViews>
    <sheetView showGridLines="0" zoomScale="75" zoomScaleNormal="75" zoomScalePageLayoutView="75" workbookViewId="0">
      <pane ySplit="1" topLeftCell="A2" activePane="bottomLeft" state="frozen"/>
      <selection activeCell="E10" sqref="E10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5">
        <f>370100</f>
        <v>370100</v>
      </c>
      <c r="B2" s="6">
        <v>168</v>
      </c>
      <c r="C2" s="7" t="str">
        <f t="shared" ref="C2" si="0">D2&amp;J2&amp;E2&amp;F2&amp;G2</f>
        <v>Premium5R6release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5">
        <f t="shared" ref="A3:A5" si="2">370100</f>
        <v>370100</v>
      </c>
      <c r="B3" s="6">
        <v>171</v>
      </c>
      <c r="C3" s="7" t="str">
        <f t="shared" ref="C3:C5" si="3">D3&amp;J3&amp;E3&amp;F3&amp;G3</f>
        <v>Premium5R6release</v>
      </c>
      <c r="D3" s="7" t="str">
        <f t="shared" ref="D3:D5" si="4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ref="P3:P5" si="5">O3/SUM(O:O)</f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5">
        <f t="shared" si="2"/>
        <v>370100</v>
      </c>
      <c r="B4" s="6">
        <v>174</v>
      </c>
      <c r="C4" s="7" t="str">
        <f t="shared" si="3"/>
        <v>Premium5R6release</v>
      </c>
      <c r="D4" s="7" t="str">
        <f t="shared" si="4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5"/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5">
        <f t="shared" si="2"/>
        <v>370100</v>
      </c>
      <c r="B5" s="5">
        <v>237</v>
      </c>
      <c r="C5" s="7" t="str">
        <f t="shared" si="3"/>
        <v>Premium5R6release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5"/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5"/>
      <c r="B6" s="60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5"/>
      <c r="B7" s="60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45"/>
      <c r="P7" s="46"/>
      <c r="Q7" s="30"/>
      <c r="R7" s="30"/>
      <c r="S7" s="30"/>
      <c r="T7" s="30"/>
      <c r="U7" s="30"/>
      <c r="V7" s="30"/>
    </row>
    <row r="8" spans="1:22" ht="21" customHeight="1" x14ac:dyDescent="0.15">
      <c r="A8" s="5"/>
      <c r="B8" s="60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45"/>
      <c r="P8" s="46"/>
      <c r="Q8" s="30"/>
      <c r="R8" s="30"/>
      <c r="S8" s="30"/>
      <c r="T8" s="30"/>
      <c r="U8" s="30"/>
      <c r="V8" s="30"/>
    </row>
    <row r="9" spans="1:22" ht="21" customHeight="1" x14ac:dyDescent="0.15">
      <c r="A9" s="5"/>
      <c r="B9" s="60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45"/>
      <c r="P9" s="46"/>
      <c r="Q9" s="30"/>
      <c r="R9" s="30"/>
      <c r="S9" s="30"/>
      <c r="T9" s="30"/>
      <c r="U9" s="30"/>
      <c r="V9" s="30"/>
    </row>
    <row r="10" spans="1:22" ht="21" customHeight="1" x14ac:dyDescent="0.15">
      <c r="A10" s="5"/>
      <c r="B10" s="60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45"/>
      <c r="P10" s="46"/>
      <c r="Q10" s="30"/>
      <c r="R10" s="30"/>
      <c r="S10" s="30"/>
      <c r="T10" s="30"/>
      <c r="U10" s="30"/>
      <c r="V10" s="30"/>
    </row>
    <row r="11" spans="1:22" ht="21" customHeight="1" x14ac:dyDescent="0.15">
      <c r="A11" s="5"/>
      <c r="B11" s="60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45"/>
      <c r="P11" s="46"/>
      <c r="Q11" s="30"/>
      <c r="R11" s="30"/>
      <c r="S11" s="30"/>
      <c r="T11" s="30"/>
      <c r="U11" s="30"/>
      <c r="V11" s="30"/>
    </row>
    <row r="12" spans="1:22" ht="21" customHeight="1" x14ac:dyDescent="0.15">
      <c r="A12" s="5"/>
      <c r="B12" s="60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45"/>
      <c r="P12" s="46"/>
      <c r="Q12" s="30"/>
      <c r="R12" s="30"/>
      <c r="S12" s="30"/>
      <c r="T12" s="30"/>
      <c r="U12" s="30"/>
      <c r="V12" s="30"/>
    </row>
    <row r="13" spans="1:22" ht="21" customHeight="1" x14ac:dyDescent="0.15">
      <c r="A13" s="5"/>
      <c r="B13" s="60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45"/>
      <c r="P13" s="46"/>
      <c r="Q13" s="30"/>
      <c r="R13" s="30"/>
      <c r="S13" s="30"/>
      <c r="T13" s="30"/>
      <c r="U13" s="30"/>
      <c r="V13" s="30"/>
    </row>
    <row r="14" spans="1:22" ht="21" customHeight="1" x14ac:dyDescent="0.15">
      <c r="A14" s="5"/>
      <c r="B14" s="60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45"/>
      <c r="P14" s="46"/>
      <c r="Q14" s="30"/>
      <c r="R14" s="30"/>
      <c r="S14" s="30"/>
      <c r="T14" s="30"/>
      <c r="U14" s="30"/>
      <c r="V14" s="30"/>
    </row>
    <row r="15" spans="1:22" ht="21" customHeight="1" x14ac:dyDescent="0.15">
      <c r="A15" s="5"/>
      <c r="B15" s="60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45"/>
      <c r="P15" s="46"/>
      <c r="Q15" s="30"/>
      <c r="R15" s="30"/>
      <c r="S15" s="30"/>
      <c r="T15" s="30"/>
      <c r="U15" s="30"/>
      <c r="V15" s="30"/>
    </row>
    <row r="16" spans="1:22" ht="21" customHeight="1" x14ac:dyDescent="0.15">
      <c r="A16" s="5"/>
      <c r="B16" s="84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45"/>
      <c r="P16" s="46"/>
      <c r="Q16" s="30"/>
      <c r="R16" s="30"/>
      <c r="S16" s="30"/>
      <c r="T16" s="30"/>
      <c r="U16" s="30"/>
      <c r="V16" s="30"/>
    </row>
    <row r="17" spans="1:22" ht="21" customHeight="1" x14ac:dyDescent="0.15">
      <c r="A17" s="5"/>
      <c r="B17" s="84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45"/>
      <c r="P17" s="46"/>
      <c r="Q17" s="30"/>
      <c r="R17" s="30"/>
      <c r="S17" s="30"/>
      <c r="T17" s="30"/>
      <c r="U17" s="30"/>
      <c r="V17" s="30"/>
    </row>
    <row r="18" spans="1:22" ht="21" customHeight="1" x14ac:dyDescent="0.15">
      <c r="A18" s="5"/>
      <c r="B18" s="84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45"/>
      <c r="P18" s="46"/>
      <c r="Q18" s="30"/>
      <c r="R18" s="30"/>
      <c r="S18" s="30"/>
      <c r="T18" s="30"/>
      <c r="U18" s="30"/>
      <c r="V18" s="30"/>
    </row>
    <row r="19" spans="1:22" ht="21" customHeight="1" x14ac:dyDescent="0.15">
      <c r="A19" s="5"/>
      <c r="B19" s="84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45"/>
      <c r="P19" s="46"/>
      <c r="Q19" s="30"/>
      <c r="R19" s="30"/>
      <c r="S19" s="30"/>
      <c r="T19" s="30"/>
      <c r="U19" s="30"/>
      <c r="V19" s="30"/>
    </row>
    <row r="20" spans="1:22" ht="21" customHeight="1" x14ac:dyDescent="0.15">
      <c r="A20" s="5"/>
      <c r="B20" s="84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45"/>
      <c r="P20" s="46"/>
      <c r="Q20" s="30"/>
      <c r="R20" s="30"/>
      <c r="S20" s="30"/>
      <c r="T20" s="30"/>
      <c r="U20" s="30"/>
      <c r="V20" s="30"/>
    </row>
    <row r="21" spans="1:22" ht="21" customHeight="1" x14ac:dyDescent="0.15">
      <c r="A21" s="5"/>
      <c r="B21" s="84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45"/>
      <c r="P21" s="46"/>
      <c r="Q21" s="30"/>
      <c r="R21" s="30"/>
      <c r="S21" s="30"/>
      <c r="T21" s="30"/>
      <c r="U21" s="30"/>
      <c r="V21" s="30"/>
    </row>
    <row r="22" spans="1:22" ht="21" customHeight="1" x14ac:dyDescent="0.15">
      <c r="A22" s="5"/>
      <c r="B22" s="84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45"/>
      <c r="P22" s="46"/>
      <c r="Q22" s="30"/>
      <c r="R22" s="30"/>
      <c r="S22" s="30"/>
      <c r="T22" s="30"/>
      <c r="U22" s="30"/>
      <c r="V22" s="30"/>
    </row>
    <row r="23" spans="1:22" ht="21" customHeight="1" x14ac:dyDescent="0.15">
      <c r="A23" s="5"/>
      <c r="B23" s="84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45"/>
      <c r="P23" s="46"/>
      <c r="Q23" s="30"/>
      <c r="R23" s="30"/>
      <c r="S23" s="30"/>
      <c r="T23" s="30"/>
      <c r="U23" s="30"/>
      <c r="V23" s="30"/>
    </row>
    <row r="24" spans="1:22" ht="21" customHeight="1" x14ac:dyDescent="0.15">
      <c r="A24" s="5"/>
      <c r="B24" s="84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45"/>
      <c r="P24" s="46"/>
      <c r="Q24" s="30"/>
      <c r="R24" s="30"/>
      <c r="S24" s="30"/>
      <c r="T24" s="30"/>
      <c r="U24" s="30"/>
      <c r="V24" s="30"/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J8" sqref="J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255</v>
      </c>
      <c r="B2" s="81" t="s">
        <v>256</v>
      </c>
      <c r="C2" s="82" t="s">
        <v>249</v>
      </c>
      <c r="D2" s="82">
        <v>1000000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221</v>
      </c>
      <c r="O2" s="82" t="s">
        <v>252</v>
      </c>
      <c r="P2" s="82" t="s">
        <v>262</v>
      </c>
      <c r="Q2" s="83" t="s">
        <v>254</v>
      </c>
    </row>
    <row r="3" spans="1:17" ht="21" customHeight="1" x14ac:dyDescent="0.15">
      <c r="A3" s="81" t="s">
        <v>263</v>
      </c>
      <c r="B3" s="81" t="s">
        <v>257</v>
      </c>
      <c r="C3" s="1" t="s">
        <v>253</v>
      </c>
      <c r="D3" s="1">
        <v>1</v>
      </c>
      <c r="E3" s="1">
        <v>5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221</v>
      </c>
      <c r="O3" s="82" t="s">
        <v>260</v>
      </c>
      <c r="P3" s="82" t="s">
        <v>262</v>
      </c>
      <c r="Q3" s="83" t="s">
        <v>266</v>
      </c>
    </row>
    <row r="4" spans="1:17" ht="21" customHeight="1" x14ac:dyDescent="0.15">
      <c r="A4" s="81" t="s">
        <v>264</v>
      </c>
      <c r="B4" s="81" t="s">
        <v>258</v>
      </c>
      <c r="C4" s="1" t="s">
        <v>250</v>
      </c>
      <c r="D4" s="1">
        <v>614</v>
      </c>
      <c r="E4" s="1">
        <v>1</v>
      </c>
      <c r="F4" s="1">
        <v>1</v>
      </c>
      <c r="G4" s="89">
        <v>0</v>
      </c>
      <c r="H4" s="89">
        <v>0</v>
      </c>
      <c r="I4" s="89">
        <v>0</v>
      </c>
      <c r="J4" s="89">
        <v>0</v>
      </c>
      <c r="K4" s="89">
        <v>1</v>
      </c>
      <c r="L4" s="89">
        <v>1</v>
      </c>
      <c r="M4" s="89">
        <v>1</v>
      </c>
      <c r="N4" s="82" t="s">
        <v>221</v>
      </c>
      <c r="O4" s="82" t="s">
        <v>261</v>
      </c>
      <c r="P4" s="82" t="s">
        <v>262</v>
      </c>
      <c r="Q4" s="83" t="s">
        <v>267</v>
      </c>
    </row>
    <row r="5" spans="1:17" ht="21" customHeight="1" x14ac:dyDescent="0.15">
      <c r="A5" s="81" t="s">
        <v>265</v>
      </c>
      <c r="B5" s="81" t="s">
        <v>259</v>
      </c>
      <c r="C5" s="1" t="s">
        <v>251</v>
      </c>
      <c r="D5" s="1">
        <v>837</v>
      </c>
      <c r="E5" s="1">
        <v>1</v>
      </c>
      <c r="F5" s="1">
        <v>1</v>
      </c>
      <c r="G5" s="89">
        <v>0</v>
      </c>
      <c r="H5" s="89">
        <v>0</v>
      </c>
      <c r="I5" s="89">
        <v>0</v>
      </c>
      <c r="J5" s="89">
        <v>0</v>
      </c>
      <c r="K5" s="89">
        <v>1</v>
      </c>
      <c r="L5" s="89">
        <v>1</v>
      </c>
      <c r="M5" s="89">
        <v>1</v>
      </c>
      <c r="N5" s="82" t="s">
        <v>221</v>
      </c>
      <c r="O5" s="82" t="s">
        <v>248</v>
      </c>
      <c r="P5" s="82" t="s">
        <v>262</v>
      </c>
      <c r="Q5" s="83" t="s">
        <v>268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input_370010</vt:lpstr>
      <vt:lpstr>tables_370010</vt:lpstr>
      <vt:lpstr>input_370100</vt:lpstr>
      <vt:lpstr>tables_370100</vt:lpstr>
      <vt:lpstr>tables_settle_370100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2016-07-13T13:37:45Z</dcterms:modified>
</cp:coreProperties>
</file>