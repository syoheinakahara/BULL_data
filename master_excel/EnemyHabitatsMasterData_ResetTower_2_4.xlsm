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9380" yWindow="2280" windowWidth="26540" windowHeight="180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  <c r="B4" i="10"/>
  <c r="B5" i="10"/>
  <c r="B6" i="10"/>
  <c r="B7" i="10"/>
  <c r="B8" i="10"/>
  <c r="B9" i="10"/>
  <c r="B10" i="10"/>
  <c r="B2" i="10"/>
  <c r="N3" i="22"/>
  <c r="N2" i="22"/>
  <c r="C6" i="18"/>
  <c r="C5" i="18"/>
  <c r="C4" i="18"/>
  <c r="C3" i="18"/>
  <c r="C2" i="18"/>
  <c r="D6" i="18"/>
  <c r="D5" i="18"/>
  <c r="D4" i="18"/>
  <c r="D3" i="18"/>
  <c r="D2" i="18"/>
  <c r="AG12" i="10"/>
  <c r="C3" i="21"/>
  <c r="D3" i="21"/>
  <c r="F3" i="21"/>
  <c r="G3" i="21"/>
  <c r="I3" i="21"/>
  <c r="O3" i="21"/>
  <c r="C4" i="21"/>
  <c r="D4" i="21"/>
  <c r="F4" i="21"/>
  <c r="G4" i="21"/>
  <c r="I4" i="21"/>
  <c r="O4" i="21"/>
  <c r="AG9" i="10"/>
  <c r="AG7" i="10"/>
  <c r="AG8" i="10"/>
  <c r="AG6" i="10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3" i="1"/>
  <c r="D3" i="1"/>
  <c r="E3" i="1"/>
  <c r="F3" i="1"/>
  <c r="H3" i="1"/>
  <c r="G2" i="2"/>
  <c r="A2" i="2"/>
  <c r="G3" i="2"/>
  <c r="A3" i="2"/>
  <c r="G4" i="2"/>
  <c r="A4" i="2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H2" i="1"/>
  <c r="B3" i="2"/>
  <c r="D3" i="2"/>
  <c r="E3" i="2"/>
  <c r="H3" i="2"/>
  <c r="B4" i="2"/>
  <c r="D4" i="2"/>
  <c r="E4" i="2"/>
  <c r="H4" i="2"/>
  <c r="O2" i="21"/>
  <c r="J2" i="11"/>
  <c r="E2" i="9"/>
  <c r="X2" i="1"/>
  <c r="V2" i="1"/>
  <c r="T2" i="1"/>
  <c r="G3" i="22"/>
  <c r="F3" i="22"/>
  <c r="D3" i="22"/>
  <c r="C3" i="22"/>
  <c r="A3" i="22"/>
  <c r="E13" i="16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<sst xmlns="http://schemas.openxmlformats.org/spreadsheetml/2006/main" count="517" uniqueCount="302">
  <si>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</si>
  <si>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</si>
  <si>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</si>
  <si>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</si>
  <si>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</si>
  <si>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</si>
  <si>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</si>
  <si>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</si>
  <si>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</si>
  <si>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</si>
  <si>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</si>
  <si>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</si>
  <si>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</si>
  <si>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</si>
  <si>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</si>
  <si>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</si>
  <si>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</si>
  <si>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</si>
  <si>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</si>
  <si>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</si>
  <si>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</si>
  <si>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</si>
  <si>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</si>
  <si>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</si>
  <si>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</si>
  <si>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</si>
  <si>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</si>
  <si>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</si>
  <si>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</si>
  <si>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</si>
  <si>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</si>
  <si>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</si>
  <si>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</si>
  <si>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</si>
  <si>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</si>
  <si>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</si>
  <si>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</si>
  <si>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</si>
  <si>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</si>
  <si>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</si>
  <si>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</si>
  <si>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</si>
  <si>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</si>
  <si>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</si>
  <si>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</si>
  <si>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</si>
  <si>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</si>
  <si>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</si>
  <si>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</si>
  <si>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</si>
  <si>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</si>
  <si>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</si>
  <si>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</si>
  <si>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</si>
  <si>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</si>
  <si>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</si>
  <si>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</si>
  <si>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</si>
  <si>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</si>
  <si>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</si>
  <si>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</si>
  <si>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</si>
  <si>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</si>
  <si>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</si>
  <si>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</si>
  <si>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</si>
  <si>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</si>
  <si>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</si>
  <si>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</si>
  <si>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</si>
  <si>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</si>
  <si>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</si>
  <si>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</si>
  <si>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</si>
  <si>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</si>
  <si>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</si>
  <si>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</si>
  <si>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</si>
  <si>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</si>
  <si>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</si>
  <si>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</si>
  <si>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</si>
  <si>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</si>
  <si>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</si>
  <si>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</si>
  <si>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</si>
  <si>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</si>
  <si>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</si>
  <si>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</si>
  <si>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</si>
  <si>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</si>
  <si>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</si>
  <si>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</si>
  <si>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</si>
  <si>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</si>
  <si>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</si>
  <si>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</si>
  <si>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</si>
  <si>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</si>
  <si>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</si>
  <si>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</si>
  <si>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</si>
  <si>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</si>
  <si>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</si>
  <si>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</si>
  <si>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</si>
  <si>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</si>
  <si>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</si>
  <si>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</si>
  <si>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</si>
  <si>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</si>
  <si>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</si>
  <si>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</si>
  <si>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</si>
  <si>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</si>
  <si>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</si>
  <si>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</si>
  <si>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</si>
  <si>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</si>
  <si>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</si>
  <si>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</si>
  <si>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</si>
  <si>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</si>
  <si>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</si>
  <si>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</si>
  <si>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</si>
  <si>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</si>
  <si>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</si>
  <si>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</si>
  <si>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</si>
  <si>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</si>
  <si>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</si>
  <si>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</si>
  <si>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</si>
  <si>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</si>
  <si>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</si>
  <si>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</si>
  <si>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</si>
  <si>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</si>
  <si>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</si>
  <si>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</si>
  <si>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</si>
  <si>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</si>
  <si>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</si>
  <si>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</si>
  <si>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</si>
  <si>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</si>
  <si>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</si>
  <si>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</si>
  <si>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</si>
  <si>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</si>
  <si>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</si>
  <si>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</si>
  <si>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</si>
  <si>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</si>
  <si>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</si>
  <si>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</si>
  <si>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</si>
  <si>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</si>
  <si>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</si>
  <si>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</si>
  <si>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</si>
  <si>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</si>
  <si>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</si>
  <si>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</si>
  <si>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</si>
  <si>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</si>
  <si>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</si>
  <si>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</si>
  <si>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</si>
  <si>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</si>
  <si>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</si>
  <si>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</si>
  <si>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</si>
  <si>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</si>
  <si>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</si>
  <si>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</si>
  <si>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</si>
  <si>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</si>
  <si>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</si>
  <si>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</si>
  <si>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</si>
  <si>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</si>
  <si>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</si>
  <si>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</si>
  <si>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</si>
  <si>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</si>
  <si>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</si>
  <si>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</si>
  <si>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</si>
  <si>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</si>
  <si>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</si>
  <si>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</si>
  <si>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</si>
  <si>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</si>
  <si>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</si>
  <si>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</si>
  <si>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</si>
  <si>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</si>
  <si>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</si>
  <si>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</si>
  <si>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</si>
  <si>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</si>
  <si>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</si>
  <si>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</si>
  <si>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</si>
  <si>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</si>
  <si>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</si>
  <si>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</si>
  <si>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</si>
  <si>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</si>
  <si>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</si>
  <si>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</si>
  <si>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</si>
  <si>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</si>
  <si>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</si>
  <si>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</si>
  <si>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</si>
  <si>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</si>
  <si>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</si>
  <si>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</si>
  <si>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</si>
  <si>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</si>
  <si>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</si>
  <si>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</si>
  <si>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</si>
  <si>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</si>
  <si>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</si>
  <si>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</si>
  <si>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</si>
  <si>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</si>
  <si>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</si>
  <si>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</si>
  <si>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</si>
  <si>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</si>
  <si>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</si>
  <si>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</si>
  <si>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</si>
  <si>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</si>
  <si>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</si>
  <si>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</si>
  <si>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</si>
  <si>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</si>
  <si>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</si>
  <si>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</si>
  <si>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</si>
  <si>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</si>
  <si>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</si>
  <si>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</si>
  <si>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</si>
  <si>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</si>
  <si>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</si>
  <si>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13400_4</t>
    <phoneticPr fontId="5"/>
  </si>
  <si>
    <t>※スキルネームorスキルコメントを表示しない場合
表示しない対象の列にそれぞれ
[表示しない]
と入力してください。</t>
    <phoneticPr fontId="5"/>
  </si>
  <si>
    <t>※B列のeffect_paramについて
スキルネームとスキルコメントの文字数から自動的にenemy_messageを作成し、AC列の参照用コードに入力されたeffect_paramと連結されます。</t>
    <rPh sb="2" eb="3">
      <t>レt</t>
    </rPh>
    <rPh sb="36" eb="39">
      <t>モジス</t>
    </rPh>
    <rPh sb="59" eb="61">
      <t>サクセ</t>
    </rPh>
    <rPh sb="65" eb="66">
      <t>レt</t>
    </rPh>
    <rPh sb="67" eb="70">
      <t>サンショウヨウコーd</t>
    </rPh>
    <phoneticPr fontId="5"/>
  </si>
  <si>
    <t>毎ターン60％：2000ダメージ+赤パネルを最大５つ赤のダメージパネルに変換</t>
    <phoneticPr fontId="5"/>
  </si>
  <si>
    <t>毎ターン40%：の確率で攻撃しない</t>
    <phoneticPr fontId="5"/>
  </si>
  <si>
    <t>開幕：マシンキラー(マシンだと6000ダメージ)</t>
  </si>
  <si>
    <t>2ターン毎に80％の確率：マシンキラー(マシンだと6000ダメージ)</t>
    <phoneticPr fontId="5"/>
  </si>
  <si>
    <t>開幕：スリープ耐性</t>
  </si>
  <si>
    <t>2ターン毎：2500ダメージ+緑のダメージパネル７個生成</t>
    <phoneticPr fontId="5"/>
  </si>
  <si>
    <t>毎ターン50%：1500ダメージ+赤のダメージパネル２個生成</t>
    <phoneticPr fontId="5"/>
  </si>
  <si>
    <t>毎ターン50%：2000ダメージ+青パネルを最大５個赤パネルに変換</t>
    <phoneticPr fontId="5"/>
  </si>
  <si>
    <t>[effect:tolerance, target:myself, turn:-1, count:-1, tolerance_effect:sleep, animation:enemy_tolerance]</t>
    <phoneticPr fontId="5"/>
  </si>
  <si>
    <t>[effect:spread, val:0.43], [effect:force_change_block, new_block:block_red, target:block_blue, count:5, val:0, animation:change_block]</t>
    <phoneticPr fontId="5"/>
  </si>
  <si>
    <t>old</t>
    <phoneticPr fontId="5"/>
  </si>
  <si>
    <t>machine</t>
    <phoneticPr fontId="5"/>
  </si>
  <si>
    <t>other</t>
    <phoneticPr fontId="5"/>
  </si>
  <si>
    <t>スリープ耐性</t>
    <phoneticPr fontId="5"/>
  </si>
  <si>
    <t>power</t>
    <phoneticPr fontId="5"/>
  </si>
  <si>
    <t>全体攻撃+
赤パネルを赤のダメージパネルに5個変換</t>
    <rPh sb="0" eb="4">
      <t>ゼンタ</t>
    </rPh>
    <rPh sb="22" eb="23">
      <t>k</t>
    </rPh>
    <phoneticPr fontId="5"/>
  </si>
  <si>
    <t>種族マシンのユニットに大ダメージの全体攻撃</t>
    <rPh sb="0" eb="2">
      <t>シュゾk</t>
    </rPh>
    <rPh sb="11" eb="12">
      <t>ダ</t>
    </rPh>
    <rPh sb="17" eb="21">
      <t>ゼンタ</t>
    </rPh>
    <phoneticPr fontId="5"/>
  </si>
  <si>
    <t>全体攻撃+
青パネルを赤パネルに5個変換</t>
    <rPh sb="0" eb="4">
      <t>ゼンタ</t>
    </rPh>
    <phoneticPr fontId="5"/>
  </si>
  <si>
    <t>全体攻撃+
ハートパネルを赤パネルに5個変換</t>
    <rPh sb="0" eb="4">
      <t>ゼンタ</t>
    </rPh>
    <rPh sb="19" eb="20">
      <t>k</t>
    </rPh>
    <phoneticPr fontId="5"/>
  </si>
  <si>
    <t>種族マシンのユニットに
大ダメージの2回連続全体攻撃</t>
    <rPh sb="0" eb="2">
      <t>シュゾk</t>
    </rPh>
    <rPh sb="12" eb="13">
      <t>ダ</t>
    </rPh>
    <rPh sb="19" eb="22">
      <t>k</t>
    </rPh>
    <rPh sb="22" eb="26">
      <t>ゼンタ</t>
    </rPh>
    <phoneticPr fontId="5"/>
  </si>
  <si>
    <t>単体攻撃+
赤パネルを赤のダメージパネルに2個変換</t>
    <rPh sb="6" eb="7">
      <t>アカパn</t>
    </rPh>
    <rPh sb="23" eb="25">
      <t>ヘンカン</t>
    </rPh>
    <phoneticPr fontId="5"/>
  </si>
  <si>
    <t>毎ターン70％：3000ダメージ+５ターン低確率で赤パネルが赤のダメージパネルとしてドロップ</t>
    <rPh sb="0" eb="1">
      <t>マイt</t>
    </rPh>
    <phoneticPr fontId="5"/>
  </si>
  <si>
    <t>このフロアには種族マシンのユニットに
大ダメージを与える敵が待ち構えています
その他の種族で編成をしましょう</t>
    <phoneticPr fontId="5"/>
  </si>
  <si>
    <t>燃やすぜェ！！</t>
    <phoneticPr fontId="5"/>
  </si>
  <si>
    <t>自分の尻尾を追っている！</t>
    <rPh sb="0" eb="2">
      <t>ジブn</t>
    </rPh>
    <rPh sb="3" eb="5">
      <t>シッポ</t>
    </rPh>
    <phoneticPr fontId="5"/>
  </si>
  <si>
    <t>[effect:spread, val:0.3], [effect:force_change_block, new_block:block_red, target:block_heart, count:5, val:0, animation:change_block]</t>
    <phoneticPr fontId="5"/>
  </si>
  <si>
    <t>…マテ！マテ！</t>
    <phoneticPr fontId="5"/>
  </si>
  <si>
    <t>キカイ…コワス…！</t>
    <phoneticPr fontId="5"/>
  </si>
  <si>
    <t>カミクダク！！</t>
    <phoneticPr fontId="5"/>
  </si>
  <si>
    <t>トゲトゲぱんちっ！</t>
    <phoneticPr fontId="5"/>
  </si>
  <si>
    <t>丸焦げになってもらおう！</t>
    <rPh sb="1" eb="2">
      <t>マr</t>
    </rPh>
    <phoneticPr fontId="5"/>
  </si>
  <si>
    <t>クリムゾンデザイア</t>
    <phoneticPr fontId="5"/>
  </si>
  <si>
    <t>2回連続攻撃+
緑パネルを緑のダメージパネルに7個変換</t>
    <rPh sb="1" eb="6">
      <t>カイレンゾクコウg</t>
    </rPh>
    <rPh sb="8" eb="9">
      <t>ミドr</t>
    </rPh>
    <rPh sb="13" eb="14">
      <t>ミドr</t>
    </rPh>
    <rPh sb="24" eb="25">
      <t>コ</t>
    </rPh>
    <rPh sb="25" eb="27">
      <t>ヘn</t>
    </rPh>
    <phoneticPr fontId="5"/>
  </si>
  <si>
    <t>いっくよー！</t>
    <phoneticPr fontId="5"/>
  </si>
  <si>
    <t>欲望の炎に飲まれなさい</t>
    <rPh sb="0" eb="2">
      <t>ヨクボ</t>
    </rPh>
    <rPh sb="5" eb="6">
      <t>ノマr</t>
    </rPh>
    <phoneticPr fontId="5"/>
  </si>
  <si>
    <t>敵がダメージパネル変換を多用します
変換スキルやフィーバーを使用することで
ダメージを受けずに対応できます</t>
    <phoneticPr fontId="5"/>
  </si>
  <si>
    <t>フェニックスが変換するダメージパネルは
壊すとダメージを受けてしまいます
フェニックスを素早く倒して
変換スキルを防ぐと有利です</t>
    <phoneticPr fontId="5"/>
  </si>
  <si>
    <t>skip</t>
    <phoneticPr fontId="5"/>
  </si>
  <si>
    <t>singleonly</t>
  </si>
  <si>
    <t>clear</t>
  </si>
  <si>
    <t>null</t>
  </si>
  <si>
    <t>2016-5-27 0:00:00</t>
  </si>
  <si>
    <t>[effect:spread, val:0.3], [effect:force_change_block, new_block:damage, target:block_red, count:5, val:0.05, animation:change_block]</t>
    <phoneticPr fontId="5"/>
  </si>
  <si>
    <t>[effect:rush, count:2, val:0.5], [effect:force_change_block, new_block:damage, target:block_green, count:7, val:0.06, animation:change_block]</t>
    <phoneticPr fontId="5"/>
  </si>
  <si>
    <t>[effect:critical, val:1.0], [effect:force_change_block, new_block:damage, target:block_red, count:2, val:0.1, animation:change_block]</t>
    <phoneticPr fontId="5"/>
  </si>
  <si>
    <t>[effect:damage_anti_tribe, target:unit_all, tribe:machine, val1:1.0, val2:0.15]</t>
    <phoneticPr fontId="5"/>
  </si>
  <si>
    <t>[effect:damage_anti_tribe, target:unit_all, tribe:machine, val1:0.4, val2:0.07], [effect:damage_anti_tribe, target:unit_all, tribe:machine, val1:0.4, val2:0.07]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</si>
</sst>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4"/>
      <color theme="0"/>
      <name val="ＭＳ Ｐゴシック"/>
      <family val="2"/>
      <charset val="128"/>
      <scheme val="minor"/>
    </font>
    <font>
      <outline/>
      <sz val="10"/>
      <color theme="1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</borders>
  <cellStyleXfs count="83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7" borderId="0" xfId="0" applyFont="1" applyFill="1" applyBorder="1" applyAlignment="1">
      <alignment horizontal="center" vertical="center" wrapText="1"/>
    </xf>
    <xf numFmtId="0" fontId="54" fillId="0" borderId="1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left" vertical="center"/>
    </xf>
    <xf numFmtId="0" fontId="11" fillId="0" borderId="11" xfId="0" applyFont="1" applyFill="1" applyBorder="1" applyAlignment="1">
      <alignment horizontal="left" vertical="center"/>
    </xf>
    <xf numFmtId="0" fontId="53" fillId="7" borderId="0" xfId="0" applyFont="1" applyFill="1" applyBorder="1" applyAlignment="1">
      <alignment horizontal="center" vertical="center" wrapText="1"/>
    </xf>
  </cellXfs>
  <cellStyles count="83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265</v>
      </c>
      <c r="B2" s="55" t="s">
        <v>106</v>
      </c>
      <c r="C2" s="60" t="s">
        <v>252</v>
      </c>
      <c r="D2" s="55" t="s">
        <v>107</v>
      </c>
      <c r="E2" s="54" t="str">
        <f>B2&amp;C2&amp;D2</f>
        <v>floors_13400_4.tmp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265</v>
      </c>
      <c r="B3" s="55" t="s">
        <v>109</v>
      </c>
      <c r="C3" s="60" t="s">
        <v>252</v>
      </c>
      <c r="D3" s="55" t="s">
        <v>107</v>
      </c>
      <c r="E3" s="54" t="str">
        <f>B3&amp;C3&amp;D3</f>
        <v>enemy_habitats_13400_4.tmp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177</v>
      </c>
    </row>
    <row r="4" spans="1:30" x14ac:dyDescent="0.15">
      <c r="A4" s="59" t="s">
        <v>265</v>
      </c>
      <c r="B4" s="55" t="s">
        <v>111</v>
      </c>
      <c r="C4" s="60" t="s">
        <v>252</v>
      </c>
      <c r="D4" s="55" t="s">
        <v>107</v>
      </c>
      <c r="E4" s="54" t="str">
        <f>B4&amp;C4&amp;D4</f>
        <v>enemy_habitat_S_13400_4.tmp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265</v>
      </c>
      <c r="B5" s="55" t="s">
        <v>113</v>
      </c>
      <c r="C5" s="60" t="s">
        <v>252</v>
      </c>
      <c r="D5" s="55" t="s">
        <v>107</v>
      </c>
      <c r="E5" s="54" t="str">
        <f>B5&amp;C5&amp;D5</f>
        <v>enemy_skill_sets_13400_4.tmp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265</v>
      </c>
      <c r="B6" s="55" t="s">
        <v>115</v>
      </c>
      <c r="C6" s="60" t="s">
        <v>252</v>
      </c>
      <c r="D6" s="55" t="s">
        <v>116</v>
      </c>
      <c r="E6" s="54" t="str">
        <f t="shared" ref="E6:E10" si="0">B6&amp;C6&amp;D6</f>
        <v>enemy_skills_tmp_13400_4.tmp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265</v>
      </c>
      <c r="B7" s="55" t="s">
        <v>117</v>
      </c>
      <c r="C7" s="60" t="s">
        <v>252</v>
      </c>
      <c r="D7" s="55" t="s">
        <v>107</v>
      </c>
      <c r="E7" s="54" t="str">
        <f>B7&amp;C7&amp;D7</f>
        <v>enemy_skills_i18n_13400_4.tmp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265</v>
      </c>
      <c r="B8" s="55" t="s">
        <v>119</v>
      </c>
      <c r="C8" s="60" t="s">
        <v>252</v>
      </c>
      <c r="D8" s="55" t="s">
        <v>120</v>
      </c>
      <c r="E8" s="54" t="str">
        <f t="shared" si="0"/>
        <v>enemy_skill_triggers_13400_4.tmp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265</v>
      </c>
      <c r="B9" s="65" t="s">
        <v>176</v>
      </c>
      <c r="C9" s="60" t="s">
        <v>252</v>
      </c>
      <c r="D9" s="65" t="s">
        <v>170</v>
      </c>
      <c r="E9" s="66" t="str">
        <f t="shared" si="0"/>
        <v>stage_bug_bonuses_13400_4.tmp</v>
      </c>
      <c r="F9" s="65" t="s">
        <v>171</v>
      </c>
      <c r="G9" s="62" t="s">
        <v>149</v>
      </c>
      <c r="H9" s="62" t="s">
        <v>172</v>
      </c>
      <c r="I9" s="62" t="s">
        <v>173</v>
      </c>
      <c r="J9" s="64" t="s">
        <v>174</v>
      </c>
      <c r="K9" s="62" t="s">
        <v>175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292</v>
      </c>
      <c r="B10" s="65" t="s">
        <v>198</v>
      </c>
      <c r="C10" s="60" t="s">
        <v>252</v>
      </c>
      <c r="D10" s="65" t="s">
        <v>179</v>
      </c>
      <c r="E10" s="66" t="str">
        <f t="shared" si="0"/>
        <v>stage_hints_data_c_13400_4.tmp</v>
      </c>
      <c r="F10" s="65" t="s">
        <v>206</v>
      </c>
      <c r="G10" s="70" t="s">
        <v>180</v>
      </c>
      <c r="H10" s="70" t="s">
        <v>172</v>
      </c>
      <c r="I10" s="71" t="s">
        <v>181</v>
      </c>
      <c r="J10" s="64" t="s">
        <v>182</v>
      </c>
      <c r="K10" s="64" t="s">
        <v>183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265</v>
      </c>
      <c r="B11" s="65" t="s">
        <v>199</v>
      </c>
      <c r="C11" s="60" t="s">
        <v>252</v>
      </c>
      <c r="D11" s="65" t="s">
        <v>170</v>
      </c>
      <c r="E11" s="66" t="str">
        <f t="shared" ref="E11:E13" si="1">B11&amp;C11&amp;D11</f>
        <v>stage_hints_data_f_13400_4.tmp</v>
      </c>
      <c r="F11" s="65" t="s">
        <v>207</v>
      </c>
      <c r="G11" s="70" t="s">
        <v>180</v>
      </c>
      <c r="H11" s="70" t="s">
        <v>172</v>
      </c>
      <c r="I11" s="71" t="s">
        <v>181</v>
      </c>
      <c r="J11" s="64" t="s">
        <v>182</v>
      </c>
      <c r="K11" s="64" t="s">
        <v>183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265</v>
      </c>
      <c r="B12" s="65" t="s">
        <v>200</v>
      </c>
      <c r="C12" s="60" t="s">
        <v>252</v>
      </c>
      <c r="D12" s="65" t="s">
        <v>170</v>
      </c>
      <c r="E12" s="66" t="str">
        <f t="shared" si="1"/>
        <v>stage_hints_i18n_13400_4.tmp</v>
      </c>
      <c r="F12" s="65" t="s">
        <v>208</v>
      </c>
      <c r="G12" s="71" t="s">
        <v>201</v>
      </c>
      <c r="H12" s="90" t="s">
        <v>202</v>
      </c>
      <c r="I12" s="70" t="s">
        <v>203</v>
      </c>
      <c r="J12" s="98" t="s">
        <v>204</v>
      </c>
      <c r="K12" s="64" t="s">
        <v>205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265</v>
      </c>
      <c r="B13" s="65" t="s">
        <v>244</v>
      </c>
      <c r="C13" s="60" t="s">
        <v>252</v>
      </c>
      <c r="D13" s="65" t="s">
        <v>225</v>
      </c>
      <c r="E13" s="66" t="str">
        <f t="shared" si="1"/>
        <v>stage_bonuses_13400_4.tmp</v>
      </c>
      <c r="F13" s="65" t="s">
        <v>224</v>
      </c>
      <c r="G13" s="70" t="s">
        <v>226</v>
      </c>
      <c r="H13" s="70" t="s">
        <v>227</v>
      </c>
      <c r="I13" s="70" t="s">
        <v>228</v>
      </c>
      <c r="J13" s="70" t="s">
        <v>229</v>
      </c>
      <c r="K13" s="70" t="s">
        <v>230</v>
      </c>
      <c r="L13" s="70" t="s">
        <v>231</v>
      </c>
      <c r="M13" s="70" t="s">
        <v>232</v>
      </c>
      <c r="N13" s="70" t="s">
        <v>233</v>
      </c>
      <c r="O13" s="70" t="s">
        <v>234</v>
      </c>
      <c r="P13" s="70" t="s">
        <v>235</v>
      </c>
      <c r="Q13" s="70" t="s">
        <v>236</v>
      </c>
      <c r="R13" s="70" t="s">
        <v>237</v>
      </c>
      <c r="S13" s="70" t="s">
        <v>238</v>
      </c>
      <c r="T13" s="70" t="s">
        <v>239</v>
      </c>
      <c r="U13" s="70" t="s">
        <v>240</v>
      </c>
      <c r="V13" s="70" t="s">
        <v>241</v>
      </c>
      <c r="W13" s="70" t="s">
        <v>242</v>
      </c>
      <c r="X13" s="70" t="s">
        <v>243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G3" sqref="G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13400_4-1</v>
      </c>
      <c r="B2" s="15" t="str">
        <f>IF(COUNTIF(enemy_habitats!$H:$H,A2),"OK","NG")</f>
        <v>OK</v>
      </c>
      <c r="C2" s="10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4</v>
      </c>
      <c r="G2" s="21" t="str">
        <f>C2&amp;"_"&amp;F2</f>
        <v>13400_4</v>
      </c>
      <c r="H2" s="14" t="str">
        <f ca="1">VLOOKUP($G2,OFFSET([2]stages!$A$1,0,0,COUNTA([2]stages!$A:$A),MATCH(H$1,[2]stages!$2:$2,0)-MATCH($G$1,[2]stages!$2:$2,0)+1),MATCH(H$1,[2]stages!$2:$2,0)-MATCH($G$1,[2]stages!$2:$2,0)+1,FALSE)</f>
        <v>4階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 t="shared" ref="A3:A4" si="0">G3&amp;"-"&amp;I3</f>
        <v>13400_4-2</v>
      </c>
      <c r="B3" s="15" t="str">
        <f>IF(COUNTIF(enemy_habitats!$H:$H,A3),"OK","NG")</f>
        <v>OK</v>
      </c>
      <c r="C3" s="10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4</v>
      </c>
      <c r="G3" s="21" t="str">
        <f t="shared" ref="G3:G4" si="1">C3&amp;"_"&amp;F3</f>
        <v>13400_4</v>
      </c>
      <c r="H3" s="14" t="str">
        <f ca="1">VLOOKUP($G3,OFFSET([2]stages!$A$1,0,0,COUNTA([2]stages!$A:$A),MATCH(H$1,[2]stages!$2:$2,0)-MATCH($G$1,[2]stages!$2:$2,0)+1),MATCH(H$1,[2]stages!$2:$2,0)-MATCH($G$1,[2]stages!$2:$2,0)+1,FALSE)</f>
        <v>4階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13400_4-3</v>
      </c>
      <c r="B4" s="15" t="str">
        <f>IF(COUNTIF(enemy_habitats!$H:$H,A4),"OK","NG")</f>
        <v>OK</v>
      </c>
      <c r="C4" s="107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-エルフラム-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4</v>
      </c>
      <c r="G4" s="21" t="str">
        <f t="shared" si="1"/>
        <v>13400_4</v>
      </c>
      <c r="H4" s="14" t="str">
        <f ca="1">VLOOKUP($G4,OFFSET([2]stages!$A$1,0,0,COUNTA([2]stages!$A:$A),MATCH(H$1,[2]stages!$2:$2,0)-MATCH($G$1,[2]stages!$2:$2,0)+1),MATCH(H$1,[2]stages!$2:$2,0)-MATCH($G$1,[2]stages!$2:$2,0)+1,FALSE)</f>
        <v>4階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9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5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245</v>
      </c>
      <c r="U1" s="24" t="s">
        <v>50</v>
      </c>
      <c r="V1" s="99" t="s">
        <v>246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13400_4-1/840&lt;lv25&gt;s2</v>
      </c>
      <c r="B2" s="20">
        <v>13400</v>
      </c>
      <c r="C2" s="111">
        <v>4</v>
      </c>
      <c r="D2" s="2" t="str">
        <f>B2&amp;"_"&amp;C2</f>
        <v>13400_4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4階 コスト制限なし</v>
      </c>
      <c r="G2" s="19">
        <v>1</v>
      </c>
      <c r="H2" s="14" t="str">
        <f>B2&amp;"_"&amp;C2&amp;"-"&amp;G2</f>
        <v>13400_4-1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4">
        <v>840</v>
      </c>
      <c r="M2" s="103" t="str">
        <f ca="1">VLOOKUP($L2,OFFSET([3]enemies!$A$1,0,0,COUNTA([3]enemies!$A:$A),MATCH(M$1,[3]enemies!$1:$1,0)-MATCH($L$1,[3]enemies!$1:$1,0)+1),MATCH(M$1,[3]enemies!$1:$1,0)-MATCH($L$1,[3]enemies!$1:$1,0)+1,FALSE)</f>
        <v>フェニックス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25</v>
      </c>
      <c r="S2" s="23">
        <v>1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49953</v>
      </c>
      <c r="U2" s="23">
        <v>1.2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3075.6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全体攻撃+_x000D_赤パネルを赤のダメージパネルに5個変換</v>
      </c>
      <c r="Y2" s="108">
        <v>13400100</v>
      </c>
      <c r="Z2" s="6">
        <v>1</v>
      </c>
      <c r="AA2" s="6">
        <v>100</v>
      </c>
      <c r="AB2" s="6">
        <v>1</v>
      </c>
      <c r="AC2" s="102">
        <v>2</v>
      </c>
      <c r="AD2" s="22">
        <f t="shared" ref="AD2" si="1">L2</f>
        <v>840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フェニックス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7" si="2">B3&amp;"_"&amp;C3&amp;"-"&amp;G3&amp;"/"&amp;L3&amp;"&lt;lv"&amp;R3&amp;"&gt;s"&amp;AC3</f>
        <v>13400_4-1/736&lt;lv25&gt;s3</v>
      </c>
      <c r="B3" s="20">
        <v>13400</v>
      </c>
      <c r="C3" s="111">
        <v>4</v>
      </c>
      <c r="D3" s="2" t="str">
        <f t="shared" ref="D3:D7" si="3">B3&amp;"_"&amp;C3</f>
        <v>13400_4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4階 コスト制限なし</v>
      </c>
      <c r="G3" s="19">
        <v>1</v>
      </c>
      <c r="H3" s="14" t="str">
        <f t="shared" ref="H3:H7" si="4">B3&amp;"_"&amp;C3&amp;"-"&amp;G3</f>
        <v>13400_4-1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4">
        <v>736</v>
      </c>
      <c r="M3" s="103" t="str">
        <f ca="1">VLOOKUP($L3,OFFSET([3]enemies!$A$1,0,0,COUNTA([3]enemies!$A:$A),MATCH(M$1,[3]enemies!$1:$1,0)-MATCH($L$1,[3]enemies!$1:$1,0)+1),MATCH(M$1,[3]enemies!$1:$1,0)-MATCH($L$1,[3]enemies!$1:$1,0)+1,FALSE)</f>
        <v>オルトロス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25</v>
      </c>
      <c r="S3" s="23">
        <v>1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49953</v>
      </c>
      <c r="U3" s="23">
        <v>1.2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3075.6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全体攻撃+_x000D_ハートパネルを赤パネルに5個変換</v>
      </c>
      <c r="Y3" s="108">
        <v>13400101</v>
      </c>
      <c r="Z3" s="6">
        <v>1</v>
      </c>
      <c r="AA3" s="6">
        <v>100</v>
      </c>
      <c r="AB3" s="6">
        <v>0</v>
      </c>
      <c r="AC3" s="102">
        <v>3</v>
      </c>
      <c r="AD3" s="22">
        <f t="shared" ref="AD3:AD7" si="5">L3</f>
        <v>736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オルトロス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2">
        <f t="shared" ref="AI3:AI7" ca="1" si="6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2"/>
        <v>13400_4-2/600&lt;lv25&gt;s1</v>
      </c>
      <c r="B4" s="20">
        <v>13400</v>
      </c>
      <c r="C4" s="111">
        <v>4</v>
      </c>
      <c r="D4" s="2" t="str">
        <f t="shared" si="3"/>
        <v>13400_4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4階 コスト制限なし</v>
      </c>
      <c r="G4" s="19">
        <v>2</v>
      </c>
      <c r="H4" s="14" t="str">
        <f t="shared" si="4"/>
        <v>13400_4-2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4">
        <v>600</v>
      </c>
      <c r="M4" s="103" t="str">
        <f ca="1">VLOOKUP($L4,OFFSET([3]enemies!$A$1,0,0,COUNTA([3]enemies!$A:$A),MATCH(M$1,[3]enemies!$1:$1,0)-MATCH($L$1,[3]enemies!$1:$1,0)+1),MATCH(M$1,[3]enemies!$1:$1,0)-MATCH($L$1,[3]enemies!$1:$1,0)+1,FALSE)</f>
        <v>界下に潜む蛇 ニーズヘッグ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25</v>
      </c>
      <c r="S4" s="23">
        <v>1.5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60615</v>
      </c>
      <c r="U4" s="23">
        <v>1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3853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自分の尻尾を追っている！</v>
      </c>
      <c r="Y4" s="108">
        <v>13400102</v>
      </c>
      <c r="Z4" s="6">
        <v>1</v>
      </c>
      <c r="AA4" s="6">
        <v>100</v>
      </c>
      <c r="AB4" s="6">
        <v>0</v>
      </c>
      <c r="AC4" s="102">
        <v>1</v>
      </c>
      <c r="AD4" s="22">
        <f t="shared" si="5"/>
        <v>600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界下に潜む蛇 ニーズヘッグ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2">
        <f t="shared" ca="1" si="6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2"/>
        <v>13400_4-2/504&lt;lv25&gt;s1</v>
      </c>
      <c r="B5" s="20">
        <v>13400</v>
      </c>
      <c r="C5" s="111">
        <v>4</v>
      </c>
      <c r="D5" s="2" t="str">
        <f t="shared" si="3"/>
        <v>13400_4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-エルフラム-</v>
      </c>
      <c r="F5" s="4" t="str">
        <f ca="1">VLOOKUP($D5,OFFSET([2]stages!$A$1,0,0,COUNTA([2]stages!$A:$A),MATCH(F$1,[2]stages!$2:$2,0)-MATCH($D$1,[2]stages!$2:$2,0)+1),MATCH(F$1,[2]stages!$2:$2,0)-MATCH($D$1,[2]stages!$2:$2,0)+1,FALSE)</f>
        <v>4階 コスト制限なし</v>
      </c>
      <c r="G5" s="19">
        <v>2</v>
      </c>
      <c r="H5" s="14" t="str">
        <f t="shared" si="4"/>
        <v>13400_4-2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4">
        <v>504</v>
      </c>
      <c r="M5" s="103" t="str">
        <f ca="1">VLOOKUP($L5,OFFSET([3]enemies!$A$1,0,0,COUNTA([3]enemies!$A:$A),MATCH(M$1,[3]enemies!$1:$1,0)-MATCH($L$1,[3]enemies!$1:$1,0)+1),MATCH(M$1,[3]enemies!$1:$1,0)-MATCH($L$1,[3]enemies!$1:$1,0)+1,FALSE)</f>
        <v>ハイディン・オーガ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25</v>
      </c>
      <c r="S5" s="23">
        <v>1.2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42166.799999999996</v>
      </c>
      <c r="U5" s="23">
        <v>1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3853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種族マシンのユニットに大ダメージの全体攻撃</v>
      </c>
      <c r="Y5" s="108">
        <v>13400103</v>
      </c>
      <c r="Z5" s="6">
        <v>1</v>
      </c>
      <c r="AA5" s="6">
        <v>100</v>
      </c>
      <c r="AB5" s="6">
        <v>1</v>
      </c>
      <c r="AC5" s="102">
        <v>1</v>
      </c>
      <c r="AD5" s="22">
        <f t="shared" si="5"/>
        <v>504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ハイディン・オーガ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2">
        <f t="shared" ca="1" si="6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2"/>
        <v>13400_4-3/182&lt;lv25&gt;s2</v>
      </c>
      <c r="B6" s="20">
        <v>13400</v>
      </c>
      <c r="C6" s="111">
        <v>4</v>
      </c>
      <c r="D6" s="2" t="str">
        <f t="shared" si="3"/>
        <v>13400_4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-エルフラム-</v>
      </c>
      <c r="F6" s="4" t="str">
        <f ca="1">VLOOKUP($D6,OFFSET([2]stages!$A$1,0,0,COUNTA([2]stages!$A:$A),MATCH(F$1,[2]stages!$2:$2,0)-MATCH($D$1,[2]stages!$2:$2,0)+1),MATCH(F$1,[2]stages!$2:$2,0)-MATCH($D$1,[2]stages!$2:$2,0)+1,FALSE)</f>
        <v>4階 コスト制限なし</v>
      </c>
      <c r="G6" s="19">
        <v>3</v>
      </c>
      <c r="H6" s="14" t="str">
        <f t="shared" si="4"/>
        <v>13400_4-3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04">
        <v>182</v>
      </c>
      <c r="M6" s="103" t="str">
        <f ca="1">VLOOKUP($L6,OFFSET([3]enemies!$A$1,0,0,COUNTA([3]enemies!$A:$A),MATCH(M$1,[3]enemies!$1:$1,0)-MATCH($L$1,[3]enemies!$1:$1,0)+1),MATCH(M$1,[3]enemies!$1:$1,0)-MATCH($L$1,[3]enemies!$1:$1,0)+1,FALSE)</f>
        <v>放蕩者 ベヒモス</v>
      </c>
      <c r="N6" s="16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25</v>
      </c>
      <c r="S6" s="23">
        <v>1.3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66237.600000000006</v>
      </c>
      <c r="U6" s="23">
        <v>1.3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3200.6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6" s="108">
        <v>13400104</v>
      </c>
      <c r="Z6" s="6">
        <v>1</v>
      </c>
      <c r="AA6" s="6">
        <v>100</v>
      </c>
      <c r="AB6" s="6">
        <v>1</v>
      </c>
      <c r="AC6" s="102">
        <v>2</v>
      </c>
      <c r="AD6" s="22">
        <f t="shared" si="5"/>
        <v>182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放蕩者 ベヒモス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6" s="7">
        <v>1</v>
      </c>
      <c r="AI6" s="22">
        <f t="shared" ca="1" si="6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2"/>
        <v>13400_4-3/251&lt;lv25&gt;s1</v>
      </c>
      <c r="B7" s="20">
        <v>13400</v>
      </c>
      <c r="C7" s="111">
        <v>4</v>
      </c>
      <c r="D7" s="2" t="str">
        <f t="shared" si="3"/>
        <v>13400_4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-エルフラム-</v>
      </c>
      <c r="F7" s="4" t="str">
        <f ca="1">VLOOKUP($D7,OFFSET([2]stages!$A$1,0,0,COUNTA([2]stages!$A:$A),MATCH(F$1,[2]stages!$2:$2,0)-MATCH($D$1,[2]stages!$2:$2,0)+1),MATCH(F$1,[2]stages!$2:$2,0)-MATCH($D$1,[2]stages!$2:$2,0)+1,FALSE)</f>
        <v>4階 コスト制限なし</v>
      </c>
      <c r="G7" s="19">
        <v>3</v>
      </c>
      <c r="H7" s="14" t="str">
        <f t="shared" si="4"/>
        <v>13400_4-3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04">
        <v>251</v>
      </c>
      <c r="M7" s="103" t="str">
        <f ca="1">VLOOKUP($L7,OFFSET([3]enemies!$A$1,0,0,COUNTA([3]enemies!$A:$A),MATCH(M$1,[3]enemies!$1:$1,0)-MATCH($L$1,[3]enemies!$1:$1,0)+1),MATCH(M$1,[3]enemies!$1:$1,0)-MATCH($L$1,[3]enemies!$1:$1,0)+1,FALSE)</f>
        <v>強欲 マンモン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25</v>
      </c>
      <c r="S7" s="23">
        <v>1.6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52915.200000000004</v>
      </c>
      <c r="U7" s="23">
        <v>0.6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1677.6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単体攻撃+_x000D_赤パネルを赤のダメージパネルに2個変換</v>
      </c>
      <c r="Y7" s="108">
        <v>13400105</v>
      </c>
      <c r="Z7" s="6">
        <v>1</v>
      </c>
      <c r="AA7" s="6">
        <v>100</v>
      </c>
      <c r="AB7" s="6">
        <v>0</v>
      </c>
      <c r="AC7" s="102">
        <v>1</v>
      </c>
      <c r="AD7" s="22">
        <f t="shared" si="5"/>
        <v>251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強欲 マンモン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7" s="7">
        <v>1</v>
      </c>
      <c r="AI7" s="22">
        <f t="shared" ca="1" si="6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9" sqref="S29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245</v>
      </c>
      <c r="V1" s="24" t="s">
        <v>50</v>
      </c>
      <c r="W1" s="99" t="s">
        <v>246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9" sqref="E9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10" si="0">B2&amp;"_"&amp;C2</f>
        <v>13400100_13400100</v>
      </c>
      <c r="B2" s="45">
        <v>13400100</v>
      </c>
      <c r="C2" s="45">
        <v>13400100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丸焦げになってもらおう！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全体攻撃+_x000D_赤パネルを赤のダメージパネルに5個変換</v>
      </c>
      <c r="F2" s="45">
        <v>13400100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" s="45"/>
      <c r="Q2" s="45"/>
      <c r="R2" s="45"/>
    </row>
    <row r="3" spans="1:18" ht="21" customHeight="1" x14ac:dyDescent="0.15">
      <c r="A3" s="37" t="str">
        <f t="shared" si="0"/>
        <v>13400101_13400101</v>
      </c>
      <c r="B3" s="45">
        <v>13400101</v>
      </c>
      <c r="C3" s="45">
        <v>13400101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燃やすぜェ！！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全体攻撃+_x000D_ハートパネルを赤パネルに5個変換</v>
      </c>
      <c r="F3" s="45">
        <v>13400101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" s="45"/>
      <c r="Q3" s="45"/>
      <c r="R3" s="45"/>
    </row>
    <row r="4" spans="1:18" ht="21" customHeight="1" x14ac:dyDescent="0.15">
      <c r="A4" s="37" t="str">
        <f t="shared" si="0"/>
        <v>13400102_13400102</v>
      </c>
      <c r="B4" s="45">
        <v>13400102</v>
      </c>
      <c r="C4" s="45">
        <v>13400102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…マテ！マテ！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自分の尻尾を追っている！</v>
      </c>
      <c r="F4" s="45">
        <v>13400102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5"/>
      <c r="Q4" s="45"/>
      <c r="R4" s="45"/>
    </row>
    <row r="5" spans="1:18" ht="21" customHeight="1" x14ac:dyDescent="0.15">
      <c r="A5" s="37" t="str">
        <f t="shared" si="0"/>
        <v>13400103_13400103</v>
      </c>
      <c r="B5" s="45">
        <v>13400103</v>
      </c>
      <c r="C5" s="45">
        <v>13400103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キカイ…コワス…！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5" s="45">
        <v>13400103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0"/>
        <v>13400103_13400104</v>
      </c>
      <c r="B6" s="45">
        <v>13400103</v>
      </c>
      <c r="C6" s="45">
        <v>13400104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カミクダク！！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種族マシンのユニットに_x000D_大ダメージの2回連続全体攻撃</v>
      </c>
      <c r="F6" s="45">
        <v>13400104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" s="45"/>
      <c r="Q6" s="45"/>
      <c r="R6" s="45"/>
    </row>
    <row r="7" spans="1:18" ht="21" customHeight="1" x14ac:dyDescent="0.15">
      <c r="A7" s="37" t="str">
        <f t="shared" si="0"/>
        <v>13400104_13400105</v>
      </c>
      <c r="B7" s="45">
        <v>13400104</v>
      </c>
      <c r="C7" s="45">
        <v>13400105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いっくよー！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7" s="45">
        <v>13400105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0"/>
        <v>13400104_13400106</v>
      </c>
      <c r="B8" s="45">
        <v>13400104</v>
      </c>
      <c r="C8" s="45">
        <v>13400106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トゲトゲぱんちっ！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2回連続攻撃+_x000D_緑パネルを緑のダメージパネルに7個変換</v>
      </c>
      <c r="F8" s="45">
        <v>13400106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0"/>
        <v>13400105_13400107</v>
      </c>
      <c r="B9" s="45">
        <v>13400105</v>
      </c>
      <c r="C9" s="45">
        <v>13400107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クリムゾンデザイア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単体攻撃+_x000D_赤パネルを赤のダメージパネルに2個変換</v>
      </c>
      <c r="F9" s="45">
        <v>13400107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5"/>
      <c r="Q9" s="45"/>
      <c r="R9" s="45"/>
    </row>
    <row r="10" spans="1:18" ht="21" customHeight="1" x14ac:dyDescent="0.15">
      <c r="A10" s="37" t="str">
        <f t="shared" si="0"/>
        <v>13400105_13400108</v>
      </c>
      <c r="B10" s="45">
        <v>13400105</v>
      </c>
      <c r="C10" s="45">
        <v>13400108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欲望の炎に飲まれなさい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全体攻撃+_x000D_青パネルを赤パネルに5個変換</v>
      </c>
      <c r="F10" s="45">
        <v>13400108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5"/>
      <c r="Q10" s="45"/>
      <c r="R10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I13"/>
  <sheetViews>
    <sheetView showGridLines="0" tabSelected="1" topLeftCell="D1" workbookViewId="0">
      <pane ySplit="1" topLeftCell="A2" activePane="bottomLeft" state="frozenSplit"/>
      <selection pane="bottomLeft" activeCell="S6" sqref="S6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3" style="47" customWidth="1"/>
    <col min="3" max="3" width="7.33203125" style="47" customWidth="1"/>
    <col min="4" max="4" width="4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customWidth="1"/>
    <col min="28" max="28" width="18.66406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5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250</v>
      </c>
    </row>
    <row r="2" spans="1:35" ht="31" customHeight="1" x14ac:dyDescent="0.15">
      <c r="A2" s="45">
        <v>13400100</v>
      </c>
      <c r="B2" s="46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","&amp;AC2,AC2)</f>
        <v>[effect:enemy_message, val1:1.2, val2:2.4],[effect:spread, val:0.3], [effect:force_change_block, new_block:damage, target:block_red, count:5, val:0.05, animation:change_block]</v>
      </c>
      <c r="C2" s="48">
        <v>3</v>
      </c>
      <c r="D2" s="48" t="s">
        <v>249</v>
      </c>
      <c r="E2" s="112" t="s">
        <v>285</v>
      </c>
      <c r="F2" s="49" t="s">
        <v>270</v>
      </c>
      <c r="G2" s="61" t="str">
        <f>IFERROR(LEFT(B2,FIND("],",B2)),B2)</f>
        <v>[effect:enemy_message, val1:1.2, val2:2.4]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 t="shared" ref="M2:M10" si="0">IFERROR(RIGHT(B2,LEN(B2)-FIND("],",B2)-1),"none")</f>
        <v>[effect:spread, val:0.3], [effect:force_change_block, new_block:damage, target:block_red, count:5, val:0.05, animation:change_block]</v>
      </c>
      <c r="N2" s="46" t="str">
        <f>IFERROR(LEFT(M2,FIND("],",M2)+S9),M2)</f>
        <v>[effect:spread, val:0.3], [effect:force_change_block, new_block:damage, target:block_red, count:5, val:0.05, animation:change_block]</v>
      </c>
      <c r="O2" s="61">
        <f>FIND("effect:",N2)+7</f>
        <v>9</v>
      </c>
      <c r="P2" s="61">
        <f>IFERROR(FIND(",",N2),LEN(N2))</f>
        <v>15</v>
      </c>
      <c r="Q2" s="61">
        <f>FIND("target:",N2)+7</f>
        <v>80</v>
      </c>
      <c r="R2" s="61">
        <f>FIND(",",N2,P2+1)</f>
        <v>25</v>
      </c>
      <c r="S2" s="61" t="str">
        <f>IFERROR(VLOOKUP(MID(N2,Q2,R2-Q2),[5]skilldef!$C:$D,2,FALSE),"-") &amp; " / " &amp; IFERROR(VLOOKUP(MID(N2,O2,P2-O2),[5]skilldef!$A:$B,2,FALSE),"-")</f>
        <v>- / 全体攻撃</v>
      </c>
      <c r="T2" s="46" t="str">
        <f>IFERROR(RIGHT(M2,LEN(M2)-FIND("],",M2)-1),"none")</f>
        <v xml:space="preserve"> [effect:force_change_block, new_block:damage, target:block_red, count:5, val:0.05, animation:change_block]</v>
      </c>
      <c r="U2" s="61">
        <f>FIND("effect:",T2)+7</f>
        <v>10</v>
      </c>
      <c r="V2" s="61">
        <f>IFERROR(FIND(",",T2),LEN(T2))</f>
        <v>28</v>
      </c>
      <c r="W2" s="61">
        <f>FIND("target:",T2)+7</f>
        <v>55</v>
      </c>
      <c r="X2" s="61">
        <f>FIND(",",T2,V2+1)</f>
        <v>46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1" t="s">
        <v>297</v>
      </c>
    </row>
    <row r="3" spans="1:35" ht="31" customHeight="1" x14ac:dyDescent="0.15">
      <c r="A3" s="45">
        <v>13400101</v>
      </c>
      <c r="B3" s="46" t="str">
        <f t="shared" ref="B3:B10" si="1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","&amp;AC3,AC3)</f>
        <v>[effect:enemy_message, val1:1.2, val2:2.1],[effect:spread, val:0.3], [effect:force_change_block, new_block:block_red, target:block_heart, count:5, val:0, animation:change_block]</v>
      </c>
      <c r="C3" s="48">
        <v>3</v>
      </c>
      <c r="D3" s="48" t="s">
        <v>249</v>
      </c>
      <c r="E3" s="113" t="s">
        <v>278</v>
      </c>
      <c r="F3" s="49" t="s">
        <v>273</v>
      </c>
      <c r="G3" s="61" t="str">
        <f t="shared" ref="G3:G9" si="2">IFERROR(LEFT(B3,FIND("],",B3)),B3)</f>
        <v>[effect:enemy_message, val1:1.2, val2:2.1]</v>
      </c>
      <c r="H3" s="61">
        <f t="shared" ref="H3:H10" si="3">FIND("effect:",G3)+7</f>
        <v>9</v>
      </c>
      <c r="I3" s="61">
        <f t="shared" ref="I3:I9" si="4">IFERROR(FIND(",",G3),LEN(G3))</f>
        <v>22</v>
      </c>
      <c r="J3" s="61" t="e">
        <f t="shared" ref="J3:J9" si="5">FIND("target:",G3)+7</f>
        <v>#VALUE!</v>
      </c>
      <c r="K3" s="61">
        <f t="shared" ref="K3:K9" si="6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si="0"/>
        <v>[effect:spread, val:0.3], [effect:force_change_block, new_block:block_red, target:block_heart, count:5, val:0, animation:change_block]</v>
      </c>
      <c r="N3" s="46" t="str">
        <f>IFERROR(LEFT(M3,FIND("],",M3)+S10),M3)</f>
        <v>[effect:spread, val:0.3], [effect:force_change_block, new_block:block_red, target:block_heart, count:5, val:0, animation:change_block]</v>
      </c>
      <c r="O3" s="61">
        <f t="shared" ref="O3:O10" si="7">FIND("effect:",N3)+7</f>
        <v>9</v>
      </c>
      <c r="P3" s="61">
        <f t="shared" ref="P3:P9" si="8">IFERROR(FIND(",",N3),LEN(N3))</f>
        <v>15</v>
      </c>
      <c r="Q3" s="61">
        <f t="shared" ref="Q3:Q9" si="9">FIND("target:",N3)+7</f>
        <v>83</v>
      </c>
      <c r="R3" s="61">
        <f t="shared" ref="R3:R9" si="10">FIND(",",N3,P3+1)</f>
        <v>25</v>
      </c>
      <c r="S3" s="61" t="str">
        <f>IFERROR(VLOOKUP(MID(N3,Q3,R3-Q3),[5]skilldef!$C:$D,2,FALSE),"-") &amp; " / " &amp; IFERROR(VLOOKUP(MID(N3,O3,P3-O3),[5]skilldef!$A:$B,2,FALSE),"-")</f>
        <v>- / 全体攻撃</v>
      </c>
      <c r="T3" s="46" t="str">
        <f t="shared" ref="T3:T9" si="11">IFERROR(RIGHT(M3,LEN(M3)-FIND("],",M3)-1),"none")</f>
        <v xml:space="preserve"> [effect:force_change_block, new_block:block_red, target:block_heart, count:5, val:0, animation:change_block]</v>
      </c>
      <c r="U3" s="61">
        <f t="shared" ref="U3:U10" si="12">FIND("effect:",T3)+7</f>
        <v>10</v>
      </c>
      <c r="V3" s="61">
        <f t="shared" ref="V3:V9" si="13">IFERROR(FIND(",",T3),LEN(T3))</f>
        <v>28</v>
      </c>
      <c r="W3" s="61">
        <f t="shared" ref="W3:W9" si="14">FIND("target:",T3)+7</f>
        <v>58</v>
      </c>
      <c r="X3" s="61">
        <f t="shared" ref="X3:X9" si="15">FIND(",",T3,V3+1)</f>
        <v>49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1" t="s">
        <v>280</v>
      </c>
      <c r="AD3" s="114" t="s">
        <v>254</v>
      </c>
      <c r="AG3" s="47" t="s">
        <v>266</v>
      </c>
      <c r="AH3" s="47" t="s">
        <v>267</v>
      </c>
      <c r="AI3" s="47" t="s">
        <v>269</v>
      </c>
    </row>
    <row r="4" spans="1:35" ht="31" customHeight="1" x14ac:dyDescent="0.15">
      <c r="A4" s="45">
        <v>13400102</v>
      </c>
      <c r="B4" s="46" t="str">
        <f t="shared" si="1"/>
        <v>[effect:enemy_message, val1:1.2, val2:1.2]</v>
      </c>
      <c r="C4" s="48">
        <v>3</v>
      </c>
      <c r="D4" s="48" t="s">
        <v>249</v>
      </c>
      <c r="E4" s="113" t="s">
        <v>281</v>
      </c>
      <c r="F4" s="49" t="s">
        <v>279</v>
      </c>
      <c r="G4" s="61" t="str">
        <f t="shared" si="2"/>
        <v>[effect:enemy_message, val1:1.2, val2:1.2]</v>
      </c>
      <c r="H4" s="61">
        <f t="shared" si="3"/>
        <v>9</v>
      </c>
      <c r="I4" s="61">
        <f t="shared" si="4"/>
        <v>22</v>
      </c>
      <c r="J4" s="61" t="e">
        <f t="shared" si="5"/>
        <v>#VALUE!</v>
      </c>
      <c r="K4" s="61">
        <f t="shared" si="6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0"/>
        <v>none</v>
      </c>
      <c r="N4" s="46" t="str">
        <f>IFERROR(LEFT(M4,FIND("],",M4)+S11),M4)</f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1"/>
      <c r="AD4" s="114"/>
      <c r="AG4" s="47">
        <v>0.4</v>
      </c>
      <c r="AH4" s="47">
        <v>7.0000000000000007E-2</v>
      </c>
      <c r="AI4" s="47">
        <v>6100</v>
      </c>
    </row>
    <row r="5" spans="1:35" ht="31" customHeight="1" x14ac:dyDescent="0.15">
      <c r="A5" s="45">
        <v>13400103</v>
      </c>
      <c r="B5" s="46" t="str">
        <f t="shared" si="1"/>
        <v>[effect:enemy_message, val1:1.2, val2:2.1],[effect:damage_anti_tribe, target:unit_all, tribe:machine, val1:1.0, val2:0.15]</v>
      </c>
      <c r="C5" s="48">
        <v>3</v>
      </c>
      <c r="D5" s="48" t="s">
        <v>249</v>
      </c>
      <c r="E5" s="113" t="s">
        <v>282</v>
      </c>
      <c r="F5" s="49" t="s">
        <v>271</v>
      </c>
      <c r="G5" s="61" t="str">
        <f t="shared" si="2"/>
        <v>[effect:enemy_message, val1:1.2, val2:2.1]</v>
      </c>
      <c r="H5" s="61">
        <f t="shared" si="3"/>
        <v>9</v>
      </c>
      <c r="I5" s="61">
        <f t="shared" si="4"/>
        <v>22</v>
      </c>
      <c r="J5" s="61" t="e">
        <f t="shared" si="5"/>
        <v>#VALUE!</v>
      </c>
      <c r="K5" s="61">
        <f t="shared" si="6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0"/>
        <v>[effect:damage_anti_tribe, target:unit_all, tribe:machine, val1:1.0, val2:0.15]</v>
      </c>
      <c r="N5" s="46" t="str">
        <f>IFERROR(LEFT(M5,FIND("],",M5)+S12),M5)</f>
        <v>[effect:damage_anti_tribe, target:unit_all, tribe:machine, val1:1.0, val2:0.15]</v>
      </c>
      <c r="O5" s="61">
        <f t="shared" si="7"/>
        <v>9</v>
      </c>
      <c r="P5" s="61">
        <f t="shared" si="8"/>
        <v>26</v>
      </c>
      <c r="Q5" s="61">
        <f t="shared" si="9"/>
        <v>35</v>
      </c>
      <c r="R5" s="61">
        <f t="shared" si="10"/>
        <v>43</v>
      </c>
      <c r="S5" s="61" t="str">
        <f>IFERROR(VLOOKUP(MID(N5,Q5,R5-Q5),[5]skilldef!$C:$D,2,FALSE),"-") &amp; " / " &amp; IFERROR(VLOOKUP(MID(N5,O5,P5-O5),[5]skilldef!$A:$B,2,FALSE),"-")</f>
        <v>味方全体に / 種族キラー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1" t="s">
        <v>300</v>
      </c>
      <c r="AD5" s="114"/>
    </row>
    <row r="6" spans="1:35" ht="31" customHeight="1" x14ac:dyDescent="0.15">
      <c r="A6" s="45">
        <v>13400104</v>
      </c>
      <c r="B6" s="46" t="str">
        <f t="shared" si="1"/>
        <v>[effect:enemy_message, val1:1.2, val2:2.5],[effect:damage_anti_tribe, target:unit_all, tribe:machine, val1:0.4, val2:0.07], [effect:damage_anti_tribe, target:unit_all, tribe:machine, val1:0.4, val2:0.07]</v>
      </c>
      <c r="C6" s="48">
        <v>3</v>
      </c>
      <c r="D6" s="48" t="s">
        <v>249</v>
      </c>
      <c r="E6" s="113" t="s">
        <v>283</v>
      </c>
      <c r="F6" s="49" t="s">
        <v>274</v>
      </c>
      <c r="G6" s="61" t="str">
        <f t="shared" ref="G6" si="16">IFERROR(LEFT(B6,FIND("],",B6)),B6)</f>
        <v>[effect:enemy_message, val1:1.2, val2:2.5]</v>
      </c>
      <c r="H6" s="61">
        <f t="shared" si="3"/>
        <v>9</v>
      </c>
      <c r="I6" s="61">
        <f t="shared" ref="I6" si="17">IFERROR(FIND(",",G6),LEN(G6))</f>
        <v>22</v>
      </c>
      <c r="J6" s="61" t="e">
        <f t="shared" ref="J6" si="18">FIND("target:",G6)+7</f>
        <v>#VALUE!</v>
      </c>
      <c r="K6" s="61">
        <f t="shared" ref="K6" si="19">FIND(",",G6,I6+1)</f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0"/>
        <v>[effect:damage_anti_tribe, target:unit_all, tribe:machine, val1:0.4, val2:0.07], [effect:damage_anti_tribe, target:unit_all, tribe:machine, val1:0.4, val2:0.07]</v>
      </c>
      <c r="N6" s="46" t="str">
        <f>IFERROR(LEFT(M6,FIND("],",M6)+S13),M6)</f>
        <v>[effect:damage_anti_tribe, target:unit_all, tribe:machine, val1:0.4, val2:0.07]</v>
      </c>
      <c r="O6" s="61">
        <f t="shared" si="7"/>
        <v>9</v>
      </c>
      <c r="P6" s="61">
        <f t="shared" ref="P6" si="20">IFERROR(FIND(",",N6),LEN(N6))</f>
        <v>26</v>
      </c>
      <c r="Q6" s="61">
        <f t="shared" ref="Q6" si="21">FIND("target:",N6)+7</f>
        <v>35</v>
      </c>
      <c r="R6" s="61">
        <f t="shared" ref="R6" si="22">FIND(",",N6,P6+1)</f>
        <v>43</v>
      </c>
      <c r="S6" s="61" t="str">
        <f>IFERROR(VLOOKUP(MID(N6,Q6,R6-Q6),[5]skilldef!$C:$D,2,FALSE),"-") &amp; " / " &amp; IFERROR(VLOOKUP(MID(N6,O6,P6-O6),[5]skilldef!$A:$B,2,FALSE),"-")</f>
        <v>味方全体に / 種族キラー</v>
      </c>
      <c r="T6" s="46" t="str">
        <f t="shared" ref="T6" si="23">IFERROR(RIGHT(M6,LEN(M6)-FIND("],",M6)-1),"none")</f>
        <v xml:space="preserve"> [effect:damage_anti_tribe, target:unit_all, tribe:machine, val1:0.4, val2:0.07]</v>
      </c>
      <c r="U6" s="61">
        <f t="shared" si="12"/>
        <v>10</v>
      </c>
      <c r="V6" s="61">
        <f t="shared" ref="V6" si="24">IFERROR(FIND(",",T6),LEN(T6))</f>
        <v>27</v>
      </c>
      <c r="W6" s="61">
        <f t="shared" ref="W6" si="25">FIND("target:",T6)+7</f>
        <v>36</v>
      </c>
      <c r="X6" s="61">
        <f t="shared" ref="X6" si="26">FIND(",",T6,V6+1)</f>
        <v>44</v>
      </c>
      <c r="Y6" s="61" t="str">
        <f>IFERROR(VLOOKUP(MID(T6,W6,X6-W6),[5]skilldef!$C:$D,2,FALSE),"-") &amp; " / " &amp; IFERROR(VLOOKUP(MID(T6,U6,V6-U6),[5]skilldef!$A:$B,2,FALSE),"-")</f>
        <v>味方全体に / 種族キラー</v>
      </c>
      <c r="Z6" s="48"/>
      <c r="AA6" s="50"/>
      <c r="AB6" s="48"/>
      <c r="AC6" s="101" t="s">
        <v>301</v>
      </c>
      <c r="AD6" s="114"/>
      <c r="AF6" s="47">
        <v>0</v>
      </c>
      <c r="AG6" s="47">
        <f>2*$AI$4*(($AG$4*AF6)+($AH$4*(4-AF6)))</f>
        <v>3416.0000000000005</v>
      </c>
    </row>
    <row r="7" spans="1:35" ht="31" customHeight="1" x14ac:dyDescent="0.15">
      <c r="A7" s="45">
        <v>13400105</v>
      </c>
      <c r="B7" s="46" t="str">
        <f t="shared" si="1"/>
        <v>[effect:enemy_message, val1:1.2, val2:1.2],[effect:tolerance, target:myself, turn:-1, count:-1, tolerance_effect:sleep, animation:enemy_tolerance]</v>
      </c>
      <c r="C7" s="48">
        <v>3</v>
      </c>
      <c r="D7" s="48" t="s">
        <v>249</v>
      </c>
      <c r="E7" s="113" t="s">
        <v>288</v>
      </c>
      <c r="F7" s="49" t="s">
        <v>268</v>
      </c>
      <c r="G7" s="61" t="str">
        <f t="shared" si="2"/>
        <v>[effect:enemy_message, val1:1.2, val2:1.2]</v>
      </c>
      <c r="H7" s="61">
        <f t="shared" si="3"/>
        <v>9</v>
      </c>
      <c r="I7" s="61">
        <f t="shared" si="4"/>
        <v>22</v>
      </c>
      <c r="J7" s="61" t="e">
        <f t="shared" si="5"/>
        <v>#VALUE!</v>
      </c>
      <c r="K7" s="61">
        <f t="shared" si="6"/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si="0"/>
        <v>[effect:tolerance, target:myself, turn:-1, count:-1, tolerance_effect:sleep, animation:enemy_tolerance]</v>
      </c>
      <c r="N7" s="46" t="str">
        <f>IFERROR(LEFT(M7,FIND("],",M7)+S13),M7)</f>
        <v>[effect:tolerance, target:myself, turn:-1, count:-1, tolerance_effect:sleep, animation:enemy_tolerance]</v>
      </c>
      <c r="O7" s="61">
        <f t="shared" si="7"/>
        <v>9</v>
      </c>
      <c r="P7" s="61">
        <f t="shared" si="8"/>
        <v>18</v>
      </c>
      <c r="Q7" s="61">
        <f t="shared" si="9"/>
        <v>27</v>
      </c>
      <c r="R7" s="61">
        <f t="shared" si="10"/>
        <v>33</v>
      </c>
      <c r="S7" s="61" t="str">
        <f>IFERROR(VLOOKUP(MID(N7,Q7,R7-Q7),[5]skilldef!$C:$D,2,FALSE),"-") &amp; " / " &amp; IFERROR(VLOOKUP(MID(N7,O7,P7-O7),[5]skilldef!$A:$B,2,FALSE),"-")</f>
        <v>自分自身に / 状態異常耐性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  <c r="AC7" s="101" t="s">
        <v>263</v>
      </c>
      <c r="AD7" s="114"/>
      <c r="AF7" s="47">
        <v>1</v>
      </c>
      <c r="AG7" s="47">
        <f>2*$AI$4*(($AG$4*AF7)+($AH$4*(4-AF7)))</f>
        <v>7442.0000000000009</v>
      </c>
    </row>
    <row r="8" spans="1:35" ht="31" customHeight="1" x14ac:dyDescent="0.15">
      <c r="A8" s="45">
        <v>13400106</v>
      </c>
      <c r="B8" s="46" t="str">
        <f t="shared" si="1"/>
        <v>[effect:enemy_message, val1:1.2, val2:2.6],[effect:rush, count:2, val:0.5], [effect:force_change_block, new_block:damage, target:block_green, count:7, val:0.06, animation:change_block]</v>
      </c>
      <c r="C8" s="48">
        <v>3</v>
      </c>
      <c r="D8" s="48" t="s">
        <v>249</v>
      </c>
      <c r="E8" s="113" t="s">
        <v>284</v>
      </c>
      <c r="F8" s="49" t="s">
        <v>287</v>
      </c>
      <c r="G8" s="61" t="str">
        <f t="shared" ref="G8" si="27">IFERROR(LEFT(B8,FIND("],",B8)),B8)</f>
        <v>[effect:enemy_message, val1:1.2, val2:2.6]</v>
      </c>
      <c r="H8" s="61">
        <f t="shared" si="3"/>
        <v>9</v>
      </c>
      <c r="I8" s="61">
        <f t="shared" ref="I8" si="28">IFERROR(FIND(",",G8),LEN(G8))</f>
        <v>22</v>
      </c>
      <c r="J8" s="61" t="e">
        <f t="shared" ref="J8" si="29">FIND("target:",G8)+7</f>
        <v>#VALUE!</v>
      </c>
      <c r="K8" s="61">
        <f t="shared" ref="K8" si="30">FIND(",",G8,I8+1)</f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0"/>
        <v>[effect:rush, count:2, val:0.5], [effect:force_change_block, new_block:damage, target:block_green, count:7, val:0.06, animation:change_block]</v>
      </c>
      <c r="N8" s="46" t="str">
        <f>IFERROR(LEFT(M8,FIND("],",M8)+R14),M8)</f>
        <v>[effect:rush, count:2, val:0.5]</v>
      </c>
      <c r="O8" s="61">
        <f t="shared" si="7"/>
        <v>9</v>
      </c>
      <c r="P8" s="61">
        <f t="shared" ref="P8" si="31">IFERROR(FIND(",",N8),LEN(N8))</f>
        <v>13</v>
      </c>
      <c r="Q8" s="61" t="e">
        <f t="shared" ref="Q8" si="32">FIND("target:",N8)+7</f>
        <v>#VALUE!</v>
      </c>
      <c r="R8" s="61">
        <f t="shared" ref="R8" si="33">FIND(",",N8,P8+1)</f>
        <v>22</v>
      </c>
      <c r="S8" s="61" t="str">
        <f>IFERROR(VLOOKUP(MID(N8,Q8,R8-Q8),[5]skilldef!$C:$D,2,FALSE),"-") &amp; " / " &amp; IFERROR(VLOOKUP(MID(N8,O8,P8-O8),[5]skilldef!$A:$B,2,FALSE),"-")</f>
        <v>- / 連続攻撃</v>
      </c>
      <c r="T8" s="46" t="str">
        <f t="shared" ref="T8" si="34">IFERROR(RIGHT(M8,LEN(M8)-FIND("],",M8)-1),"none")</f>
        <v xml:space="preserve"> [effect:force_change_block, new_block:damage, target:block_green, count:7, val:0.06, animation:change_block]</v>
      </c>
      <c r="U8" s="61">
        <f t="shared" si="12"/>
        <v>10</v>
      </c>
      <c r="V8" s="61">
        <f t="shared" ref="V8" si="35">IFERROR(FIND(",",T8),LEN(T8))</f>
        <v>28</v>
      </c>
      <c r="W8" s="61">
        <f t="shared" ref="W8" si="36">FIND("target:",T8)+7</f>
        <v>55</v>
      </c>
      <c r="X8" s="61">
        <f t="shared" ref="X8" si="37">FIND(",",T8,V8+1)</f>
        <v>46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1" t="s">
        <v>298</v>
      </c>
      <c r="AD8" s="110"/>
      <c r="AF8" s="47">
        <v>2</v>
      </c>
      <c r="AG8" s="47">
        <f>2*$AI$4*(($AG$4*AF8)+($AH$4*(4-AF8)))</f>
        <v>11468</v>
      </c>
    </row>
    <row r="9" spans="1:35" ht="31" customHeight="1" x14ac:dyDescent="0.15">
      <c r="A9" s="45">
        <v>13400107</v>
      </c>
      <c r="B9" s="46" t="str">
        <f t="shared" si="1"/>
        <v>[effect:enemy_message, val1:1.2, val2:2.4],[effect:critical, val:1.0], [effect:force_change_block, new_block:damage, target:block_red, count:2, val:0.1, animation:change_block]</v>
      </c>
      <c r="C9" s="48">
        <v>3</v>
      </c>
      <c r="D9" s="48" t="s">
        <v>249</v>
      </c>
      <c r="E9" s="113" t="s">
        <v>286</v>
      </c>
      <c r="F9" s="49" t="s">
        <v>275</v>
      </c>
      <c r="G9" s="61" t="str">
        <f t="shared" si="2"/>
        <v>[effect:enemy_message, val1:1.2, val2:2.4]</v>
      </c>
      <c r="H9" s="61">
        <f t="shared" si="3"/>
        <v>9</v>
      </c>
      <c r="I9" s="61">
        <f t="shared" si="4"/>
        <v>22</v>
      </c>
      <c r="J9" s="61" t="e">
        <f t="shared" si="5"/>
        <v>#VALUE!</v>
      </c>
      <c r="K9" s="61">
        <f t="shared" si="6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0"/>
        <v>[effect:critical, val:1.0], [effect:force_change_block, new_block:damage, target:block_red, count:2, val:0.1, animation:change_block]</v>
      </c>
      <c r="N9" s="46" t="str">
        <f>IFERROR(LEFT(M9,FIND("],",M9)+R14),M9)</f>
        <v>[effect:critical, val:1.0]</v>
      </c>
      <c r="O9" s="61">
        <f t="shared" si="7"/>
        <v>9</v>
      </c>
      <c r="P9" s="61">
        <f t="shared" si="8"/>
        <v>17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IFERROR(VLOOKUP(MID(N9,Q9,R9-Q9),[5]skilldef!$C:$D,2,FALSE),"-") &amp; " / " &amp; IFERROR(VLOOKUP(MID(N9,O9,P9-O9),[5]skilldef!$A:$B,2,FALSE),"-")</f>
        <v>- / 大攻撃</v>
      </c>
      <c r="T9" s="46" t="str">
        <f t="shared" si="11"/>
        <v xml:space="preserve"> [effect:force_change_block, new_block:damage, target:block_red, count:2, val:0.1, animation:change_block]</v>
      </c>
      <c r="U9" s="61">
        <f t="shared" si="12"/>
        <v>10</v>
      </c>
      <c r="V9" s="61">
        <f t="shared" si="13"/>
        <v>28</v>
      </c>
      <c r="W9" s="61">
        <f t="shared" si="14"/>
        <v>55</v>
      </c>
      <c r="X9" s="61">
        <f t="shared" si="15"/>
        <v>46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1" t="s">
        <v>299</v>
      </c>
      <c r="AF9" s="47">
        <v>3</v>
      </c>
      <c r="AG9" s="47">
        <f>2*$AI$4*(($AG$4*AF9)+($AH$4*(4-AF9)))</f>
        <v>15494.000000000004</v>
      </c>
    </row>
    <row r="10" spans="1:35" ht="31" customHeight="1" x14ac:dyDescent="0.15">
      <c r="A10" s="45">
        <v>13400108</v>
      </c>
      <c r="B10" s="46" t="str">
        <f t="shared" si="1"/>
        <v>[effect:enemy_message, val1:1.2, val2:1.9],[effect:spread, val:0.43], [effect:force_change_block, new_block:block_red, target:block_blue, count:5, val:0, animation:change_block]</v>
      </c>
      <c r="C10" s="48">
        <v>3</v>
      </c>
      <c r="D10" s="48" t="s">
        <v>249</v>
      </c>
      <c r="E10" s="113" t="s">
        <v>289</v>
      </c>
      <c r="F10" s="49" t="s">
        <v>272</v>
      </c>
      <c r="G10" s="61" t="str">
        <f t="shared" ref="G10" si="38">IFERROR(LEFT(B10,FIND("],",B10)),B10)</f>
        <v>[effect:enemy_message, val1:1.2, val2:1.9]</v>
      </c>
      <c r="H10" s="61">
        <f t="shared" si="3"/>
        <v>9</v>
      </c>
      <c r="I10" s="61">
        <f t="shared" ref="I10" si="39">IFERROR(FIND(",",G10),LEN(G10))</f>
        <v>22</v>
      </c>
      <c r="J10" s="61" t="e">
        <f t="shared" ref="J10" si="40">FIND("target:",G10)+7</f>
        <v>#VALUE!</v>
      </c>
      <c r="K10" s="61">
        <f t="shared" ref="K10" si="41">FIND(",",G10,I10+1)</f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0"/>
        <v>[effect:spread, val:0.43], [effect:force_change_block, new_block:block_red, target:block_blue, count:5, val:0, animation:change_block]</v>
      </c>
      <c r="N10" s="46" t="str">
        <f>IFERROR(LEFT(M10,FIND("],",M10)+R15),M10)</f>
        <v>[effect:spread, val:0.43]</v>
      </c>
      <c r="O10" s="61">
        <f t="shared" si="7"/>
        <v>9</v>
      </c>
      <c r="P10" s="61">
        <f t="shared" ref="P10" si="42">IFERROR(FIND(",",N10),LEN(N10))</f>
        <v>15</v>
      </c>
      <c r="Q10" s="61" t="e">
        <f t="shared" ref="Q10" si="43">FIND("target:",N10)+7</f>
        <v>#VALUE!</v>
      </c>
      <c r="R10" s="61" t="e">
        <f t="shared" ref="R10" si="44">FIND(",",N10,P10+1)</f>
        <v>#VALUE!</v>
      </c>
      <c r="S10" s="61" t="str">
        <f>IFERROR(VLOOKUP(MID(N10,Q10,R10-Q10),[5]skilldef!$C:$D,2,FALSE),"-") &amp; " / " &amp; IFERROR(VLOOKUP(MID(N10,O10,P10-O10),[5]skilldef!$A:$B,2,FALSE),"-")</f>
        <v>- / 全体攻撃</v>
      </c>
      <c r="T10" s="46" t="str">
        <f t="shared" ref="T10" si="45">IFERROR(RIGHT(M10,LEN(M10)-FIND("],",M10)-1),"none")</f>
        <v xml:space="preserve"> [effect:force_change_block, new_block:block_red, target:block_blue, count:5, val:0, animation:change_block]</v>
      </c>
      <c r="U10" s="61">
        <f t="shared" si="12"/>
        <v>10</v>
      </c>
      <c r="V10" s="61">
        <f t="shared" ref="V10" si="46">IFERROR(FIND(",",T10),LEN(T10))</f>
        <v>28</v>
      </c>
      <c r="W10" s="61">
        <f t="shared" ref="W10" si="47">FIND("target:",T10)+7</f>
        <v>58</v>
      </c>
      <c r="X10" s="61">
        <f t="shared" ref="X10" si="48">FIND(",",T10,V10+1)</f>
        <v>49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  <c r="AC10" s="101" t="s">
        <v>264</v>
      </c>
      <c r="AD10" s="114" t="s">
        <v>253</v>
      </c>
    </row>
    <row r="11" spans="1:35" ht="21" customHeight="1" x14ac:dyDescent="0.15">
      <c r="AD11" s="114"/>
      <c r="AG11" s="47">
        <v>2330</v>
      </c>
      <c r="AH11" s="47">
        <v>0.3</v>
      </c>
    </row>
    <row r="12" spans="1:35" ht="21" customHeight="1" x14ac:dyDescent="0.15">
      <c r="AD12" s="114"/>
      <c r="AG12" s="47">
        <f>AG11*AH11*4</f>
        <v>2796</v>
      </c>
    </row>
    <row r="13" spans="1:35" ht="21" customHeight="1" x14ac:dyDescent="0.15">
      <c r="AD13" s="114"/>
    </row>
  </sheetData>
  <autoFilter ref="A1:AB1"/>
  <mergeCells count="2">
    <mergeCell ref="AD3:AD7"/>
    <mergeCell ref="AD10:AD13"/>
  </mergeCells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10"/>
  <sheetViews>
    <sheetView showGridLines="0" workbookViewId="0">
      <pane ySplit="1" topLeftCell="A2" activePane="bottomLeft" state="frozenSplit"/>
      <selection pane="bottomLeft" activeCell="H19" sqref="A17:H1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68.83203125" style="43" bestFit="1" customWidth="1"/>
    <col min="13" max="13" width="27.1640625" style="43" customWidth="1"/>
    <col min="14" max="16384" width="12.83203125" style="43"/>
  </cols>
  <sheetData>
    <row r="1" spans="1:12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2" ht="21" customHeight="1" x14ac:dyDescent="0.15">
      <c r="A2" s="45">
        <v>13400100</v>
      </c>
      <c r="B2" s="45">
        <v>0</v>
      </c>
      <c r="C2" s="45">
        <v>0</v>
      </c>
      <c r="D2" s="45">
        <v>60</v>
      </c>
      <c r="E2" s="45" t="s">
        <v>248</v>
      </c>
      <c r="F2" s="45" t="s">
        <v>89</v>
      </c>
      <c r="G2" s="45" t="s">
        <v>248</v>
      </c>
      <c r="H2" s="45">
        <v>1</v>
      </c>
      <c r="I2" s="45" t="s">
        <v>89</v>
      </c>
      <c r="J2" s="46">
        <f t="shared" ref="J2" si="0">D2</f>
        <v>60</v>
      </c>
      <c r="L2" s="49" t="s">
        <v>255</v>
      </c>
    </row>
    <row r="3" spans="1:12" ht="21" customHeight="1" x14ac:dyDescent="0.15">
      <c r="A3" s="45">
        <v>13400101</v>
      </c>
      <c r="B3" s="45">
        <v>0</v>
      </c>
      <c r="C3" s="45">
        <v>0</v>
      </c>
      <c r="D3" s="45">
        <v>70</v>
      </c>
      <c r="E3" s="45" t="s">
        <v>248</v>
      </c>
      <c r="F3" s="45" t="s">
        <v>53</v>
      </c>
      <c r="G3" s="45" t="s">
        <v>53</v>
      </c>
      <c r="H3" s="45">
        <v>1</v>
      </c>
      <c r="I3" s="45" t="s">
        <v>53</v>
      </c>
      <c r="J3" s="46">
        <f t="shared" ref="J3:J10" si="1">D3</f>
        <v>70</v>
      </c>
      <c r="L3" s="49" t="s">
        <v>276</v>
      </c>
    </row>
    <row r="4" spans="1:12" ht="21" customHeight="1" x14ac:dyDescent="0.15">
      <c r="A4" s="45">
        <v>13400102</v>
      </c>
      <c r="B4" s="45">
        <v>0</v>
      </c>
      <c r="C4" s="45">
        <v>0</v>
      </c>
      <c r="D4" s="45">
        <v>40</v>
      </c>
      <c r="E4" s="45" t="s">
        <v>248</v>
      </c>
      <c r="F4" s="45" t="s">
        <v>53</v>
      </c>
      <c r="G4" s="45" t="s">
        <v>248</v>
      </c>
      <c r="H4" s="45">
        <v>1</v>
      </c>
      <c r="I4" s="45" t="s">
        <v>53</v>
      </c>
      <c r="J4" s="46">
        <f t="shared" si="1"/>
        <v>40</v>
      </c>
      <c r="L4" s="49" t="s">
        <v>256</v>
      </c>
    </row>
    <row r="5" spans="1:12" ht="21" customHeight="1" x14ac:dyDescent="0.15">
      <c r="A5" s="45">
        <v>13400103</v>
      </c>
      <c r="B5" s="45">
        <v>1</v>
      </c>
      <c r="C5" s="45">
        <v>0</v>
      </c>
      <c r="D5" s="45">
        <v>100</v>
      </c>
      <c r="E5" s="45" t="s">
        <v>248</v>
      </c>
      <c r="F5" s="45" t="s">
        <v>53</v>
      </c>
      <c r="G5" s="45">
        <v>1</v>
      </c>
      <c r="H5" s="45">
        <v>1</v>
      </c>
      <c r="I5" s="45" t="s">
        <v>53</v>
      </c>
      <c r="J5" s="46">
        <f t="shared" si="1"/>
        <v>100</v>
      </c>
      <c r="L5" s="49" t="s">
        <v>257</v>
      </c>
    </row>
    <row r="6" spans="1:12" ht="21" customHeight="1" x14ac:dyDescent="0.15">
      <c r="A6" s="45">
        <v>13400104</v>
      </c>
      <c r="B6" s="45">
        <v>0</v>
      </c>
      <c r="C6" s="45">
        <v>0</v>
      </c>
      <c r="D6" s="45">
        <v>80</v>
      </c>
      <c r="E6" s="45" t="s">
        <v>248</v>
      </c>
      <c r="F6" s="45" t="s">
        <v>53</v>
      </c>
      <c r="G6" s="45" t="s">
        <v>248</v>
      </c>
      <c r="H6" s="45">
        <v>2</v>
      </c>
      <c r="I6" s="45" t="s">
        <v>53</v>
      </c>
      <c r="J6" s="46">
        <f t="shared" si="1"/>
        <v>80</v>
      </c>
      <c r="L6" s="49" t="s">
        <v>258</v>
      </c>
    </row>
    <row r="7" spans="1:12" ht="21" customHeight="1" x14ac:dyDescent="0.15">
      <c r="A7" s="45">
        <v>13400105</v>
      </c>
      <c r="B7" s="45">
        <v>1</v>
      </c>
      <c r="C7" s="45">
        <v>0</v>
      </c>
      <c r="D7" s="45">
        <v>100</v>
      </c>
      <c r="E7" s="45" t="s">
        <v>248</v>
      </c>
      <c r="F7" s="45" t="s">
        <v>53</v>
      </c>
      <c r="G7" s="45">
        <v>1</v>
      </c>
      <c r="H7" s="45">
        <v>1</v>
      </c>
      <c r="I7" s="45" t="s">
        <v>53</v>
      </c>
      <c r="J7" s="46">
        <f t="shared" si="1"/>
        <v>100</v>
      </c>
      <c r="L7" s="49" t="s">
        <v>259</v>
      </c>
    </row>
    <row r="8" spans="1:12" ht="21" customHeight="1" x14ac:dyDescent="0.15">
      <c r="A8" s="45">
        <v>13400106</v>
      </c>
      <c r="B8" s="45">
        <v>0</v>
      </c>
      <c r="C8" s="45">
        <v>0</v>
      </c>
      <c r="D8" s="45">
        <v>100</v>
      </c>
      <c r="E8" s="45" t="s">
        <v>248</v>
      </c>
      <c r="F8" s="45" t="s">
        <v>53</v>
      </c>
      <c r="G8" s="45" t="s">
        <v>248</v>
      </c>
      <c r="H8" s="45">
        <v>2</v>
      </c>
      <c r="I8" s="45" t="s">
        <v>53</v>
      </c>
      <c r="J8" s="46">
        <f t="shared" si="1"/>
        <v>100</v>
      </c>
      <c r="L8" s="49" t="s">
        <v>260</v>
      </c>
    </row>
    <row r="9" spans="1:12" ht="21" customHeight="1" x14ac:dyDescent="0.15">
      <c r="A9" s="45">
        <v>13400107</v>
      </c>
      <c r="B9" s="45">
        <v>0</v>
      </c>
      <c r="C9" s="45">
        <v>0</v>
      </c>
      <c r="D9" s="45">
        <v>50</v>
      </c>
      <c r="E9" s="45" t="s">
        <v>248</v>
      </c>
      <c r="F9" s="45" t="s">
        <v>53</v>
      </c>
      <c r="G9" s="45" t="s">
        <v>248</v>
      </c>
      <c r="H9" s="45">
        <v>1</v>
      </c>
      <c r="I9" s="45" t="s">
        <v>53</v>
      </c>
      <c r="J9" s="46">
        <f t="shared" si="1"/>
        <v>50</v>
      </c>
      <c r="L9" s="49" t="s">
        <v>261</v>
      </c>
    </row>
    <row r="10" spans="1:12" ht="21" customHeight="1" x14ac:dyDescent="0.15">
      <c r="A10" s="45">
        <v>13400108</v>
      </c>
      <c r="B10" s="45">
        <v>0</v>
      </c>
      <c r="C10" s="45">
        <v>0</v>
      </c>
      <c r="D10" s="45">
        <v>50</v>
      </c>
      <c r="E10" s="45" t="s">
        <v>248</v>
      </c>
      <c r="F10" s="45" t="s">
        <v>53</v>
      </c>
      <c r="G10" s="45" t="s">
        <v>248</v>
      </c>
      <c r="H10" s="45">
        <v>1</v>
      </c>
      <c r="I10" s="45" t="s">
        <v>53</v>
      </c>
      <c r="J10" s="46">
        <f t="shared" si="1"/>
        <v>50</v>
      </c>
      <c r="L10" s="49" t="s">
        <v>262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G6" sqref="A6:G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4</v>
      </c>
      <c r="C2" s="68" t="str">
        <f t="shared" ref="C2:C6" si="0">A2&amp; "_"&amp;B2</f>
        <v>13400_4</v>
      </c>
      <c r="D2" s="17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223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168</v>
      </c>
      <c r="R2" s="55" t="s">
        <v>169</v>
      </c>
    </row>
    <row r="3" spans="1:18" x14ac:dyDescent="0.15">
      <c r="A3" s="55">
        <v>13400</v>
      </c>
      <c r="B3" s="55">
        <v>4</v>
      </c>
      <c r="C3" s="68" t="str">
        <f t="shared" si="0"/>
        <v>13400_4</v>
      </c>
      <c r="D3" s="17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223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120</v>
      </c>
      <c r="Q3" s="55" t="s">
        <v>168</v>
      </c>
      <c r="R3" s="55" t="s">
        <v>169</v>
      </c>
    </row>
    <row r="4" spans="1:18" x14ac:dyDescent="0.15">
      <c r="A4" s="55">
        <v>13400</v>
      </c>
      <c r="B4" s="55">
        <v>4</v>
      </c>
      <c r="C4" s="68" t="str">
        <f t="shared" si="0"/>
        <v>13400_4</v>
      </c>
      <c r="D4" s="17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223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168</v>
      </c>
      <c r="R4" s="55" t="s">
        <v>169</v>
      </c>
    </row>
    <row r="5" spans="1:18" x14ac:dyDescent="0.15">
      <c r="A5" s="55">
        <v>13400</v>
      </c>
      <c r="B5" s="55">
        <v>4</v>
      </c>
      <c r="C5" s="68" t="str">
        <f t="shared" si="0"/>
        <v>13400_4</v>
      </c>
      <c r="D5" s="17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223</v>
      </c>
      <c r="G5" s="55">
        <v>338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500</v>
      </c>
      <c r="Q5" s="55" t="s">
        <v>168</v>
      </c>
      <c r="R5" s="55" t="s">
        <v>169</v>
      </c>
    </row>
    <row r="6" spans="1:18" x14ac:dyDescent="0.15">
      <c r="A6" s="55">
        <v>13400</v>
      </c>
      <c r="B6" s="55">
        <v>4</v>
      </c>
      <c r="C6" s="68" t="str">
        <f t="shared" si="0"/>
        <v>13400_4</v>
      </c>
      <c r="D6" s="17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223</v>
      </c>
      <c r="G6" s="55">
        <v>339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260</v>
      </c>
      <c r="Q6" s="55" t="s">
        <v>168</v>
      </c>
      <c r="R6" s="55" t="s">
        <v>169</v>
      </c>
    </row>
  </sheetData>
  <phoneticPr fontId="5"/>
  <dataValidations disablePrompts="1"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L14" sqref="L1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8" t="s">
        <v>193</v>
      </c>
      <c r="J1" s="76" t="s">
        <v>126</v>
      </c>
      <c r="K1" s="75" t="s">
        <v>185</v>
      </c>
      <c r="L1" s="89" t="s">
        <v>184</v>
      </c>
      <c r="M1" s="77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J5" sqref="J5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6" t="s">
        <v>192</v>
      </c>
      <c r="J1" s="88" t="s">
        <v>193</v>
      </c>
      <c r="K1" s="76" t="s">
        <v>126</v>
      </c>
      <c r="L1" s="75" t="s">
        <v>185</v>
      </c>
      <c r="M1" s="89" t="s">
        <v>184</v>
      </c>
      <c r="N1" s="77" t="s">
        <v>194</v>
      </c>
      <c r="O1" s="89" t="s">
        <v>251</v>
      </c>
    </row>
    <row r="2" spans="1:15" ht="61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4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7">
        <f>ROW()-1</f>
        <v>1</v>
      </c>
      <c r="J2" s="83">
        <v>13400107</v>
      </c>
      <c r="K2" s="81" t="s">
        <v>196</v>
      </c>
      <c r="L2" s="84" t="s">
        <v>247</v>
      </c>
      <c r="M2" s="109" t="s">
        <v>291</v>
      </c>
      <c r="N2" s="55" t="s">
        <v>197</v>
      </c>
      <c r="O2" s="106" t="str">
        <f>"１２３４５６７８９０１２３４５６７８９０"&amp;M2</f>
        <v>１２３４５６７８９０１２３４５６７８９０フェニックスが変換するダメージパネルは_x000D_壊すとダメージを受けてしまいます_x000D_フェニックスを素早く倒して_x000D_変換スキルを防ぐと有利です</v>
      </c>
    </row>
    <row r="3" spans="1:15" ht="61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4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1</v>
      </c>
      <c r="I3" s="87">
        <f t="shared" ref="I3:I4" si="0">ROW()-1</f>
        <v>2</v>
      </c>
      <c r="J3" s="83">
        <v>13400108</v>
      </c>
      <c r="K3" s="81" t="s">
        <v>196</v>
      </c>
      <c r="L3" s="84" t="s">
        <v>247</v>
      </c>
      <c r="M3" s="109" t="s">
        <v>277</v>
      </c>
      <c r="N3" s="55" t="s">
        <v>197</v>
      </c>
      <c r="O3" s="106" t="str">
        <f t="shared" ref="O3:O4" si="1">"１２３４５６７８９０１２３４５６７８９０"&amp;M3</f>
        <v>１２３４５６７８９０１２３４５６７８９０このフロアには種族マシンのユニットに_x000D_大ダメージを与える敵が待ち構えています_x000D_その他の種族で編成をしましょう</v>
      </c>
    </row>
    <row r="4" spans="1:15" ht="61" customHeight="1" x14ac:dyDescent="0.15">
      <c r="A4" s="78" t="s">
        <v>195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4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4階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1</v>
      </c>
      <c r="I4" s="87">
        <f t="shared" si="0"/>
        <v>3</v>
      </c>
      <c r="J4" s="83">
        <v>13400109</v>
      </c>
      <c r="K4" s="81" t="s">
        <v>196</v>
      </c>
      <c r="L4" s="84" t="s">
        <v>247</v>
      </c>
      <c r="M4" s="109" t="s">
        <v>290</v>
      </c>
      <c r="N4" s="55" t="s">
        <v>197</v>
      </c>
      <c r="O4" s="106" t="str">
        <f t="shared" si="1"/>
        <v>１２３４５６７８９０１２３４５６７８９０敵がダメージパネル変換を多用します_x000D_変換スキルやフィーバーを使用することで_x000D_ダメージを受けずに対応できます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5" sqref="G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209</v>
      </c>
      <c r="B1" s="92" t="s">
        <v>210</v>
      </c>
      <c r="C1" s="74" t="s">
        <v>211</v>
      </c>
      <c r="D1" s="74" t="s">
        <v>33</v>
      </c>
      <c r="E1" s="92" t="s">
        <v>212</v>
      </c>
      <c r="F1" s="74" t="s">
        <v>213</v>
      </c>
      <c r="G1" s="74" t="s">
        <v>33</v>
      </c>
      <c r="H1" s="92" t="s">
        <v>214</v>
      </c>
      <c r="I1" s="92" t="s">
        <v>215</v>
      </c>
      <c r="J1" s="92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57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3" t="str">
        <f>B2&amp;"_"&amp;E2&amp;"_"&amp;H2&amp;"_"&amp;I2&amp;"_"&amp;J2</f>
        <v>13400_4_singleonly_clear_1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4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293</v>
      </c>
      <c r="I2" s="81" t="s">
        <v>294</v>
      </c>
      <c r="J2" s="81">
        <v>1</v>
      </c>
      <c r="K2" s="81">
        <v>750</v>
      </c>
      <c r="L2" s="81" t="s">
        <v>167</v>
      </c>
      <c r="M2" s="81">
        <v>12000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295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296</v>
      </c>
      <c r="X2" s="96" t="s">
        <v>169</v>
      </c>
    </row>
    <row r="3" spans="1:24" x14ac:dyDescent="0.15">
      <c r="A3" s="93" t="str">
        <f>B3&amp;"_"&amp;E3&amp;"_"&amp;H3&amp;"_"&amp;I3&amp;"_"&amp;J3</f>
        <v>13400_4_singleonly_clear_2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4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293</v>
      </c>
      <c r="I3" s="81" t="s">
        <v>294</v>
      </c>
      <c r="J3" s="81">
        <v>2</v>
      </c>
      <c r="K3" s="81">
        <v>250</v>
      </c>
      <c r="L3" s="81" t="s">
        <v>167</v>
      </c>
      <c r="M3" s="81">
        <v>48000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295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296</v>
      </c>
      <c r="X3" s="96" t="s">
        <v>169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2017-03-27T07:43:06Z</dcterms:modified>
</cp:coreProperties>
</file>