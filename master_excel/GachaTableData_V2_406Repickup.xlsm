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3"/>
  </bookViews>
  <sheets>
    <sheet name="確率の考え方" sheetId="110" r:id="rId1"/>
    <sheet name="Sheet1" sheetId="107" r:id="rId2"/>
    <sheet name="output" sheetId="103" r:id="rId3"/>
    <sheet name="input_406010" sheetId="157" r:id="rId4"/>
    <sheet name="tables_406010" sheetId="158" r:id="rId5"/>
    <sheet name="input_406100" sheetId="153" r:id="rId6"/>
    <sheet name="tables_406100" sheetId="154" r:id="rId7"/>
    <sheet name="gacha_bonus_tables" sheetId="98" r:id="rId8"/>
    <sheet name="R6追加前" sheetId="111" r:id="rId9"/>
    <sheet name="R6開放" sheetId="112" r:id="rId10"/>
    <sheet name="check" sheetId="159" r:id="rId11"/>
  </sheets>
  <externalReferences>
    <externalReference r:id="rId12"/>
  </externalReferences>
  <definedNames>
    <definedName name="_xlnm._FilterDatabase" localSheetId="7" hidden="1">gacha_bonus_tables!$A$1:$F$1</definedName>
    <definedName name="_xlnm._FilterDatabase" localSheetId="4" hidden="1">tables_406010!$A$1:$V$294</definedName>
    <definedName name="_xlnm._FilterDatabase" localSheetId="6" hidden="1">tables_406100!$A$1:$V$294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E22" i="153"/>
  <c r="E23" i="153"/>
  <c r="B23" i="153"/>
  <c r="B22" i="153"/>
  <c r="E20" i="153"/>
  <c r="B20" i="153"/>
  <c r="E26" i="153"/>
  <c r="B26" i="153"/>
  <c r="F5" i="153"/>
  <c r="E5" i="153"/>
  <c r="E28" i="153"/>
  <c r="B28" i="153"/>
  <c r="E29" i="153"/>
  <c r="B29" i="153"/>
  <c r="B21" i="153"/>
  <c r="E23" i="157"/>
  <c r="B23" i="157"/>
  <c r="E26" i="157"/>
  <c r="B26" i="157"/>
  <c r="F5" i="157"/>
  <c r="E5" i="157"/>
  <c r="E28" i="157"/>
  <c r="B28" i="157"/>
  <c r="E29" i="157"/>
  <c r="B29" i="157"/>
  <c r="B21" i="157"/>
  <c r="E20" i="157"/>
  <c r="B20" i="157"/>
  <c r="A2" i="157"/>
  <c r="A36" i="157"/>
  <c r="E18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R3" i="157"/>
  <c r="O156" i="158"/>
  <c r="R4" i="157"/>
  <c r="O157" i="158"/>
  <c r="O158" i="158"/>
  <c r="O159" i="158"/>
  <c r="O160" i="158"/>
  <c r="O161" i="158"/>
  <c r="O162" i="158"/>
  <c r="O163" i="158"/>
  <c r="R5" i="157"/>
  <c r="O164" i="158"/>
  <c r="R6" i="157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R7" i="157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R8" i="157"/>
  <c r="O309" i="158"/>
  <c r="F41" i="157"/>
  <c r="G41" i="157"/>
  <c r="F42" i="157"/>
  <c r="G42" i="157"/>
  <c r="B30" i="153"/>
  <c r="E27" i="153"/>
  <c r="B27" i="153"/>
  <c r="E25" i="153"/>
  <c r="B25" i="153"/>
  <c r="A2" i="153"/>
  <c r="C3" i="159"/>
  <c r="C2" i="159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1" i="153"/>
  <c r="E21" i="153"/>
  <c r="H21" i="153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R3" i="153"/>
  <c r="O149" i="154"/>
  <c r="R4" i="153"/>
  <c r="O150" i="154"/>
  <c r="R5" i="153"/>
  <c r="O151" i="154"/>
  <c r="R6" i="153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O196" i="154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O223" i="154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R7" i="153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R8" i="153"/>
  <c r="O309" i="154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C4" i="103"/>
  <c r="E4" i="10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9" i="153"/>
  <c r="R10" i="153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G20" i="153"/>
  <c r="H20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8" i="15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F41" i="153"/>
  <c r="G41" i="153"/>
  <c r="D2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<sst xmlns="http://schemas.openxmlformats.org/spreadsheetml/2006/main" count="513" uniqueCount="255">
  <si>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</si>
  <si>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</si>
  <si>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</si>
  <si>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</si>
  <si>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</si>
  <si>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</si>
  <si>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</si>
  <si>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</si>
  <si>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</si>
  <si>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</si>
  <si>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</si>
  <si>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</si>
  <si>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</si>
  <si>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</si>
  <si>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</si>
  <si>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</si>
  <si>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</si>
  <si>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</si>
  <si>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</si>
  <si>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</si>
  <si>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</si>
  <si>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</si>
  <si>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</si>
  <si>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</si>
  <si>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</si>
  <si>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</si>
  <si>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</si>
  <si>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</si>
  <si>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</si>
  <si>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</si>
  <si>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</si>
  <si>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</si>
  <si>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</si>
  <si>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</si>
  <si>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</si>
  <si>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</si>
  <si>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</si>
  <si>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</si>
  <si>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</si>
  <si>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</si>
  <si>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</si>
  <si>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</si>
  <si>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</si>
  <si>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</si>
  <si>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</si>
  <si>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</si>
  <si>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</si>
  <si>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</si>
  <si>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</si>
  <si>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</si>
  <si>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</si>
  <si>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</si>
  <si>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</si>
  <si>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</si>
  <si>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</si>
  <si>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</si>
  <si>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</si>
  <si>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</si>
  <si>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</si>
  <si>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</si>
  <si>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</si>
  <si>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</si>
  <si>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</si>
  <si>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</si>
  <si>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</si>
  <si>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</si>
  <si>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</si>
  <si>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</si>
  <si>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</si>
  <si>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</si>
  <si>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</si>
  <si>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</si>
  <si>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</si>
  <si>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</si>
  <si>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</si>
  <si>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</si>
  <si>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</si>
  <si>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</si>
  <si>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</si>
  <si>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</si>
  <si>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</si>
  <si>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</si>
  <si>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</si>
  <si>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</si>
  <si>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</si>
  <si>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</si>
  <si>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</si>
  <si>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</si>
  <si>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</si>
  <si>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</si>
  <si>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</si>
  <si>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</si>
  <si>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</si>
  <si>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</si>
  <si>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</si>
  <si>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</si>
  <si>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</si>
  <si>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</si>
  <si>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</si>
  <si>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</si>
  <si>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</si>
  <si>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</si>
  <si>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</si>
  <si>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</si>
  <si>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</si>
  <si>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</si>
  <si>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</si>
  <si>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</si>
  <si>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</si>
  <si>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</si>
  <si>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</si>
  <si>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</si>
  <si>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</si>
  <si>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</si>
  <si>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</si>
  <si>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</si>
  <si>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</si>
  <si>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</si>
  <si>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</si>
  <si>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</si>
  <si>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</si>
  <si>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</si>
  <si>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</si>
  <si>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</si>
  <si>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</si>
  <si>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</si>
  <si>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</si>
  <si>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</si>
  <si>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</si>
  <si>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</si>
  <si>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</si>
  <si>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</si>
  <si>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</si>
  <si>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</si>
  <si>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</si>
  <si>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</si>
  <si>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</si>
  <si>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</si>
  <si>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</si>
  <si>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</si>
  <si>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</si>
  <si>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</si>
  <si>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</si>
  <si>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</si>
  <si>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</si>
  <si>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</si>
  <si>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</si>
  <si>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</si>
  <si>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</si>
  <si>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</si>
  <si>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</si>
  <si>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</si>
  <si>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</si>
  <si>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</si>
  <si>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</si>
  <si>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</si>
  <si>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</si>
  <si>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</si>
  <si>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</si>
  <si>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</si>
  <si>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</si>
  <si>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</si>
  <si>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</si>
  <si>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</si>
  <si>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</si>
  <si>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</si>
  <si>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</si>
  <si>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</si>
  <si>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</si>
  <si>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</si>
  <si>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</si>
  <si>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</si>
  <si>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</si>
  <si>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</si>
  <si>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</si>
  <si>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</si>
  <si>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</si>
  <si>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</si>
  <si>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</si>
  <si>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</si>
  <si>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</si>
  <si>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</si>
  <si>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</si>
  <si>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</si>
  <si>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</si>
  <si>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</si>
  <si>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</si>
  <si>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</si>
  <si>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</si>
  <si>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</si>
  <si>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</si>
  <si>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</si>
  <si>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</si>
  <si>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</si>
  <si>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</si>
  <si>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</si>
  <si>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</si>
  <si>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</si>
  <si>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</si>
  <si>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</si>
  <si>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</si>
  <si>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</si>
  <si>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</si>
  <si>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</si>
  <si>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</si>
  <si>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</si>
  <si>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</si>
  <si>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</si>
  <si>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</si>
  <si>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</si>
  <si>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</si>
  <si>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</si>
  <si>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</si>
  <si>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</si>
  <si>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</si>
  <si>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</si>
  <si>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</si>
  <si>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</si>
  <si>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</si>
  <si>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</si>
  <si>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</si>
  <si>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</si>
  <si>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</si>
  <si>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</si>
  <si>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</si>
  <si>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</si>
  <si>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</si>
  <si>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</si>
  <si>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</si>
  <si>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</si>
  <si>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</si>
  <si>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</si>
  <si>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</si>
  <si>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</si>
  <si>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</si>
  <si>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</si>
  <si>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</si>
  <si>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</si>
  <si>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</si>
  <si>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</si>
  <si>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</si>
  <si>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</si>
  <si>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</si>
  <si>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</si>
  <si>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</si>
  <si>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</si>
  <si>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</si>
  <si>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</si>
  <si>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gacha_select_tables_</t>
    <phoneticPr fontId="22"/>
  </si>
  <si>
    <t>skip</t>
    <phoneticPr fontId="22"/>
  </si>
  <si>
    <t>チェック項目</t>
    <phoneticPr fontId="22"/>
  </si>
  <si>
    <t>R5確率は正常か</t>
    <phoneticPr fontId="22"/>
  </si>
  <si>
    <t>tables_403011</t>
  </si>
  <si>
    <t>tables_406100</t>
    <phoneticPr fontId="22"/>
  </si>
  <si>
    <t>tables_406010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</si>
</sst>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00000000%"/>
    <numFmt numFmtId="185" formatCode="0.0"/>
    <numFmt numFmtId="186" formatCode="0.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7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180" fontId="0" fillId="0" borderId="0" xfId="0" applyNumberFormat="1"/>
    <xf numFmtId="184" fontId="0" fillId="0" borderId="0" xfId="3575" applyNumberFormat="1" applyFont="1"/>
    <xf numFmtId="185" fontId="0" fillId="0" borderId="0" xfId="0" applyNumberFormat="1"/>
    <xf numFmtId="186" fontId="0" fillId="28" borderId="1" xfId="0" applyNumberFormat="1" applyFill="1" applyBorder="1"/>
    <xf numFmtId="176" fontId="0" fillId="0" borderId="0" xfId="0" applyNumberFormat="1"/>
    <xf numFmtId="0" fontId="0" fillId="0" borderId="0" xfId="0" applyAlignment="1">
      <alignment horizontal="center" vertical="center"/>
    </xf>
    <xf numFmtId="177" fontId="0" fillId="0" borderId="0" xfId="0" applyNumberFormat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406100</v>
      </c>
      <c r="D2" s="19" t="s">
        <v>45</v>
      </c>
      <c r="E2" s="17" t="str">
        <f t="shared" ref="E2" si="1">B2&amp;C2&amp;D2</f>
        <v>gacha_select_tables_406100.tmp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406010</v>
      </c>
      <c r="D3" s="19" t="s">
        <v>45</v>
      </c>
      <c r="E3" s="17" t="str">
        <f t="shared" ref="E3:E10" si="3">B3&amp;C3&amp;D3</f>
        <v>gacha_select_tables_406010.tmp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249</v>
      </c>
      <c r="B4" s="96" t="s">
        <v>248</v>
      </c>
      <c r="C4" s="50" t="str">
        <f>RIGHT(F4,6)</f>
        <v>403011</v>
      </c>
      <c r="D4" s="19" t="s">
        <v>45</v>
      </c>
      <c r="E4" s="17" t="str">
        <f>B4&amp;C4&amp;D4</f>
        <v>gacha_select_tables_403011.tmp</v>
      </c>
      <c r="F4" s="97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topLeftCell="A7"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5" max="5" width="21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390</v>
      </c>
      <c r="M3" s="37" t="str">
        <f>VLOOKUP(L3,[1]characters!$A:$C,3,FALSE)</f>
        <v>華環の旅客 親指姫</v>
      </c>
      <c r="N3" s="63">
        <v>9.4999999999999998E-3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VLOOKUP(L3,tables_406010!B:C,2,FALSE)</f>
        <v>PremiumSS4</v>
      </c>
      <c r="R3" s="62">
        <f t="shared" ref="R3:R20" si="1">N3*A$36</f>
        <v>16720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391</v>
      </c>
      <c r="M4" s="37" t="str">
        <f>VLOOKUP(L4,[1]characters!$A:$C,3,FALSE)</f>
        <v>燕翼の旅人 親指姫</v>
      </c>
      <c r="N4" s="63">
        <v>5.0000000000000001E-4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VLOOKUP(L4,tables_406010!B:C,2,FALSE)</f>
        <v>PremiumSS5</v>
      </c>
      <c r="R4" s="62">
        <f t="shared" si="1"/>
        <v>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2.2727272727272733E-4</v>
      </c>
      <c r="F5">
        <f>(COUNTIF(tables_406010!C:C,input_406010!A28)+COUNTIF(tables_406010!C:C,input_406010!A29))</f>
        <v>48</v>
      </c>
      <c r="H5" s="84">
        <v>0.04</v>
      </c>
      <c r="I5" s="31">
        <v>4</v>
      </c>
      <c r="L5" s="60">
        <v>398</v>
      </c>
      <c r="M5" s="37" t="str">
        <f>VLOOKUP(L5,[1]characters!$A:$C,3,FALSE)</f>
        <v>ヘンゼル＆グレーテル</v>
      </c>
      <c r="N5" s="63">
        <v>9.4999999999999998E-3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VLOOKUP(L5,tables_406010!B:C,2,FALSE)</f>
        <v>PremiumSS4</v>
      </c>
      <c r="R5" s="62">
        <f t="shared" si="1"/>
        <v>16720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(COUNTIF(tables_406010!C:C,input_406010!A25)+COUNTIF(tables_406010!C:C,input_406010!A18)+COUNTIF(tables_406010!C:C,input_406010!A20)+COUNTIF(tables_406010!C:C,input_406010!A22))</f>
        <v>88</v>
      </c>
      <c r="H6" s="89">
        <v>0</v>
      </c>
      <c r="I6" s="31">
        <v>0</v>
      </c>
      <c r="L6" s="94">
        <v>399</v>
      </c>
      <c r="M6" s="37" t="str">
        <f>VLOOKUP(L6,[1]characters!$A:$C,3,FALSE)</f>
        <v>信愛の兄妹 ヘンゼル＆グレーテル</v>
      </c>
      <c r="N6" s="63">
        <v>5.0000000000000001E-4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VLOOKUP(L6,tables_406010!B:C,2,FALSE)</f>
        <v>PremiumSS5</v>
      </c>
      <c r="R6" s="62">
        <f t="shared" si="1"/>
        <v>880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848</v>
      </c>
      <c r="M7" s="37" t="str">
        <f>VLOOKUP(L7,[1]characters!$A:$C,3,FALSE)</f>
        <v>メタトロン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VLOOKUP(L7,tables_406010!B:C,2,FALSE)</f>
        <v>PremiumSS5R5only</v>
      </c>
      <c r="R7" s="62">
        <f t="shared" si="1"/>
        <v>17600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1074</v>
      </c>
      <c r="M8" s="37" t="str">
        <f>VLOOKUP(L8,[1]characters!$A:$C,3,FALSE)</f>
        <v>マルドゥク</v>
      </c>
      <c r="N8" s="63">
        <v>0.01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VLOOKUP(L8,tables_406010!B:C,2,FALSE)</f>
        <v>PremiumSS5R5only</v>
      </c>
      <c r="R8" s="62">
        <f t="shared" si="1"/>
        <v>17600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6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6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1.9E-2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B$5-B19-B24-E36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COUNTIF(tables_406010!C:C,input_406010!A17)-COUNTIF(Q:Q,A17)</f>
        <v>20</v>
      </c>
      <c r="F17" s="43">
        <f>IFERROR(B17/E17,0)</f>
        <v>9.8863636363636341E-3</v>
      </c>
      <c r="G17">
        <f t="shared" ref="G17:G31" si="4">A$36*B17</f>
        <v>347999.99999999994</v>
      </c>
      <c r="H17">
        <f t="shared" ref="H17:H31" si="5">IFERROR(ROUND(G17/E17,5),0)</f>
        <v>17400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COUNTIF(tables_406010!C:C,input_406010!A18)-COUNTIF(Q:Q,A18)</f>
        <v>20</v>
      </c>
      <c r="F18" s="43">
        <f>IFERROR(B18/E18,0)</f>
        <v>9.0909090909091082E-4</v>
      </c>
      <c r="G18">
        <f t="shared" si="4"/>
        <v>32000.000000000058</v>
      </c>
      <c r="H18">
        <f t="shared" si="5"/>
        <v>1600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COUNTIF(tables_406010!C:C,input_406010!A19)-COUNTIF(Q:Q,A19)</f>
        <v>52</v>
      </c>
      <c r="F19" s="43">
        <f t="shared" ref="F19:F31" si="8">IFERROR(B19/E19,0)</f>
        <v>5.3977272727272728E-3</v>
      </c>
      <c r="G19">
        <f t="shared" si="4"/>
        <v>494000.00000000006</v>
      </c>
      <c r="H19">
        <f t="shared" si="5"/>
        <v>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0.26470054540909099</v>
      </c>
      <c r="C20" s="85">
        <f t="shared" si="2"/>
        <v>0</v>
      </c>
      <c r="D20" s="74">
        <f t="shared" si="3"/>
        <v>0.26470054540909099</v>
      </c>
      <c r="E20">
        <f>COUNTIF(tables_406010!C:C,input_406010!A20)-COUNTIF(Q:Q,A20)</f>
        <v>52</v>
      </c>
      <c r="F20" s="43">
        <f t="shared" si="8"/>
        <v>5.0903951040209804E-3</v>
      </c>
      <c r="G20">
        <f t="shared" si="4"/>
        <v>465872.95992000017</v>
      </c>
      <c r="H20">
        <f t="shared" si="5"/>
        <v>8959.0953800000007</v>
      </c>
      <c r="I20">
        <f t="shared" si="6"/>
        <v>9.5380000000659493E-2</v>
      </c>
      <c r="J20">
        <f t="shared" si="7"/>
        <v>10.484378276295718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1.5993272727272734E-2</v>
      </c>
      <c r="C21" s="85">
        <f t="shared" si="2"/>
        <v>0</v>
      </c>
      <c r="D21" s="74">
        <f t="shared" si="3"/>
        <v>1.5993272727272734E-2</v>
      </c>
      <c r="E21">
        <f>COUNTIF(tables_406010!C:C,input_406010!A21)-COUNTIF(Q:Q,A21)</f>
        <v>52</v>
      </c>
      <c r="F21" s="43">
        <f t="shared" si="8"/>
        <v>3.0756293706293722E-4</v>
      </c>
      <c r="G21">
        <f t="shared" si="4"/>
        <v>28148.160000000014</v>
      </c>
      <c r="H21">
        <f t="shared" si="5"/>
        <v>541.31077000000005</v>
      </c>
      <c r="I21">
        <f t="shared" si="6"/>
        <v>0.31077000000004773</v>
      </c>
      <c r="J21">
        <f t="shared" si="7"/>
        <v>3.2178138172920372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COUNTIF(tables_406010!C:C,input_406010!A22)-COUNTIF(Q:Q,A22)</f>
        <v>12</v>
      </c>
      <c r="F22" s="43">
        <f t="shared" si="8"/>
        <v>1.0255681818181818E-2</v>
      </c>
      <c r="G22">
        <f t="shared" si="4"/>
        <v>216600.00000000003</v>
      </c>
      <c r="H22">
        <f t="shared" si="5"/>
        <v>18050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COUNTIF(tables_406010!C:C,input_406010!A23)-COUNTIF(Q:Q,A23)</f>
        <v>12</v>
      </c>
      <c r="F23" s="43">
        <f t="shared" si="8"/>
        <v>5.3977272727272728E-4</v>
      </c>
      <c r="G23">
        <f t="shared" si="4"/>
        <v>11400</v>
      </c>
      <c r="H23">
        <f t="shared" si="5"/>
        <v>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COUNTIF(tables_406010!C:C,input_406010!A24)-COUNTIF(Q:Q,A24)</f>
        <v>4</v>
      </c>
      <c r="F24" s="43">
        <f t="shared" si="8"/>
        <v>5.3977272727272728E-3</v>
      </c>
      <c r="G24">
        <f t="shared" si="4"/>
        <v>38000</v>
      </c>
      <c r="H24">
        <f t="shared" si="5"/>
        <v>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COUNTIF(tables_406010!C:C,input_406010!A25)-COUNTIF(Q:Q,A25)</f>
        <v>4</v>
      </c>
      <c r="F25" s="43">
        <f t="shared" si="8"/>
        <v>4.8579545454545455E-3</v>
      </c>
      <c r="G25">
        <f t="shared" si="4"/>
        <v>34200</v>
      </c>
      <c r="H25">
        <f t="shared" si="5"/>
        <v>8550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COUNTIF(tables_406010!C:C,input_406010!A26)-COUNTIF(Q:Q,A26)</f>
        <v>4</v>
      </c>
      <c r="F26" s="43">
        <f t="shared" si="8"/>
        <v>5.3977272727272728E-4</v>
      </c>
      <c r="G26">
        <f t="shared" si="4"/>
        <v>3800</v>
      </c>
      <c r="H26">
        <f t="shared" si="5"/>
        <v>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5.6136363636363649E-3</v>
      </c>
      <c r="C27" s="85">
        <f t="shared" si="2"/>
        <v>1.9E-2</v>
      </c>
      <c r="D27" s="74">
        <f t="shared" si="3"/>
        <v>-1.3386363636363634E-2</v>
      </c>
      <c r="E27">
        <f>COUNTIF(tables_406010!C:C,input_406010!A27)-COUNTIF(Q:Q,A27)</f>
        <v>26</v>
      </c>
      <c r="F27" s="43">
        <f>IFERROR(B27/E27,0)</f>
        <v>2.1590909090909096E-4</v>
      </c>
      <c r="G27">
        <f t="shared" si="4"/>
        <v>9880.0000000000018</v>
      </c>
      <c r="H27">
        <f t="shared" si="5"/>
        <v>380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2.9545454545454558E-4</v>
      </c>
      <c r="C28" s="85">
        <f t="shared" si="2"/>
        <v>1E-3</v>
      </c>
      <c r="D28" s="74">
        <f t="shared" si="3"/>
        <v>-7.0454545454545444E-4</v>
      </c>
      <c r="E28">
        <f>COUNTIF(tables_406010!C:C,input_406010!A28)-COUNTIF(Q:Q,A28)</f>
        <v>26</v>
      </c>
      <c r="F28" s="43">
        <f t="shared" si="8"/>
        <v>1.1363636363636368E-5</v>
      </c>
      <c r="G28">
        <f t="shared" si="4"/>
        <v>520.00000000000023</v>
      </c>
      <c r="H28">
        <f t="shared" si="5"/>
        <v>20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4.0909090909090921E-3</v>
      </c>
      <c r="C29" s="85">
        <f t="shared" si="2"/>
        <v>0.02</v>
      </c>
      <c r="D29" s="74">
        <f t="shared" si="3"/>
        <v>-1.5909090909090907E-2</v>
      </c>
      <c r="E29">
        <f>COUNTIF(tables_406010!C:C,input_406010!A29)-COUNTIF(Q:Q,A29)</f>
        <v>18</v>
      </c>
      <c r="F29" s="43">
        <f t="shared" si="8"/>
        <v>2.2727272727272733E-4</v>
      </c>
      <c r="G29">
        <f t="shared" si="4"/>
        <v>7200.0000000000018</v>
      </c>
      <c r="H29">
        <f t="shared" si="5"/>
        <v>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COUNTIF(tables_406010!C:C,input_406010!A30)-COUNTIF(Q:Q,A30)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COUNTIF(tables_406010!C:C,input_406010!A31)-COUNTIF(Q:Q,A31)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0.96001199995454545</v>
      </c>
      <c r="C32" s="41">
        <f>SUM(C19:C31)</f>
        <v>0.04</v>
      </c>
      <c r="D32" s="42">
        <f t="shared" si="3"/>
        <v>0.92001199995454541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106">
        <v>2.0983999999999999E-2</v>
      </c>
    </row>
    <row r="35" spans="1:7" x14ac:dyDescent="0.15">
      <c r="A35" t="s">
        <v>73</v>
      </c>
      <c r="E35" s="101">
        <v>-1.2086909045454602E-2</v>
      </c>
    </row>
    <row r="36" spans="1:7" x14ac:dyDescent="0.15">
      <c r="A36" s="31">
        <f>LCM(F5-I5,F6-I6)*1000*2*2*5</f>
        <v>1760000</v>
      </c>
      <c r="E36" s="104"/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SUMIF(tables_406010!C:C,input_406010!A40,tables_406010!O:O)</f>
        <v>494000</v>
      </c>
      <c r="C40" s="54">
        <f t="shared" ref="C40:C46" ca="1" si="9">B40/B$47</f>
        <v>0.47793141078191792</v>
      </c>
      <c r="E40">
        <v>3</v>
      </c>
      <c r="F40">
        <f ca="1">SUMIF(tables_406010!J:J,input_406010!E40,tables_406010!O:O)</f>
        <v>880000</v>
      </c>
      <c r="G40" s="102">
        <f ca="1">F40/A36</f>
        <v>0.5</v>
      </c>
    </row>
    <row r="41" spans="1:7" x14ac:dyDescent="0.15">
      <c r="A41" s="33" t="s">
        <v>104</v>
      </c>
      <c r="B41">
        <f ca="1">SUMIF(tables_406010!C:C,input_406010!A41,tables_406010!O:O)</f>
        <v>465872.95976000046</v>
      </c>
      <c r="C41" s="54">
        <f t="shared" ca="1" si="9"/>
        <v>0.4507192730834913</v>
      </c>
      <c r="E41">
        <v>4</v>
      </c>
      <c r="F41">
        <f ca="1">SUMIF(tables_406010!J:J,input_406010!E41,tables_406010!O:O)</f>
        <v>791992.95976000023</v>
      </c>
      <c r="G41">
        <f ca="1">F41/A36</f>
        <v>0.44999599986363648</v>
      </c>
    </row>
    <row r="42" spans="1:7" x14ac:dyDescent="0.15">
      <c r="A42" s="33" t="s">
        <v>106</v>
      </c>
      <c r="B42">
        <f ca="1">SUMIF(tables_406010!C:C,input_406010!A42,tables_406010!O:O)</f>
        <v>43320</v>
      </c>
      <c r="C42" s="54">
        <f t="shared" ca="1" si="9"/>
        <v>4.1910908330106647E-2</v>
      </c>
      <c r="E42">
        <v>5</v>
      </c>
      <c r="F42">
        <f ca="1">SUMIF(tables_406010!J:J,input_406010!E42,tables_406010!O:O)</f>
        <v>88028.160040000002</v>
      </c>
      <c r="G42">
        <f ca="1">F42/A36</f>
        <v>5.0016000022727276E-2</v>
      </c>
    </row>
    <row r="43" spans="1:7" x14ac:dyDescent="0.15">
      <c r="A43" s="33" t="s">
        <v>109</v>
      </c>
      <c r="B43">
        <f>SUMIF(tables_406010!C:C,input_406010!A43,tables_406010!O:O)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SUMIF(tables_406010!C:C,input_406010!A44,tables_406010!O:O)</f>
        <v>28148.160040000002</v>
      </c>
      <c r="C44" s="54">
        <f t="shared" ca="1" si="9"/>
        <v>2.7232570523952244E-2</v>
      </c>
      <c r="E44" t="s">
        <v>54</v>
      </c>
      <c r="F44" s="55"/>
    </row>
    <row r="45" spans="1:7" x14ac:dyDescent="0.15">
      <c r="A45" s="33" t="s">
        <v>107</v>
      </c>
      <c r="B45">
        <f ca="1">SUMIF(tables_406010!C:C,input_406010!A45,tables_406010!O:O)</f>
        <v>2280</v>
      </c>
      <c r="C45" s="54">
        <f t="shared" ca="1" si="9"/>
        <v>2.2058372805319288E-3</v>
      </c>
      <c r="E45" t="s">
        <v>204</v>
      </c>
      <c r="F45" s="55">
        <f ca="1">SUMIF(tables_406010!I:I,input_406010!E45,tables_406010!P:P)</f>
        <v>0.21590650005562481</v>
      </c>
    </row>
    <row r="46" spans="1:7" x14ac:dyDescent="0.15">
      <c r="A46" s="33" t="s">
        <v>108</v>
      </c>
      <c r="B46">
        <f>SUMIF(tables_406010!C:C,input_406010!A46,tables_406010!O:O)</f>
        <v>0</v>
      </c>
      <c r="C46" s="54">
        <f t="shared" ca="1" si="9"/>
        <v>0</v>
      </c>
      <c r="E46" t="s">
        <v>205</v>
      </c>
      <c r="F46" s="55">
        <f ca="1">SUMIF(tables_406010!I:I,input_406010!E46,tables_406010!P:P)</f>
        <v>0.21591042304832203</v>
      </c>
    </row>
    <row r="47" spans="1:7" x14ac:dyDescent="0.15">
      <c r="A47" s="39" t="s">
        <v>59</v>
      </c>
      <c r="B47">
        <f ca="1">SUM(B40:B46)</f>
        <v>1033621.1198000005</v>
      </c>
      <c r="C47" s="55">
        <f ca="1">SUM(C40:C46)</f>
        <v>1</v>
      </c>
      <c r="E47" t="s">
        <v>206</v>
      </c>
      <c r="F47" s="55">
        <f ca="1">SUMIF(tables_406010!I:I,input_406010!E47,tables_406010!P:P)</f>
        <v>0.51818367688317024</v>
      </c>
    </row>
    <row r="48" spans="1:7" x14ac:dyDescent="0.15">
      <c r="E48" t="s">
        <v>207</v>
      </c>
      <c r="F48" s="55">
        <f ca="1">SUMIF(tables_406010!I:I,input_406010!E48,tables_406010!P:P)</f>
        <v>4.9772130012822963E-2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148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input_406010!A$2</f>
        <v>406010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IFERROR(VLOOKUP(B2,input_406010!L:R,7,FALSE),VLOOKUP(tables_406010!C2,input_406010!A:H,8,FALSE))</f>
        <v>17400</v>
      </c>
      <c r="P2" s="46">
        <f t="shared" ref="P2:P65" ca="1" si="1">O2/SUM(O:O)</f>
        <v>9.8862450025470304E-3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input_406010!A$2</f>
        <v>406010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IFERROR(VLOOKUP(B3,input_406010!L:R,7,FALSE),VLOOKUP(tables_406010!C3,input_406010!A:H,8,FALSE))</f>
        <v>1600</v>
      </c>
      <c r="P3" s="46">
        <f t="shared" ca="1" si="1"/>
        <v>9.0908000023420972E-4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input_406010!A$2</f>
        <v>406010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IFERROR(VLOOKUP(B4,input_406010!L:R,7,FALSE),VLOOKUP(tables_406010!C4,input_406010!A:H,8,FALSE))</f>
        <v>17400</v>
      </c>
      <c r="P4" s="46">
        <f t="shared" ca="1" si="1"/>
        <v>9.8862450025470304E-3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input_406010!A$2</f>
        <v>406010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IFERROR(VLOOKUP(B5,input_406010!L:R,7,FALSE),VLOOKUP(tables_406010!C5,input_406010!A:H,8,FALSE))</f>
        <v>1600</v>
      </c>
      <c r="P5" s="46">
        <f t="shared" ca="1" si="1"/>
        <v>9.0908000023420972E-4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input_406010!A$2</f>
        <v>406010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IFERROR(VLOOKUP(B6,input_406010!L:R,7,FALSE),VLOOKUP(tables_406010!C6,input_406010!A:H,8,FALSE))</f>
        <v>17400</v>
      </c>
      <c r="P6" s="46">
        <f t="shared" ca="1" si="1"/>
        <v>9.8862450025470304E-3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input_406010!A$2</f>
        <v>406010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IFERROR(VLOOKUP(B7,input_406010!L:R,7,FALSE),VLOOKUP(tables_406010!C7,input_406010!A:H,8,FALSE))</f>
        <v>1600</v>
      </c>
      <c r="P7" s="46">
        <f t="shared" ca="1" si="1"/>
        <v>9.0908000023420972E-4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input_406010!A$2</f>
        <v>406010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IFERROR(VLOOKUP(B8,input_406010!L:R,7,FALSE),VLOOKUP(tables_406010!C8,input_406010!A:H,8,FALSE))</f>
        <v>17400</v>
      </c>
      <c r="P8" s="46">
        <f t="shared" ca="1" si="1"/>
        <v>9.8862450025470304E-3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input_406010!A$2</f>
        <v>406010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IFERROR(VLOOKUP(B9,input_406010!L:R,7,FALSE),VLOOKUP(tables_406010!C9,input_406010!A:H,8,FALSE))</f>
        <v>1600</v>
      </c>
      <c r="P9" s="46">
        <f t="shared" ca="1" si="1"/>
        <v>9.0908000023420972E-4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input_406010!A$2</f>
        <v>406010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IFERROR(VLOOKUP(B10,input_406010!L:R,7,FALSE),VLOOKUP(tables_406010!C10,input_406010!A:H,8,FALSE))</f>
        <v>17400</v>
      </c>
      <c r="P10" s="46">
        <f t="shared" ca="1" si="1"/>
        <v>9.8862450025470304E-3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input_406010!A$2</f>
        <v>406010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IFERROR(VLOOKUP(B11,input_406010!L:R,7,FALSE),VLOOKUP(tables_406010!C11,input_406010!A:H,8,FALSE))</f>
        <v>1600</v>
      </c>
      <c r="P11" s="46">
        <f t="shared" ca="1" si="1"/>
        <v>9.0908000023420972E-4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input_406010!A$2</f>
        <v>406010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IFERROR(VLOOKUP(B12,input_406010!L:R,7,FALSE),VLOOKUP(tables_406010!C12,input_406010!A:H,8,FALSE))</f>
        <v>17400</v>
      </c>
      <c r="P12" s="46">
        <f t="shared" ca="1" si="1"/>
        <v>9.8862450025470304E-3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input_406010!A$2</f>
        <v>406010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IFERROR(VLOOKUP(B13,input_406010!L:R,7,FALSE),VLOOKUP(tables_406010!C13,input_406010!A:H,8,FALSE))</f>
        <v>1600</v>
      </c>
      <c r="P13" s="46">
        <f t="shared" ca="1" si="1"/>
        <v>9.0908000023420972E-4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input_406010!A$2</f>
        <v>406010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IFERROR(VLOOKUP(B14,input_406010!L:R,7,FALSE),VLOOKUP(tables_406010!C14,input_406010!A:H,8,FALSE))</f>
        <v>17400</v>
      </c>
      <c r="P14" s="46">
        <f t="shared" ca="1" si="1"/>
        <v>9.8862450025470304E-3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input_406010!A$2</f>
        <v>406010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IFERROR(VLOOKUP(B15,input_406010!L:R,7,FALSE),VLOOKUP(tables_406010!C15,input_406010!A:H,8,FALSE))</f>
        <v>1600</v>
      </c>
      <c r="P15" s="46">
        <f t="shared" ca="1" si="1"/>
        <v>9.0908000023420972E-4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input_406010!A$2</f>
        <v>406010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IFERROR(VLOOKUP(B16,input_406010!L:R,7,FALSE),VLOOKUP(tables_406010!C16,input_406010!A:H,8,FALSE))</f>
        <v>17400</v>
      </c>
      <c r="P16" s="46">
        <f t="shared" ca="1" si="1"/>
        <v>9.8862450025470304E-3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input_406010!A$2</f>
        <v>406010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IFERROR(VLOOKUP(B17,input_406010!L:R,7,FALSE),VLOOKUP(tables_406010!C17,input_406010!A:H,8,FALSE))</f>
        <v>1600</v>
      </c>
      <c r="P17" s="46">
        <f t="shared" ca="1" si="1"/>
        <v>9.0908000023420972E-4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input_406010!A$2</f>
        <v>406010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IFERROR(VLOOKUP(B18,input_406010!L:R,7,FALSE),VLOOKUP(tables_406010!C18,input_406010!A:H,8,FALSE))</f>
        <v>17400</v>
      </c>
      <c r="P18" s="46">
        <f t="shared" ca="1" si="1"/>
        <v>9.8862450025470304E-3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input_406010!A$2</f>
        <v>406010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IFERROR(VLOOKUP(B19,input_406010!L:R,7,FALSE),VLOOKUP(tables_406010!C19,input_406010!A:H,8,FALSE))</f>
        <v>1600</v>
      </c>
      <c r="P19" s="46">
        <f t="shared" ca="1" si="1"/>
        <v>9.0908000023420972E-4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input_406010!A$2</f>
        <v>406010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IFERROR(VLOOKUP(B20,input_406010!L:R,7,FALSE),VLOOKUP(tables_406010!C20,input_406010!A:H,8,FALSE))</f>
        <v>17400</v>
      </c>
      <c r="P20" s="46">
        <f t="shared" ca="1" si="1"/>
        <v>9.8862450025470304E-3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input_406010!A$2</f>
        <v>406010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IFERROR(VLOOKUP(B21,input_406010!L:R,7,FALSE),VLOOKUP(tables_406010!C21,input_406010!A:H,8,FALSE))</f>
        <v>1600</v>
      </c>
      <c r="P21" s="46">
        <f t="shared" ca="1" si="1"/>
        <v>9.0908000023420972E-4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input_406010!A$2</f>
        <v>406010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IFERROR(VLOOKUP(B22,input_406010!L:R,7,FALSE),VLOOKUP(tables_406010!C22,input_406010!A:H,8,FALSE))</f>
        <v>17400</v>
      </c>
      <c r="P22" s="46">
        <f t="shared" ca="1" si="1"/>
        <v>9.8862450025470304E-3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input_406010!A$2</f>
        <v>406010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IFERROR(VLOOKUP(B23,input_406010!L:R,7,FALSE),VLOOKUP(tables_406010!C23,input_406010!A:H,8,FALSE))</f>
        <v>1600</v>
      </c>
      <c r="P23" s="46">
        <f t="shared" ca="1" si="1"/>
        <v>9.0908000023420972E-4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input_406010!A$2</f>
        <v>406010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IFERROR(VLOOKUP(B24,input_406010!L:R,7,FALSE),VLOOKUP(tables_406010!C24,input_406010!A:H,8,FALSE))</f>
        <v>17400</v>
      </c>
      <c r="P24" s="46">
        <f t="shared" ca="1" si="1"/>
        <v>9.8862450025470304E-3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input_406010!A$2</f>
        <v>406010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IFERROR(VLOOKUP(B25,input_406010!L:R,7,FALSE),VLOOKUP(tables_406010!C25,input_406010!A:H,8,FALSE))</f>
        <v>1600</v>
      </c>
      <c r="P25" s="46">
        <f t="shared" ca="1" si="1"/>
        <v>9.0908000023420972E-4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input_406010!A$2</f>
        <v>406010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IFERROR(VLOOKUP(B26,input_406010!L:R,7,FALSE),VLOOKUP(tables_406010!C26,input_406010!A:H,8,FALSE))</f>
        <v>17400</v>
      </c>
      <c r="P26" s="46">
        <f t="shared" ca="1" si="1"/>
        <v>9.8862450025470304E-3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input_406010!A$2</f>
        <v>406010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IFERROR(VLOOKUP(B27,input_406010!L:R,7,FALSE),VLOOKUP(tables_406010!C27,input_406010!A:H,8,FALSE))</f>
        <v>1600</v>
      </c>
      <c r="P27" s="46">
        <f t="shared" ca="1" si="1"/>
        <v>9.0908000023420972E-4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input_406010!A$2</f>
        <v>406010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IFERROR(VLOOKUP(B28,input_406010!L:R,7,FALSE),VLOOKUP(tables_406010!C28,input_406010!A:H,8,FALSE))</f>
        <v>17400</v>
      </c>
      <c r="P28" s="46">
        <f t="shared" ca="1" si="1"/>
        <v>9.8862450025470304E-3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input_406010!A$2</f>
        <v>406010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IFERROR(VLOOKUP(B29,input_406010!L:R,7,FALSE),VLOOKUP(tables_406010!C29,input_406010!A:H,8,FALSE))</f>
        <v>1600</v>
      </c>
      <c r="P29" s="46">
        <f t="shared" ca="1" si="1"/>
        <v>9.0908000023420972E-4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input_406010!A$2</f>
        <v>406010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IFERROR(VLOOKUP(B30,input_406010!L:R,7,FALSE),VLOOKUP(tables_406010!C30,input_406010!A:H,8,FALSE))</f>
        <v>17400</v>
      </c>
      <c r="P30" s="46">
        <f t="shared" ca="1" si="1"/>
        <v>9.8862450025470304E-3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input_406010!A$2</f>
        <v>406010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IFERROR(VLOOKUP(B31,input_406010!L:R,7,FALSE),VLOOKUP(tables_406010!C31,input_406010!A:H,8,FALSE))</f>
        <v>1600</v>
      </c>
      <c r="P31" s="46">
        <f t="shared" ca="1" si="1"/>
        <v>9.0908000023420972E-4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input_406010!A$2</f>
        <v>406010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IFERROR(VLOOKUP(B32,input_406010!L:R,7,FALSE),VLOOKUP(tables_406010!C32,input_406010!A:H,8,FALSE))</f>
        <v>17400</v>
      </c>
      <c r="P32" s="46">
        <f t="shared" ca="1" si="1"/>
        <v>9.8862450025470304E-3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input_406010!A$2</f>
        <v>406010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IFERROR(VLOOKUP(B33,input_406010!L:R,7,FALSE),VLOOKUP(tables_406010!C33,input_406010!A:H,8,FALSE))</f>
        <v>1600</v>
      </c>
      <c r="P33" s="46">
        <f t="shared" ca="1" si="1"/>
        <v>9.0908000023420972E-4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input_406010!A$2</f>
        <v>406010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IFERROR(VLOOKUP(B34,input_406010!L:R,7,FALSE),VLOOKUP(tables_406010!C34,input_406010!A:H,8,FALSE))</f>
        <v>17400</v>
      </c>
      <c r="P34" s="46">
        <f t="shared" ca="1" si="1"/>
        <v>9.8862450025470304E-3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input_406010!A$2</f>
        <v>406010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IFERROR(VLOOKUP(B35,input_406010!L:R,7,FALSE),VLOOKUP(tables_406010!C35,input_406010!A:H,8,FALSE))</f>
        <v>1600</v>
      </c>
      <c r="P35" s="46">
        <f t="shared" ca="1" si="1"/>
        <v>9.0908000023420972E-4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input_406010!A$2</f>
        <v>406010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IFERROR(VLOOKUP(B36,input_406010!L:R,7,FALSE),VLOOKUP(tables_406010!C36,input_406010!A:H,8,FALSE))</f>
        <v>17400</v>
      </c>
      <c r="P36" s="46">
        <f t="shared" ca="1" si="1"/>
        <v>9.8862450025470304E-3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input_406010!A$2</f>
        <v>406010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IFERROR(VLOOKUP(B37,input_406010!L:R,7,FALSE),VLOOKUP(tables_406010!C37,input_406010!A:H,8,FALSE))</f>
        <v>1600</v>
      </c>
      <c r="P37" s="46">
        <f t="shared" ca="1" si="1"/>
        <v>9.0908000023420972E-4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input_406010!A$2</f>
        <v>406010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IFERROR(VLOOKUP(B38,input_406010!L:R,7,FALSE),VLOOKUP(tables_406010!C38,input_406010!A:H,8,FALSE))</f>
        <v>17400</v>
      </c>
      <c r="P38" s="46">
        <f t="shared" ca="1" si="1"/>
        <v>9.8862450025470304E-3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input_406010!A$2</f>
        <v>406010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IFERROR(VLOOKUP(B39,input_406010!L:R,7,FALSE),VLOOKUP(tables_406010!C39,input_406010!A:H,8,FALSE))</f>
        <v>1600</v>
      </c>
      <c r="P39" s="46">
        <f t="shared" ca="1" si="1"/>
        <v>9.0908000023420972E-4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input_406010!A$2</f>
        <v>406010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IFERROR(VLOOKUP(B40,input_406010!L:R,7,FALSE),VLOOKUP(tables_406010!C40,input_406010!A:H,8,FALSE))</f>
        <v>17400</v>
      </c>
      <c r="P40" s="46">
        <f t="shared" ca="1" si="1"/>
        <v>9.8862450025470304E-3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input_406010!A$2</f>
        <v>406010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IFERROR(VLOOKUP(B41,input_406010!L:R,7,FALSE),VLOOKUP(tables_406010!C41,input_406010!A:H,8,FALSE))</f>
        <v>1600</v>
      </c>
      <c r="P41" s="46">
        <f t="shared" ca="1" si="1"/>
        <v>9.0908000023420972E-4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input_406010!A$2</f>
        <v>406010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IFERROR(VLOOKUP(B42,input_406010!L:R,7,FALSE),VLOOKUP(tables_406010!C42,input_406010!A:H,8,FALSE))</f>
        <v>9500</v>
      </c>
      <c r="P42" s="46">
        <f t="shared" ca="1" si="1"/>
        <v>5.3976625013906201E-3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input_406010!A$2</f>
        <v>406010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IFERROR(VLOOKUP(B43,input_406010!L:R,7,FALSE),VLOOKUP(tables_406010!C43,input_406010!A:H,8,FALSE))</f>
        <v>8550</v>
      </c>
      <c r="P43" s="46">
        <f t="shared" ca="1" si="1"/>
        <v>4.8578962512515582E-3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input_406010!A$2</f>
        <v>406010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IFERROR(VLOOKUP(B44,input_406010!L:R,7,FALSE),VLOOKUP(tables_406010!C44,input_406010!A:H,8,FALSE))</f>
        <v>950</v>
      </c>
      <c r="P44" s="46">
        <f t="shared" ca="1" si="1"/>
        <v>5.3976625013906203E-4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input_406010!A$2</f>
        <v>406010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IFERROR(VLOOKUP(B45,input_406010!L:R,7,FALSE),VLOOKUP(tables_406010!C45,input_406010!A:H,8,FALSE))</f>
        <v>9500</v>
      </c>
      <c r="P45" s="46">
        <f t="shared" ca="1" si="1"/>
        <v>5.3976625013906201E-3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input_406010!A$2</f>
        <v>406010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IFERROR(VLOOKUP(B46,input_406010!L:R,7,FALSE),VLOOKUP(tables_406010!C46,input_406010!A:H,8,FALSE))</f>
        <v>8550</v>
      </c>
      <c r="P46" s="46">
        <f t="shared" ca="1" si="1"/>
        <v>4.8578962512515582E-3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input_406010!A$2</f>
        <v>406010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IFERROR(VLOOKUP(B47,input_406010!L:R,7,FALSE),VLOOKUP(tables_406010!C47,input_406010!A:H,8,FALSE))</f>
        <v>950</v>
      </c>
      <c r="P47" s="46">
        <f t="shared" ca="1" si="1"/>
        <v>5.3976625013906203E-4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input_406010!A$2</f>
        <v>406010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IFERROR(VLOOKUP(B48,input_406010!L:R,7,FALSE),VLOOKUP(tables_406010!C48,input_406010!A:H,8,FALSE))</f>
        <v>9500</v>
      </c>
      <c r="P48" s="46">
        <f t="shared" ca="1" si="1"/>
        <v>5.3976625013906201E-3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input_406010!A$2</f>
        <v>406010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IFERROR(VLOOKUP(B49,input_406010!L:R,7,FALSE),VLOOKUP(tables_406010!C49,input_406010!A:H,8,FALSE))</f>
        <v>8550</v>
      </c>
      <c r="P49" s="46">
        <f t="shared" ca="1" si="1"/>
        <v>4.8578962512515582E-3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input_406010!A$2</f>
        <v>406010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IFERROR(VLOOKUP(B50,input_406010!L:R,7,FALSE),VLOOKUP(tables_406010!C50,input_406010!A:H,8,FALSE))</f>
        <v>950</v>
      </c>
      <c r="P50" s="46">
        <f t="shared" ca="1" si="1"/>
        <v>5.3976625013906203E-4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input_406010!A$2</f>
        <v>406010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IFERROR(VLOOKUP(B51,input_406010!L:R,7,FALSE),VLOOKUP(tables_406010!C51,input_406010!A:H,8,FALSE))</f>
        <v>9500</v>
      </c>
      <c r="P51" s="46">
        <f t="shared" ca="1" si="1"/>
        <v>5.3976625013906201E-3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input_406010!A$2</f>
        <v>406010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IFERROR(VLOOKUP(B52,input_406010!L:R,7,FALSE),VLOOKUP(tables_406010!C52,input_406010!A:H,8,FALSE))</f>
        <v>8959.0953800000007</v>
      </c>
      <c r="P52" s="46">
        <f t="shared" ca="1" si="1"/>
        <v>5.0903340188429421E-3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input_406010!A$2</f>
        <v>406010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IFERROR(VLOOKUP(B53,input_406010!L:R,7,FALSE),VLOOKUP(tables_406010!C53,input_406010!A:H,8,FALSE))</f>
        <v>541.31077000000005</v>
      </c>
      <c r="P53" s="46">
        <f t="shared" ca="1" si="1"/>
        <v>3.0755924682398768E-4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input_406010!A$2</f>
        <v>406010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IFERROR(VLOOKUP(B54,input_406010!L:R,7,FALSE),VLOOKUP(tables_406010!C54,input_406010!A:H,8,FALSE))</f>
        <v>9500</v>
      </c>
      <c r="P54" s="46">
        <f t="shared" ca="1" si="1"/>
        <v>5.3976625013906201E-3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input_406010!A$2</f>
        <v>406010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IFERROR(VLOOKUP(B55,input_406010!L:R,7,FALSE),VLOOKUP(tables_406010!C55,input_406010!A:H,8,FALSE))</f>
        <v>8959.0953800000007</v>
      </c>
      <c r="P55" s="46">
        <f t="shared" ca="1" si="1"/>
        <v>5.0903340188429421E-3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input_406010!A$2</f>
        <v>406010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IFERROR(VLOOKUP(B56,input_406010!L:R,7,FALSE),VLOOKUP(tables_406010!C56,input_406010!A:H,8,FALSE))</f>
        <v>541.31077000000005</v>
      </c>
      <c r="P56" s="46">
        <f t="shared" ca="1" si="1"/>
        <v>3.0755924682398768E-4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input_406010!A$2</f>
        <v>406010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IFERROR(VLOOKUP(B57,input_406010!L:R,7,FALSE),VLOOKUP(tables_406010!C57,input_406010!A:H,8,FALSE))</f>
        <v>9500</v>
      </c>
      <c r="P57" s="46">
        <f t="shared" ca="1" si="1"/>
        <v>5.3976625013906201E-3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input_406010!A$2</f>
        <v>406010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IFERROR(VLOOKUP(B58,input_406010!L:R,7,FALSE),VLOOKUP(tables_406010!C58,input_406010!A:H,8,FALSE))</f>
        <v>8959.0953800000007</v>
      </c>
      <c r="P58" s="46">
        <f t="shared" ca="1" si="1"/>
        <v>5.0903340188429421E-3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input_406010!A$2</f>
        <v>406010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IFERROR(VLOOKUP(B59,input_406010!L:R,7,FALSE),VLOOKUP(tables_406010!C59,input_406010!A:H,8,FALSE))</f>
        <v>541.31077000000005</v>
      </c>
      <c r="P59" s="46">
        <f t="shared" ca="1" si="1"/>
        <v>3.0755924682398768E-4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input_406010!A$2</f>
        <v>406010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IFERROR(VLOOKUP(B60,input_406010!L:R,7,FALSE),VLOOKUP(tables_406010!C60,input_406010!A:H,8,FALSE))</f>
        <v>9500</v>
      </c>
      <c r="P60" s="46">
        <f t="shared" ca="1" si="1"/>
        <v>5.3976625013906201E-3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input_406010!A$2</f>
        <v>406010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IFERROR(VLOOKUP(B61,input_406010!L:R,7,FALSE),VLOOKUP(tables_406010!C61,input_406010!A:H,8,FALSE))</f>
        <v>8959.0953800000007</v>
      </c>
      <c r="P61" s="46">
        <f t="shared" ca="1" si="1"/>
        <v>5.0903340188429421E-3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input_406010!A$2</f>
        <v>406010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IFERROR(VLOOKUP(B62,input_406010!L:R,7,FALSE),VLOOKUP(tables_406010!C62,input_406010!A:H,8,FALSE))</f>
        <v>541.31077000000005</v>
      </c>
      <c r="P62" s="46">
        <f t="shared" ca="1" si="1"/>
        <v>3.0755924682398768E-4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input_406010!A$2</f>
        <v>406010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IFERROR(VLOOKUP(B63,input_406010!L:R,7,FALSE),VLOOKUP(tables_406010!C63,input_406010!A:H,8,FALSE))</f>
        <v>9500</v>
      </c>
      <c r="P63" s="46">
        <f t="shared" ca="1" si="1"/>
        <v>5.3976625013906201E-3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input_406010!A$2</f>
        <v>406010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IFERROR(VLOOKUP(B64,input_406010!L:R,7,FALSE),VLOOKUP(tables_406010!C64,input_406010!A:H,8,FALSE))</f>
        <v>8959.0953800000007</v>
      </c>
      <c r="P64" s="46">
        <f t="shared" ca="1" si="1"/>
        <v>5.0903340188429421E-3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input_406010!A$2</f>
        <v>406010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IFERROR(VLOOKUP(B65,input_406010!L:R,7,FALSE),VLOOKUP(tables_406010!C65,input_406010!A:H,8,FALSE))</f>
        <v>541.31077000000005</v>
      </c>
      <c r="P65" s="46">
        <f t="shared" ca="1" si="1"/>
        <v>3.0755924682398768E-4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input_406010!A$2</f>
        <v>406010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IFERROR(VLOOKUP(B66,input_406010!L:R,7,FALSE),VLOOKUP(tables_406010!C66,input_406010!A:H,8,FALSE))</f>
        <v>9500</v>
      </c>
      <c r="P66" s="46">
        <f t="shared" ref="P66:P129" ca="1" si="4">O66/SUM(O:O)</f>
        <v>5.3976625013906201E-3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input_406010!A$2</f>
        <v>406010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IFERROR(VLOOKUP(B67,input_406010!L:R,7,FALSE),VLOOKUP(tables_406010!C67,input_406010!A:H,8,FALSE))</f>
        <v>8959.0953800000007</v>
      </c>
      <c r="P67" s="46">
        <f t="shared" ca="1" si="4"/>
        <v>5.0903340188429421E-3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input_406010!A$2</f>
        <v>406010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IFERROR(VLOOKUP(B68,input_406010!L:R,7,FALSE),VLOOKUP(tables_406010!C68,input_406010!A:H,8,FALSE))</f>
        <v>541.31077000000005</v>
      </c>
      <c r="P68" s="46">
        <f t="shared" ca="1" si="4"/>
        <v>3.0755924682398768E-4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input_406010!A$2</f>
        <v>406010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IFERROR(VLOOKUP(B69,input_406010!L:R,7,FALSE),VLOOKUP(tables_406010!C69,input_406010!A:H,8,FALSE))</f>
        <v>9500</v>
      </c>
      <c r="P69" s="46">
        <f t="shared" ca="1" si="4"/>
        <v>5.3976625013906201E-3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input_406010!A$2</f>
        <v>406010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IFERROR(VLOOKUP(B70,input_406010!L:R,7,FALSE),VLOOKUP(tables_406010!C70,input_406010!A:H,8,FALSE))</f>
        <v>8959.0953800000007</v>
      </c>
      <c r="P70" s="46">
        <f t="shared" ca="1" si="4"/>
        <v>5.0903340188429421E-3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input_406010!A$2</f>
        <v>406010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IFERROR(VLOOKUP(B71,input_406010!L:R,7,FALSE),VLOOKUP(tables_406010!C71,input_406010!A:H,8,FALSE))</f>
        <v>541.31077000000005</v>
      </c>
      <c r="P71" s="46">
        <f t="shared" ca="1" si="4"/>
        <v>3.0755924682398768E-4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input_406010!A$2</f>
        <v>406010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IFERROR(VLOOKUP(B72,input_406010!L:R,7,FALSE),VLOOKUP(tables_406010!C72,input_406010!A:H,8,FALSE))</f>
        <v>9500</v>
      </c>
      <c r="P72" s="46">
        <f t="shared" ca="1" si="4"/>
        <v>5.3976625013906201E-3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input_406010!A$2</f>
        <v>406010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IFERROR(VLOOKUP(B73,input_406010!L:R,7,FALSE),VLOOKUP(tables_406010!C73,input_406010!A:H,8,FALSE))</f>
        <v>8959.0953800000007</v>
      </c>
      <c r="P73" s="46">
        <f t="shared" ca="1" si="4"/>
        <v>5.0903340188429421E-3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input_406010!A$2</f>
        <v>406010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IFERROR(VLOOKUP(B74,input_406010!L:R,7,FALSE),VLOOKUP(tables_406010!C74,input_406010!A:H,8,FALSE))</f>
        <v>541.31077000000005</v>
      </c>
      <c r="P74" s="46">
        <f t="shared" ca="1" si="4"/>
        <v>3.0755924682398768E-4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input_406010!A$2</f>
        <v>406010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IFERROR(VLOOKUP(B75,input_406010!L:R,7,FALSE),VLOOKUP(tables_406010!C75,input_406010!A:H,8,FALSE))</f>
        <v>9500</v>
      </c>
      <c r="P75" s="46">
        <f t="shared" ca="1" si="4"/>
        <v>5.3976625013906201E-3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input_406010!A$2</f>
        <v>406010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IFERROR(VLOOKUP(B76,input_406010!L:R,7,FALSE),VLOOKUP(tables_406010!C76,input_406010!A:H,8,FALSE))</f>
        <v>8959.0953800000007</v>
      </c>
      <c r="P76" s="46">
        <f t="shared" ca="1" si="4"/>
        <v>5.0903340188429421E-3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input_406010!A$2</f>
        <v>406010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IFERROR(VLOOKUP(B77,input_406010!L:R,7,FALSE),VLOOKUP(tables_406010!C77,input_406010!A:H,8,FALSE))</f>
        <v>541.31077000000005</v>
      </c>
      <c r="P77" s="46">
        <f t="shared" ca="1" si="4"/>
        <v>3.0755924682398768E-4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input_406010!A$2</f>
        <v>406010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IFERROR(VLOOKUP(B78,input_406010!L:R,7,FALSE),VLOOKUP(tables_406010!C78,input_406010!A:H,8,FALSE))</f>
        <v>9500</v>
      </c>
      <c r="P78" s="46">
        <f t="shared" ca="1" si="4"/>
        <v>5.3976625013906201E-3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input_406010!A$2</f>
        <v>406010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IFERROR(VLOOKUP(B79,input_406010!L:R,7,FALSE),VLOOKUP(tables_406010!C79,input_406010!A:H,8,FALSE))</f>
        <v>8959.0953800000007</v>
      </c>
      <c r="P79" s="46">
        <f t="shared" ca="1" si="4"/>
        <v>5.0903340188429421E-3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input_406010!A$2</f>
        <v>406010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IFERROR(VLOOKUP(B80,input_406010!L:R,7,FALSE),VLOOKUP(tables_406010!C80,input_406010!A:H,8,FALSE))</f>
        <v>541.31077000000005</v>
      </c>
      <c r="P80" s="46">
        <f t="shared" ca="1" si="4"/>
        <v>3.0755924682398768E-4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input_406010!A$2</f>
        <v>406010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IFERROR(VLOOKUP(B81,input_406010!L:R,7,FALSE),VLOOKUP(tables_406010!C81,input_406010!A:H,8,FALSE))</f>
        <v>9500</v>
      </c>
      <c r="P81" s="46">
        <f t="shared" ca="1" si="4"/>
        <v>5.3976625013906201E-3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input_406010!A$2</f>
        <v>406010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IFERROR(VLOOKUP(B82,input_406010!L:R,7,FALSE),VLOOKUP(tables_406010!C82,input_406010!A:H,8,FALSE))</f>
        <v>8959.0953800000007</v>
      </c>
      <c r="P82" s="46">
        <f t="shared" ca="1" si="4"/>
        <v>5.0903340188429421E-3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input_406010!A$2</f>
        <v>406010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IFERROR(VLOOKUP(B83,input_406010!L:R,7,FALSE),VLOOKUP(tables_406010!C83,input_406010!A:H,8,FALSE))</f>
        <v>541.31077000000005</v>
      </c>
      <c r="P83" s="46">
        <f t="shared" ca="1" si="4"/>
        <v>3.0755924682398768E-4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input_406010!A$2</f>
        <v>406010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IFERROR(VLOOKUP(B84,input_406010!L:R,7,FALSE),VLOOKUP(tables_406010!C84,input_406010!A:H,8,FALSE))</f>
        <v>9500</v>
      </c>
      <c r="P84" s="46">
        <f t="shared" ca="1" si="4"/>
        <v>5.3976625013906201E-3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input_406010!A$2</f>
        <v>406010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IFERROR(VLOOKUP(B85,input_406010!L:R,7,FALSE),VLOOKUP(tables_406010!C85,input_406010!A:H,8,FALSE))</f>
        <v>8959.0953800000007</v>
      </c>
      <c r="P85" s="46">
        <f t="shared" ca="1" si="4"/>
        <v>5.0903340188429421E-3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input_406010!A$2</f>
        <v>406010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IFERROR(VLOOKUP(B86,input_406010!L:R,7,FALSE),VLOOKUP(tables_406010!C86,input_406010!A:H,8,FALSE))</f>
        <v>541.31077000000005</v>
      </c>
      <c r="P86" s="46">
        <f t="shared" ca="1" si="4"/>
        <v>3.0755924682398768E-4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input_406010!A$2</f>
        <v>406010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IFERROR(VLOOKUP(B87,input_406010!L:R,7,FALSE),VLOOKUP(tables_406010!C87,input_406010!A:H,8,FALSE))</f>
        <v>9500</v>
      </c>
      <c r="P87" s="46">
        <f t="shared" ca="1" si="4"/>
        <v>5.3976625013906201E-3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input_406010!A$2</f>
        <v>406010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IFERROR(VLOOKUP(B88,input_406010!L:R,7,FALSE),VLOOKUP(tables_406010!C88,input_406010!A:H,8,FALSE))</f>
        <v>8959.0953800000007</v>
      </c>
      <c r="P88" s="46">
        <f t="shared" ca="1" si="4"/>
        <v>5.0903340188429421E-3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input_406010!A$2</f>
        <v>406010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IFERROR(VLOOKUP(B89,input_406010!L:R,7,FALSE),VLOOKUP(tables_406010!C89,input_406010!A:H,8,FALSE))</f>
        <v>541.31077000000005</v>
      </c>
      <c r="P89" s="46">
        <f t="shared" ca="1" si="4"/>
        <v>3.0755924682398768E-4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input_406010!A$2</f>
        <v>406010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IFERROR(VLOOKUP(B90,input_406010!L:R,7,FALSE),VLOOKUP(tables_406010!C90,input_406010!A:H,8,FALSE))</f>
        <v>9500</v>
      </c>
      <c r="P90" s="46">
        <f t="shared" ca="1" si="4"/>
        <v>5.3976625013906201E-3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input_406010!A$2</f>
        <v>406010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IFERROR(VLOOKUP(B91,input_406010!L:R,7,FALSE),VLOOKUP(tables_406010!C91,input_406010!A:H,8,FALSE))</f>
        <v>8959.0953800000007</v>
      </c>
      <c r="P91" s="46">
        <f t="shared" ca="1" si="4"/>
        <v>5.0903340188429421E-3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input_406010!A$2</f>
        <v>406010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IFERROR(VLOOKUP(B92,input_406010!L:R,7,FALSE),VLOOKUP(tables_406010!C92,input_406010!A:H,8,FALSE))</f>
        <v>541.31077000000005</v>
      </c>
      <c r="P92" s="46">
        <f t="shared" ca="1" si="4"/>
        <v>3.0755924682398768E-4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input_406010!A$2</f>
        <v>406010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IFERROR(VLOOKUP(B93,input_406010!L:R,7,FALSE),VLOOKUP(tables_406010!C93,input_406010!A:H,8,FALSE))</f>
        <v>9500</v>
      </c>
      <c r="P93" s="46">
        <f t="shared" ca="1" si="4"/>
        <v>5.3976625013906201E-3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input_406010!A$2</f>
        <v>406010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IFERROR(VLOOKUP(B94,input_406010!L:R,7,FALSE),VLOOKUP(tables_406010!C94,input_406010!A:H,8,FALSE))</f>
        <v>8959.0953800000007</v>
      </c>
      <c r="P94" s="46">
        <f t="shared" ca="1" si="4"/>
        <v>5.0903340188429421E-3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input_406010!A$2</f>
        <v>406010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IFERROR(VLOOKUP(B95,input_406010!L:R,7,FALSE),VLOOKUP(tables_406010!C95,input_406010!A:H,8,FALSE))</f>
        <v>541.31077000000005</v>
      </c>
      <c r="P95" s="46">
        <f t="shared" ca="1" si="4"/>
        <v>3.0755924682398768E-4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input_406010!A$2</f>
        <v>406010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IFERROR(VLOOKUP(B96,input_406010!L:R,7,FALSE),VLOOKUP(tables_406010!C96,input_406010!A:H,8,FALSE))</f>
        <v>9500</v>
      </c>
      <c r="P96" s="46">
        <f t="shared" ca="1" si="4"/>
        <v>5.3976625013906201E-3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input_406010!A$2</f>
        <v>406010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IFERROR(VLOOKUP(B97,input_406010!L:R,7,FALSE),VLOOKUP(tables_406010!C97,input_406010!A:H,8,FALSE))</f>
        <v>8959.0953800000007</v>
      </c>
      <c r="P97" s="46">
        <f t="shared" ca="1" si="4"/>
        <v>5.0903340188429421E-3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input_406010!A$2</f>
        <v>406010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IFERROR(VLOOKUP(B98,input_406010!L:R,7,FALSE),VLOOKUP(tables_406010!C98,input_406010!A:H,8,FALSE))</f>
        <v>541.31077000000005</v>
      </c>
      <c r="P98" s="46">
        <f t="shared" ca="1" si="4"/>
        <v>3.0755924682398768E-4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input_406010!A$2</f>
        <v>406010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IFERROR(VLOOKUP(B99,input_406010!L:R,7,FALSE),VLOOKUP(tables_406010!C99,input_406010!A:H,8,FALSE))</f>
        <v>9500</v>
      </c>
      <c r="P99" s="46">
        <f t="shared" ca="1" si="4"/>
        <v>5.3976625013906201E-3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input_406010!A$2</f>
        <v>406010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IFERROR(VLOOKUP(B100,input_406010!L:R,7,FALSE),VLOOKUP(tables_406010!C100,input_406010!A:H,8,FALSE))</f>
        <v>8959.0953800000007</v>
      </c>
      <c r="P100" s="46">
        <f t="shared" ca="1" si="4"/>
        <v>5.0903340188429421E-3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input_406010!A$2</f>
        <v>406010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IFERROR(VLOOKUP(B101,input_406010!L:R,7,FALSE),VLOOKUP(tables_406010!C101,input_406010!A:H,8,FALSE))</f>
        <v>541.31077000000005</v>
      </c>
      <c r="P101" s="46">
        <f t="shared" ca="1" si="4"/>
        <v>3.0755924682398768E-4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input_406010!A$2</f>
        <v>406010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IFERROR(VLOOKUP(B102,input_406010!L:R,7,FALSE),VLOOKUP(tables_406010!C102,input_406010!A:H,8,FALSE))</f>
        <v>9500</v>
      </c>
      <c r="P102" s="46">
        <f t="shared" ca="1" si="4"/>
        <v>5.3976625013906201E-3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input_406010!A$2</f>
        <v>406010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IFERROR(VLOOKUP(B103,input_406010!L:R,7,FALSE),VLOOKUP(tables_406010!C103,input_406010!A:H,8,FALSE))</f>
        <v>8959.0953800000007</v>
      </c>
      <c r="P103" s="46">
        <f t="shared" ca="1" si="4"/>
        <v>5.0903340188429421E-3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input_406010!A$2</f>
        <v>406010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IFERROR(VLOOKUP(B104,input_406010!L:R,7,FALSE),VLOOKUP(tables_406010!C104,input_406010!A:H,8,FALSE))</f>
        <v>541.31077000000005</v>
      </c>
      <c r="P104" s="46">
        <f t="shared" ca="1" si="4"/>
        <v>3.0755924682398768E-4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input_406010!A$2</f>
        <v>406010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IFERROR(VLOOKUP(B105,input_406010!L:R,7,FALSE),VLOOKUP(tables_406010!C105,input_406010!A:H,8,FALSE))</f>
        <v>9500</v>
      </c>
      <c r="P105" s="46">
        <f t="shared" ca="1" si="4"/>
        <v>5.3976625013906201E-3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input_406010!A$2</f>
        <v>406010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IFERROR(VLOOKUP(B106,input_406010!L:R,7,FALSE),VLOOKUP(tables_406010!C106,input_406010!A:H,8,FALSE))</f>
        <v>8959.0953800000007</v>
      </c>
      <c r="P106" s="46">
        <f t="shared" ca="1" si="4"/>
        <v>5.0903340188429421E-3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input_406010!A$2</f>
        <v>406010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IFERROR(VLOOKUP(B107,input_406010!L:R,7,FALSE),VLOOKUP(tables_406010!C107,input_406010!A:H,8,FALSE))</f>
        <v>541.31077000000005</v>
      </c>
      <c r="P107" s="46">
        <f t="shared" ca="1" si="4"/>
        <v>3.0755924682398768E-4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input_406010!A$2</f>
        <v>406010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IFERROR(VLOOKUP(B108,input_406010!L:R,7,FALSE),VLOOKUP(tables_406010!C108,input_406010!A:H,8,FALSE))</f>
        <v>9500</v>
      </c>
      <c r="P108" s="46">
        <f t="shared" ca="1" si="4"/>
        <v>5.3976625013906201E-3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input_406010!A$2</f>
        <v>406010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IFERROR(VLOOKUP(B109,input_406010!L:R,7,FALSE),VLOOKUP(tables_406010!C109,input_406010!A:H,8,FALSE))</f>
        <v>8959.0953800000007</v>
      </c>
      <c r="P109" s="46">
        <f t="shared" ca="1" si="4"/>
        <v>5.0903340188429421E-3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input_406010!A$2</f>
        <v>406010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IFERROR(VLOOKUP(B110,input_406010!L:R,7,FALSE),VLOOKUP(tables_406010!C110,input_406010!A:H,8,FALSE))</f>
        <v>541.31077000000005</v>
      </c>
      <c r="P110" s="46">
        <f t="shared" ca="1" si="4"/>
        <v>3.0755924682398768E-4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input_406010!A$2</f>
        <v>406010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IFERROR(VLOOKUP(B111,input_406010!L:R,7,FALSE),VLOOKUP(tables_406010!C111,input_406010!A:H,8,FALSE))</f>
        <v>9500</v>
      </c>
      <c r="P111" s="46">
        <f t="shared" ca="1" si="4"/>
        <v>5.3976625013906201E-3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input_406010!A$2</f>
        <v>406010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IFERROR(VLOOKUP(B112,input_406010!L:R,7,FALSE),VLOOKUP(tables_406010!C112,input_406010!A:H,8,FALSE))</f>
        <v>8550</v>
      </c>
      <c r="P112" s="46">
        <f t="shared" ca="1" si="4"/>
        <v>4.8578962512515582E-3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input_406010!A$2</f>
        <v>406010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IFERROR(VLOOKUP(B113,input_406010!L:R,7,FALSE),VLOOKUP(tables_406010!C113,input_406010!A:H,8,FALSE))</f>
        <v>950</v>
      </c>
      <c r="P113" s="46">
        <f t="shared" ca="1" si="4"/>
        <v>5.3976625013906203E-4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input_406010!A$2</f>
        <v>406010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IFERROR(VLOOKUP(B114,input_406010!L:R,7,FALSE),VLOOKUP(tables_406010!C114,input_406010!A:H,8,FALSE))</f>
        <v>9500</v>
      </c>
      <c r="P114" s="46">
        <f t="shared" ca="1" si="4"/>
        <v>5.3976625013906201E-3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input_406010!A$2</f>
        <v>406010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IFERROR(VLOOKUP(B115,input_406010!L:R,7,FALSE),VLOOKUP(tables_406010!C115,input_406010!A:H,8,FALSE))</f>
        <v>8959.0953800000007</v>
      </c>
      <c r="P115" s="46">
        <f t="shared" ca="1" si="4"/>
        <v>5.0903340188429421E-3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input_406010!A$2</f>
        <v>406010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IFERROR(VLOOKUP(B116,input_406010!L:R,7,FALSE),VLOOKUP(tables_406010!C116,input_406010!A:H,8,FALSE))</f>
        <v>541.31077000000005</v>
      </c>
      <c r="P116" s="46">
        <f t="shared" ca="1" si="4"/>
        <v>3.0755924682398768E-4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input_406010!A$2</f>
        <v>406010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IFERROR(VLOOKUP(B117,input_406010!L:R,7,FALSE),VLOOKUP(tables_406010!C117,input_406010!A:H,8,FALSE))</f>
        <v>9500</v>
      </c>
      <c r="P117" s="46">
        <f t="shared" ca="1" si="4"/>
        <v>5.3976625013906201E-3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input_406010!A$2</f>
        <v>406010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IFERROR(VLOOKUP(B118,input_406010!L:R,7,FALSE),VLOOKUP(tables_406010!C118,input_406010!A:H,8,FALSE))</f>
        <v>8959.0953800000007</v>
      </c>
      <c r="P118" s="46">
        <f t="shared" ca="1" si="4"/>
        <v>5.0903340188429421E-3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input_406010!A$2</f>
        <v>406010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IFERROR(VLOOKUP(B119,input_406010!L:R,7,FALSE),VLOOKUP(tables_406010!C119,input_406010!A:H,8,FALSE))</f>
        <v>541.31077000000005</v>
      </c>
      <c r="P119" s="46">
        <f t="shared" ca="1" si="4"/>
        <v>3.0755924682398768E-4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input_406010!A$2</f>
        <v>406010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IFERROR(VLOOKUP(B120,input_406010!L:R,7,FALSE),VLOOKUP(tables_406010!C120,input_406010!A:H,8,FALSE))</f>
        <v>9500</v>
      </c>
      <c r="P120" s="46">
        <f t="shared" ca="1" si="4"/>
        <v>5.3976625013906201E-3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input_406010!A$2</f>
        <v>406010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IFERROR(VLOOKUP(B121,input_406010!L:R,7,FALSE),VLOOKUP(tables_406010!C121,input_406010!A:H,8,FALSE))</f>
        <v>8959.0953800000007</v>
      </c>
      <c r="P121" s="46">
        <f t="shared" ca="1" si="4"/>
        <v>5.0903340188429421E-3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input_406010!A$2</f>
        <v>406010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IFERROR(VLOOKUP(B122,input_406010!L:R,7,FALSE),VLOOKUP(tables_406010!C122,input_406010!A:H,8,FALSE))</f>
        <v>541.31077000000005</v>
      </c>
      <c r="P122" s="46">
        <f t="shared" ca="1" si="4"/>
        <v>3.0755924682398768E-4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input_406010!A$2</f>
        <v>406010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IFERROR(VLOOKUP(B123,input_406010!L:R,7,FALSE),VLOOKUP(tables_406010!C123,input_406010!A:H,8,FALSE))</f>
        <v>9500</v>
      </c>
      <c r="P123" s="46">
        <f t="shared" ca="1" si="4"/>
        <v>5.3976625013906201E-3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input_406010!A$2</f>
        <v>406010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IFERROR(VLOOKUP(B124,input_406010!L:R,7,FALSE),VLOOKUP(tables_406010!C124,input_406010!A:H,8,FALSE))</f>
        <v>8959.0953800000007</v>
      </c>
      <c r="P124" s="46">
        <f t="shared" ca="1" si="4"/>
        <v>5.0903340188429421E-3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input_406010!A$2</f>
        <v>406010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IFERROR(VLOOKUP(B125,input_406010!L:R,7,FALSE),VLOOKUP(tables_406010!C125,input_406010!A:H,8,FALSE))</f>
        <v>541.31077000000005</v>
      </c>
      <c r="P125" s="46">
        <f t="shared" ca="1" si="4"/>
        <v>3.0755924682398768E-4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input_406010!A$2</f>
        <v>406010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IFERROR(VLOOKUP(B126,input_406010!L:R,7,FALSE),VLOOKUP(tables_406010!C126,input_406010!A:H,8,FALSE))</f>
        <v>9500</v>
      </c>
      <c r="P126" s="46">
        <f t="shared" ca="1" si="4"/>
        <v>5.3976625013906201E-3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input_406010!A$2</f>
        <v>406010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IFERROR(VLOOKUP(B127,input_406010!L:R,7,FALSE),VLOOKUP(tables_406010!C127,input_406010!A:H,8,FALSE))</f>
        <v>8959.0953800000007</v>
      </c>
      <c r="P127" s="46">
        <f t="shared" ca="1" si="4"/>
        <v>5.0903340188429421E-3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input_406010!A$2</f>
        <v>406010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IFERROR(VLOOKUP(B128,input_406010!L:R,7,FALSE),VLOOKUP(tables_406010!C128,input_406010!A:H,8,FALSE))</f>
        <v>541.31077000000005</v>
      </c>
      <c r="P128" s="46">
        <f t="shared" ca="1" si="4"/>
        <v>3.0755924682398768E-4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input_406010!A$2</f>
        <v>406010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IFERROR(VLOOKUP(B129,input_406010!L:R,7,FALSE),VLOOKUP(tables_406010!C129,input_406010!A:H,8,FALSE))</f>
        <v>9500</v>
      </c>
      <c r="P129" s="46">
        <f t="shared" ca="1" si="4"/>
        <v>5.3976625013906201E-3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input_406010!A$2</f>
        <v>406010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IFERROR(VLOOKUP(B130,input_406010!L:R,7,FALSE),VLOOKUP(tables_406010!C130,input_406010!A:H,8,FALSE))</f>
        <v>8959.0953800000007</v>
      </c>
      <c r="P130" s="46">
        <f t="shared" ref="P130:P193" ca="1" si="7">O130/SUM(O:O)</f>
        <v>5.0903340188429421E-3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input_406010!A$2</f>
        <v>406010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IFERROR(VLOOKUP(B131,input_406010!L:R,7,FALSE),VLOOKUP(tables_406010!C131,input_406010!A:H,8,FALSE))</f>
        <v>541.31077000000005</v>
      </c>
      <c r="P131" s="46">
        <f t="shared" ca="1" si="7"/>
        <v>3.0755924682398768E-4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input_406010!A$2</f>
        <v>406010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IFERROR(VLOOKUP(B132,input_406010!L:R,7,FALSE),VLOOKUP(tables_406010!C132,input_406010!A:H,8,FALSE))</f>
        <v>9500</v>
      </c>
      <c r="P132" s="46">
        <f t="shared" ca="1" si="7"/>
        <v>5.3976625013906201E-3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input_406010!A$2</f>
        <v>406010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IFERROR(VLOOKUP(B133,input_406010!L:R,7,FALSE),VLOOKUP(tables_406010!C133,input_406010!A:H,8,FALSE))</f>
        <v>8959.0953800000007</v>
      </c>
      <c r="P133" s="46">
        <f t="shared" ca="1" si="7"/>
        <v>5.0903340188429421E-3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input_406010!A$2</f>
        <v>406010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IFERROR(VLOOKUP(B134,input_406010!L:R,7,FALSE),VLOOKUP(tables_406010!C134,input_406010!A:H,8,FALSE))</f>
        <v>541.31077000000005</v>
      </c>
      <c r="P134" s="46">
        <f t="shared" ca="1" si="7"/>
        <v>3.0755924682398768E-4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input_406010!A$2</f>
        <v>406010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IFERROR(VLOOKUP(B135,input_406010!L:R,7,FALSE),VLOOKUP(tables_406010!C135,input_406010!A:H,8,FALSE))</f>
        <v>9500</v>
      </c>
      <c r="P135" s="46">
        <f t="shared" ca="1" si="7"/>
        <v>5.3976625013906201E-3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input_406010!A$2</f>
        <v>406010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IFERROR(VLOOKUP(B136,input_406010!L:R,7,FALSE),VLOOKUP(tables_406010!C136,input_406010!A:H,8,FALSE))</f>
        <v>8959.0953800000007</v>
      </c>
      <c r="P136" s="46">
        <f t="shared" ca="1" si="7"/>
        <v>5.0903340188429421E-3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input_406010!A$2</f>
        <v>406010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IFERROR(VLOOKUP(B137,input_406010!L:R,7,FALSE),VLOOKUP(tables_406010!C137,input_406010!A:H,8,FALSE))</f>
        <v>541.31077000000005</v>
      </c>
      <c r="P137" s="46">
        <f t="shared" ca="1" si="7"/>
        <v>3.0755924682398768E-4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input_406010!A$2</f>
        <v>406010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IFERROR(VLOOKUP(B138,input_406010!L:R,7,FALSE),VLOOKUP(tables_406010!C138,input_406010!A:H,8,FALSE))</f>
        <v>380</v>
      </c>
      <c r="P138" s="46">
        <f t="shared" ca="1" si="7"/>
        <v>2.1590650005562481E-4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input_406010!A$2</f>
        <v>406010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IFERROR(VLOOKUP(B139,input_406010!L:R,7,FALSE),VLOOKUP(tables_406010!C139,input_406010!A:H,8,FALSE))</f>
        <v>20</v>
      </c>
      <c r="P139" s="46">
        <f t="shared" ca="1" si="7"/>
        <v>1.1363500002927623E-5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input_406010!A$2</f>
        <v>406010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IFERROR(VLOOKUP(B140,input_406010!L:R,7,FALSE),VLOOKUP(tables_406010!C140,input_406010!A:H,8,FALSE))</f>
        <v>380</v>
      </c>
      <c r="P140" s="46">
        <f t="shared" ca="1" si="7"/>
        <v>2.1590650005562481E-4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input_406010!A$2</f>
        <v>406010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IFERROR(VLOOKUP(B141,input_406010!L:R,7,FALSE),VLOOKUP(tables_406010!C141,input_406010!A:H,8,FALSE))</f>
        <v>20</v>
      </c>
      <c r="P141" s="46">
        <f t="shared" ca="1" si="7"/>
        <v>1.1363500002927623E-5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input_406010!A$2</f>
        <v>406010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IFERROR(VLOOKUP(B142,input_406010!L:R,7,FALSE),VLOOKUP(tables_406010!C142,input_406010!A:H,8,FALSE))</f>
        <v>380</v>
      </c>
      <c r="P142" s="46">
        <f t="shared" ca="1" si="7"/>
        <v>2.1590650005562481E-4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input_406010!A$2</f>
        <v>406010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IFERROR(VLOOKUP(B143,input_406010!L:R,7,FALSE),VLOOKUP(tables_406010!C143,input_406010!A:H,8,FALSE))</f>
        <v>20</v>
      </c>
      <c r="P143" s="46">
        <f t="shared" ca="1" si="7"/>
        <v>1.1363500002927623E-5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input_406010!A$2</f>
        <v>406010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IFERROR(VLOOKUP(B144,input_406010!L:R,7,FALSE),VLOOKUP(tables_406010!C144,input_406010!A:H,8,FALSE))</f>
        <v>380</v>
      </c>
      <c r="P144" s="46">
        <f t="shared" ca="1" si="7"/>
        <v>2.1590650005562481E-4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input_406010!A$2</f>
        <v>406010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IFERROR(VLOOKUP(B145,input_406010!L:R,7,FALSE),VLOOKUP(tables_406010!C145,input_406010!A:H,8,FALSE))</f>
        <v>20</v>
      </c>
      <c r="P145" s="46">
        <f t="shared" ca="1" si="7"/>
        <v>1.1363500002927623E-5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input_406010!A$2</f>
        <v>406010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IFERROR(VLOOKUP(B146,input_406010!L:R,7,FALSE),VLOOKUP(tables_406010!C146,input_406010!A:H,8,FALSE))</f>
        <v>9500</v>
      </c>
      <c r="P146" s="46">
        <f t="shared" ca="1" si="7"/>
        <v>5.3976625013906201E-3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input_406010!A$2</f>
        <v>406010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IFERROR(VLOOKUP(B147,input_406010!L:R,7,FALSE),VLOOKUP(tables_406010!C147,input_406010!A:H,8,FALSE))</f>
        <v>8959.0953800000007</v>
      </c>
      <c r="P147" s="46">
        <f t="shared" ca="1" si="7"/>
        <v>5.0903340188429421E-3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input_406010!A$2</f>
        <v>406010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IFERROR(VLOOKUP(B148,input_406010!L:R,7,FALSE),VLOOKUP(tables_406010!C148,input_406010!A:H,8,FALSE))</f>
        <v>541.31077000000005</v>
      </c>
      <c r="P148" s="46">
        <f t="shared" ca="1" si="7"/>
        <v>3.0755924682398768E-4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input_406010!A$2</f>
        <v>406010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IFERROR(VLOOKUP(B149,input_406010!L:R,7,FALSE),VLOOKUP(tables_406010!C149,input_406010!A:H,8,FALSE))</f>
        <v>380</v>
      </c>
      <c r="P149" s="46">
        <f t="shared" ca="1" si="7"/>
        <v>2.1590650005562481E-4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input_406010!A$2</f>
        <v>406010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IFERROR(VLOOKUP(B150,input_406010!L:R,7,FALSE),VLOOKUP(tables_406010!C150,input_406010!A:H,8,FALSE))</f>
        <v>20</v>
      </c>
      <c r="P150" s="46">
        <f t="shared" ca="1" si="7"/>
        <v>1.1363500002927623E-5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input_406010!A$2</f>
        <v>406010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IFERROR(VLOOKUP(B151,input_406010!L:R,7,FALSE),VLOOKUP(tables_406010!C151,input_406010!A:H,8,FALSE))</f>
        <v>380</v>
      </c>
      <c r="P151" s="46">
        <f t="shared" ca="1" si="7"/>
        <v>2.1590650005562481E-4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input_406010!A$2</f>
        <v>406010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IFERROR(VLOOKUP(B152,input_406010!L:R,7,FALSE),VLOOKUP(tables_406010!C152,input_406010!A:H,8,FALSE))</f>
        <v>20</v>
      </c>
      <c r="P152" s="46">
        <f t="shared" ca="1" si="7"/>
        <v>1.1363500002927623E-5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input_406010!A$2</f>
        <v>406010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IFERROR(VLOOKUP(B153,input_406010!L:R,7,FALSE),VLOOKUP(tables_406010!C153,input_406010!A:H,8,FALSE))</f>
        <v>9500</v>
      </c>
      <c r="P153" s="46">
        <f t="shared" ca="1" si="7"/>
        <v>5.3976625013906201E-3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input_406010!A$2</f>
        <v>406010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IFERROR(VLOOKUP(B154,input_406010!L:R,7,FALSE),VLOOKUP(tables_406010!C154,input_406010!A:H,8,FALSE))</f>
        <v>8959.0953800000007</v>
      </c>
      <c r="P154" s="46">
        <f t="shared" ca="1" si="7"/>
        <v>5.0903340188429421E-3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input_406010!A$2</f>
        <v>406010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IFERROR(VLOOKUP(B155,input_406010!L:R,7,FALSE),VLOOKUP(tables_406010!C155,input_406010!A:H,8,FALSE))</f>
        <v>541.31077000000005</v>
      </c>
      <c r="P155" s="46">
        <f t="shared" ca="1" si="7"/>
        <v>3.0755924682398768E-4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input_406010!A$2</f>
        <v>406010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IFERROR(VLOOKUP(B156,input_406010!L:R,7,FALSE),VLOOKUP(tables_406010!C156,input_406010!A:H,8,FALSE))</f>
        <v>16720</v>
      </c>
      <c r="P156" s="46">
        <f t="shared" ca="1" si="7"/>
        <v>9.4998860024474927E-3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input_406010!A$2</f>
        <v>406010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IFERROR(VLOOKUP(B157,input_406010!L:R,7,FALSE),VLOOKUP(tables_406010!C157,input_406010!A:H,8,FALSE))</f>
        <v>880</v>
      </c>
      <c r="P157" s="46">
        <f t="shared" ca="1" si="7"/>
        <v>4.9999400012881539E-4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input_406010!A$2</f>
        <v>406010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IFERROR(VLOOKUP(B158,input_406010!L:R,7,FALSE),VLOOKUP(tables_406010!C158,input_406010!A:H,8,FALSE))</f>
        <v>9500</v>
      </c>
      <c r="P158" s="46">
        <f t="shared" ca="1" si="7"/>
        <v>5.3976625013906201E-3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input_406010!A$2</f>
        <v>406010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IFERROR(VLOOKUP(B159,input_406010!L:R,7,FALSE),VLOOKUP(tables_406010!C159,input_406010!A:H,8,FALSE))</f>
        <v>8959.0953800000007</v>
      </c>
      <c r="P159" s="46">
        <f t="shared" ca="1" si="7"/>
        <v>5.0903340188429421E-3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input_406010!A$2</f>
        <v>406010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IFERROR(VLOOKUP(B160,input_406010!L:R,7,FALSE),VLOOKUP(tables_406010!C160,input_406010!A:H,8,FALSE))</f>
        <v>541.31077000000005</v>
      </c>
      <c r="P160" s="46">
        <f t="shared" ca="1" si="7"/>
        <v>3.0755924682398768E-4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input_406010!A$2</f>
        <v>406010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IFERROR(VLOOKUP(B161,input_406010!L:R,7,FALSE),VLOOKUP(tables_406010!C161,input_406010!A:H,8,FALSE))</f>
        <v>9500</v>
      </c>
      <c r="P161" s="46">
        <f t="shared" ca="1" si="7"/>
        <v>5.3976625013906201E-3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input_406010!A$2</f>
        <v>406010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IFERROR(VLOOKUP(B162,input_406010!L:R,7,FALSE),VLOOKUP(tables_406010!C162,input_406010!A:H,8,FALSE))</f>
        <v>8959.0953800000007</v>
      </c>
      <c r="P162" s="46">
        <f t="shared" ca="1" si="7"/>
        <v>5.0903340188429421E-3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input_406010!A$2</f>
        <v>406010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IFERROR(VLOOKUP(B163,input_406010!L:R,7,FALSE),VLOOKUP(tables_406010!C163,input_406010!A:H,8,FALSE))</f>
        <v>541.31077000000005</v>
      </c>
      <c r="P163" s="46">
        <f t="shared" ca="1" si="7"/>
        <v>3.0755924682398768E-4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input_406010!A$2</f>
        <v>406010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IFERROR(VLOOKUP(B164,input_406010!L:R,7,FALSE),VLOOKUP(tables_406010!C164,input_406010!A:H,8,FALSE))</f>
        <v>16720</v>
      </c>
      <c r="P164" s="46">
        <f t="shared" ca="1" si="7"/>
        <v>9.4998860024474927E-3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input_406010!A$2</f>
        <v>406010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IFERROR(VLOOKUP(B165,input_406010!L:R,7,FALSE),VLOOKUP(tables_406010!C165,input_406010!A:H,8,FALSE))</f>
        <v>880</v>
      </c>
      <c r="P165" s="46">
        <f t="shared" ca="1" si="7"/>
        <v>4.9999400012881539E-4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input_406010!A$2</f>
        <v>406010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IFERROR(VLOOKUP(B166,input_406010!L:R,7,FALSE),VLOOKUP(tables_406010!C166,input_406010!A:H,8,FALSE))</f>
        <v>9500</v>
      </c>
      <c r="P166" s="46">
        <f t="shared" ca="1" si="7"/>
        <v>5.3976625013906201E-3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input_406010!A$2</f>
        <v>406010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IFERROR(VLOOKUP(B167,input_406010!L:R,7,FALSE),VLOOKUP(tables_406010!C167,input_406010!A:H,8,FALSE))</f>
        <v>8959.0953800000007</v>
      </c>
      <c r="P167" s="46">
        <f t="shared" ca="1" si="7"/>
        <v>5.0903340188429421E-3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input_406010!A$2</f>
        <v>406010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IFERROR(VLOOKUP(B168,input_406010!L:R,7,FALSE),VLOOKUP(tables_406010!C168,input_406010!A:H,8,FALSE))</f>
        <v>541.31077000000005</v>
      </c>
      <c r="P168" s="46">
        <f t="shared" ca="1" si="7"/>
        <v>3.0755924682398768E-4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input_406010!A$2</f>
        <v>406010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IFERROR(VLOOKUP(B169,input_406010!L:R,7,FALSE),VLOOKUP(tables_406010!C169,input_406010!A:H,8,FALSE))</f>
        <v>380</v>
      </c>
      <c r="P169" s="46">
        <f t="shared" ca="1" si="7"/>
        <v>2.1590650005562481E-4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input_406010!A$2</f>
        <v>406010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IFERROR(VLOOKUP(B170,input_406010!L:R,7,FALSE),VLOOKUP(tables_406010!C170,input_406010!A:H,8,FALSE))</f>
        <v>20</v>
      </c>
      <c r="P170" s="46">
        <f t="shared" ca="1" si="7"/>
        <v>1.1363500002927623E-5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input_406010!A$2</f>
        <v>406010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IFERROR(VLOOKUP(B171,input_406010!L:R,7,FALSE),VLOOKUP(tables_406010!C171,input_406010!A:H,8,FALSE))</f>
        <v>9500</v>
      </c>
      <c r="P171" s="46">
        <f t="shared" ca="1" si="7"/>
        <v>5.3976625013906201E-3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input_406010!A$2</f>
        <v>406010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IFERROR(VLOOKUP(B172,input_406010!L:R,7,FALSE),VLOOKUP(tables_406010!C172,input_406010!A:H,8,FALSE))</f>
        <v>8959.0953800000007</v>
      </c>
      <c r="P172" s="46">
        <f t="shared" ca="1" si="7"/>
        <v>5.0903340188429421E-3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input_406010!A$2</f>
        <v>406010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IFERROR(VLOOKUP(B173,input_406010!L:R,7,FALSE),VLOOKUP(tables_406010!C173,input_406010!A:H,8,FALSE))</f>
        <v>541.31077000000005</v>
      </c>
      <c r="P173" s="46">
        <f t="shared" ca="1" si="7"/>
        <v>3.0755924682398768E-4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input_406010!A$2</f>
        <v>406010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IFERROR(VLOOKUP(B174,input_406010!L:R,7,FALSE),VLOOKUP(tables_406010!C174,input_406010!A:H,8,FALSE))</f>
        <v>380</v>
      </c>
      <c r="P174" s="46">
        <f t="shared" ca="1" si="7"/>
        <v>2.1590650005562481E-4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input_406010!A$2</f>
        <v>406010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IFERROR(VLOOKUP(B175,input_406010!L:R,7,FALSE),VLOOKUP(tables_406010!C175,input_406010!A:H,8,FALSE))</f>
        <v>20</v>
      </c>
      <c r="P175" s="46">
        <f t="shared" ca="1" si="7"/>
        <v>1.1363500002927623E-5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input_406010!A$2</f>
        <v>406010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IFERROR(VLOOKUP(B176,input_406010!L:R,7,FALSE),VLOOKUP(tables_406010!C176,input_406010!A:H,8,FALSE))</f>
        <v>380</v>
      </c>
      <c r="P176" s="46">
        <f t="shared" ca="1" si="7"/>
        <v>2.1590650005562481E-4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input_406010!A$2</f>
        <v>406010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IFERROR(VLOOKUP(B177,input_406010!L:R,7,FALSE),VLOOKUP(tables_406010!C177,input_406010!A:H,8,FALSE))</f>
        <v>20</v>
      </c>
      <c r="P177" s="46">
        <f t="shared" ca="1" si="7"/>
        <v>1.1363500002927623E-5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input_406010!A$2</f>
        <v>406010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IFERROR(VLOOKUP(B178,input_406010!L:R,7,FALSE),VLOOKUP(tables_406010!C178,input_406010!A:H,8,FALSE))</f>
        <v>9500</v>
      </c>
      <c r="P178" s="46">
        <f t="shared" ca="1" si="7"/>
        <v>5.3976625013906201E-3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input_406010!A$2</f>
        <v>406010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IFERROR(VLOOKUP(B179,input_406010!L:R,7,FALSE),VLOOKUP(tables_406010!C179,input_406010!A:H,8,FALSE))</f>
        <v>8959.0953800000007</v>
      </c>
      <c r="P179" s="46">
        <f t="shared" ca="1" si="7"/>
        <v>5.0903340188429421E-3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input_406010!A$2</f>
        <v>406010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IFERROR(VLOOKUP(B180,input_406010!L:R,7,FALSE),VLOOKUP(tables_406010!C180,input_406010!A:H,8,FALSE))</f>
        <v>541.31077000000005</v>
      </c>
      <c r="P180" s="46">
        <f t="shared" ca="1" si="7"/>
        <v>3.0755924682398768E-4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input_406010!A$2</f>
        <v>406010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IFERROR(VLOOKUP(B181,input_406010!L:R,7,FALSE),VLOOKUP(tables_406010!C181,input_406010!A:H,8,FALSE))</f>
        <v>9500</v>
      </c>
      <c r="P181" s="46">
        <f t="shared" ca="1" si="7"/>
        <v>5.3976625013906201E-3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input_406010!A$2</f>
        <v>406010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IFERROR(VLOOKUP(B182,input_406010!L:R,7,FALSE),VLOOKUP(tables_406010!C182,input_406010!A:H,8,FALSE))</f>
        <v>8959.0953800000007</v>
      </c>
      <c r="P182" s="46">
        <f t="shared" ca="1" si="7"/>
        <v>5.0903340188429421E-3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input_406010!A$2</f>
        <v>406010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IFERROR(VLOOKUP(B183,input_406010!L:R,7,FALSE),VLOOKUP(tables_406010!C183,input_406010!A:H,8,FALSE))</f>
        <v>541.31077000000005</v>
      </c>
      <c r="P183" s="46">
        <f t="shared" ca="1" si="7"/>
        <v>3.0755924682398768E-4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input_406010!A$2</f>
        <v>406010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IFERROR(VLOOKUP(B184,input_406010!L:R,7,FALSE),VLOOKUP(tables_406010!C184,input_406010!A:H,8,FALSE))</f>
        <v>380</v>
      </c>
      <c r="P184" s="46">
        <f t="shared" ca="1" si="7"/>
        <v>2.1590650005562481E-4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input_406010!A$2</f>
        <v>406010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IFERROR(VLOOKUP(B185,input_406010!L:R,7,FALSE),VLOOKUP(tables_406010!C185,input_406010!A:H,8,FALSE))</f>
        <v>20</v>
      </c>
      <c r="P185" s="46">
        <f t="shared" ca="1" si="7"/>
        <v>1.1363500002927623E-5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input_406010!A$2</f>
        <v>406010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IFERROR(VLOOKUP(B186,input_406010!L:R,7,FALSE),VLOOKUP(tables_406010!C186,input_406010!A:H,8,FALSE))</f>
        <v>9500</v>
      </c>
      <c r="P186" s="46">
        <f t="shared" ca="1" si="7"/>
        <v>5.3976625013906201E-3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input_406010!A$2</f>
        <v>406010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IFERROR(VLOOKUP(B187,input_406010!L:R,7,FALSE),VLOOKUP(tables_406010!C187,input_406010!A:H,8,FALSE))</f>
        <v>8959.0953800000007</v>
      </c>
      <c r="P187" s="46">
        <f t="shared" ca="1" si="7"/>
        <v>5.0903340188429421E-3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input_406010!A$2</f>
        <v>406010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IFERROR(VLOOKUP(B188,input_406010!L:R,7,FALSE),VLOOKUP(tables_406010!C188,input_406010!A:H,8,FALSE))</f>
        <v>541.31077000000005</v>
      </c>
      <c r="P188" s="46">
        <f t="shared" ca="1" si="7"/>
        <v>3.0755924682398768E-4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input_406010!A$2</f>
        <v>406010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IFERROR(VLOOKUP(B189,input_406010!L:R,7,FALSE),VLOOKUP(tables_406010!C189,input_406010!A:H,8,FALSE))</f>
        <v>380</v>
      </c>
      <c r="P189" s="46">
        <f t="shared" ca="1" si="7"/>
        <v>2.1590650005562481E-4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input_406010!A$2</f>
        <v>406010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IFERROR(VLOOKUP(B190,input_406010!L:R,7,FALSE),VLOOKUP(tables_406010!C190,input_406010!A:H,8,FALSE))</f>
        <v>20</v>
      </c>
      <c r="P190" s="46">
        <f t="shared" ca="1" si="7"/>
        <v>1.1363500002927623E-5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input_406010!A$2</f>
        <v>406010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IFERROR(VLOOKUP(B191,input_406010!L:R,7,FALSE),VLOOKUP(tables_406010!C191,input_406010!A:H,8,FALSE))</f>
        <v>380</v>
      </c>
      <c r="P191" s="46">
        <f t="shared" ca="1" si="7"/>
        <v>2.1590650005562481E-4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input_406010!A$2</f>
        <v>406010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IFERROR(VLOOKUP(B192,input_406010!L:R,7,FALSE),VLOOKUP(tables_406010!C192,input_406010!A:H,8,FALSE))</f>
        <v>20</v>
      </c>
      <c r="P192" s="46">
        <f t="shared" ca="1" si="7"/>
        <v>1.1363500002927623E-5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input_406010!A$2</f>
        <v>406010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IFERROR(VLOOKUP(B193,input_406010!L:R,7,FALSE),VLOOKUP(tables_406010!C193,input_406010!A:H,8,FALSE))</f>
        <v>9500</v>
      </c>
      <c r="P193" s="46">
        <f t="shared" ca="1" si="7"/>
        <v>5.3976625013906201E-3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input_406010!A$2</f>
        <v>406010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IFERROR(VLOOKUP(B194,input_406010!L:R,7,FALSE),VLOOKUP(tables_406010!C194,input_406010!A:H,8,FALSE))</f>
        <v>8959.0953800000007</v>
      </c>
      <c r="P194" s="46">
        <f t="shared" ref="P194:P257" ca="1" si="10">O194/SUM(O:O)</f>
        <v>5.0903340188429421E-3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input_406010!A$2</f>
        <v>406010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IFERROR(VLOOKUP(B195,input_406010!L:R,7,FALSE),VLOOKUP(tables_406010!C195,input_406010!A:H,8,FALSE))</f>
        <v>541.31077000000005</v>
      </c>
      <c r="P195" s="46">
        <f t="shared" ca="1" si="10"/>
        <v>3.0755924682398768E-4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input_406010!A$2</f>
        <v>406010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IFERROR(VLOOKUP(B196,input_406010!L:R,7,FALSE),VLOOKUP(tables_406010!C196,input_406010!A:H,8,FALSE))</f>
        <v>380</v>
      </c>
      <c r="P196" s="46">
        <f t="shared" ca="1" si="10"/>
        <v>2.1590650005562481E-4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input_406010!A$2</f>
        <v>406010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IFERROR(VLOOKUP(B197,input_406010!L:R,7,FALSE),VLOOKUP(tables_406010!C197,input_406010!A:H,8,FALSE))</f>
        <v>20</v>
      </c>
      <c r="P197" s="46">
        <f t="shared" ca="1" si="10"/>
        <v>1.1363500002927623E-5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input_406010!A$2</f>
        <v>406010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IFERROR(VLOOKUP(B198,input_406010!L:R,7,FALSE),VLOOKUP(tables_406010!C198,input_406010!A:H,8,FALSE))</f>
        <v>9500</v>
      </c>
      <c r="P198" s="46">
        <f t="shared" ca="1" si="10"/>
        <v>5.3976625013906201E-3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input_406010!A$2</f>
        <v>406010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IFERROR(VLOOKUP(B199,input_406010!L:R,7,FALSE),VLOOKUP(tables_406010!C199,input_406010!A:H,8,FALSE))</f>
        <v>8959.0953800000007</v>
      </c>
      <c r="P199" s="46">
        <f t="shared" ca="1" si="10"/>
        <v>5.0903340188429421E-3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input_406010!A$2</f>
        <v>406010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IFERROR(VLOOKUP(B200,input_406010!L:R,7,FALSE),VLOOKUP(tables_406010!C200,input_406010!A:H,8,FALSE))</f>
        <v>541.31077000000005</v>
      </c>
      <c r="P200" s="46">
        <f t="shared" ca="1" si="10"/>
        <v>3.0755924682398768E-4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input_406010!A$2</f>
        <v>406010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IFERROR(VLOOKUP(B201,input_406010!L:R,7,FALSE),VLOOKUP(tables_406010!C201,input_406010!A:H,8,FALSE))</f>
        <v>380</v>
      </c>
      <c r="P201" s="46">
        <f t="shared" ca="1" si="10"/>
        <v>2.1590650005562481E-4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input_406010!A$2</f>
        <v>406010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IFERROR(VLOOKUP(B202,input_406010!L:R,7,FALSE),VLOOKUP(tables_406010!C202,input_406010!A:H,8,FALSE))</f>
        <v>20</v>
      </c>
      <c r="P202" s="46">
        <f t="shared" ca="1" si="10"/>
        <v>1.1363500002927623E-5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input_406010!A$2</f>
        <v>406010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IFERROR(VLOOKUP(B203,input_406010!L:R,7,FALSE),VLOOKUP(tables_406010!C203,input_406010!A:H,8,FALSE))</f>
        <v>9500</v>
      </c>
      <c r="P203" s="46">
        <f t="shared" ca="1" si="10"/>
        <v>5.3976625013906201E-3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input_406010!A$2</f>
        <v>406010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IFERROR(VLOOKUP(B204,input_406010!L:R,7,FALSE),VLOOKUP(tables_406010!C204,input_406010!A:H,8,FALSE))</f>
        <v>8959.0953800000007</v>
      </c>
      <c r="P204" s="46">
        <f t="shared" ca="1" si="10"/>
        <v>5.0903340188429421E-3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input_406010!A$2</f>
        <v>406010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IFERROR(VLOOKUP(B205,input_406010!L:R,7,FALSE),VLOOKUP(tables_406010!C205,input_406010!A:H,8,FALSE))</f>
        <v>541.31077000000005</v>
      </c>
      <c r="P205" s="46">
        <f t="shared" ca="1" si="10"/>
        <v>3.0755924682398768E-4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input_406010!A$2</f>
        <v>406010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IFERROR(VLOOKUP(B206,input_406010!L:R,7,FALSE),VLOOKUP(tables_406010!C206,input_406010!A:H,8,FALSE))</f>
        <v>380</v>
      </c>
      <c r="P206" s="46">
        <f t="shared" ca="1" si="10"/>
        <v>2.1590650005562481E-4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input_406010!A$2</f>
        <v>406010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IFERROR(VLOOKUP(B207,input_406010!L:R,7,FALSE),VLOOKUP(tables_406010!C207,input_406010!A:H,8,FALSE))</f>
        <v>20</v>
      </c>
      <c r="P207" s="46">
        <f t="shared" ca="1" si="10"/>
        <v>1.1363500002927623E-5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input_406010!A$2</f>
        <v>406010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IFERROR(VLOOKUP(B208,input_406010!L:R,7,FALSE),VLOOKUP(tables_406010!C208,input_406010!A:H,8,FALSE))</f>
        <v>380</v>
      </c>
      <c r="P208" s="46">
        <f t="shared" ca="1" si="10"/>
        <v>2.1590650005562481E-4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input_406010!A$2</f>
        <v>406010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IFERROR(VLOOKUP(B209,input_406010!L:R,7,FALSE),VLOOKUP(tables_406010!C209,input_406010!A:H,8,FALSE))</f>
        <v>20</v>
      </c>
      <c r="P209" s="46">
        <f t="shared" ca="1" si="10"/>
        <v>1.1363500002927623E-5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input_406010!A$2</f>
        <v>406010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IFERROR(VLOOKUP(B210,input_406010!L:R,7,FALSE),VLOOKUP(tables_406010!C210,input_406010!A:H,8,FALSE))</f>
        <v>9500</v>
      </c>
      <c r="P210" s="46">
        <f t="shared" ca="1" si="10"/>
        <v>5.3976625013906201E-3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input_406010!A$2</f>
        <v>406010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IFERROR(VLOOKUP(B211,input_406010!L:R,7,FALSE),VLOOKUP(tables_406010!C211,input_406010!A:H,8,FALSE))</f>
        <v>8959.0953800000007</v>
      </c>
      <c r="P211" s="46">
        <f t="shared" ca="1" si="10"/>
        <v>5.0903340188429421E-3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input_406010!A$2</f>
        <v>406010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IFERROR(VLOOKUP(B212,input_406010!L:R,7,FALSE),VLOOKUP(tables_406010!C212,input_406010!A:H,8,FALSE))</f>
        <v>541.31077000000005</v>
      </c>
      <c r="P212" s="46">
        <f t="shared" ca="1" si="10"/>
        <v>3.0755924682398768E-4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input_406010!A$2</f>
        <v>406010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IFERROR(VLOOKUP(B213,input_406010!L:R,7,FALSE),VLOOKUP(tables_406010!C213,input_406010!A:H,8,FALSE))</f>
        <v>380</v>
      </c>
      <c r="P213" s="46">
        <f t="shared" ca="1" si="10"/>
        <v>2.1590650005562481E-4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input_406010!A$2</f>
        <v>406010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IFERROR(VLOOKUP(B214,input_406010!L:R,7,FALSE),VLOOKUP(tables_406010!C214,input_406010!A:H,8,FALSE))</f>
        <v>20</v>
      </c>
      <c r="P214" s="46">
        <f t="shared" ca="1" si="10"/>
        <v>1.1363500002927623E-5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input_406010!A$2</f>
        <v>406010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IFERROR(VLOOKUP(B215,input_406010!L:R,7,FALSE),VLOOKUP(tables_406010!C215,input_406010!A:H,8,FALSE))</f>
        <v>380</v>
      </c>
      <c r="P215" s="46">
        <f t="shared" ca="1" si="10"/>
        <v>2.1590650005562481E-4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input_406010!A$2</f>
        <v>406010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IFERROR(VLOOKUP(B216,input_406010!L:R,7,FALSE),VLOOKUP(tables_406010!C216,input_406010!A:H,8,FALSE))</f>
        <v>20</v>
      </c>
      <c r="P216" s="46">
        <f t="shared" ca="1" si="10"/>
        <v>1.1363500002927623E-5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input_406010!A$2</f>
        <v>406010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IFERROR(VLOOKUP(B217,input_406010!L:R,7,FALSE),VLOOKUP(tables_406010!C217,input_406010!A:H,8,FALSE))</f>
        <v>9500</v>
      </c>
      <c r="P217" s="46">
        <f t="shared" ca="1" si="10"/>
        <v>5.3976625013906201E-3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input_406010!A$2</f>
        <v>406010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IFERROR(VLOOKUP(B218,input_406010!L:R,7,FALSE),VLOOKUP(tables_406010!C218,input_406010!A:H,8,FALSE))</f>
        <v>8959.0953800000007</v>
      </c>
      <c r="P218" s="46">
        <f t="shared" ca="1" si="10"/>
        <v>5.0903340188429421E-3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input_406010!A$2</f>
        <v>406010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IFERROR(VLOOKUP(B219,input_406010!L:R,7,FALSE),VLOOKUP(tables_406010!C219,input_406010!A:H,8,FALSE))</f>
        <v>541.31077000000005</v>
      </c>
      <c r="P219" s="46">
        <f t="shared" ca="1" si="10"/>
        <v>3.0755924682398768E-4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input_406010!A$2</f>
        <v>406010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IFERROR(VLOOKUP(B220,input_406010!L:R,7,FALSE),VLOOKUP(tables_406010!C220,input_406010!A:H,8,FALSE))</f>
        <v>9500</v>
      </c>
      <c r="P220" s="46">
        <f t="shared" ca="1" si="10"/>
        <v>5.3976625013906201E-3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input_406010!A$2</f>
        <v>406010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IFERROR(VLOOKUP(B221,input_406010!L:R,7,FALSE),VLOOKUP(tables_406010!C221,input_406010!A:H,8,FALSE))</f>
        <v>8959.0953800000007</v>
      </c>
      <c r="P221" s="46">
        <f t="shared" ca="1" si="10"/>
        <v>5.0903340188429421E-3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input_406010!A$2</f>
        <v>406010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IFERROR(VLOOKUP(B222,input_406010!L:R,7,FALSE),VLOOKUP(tables_406010!C222,input_406010!A:H,8,FALSE))</f>
        <v>541.31077000000005</v>
      </c>
      <c r="P222" s="46">
        <f t="shared" ca="1" si="10"/>
        <v>3.0755924682398768E-4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input_406010!A$2</f>
        <v>406010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IFERROR(VLOOKUP(B223,input_406010!L:R,7,FALSE),VLOOKUP(tables_406010!C223,input_406010!A:H,8,FALSE))</f>
        <v>380</v>
      </c>
      <c r="P223" s="46">
        <f t="shared" ca="1" si="10"/>
        <v>2.1590650005562481E-4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input_406010!A$2</f>
        <v>406010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IFERROR(VLOOKUP(B224,input_406010!L:R,7,FALSE),VLOOKUP(tables_406010!C224,input_406010!A:H,8,FALSE))</f>
        <v>20</v>
      </c>
      <c r="P224" s="46">
        <f t="shared" ca="1" si="10"/>
        <v>1.1363500002927623E-5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input_406010!A$2</f>
        <v>406010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IFERROR(VLOOKUP(B225,input_406010!L:R,7,FALSE),VLOOKUP(tables_406010!C225,input_406010!A:H,8,FALSE))</f>
        <v>9500</v>
      </c>
      <c r="P225" s="46">
        <f t="shared" ca="1" si="10"/>
        <v>5.3976625013906201E-3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input_406010!A$2</f>
        <v>406010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IFERROR(VLOOKUP(B226,input_406010!L:R,7,FALSE),VLOOKUP(tables_406010!C226,input_406010!A:H,8,FALSE))</f>
        <v>8959.0953800000007</v>
      </c>
      <c r="P226" s="46">
        <f t="shared" ca="1" si="10"/>
        <v>5.0903340188429421E-3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input_406010!A$2</f>
        <v>406010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IFERROR(VLOOKUP(B227,input_406010!L:R,7,FALSE),VLOOKUP(tables_406010!C227,input_406010!A:H,8,FALSE))</f>
        <v>541.31077000000005</v>
      </c>
      <c r="P227" s="46">
        <f t="shared" ca="1" si="10"/>
        <v>3.0755924682398768E-4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input_406010!A$2</f>
        <v>406010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IFERROR(VLOOKUP(B228,input_406010!L:R,7,FALSE),VLOOKUP(tables_406010!C228,input_406010!A:H,8,FALSE))</f>
        <v>9500</v>
      </c>
      <c r="P228" s="46">
        <f t="shared" ca="1" si="10"/>
        <v>5.3976625013906201E-3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input_406010!A$2</f>
        <v>406010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IFERROR(VLOOKUP(B229,input_406010!L:R,7,FALSE),VLOOKUP(tables_406010!C229,input_406010!A:H,8,FALSE))</f>
        <v>8959.0953800000007</v>
      </c>
      <c r="P229" s="46">
        <f t="shared" ca="1" si="10"/>
        <v>5.0903340188429421E-3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input_406010!A$2</f>
        <v>406010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IFERROR(VLOOKUP(B230,input_406010!L:R,7,FALSE),VLOOKUP(tables_406010!C230,input_406010!A:H,8,FALSE))</f>
        <v>541.31077000000005</v>
      </c>
      <c r="P230" s="46">
        <f t="shared" ca="1" si="10"/>
        <v>3.0755924682398768E-4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input_406010!A$2</f>
        <v>406010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IFERROR(VLOOKUP(B231,input_406010!L:R,7,FALSE),VLOOKUP(tables_406010!C231,input_406010!A:H,8,FALSE))</f>
        <v>380</v>
      </c>
      <c r="P231" s="46">
        <f t="shared" ca="1" si="10"/>
        <v>2.1590650005562481E-4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input_406010!A$2</f>
        <v>406010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IFERROR(VLOOKUP(B232,input_406010!L:R,7,FALSE),VLOOKUP(tables_406010!C232,input_406010!A:H,8,FALSE))</f>
        <v>20</v>
      </c>
      <c r="P232" s="46">
        <f t="shared" ca="1" si="10"/>
        <v>1.1363500002927623E-5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input_406010!A$2</f>
        <v>406010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IFERROR(VLOOKUP(B233,input_406010!L:R,7,FALSE),VLOOKUP(tables_406010!C233,input_406010!A:H,8,FALSE))</f>
        <v>9500</v>
      </c>
      <c r="P233" s="46">
        <f t="shared" ca="1" si="10"/>
        <v>5.3976625013906201E-3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input_406010!A$2</f>
        <v>406010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IFERROR(VLOOKUP(B234,input_406010!L:R,7,FALSE),VLOOKUP(tables_406010!C234,input_406010!A:H,8,FALSE))</f>
        <v>8959.0953800000007</v>
      </c>
      <c r="P234" s="46">
        <f t="shared" ca="1" si="10"/>
        <v>5.0903340188429421E-3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input_406010!A$2</f>
        <v>406010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IFERROR(VLOOKUP(B235,input_406010!L:R,7,FALSE),VLOOKUP(tables_406010!C235,input_406010!A:H,8,FALSE))</f>
        <v>541.31077000000005</v>
      </c>
      <c r="P235" s="46">
        <f t="shared" ca="1" si="10"/>
        <v>3.0755924682398768E-4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input_406010!A$2</f>
        <v>406010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IFERROR(VLOOKUP(B236,input_406010!L:R,7,FALSE),VLOOKUP(tables_406010!C236,input_406010!A:H,8,FALSE))</f>
        <v>380</v>
      </c>
      <c r="P236" s="46">
        <f t="shared" ca="1" si="10"/>
        <v>2.1590650005562481E-4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input_406010!A$2</f>
        <v>406010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IFERROR(VLOOKUP(B237,input_406010!L:R,7,FALSE),VLOOKUP(tables_406010!C237,input_406010!A:H,8,FALSE))</f>
        <v>20</v>
      </c>
      <c r="P237" s="46">
        <f t="shared" ca="1" si="10"/>
        <v>1.1363500002927623E-5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input_406010!A$2</f>
        <v>406010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IFERROR(VLOOKUP(B238,input_406010!L:R,7,FALSE),VLOOKUP(tables_406010!C238,input_406010!A:H,8,FALSE))</f>
        <v>380</v>
      </c>
      <c r="P238" s="46">
        <f t="shared" ca="1" si="10"/>
        <v>2.1590650005562481E-4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input_406010!A$2</f>
        <v>406010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IFERROR(VLOOKUP(B239,input_406010!L:R,7,FALSE),VLOOKUP(tables_406010!C239,input_406010!A:H,8,FALSE))</f>
        <v>20</v>
      </c>
      <c r="P239" s="46">
        <f t="shared" ca="1" si="10"/>
        <v>1.1363500002927623E-5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input_406010!A$2</f>
        <v>406010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IFERROR(VLOOKUP(B240,input_406010!L:R,7,FALSE),VLOOKUP(tables_406010!C240,input_406010!A:H,8,FALSE))</f>
        <v>9500</v>
      </c>
      <c r="P240" s="46">
        <f t="shared" ca="1" si="10"/>
        <v>5.3976625013906201E-3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input_406010!A$2</f>
        <v>406010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IFERROR(VLOOKUP(B241,input_406010!L:R,7,FALSE),VLOOKUP(tables_406010!C241,input_406010!A:H,8,FALSE))</f>
        <v>8959.0953800000007</v>
      </c>
      <c r="P241" s="46">
        <f t="shared" ca="1" si="10"/>
        <v>5.0903340188429421E-3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input_406010!A$2</f>
        <v>406010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IFERROR(VLOOKUP(B242,input_406010!L:R,7,FALSE),VLOOKUP(tables_406010!C242,input_406010!A:H,8,FALSE))</f>
        <v>541.31077000000005</v>
      </c>
      <c r="P242" s="46">
        <f t="shared" ca="1" si="10"/>
        <v>3.0755924682398768E-4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input_406010!A$2</f>
        <v>406010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IFERROR(VLOOKUP(B243,input_406010!L:R,7,FALSE),VLOOKUP(tables_406010!C243,input_406010!A:H,8,FALSE))</f>
        <v>9500</v>
      </c>
      <c r="P243" s="46">
        <f t="shared" ca="1" si="10"/>
        <v>5.3976625013906201E-3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input_406010!A$2</f>
        <v>406010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IFERROR(VLOOKUP(B244,input_406010!L:R,7,FALSE),VLOOKUP(tables_406010!C244,input_406010!A:H,8,FALSE))</f>
        <v>8959.0953800000007</v>
      </c>
      <c r="P244" s="46">
        <f t="shared" ca="1" si="10"/>
        <v>5.0903340188429421E-3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input_406010!A$2</f>
        <v>406010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IFERROR(VLOOKUP(B245,input_406010!L:R,7,FALSE),VLOOKUP(tables_406010!C245,input_406010!A:H,8,FALSE))</f>
        <v>541.31077000000005</v>
      </c>
      <c r="P245" s="46">
        <f t="shared" ca="1" si="10"/>
        <v>3.0755924682398768E-4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input_406010!A$2</f>
        <v>406010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IFERROR(VLOOKUP(B246,input_406010!L:R,7,FALSE),VLOOKUP(tables_406010!C246,input_406010!A:H,8,FALSE))</f>
        <v>9500</v>
      </c>
      <c r="P246" s="46">
        <f t="shared" ca="1" si="10"/>
        <v>5.3976625013906201E-3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input_406010!A$2</f>
        <v>406010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IFERROR(VLOOKUP(B247,input_406010!L:R,7,FALSE),VLOOKUP(tables_406010!C247,input_406010!A:H,8,FALSE))</f>
        <v>8959.0953800000007</v>
      </c>
      <c r="P247" s="46">
        <f t="shared" ca="1" si="10"/>
        <v>5.0903340188429421E-3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input_406010!A$2</f>
        <v>406010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IFERROR(VLOOKUP(B248,input_406010!L:R,7,FALSE),VLOOKUP(tables_406010!C248,input_406010!A:H,8,FALSE))</f>
        <v>541.31077000000005</v>
      </c>
      <c r="P248" s="46">
        <f t="shared" ca="1" si="10"/>
        <v>3.0755924682398768E-4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input_406010!A$2</f>
        <v>406010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IFERROR(VLOOKUP(B249,input_406010!L:R,7,FALSE),VLOOKUP(tables_406010!C249,input_406010!A:H,8,FALSE))</f>
        <v>9500</v>
      </c>
      <c r="P249" s="46">
        <f t="shared" ca="1" si="10"/>
        <v>5.3976625013906201E-3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input_406010!A$2</f>
        <v>406010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IFERROR(VLOOKUP(B250,input_406010!L:R,7,FALSE),VLOOKUP(tables_406010!C250,input_406010!A:H,8,FALSE))</f>
        <v>8959.0953800000007</v>
      </c>
      <c r="P250" s="46">
        <f t="shared" ca="1" si="10"/>
        <v>5.0903340188429421E-3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input_406010!A$2</f>
        <v>406010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IFERROR(VLOOKUP(B251,input_406010!L:R,7,FALSE),VLOOKUP(tables_406010!C251,input_406010!A:H,8,FALSE))</f>
        <v>541.31077000000005</v>
      </c>
      <c r="P251" s="46">
        <f t="shared" ca="1" si="10"/>
        <v>3.0755924682398768E-4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input_406010!A$2</f>
        <v>406010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IFERROR(VLOOKUP(B252,input_406010!L:R,7,FALSE),VLOOKUP(tables_406010!C252,input_406010!A:H,8,FALSE))</f>
        <v>380</v>
      </c>
      <c r="P252" s="46">
        <f t="shared" ca="1" si="10"/>
        <v>2.1590650005562481E-4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input_406010!A$2</f>
        <v>406010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IFERROR(VLOOKUP(B253,input_406010!L:R,7,FALSE),VLOOKUP(tables_406010!C253,input_406010!A:H,8,FALSE))</f>
        <v>20</v>
      </c>
      <c r="P253" s="46">
        <f t="shared" ca="1" si="10"/>
        <v>1.1363500002927623E-5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input_406010!A$2</f>
        <v>406010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IFERROR(VLOOKUP(B254,input_406010!L:R,7,FALSE),VLOOKUP(tables_406010!C254,input_406010!A:H,8,FALSE))</f>
        <v>380</v>
      </c>
      <c r="P254" s="46">
        <f t="shared" ca="1" si="10"/>
        <v>2.1590650005562481E-4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input_406010!A$2</f>
        <v>406010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IFERROR(VLOOKUP(B255,input_406010!L:R,7,FALSE),VLOOKUP(tables_406010!C255,input_406010!A:H,8,FALSE))</f>
        <v>20</v>
      </c>
      <c r="P255" s="46">
        <f t="shared" ca="1" si="10"/>
        <v>1.1363500002927623E-5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input_406010!A$2</f>
        <v>406010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IFERROR(VLOOKUP(B256,input_406010!L:R,7,FALSE),VLOOKUP(tables_406010!C256,input_406010!A:H,8,FALSE))</f>
        <v>18050</v>
      </c>
      <c r="P256" s="46">
        <f t="shared" ca="1" si="10"/>
        <v>1.0255558752642179E-2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input_406010!A$2</f>
        <v>406010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IFERROR(VLOOKUP(B257,input_406010!L:R,7,FALSE),VLOOKUP(tables_406010!C257,input_406010!A:H,8,FALSE))</f>
        <v>950</v>
      </c>
      <c r="P257" s="46">
        <f t="shared" ca="1" si="10"/>
        <v>5.3976625013906203E-4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input_406010!A$2</f>
        <v>406010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IFERROR(VLOOKUP(B258,input_406010!L:R,7,FALSE),VLOOKUP(tables_406010!C258,input_406010!A:H,8,FALSE))</f>
        <v>18050</v>
      </c>
      <c r="P258" s="46">
        <f t="shared" ref="P258:P294" ca="1" si="13">O258/SUM(O:O)</f>
        <v>1.0255558752642179E-2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input_406010!A$2</f>
        <v>406010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IFERROR(VLOOKUP(B259,input_406010!L:R,7,FALSE),VLOOKUP(tables_406010!C259,input_406010!A:H,8,FALSE))</f>
        <v>950</v>
      </c>
      <c r="P259" s="46">
        <f t="shared" ca="1" si="13"/>
        <v>5.3976625013906203E-4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input_406010!A$2</f>
        <v>406010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IFERROR(VLOOKUP(B260,input_406010!L:R,7,FALSE),VLOOKUP(tables_406010!C260,input_406010!A:H,8,FALSE))</f>
        <v>400</v>
      </c>
      <c r="P260" s="46">
        <f t="shared" ca="1" si="13"/>
        <v>2.2727000005855243E-4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input_406010!A$2</f>
        <v>406010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IFERROR(VLOOKUP(B261,input_406010!L:R,7,FALSE),VLOOKUP(tables_406010!C261,input_406010!A:H,8,FALSE))</f>
        <v>400</v>
      </c>
      <c r="P261" s="46">
        <f t="shared" ca="1" si="13"/>
        <v>2.2727000005855243E-4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input_406010!A$2</f>
        <v>406010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IFERROR(VLOOKUP(B262,input_406010!L:R,7,FALSE),VLOOKUP(tables_406010!C262,input_406010!A:H,8,FALSE))</f>
        <v>380</v>
      </c>
      <c r="P262" s="46">
        <f t="shared" ca="1" si="13"/>
        <v>2.1590650005562481E-4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input_406010!A$2</f>
        <v>406010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IFERROR(VLOOKUP(B263,input_406010!L:R,7,FALSE),VLOOKUP(tables_406010!C263,input_406010!A:H,8,FALSE))</f>
        <v>20</v>
      </c>
      <c r="P263" s="46">
        <f t="shared" ca="1" si="13"/>
        <v>1.1363500002927623E-5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input_406010!A$2</f>
        <v>406010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IFERROR(VLOOKUP(B264,input_406010!L:R,7,FALSE),VLOOKUP(tables_406010!C264,input_406010!A:H,8,FALSE))</f>
        <v>380</v>
      </c>
      <c r="P264" s="46">
        <f t="shared" ca="1" si="13"/>
        <v>2.1590650005562481E-4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input_406010!A$2</f>
        <v>406010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IFERROR(VLOOKUP(B265,input_406010!L:R,7,FALSE),VLOOKUP(tables_406010!C265,input_406010!A:H,8,FALSE))</f>
        <v>20</v>
      </c>
      <c r="P265" s="46">
        <f t="shared" ca="1" si="13"/>
        <v>1.1363500002927623E-5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input_406010!A$2</f>
        <v>406010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IFERROR(VLOOKUP(B266,input_406010!L:R,7,FALSE),VLOOKUP(tables_406010!C266,input_406010!A:H,8,FALSE))</f>
        <v>9500</v>
      </c>
      <c r="P266" s="46">
        <f t="shared" ca="1" si="13"/>
        <v>5.3976625013906201E-3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input_406010!A$2</f>
        <v>406010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IFERROR(VLOOKUP(B267,input_406010!L:R,7,FALSE),VLOOKUP(tables_406010!C267,input_406010!A:H,8,FALSE))</f>
        <v>8959.0953800000007</v>
      </c>
      <c r="P267" s="46">
        <f t="shared" ca="1" si="13"/>
        <v>5.0903340188429421E-3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input_406010!A$2</f>
        <v>406010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IFERROR(VLOOKUP(B268,input_406010!L:R,7,FALSE),VLOOKUP(tables_406010!C268,input_406010!A:H,8,FALSE))</f>
        <v>541.31077000000005</v>
      </c>
      <c r="P268" s="46">
        <f t="shared" ca="1" si="13"/>
        <v>3.0755924682398768E-4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input_406010!A$2</f>
        <v>406010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IFERROR(VLOOKUP(B269,input_406010!L:R,7,FALSE),VLOOKUP(tables_406010!C269,input_406010!A:H,8,FALSE))</f>
        <v>9500</v>
      </c>
      <c r="P269" s="46">
        <f t="shared" ca="1" si="13"/>
        <v>5.3976625013906201E-3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input_406010!A$2</f>
        <v>406010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IFERROR(VLOOKUP(B270,input_406010!L:R,7,FALSE),VLOOKUP(tables_406010!C270,input_406010!A:H,8,FALSE))</f>
        <v>8959.0953800000007</v>
      </c>
      <c r="P270" s="46">
        <f t="shared" ca="1" si="13"/>
        <v>5.0903340188429421E-3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input_406010!A$2</f>
        <v>406010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IFERROR(VLOOKUP(B271,input_406010!L:R,7,FALSE),VLOOKUP(tables_406010!C271,input_406010!A:H,8,FALSE))</f>
        <v>541.31077000000005</v>
      </c>
      <c r="P271" s="46">
        <f t="shared" ca="1" si="13"/>
        <v>3.0755924682398768E-4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input_406010!A$2</f>
        <v>406010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IFERROR(VLOOKUP(B272,input_406010!L:R,7,FALSE),VLOOKUP(tables_406010!C272,input_406010!A:H,8,FALSE))</f>
        <v>17600</v>
      </c>
      <c r="P272" s="46">
        <f t="shared" ca="1" si="13"/>
        <v>9.9998800025763064E-3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input_406010!A$2</f>
        <v>406010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IFERROR(VLOOKUP(B273,input_406010!L:R,7,FALSE),VLOOKUP(tables_406010!C273,input_406010!A:H,8,FALSE))</f>
        <v>400</v>
      </c>
      <c r="P273" s="46">
        <f t="shared" ca="1" si="13"/>
        <v>2.2727000005855243E-4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input_406010!A$2</f>
        <v>406010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IFERROR(VLOOKUP(B274,input_406010!L:R,7,FALSE),VLOOKUP(tables_406010!C274,input_406010!A:H,8,FALSE))</f>
        <v>18050</v>
      </c>
      <c r="P274" s="46">
        <f t="shared" ca="1" si="13"/>
        <v>1.0255558752642179E-2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input_406010!A$2</f>
        <v>406010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IFERROR(VLOOKUP(B275,input_406010!L:R,7,FALSE),VLOOKUP(tables_406010!C275,input_406010!A:H,8,FALSE))</f>
        <v>950</v>
      </c>
      <c r="P275" s="46">
        <f t="shared" ca="1" si="13"/>
        <v>5.3976625013906203E-4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input_406010!A$2</f>
        <v>406010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IFERROR(VLOOKUP(B276,input_406010!L:R,7,FALSE),VLOOKUP(tables_406010!C276,input_406010!A:H,8,FALSE))</f>
        <v>18050</v>
      </c>
      <c r="P276" s="46">
        <f t="shared" ca="1" si="13"/>
        <v>1.0255558752642179E-2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input_406010!A$2</f>
        <v>406010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IFERROR(VLOOKUP(B277,input_406010!L:R,7,FALSE),VLOOKUP(tables_406010!C277,input_406010!A:H,8,FALSE))</f>
        <v>950</v>
      </c>
      <c r="P277" s="46">
        <f t="shared" ca="1" si="13"/>
        <v>5.3976625013906203E-4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input_406010!A$2</f>
        <v>406010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IFERROR(VLOOKUP(B278,input_406010!L:R,7,FALSE),VLOOKUP(tables_406010!C278,input_406010!A:H,8,FALSE))</f>
        <v>18050</v>
      </c>
      <c r="P278" s="46">
        <f t="shared" ca="1" si="13"/>
        <v>1.0255558752642179E-2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input_406010!A$2</f>
        <v>406010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IFERROR(VLOOKUP(B279,input_406010!L:R,7,FALSE),VLOOKUP(tables_406010!C279,input_406010!A:H,8,FALSE))</f>
        <v>950</v>
      </c>
      <c r="P279" s="46">
        <f t="shared" ca="1" si="13"/>
        <v>5.3976625013906203E-4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input_406010!A$2</f>
        <v>406010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IFERROR(VLOOKUP(B280,input_406010!L:R,7,FALSE),VLOOKUP(tables_406010!C280,input_406010!A:H,8,FALSE))</f>
        <v>18050</v>
      </c>
      <c r="P280" s="46">
        <f t="shared" ca="1" si="13"/>
        <v>1.0255558752642179E-2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input_406010!A$2</f>
        <v>406010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IFERROR(VLOOKUP(B281,input_406010!L:R,7,FALSE),VLOOKUP(tables_406010!C281,input_406010!A:H,8,FALSE))</f>
        <v>950</v>
      </c>
      <c r="P281" s="46">
        <f t="shared" ca="1" si="13"/>
        <v>5.3976625013906203E-4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input_406010!A$2</f>
        <v>406010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IFERROR(VLOOKUP(B282,input_406010!L:R,7,FALSE),VLOOKUP(tables_406010!C282,input_406010!A:H,8,FALSE))</f>
        <v>400</v>
      </c>
      <c r="P282" s="46">
        <f t="shared" ca="1" si="13"/>
        <v>2.2727000005855243E-4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input_406010!A$2</f>
        <v>406010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IFERROR(VLOOKUP(B283,input_406010!L:R,7,FALSE),VLOOKUP(tables_406010!C283,input_406010!A:H,8,FALSE))</f>
        <v>400</v>
      </c>
      <c r="P283" s="46">
        <f t="shared" ca="1" si="13"/>
        <v>2.2727000005855243E-4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input_406010!A$2</f>
        <v>406010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IFERROR(VLOOKUP(B284,input_406010!L:R,7,FALSE),VLOOKUP(tables_406010!C284,input_406010!A:H,8,FALSE))</f>
        <v>400</v>
      </c>
      <c r="P284" s="46">
        <f t="shared" ca="1" si="13"/>
        <v>2.2727000005855243E-4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input_406010!A$2</f>
        <v>406010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IFERROR(VLOOKUP(B285,input_406010!L:R,7,FALSE),VLOOKUP(tables_406010!C285,input_406010!A:H,8,FALSE))</f>
        <v>400</v>
      </c>
      <c r="P285" s="46">
        <f t="shared" ca="1" si="13"/>
        <v>2.2727000005855243E-4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input_406010!A$2</f>
        <v>406010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IFERROR(VLOOKUP(B286,input_406010!L:R,7,FALSE),VLOOKUP(tables_406010!C286,input_406010!A:H,8,FALSE))</f>
        <v>18050</v>
      </c>
      <c r="P286" s="46">
        <f t="shared" ca="1" si="13"/>
        <v>1.0255558752642179E-2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input_406010!A$2</f>
        <v>406010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IFERROR(VLOOKUP(B287,input_406010!L:R,7,FALSE),VLOOKUP(tables_406010!C287,input_406010!A:H,8,FALSE))</f>
        <v>950</v>
      </c>
      <c r="P287" s="46">
        <f t="shared" ca="1" si="13"/>
        <v>5.3976625013906203E-4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input_406010!A$2</f>
        <v>406010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IFERROR(VLOOKUP(B288,input_406010!L:R,7,FALSE),VLOOKUP(tables_406010!C288,input_406010!A:H,8,FALSE))</f>
        <v>18050</v>
      </c>
      <c r="P288" s="46">
        <f t="shared" ca="1" si="13"/>
        <v>1.0255558752642179E-2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input_406010!A$2</f>
        <v>406010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IFERROR(VLOOKUP(B289,input_406010!L:R,7,FALSE),VLOOKUP(tables_406010!C289,input_406010!A:H,8,FALSE))</f>
        <v>950</v>
      </c>
      <c r="P289" s="46">
        <f t="shared" ca="1" si="13"/>
        <v>5.3976625013906203E-4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input_406010!A$2</f>
        <v>406010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IFERROR(VLOOKUP(B290,input_406010!L:R,7,FALSE),VLOOKUP(tables_406010!C290,input_406010!A:H,8,FALSE))</f>
        <v>400</v>
      </c>
      <c r="P290" s="46">
        <f t="shared" ca="1" si="13"/>
        <v>2.2727000005855243E-4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input_406010!A$2</f>
        <v>406010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IFERROR(VLOOKUP(B291,input_406010!L:R,7,FALSE),VLOOKUP(tables_406010!C291,input_406010!A:H,8,FALSE))</f>
        <v>18050</v>
      </c>
      <c r="P291" s="46">
        <f t="shared" ca="1" si="13"/>
        <v>1.0255558752642179E-2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input_406010!A$2</f>
        <v>406010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IFERROR(VLOOKUP(B292,input_406010!L:R,7,FALSE),VLOOKUP(tables_406010!C292,input_406010!A:H,8,FALSE))</f>
        <v>950</v>
      </c>
      <c r="P292" s="46">
        <f t="shared" ca="1" si="13"/>
        <v>5.3976625013906203E-4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input_406010!A$2</f>
        <v>406010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IFERROR(VLOOKUP(B293,input_406010!L:R,7,FALSE),VLOOKUP(tables_406010!C293,input_406010!A:H,8,FALSE))</f>
        <v>400</v>
      </c>
      <c r="P293" s="46">
        <f t="shared" ca="1" si="13"/>
        <v>2.2727000005855243E-4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input_406010!A$2</f>
        <v>406010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IFERROR(VLOOKUP(B294,input_406010!L:R,7,FALSE),VLOOKUP(tables_406010!C294,input_406010!A:H,8,FALSE))</f>
        <v>400</v>
      </c>
      <c r="P294" s="46">
        <f t="shared" ca="1" si="13"/>
        <v>2.2727000005855243E-4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input_406010!A$2</f>
        <v>406010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IFERROR(VLOOKUP(B295,input_406010!L:R,7,FALSE),VLOOKUP(tables_406010!C295,input_406010!A:H,8,FALSE))</f>
        <v>400</v>
      </c>
      <c r="P295" s="46">
        <f t="shared" ref="P295:P299" ca="1" si="18">O295/SUM(O:O)</f>
        <v>2.2727000005855243E-4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input_406010!A$2</f>
        <v>406010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IFERROR(VLOOKUP(B296,input_406010!L:R,7,FALSE),VLOOKUP(tables_406010!C296,input_406010!A:H,8,FALSE))</f>
        <v>400</v>
      </c>
      <c r="P296" s="46">
        <f t="shared" ca="1" si="18"/>
        <v>2.2727000005855243E-4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input_406010!A$2</f>
        <v>406010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IFERROR(VLOOKUP(B297,input_406010!L:R,7,FALSE),VLOOKUP(tables_406010!C297,input_406010!A:H,8,FALSE))</f>
        <v>18050</v>
      </c>
      <c r="P297" s="46">
        <f t="shared" ca="1" si="18"/>
        <v>1.0255558752642179E-2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input_406010!A$2</f>
        <v>406010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IFERROR(VLOOKUP(B298,input_406010!L:R,7,FALSE),VLOOKUP(tables_406010!C298,input_406010!A:H,8,FALSE))</f>
        <v>950</v>
      </c>
      <c r="P298" s="46">
        <f t="shared" ca="1" si="18"/>
        <v>5.3976625013906203E-4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input_406010!A$2</f>
        <v>406010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IFERROR(VLOOKUP(B299,input_406010!L:R,7,FALSE),VLOOKUP(tables_406010!C299,input_406010!A:H,8,FALSE))</f>
        <v>400</v>
      </c>
      <c r="P299" s="46">
        <f t="shared" ca="1" si="18"/>
        <v>2.2727000005855243E-4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input_406010!A$2</f>
        <v>406010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IFERROR(VLOOKUP(B300,input_406010!L:R,7,FALSE),VLOOKUP(tables_406010!C300,input_406010!A:H,8,FALSE))</f>
        <v>18050</v>
      </c>
      <c r="P300" s="46">
        <f t="shared" ref="P300:P304" ca="1" si="20">O300/SUM(O:O)</f>
        <v>1.0255558752642179E-2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input_406010!A$2</f>
        <v>406010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IFERROR(VLOOKUP(B301,input_406010!L:R,7,FALSE),VLOOKUP(tables_406010!C301,input_406010!A:H,8,FALSE))</f>
        <v>950</v>
      </c>
      <c r="P301" s="46">
        <f t="shared" ca="1" si="20"/>
        <v>5.3976625013906203E-4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input_406010!A$2</f>
        <v>406010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IFERROR(VLOOKUP(B302,input_406010!L:R,7,FALSE),VLOOKUP(tables_406010!C302,input_406010!A:H,8,FALSE))</f>
        <v>400</v>
      </c>
      <c r="P302" s="46">
        <f t="shared" ca="1" si="20"/>
        <v>2.2727000005855243E-4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input_406010!A$2</f>
        <v>406010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IFERROR(VLOOKUP(B303,input_406010!L:R,7,FALSE),VLOOKUP(tables_406010!C303,input_406010!A:H,8,FALSE))</f>
        <v>400</v>
      </c>
      <c r="P303" s="46">
        <f t="shared" ca="1" si="20"/>
        <v>2.2727000005855243E-4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input_406010!A$2</f>
        <v>406010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IFERROR(VLOOKUP(B304,input_406010!L:R,7,FALSE),VLOOKUP(tables_406010!C304,input_406010!A:H,8,FALSE))</f>
        <v>400</v>
      </c>
      <c r="P304" s="46">
        <f t="shared" ca="1" si="20"/>
        <v>2.2727000005855243E-4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input_406010!A$2</f>
        <v>406010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IFERROR(VLOOKUP(B305,input_406010!L:R,7,FALSE),VLOOKUP(tables_406010!C305,input_406010!A:H,8,FALSE))</f>
        <v>18050</v>
      </c>
      <c r="P305" s="46">
        <f t="shared" ref="P305:P309" ca="1" si="22">O305/SUM(O:O)</f>
        <v>1.0255558752642179E-2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input_406010!A$2</f>
        <v>406010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IFERROR(VLOOKUP(B306,input_406010!L:R,7,FALSE),VLOOKUP(tables_406010!C306,input_406010!A:H,8,FALSE))</f>
        <v>950</v>
      </c>
      <c r="P306" s="46">
        <f t="shared" ca="1" si="22"/>
        <v>5.3976625013906203E-4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input_406010!A$2</f>
        <v>406010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IFERROR(VLOOKUP(B307,input_406010!L:R,7,FALSE),VLOOKUP(tables_406010!C307,input_406010!A:H,8,FALSE))</f>
        <v>400</v>
      </c>
      <c r="P307" s="46">
        <f t="shared" ca="1" si="22"/>
        <v>2.2727000005855243E-4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input_406010!A$2</f>
        <v>406010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IFERROR(VLOOKUP(B308,input_406010!L:R,7,FALSE),VLOOKUP(tables_406010!C308,input_406010!A:H,8,FALSE))</f>
        <v>400</v>
      </c>
      <c r="P308" s="46">
        <f t="shared" ca="1" si="22"/>
        <v>2.2727000005855243E-4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input_406010!A$2</f>
        <v>406010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IFERROR(VLOOKUP(B309,input_406010!L:R,7,FALSE),VLOOKUP(tables_406010!C309,input_406010!A:H,8,FALSE))</f>
        <v>17600</v>
      </c>
      <c r="P309" s="46">
        <f t="shared" ca="1" si="22"/>
        <v>9.9998800025763064E-3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8" workbookViewId="0">
      <selection activeCell="E34" sqref="E34:E35"/>
    </sheetView>
  </sheetViews>
  <sheetFormatPr baseColWidth="12" defaultRowHeight="14" x14ac:dyDescent="0.15"/>
  <cols>
    <col min="1" max="2" width="24.19921875" bestFit="1" customWidth="1"/>
    <col min="5" max="5" width="20.19921875" bestFit="1" customWidth="1"/>
    <col min="6" max="6" width="21.19921875" bestFit="1" customWidth="1"/>
    <col min="7" max="7" width="23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390</v>
      </c>
      <c r="M3" s="37" t="str">
        <f>VLOOKUP(L3,[1]characters!$A:$C,3,FALSE)</f>
        <v>華環の旅客 親指姫</v>
      </c>
      <c r="N3" s="63">
        <v>9.4999999999999998E-3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VLOOKUP(L3,tables_406100!B:C,2,FALSE)</f>
        <v>PremiumSS4</v>
      </c>
      <c r="R3" s="62">
        <f t="shared" ref="R3:R20" si="1">N3*A$36</f>
        <v>16720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391</v>
      </c>
      <c r="M4" s="37" t="str">
        <f>VLOOKUP(L4,[1]characters!$A:$C,3,FALSE)</f>
        <v>燕翼の旅人 親指姫</v>
      </c>
      <c r="N4" s="63">
        <v>5.0000000000000001E-4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VLOOKUP(L4,tables_406100!B:C,2,FALSE)</f>
        <v>PremiumSS5</v>
      </c>
      <c r="R4" s="62">
        <f t="shared" si="1"/>
        <v>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2.2727272727272733E-4</v>
      </c>
      <c r="F5">
        <f>(COUNTIF(tables_406100!C:C,input_406100!A28)+COUNTIF(tables_406100!C:C,input_406100!A29))</f>
        <v>48</v>
      </c>
      <c r="H5" s="84">
        <v>0.04</v>
      </c>
      <c r="I5" s="31">
        <v>4</v>
      </c>
      <c r="L5" s="60">
        <v>398</v>
      </c>
      <c r="M5" s="37" t="str">
        <f>VLOOKUP(L5,[1]characters!$A:$C,3,FALSE)</f>
        <v>ヘンゼル＆グレーテル</v>
      </c>
      <c r="N5" s="63">
        <v>9.4999999999999998E-3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VLOOKUP(L5,tables_406100!B:C,2,FALSE)</f>
        <v>PremiumSS4</v>
      </c>
      <c r="R5" s="62">
        <f t="shared" si="1"/>
        <v>16720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1.0795454545454546E-2</v>
      </c>
      <c r="F6">
        <f>(COUNTIF(tables_406100!C:C,input_406100!A25)+COUNTIF(tables_406100!C:C,input_406100!A18)+COUNTIF(tables_406100!C:C,input_406100!A20)+COUNTIF(tables_406100!C:C,input_406100!A22))</f>
        <v>88</v>
      </c>
      <c r="H6" s="89">
        <v>0</v>
      </c>
      <c r="I6" s="31">
        <v>0</v>
      </c>
      <c r="L6" s="94">
        <v>399</v>
      </c>
      <c r="M6" s="37" t="str">
        <f>VLOOKUP(L6,[1]characters!$A:$C,3,FALSE)</f>
        <v>信愛の兄妹 ヘンゼル＆グレーテル</v>
      </c>
      <c r="N6" s="63">
        <v>5.0000000000000001E-4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VLOOKUP(L6,tables_406100!B:C,2,FALSE)</f>
        <v>PremiumSS5</v>
      </c>
      <c r="R6" s="62">
        <f t="shared" si="1"/>
        <v>880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848</v>
      </c>
      <c r="M7" s="37" t="str">
        <f>VLOOKUP(L7,[1]characters!$A:$C,3,FALSE)</f>
        <v>メタトロン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VLOOKUP(L7,tables_406100!B:C,2,FALSE)</f>
        <v>PremiumSS5R5only</v>
      </c>
      <c r="R7" s="62">
        <f t="shared" si="1"/>
        <v>17600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1074</v>
      </c>
      <c r="M8" s="37" t="str">
        <f>VLOOKUP(L8,[1]characters!$A:$C,3,FALSE)</f>
        <v>マルドゥク</v>
      </c>
      <c r="N8" s="63">
        <v>0.01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VLOOKUP(L8,tables_406100!B:C,2,FALSE)</f>
        <v>PremiumSS5R5only</v>
      </c>
      <c r="R8" s="62">
        <f t="shared" si="1"/>
        <v>17600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1.9E-2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COUNTIF(tables_406100!C:C,input_406100!A17)-COUNTIF(Q:Q,A17)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COUNTIF(tables_406100!C:C,input_406100!A18)-COUNTIF(Q:Q,A18)</f>
        <v>20</v>
      </c>
      <c r="F18" s="43">
        <f>IFERROR(B18/E18,0)</f>
        <v>1.0795454545454546E-2</v>
      </c>
      <c r="G18">
        <f t="shared" si="4"/>
        <v>380000</v>
      </c>
      <c r="H18">
        <f t="shared" si="5"/>
        <v>19000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COUNTIF(tables_406100!C:C,input_406100!A19)-COUNTIF(Q:Q,A19)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0.54538236359090919</v>
      </c>
      <c r="C20" s="85">
        <f t="shared" si="2"/>
        <v>0</v>
      </c>
      <c r="D20" s="74">
        <f t="shared" si="3"/>
        <v>0.54538236359090919</v>
      </c>
      <c r="E20">
        <f>COUNTIF(tables_406100!C:C,input_406100!A20)-COUNTIF(Q:Q,A20)</f>
        <v>52</v>
      </c>
      <c r="F20" s="43">
        <f t="shared" si="8"/>
        <v>1.0488122376748253E-2</v>
      </c>
      <c r="G20">
        <f t="shared" si="4"/>
        <v>959872.95992000017</v>
      </c>
      <c r="H20">
        <f t="shared" si="5"/>
        <v>18459.095379999999</v>
      </c>
      <c r="I20">
        <f t="shared" si="6"/>
        <v>9.5379999998840503E-2</v>
      </c>
      <c r="J20">
        <f t="shared" si="7"/>
        <v>10.484378276495665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1.5993272727272734E-2</v>
      </c>
      <c r="C21" s="85">
        <f t="shared" si="2"/>
        <v>0</v>
      </c>
      <c r="D21" s="74">
        <f t="shared" si="3"/>
        <v>1.5993272727272734E-2</v>
      </c>
      <c r="E21">
        <f>COUNTIF(tables_406100!C:C,input_406100!A21)-COUNTIF(Q:Q,A21)</f>
        <v>52</v>
      </c>
      <c r="F21" s="43">
        <f t="shared" si="8"/>
        <v>3.0756293706293722E-4</v>
      </c>
      <c r="G21">
        <f t="shared" si="4"/>
        <v>28148.160000000014</v>
      </c>
      <c r="H21">
        <f t="shared" si="5"/>
        <v>541.31077000000005</v>
      </c>
      <c r="I21">
        <f t="shared" si="6"/>
        <v>0.31077000000004773</v>
      </c>
      <c r="J21">
        <f t="shared" si="7"/>
        <v>3.2178138172920372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COUNTIF(tables_406100!C:C,input_406100!A22)-COUNTIF(Q:Q,A22)</f>
        <v>12</v>
      </c>
      <c r="F22" s="43">
        <f t="shared" si="8"/>
        <v>1.0255681818181818E-2</v>
      </c>
      <c r="G22">
        <f t="shared" si="4"/>
        <v>216600.00000000003</v>
      </c>
      <c r="H22">
        <f t="shared" si="5"/>
        <v>18050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COUNTIF(tables_406100!C:C,input_406100!A23)-COUNTIF(Q:Q,A23)</f>
        <v>12</v>
      </c>
      <c r="F23" s="43">
        <f t="shared" si="8"/>
        <v>5.3977272727272728E-4</v>
      </c>
      <c r="G23">
        <f t="shared" si="4"/>
        <v>11400</v>
      </c>
      <c r="H23">
        <f t="shared" si="5"/>
        <v>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COUNTIF(tables_406100!C:C,input_406100!A24)-COUNTIF(Q:Q,A24)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COUNTIF(tables_406100!C:C,input_406100!A25)-COUNTIF(Q:Q,A25)</f>
        <v>4</v>
      </c>
      <c r="F25" s="43">
        <f t="shared" si="8"/>
        <v>1.0255681818181818E-2</v>
      </c>
      <c r="G25">
        <f t="shared" si="4"/>
        <v>72200</v>
      </c>
      <c r="H25">
        <f t="shared" si="5"/>
        <v>18050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COUNTIF(tables_406100!C:C,input_406100!A26)-COUNTIF(Q:Q,A26)</f>
        <v>4</v>
      </c>
      <c r="F26" s="43">
        <f t="shared" si="8"/>
        <v>5.3977272727272728E-4</v>
      </c>
      <c r="G26">
        <f t="shared" si="4"/>
        <v>3800</v>
      </c>
      <c r="H26">
        <f t="shared" si="5"/>
        <v>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5.6136363636363649E-3</v>
      </c>
      <c r="C27" s="85">
        <f t="shared" si="2"/>
        <v>1.9E-2</v>
      </c>
      <c r="D27" s="74">
        <f t="shared" si="3"/>
        <v>-1.3386363636363634E-2</v>
      </c>
      <c r="E27">
        <f>COUNTIF(tables_406100!C:C,input_406100!A27)-COUNTIF(Q:Q,A27)</f>
        <v>26</v>
      </c>
      <c r="F27" s="43">
        <f>IFERROR(B27/E27,0)</f>
        <v>2.1590909090909096E-4</v>
      </c>
      <c r="G27">
        <f t="shared" si="4"/>
        <v>9880.0000000000018</v>
      </c>
      <c r="H27">
        <f t="shared" si="5"/>
        <v>380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2.9545454545454558E-4</v>
      </c>
      <c r="C28" s="85">
        <f t="shared" si="2"/>
        <v>1E-3</v>
      </c>
      <c r="D28" s="74">
        <f t="shared" si="3"/>
        <v>-7.0454545454545444E-4</v>
      </c>
      <c r="E28">
        <f>COUNTIF(tables_406100!C:C,input_406100!A28)-COUNTIF(Q:Q,A28)</f>
        <v>26</v>
      </c>
      <c r="F28" s="43">
        <f t="shared" si="8"/>
        <v>1.1363636363636368E-5</v>
      </c>
      <c r="G28">
        <f t="shared" si="4"/>
        <v>520.00000000000023</v>
      </c>
      <c r="H28">
        <f t="shared" si="5"/>
        <v>20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4.0909090909090921E-3</v>
      </c>
      <c r="C29" s="85">
        <f t="shared" si="2"/>
        <v>0.02</v>
      </c>
      <c r="D29" s="74">
        <f t="shared" si="3"/>
        <v>-1.5909090909090907E-2</v>
      </c>
      <c r="E29">
        <f>COUNTIF(tables_406100!C:C,input_406100!A29)-COUNTIF(Q:Q,A29)</f>
        <v>18</v>
      </c>
      <c r="F29" s="43">
        <f t="shared" si="8"/>
        <v>2.2727272727272733E-4</v>
      </c>
      <c r="G29">
        <f t="shared" si="4"/>
        <v>7200.0000000000018</v>
      </c>
      <c r="H29">
        <f t="shared" si="5"/>
        <v>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COUNTIF(tables_406100!C:C,input_406100!A30)-COUNTIF(Q:Q,A30)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COUNTIF(tables_406100!C:C,input_406100!A31)-COUNTIF(Q:Q,A31)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103">
        <f>SUM(B17:B31)</f>
        <v>0.96001199995454556</v>
      </c>
      <c r="C32" s="41">
        <f>SUM(C19:C31)</f>
        <v>0.04</v>
      </c>
      <c r="D32" s="42">
        <f t="shared" si="3"/>
        <v>0.92001199995454552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100">
        <v>2.0983999999999999E-2</v>
      </c>
      <c r="G34" s="100"/>
    </row>
    <row r="35" spans="1:7" x14ac:dyDescent="0.15">
      <c r="A35" t="s">
        <v>73</v>
      </c>
      <c r="E35" s="101">
        <v>-1.2086909045454602E-2</v>
      </c>
      <c r="F35" s="100"/>
    </row>
    <row r="36" spans="1:7" x14ac:dyDescent="0.15">
      <c r="A36" s="31">
        <f>LCM(F5-I5,F6-I6)*1000*2*2*5</f>
        <v>1760000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SUMIF(tables_406100!C:C,input_406100!A40,tables_406100!O:O)</f>
        <v>0</v>
      </c>
      <c r="C40" s="54">
        <f t="shared" ref="C40:C46" ca="1" si="9">B40/B$47</f>
        <v>0</v>
      </c>
      <c r="E40">
        <v>3</v>
      </c>
      <c r="F40">
        <f ca="1">SUMIF(tables_406100!J:J,input_406100!E40,tables_406100!O:O)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SUMIF(tables_406100!C:C,input_406100!A41,tables_406100!O:O)</f>
        <v>959872.95975999918</v>
      </c>
      <c r="C41" s="54">
        <f t="shared" ca="1" si="9"/>
        <v>0.92865068386540905</v>
      </c>
      <c r="E41">
        <v>4</v>
      </c>
      <c r="F41">
        <f ca="1">SUMIF(tables_406100!J:J,input_406100!E41,tables_406100!O:O)</f>
        <v>1671992.9597600002</v>
      </c>
      <c r="G41">
        <f ca="1">F41/A36</f>
        <v>0.94999599986363648</v>
      </c>
    </row>
    <row r="42" spans="1:7" x14ac:dyDescent="0.15">
      <c r="A42" s="33" t="s">
        <v>106</v>
      </c>
      <c r="B42">
        <f ca="1">SUMIF(tables_406100!C:C,input_406100!A42,tables_406100!O:O)</f>
        <v>43320</v>
      </c>
      <c r="C42" s="54">
        <f t="shared" ca="1" si="9"/>
        <v>4.1910908330106703E-2</v>
      </c>
      <c r="E42">
        <v>5</v>
      </c>
      <c r="F42">
        <f ca="1">SUMIF(tables_406100!J:J,input_406100!E42,tables_406100!O:O)</f>
        <v>88028.160040000002</v>
      </c>
      <c r="G42">
        <f ca="1">F42/A36</f>
        <v>5.0016000022727276E-2</v>
      </c>
    </row>
    <row r="43" spans="1:7" x14ac:dyDescent="0.15">
      <c r="A43" s="33" t="s">
        <v>109</v>
      </c>
      <c r="B43">
        <f>SUMIF(tables_406100!C:C,input_406100!A43,tables_406100!O:O)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SUMIF(tables_406100!C:C,input_406100!A44,tables_406100!O:O)</f>
        <v>28148.160040000002</v>
      </c>
      <c r="C44" s="54">
        <f t="shared" ca="1" si="9"/>
        <v>2.7232570523952278E-2</v>
      </c>
      <c r="E44" t="s">
        <v>54</v>
      </c>
      <c r="F44" s="55"/>
    </row>
    <row r="45" spans="1:7" x14ac:dyDescent="0.15">
      <c r="A45" s="33" t="s">
        <v>107</v>
      </c>
      <c r="B45">
        <f ca="1">SUMIF(tables_406100!C:C,input_406100!A45,tables_406100!O:O)</f>
        <v>2280</v>
      </c>
      <c r="C45" s="54">
        <f t="shared" ca="1" si="9"/>
        <v>2.2058372805319314E-3</v>
      </c>
      <c r="E45" t="s">
        <v>204</v>
      </c>
      <c r="F45" s="55">
        <f ca="1">SUMIF(tables_406100!I:I,input_406100!E45,tables_406100!P:P)</f>
        <v>0.21590650005562481</v>
      </c>
    </row>
    <row r="46" spans="1:7" x14ac:dyDescent="0.15">
      <c r="A46" s="33" t="s">
        <v>108</v>
      </c>
      <c r="B46">
        <f>SUMIF(tables_406100!C:C,input_406100!A46,tables_406100!O:O)</f>
        <v>0</v>
      </c>
      <c r="C46" s="54">
        <f t="shared" ca="1" si="9"/>
        <v>0</v>
      </c>
      <c r="E46" t="s">
        <v>205</v>
      </c>
      <c r="F46" s="55">
        <f ca="1">SUMIF(tables_406100!I:I,input_406100!E46,tables_406100!P:P)</f>
        <v>0.21591042304832203</v>
      </c>
    </row>
    <row r="47" spans="1:7" x14ac:dyDescent="0.15">
      <c r="A47" s="39" t="s">
        <v>59</v>
      </c>
      <c r="B47">
        <f ca="1">SUM(B40:B46)</f>
        <v>1033621.1197999992</v>
      </c>
      <c r="C47" s="55">
        <f ca="1">SUM(C40:C46)</f>
        <v>0.99999999999999989</v>
      </c>
      <c r="E47" t="s">
        <v>206</v>
      </c>
      <c r="F47" s="55">
        <f ca="1">SUMIF(tables_406100!I:I,input_406100!E47,tables_406100!P:P)</f>
        <v>0.51818367688317024</v>
      </c>
    </row>
    <row r="48" spans="1:7" x14ac:dyDescent="0.15">
      <c r="E48" t="s">
        <v>207</v>
      </c>
      <c r="F48" s="55">
        <f ca="1">SUMIF(tables_406100!I:I,input_406100!E48,tables_406100!P:P)</f>
        <v>4.9772130012822963E-2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144" activePane="bottomLeft" state="frozen"/>
      <selection activeCell="D34" sqref="D34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input_406100!A$2</f>
        <v>406100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IFERROR(VLOOKUP(B2,input_406100!L:R,7,FALSE),VLOOKUP(tables_406100!C2,input_406100!A:H,8,FALSE))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input_406100!A$2</f>
        <v>406100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IFERROR(VLOOKUP(B3,input_406100!L:R,7,FALSE),VLOOKUP(tables_406100!C3,input_406100!A:H,8,FALSE))</f>
        <v>19000</v>
      </c>
      <c r="P3" s="46">
        <f t="shared" ca="1" si="1"/>
        <v>1.079532500278124E-2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input_406100!A$2</f>
        <v>406100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IFERROR(VLOOKUP(B4,input_406100!L:R,7,FALSE),VLOOKUP(tables_406100!C4,input_406100!A:H,8,FALSE))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input_406100!A$2</f>
        <v>406100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IFERROR(VLOOKUP(B5,input_406100!L:R,7,FALSE),VLOOKUP(tables_406100!C5,input_406100!A:H,8,FALSE))</f>
        <v>19000</v>
      </c>
      <c r="P5" s="46">
        <f t="shared" ca="1" si="1"/>
        <v>1.079532500278124E-2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input_406100!A$2</f>
        <v>406100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IFERROR(VLOOKUP(B6,input_406100!L:R,7,FALSE),VLOOKUP(tables_406100!C6,input_406100!A:H,8,FALSE))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input_406100!A$2</f>
        <v>406100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IFERROR(VLOOKUP(B7,input_406100!L:R,7,FALSE),VLOOKUP(tables_406100!C7,input_406100!A:H,8,FALSE))</f>
        <v>19000</v>
      </c>
      <c r="P7" s="46">
        <f t="shared" ca="1" si="1"/>
        <v>1.079532500278124E-2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input_406100!A$2</f>
        <v>406100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IFERROR(VLOOKUP(B8,input_406100!L:R,7,FALSE),VLOOKUP(tables_406100!C8,input_406100!A:H,8,FALSE))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input_406100!A$2</f>
        <v>406100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IFERROR(VLOOKUP(B9,input_406100!L:R,7,FALSE),VLOOKUP(tables_406100!C9,input_406100!A:H,8,FALSE))</f>
        <v>19000</v>
      </c>
      <c r="P9" s="46">
        <f t="shared" ca="1" si="1"/>
        <v>1.079532500278124E-2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input_406100!A$2</f>
        <v>406100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IFERROR(VLOOKUP(B10,input_406100!L:R,7,FALSE),VLOOKUP(tables_406100!C10,input_406100!A:H,8,FALSE))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input_406100!A$2</f>
        <v>406100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IFERROR(VLOOKUP(B11,input_406100!L:R,7,FALSE),VLOOKUP(tables_406100!C11,input_406100!A:H,8,FALSE))</f>
        <v>19000</v>
      </c>
      <c r="P11" s="46">
        <f t="shared" ca="1" si="1"/>
        <v>1.079532500278124E-2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input_406100!A$2</f>
        <v>406100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IFERROR(VLOOKUP(B12,input_406100!L:R,7,FALSE),VLOOKUP(tables_406100!C12,input_406100!A:H,8,FALSE))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input_406100!A$2</f>
        <v>406100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IFERROR(VLOOKUP(B13,input_406100!L:R,7,FALSE),VLOOKUP(tables_406100!C13,input_406100!A:H,8,FALSE))</f>
        <v>19000</v>
      </c>
      <c r="P13" s="46">
        <f t="shared" ca="1" si="1"/>
        <v>1.079532500278124E-2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input_406100!A$2</f>
        <v>406100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IFERROR(VLOOKUP(B14,input_406100!L:R,7,FALSE),VLOOKUP(tables_406100!C14,input_406100!A:H,8,FALSE))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input_406100!A$2</f>
        <v>406100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IFERROR(VLOOKUP(B15,input_406100!L:R,7,FALSE),VLOOKUP(tables_406100!C15,input_406100!A:H,8,FALSE))</f>
        <v>19000</v>
      </c>
      <c r="P15" s="46">
        <f t="shared" ca="1" si="1"/>
        <v>1.079532500278124E-2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input_406100!A$2</f>
        <v>406100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IFERROR(VLOOKUP(B16,input_406100!L:R,7,FALSE),VLOOKUP(tables_406100!C16,input_406100!A:H,8,FALSE))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input_406100!A$2</f>
        <v>406100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IFERROR(VLOOKUP(B17,input_406100!L:R,7,FALSE),VLOOKUP(tables_406100!C17,input_406100!A:H,8,FALSE))</f>
        <v>19000</v>
      </c>
      <c r="P17" s="46">
        <f t="shared" ca="1" si="1"/>
        <v>1.079532500278124E-2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input_406100!A$2</f>
        <v>406100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IFERROR(VLOOKUP(B18,input_406100!L:R,7,FALSE),VLOOKUP(tables_406100!C18,input_406100!A:H,8,FALSE))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input_406100!A$2</f>
        <v>406100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IFERROR(VLOOKUP(B19,input_406100!L:R,7,FALSE),VLOOKUP(tables_406100!C19,input_406100!A:H,8,FALSE))</f>
        <v>19000</v>
      </c>
      <c r="P19" s="46">
        <f t="shared" ca="1" si="1"/>
        <v>1.079532500278124E-2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input_406100!A$2</f>
        <v>406100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IFERROR(VLOOKUP(B20,input_406100!L:R,7,FALSE),VLOOKUP(tables_406100!C20,input_406100!A:H,8,FALSE))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input_406100!A$2</f>
        <v>406100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IFERROR(VLOOKUP(B21,input_406100!L:R,7,FALSE),VLOOKUP(tables_406100!C21,input_406100!A:H,8,FALSE))</f>
        <v>19000</v>
      </c>
      <c r="P21" s="46">
        <f t="shared" ca="1" si="1"/>
        <v>1.079532500278124E-2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input_406100!A$2</f>
        <v>406100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IFERROR(VLOOKUP(B22,input_406100!L:R,7,FALSE),VLOOKUP(tables_406100!C22,input_406100!A:H,8,FALSE))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input_406100!A$2</f>
        <v>406100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IFERROR(VLOOKUP(B23,input_406100!L:R,7,FALSE),VLOOKUP(tables_406100!C23,input_406100!A:H,8,FALSE))</f>
        <v>19000</v>
      </c>
      <c r="P23" s="46">
        <f t="shared" ca="1" si="1"/>
        <v>1.079532500278124E-2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input_406100!A$2</f>
        <v>406100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IFERROR(VLOOKUP(B24,input_406100!L:R,7,FALSE),VLOOKUP(tables_406100!C24,input_406100!A:H,8,FALSE))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input_406100!A$2</f>
        <v>406100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IFERROR(VLOOKUP(B25,input_406100!L:R,7,FALSE),VLOOKUP(tables_406100!C25,input_406100!A:H,8,FALSE))</f>
        <v>19000</v>
      </c>
      <c r="P25" s="46">
        <f t="shared" ca="1" si="1"/>
        <v>1.079532500278124E-2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input_406100!A$2</f>
        <v>406100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IFERROR(VLOOKUP(B26,input_406100!L:R,7,FALSE),VLOOKUP(tables_406100!C26,input_406100!A:H,8,FALSE))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input_406100!A$2</f>
        <v>406100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IFERROR(VLOOKUP(B27,input_406100!L:R,7,FALSE),VLOOKUP(tables_406100!C27,input_406100!A:H,8,FALSE))</f>
        <v>19000</v>
      </c>
      <c r="P27" s="46">
        <f t="shared" ca="1" si="1"/>
        <v>1.079532500278124E-2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input_406100!A$2</f>
        <v>406100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IFERROR(VLOOKUP(B28,input_406100!L:R,7,FALSE),VLOOKUP(tables_406100!C28,input_406100!A:H,8,FALSE))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input_406100!A$2</f>
        <v>406100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IFERROR(VLOOKUP(B29,input_406100!L:R,7,FALSE),VLOOKUP(tables_406100!C29,input_406100!A:H,8,FALSE))</f>
        <v>19000</v>
      </c>
      <c r="P29" s="46">
        <f t="shared" ca="1" si="1"/>
        <v>1.079532500278124E-2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input_406100!A$2</f>
        <v>406100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IFERROR(VLOOKUP(B30,input_406100!L:R,7,FALSE),VLOOKUP(tables_406100!C30,input_406100!A:H,8,FALSE))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input_406100!A$2</f>
        <v>406100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IFERROR(VLOOKUP(B31,input_406100!L:R,7,FALSE),VLOOKUP(tables_406100!C31,input_406100!A:H,8,FALSE))</f>
        <v>19000</v>
      </c>
      <c r="P31" s="46">
        <f t="shared" ca="1" si="1"/>
        <v>1.079532500278124E-2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input_406100!A$2</f>
        <v>406100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IFERROR(VLOOKUP(B32,input_406100!L:R,7,FALSE),VLOOKUP(tables_406100!C32,input_406100!A:H,8,FALSE))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input_406100!A$2</f>
        <v>406100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IFERROR(VLOOKUP(B33,input_406100!L:R,7,FALSE),VLOOKUP(tables_406100!C33,input_406100!A:H,8,FALSE))</f>
        <v>19000</v>
      </c>
      <c r="P33" s="46">
        <f t="shared" ca="1" si="1"/>
        <v>1.079532500278124E-2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input_406100!A$2</f>
        <v>406100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IFERROR(VLOOKUP(B34,input_406100!L:R,7,FALSE),VLOOKUP(tables_406100!C34,input_406100!A:H,8,FALSE))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input_406100!A$2</f>
        <v>406100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IFERROR(VLOOKUP(B35,input_406100!L:R,7,FALSE),VLOOKUP(tables_406100!C35,input_406100!A:H,8,FALSE))</f>
        <v>19000</v>
      </c>
      <c r="P35" s="46">
        <f t="shared" ca="1" si="1"/>
        <v>1.079532500278124E-2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input_406100!A$2</f>
        <v>406100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IFERROR(VLOOKUP(B36,input_406100!L:R,7,FALSE),VLOOKUP(tables_406100!C36,input_406100!A:H,8,FALSE))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input_406100!A$2</f>
        <v>406100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IFERROR(VLOOKUP(B37,input_406100!L:R,7,FALSE),VLOOKUP(tables_406100!C37,input_406100!A:H,8,FALSE))</f>
        <v>19000</v>
      </c>
      <c r="P37" s="46">
        <f t="shared" ca="1" si="1"/>
        <v>1.079532500278124E-2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input_406100!A$2</f>
        <v>406100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IFERROR(VLOOKUP(B38,input_406100!L:R,7,FALSE),VLOOKUP(tables_406100!C38,input_406100!A:H,8,FALSE))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input_406100!A$2</f>
        <v>406100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IFERROR(VLOOKUP(B39,input_406100!L:R,7,FALSE),VLOOKUP(tables_406100!C39,input_406100!A:H,8,FALSE))</f>
        <v>19000</v>
      </c>
      <c r="P39" s="46">
        <f t="shared" ca="1" si="1"/>
        <v>1.079532500278124E-2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input_406100!A$2</f>
        <v>406100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IFERROR(VLOOKUP(B40,input_406100!L:R,7,FALSE),VLOOKUP(tables_406100!C40,input_406100!A:H,8,FALSE))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input_406100!A$2</f>
        <v>406100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IFERROR(VLOOKUP(B41,input_406100!L:R,7,FALSE),VLOOKUP(tables_406100!C41,input_406100!A:H,8,FALSE))</f>
        <v>19000</v>
      </c>
      <c r="P41" s="46">
        <f t="shared" ca="1" si="1"/>
        <v>1.079532500278124E-2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input_406100!A$2</f>
        <v>406100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IFERROR(VLOOKUP(B42,input_406100!L:R,7,FALSE),VLOOKUP(tables_406100!C42,input_406100!A:H,8,FALSE))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input_406100!A$2</f>
        <v>406100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IFERROR(VLOOKUP(B43,input_406100!L:R,7,FALSE),VLOOKUP(tables_406100!C43,input_406100!A:H,8,FALSE))</f>
        <v>18050</v>
      </c>
      <c r="P43" s="46">
        <f t="shared" ca="1" si="1"/>
        <v>1.0255558752642179E-2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input_406100!A$2</f>
        <v>406100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IFERROR(VLOOKUP(B44,input_406100!L:R,7,FALSE),VLOOKUP(tables_406100!C44,input_406100!A:H,8,FALSE))</f>
        <v>950</v>
      </c>
      <c r="P44" s="46">
        <f t="shared" ca="1" si="1"/>
        <v>5.3976625013906203E-4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input_406100!A$2</f>
        <v>406100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IFERROR(VLOOKUP(B45,input_406100!L:R,7,FALSE),VLOOKUP(tables_406100!C45,input_406100!A:H,8,FALSE))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input_406100!A$2</f>
        <v>406100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IFERROR(VLOOKUP(B46,input_406100!L:R,7,FALSE),VLOOKUP(tables_406100!C46,input_406100!A:H,8,FALSE))</f>
        <v>18050</v>
      </c>
      <c r="P46" s="46">
        <f t="shared" ca="1" si="1"/>
        <v>1.0255558752642179E-2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input_406100!A$2</f>
        <v>406100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IFERROR(VLOOKUP(B47,input_406100!L:R,7,FALSE),VLOOKUP(tables_406100!C47,input_406100!A:H,8,FALSE))</f>
        <v>950</v>
      </c>
      <c r="P47" s="46">
        <f t="shared" ca="1" si="1"/>
        <v>5.3976625013906203E-4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input_406100!A$2</f>
        <v>406100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IFERROR(VLOOKUP(B48,input_406100!L:R,7,FALSE),VLOOKUP(tables_406100!C48,input_406100!A:H,8,FALSE))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input_406100!A$2</f>
        <v>406100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IFERROR(VLOOKUP(B49,input_406100!L:R,7,FALSE),VLOOKUP(tables_406100!C49,input_406100!A:H,8,FALSE))</f>
        <v>18050</v>
      </c>
      <c r="P49" s="46">
        <f t="shared" ca="1" si="1"/>
        <v>1.0255558752642179E-2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input_406100!A$2</f>
        <v>406100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IFERROR(VLOOKUP(B50,input_406100!L:R,7,FALSE),VLOOKUP(tables_406100!C50,input_406100!A:H,8,FALSE))</f>
        <v>950</v>
      </c>
      <c r="P50" s="46">
        <f t="shared" ca="1" si="1"/>
        <v>5.3976625013906203E-4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input_406100!A$2</f>
        <v>406100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IFERROR(VLOOKUP(B51,input_406100!L:R,7,FALSE),VLOOKUP(tables_406100!C51,input_406100!A:H,8,FALSE))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input_406100!A$2</f>
        <v>406100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IFERROR(VLOOKUP(B52,input_406100!L:R,7,FALSE),VLOOKUP(tables_406100!C52,input_406100!A:H,8,FALSE))</f>
        <v>18459.095379999999</v>
      </c>
      <c r="P52" s="46">
        <f t="shared" ca="1" si="1"/>
        <v>1.0487996520233562E-2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input_406100!A$2</f>
        <v>406100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IFERROR(VLOOKUP(B53,input_406100!L:R,7,FALSE),VLOOKUP(tables_406100!C53,input_406100!A:H,8,FALSE))</f>
        <v>541.31077000000005</v>
      </c>
      <c r="P53" s="46">
        <f t="shared" ca="1" si="1"/>
        <v>3.0755924682398768E-4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input_406100!A$2</f>
        <v>406100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IFERROR(VLOOKUP(B54,input_406100!L:R,7,FALSE),VLOOKUP(tables_406100!C54,input_406100!A:H,8,FALSE))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input_406100!A$2</f>
        <v>406100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IFERROR(VLOOKUP(B55,input_406100!L:R,7,FALSE),VLOOKUP(tables_406100!C55,input_406100!A:H,8,FALSE))</f>
        <v>18459.095379999999</v>
      </c>
      <c r="P55" s="46">
        <f t="shared" ca="1" si="1"/>
        <v>1.0487996520233562E-2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input_406100!A$2</f>
        <v>406100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IFERROR(VLOOKUP(B56,input_406100!L:R,7,FALSE),VLOOKUP(tables_406100!C56,input_406100!A:H,8,FALSE))</f>
        <v>541.31077000000005</v>
      </c>
      <c r="P56" s="46">
        <f t="shared" ca="1" si="1"/>
        <v>3.0755924682398768E-4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input_406100!A$2</f>
        <v>406100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IFERROR(VLOOKUP(B57,input_406100!L:R,7,FALSE),VLOOKUP(tables_406100!C57,input_406100!A:H,8,FALSE))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input_406100!A$2</f>
        <v>406100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IFERROR(VLOOKUP(B58,input_406100!L:R,7,FALSE),VLOOKUP(tables_406100!C58,input_406100!A:H,8,FALSE))</f>
        <v>18459.095379999999</v>
      </c>
      <c r="P58" s="46">
        <f t="shared" ca="1" si="1"/>
        <v>1.0487996520233562E-2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input_406100!A$2</f>
        <v>406100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IFERROR(VLOOKUP(B59,input_406100!L:R,7,FALSE),VLOOKUP(tables_406100!C59,input_406100!A:H,8,FALSE))</f>
        <v>541.31077000000005</v>
      </c>
      <c r="P59" s="46">
        <f t="shared" ca="1" si="1"/>
        <v>3.0755924682398768E-4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input_406100!A$2</f>
        <v>406100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IFERROR(VLOOKUP(B60,input_406100!L:R,7,FALSE),VLOOKUP(tables_406100!C60,input_406100!A:H,8,FALSE))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input_406100!A$2</f>
        <v>406100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IFERROR(VLOOKUP(B61,input_406100!L:R,7,FALSE),VLOOKUP(tables_406100!C61,input_406100!A:H,8,FALSE))</f>
        <v>18459.095379999999</v>
      </c>
      <c r="P61" s="46">
        <f t="shared" ca="1" si="1"/>
        <v>1.0487996520233562E-2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input_406100!A$2</f>
        <v>406100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IFERROR(VLOOKUP(B62,input_406100!L:R,7,FALSE),VLOOKUP(tables_406100!C62,input_406100!A:H,8,FALSE))</f>
        <v>541.31077000000005</v>
      </c>
      <c r="P62" s="46">
        <f t="shared" ca="1" si="1"/>
        <v>3.0755924682398768E-4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input_406100!A$2</f>
        <v>406100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IFERROR(VLOOKUP(B63,input_406100!L:R,7,FALSE),VLOOKUP(tables_406100!C63,input_406100!A:H,8,FALSE))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input_406100!A$2</f>
        <v>406100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IFERROR(VLOOKUP(B64,input_406100!L:R,7,FALSE),VLOOKUP(tables_406100!C64,input_406100!A:H,8,FALSE))</f>
        <v>18459.095379999999</v>
      </c>
      <c r="P64" s="46">
        <f t="shared" ca="1" si="1"/>
        <v>1.0487996520233562E-2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input_406100!A$2</f>
        <v>406100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IFERROR(VLOOKUP(B65,input_406100!L:R,7,FALSE),VLOOKUP(tables_406100!C65,input_406100!A:H,8,FALSE))</f>
        <v>541.31077000000005</v>
      </c>
      <c r="P65" s="46">
        <f t="shared" ca="1" si="1"/>
        <v>3.0755924682398768E-4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input_406100!A$2</f>
        <v>406100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IFERROR(VLOOKUP(B66,input_406100!L:R,7,FALSE),VLOOKUP(tables_406100!C66,input_406100!A:H,8,FALSE))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input_406100!A$2</f>
        <v>406100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IFERROR(VLOOKUP(B67,input_406100!L:R,7,FALSE),VLOOKUP(tables_406100!C67,input_406100!A:H,8,FALSE))</f>
        <v>18459.095379999999</v>
      </c>
      <c r="P67" s="46">
        <f t="shared" ca="1" si="4"/>
        <v>1.0487996520233562E-2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input_406100!A$2</f>
        <v>406100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IFERROR(VLOOKUP(B68,input_406100!L:R,7,FALSE),VLOOKUP(tables_406100!C68,input_406100!A:H,8,FALSE))</f>
        <v>541.31077000000005</v>
      </c>
      <c r="P68" s="46">
        <f t="shared" ca="1" si="4"/>
        <v>3.0755924682398768E-4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input_406100!A$2</f>
        <v>406100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IFERROR(VLOOKUP(B69,input_406100!L:R,7,FALSE),VLOOKUP(tables_406100!C69,input_406100!A:H,8,FALSE))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input_406100!A$2</f>
        <v>406100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IFERROR(VLOOKUP(B70,input_406100!L:R,7,FALSE),VLOOKUP(tables_406100!C70,input_406100!A:H,8,FALSE))</f>
        <v>18459.095379999999</v>
      </c>
      <c r="P70" s="46">
        <f t="shared" ca="1" si="4"/>
        <v>1.0487996520233562E-2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input_406100!A$2</f>
        <v>406100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IFERROR(VLOOKUP(B71,input_406100!L:R,7,FALSE),VLOOKUP(tables_406100!C71,input_406100!A:H,8,FALSE))</f>
        <v>541.31077000000005</v>
      </c>
      <c r="P71" s="46">
        <f t="shared" ca="1" si="4"/>
        <v>3.0755924682398768E-4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input_406100!A$2</f>
        <v>406100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IFERROR(VLOOKUP(B72,input_406100!L:R,7,FALSE),VLOOKUP(tables_406100!C72,input_406100!A:H,8,FALSE))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input_406100!A$2</f>
        <v>406100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IFERROR(VLOOKUP(B73,input_406100!L:R,7,FALSE),VLOOKUP(tables_406100!C73,input_406100!A:H,8,FALSE))</f>
        <v>18459.095379999999</v>
      </c>
      <c r="P73" s="46">
        <f t="shared" ca="1" si="4"/>
        <v>1.0487996520233562E-2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input_406100!A$2</f>
        <v>406100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IFERROR(VLOOKUP(B74,input_406100!L:R,7,FALSE),VLOOKUP(tables_406100!C74,input_406100!A:H,8,FALSE))</f>
        <v>541.31077000000005</v>
      </c>
      <c r="P74" s="46">
        <f t="shared" ca="1" si="4"/>
        <v>3.0755924682398768E-4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input_406100!A$2</f>
        <v>406100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IFERROR(VLOOKUP(B75,input_406100!L:R,7,FALSE),VLOOKUP(tables_406100!C75,input_406100!A:H,8,FALSE))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input_406100!A$2</f>
        <v>406100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IFERROR(VLOOKUP(B76,input_406100!L:R,7,FALSE),VLOOKUP(tables_406100!C76,input_406100!A:H,8,FALSE))</f>
        <v>18459.095379999999</v>
      </c>
      <c r="P76" s="46">
        <f t="shared" ca="1" si="4"/>
        <v>1.0487996520233562E-2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input_406100!A$2</f>
        <v>406100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IFERROR(VLOOKUP(B77,input_406100!L:R,7,FALSE),VLOOKUP(tables_406100!C77,input_406100!A:H,8,FALSE))</f>
        <v>541.31077000000005</v>
      </c>
      <c r="P77" s="46">
        <f t="shared" ca="1" si="4"/>
        <v>3.0755924682398768E-4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input_406100!A$2</f>
        <v>406100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IFERROR(VLOOKUP(B78,input_406100!L:R,7,FALSE),VLOOKUP(tables_406100!C78,input_406100!A:H,8,FALSE))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input_406100!A$2</f>
        <v>406100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IFERROR(VLOOKUP(B79,input_406100!L:R,7,FALSE),VLOOKUP(tables_406100!C79,input_406100!A:H,8,FALSE))</f>
        <v>18459.095379999999</v>
      </c>
      <c r="P79" s="46">
        <f t="shared" ca="1" si="4"/>
        <v>1.0487996520233562E-2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input_406100!A$2</f>
        <v>406100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IFERROR(VLOOKUP(B80,input_406100!L:R,7,FALSE),VLOOKUP(tables_406100!C80,input_406100!A:H,8,FALSE))</f>
        <v>541.31077000000005</v>
      </c>
      <c r="P80" s="46">
        <f t="shared" ca="1" si="4"/>
        <v>3.0755924682398768E-4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input_406100!A$2</f>
        <v>406100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IFERROR(VLOOKUP(B81,input_406100!L:R,7,FALSE),VLOOKUP(tables_406100!C81,input_406100!A:H,8,FALSE))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input_406100!A$2</f>
        <v>406100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IFERROR(VLOOKUP(B82,input_406100!L:R,7,FALSE),VLOOKUP(tables_406100!C82,input_406100!A:H,8,FALSE))</f>
        <v>18459.095379999999</v>
      </c>
      <c r="P82" s="46">
        <f t="shared" ca="1" si="4"/>
        <v>1.0487996520233562E-2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input_406100!A$2</f>
        <v>406100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IFERROR(VLOOKUP(B83,input_406100!L:R,7,FALSE),VLOOKUP(tables_406100!C83,input_406100!A:H,8,FALSE))</f>
        <v>541.31077000000005</v>
      </c>
      <c r="P83" s="46">
        <f t="shared" ca="1" si="4"/>
        <v>3.0755924682398768E-4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input_406100!A$2</f>
        <v>406100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IFERROR(VLOOKUP(B84,input_406100!L:R,7,FALSE),VLOOKUP(tables_406100!C84,input_406100!A:H,8,FALSE))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input_406100!A$2</f>
        <v>406100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IFERROR(VLOOKUP(B85,input_406100!L:R,7,FALSE),VLOOKUP(tables_406100!C85,input_406100!A:H,8,FALSE))</f>
        <v>18459.095379999999</v>
      </c>
      <c r="P85" s="46">
        <f t="shared" ca="1" si="4"/>
        <v>1.0487996520233562E-2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input_406100!A$2</f>
        <v>406100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IFERROR(VLOOKUP(B86,input_406100!L:R,7,FALSE),VLOOKUP(tables_406100!C86,input_406100!A:H,8,FALSE))</f>
        <v>541.31077000000005</v>
      </c>
      <c r="P86" s="46">
        <f t="shared" ca="1" si="4"/>
        <v>3.0755924682398768E-4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input_406100!A$2</f>
        <v>406100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IFERROR(VLOOKUP(B87,input_406100!L:R,7,FALSE),VLOOKUP(tables_406100!C87,input_406100!A:H,8,FALSE))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input_406100!A$2</f>
        <v>406100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IFERROR(VLOOKUP(B88,input_406100!L:R,7,FALSE),VLOOKUP(tables_406100!C88,input_406100!A:H,8,FALSE))</f>
        <v>18459.095379999999</v>
      </c>
      <c r="P88" s="46">
        <f t="shared" ca="1" si="4"/>
        <v>1.0487996520233562E-2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input_406100!A$2</f>
        <v>406100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IFERROR(VLOOKUP(B89,input_406100!L:R,7,FALSE),VLOOKUP(tables_406100!C89,input_406100!A:H,8,FALSE))</f>
        <v>541.31077000000005</v>
      </c>
      <c r="P89" s="46">
        <f t="shared" ca="1" si="4"/>
        <v>3.0755924682398768E-4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input_406100!A$2</f>
        <v>406100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IFERROR(VLOOKUP(B90,input_406100!L:R,7,FALSE),VLOOKUP(tables_406100!C90,input_406100!A:H,8,FALSE))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input_406100!A$2</f>
        <v>406100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IFERROR(VLOOKUP(B91,input_406100!L:R,7,FALSE),VLOOKUP(tables_406100!C91,input_406100!A:H,8,FALSE))</f>
        <v>18459.095379999999</v>
      </c>
      <c r="P91" s="46">
        <f t="shared" ca="1" si="4"/>
        <v>1.0487996520233562E-2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input_406100!A$2</f>
        <v>406100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IFERROR(VLOOKUP(B92,input_406100!L:R,7,FALSE),VLOOKUP(tables_406100!C92,input_406100!A:H,8,FALSE))</f>
        <v>541.31077000000005</v>
      </c>
      <c r="P92" s="46">
        <f t="shared" ca="1" si="4"/>
        <v>3.0755924682398768E-4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input_406100!A$2</f>
        <v>406100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IFERROR(VLOOKUP(B93,input_406100!L:R,7,FALSE),VLOOKUP(tables_406100!C93,input_406100!A:H,8,FALSE))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input_406100!A$2</f>
        <v>406100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IFERROR(VLOOKUP(B94,input_406100!L:R,7,FALSE),VLOOKUP(tables_406100!C94,input_406100!A:H,8,FALSE))</f>
        <v>18459.095379999999</v>
      </c>
      <c r="P94" s="46">
        <f t="shared" ca="1" si="4"/>
        <v>1.0487996520233562E-2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input_406100!A$2</f>
        <v>406100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IFERROR(VLOOKUP(B95,input_406100!L:R,7,FALSE),VLOOKUP(tables_406100!C95,input_406100!A:H,8,FALSE))</f>
        <v>541.31077000000005</v>
      </c>
      <c r="P95" s="46">
        <f t="shared" ca="1" si="4"/>
        <v>3.0755924682398768E-4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input_406100!A$2</f>
        <v>406100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IFERROR(VLOOKUP(B96,input_406100!L:R,7,FALSE),VLOOKUP(tables_406100!C96,input_406100!A:H,8,FALSE))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input_406100!A$2</f>
        <v>406100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IFERROR(VLOOKUP(B97,input_406100!L:R,7,FALSE),VLOOKUP(tables_406100!C97,input_406100!A:H,8,FALSE))</f>
        <v>18459.095379999999</v>
      </c>
      <c r="P97" s="46">
        <f t="shared" ca="1" si="4"/>
        <v>1.0487996520233562E-2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input_406100!A$2</f>
        <v>406100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IFERROR(VLOOKUP(B98,input_406100!L:R,7,FALSE),VLOOKUP(tables_406100!C98,input_406100!A:H,8,FALSE))</f>
        <v>541.31077000000005</v>
      </c>
      <c r="P98" s="46">
        <f t="shared" ca="1" si="4"/>
        <v>3.0755924682398768E-4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input_406100!A$2</f>
        <v>406100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IFERROR(VLOOKUP(B99,input_406100!L:R,7,FALSE),VLOOKUP(tables_406100!C99,input_406100!A:H,8,FALSE))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input_406100!A$2</f>
        <v>406100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IFERROR(VLOOKUP(B100,input_406100!L:R,7,FALSE),VLOOKUP(tables_406100!C100,input_406100!A:H,8,FALSE))</f>
        <v>18459.095379999999</v>
      </c>
      <c r="P100" s="46">
        <f t="shared" ca="1" si="4"/>
        <v>1.0487996520233562E-2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input_406100!A$2</f>
        <v>406100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IFERROR(VLOOKUP(B101,input_406100!L:R,7,FALSE),VLOOKUP(tables_406100!C101,input_406100!A:H,8,FALSE))</f>
        <v>541.31077000000005</v>
      </c>
      <c r="P101" s="46">
        <f t="shared" ca="1" si="4"/>
        <v>3.0755924682398768E-4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input_406100!A$2</f>
        <v>406100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IFERROR(VLOOKUP(B102,input_406100!L:R,7,FALSE),VLOOKUP(tables_406100!C102,input_406100!A:H,8,FALSE))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input_406100!A$2</f>
        <v>406100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IFERROR(VLOOKUP(B103,input_406100!L:R,7,FALSE),VLOOKUP(tables_406100!C103,input_406100!A:H,8,FALSE))</f>
        <v>18459.095379999999</v>
      </c>
      <c r="P103" s="46">
        <f t="shared" ca="1" si="4"/>
        <v>1.0487996520233562E-2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input_406100!A$2</f>
        <v>406100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IFERROR(VLOOKUP(B104,input_406100!L:R,7,FALSE),VLOOKUP(tables_406100!C104,input_406100!A:H,8,FALSE))</f>
        <v>541.31077000000005</v>
      </c>
      <c r="P104" s="46">
        <f t="shared" ca="1" si="4"/>
        <v>3.0755924682398768E-4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input_406100!A$2</f>
        <v>406100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IFERROR(VLOOKUP(B105,input_406100!L:R,7,FALSE),VLOOKUP(tables_406100!C105,input_406100!A:H,8,FALSE))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input_406100!A$2</f>
        <v>406100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IFERROR(VLOOKUP(B106,input_406100!L:R,7,FALSE),VLOOKUP(tables_406100!C106,input_406100!A:H,8,FALSE))</f>
        <v>18459.095379999999</v>
      </c>
      <c r="P106" s="46">
        <f t="shared" ca="1" si="4"/>
        <v>1.0487996520233562E-2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input_406100!A$2</f>
        <v>406100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IFERROR(VLOOKUP(B107,input_406100!L:R,7,FALSE),VLOOKUP(tables_406100!C107,input_406100!A:H,8,FALSE))</f>
        <v>541.31077000000005</v>
      </c>
      <c r="P107" s="46">
        <f t="shared" ca="1" si="4"/>
        <v>3.0755924682398768E-4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input_406100!A$2</f>
        <v>406100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IFERROR(VLOOKUP(B108,input_406100!L:R,7,FALSE),VLOOKUP(tables_406100!C108,input_406100!A:H,8,FALSE))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input_406100!A$2</f>
        <v>406100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IFERROR(VLOOKUP(B109,input_406100!L:R,7,FALSE),VLOOKUP(tables_406100!C109,input_406100!A:H,8,FALSE))</f>
        <v>18459.095379999999</v>
      </c>
      <c r="P109" s="46">
        <f t="shared" ca="1" si="4"/>
        <v>1.0487996520233562E-2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input_406100!A$2</f>
        <v>406100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IFERROR(VLOOKUP(B110,input_406100!L:R,7,FALSE),VLOOKUP(tables_406100!C110,input_406100!A:H,8,FALSE))</f>
        <v>541.31077000000005</v>
      </c>
      <c r="P110" s="46">
        <f t="shared" ca="1" si="4"/>
        <v>3.0755924682398768E-4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input_406100!A$2</f>
        <v>406100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IFERROR(VLOOKUP(B111,input_406100!L:R,7,FALSE),VLOOKUP(tables_406100!C111,input_406100!A:H,8,FALSE))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input_406100!A$2</f>
        <v>406100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IFERROR(VLOOKUP(B112,input_406100!L:R,7,FALSE),VLOOKUP(tables_406100!C112,input_406100!A:H,8,FALSE))</f>
        <v>18050</v>
      </c>
      <c r="P112" s="46">
        <f t="shared" ca="1" si="4"/>
        <v>1.0255558752642179E-2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input_406100!A$2</f>
        <v>406100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IFERROR(VLOOKUP(B113,input_406100!L:R,7,FALSE),VLOOKUP(tables_406100!C113,input_406100!A:H,8,FALSE))</f>
        <v>950</v>
      </c>
      <c r="P113" s="46">
        <f t="shared" ca="1" si="4"/>
        <v>5.3976625013906203E-4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input_406100!A$2</f>
        <v>406100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IFERROR(VLOOKUP(B114,input_406100!L:R,7,FALSE),VLOOKUP(tables_406100!C114,input_406100!A:H,8,FALSE))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input_406100!A$2</f>
        <v>406100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IFERROR(VLOOKUP(B115,input_406100!L:R,7,FALSE),VLOOKUP(tables_406100!C115,input_406100!A:H,8,FALSE))</f>
        <v>18459.095379999999</v>
      </c>
      <c r="P115" s="46">
        <f t="shared" ca="1" si="4"/>
        <v>1.0487996520233562E-2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input_406100!A$2</f>
        <v>406100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IFERROR(VLOOKUP(B116,input_406100!L:R,7,FALSE),VLOOKUP(tables_406100!C116,input_406100!A:H,8,FALSE))</f>
        <v>541.31077000000005</v>
      </c>
      <c r="P116" s="46">
        <f t="shared" ca="1" si="4"/>
        <v>3.0755924682398768E-4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input_406100!A$2</f>
        <v>406100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IFERROR(VLOOKUP(B117,input_406100!L:R,7,FALSE),VLOOKUP(tables_406100!C117,input_406100!A:H,8,FALSE))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input_406100!A$2</f>
        <v>406100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IFERROR(VLOOKUP(B118,input_406100!L:R,7,FALSE),VLOOKUP(tables_406100!C118,input_406100!A:H,8,FALSE))</f>
        <v>18459.095379999999</v>
      </c>
      <c r="P118" s="46">
        <f t="shared" ca="1" si="4"/>
        <v>1.0487996520233562E-2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input_406100!A$2</f>
        <v>406100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IFERROR(VLOOKUP(B119,input_406100!L:R,7,FALSE),VLOOKUP(tables_406100!C119,input_406100!A:H,8,FALSE))</f>
        <v>541.31077000000005</v>
      </c>
      <c r="P119" s="46">
        <f t="shared" ca="1" si="4"/>
        <v>3.0755924682398768E-4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input_406100!A$2</f>
        <v>406100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IFERROR(VLOOKUP(B120,input_406100!L:R,7,FALSE),VLOOKUP(tables_406100!C120,input_406100!A:H,8,FALSE))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input_406100!A$2</f>
        <v>406100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IFERROR(VLOOKUP(B121,input_406100!L:R,7,FALSE),VLOOKUP(tables_406100!C121,input_406100!A:H,8,FALSE))</f>
        <v>18459.095379999999</v>
      </c>
      <c r="P121" s="46">
        <f t="shared" ca="1" si="4"/>
        <v>1.0487996520233562E-2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input_406100!A$2</f>
        <v>406100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IFERROR(VLOOKUP(B122,input_406100!L:R,7,FALSE),VLOOKUP(tables_406100!C122,input_406100!A:H,8,FALSE))</f>
        <v>541.31077000000005</v>
      </c>
      <c r="P122" s="46">
        <f t="shared" ca="1" si="4"/>
        <v>3.0755924682398768E-4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input_406100!A$2</f>
        <v>406100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IFERROR(VLOOKUP(B123,input_406100!L:R,7,FALSE),VLOOKUP(tables_406100!C123,input_406100!A:H,8,FALSE))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input_406100!A$2</f>
        <v>406100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IFERROR(VLOOKUP(B124,input_406100!L:R,7,FALSE),VLOOKUP(tables_406100!C124,input_406100!A:H,8,FALSE))</f>
        <v>18459.095379999999</v>
      </c>
      <c r="P124" s="46">
        <f t="shared" ca="1" si="4"/>
        <v>1.0487996520233562E-2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input_406100!A$2</f>
        <v>406100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IFERROR(VLOOKUP(B125,input_406100!L:R,7,FALSE),VLOOKUP(tables_406100!C125,input_406100!A:H,8,FALSE))</f>
        <v>541.31077000000005</v>
      </c>
      <c r="P125" s="46">
        <f t="shared" ca="1" si="4"/>
        <v>3.0755924682398768E-4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input_406100!A$2</f>
        <v>406100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IFERROR(VLOOKUP(B126,input_406100!L:R,7,FALSE),VLOOKUP(tables_406100!C126,input_406100!A:H,8,FALSE))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input_406100!A$2</f>
        <v>406100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IFERROR(VLOOKUP(B127,input_406100!L:R,7,FALSE),VLOOKUP(tables_406100!C127,input_406100!A:H,8,FALSE))</f>
        <v>18459.095379999999</v>
      </c>
      <c r="P127" s="46">
        <f t="shared" ca="1" si="4"/>
        <v>1.0487996520233562E-2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input_406100!A$2</f>
        <v>406100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IFERROR(VLOOKUP(B128,input_406100!L:R,7,FALSE),VLOOKUP(tables_406100!C128,input_406100!A:H,8,FALSE))</f>
        <v>541.31077000000005</v>
      </c>
      <c r="P128" s="46">
        <f t="shared" ca="1" si="4"/>
        <v>3.0755924682398768E-4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input_406100!A$2</f>
        <v>406100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IFERROR(VLOOKUP(B129,input_406100!L:R,7,FALSE),VLOOKUP(tables_406100!C129,input_406100!A:H,8,FALSE))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input_406100!A$2</f>
        <v>406100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IFERROR(VLOOKUP(B130,input_406100!L:R,7,FALSE),VLOOKUP(tables_406100!C130,input_406100!A:H,8,FALSE))</f>
        <v>18459.095379999999</v>
      </c>
      <c r="P130" s="46">
        <f t="shared" ref="P130:P193" ca="1" si="7">O130/SUM(O:O)</f>
        <v>1.0487996520233562E-2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input_406100!A$2</f>
        <v>406100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IFERROR(VLOOKUP(B131,input_406100!L:R,7,FALSE),VLOOKUP(tables_406100!C131,input_406100!A:H,8,FALSE))</f>
        <v>541.31077000000005</v>
      </c>
      <c r="P131" s="46">
        <f t="shared" ca="1" si="7"/>
        <v>3.0755924682398768E-4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input_406100!A$2</f>
        <v>406100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IFERROR(VLOOKUP(B132,input_406100!L:R,7,FALSE),VLOOKUP(tables_406100!C132,input_406100!A:H,8,FALSE))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input_406100!A$2</f>
        <v>406100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IFERROR(VLOOKUP(B133,input_406100!L:R,7,FALSE),VLOOKUP(tables_406100!C133,input_406100!A:H,8,FALSE))</f>
        <v>18459.095379999999</v>
      </c>
      <c r="P133" s="46">
        <f t="shared" ca="1" si="7"/>
        <v>1.0487996520233562E-2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input_406100!A$2</f>
        <v>406100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IFERROR(VLOOKUP(B134,input_406100!L:R,7,FALSE),VLOOKUP(tables_406100!C134,input_406100!A:H,8,FALSE))</f>
        <v>541.31077000000005</v>
      </c>
      <c r="P134" s="46">
        <f t="shared" ca="1" si="7"/>
        <v>3.0755924682398768E-4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input_406100!A$2</f>
        <v>406100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IFERROR(VLOOKUP(B135,input_406100!L:R,7,FALSE),VLOOKUP(tables_406100!C135,input_406100!A:H,8,FALSE))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input_406100!A$2</f>
        <v>406100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IFERROR(VLOOKUP(B136,input_406100!L:R,7,FALSE),VLOOKUP(tables_406100!C136,input_406100!A:H,8,FALSE))</f>
        <v>18459.095379999999</v>
      </c>
      <c r="P136" s="46">
        <f t="shared" ca="1" si="7"/>
        <v>1.0487996520233562E-2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input_406100!A$2</f>
        <v>406100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IFERROR(VLOOKUP(B137,input_406100!L:R,7,FALSE),VLOOKUP(tables_406100!C137,input_406100!A:H,8,FALSE))</f>
        <v>541.31077000000005</v>
      </c>
      <c r="P137" s="46">
        <f t="shared" ca="1" si="7"/>
        <v>3.0755924682398768E-4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input_406100!A$2</f>
        <v>406100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IFERROR(VLOOKUP(B138,input_406100!L:R,7,FALSE),VLOOKUP(tables_406100!C138,input_406100!A:H,8,FALSE))</f>
        <v>380</v>
      </c>
      <c r="P138" s="46">
        <f t="shared" ca="1" si="7"/>
        <v>2.1590650005562481E-4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input_406100!A$2</f>
        <v>406100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IFERROR(VLOOKUP(B139,input_406100!L:R,7,FALSE),VLOOKUP(tables_406100!C139,input_406100!A:H,8,FALSE))</f>
        <v>20</v>
      </c>
      <c r="P139" s="46">
        <f t="shared" ca="1" si="7"/>
        <v>1.1363500002927623E-5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input_406100!A$2</f>
        <v>406100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IFERROR(VLOOKUP(B140,input_406100!L:R,7,FALSE),VLOOKUP(tables_406100!C140,input_406100!A:H,8,FALSE))</f>
        <v>380</v>
      </c>
      <c r="P140" s="46">
        <f t="shared" ca="1" si="7"/>
        <v>2.1590650005562481E-4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input_406100!A$2</f>
        <v>406100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IFERROR(VLOOKUP(B141,input_406100!L:R,7,FALSE),VLOOKUP(tables_406100!C141,input_406100!A:H,8,FALSE))</f>
        <v>20</v>
      </c>
      <c r="P141" s="46">
        <f t="shared" ca="1" si="7"/>
        <v>1.1363500002927623E-5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input_406100!A$2</f>
        <v>406100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IFERROR(VLOOKUP(B142,input_406100!L:R,7,FALSE),VLOOKUP(tables_406100!C142,input_406100!A:H,8,FALSE))</f>
        <v>380</v>
      </c>
      <c r="P142" s="46">
        <f t="shared" ca="1" si="7"/>
        <v>2.1590650005562481E-4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input_406100!A$2</f>
        <v>406100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IFERROR(VLOOKUP(B143,input_406100!L:R,7,FALSE),VLOOKUP(tables_406100!C143,input_406100!A:H,8,FALSE))</f>
        <v>20</v>
      </c>
      <c r="P143" s="46">
        <f t="shared" ca="1" si="7"/>
        <v>1.1363500002927623E-5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input_406100!A$2</f>
        <v>406100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IFERROR(VLOOKUP(B144,input_406100!L:R,7,FALSE),VLOOKUP(tables_406100!C144,input_406100!A:H,8,FALSE))</f>
        <v>380</v>
      </c>
      <c r="P144" s="46">
        <f t="shared" ca="1" si="7"/>
        <v>2.1590650005562481E-4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input_406100!A$2</f>
        <v>406100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IFERROR(VLOOKUP(B145,input_406100!L:R,7,FALSE),VLOOKUP(tables_406100!C145,input_406100!A:H,8,FALSE))</f>
        <v>20</v>
      </c>
      <c r="P145" s="46">
        <f t="shared" ca="1" si="7"/>
        <v>1.1363500002927623E-5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input_406100!A$2</f>
        <v>406100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IFERROR(VLOOKUP(B146,input_406100!L:R,7,FALSE),VLOOKUP(tables_406100!C146,input_406100!A:H,8,FALSE))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input_406100!A$2</f>
        <v>406100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IFERROR(VLOOKUP(B147,input_406100!L:R,7,FALSE),VLOOKUP(tables_406100!C147,input_406100!A:H,8,FALSE))</f>
        <v>18459.095379999999</v>
      </c>
      <c r="P147" s="46">
        <f t="shared" ca="1" si="7"/>
        <v>1.0487996520233562E-2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input_406100!A$2</f>
        <v>406100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IFERROR(VLOOKUP(B148,input_406100!L:R,7,FALSE),VLOOKUP(tables_406100!C148,input_406100!A:H,8,FALSE))</f>
        <v>541.31077000000005</v>
      </c>
      <c r="P148" s="46">
        <f t="shared" ca="1" si="7"/>
        <v>3.0755924682398768E-4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input_406100!A$2</f>
        <v>406100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IFERROR(VLOOKUP(B149,input_406100!L:R,7,FALSE),VLOOKUP(tables_406100!C149,input_406100!A:H,8,FALSE))</f>
        <v>380</v>
      </c>
      <c r="P149" s="46">
        <f t="shared" ca="1" si="7"/>
        <v>2.1590650005562481E-4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input_406100!A$2</f>
        <v>406100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IFERROR(VLOOKUP(B150,input_406100!L:R,7,FALSE),VLOOKUP(tables_406100!C150,input_406100!A:H,8,FALSE))</f>
        <v>20</v>
      </c>
      <c r="P150" s="46">
        <f t="shared" ca="1" si="7"/>
        <v>1.1363500002927623E-5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input_406100!A$2</f>
        <v>406100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IFERROR(VLOOKUP(B151,input_406100!L:R,7,FALSE),VLOOKUP(tables_406100!C151,input_406100!A:H,8,FALSE))</f>
        <v>380</v>
      </c>
      <c r="P151" s="46">
        <f t="shared" ca="1" si="7"/>
        <v>2.1590650005562481E-4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input_406100!A$2</f>
        <v>406100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IFERROR(VLOOKUP(B152,input_406100!L:R,7,FALSE),VLOOKUP(tables_406100!C152,input_406100!A:H,8,FALSE))</f>
        <v>20</v>
      </c>
      <c r="P152" s="46">
        <f t="shared" ca="1" si="7"/>
        <v>1.1363500002927623E-5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input_406100!A$2</f>
        <v>406100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IFERROR(VLOOKUP(B153,input_406100!L:R,7,FALSE),VLOOKUP(tables_406100!C153,input_406100!A:H,8,FALSE))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input_406100!A$2</f>
        <v>406100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IFERROR(VLOOKUP(B154,input_406100!L:R,7,FALSE),VLOOKUP(tables_406100!C154,input_406100!A:H,8,FALSE))</f>
        <v>18459.095379999999</v>
      </c>
      <c r="P154" s="46">
        <f t="shared" ca="1" si="7"/>
        <v>1.0487996520233562E-2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input_406100!A$2</f>
        <v>406100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IFERROR(VLOOKUP(B155,input_406100!L:R,7,FALSE),VLOOKUP(tables_406100!C155,input_406100!A:H,8,FALSE))</f>
        <v>541.31077000000005</v>
      </c>
      <c r="P155" s="46">
        <f t="shared" ca="1" si="7"/>
        <v>3.0755924682398768E-4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input_406100!A$2</f>
        <v>406100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IFERROR(VLOOKUP(B156,input_406100!L:R,7,FALSE),VLOOKUP(tables_406100!C156,input_406100!A:H,8,FALSE))</f>
        <v>16720</v>
      </c>
      <c r="P156" s="46">
        <f t="shared" ca="1" si="7"/>
        <v>9.4998860024474927E-3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input_406100!A$2</f>
        <v>406100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IFERROR(VLOOKUP(B157,input_406100!L:R,7,FALSE),VLOOKUP(tables_406100!C157,input_406100!A:H,8,FALSE))</f>
        <v>880</v>
      </c>
      <c r="P157" s="46">
        <f t="shared" ca="1" si="7"/>
        <v>4.9999400012881539E-4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input_406100!A$2</f>
        <v>406100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IFERROR(VLOOKUP(B158,input_406100!L:R,7,FALSE),VLOOKUP(tables_406100!C158,input_406100!A:H,8,FALSE))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input_406100!A$2</f>
        <v>406100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IFERROR(VLOOKUP(B159,input_406100!L:R,7,FALSE),VLOOKUP(tables_406100!C159,input_406100!A:H,8,FALSE))</f>
        <v>18459.095379999999</v>
      </c>
      <c r="P159" s="46">
        <f t="shared" ca="1" si="7"/>
        <v>1.0487996520233562E-2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input_406100!A$2</f>
        <v>406100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IFERROR(VLOOKUP(B160,input_406100!L:R,7,FALSE),VLOOKUP(tables_406100!C160,input_406100!A:H,8,FALSE))</f>
        <v>541.31077000000005</v>
      </c>
      <c r="P160" s="46">
        <f t="shared" ca="1" si="7"/>
        <v>3.0755924682398768E-4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input_406100!A$2</f>
        <v>406100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IFERROR(VLOOKUP(B161,input_406100!L:R,7,FALSE),VLOOKUP(tables_406100!C161,input_406100!A:H,8,FALSE))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input_406100!A$2</f>
        <v>406100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IFERROR(VLOOKUP(B162,input_406100!L:R,7,FALSE),VLOOKUP(tables_406100!C162,input_406100!A:H,8,FALSE))</f>
        <v>18459.095379999999</v>
      </c>
      <c r="P162" s="46">
        <f t="shared" ca="1" si="7"/>
        <v>1.0487996520233562E-2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input_406100!A$2</f>
        <v>406100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IFERROR(VLOOKUP(B163,input_406100!L:R,7,FALSE),VLOOKUP(tables_406100!C163,input_406100!A:H,8,FALSE))</f>
        <v>541.31077000000005</v>
      </c>
      <c r="P163" s="46">
        <f t="shared" ca="1" si="7"/>
        <v>3.0755924682398768E-4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input_406100!A$2</f>
        <v>406100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IFERROR(VLOOKUP(B164,input_406100!L:R,7,FALSE),VLOOKUP(tables_406100!C164,input_406100!A:H,8,FALSE))</f>
        <v>16720</v>
      </c>
      <c r="P164" s="46">
        <f t="shared" ca="1" si="7"/>
        <v>9.4998860024474927E-3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input_406100!A$2</f>
        <v>406100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IFERROR(VLOOKUP(B165,input_406100!L:R,7,FALSE),VLOOKUP(tables_406100!C165,input_406100!A:H,8,FALSE))</f>
        <v>880</v>
      </c>
      <c r="P165" s="46">
        <f t="shared" ca="1" si="7"/>
        <v>4.9999400012881539E-4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input_406100!A$2</f>
        <v>406100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IFERROR(VLOOKUP(B166,input_406100!L:R,7,FALSE),VLOOKUP(tables_406100!C166,input_406100!A:H,8,FALSE))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input_406100!A$2</f>
        <v>406100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IFERROR(VLOOKUP(B167,input_406100!L:R,7,FALSE),VLOOKUP(tables_406100!C167,input_406100!A:H,8,FALSE))</f>
        <v>18459.095379999999</v>
      </c>
      <c r="P167" s="46">
        <f t="shared" ca="1" si="7"/>
        <v>1.0487996520233562E-2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input_406100!A$2</f>
        <v>406100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IFERROR(VLOOKUP(B168,input_406100!L:R,7,FALSE),VLOOKUP(tables_406100!C168,input_406100!A:H,8,FALSE))</f>
        <v>541.31077000000005</v>
      </c>
      <c r="P168" s="46">
        <f t="shared" ca="1" si="7"/>
        <v>3.0755924682398768E-4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input_406100!A$2</f>
        <v>406100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IFERROR(VLOOKUP(B169,input_406100!L:R,7,FALSE),VLOOKUP(tables_406100!C169,input_406100!A:H,8,FALSE))</f>
        <v>380</v>
      </c>
      <c r="P169" s="46">
        <f t="shared" ca="1" si="7"/>
        <v>2.1590650005562481E-4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input_406100!A$2</f>
        <v>406100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IFERROR(VLOOKUP(B170,input_406100!L:R,7,FALSE),VLOOKUP(tables_406100!C170,input_406100!A:H,8,FALSE))</f>
        <v>20</v>
      </c>
      <c r="P170" s="46">
        <f t="shared" ca="1" si="7"/>
        <v>1.1363500002927623E-5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input_406100!A$2</f>
        <v>406100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IFERROR(VLOOKUP(B171,input_406100!L:R,7,FALSE),VLOOKUP(tables_406100!C171,input_406100!A:H,8,FALSE))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input_406100!A$2</f>
        <v>406100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IFERROR(VLOOKUP(B172,input_406100!L:R,7,FALSE),VLOOKUP(tables_406100!C172,input_406100!A:H,8,FALSE))</f>
        <v>18459.095379999999</v>
      </c>
      <c r="P172" s="46">
        <f t="shared" ca="1" si="7"/>
        <v>1.0487996520233562E-2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input_406100!A$2</f>
        <v>406100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IFERROR(VLOOKUP(B173,input_406100!L:R,7,FALSE),VLOOKUP(tables_406100!C173,input_406100!A:H,8,FALSE))</f>
        <v>541.31077000000005</v>
      </c>
      <c r="P173" s="46">
        <f t="shared" ca="1" si="7"/>
        <v>3.0755924682398768E-4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input_406100!A$2</f>
        <v>406100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IFERROR(VLOOKUP(B174,input_406100!L:R,7,FALSE),VLOOKUP(tables_406100!C174,input_406100!A:H,8,FALSE))</f>
        <v>380</v>
      </c>
      <c r="P174" s="46">
        <f t="shared" ca="1" si="7"/>
        <v>2.1590650005562481E-4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input_406100!A$2</f>
        <v>406100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IFERROR(VLOOKUP(B175,input_406100!L:R,7,FALSE),VLOOKUP(tables_406100!C175,input_406100!A:H,8,FALSE))</f>
        <v>20</v>
      </c>
      <c r="P175" s="46">
        <f t="shared" ca="1" si="7"/>
        <v>1.1363500002927623E-5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input_406100!A$2</f>
        <v>406100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IFERROR(VLOOKUP(B176,input_406100!L:R,7,FALSE),VLOOKUP(tables_406100!C176,input_406100!A:H,8,FALSE))</f>
        <v>380</v>
      </c>
      <c r="P176" s="46">
        <f t="shared" ca="1" si="7"/>
        <v>2.1590650005562481E-4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input_406100!A$2</f>
        <v>406100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IFERROR(VLOOKUP(B177,input_406100!L:R,7,FALSE),VLOOKUP(tables_406100!C177,input_406100!A:H,8,FALSE))</f>
        <v>20</v>
      </c>
      <c r="P177" s="46">
        <f t="shared" ca="1" si="7"/>
        <v>1.1363500002927623E-5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input_406100!A$2</f>
        <v>406100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IFERROR(VLOOKUP(B178,input_406100!L:R,7,FALSE),VLOOKUP(tables_406100!C178,input_406100!A:H,8,FALSE))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input_406100!A$2</f>
        <v>406100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IFERROR(VLOOKUP(B179,input_406100!L:R,7,FALSE),VLOOKUP(tables_406100!C179,input_406100!A:H,8,FALSE))</f>
        <v>18459.095379999999</v>
      </c>
      <c r="P179" s="46">
        <f t="shared" ca="1" si="7"/>
        <v>1.0487996520233562E-2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input_406100!A$2</f>
        <v>406100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IFERROR(VLOOKUP(B180,input_406100!L:R,7,FALSE),VLOOKUP(tables_406100!C180,input_406100!A:H,8,FALSE))</f>
        <v>541.31077000000005</v>
      </c>
      <c r="P180" s="46">
        <f t="shared" ca="1" si="7"/>
        <v>3.0755924682398768E-4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input_406100!A$2</f>
        <v>406100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IFERROR(VLOOKUP(B181,input_406100!L:R,7,FALSE),VLOOKUP(tables_406100!C181,input_406100!A:H,8,FALSE))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input_406100!A$2</f>
        <v>406100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IFERROR(VLOOKUP(B182,input_406100!L:R,7,FALSE),VLOOKUP(tables_406100!C182,input_406100!A:H,8,FALSE))</f>
        <v>18459.095379999999</v>
      </c>
      <c r="P182" s="46">
        <f t="shared" ca="1" si="7"/>
        <v>1.0487996520233562E-2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input_406100!A$2</f>
        <v>406100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IFERROR(VLOOKUP(B183,input_406100!L:R,7,FALSE),VLOOKUP(tables_406100!C183,input_406100!A:H,8,FALSE))</f>
        <v>541.31077000000005</v>
      </c>
      <c r="P183" s="46">
        <f t="shared" ca="1" si="7"/>
        <v>3.0755924682398768E-4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input_406100!A$2</f>
        <v>406100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IFERROR(VLOOKUP(B184,input_406100!L:R,7,FALSE),VLOOKUP(tables_406100!C184,input_406100!A:H,8,FALSE))</f>
        <v>380</v>
      </c>
      <c r="P184" s="46">
        <f t="shared" ca="1" si="7"/>
        <v>2.1590650005562481E-4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input_406100!A$2</f>
        <v>406100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IFERROR(VLOOKUP(B185,input_406100!L:R,7,FALSE),VLOOKUP(tables_406100!C185,input_406100!A:H,8,FALSE))</f>
        <v>20</v>
      </c>
      <c r="P185" s="46">
        <f t="shared" ca="1" si="7"/>
        <v>1.1363500002927623E-5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input_406100!A$2</f>
        <v>406100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IFERROR(VLOOKUP(B186,input_406100!L:R,7,FALSE),VLOOKUP(tables_406100!C186,input_406100!A:H,8,FALSE))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input_406100!A$2</f>
        <v>406100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IFERROR(VLOOKUP(B187,input_406100!L:R,7,FALSE),VLOOKUP(tables_406100!C187,input_406100!A:H,8,FALSE))</f>
        <v>18459.095379999999</v>
      </c>
      <c r="P187" s="46">
        <f t="shared" ca="1" si="7"/>
        <v>1.0487996520233562E-2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input_406100!A$2</f>
        <v>406100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IFERROR(VLOOKUP(B188,input_406100!L:R,7,FALSE),VLOOKUP(tables_406100!C188,input_406100!A:H,8,FALSE))</f>
        <v>541.31077000000005</v>
      </c>
      <c r="P188" s="46">
        <f t="shared" ca="1" si="7"/>
        <v>3.0755924682398768E-4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input_406100!A$2</f>
        <v>406100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IFERROR(VLOOKUP(B189,input_406100!L:R,7,FALSE),VLOOKUP(tables_406100!C189,input_406100!A:H,8,FALSE))</f>
        <v>380</v>
      </c>
      <c r="P189" s="46">
        <f t="shared" ca="1" si="7"/>
        <v>2.1590650005562481E-4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input_406100!A$2</f>
        <v>406100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IFERROR(VLOOKUP(B190,input_406100!L:R,7,FALSE),VLOOKUP(tables_406100!C190,input_406100!A:H,8,FALSE))</f>
        <v>20</v>
      </c>
      <c r="P190" s="46">
        <f t="shared" ca="1" si="7"/>
        <v>1.1363500002927623E-5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input_406100!A$2</f>
        <v>406100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IFERROR(VLOOKUP(B191,input_406100!L:R,7,FALSE),VLOOKUP(tables_406100!C191,input_406100!A:H,8,FALSE))</f>
        <v>380</v>
      </c>
      <c r="P191" s="46">
        <f t="shared" ca="1" si="7"/>
        <v>2.1590650005562481E-4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input_406100!A$2</f>
        <v>406100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IFERROR(VLOOKUP(B192,input_406100!L:R,7,FALSE),VLOOKUP(tables_406100!C192,input_406100!A:H,8,FALSE))</f>
        <v>20</v>
      </c>
      <c r="P192" s="46">
        <f t="shared" ca="1" si="7"/>
        <v>1.1363500002927623E-5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input_406100!A$2</f>
        <v>406100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IFERROR(VLOOKUP(B193,input_406100!L:R,7,FALSE),VLOOKUP(tables_406100!C193,input_406100!A:H,8,FALSE))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input_406100!A$2</f>
        <v>406100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IFERROR(VLOOKUP(B194,input_406100!L:R,7,FALSE),VLOOKUP(tables_406100!C194,input_406100!A:H,8,FALSE))</f>
        <v>18459.095379999999</v>
      </c>
      <c r="P194" s="46">
        <f t="shared" ref="P194:P257" ca="1" si="10">O194/SUM(O:O)</f>
        <v>1.0487996520233562E-2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input_406100!A$2</f>
        <v>406100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IFERROR(VLOOKUP(B195,input_406100!L:R,7,FALSE),VLOOKUP(tables_406100!C195,input_406100!A:H,8,FALSE))</f>
        <v>541.31077000000005</v>
      </c>
      <c r="P195" s="46">
        <f t="shared" ca="1" si="10"/>
        <v>3.0755924682398768E-4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input_406100!A$2</f>
        <v>406100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IFERROR(VLOOKUP(B196,input_406100!L:R,7,FALSE),VLOOKUP(tables_406100!C196,input_406100!A:H,8,FALSE))</f>
        <v>380</v>
      </c>
      <c r="P196" s="46">
        <f t="shared" ca="1" si="10"/>
        <v>2.1590650005562481E-4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input_406100!A$2</f>
        <v>406100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IFERROR(VLOOKUP(B197,input_406100!L:R,7,FALSE),VLOOKUP(tables_406100!C197,input_406100!A:H,8,FALSE))</f>
        <v>20</v>
      </c>
      <c r="P197" s="46">
        <f t="shared" ca="1" si="10"/>
        <v>1.1363500002927623E-5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input_406100!A$2</f>
        <v>406100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IFERROR(VLOOKUP(B198,input_406100!L:R,7,FALSE),VLOOKUP(tables_406100!C198,input_406100!A:H,8,FALSE))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input_406100!A$2</f>
        <v>406100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IFERROR(VLOOKUP(B199,input_406100!L:R,7,FALSE),VLOOKUP(tables_406100!C199,input_406100!A:H,8,FALSE))</f>
        <v>18459.095379999999</v>
      </c>
      <c r="P199" s="46">
        <f t="shared" ca="1" si="10"/>
        <v>1.0487996520233562E-2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input_406100!A$2</f>
        <v>406100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IFERROR(VLOOKUP(B200,input_406100!L:R,7,FALSE),VLOOKUP(tables_406100!C200,input_406100!A:H,8,FALSE))</f>
        <v>541.31077000000005</v>
      </c>
      <c r="P200" s="46">
        <f t="shared" ca="1" si="10"/>
        <v>3.0755924682398768E-4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input_406100!A$2</f>
        <v>406100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IFERROR(VLOOKUP(B201,input_406100!L:R,7,FALSE),VLOOKUP(tables_406100!C201,input_406100!A:H,8,FALSE))</f>
        <v>380</v>
      </c>
      <c r="P201" s="46">
        <f t="shared" ca="1" si="10"/>
        <v>2.1590650005562481E-4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input_406100!A$2</f>
        <v>406100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IFERROR(VLOOKUP(B202,input_406100!L:R,7,FALSE),VLOOKUP(tables_406100!C202,input_406100!A:H,8,FALSE))</f>
        <v>20</v>
      </c>
      <c r="P202" s="46">
        <f t="shared" ca="1" si="10"/>
        <v>1.1363500002927623E-5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input_406100!A$2</f>
        <v>406100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IFERROR(VLOOKUP(B203,input_406100!L:R,7,FALSE),VLOOKUP(tables_406100!C203,input_406100!A:H,8,FALSE))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input_406100!A$2</f>
        <v>406100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IFERROR(VLOOKUP(B204,input_406100!L:R,7,FALSE),VLOOKUP(tables_406100!C204,input_406100!A:H,8,FALSE))</f>
        <v>18459.095379999999</v>
      </c>
      <c r="P204" s="46">
        <f t="shared" ca="1" si="10"/>
        <v>1.0487996520233562E-2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input_406100!A$2</f>
        <v>406100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IFERROR(VLOOKUP(B205,input_406100!L:R,7,FALSE),VLOOKUP(tables_406100!C205,input_406100!A:H,8,FALSE))</f>
        <v>541.31077000000005</v>
      </c>
      <c r="P205" s="46">
        <f t="shared" ca="1" si="10"/>
        <v>3.0755924682398768E-4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input_406100!A$2</f>
        <v>406100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IFERROR(VLOOKUP(B206,input_406100!L:R,7,FALSE),VLOOKUP(tables_406100!C206,input_406100!A:H,8,FALSE))</f>
        <v>380</v>
      </c>
      <c r="P206" s="46">
        <f t="shared" ca="1" si="10"/>
        <v>2.1590650005562481E-4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input_406100!A$2</f>
        <v>406100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IFERROR(VLOOKUP(B207,input_406100!L:R,7,FALSE),VLOOKUP(tables_406100!C207,input_406100!A:H,8,FALSE))</f>
        <v>20</v>
      </c>
      <c r="P207" s="46">
        <f t="shared" ca="1" si="10"/>
        <v>1.1363500002927623E-5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input_406100!A$2</f>
        <v>406100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IFERROR(VLOOKUP(B208,input_406100!L:R,7,FALSE),VLOOKUP(tables_406100!C208,input_406100!A:H,8,FALSE))</f>
        <v>380</v>
      </c>
      <c r="P208" s="46">
        <f t="shared" ca="1" si="10"/>
        <v>2.1590650005562481E-4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input_406100!A$2</f>
        <v>406100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IFERROR(VLOOKUP(B209,input_406100!L:R,7,FALSE),VLOOKUP(tables_406100!C209,input_406100!A:H,8,FALSE))</f>
        <v>20</v>
      </c>
      <c r="P209" s="46">
        <f t="shared" ca="1" si="10"/>
        <v>1.1363500002927623E-5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input_406100!A$2</f>
        <v>406100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IFERROR(VLOOKUP(B210,input_406100!L:R,7,FALSE),VLOOKUP(tables_406100!C210,input_406100!A:H,8,FALSE))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input_406100!A$2</f>
        <v>406100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IFERROR(VLOOKUP(B211,input_406100!L:R,7,FALSE),VLOOKUP(tables_406100!C211,input_406100!A:H,8,FALSE))</f>
        <v>18459.095379999999</v>
      </c>
      <c r="P211" s="46">
        <f t="shared" ca="1" si="10"/>
        <v>1.0487996520233562E-2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input_406100!A$2</f>
        <v>406100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IFERROR(VLOOKUP(B212,input_406100!L:R,7,FALSE),VLOOKUP(tables_406100!C212,input_406100!A:H,8,FALSE))</f>
        <v>541.31077000000005</v>
      </c>
      <c r="P212" s="46">
        <f t="shared" ca="1" si="10"/>
        <v>3.0755924682398768E-4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input_406100!A$2</f>
        <v>406100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IFERROR(VLOOKUP(B213,input_406100!L:R,7,FALSE),VLOOKUP(tables_406100!C213,input_406100!A:H,8,FALSE))</f>
        <v>380</v>
      </c>
      <c r="P213" s="46">
        <f t="shared" ca="1" si="10"/>
        <v>2.1590650005562481E-4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input_406100!A$2</f>
        <v>406100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IFERROR(VLOOKUP(B214,input_406100!L:R,7,FALSE),VLOOKUP(tables_406100!C214,input_406100!A:H,8,FALSE))</f>
        <v>20</v>
      </c>
      <c r="P214" s="46">
        <f t="shared" ca="1" si="10"/>
        <v>1.1363500002927623E-5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input_406100!A$2</f>
        <v>406100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IFERROR(VLOOKUP(B215,input_406100!L:R,7,FALSE),VLOOKUP(tables_406100!C215,input_406100!A:H,8,FALSE))</f>
        <v>380</v>
      </c>
      <c r="P215" s="46">
        <f t="shared" ca="1" si="10"/>
        <v>2.1590650005562481E-4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input_406100!A$2</f>
        <v>406100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IFERROR(VLOOKUP(B216,input_406100!L:R,7,FALSE),VLOOKUP(tables_406100!C216,input_406100!A:H,8,FALSE))</f>
        <v>20</v>
      </c>
      <c r="P216" s="46">
        <f t="shared" ca="1" si="10"/>
        <v>1.1363500002927623E-5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input_406100!A$2</f>
        <v>406100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IFERROR(VLOOKUP(B217,input_406100!L:R,7,FALSE),VLOOKUP(tables_406100!C217,input_406100!A:H,8,FALSE))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input_406100!A$2</f>
        <v>406100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IFERROR(VLOOKUP(B218,input_406100!L:R,7,FALSE),VLOOKUP(tables_406100!C218,input_406100!A:H,8,FALSE))</f>
        <v>18459.095379999999</v>
      </c>
      <c r="P218" s="46">
        <f t="shared" ca="1" si="10"/>
        <v>1.0487996520233562E-2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input_406100!A$2</f>
        <v>406100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IFERROR(VLOOKUP(B219,input_406100!L:R,7,FALSE),VLOOKUP(tables_406100!C219,input_406100!A:H,8,FALSE))</f>
        <v>541.31077000000005</v>
      </c>
      <c r="P219" s="46">
        <f t="shared" ca="1" si="10"/>
        <v>3.0755924682398768E-4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input_406100!A$2</f>
        <v>406100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IFERROR(VLOOKUP(B220,input_406100!L:R,7,FALSE),VLOOKUP(tables_406100!C220,input_406100!A:H,8,FALSE))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input_406100!A$2</f>
        <v>406100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IFERROR(VLOOKUP(B221,input_406100!L:R,7,FALSE),VLOOKUP(tables_406100!C221,input_406100!A:H,8,FALSE))</f>
        <v>18459.095379999999</v>
      </c>
      <c r="P221" s="46">
        <f t="shared" ca="1" si="10"/>
        <v>1.0487996520233562E-2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input_406100!A$2</f>
        <v>406100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IFERROR(VLOOKUP(B222,input_406100!L:R,7,FALSE),VLOOKUP(tables_406100!C222,input_406100!A:H,8,FALSE))</f>
        <v>541.31077000000005</v>
      </c>
      <c r="P222" s="46">
        <f t="shared" ca="1" si="10"/>
        <v>3.0755924682398768E-4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input_406100!A$2</f>
        <v>406100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IFERROR(VLOOKUP(B223,input_406100!L:R,7,FALSE),VLOOKUP(tables_406100!C223,input_406100!A:H,8,FALSE))</f>
        <v>380</v>
      </c>
      <c r="P223" s="46">
        <f t="shared" ca="1" si="10"/>
        <v>2.1590650005562481E-4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input_406100!A$2</f>
        <v>406100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IFERROR(VLOOKUP(B224,input_406100!L:R,7,FALSE),VLOOKUP(tables_406100!C224,input_406100!A:H,8,FALSE))</f>
        <v>20</v>
      </c>
      <c r="P224" s="46">
        <f t="shared" ca="1" si="10"/>
        <v>1.1363500002927623E-5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input_406100!A$2</f>
        <v>406100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IFERROR(VLOOKUP(B225,input_406100!L:R,7,FALSE),VLOOKUP(tables_406100!C225,input_406100!A:H,8,FALSE))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input_406100!A$2</f>
        <v>406100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IFERROR(VLOOKUP(B226,input_406100!L:R,7,FALSE),VLOOKUP(tables_406100!C226,input_406100!A:H,8,FALSE))</f>
        <v>18459.095379999999</v>
      </c>
      <c r="P226" s="46">
        <f t="shared" ca="1" si="10"/>
        <v>1.0487996520233562E-2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input_406100!A$2</f>
        <v>406100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IFERROR(VLOOKUP(B227,input_406100!L:R,7,FALSE),VLOOKUP(tables_406100!C227,input_406100!A:H,8,FALSE))</f>
        <v>541.31077000000005</v>
      </c>
      <c r="P227" s="46">
        <f t="shared" ca="1" si="10"/>
        <v>3.0755924682398768E-4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input_406100!A$2</f>
        <v>406100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IFERROR(VLOOKUP(B228,input_406100!L:R,7,FALSE),VLOOKUP(tables_406100!C228,input_406100!A:H,8,FALSE))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input_406100!A$2</f>
        <v>406100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IFERROR(VLOOKUP(B229,input_406100!L:R,7,FALSE),VLOOKUP(tables_406100!C229,input_406100!A:H,8,FALSE))</f>
        <v>18459.095379999999</v>
      </c>
      <c r="P229" s="46">
        <f t="shared" ca="1" si="10"/>
        <v>1.0487996520233562E-2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input_406100!A$2</f>
        <v>406100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IFERROR(VLOOKUP(B230,input_406100!L:R,7,FALSE),VLOOKUP(tables_406100!C230,input_406100!A:H,8,FALSE))</f>
        <v>541.31077000000005</v>
      </c>
      <c r="P230" s="46">
        <f t="shared" ca="1" si="10"/>
        <v>3.0755924682398768E-4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input_406100!A$2</f>
        <v>406100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IFERROR(VLOOKUP(B231,input_406100!L:R,7,FALSE),VLOOKUP(tables_406100!C231,input_406100!A:H,8,FALSE))</f>
        <v>380</v>
      </c>
      <c r="P231" s="46">
        <f t="shared" ca="1" si="10"/>
        <v>2.1590650005562481E-4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input_406100!A$2</f>
        <v>406100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IFERROR(VLOOKUP(B232,input_406100!L:R,7,FALSE),VLOOKUP(tables_406100!C232,input_406100!A:H,8,FALSE))</f>
        <v>20</v>
      </c>
      <c r="P232" s="46">
        <f t="shared" ca="1" si="10"/>
        <v>1.1363500002927623E-5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input_406100!A$2</f>
        <v>406100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IFERROR(VLOOKUP(B233,input_406100!L:R,7,FALSE),VLOOKUP(tables_406100!C233,input_406100!A:H,8,FALSE))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input_406100!A$2</f>
        <v>406100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IFERROR(VLOOKUP(B234,input_406100!L:R,7,FALSE),VLOOKUP(tables_406100!C234,input_406100!A:H,8,FALSE))</f>
        <v>18459.095379999999</v>
      </c>
      <c r="P234" s="46">
        <f t="shared" ca="1" si="10"/>
        <v>1.0487996520233562E-2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input_406100!A$2</f>
        <v>406100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IFERROR(VLOOKUP(B235,input_406100!L:R,7,FALSE),VLOOKUP(tables_406100!C235,input_406100!A:H,8,FALSE))</f>
        <v>541.31077000000005</v>
      </c>
      <c r="P235" s="46">
        <f t="shared" ca="1" si="10"/>
        <v>3.0755924682398768E-4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input_406100!A$2</f>
        <v>406100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IFERROR(VLOOKUP(B236,input_406100!L:R,7,FALSE),VLOOKUP(tables_406100!C236,input_406100!A:H,8,FALSE))</f>
        <v>380</v>
      </c>
      <c r="P236" s="46">
        <f t="shared" ca="1" si="10"/>
        <v>2.1590650005562481E-4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input_406100!A$2</f>
        <v>406100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IFERROR(VLOOKUP(B237,input_406100!L:R,7,FALSE),VLOOKUP(tables_406100!C237,input_406100!A:H,8,FALSE))</f>
        <v>20</v>
      </c>
      <c r="P237" s="46">
        <f t="shared" ca="1" si="10"/>
        <v>1.1363500002927623E-5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input_406100!A$2</f>
        <v>406100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IFERROR(VLOOKUP(B238,input_406100!L:R,7,FALSE),VLOOKUP(tables_406100!C238,input_406100!A:H,8,FALSE))</f>
        <v>380</v>
      </c>
      <c r="P238" s="46">
        <f t="shared" ca="1" si="10"/>
        <v>2.1590650005562481E-4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input_406100!A$2</f>
        <v>406100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IFERROR(VLOOKUP(B239,input_406100!L:R,7,FALSE),VLOOKUP(tables_406100!C239,input_406100!A:H,8,FALSE))</f>
        <v>20</v>
      </c>
      <c r="P239" s="46">
        <f t="shared" ca="1" si="10"/>
        <v>1.1363500002927623E-5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input_406100!A$2</f>
        <v>406100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IFERROR(VLOOKUP(B240,input_406100!L:R,7,FALSE),VLOOKUP(tables_406100!C240,input_406100!A:H,8,FALSE))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input_406100!A$2</f>
        <v>406100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IFERROR(VLOOKUP(B241,input_406100!L:R,7,FALSE),VLOOKUP(tables_406100!C241,input_406100!A:H,8,FALSE))</f>
        <v>18459.095379999999</v>
      </c>
      <c r="P241" s="46">
        <f t="shared" ca="1" si="10"/>
        <v>1.0487996520233562E-2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input_406100!A$2</f>
        <v>406100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IFERROR(VLOOKUP(B242,input_406100!L:R,7,FALSE),VLOOKUP(tables_406100!C242,input_406100!A:H,8,FALSE))</f>
        <v>541.31077000000005</v>
      </c>
      <c r="P242" s="46">
        <f t="shared" ca="1" si="10"/>
        <v>3.0755924682398768E-4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input_406100!A$2</f>
        <v>406100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IFERROR(VLOOKUP(B243,input_406100!L:R,7,FALSE),VLOOKUP(tables_406100!C243,input_406100!A:H,8,FALSE))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input_406100!A$2</f>
        <v>406100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IFERROR(VLOOKUP(B244,input_406100!L:R,7,FALSE),VLOOKUP(tables_406100!C244,input_406100!A:H,8,FALSE))</f>
        <v>18459.095379999999</v>
      </c>
      <c r="P244" s="46">
        <f t="shared" ca="1" si="10"/>
        <v>1.0487996520233562E-2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input_406100!A$2</f>
        <v>406100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IFERROR(VLOOKUP(B245,input_406100!L:R,7,FALSE),VLOOKUP(tables_406100!C245,input_406100!A:H,8,FALSE))</f>
        <v>541.31077000000005</v>
      </c>
      <c r="P245" s="46">
        <f t="shared" ca="1" si="10"/>
        <v>3.0755924682398768E-4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input_406100!A$2</f>
        <v>406100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IFERROR(VLOOKUP(B246,input_406100!L:R,7,FALSE),VLOOKUP(tables_406100!C246,input_406100!A:H,8,FALSE))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input_406100!A$2</f>
        <v>406100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IFERROR(VLOOKUP(B247,input_406100!L:R,7,FALSE),VLOOKUP(tables_406100!C247,input_406100!A:H,8,FALSE))</f>
        <v>18459.095379999999</v>
      </c>
      <c r="P247" s="46">
        <f t="shared" ca="1" si="10"/>
        <v>1.0487996520233562E-2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input_406100!A$2</f>
        <v>406100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IFERROR(VLOOKUP(B248,input_406100!L:R,7,FALSE),VLOOKUP(tables_406100!C248,input_406100!A:H,8,FALSE))</f>
        <v>541.31077000000005</v>
      </c>
      <c r="P248" s="46">
        <f t="shared" ca="1" si="10"/>
        <v>3.0755924682398768E-4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input_406100!A$2</f>
        <v>406100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IFERROR(VLOOKUP(B249,input_406100!L:R,7,FALSE),VLOOKUP(tables_406100!C249,input_406100!A:H,8,FALSE))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input_406100!A$2</f>
        <v>406100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IFERROR(VLOOKUP(B250,input_406100!L:R,7,FALSE),VLOOKUP(tables_406100!C250,input_406100!A:H,8,FALSE))</f>
        <v>18459.095379999999</v>
      </c>
      <c r="P250" s="46">
        <f t="shared" ca="1" si="10"/>
        <v>1.0487996520233562E-2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input_406100!A$2</f>
        <v>406100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IFERROR(VLOOKUP(B251,input_406100!L:R,7,FALSE),VLOOKUP(tables_406100!C251,input_406100!A:H,8,FALSE))</f>
        <v>541.31077000000005</v>
      </c>
      <c r="P251" s="46">
        <f t="shared" ca="1" si="10"/>
        <v>3.0755924682398768E-4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input_406100!A$2</f>
        <v>406100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IFERROR(VLOOKUP(B252,input_406100!L:R,7,FALSE),VLOOKUP(tables_406100!C252,input_406100!A:H,8,FALSE))</f>
        <v>380</v>
      </c>
      <c r="P252" s="46">
        <f t="shared" ca="1" si="10"/>
        <v>2.1590650005562481E-4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input_406100!A$2</f>
        <v>406100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IFERROR(VLOOKUP(B253,input_406100!L:R,7,FALSE),VLOOKUP(tables_406100!C253,input_406100!A:H,8,FALSE))</f>
        <v>20</v>
      </c>
      <c r="P253" s="46">
        <f t="shared" ca="1" si="10"/>
        <v>1.1363500002927623E-5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input_406100!A$2</f>
        <v>406100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IFERROR(VLOOKUP(B254,input_406100!L:R,7,FALSE),VLOOKUP(tables_406100!C254,input_406100!A:H,8,FALSE))</f>
        <v>380</v>
      </c>
      <c r="P254" s="46">
        <f t="shared" ca="1" si="10"/>
        <v>2.1590650005562481E-4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input_406100!A$2</f>
        <v>406100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IFERROR(VLOOKUP(B255,input_406100!L:R,7,FALSE),VLOOKUP(tables_406100!C255,input_406100!A:H,8,FALSE))</f>
        <v>20</v>
      </c>
      <c r="P255" s="46">
        <f t="shared" ca="1" si="10"/>
        <v>1.1363500002927623E-5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input_406100!A$2</f>
        <v>406100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IFERROR(VLOOKUP(B256,input_406100!L:R,7,FALSE),VLOOKUP(tables_406100!C256,input_406100!A:H,8,FALSE))</f>
        <v>18050</v>
      </c>
      <c r="P256" s="46">
        <f t="shared" ca="1" si="10"/>
        <v>1.0255558752642179E-2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input_406100!A$2</f>
        <v>406100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IFERROR(VLOOKUP(B257,input_406100!L:R,7,FALSE),VLOOKUP(tables_406100!C257,input_406100!A:H,8,FALSE))</f>
        <v>950</v>
      </c>
      <c r="P257" s="46">
        <f t="shared" ca="1" si="10"/>
        <v>5.3976625013906203E-4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input_406100!A$2</f>
        <v>406100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IFERROR(VLOOKUP(B258,input_406100!L:R,7,FALSE),VLOOKUP(tables_406100!C258,input_406100!A:H,8,FALSE))</f>
        <v>18050</v>
      </c>
      <c r="P258" s="46">
        <f t="shared" ref="P258:P294" ca="1" si="13">O258/SUM(O:O)</f>
        <v>1.0255558752642179E-2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input_406100!A$2</f>
        <v>406100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IFERROR(VLOOKUP(B259,input_406100!L:R,7,FALSE),VLOOKUP(tables_406100!C259,input_406100!A:H,8,FALSE))</f>
        <v>950</v>
      </c>
      <c r="P259" s="46">
        <f t="shared" ca="1" si="13"/>
        <v>5.3976625013906203E-4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input_406100!A$2</f>
        <v>406100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IFERROR(VLOOKUP(B260,input_406100!L:R,7,FALSE),VLOOKUP(tables_406100!C260,input_406100!A:H,8,FALSE))</f>
        <v>400</v>
      </c>
      <c r="P260" s="46">
        <f t="shared" ca="1" si="13"/>
        <v>2.2727000005855243E-4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input_406100!A$2</f>
        <v>406100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IFERROR(VLOOKUP(B261,input_406100!L:R,7,FALSE),VLOOKUP(tables_406100!C261,input_406100!A:H,8,FALSE))</f>
        <v>400</v>
      </c>
      <c r="P261" s="46">
        <f t="shared" ca="1" si="13"/>
        <v>2.2727000005855243E-4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input_406100!A$2</f>
        <v>406100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IFERROR(VLOOKUP(B262,input_406100!L:R,7,FALSE),VLOOKUP(tables_406100!C262,input_406100!A:H,8,FALSE))</f>
        <v>380</v>
      </c>
      <c r="P262" s="46">
        <f t="shared" ca="1" si="13"/>
        <v>2.1590650005562481E-4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input_406100!A$2</f>
        <v>406100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IFERROR(VLOOKUP(B263,input_406100!L:R,7,FALSE),VLOOKUP(tables_406100!C263,input_406100!A:H,8,FALSE))</f>
        <v>20</v>
      </c>
      <c r="P263" s="46">
        <f t="shared" ca="1" si="13"/>
        <v>1.1363500002927623E-5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input_406100!A$2</f>
        <v>406100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IFERROR(VLOOKUP(B264,input_406100!L:R,7,FALSE),VLOOKUP(tables_406100!C264,input_406100!A:H,8,FALSE))</f>
        <v>380</v>
      </c>
      <c r="P264" s="46">
        <f t="shared" ca="1" si="13"/>
        <v>2.1590650005562481E-4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input_406100!A$2</f>
        <v>406100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IFERROR(VLOOKUP(B265,input_406100!L:R,7,FALSE),VLOOKUP(tables_406100!C265,input_406100!A:H,8,FALSE))</f>
        <v>20</v>
      </c>
      <c r="P265" s="46">
        <f t="shared" ca="1" si="13"/>
        <v>1.1363500002927623E-5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input_406100!A$2</f>
        <v>406100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IFERROR(VLOOKUP(B266,input_406100!L:R,7,FALSE),VLOOKUP(tables_406100!C266,input_406100!A:H,8,FALSE))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input_406100!A$2</f>
        <v>406100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IFERROR(VLOOKUP(B267,input_406100!L:R,7,FALSE),VLOOKUP(tables_406100!C267,input_406100!A:H,8,FALSE))</f>
        <v>18459.095379999999</v>
      </c>
      <c r="P267" s="46">
        <f t="shared" ca="1" si="13"/>
        <v>1.0487996520233562E-2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input_406100!A$2</f>
        <v>406100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IFERROR(VLOOKUP(B268,input_406100!L:R,7,FALSE),VLOOKUP(tables_406100!C268,input_406100!A:H,8,FALSE))</f>
        <v>541.31077000000005</v>
      </c>
      <c r="P268" s="46">
        <f t="shared" ca="1" si="13"/>
        <v>3.0755924682398768E-4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input_406100!A$2</f>
        <v>406100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IFERROR(VLOOKUP(B269,input_406100!L:R,7,FALSE),VLOOKUP(tables_406100!C269,input_406100!A:H,8,FALSE))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input_406100!A$2</f>
        <v>406100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IFERROR(VLOOKUP(B270,input_406100!L:R,7,FALSE),VLOOKUP(tables_406100!C270,input_406100!A:H,8,FALSE))</f>
        <v>18459.095379999999</v>
      </c>
      <c r="P270" s="46">
        <f t="shared" ca="1" si="13"/>
        <v>1.0487996520233562E-2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input_406100!A$2</f>
        <v>406100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IFERROR(VLOOKUP(B271,input_406100!L:R,7,FALSE),VLOOKUP(tables_406100!C271,input_406100!A:H,8,FALSE))</f>
        <v>541.31077000000005</v>
      </c>
      <c r="P271" s="46">
        <f t="shared" ca="1" si="13"/>
        <v>3.0755924682398768E-4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input_406100!A$2</f>
        <v>406100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IFERROR(VLOOKUP(B272,input_406100!L:R,7,FALSE),VLOOKUP(tables_406100!C272,input_406100!A:H,8,FALSE))</f>
        <v>17600</v>
      </c>
      <c r="P272" s="46">
        <f t="shared" ca="1" si="13"/>
        <v>9.9998800025763064E-3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input_406100!A$2</f>
        <v>406100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IFERROR(VLOOKUP(B273,input_406100!L:R,7,FALSE),VLOOKUP(tables_406100!C273,input_406100!A:H,8,FALSE))</f>
        <v>400</v>
      </c>
      <c r="P273" s="46">
        <f t="shared" ca="1" si="13"/>
        <v>2.2727000005855243E-4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input_406100!A$2</f>
        <v>406100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IFERROR(VLOOKUP(B274,input_406100!L:R,7,FALSE),VLOOKUP(tables_406100!C274,input_406100!A:H,8,FALSE))</f>
        <v>18050</v>
      </c>
      <c r="P274" s="46">
        <f t="shared" ca="1" si="13"/>
        <v>1.0255558752642179E-2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input_406100!A$2</f>
        <v>406100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IFERROR(VLOOKUP(B275,input_406100!L:R,7,FALSE),VLOOKUP(tables_406100!C275,input_406100!A:H,8,FALSE))</f>
        <v>950</v>
      </c>
      <c r="P275" s="46">
        <f t="shared" ca="1" si="13"/>
        <v>5.3976625013906203E-4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input_406100!A$2</f>
        <v>406100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IFERROR(VLOOKUP(B276,input_406100!L:R,7,FALSE),VLOOKUP(tables_406100!C276,input_406100!A:H,8,FALSE))</f>
        <v>18050</v>
      </c>
      <c r="P276" s="46">
        <f t="shared" ca="1" si="13"/>
        <v>1.0255558752642179E-2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input_406100!A$2</f>
        <v>406100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IFERROR(VLOOKUP(B277,input_406100!L:R,7,FALSE),VLOOKUP(tables_406100!C277,input_406100!A:H,8,FALSE))</f>
        <v>950</v>
      </c>
      <c r="P277" s="46">
        <f t="shared" ca="1" si="13"/>
        <v>5.3976625013906203E-4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input_406100!A$2</f>
        <v>406100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IFERROR(VLOOKUP(B278,input_406100!L:R,7,FALSE),VLOOKUP(tables_406100!C278,input_406100!A:H,8,FALSE))</f>
        <v>18050</v>
      </c>
      <c r="P278" s="46">
        <f t="shared" ca="1" si="13"/>
        <v>1.0255558752642179E-2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input_406100!A$2</f>
        <v>406100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IFERROR(VLOOKUP(B279,input_406100!L:R,7,FALSE),VLOOKUP(tables_406100!C279,input_406100!A:H,8,FALSE))</f>
        <v>950</v>
      </c>
      <c r="P279" s="46">
        <f t="shared" ca="1" si="13"/>
        <v>5.3976625013906203E-4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input_406100!A$2</f>
        <v>406100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IFERROR(VLOOKUP(B280,input_406100!L:R,7,FALSE),VLOOKUP(tables_406100!C280,input_406100!A:H,8,FALSE))</f>
        <v>18050</v>
      </c>
      <c r="P280" s="46">
        <f t="shared" ca="1" si="13"/>
        <v>1.0255558752642179E-2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input_406100!A$2</f>
        <v>406100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IFERROR(VLOOKUP(B281,input_406100!L:R,7,FALSE),VLOOKUP(tables_406100!C281,input_406100!A:H,8,FALSE))</f>
        <v>950</v>
      </c>
      <c r="P281" s="46">
        <f t="shared" ca="1" si="13"/>
        <v>5.3976625013906203E-4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input_406100!A$2</f>
        <v>406100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IFERROR(VLOOKUP(B282,input_406100!L:R,7,FALSE),VLOOKUP(tables_406100!C282,input_406100!A:H,8,FALSE))</f>
        <v>400</v>
      </c>
      <c r="P282" s="46">
        <f t="shared" ca="1" si="13"/>
        <v>2.2727000005855243E-4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input_406100!A$2</f>
        <v>406100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IFERROR(VLOOKUP(B283,input_406100!L:R,7,FALSE),VLOOKUP(tables_406100!C283,input_406100!A:H,8,FALSE))</f>
        <v>400</v>
      </c>
      <c r="P283" s="46">
        <f t="shared" ca="1" si="13"/>
        <v>2.2727000005855243E-4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input_406100!A$2</f>
        <v>406100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IFERROR(VLOOKUP(B284,input_406100!L:R,7,FALSE),VLOOKUP(tables_406100!C284,input_406100!A:H,8,FALSE))</f>
        <v>400</v>
      </c>
      <c r="P284" s="46">
        <f t="shared" ca="1" si="13"/>
        <v>2.2727000005855243E-4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input_406100!A$2</f>
        <v>406100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IFERROR(VLOOKUP(B285,input_406100!L:R,7,FALSE),VLOOKUP(tables_406100!C285,input_406100!A:H,8,FALSE))</f>
        <v>400</v>
      </c>
      <c r="P285" s="46">
        <f t="shared" ca="1" si="13"/>
        <v>2.2727000005855243E-4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input_406100!A$2</f>
        <v>406100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IFERROR(VLOOKUP(B286,input_406100!L:R,7,FALSE),VLOOKUP(tables_406100!C286,input_406100!A:H,8,FALSE))</f>
        <v>18050</v>
      </c>
      <c r="P286" s="46">
        <f t="shared" ca="1" si="13"/>
        <v>1.0255558752642179E-2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input_406100!A$2</f>
        <v>406100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IFERROR(VLOOKUP(B287,input_406100!L:R,7,FALSE),VLOOKUP(tables_406100!C287,input_406100!A:H,8,FALSE))</f>
        <v>950</v>
      </c>
      <c r="P287" s="46">
        <f t="shared" ca="1" si="13"/>
        <v>5.3976625013906203E-4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input_406100!A$2</f>
        <v>406100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IFERROR(VLOOKUP(B288,input_406100!L:R,7,FALSE),VLOOKUP(tables_406100!C288,input_406100!A:H,8,FALSE))</f>
        <v>18050</v>
      </c>
      <c r="P288" s="46">
        <f t="shared" ca="1" si="13"/>
        <v>1.0255558752642179E-2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input_406100!A$2</f>
        <v>406100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IFERROR(VLOOKUP(B289,input_406100!L:R,7,FALSE),VLOOKUP(tables_406100!C289,input_406100!A:H,8,FALSE))</f>
        <v>950</v>
      </c>
      <c r="P289" s="46">
        <f t="shared" ca="1" si="13"/>
        <v>5.3976625013906203E-4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input_406100!A$2</f>
        <v>406100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IFERROR(VLOOKUP(B290,input_406100!L:R,7,FALSE),VLOOKUP(tables_406100!C290,input_406100!A:H,8,FALSE))</f>
        <v>400</v>
      </c>
      <c r="P290" s="46">
        <f t="shared" ca="1" si="13"/>
        <v>2.2727000005855243E-4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input_406100!A$2</f>
        <v>406100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IFERROR(VLOOKUP(B291,input_406100!L:R,7,FALSE),VLOOKUP(tables_406100!C291,input_406100!A:H,8,FALSE))</f>
        <v>18050</v>
      </c>
      <c r="P291" s="46">
        <f t="shared" ca="1" si="13"/>
        <v>1.0255558752642179E-2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input_406100!A$2</f>
        <v>406100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IFERROR(VLOOKUP(B292,input_406100!L:R,7,FALSE),VLOOKUP(tables_406100!C292,input_406100!A:H,8,FALSE))</f>
        <v>950</v>
      </c>
      <c r="P292" s="46">
        <f t="shared" ca="1" si="13"/>
        <v>5.3976625013906203E-4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input_406100!A$2</f>
        <v>406100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IFERROR(VLOOKUP(B293,input_406100!L:R,7,FALSE),VLOOKUP(tables_406100!C293,input_406100!A:H,8,FALSE))</f>
        <v>400</v>
      </c>
      <c r="P293" s="46">
        <f t="shared" ca="1" si="13"/>
        <v>2.2727000005855243E-4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input_406100!A$2</f>
        <v>406100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IFERROR(VLOOKUP(B294,input_406100!L:R,7,FALSE),VLOOKUP(tables_406100!C294,input_406100!A:H,8,FALSE))</f>
        <v>400</v>
      </c>
      <c r="P294" s="46">
        <f t="shared" ca="1" si="13"/>
        <v>2.2727000005855243E-4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input_406100!A$2</f>
        <v>406100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IFERROR(VLOOKUP(B295,input_406100!L:R,7,FALSE),VLOOKUP(tables_406100!C295,input_406100!A:H,8,FALSE))</f>
        <v>400</v>
      </c>
      <c r="P295" s="46">
        <f t="shared" ref="P295:P299" ca="1" si="20">O295/SUM(O:O)</f>
        <v>2.2727000005855243E-4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input_406100!A$2</f>
        <v>406100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IFERROR(VLOOKUP(B296,input_406100!L:R,7,FALSE),VLOOKUP(tables_406100!C296,input_406100!A:H,8,FALSE))</f>
        <v>400</v>
      </c>
      <c r="P296" s="46">
        <f t="shared" ca="1" si="20"/>
        <v>2.2727000005855243E-4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input_406100!A$2</f>
        <v>406100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IFERROR(VLOOKUP(B297,input_406100!L:R,7,FALSE),VLOOKUP(tables_406100!C297,input_406100!A:H,8,FALSE))</f>
        <v>18050</v>
      </c>
      <c r="P297" s="46">
        <f t="shared" ca="1" si="20"/>
        <v>1.0255558752642179E-2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input_406100!A$2</f>
        <v>406100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IFERROR(VLOOKUP(B298,input_406100!L:R,7,FALSE),VLOOKUP(tables_406100!C298,input_406100!A:H,8,FALSE))</f>
        <v>950</v>
      </c>
      <c r="P298" s="46">
        <f t="shared" ca="1" si="20"/>
        <v>5.3976625013906203E-4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input_406100!A$2</f>
        <v>406100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IFERROR(VLOOKUP(B299,input_406100!L:R,7,FALSE),VLOOKUP(tables_406100!C299,input_406100!A:H,8,FALSE))</f>
        <v>400</v>
      </c>
      <c r="P299" s="46">
        <f t="shared" ca="1" si="20"/>
        <v>2.2727000005855243E-4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input_406100!A$2</f>
        <v>406100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IFERROR(VLOOKUP(B300,input_406100!L:R,7,FALSE),VLOOKUP(tables_406100!C300,input_406100!A:H,8,FALSE))</f>
        <v>18050</v>
      </c>
      <c r="P300" s="46">
        <f t="shared" ref="P300:P304" ca="1" si="22">O300/SUM(O:O)</f>
        <v>1.0255558752642179E-2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input_406100!A$2</f>
        <v>406100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IFERROR(VLOOKUP(B301,input_406100!L:R,7,FALSE),VLOOKUP(tables_406100!C301,input_406100!A:H,8,FALSE))</f>
        <v>950</v>
      </c>
      <c r="P301" s="46">
        <f t="shared" ca="1" si="22"/>
        <v>5.3976625013906203E-4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input_406100!A$2</f>
        <v>406100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IFERROR(VLOOKUP(B302,input_406100!L:R,7,FALSE),VLOOKUP(tables_406100!C302,input_406100!A:H,8,FALSE))</f>
        <v>400</v>
      </c>
      <c r="P302" s="46">
        <f t="shared" ca="1" si="22"/>
        <v>2.2727000005855243E-4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input_406100!A$2</f>
        <v>406100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IFERROR(VLOOKUP(B303,input_406100!L:R,7,FALSE),VLOOKUP(tables_406100!C303,input_406100!A:H,8,FALSE))</f>
        <v>400</v>
      </c>
      <c r="P303" s="46">
        <f t="shared" ca="1" si="22"/>
        <v>2.2727000005855243E-4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input_406100!A$2</f>
        <v>406100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IFERROR(VLOOKUP(B304,input_406100!L:R,7,FALSE),VLOOKUP(tables_406100!C304,input_406100!A:H,8,FALSE))</f>
        <v>400</v>
      </c>
      <c r="P304" s="46">
        <f t="shared" ca="1" si="22"/>
        <v>2.2727000005855243E-4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input_406100!A$2</f>
        <v>406100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IFERROR(VLOOKUP(B305,input_406100!L:R,7,FALSE),VLOOKUP(tables_406100!C305,input_406100!A:H,8,FALSE))</f>
        <v>18050</v>
      </c>
      <c r="P305" s="46">
        <f t="shared" ref="P305:P308" ca="1" si="24">O305/SUM(O:O)</f>
        <v>1.0255558752642179E-2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input_406100!A$2</f>
        <v>406100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IFERROR(VLOOKUP(B306,input_406100!L:R,7,FALSE),VLOOKUP(tables_406100!C306,input_406100!A:H,8,FALSE))</f>
        <v>950</v>
      </c>
      <c r="P306" s="46">
        <f t="shared" ca="1" si="24"/>
        <v>5.3976625013906203E-4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input_406100!A$2</f>
        <v>406100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IFERROR(VLOOKUP(B307,input_406100!L:R,7,FALSE),VLOOKUP(tables_406100!C307,input_406100!A:H,8,FALSE))</f>
        <v>400</v>
      </c>
      <c r="P307" s="46">
        <f t="shared" ca="1" si="24"/>
        <v>2.2727000005855243E-4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input_406100!A$2</f>
        <v>406100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IFERROR(VLOOKUP(B308,input_406100!L:R,7,FALSE),VLOOKUP(tables_406100!C308,input_406100!A:H,8,FALSE))</f>
        <v>400</v>
      </c>
      <c r="P308" s="46">
        <f t="shared" ca="1" si="24"/>
        <v>2.2727000005855243E-4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input_406100!A$2</f>
        <v>406100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IFERROR(VLOOKUP(B309,input_406100!L:R,7,FALSE),VLOOKUP(tables_406100!C309,input_406100!A:H,8,FALSE))</f>
        <v>17600</v>
      </c>
      <c r="P309" s="46">
        <f t="shared" ref="P309" ca="1" si="26">O309/SUM(O:O)</f>
        <v>9.9998800025763064E-3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C3"/>
  <sheetViews>
    <sheetView workbookViewId="0">
      <selection activeCell="E8" sqref="E8"/>
    </sheetView>
  </sheetViews>
  <sheetFormatPr baseColWidth="12" defaultRowHeight="14" x14ac:dyDescent="0.15"/>
  <cols>
    <col min="2" max="2" width="16" bestFit="1" customWidth="1"/>
  </cols>
  <sheetData>
    <row r="1" spans="2:3" x14ac:dyDescent="0.15">
      <c r="B1" t="s">
        <v>250</v>
      </c>
    </row>
    <row r="2" spans="2:3" x14ac:dyDescent="0.15">
      <c r="B2" s="105" t="s">
        <v>251</v>
      </c>
      <c r="C2" t="str">
        <f ca="1">input_406010!A2</f>
        <v>406010</v>
      </c>
    </row>
    <row r="3" spans="2:3" x14ac:dyDescent="0.15">
      <c r="B3" s="105"/>
      <c r="C3" t="str">
        <f ca="1">input_406100!A2</f>
        <v>406100</v>
      </c>
    </row>
  </sheetData>
  <mergeCells count="1">
    <mergeCell ref="B2:B3"/>
  </mergeCells>
  <phoneticPr fontId="2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input_406010</vt:lpstr>
      <vt:lpstr>tables_406010</vt:lpstr>
      <vt:lpstr>input_406100</vt:lpstr>
      <vt:lpstr>tables_406100</vt:lpstr>
      <vt:lpstr>gacha_bonus_tables</vt:lpstr>
      <vt:lpstr>R6追加前</vt:lpstr>
      <vt:lpstr>R6開放</vt:lpstr>
      <vt:lpstr>check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2016-09-15T09:27:03Z</dcterms:modified>
</cp:coreProperties>
</file>