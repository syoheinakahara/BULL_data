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160" yWindow="2100" windowWidth="37180" windowHeight="1750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8" l="1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L93" i="19"/>
  <c r="K93" i="19"/>
  <c r="L92" i="19"/>
  <c r="K92" i="19"/>
  <c r="L91" i="19"/>
  <c r="K91" i="19"/>
  <c r="L90" i="19"/>
  <c r="K90" i="19"/>
  <c r="L89" i="19"/>
  <c r="K89" i="19"/>
  <c r="L88" i="19"/>
  <c r="K88" i="19"/>
  <c r="L87" i="19"/>
  <c r="K87" i="19"/>
  <c r="L86" i="19"/>
  <c r="K86" i="19"/>
  <c r="L85" i="19"/>
  <c r="K85" i="19"/>
  <c r="L84" i="19"/>
  <c r="K84" i="19"/>
  <c r="L83" i="19"/>
  <c r="K83" i="19"/>
  <c r="L82" i="19"/>
  <c r="K82" i="19"/>
  <c r="L81" i="19"/>
  <c r="K81" i="19"/>
  <c r="L80" i="19"/>
  <c r="K80" i="19"/>
  <c r="L79" i="19"/>
  <c r="K79" i="19"/>
  <c r="L78" i="19"/>
  <c r="K78" i="19"/>
  <c r="L77" i="19"/>
  <c r="K77" i="19"/>
  <c r="L76" i="19"/>
  <c r="K76" i="19"/>
  <c r="L75" i="19"/>
  <c r="K75" i="19"/>
  <c r="L74" i="19"/>
  <c r="K74" i="19"/>
  <c r="L73" i="19"/>
  <c r="K73" i="19"/>
  <c r="L72" i="19"/>
  <c r="K72" i="19"/>
  <c r="L71" i="19"/>
  <c r="K71" i="19"/>
  <c r="L70" i="19"/>
  <c r="K70" i="19"/>
  <c r="L69" i="19"/>
  <c r="K69" i="19"/>
  <c r="L68" i="19"/>
  <c r="K68" i="19"/>
  <c r="L67" i="19"/>
  <c r="K67" i="19"/>
  <c r="L66" i="19"/>
  <c r="K66" i="19"/>
  <c r="L65" i="19"/>
  <c r="K65" i="19"/>
  <c r="L64" i="19"/>
  <c r="K64" i="19"/>
  <c r="L63" i="19"/>
  <c r="K63" i="19"/>
  <c r="L62" i="19"/>
  <c r="K62" i="19"/>
  <c r="L61" i="19"/>
  <c r="K61" i="19"/>
  <c r="L60" i="19"/>
  <c r="K60" i="19"/>
  <c r="L59" i="19"/>
  <c r="K59" i="19"/>
  <c r="L58" i="19"/>
  <c r="K58" i="19"/>
  <c r="L57" i="19"/>
  <c r="K57" i="19"/>
  <c r="L56" i="19"/>
  <c r="K56" i="19"/>
  <c r="L55" i="19"/>
  <c r="K55" i="19"/>
  <c r="L54" i="19"/>
  <c r="K54" i="19"/>
  <c r="L53" i="19"/>
  <c r="K53" i="19"/>
  <c r="L52" i="19"/>
  <c r="K52" i="19"/>
  <c r="L51" i="19"/>
  <c r="K51" i="19"/>
  <c r="L50" i="19"/>
  <c r="K50" i="19"/>
  <c r="L49" i="19"/>
  <c r="K49" i="19"/>
  <c r="L48" i="19"/>
  <c r="K48" i="19"/>
  <c r="L47" i="19"/>
  <c r="K47" i="19"/>
  <c r="L46" i="19"/>
  <c r="K46" i="19"/>
  <c r="L45" i="19"/>
  <c r="K45" i="19"/>
  <c r="L44" i="19"/>
  <c r="K44" i="19"/>
  <c r="L43" i="19"/>
  <c r="K43" i="19"/>
  <c r="L42" i="19"/>
  <c r="K42" i="19"/>
  <c r="L41" i="19"/>
  <c r="K41" i="19"/>
  <c r="L40" i="19"/>
  <c r="K40" i="19"/>
  <c r="L39" i="19"/>
  <c r="K39" i="19"/>
  <c r="L38" i="19"/>
  <c r="K38" i="19"/>
  <c r="L37" i="19"/>
  <c r="K37" i="19"/>
  <c r="L36" i="19"/>
  <c r="K36" i="19"/>
  <c r="L35" i="19"/>
  <c r="K35" i="19"/>
  <c r="L34" i="19"/>
  <c r="K34" i="19"/>
  <c r="L33" i="19"/>
  <c r="K33" i="19"/>
  <c r="L32" i="19"/>
  <c r="K32" i="19"/>
  <c r="L31" i="19"/>
  <c r="K31" i="19"/>
  <c r="L30" i="19"/>
  <c r="K30" i="19"/>
  <c r="L29" i="19"/>
  <c r="K29" i="19"/>
  <c r="L28" i="19"/>
  <c r="K28" i="19"/>
  <c r="L27" i="19"/>
  <c r="K27" i="19"/>
  <c r="L26" i="19"/>
  <c r="K26" i="19"/>
  <c r="L25" i="19"/>
  <c r="K25" i="19"/>
  <c r="L24" i="19"/>
  <c r="K24" i="19"/>
  <c r="L23" i="19"/>
  <c r="K23" i="19"/>
  <c r="L22" i="19"/>
  <c r="K22" i="19"/>
  <c r="L21" i="19"/>
  <c r="K21" i="19"/>
  <c r="L20" i="19"/>
  <c r="K20" i="19"/>
  <c r="L19" i="19"/>
  <c r="K19" i="19"/>
  <c r="L18" i="19"/>
  <c r="K18" i="19"/>
  <c r="L17" i="19"/>
  <c r="K17" i="19"/>
  <c r="L16" i="19"/>
  <c r="K16" i="19"/>
  <c r="L15" i="19"/>
  <c r="K15" i="19"/>
  <c r="L14" i="19"/>
  <c r="K14" i="19"/>
  <c r="L13" i="19"/>
  <c r="K13" i="19"/>
  <c r="L12" i="19"/>
  <c r="K12" i="19"/>
  <c r="L11" i="19"/>
  <c r="K11" i="19"/>
  <c r="L10" i="19"/>
  <c r="K10" i="19"/>
  <c r="L9" i="19"/>
  <c r="K9" i="19"/>
  <c r="L8" i="19"/>
  <c r="K8" i="19"/>
  <c r="L7" i="19"/>
  <c r="K7" i="19"/>
  <c r="L6" i="19"/>
  <c r="K6" i="19"/>
  <c r="L5" i="19"/>
  <c r="K5" i="19"/>
  <c r="L4" i="19"/>
  <c r="K4" i="19"/>
  <c r="L3" i="19"/>
  <c r="K3" i="19"/>
  <c r="L2" i="19"/>
  <c r="K2" i="19"/>
  <c r="A5" i="9"/>
  <c r="D5" i="9"/>
  <c r="E5" i="9"/>
  <c r="G5" i="9"/>
  <c r="H5" i="9"/>
  <c r="I5" i="9"/>
  <c r="J5" i="9"/>
  <c r="K5" i="9"/>
  <c r="L5" i="9"/>
  <c r="M5" i="9"/>
  <c r="N5" i="9"/>
  <c r="J5" i="11"/>
  <c r="O5" i="9"/>
  <c r="AB37" i="1"/>
  <c r="AD37" i="1"/>
  <c r="AG37" i="1"/>
  <c r="AE37" i="1"/>
  <c r="AC37" i="1"/>
  <c r="V37" i="1"/>
  <c r="Q37" i="1"/>
  <c r="P37" i="1"/>
  <c r="O37" i="1"/>
  <c r="N37" i="1"/>
  <c r="M37" i="1"/>
  <c r="H37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J37" i="1"/>
  <c r="I37" i="1"/>
  <c r="D37" i="1"/>
  <c r="F37" i="1"/>
  <c r="E37" i="1"/>
  <c r="A37" i="1"/>
  <c r="AB36" i="1"/>
  <c r="AD36" i="1"/>
  <c r="AG36" i="1"/>
  <c r="AE36" i="1"/>
  <c r="AC36" i="1"/>
  <c r="E13" i="9"/>
  <c r="V36" i="1"/>
  <c r="Q36" i="1"/>
  <c r="P36" i="1"/>
  <c r="O36" i="1"/>
  <c r="N36" i="1"/>
  <c r="M36" i="1"/>
  <c r="H36" i="1"/>
  <c r="J36" i="1"/>
  <c r="I36" i="1"/>
  <c r="D36" i="1"/>
  <c r="F36" i="1"/>
  <c r="E36" i="1"/>
  <c r="A36" i="1"/>
  <c r="AB35" i="1"/>
  <c r="AD35" i="1"/>
  <c r="AG35" i="1"/>
  <c r="AE35" i="1"/>
  <c r="AC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B34" i="1"/>
  <c r="AD34" i="1"/>
  <c r="AG34" i="1"/>
  <c r="AE34" i="1"/>
  <c r="AC34" i="1"/>
  <c r="E11" i="9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B33" i="1"/>
  <c r="AD33" i="1"/>
  <c r="AG33" i="1"/>
  <c r="AE33" i="1"/>
  <c r="AC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E9" i="9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E7" i="9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E3" i="9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16" i="9"/>
  <c r="D16" i="9"/>
  <c r="E16" i="9"/>
  <c r="G16" i="9"/>
  <c r="H16" i="9"/>
  <c r="I16" i="9"/>
  <c r="J16" i="9"/>
  <c r="K16" i="9"/>
  <c r="L16" i="9"/>
  <c r="M16" i="9"/>
  <c r="N16" i="9"/>
  <c r="J15" i="11"/>
  <c r="O16" i="9"/>
  <c r="A17" i="9"/>
  <c r="D17" i="9"/>
  <c r="E17" i="9"/>
  <c r="G17" i="9"/>
  <c r="H17" i="9"/>
  <c r="I17" i="9"/>
  <c r="J17" i="9"/>
  <c r="K17" i="9"/>
  <c r="L17" i="9"/>
  <c r="M17" i="9"/>
  <c r="N17" i="9"/>
  <c r="J16" i="11"/>
  <c r="O17" i="9"/>
  <c r="A18" i="9"/>
  <c r="D18" i="9"/>
  <c r="E18" i="9"/>
  <c r="G18" i="9"/>
  <c r="H18" i="9"/>
  <c r="I18" i="9"/>
  <c r="J18" i="9"/>
  <c r="K18" i="9"/>
  <c r="L18" i="9"/>
  <c r="M18" i="9"/>
  <c r="N18" i="9"/>
  <c r="J17" i="11"/>
  <c r="O18" i="9"/>
  <c r="A19" i="9"/>
  <c r="D19" i="9"/>
  <c r="E19" i="9"/>
  <c r="G19" i="9"/>
  <c r="H19" i="9"/>
  <c r="I19" i="9"/>
  <c r="J19" i="9"/>
  <c r="K19" i="9"/>
  <c r="L19" i="9"/>
  <c r="M19" i="9"/>
  <c r="N19" i="9"/>
  <c r="J18" i="11"/>
  <c r="O19" i="9"/>
  <c r="A20" i="9"/>
  <c r="D20" i="9"/>
  <c r="E20" i="9"/>
  <c r="G20" i="9"/>
  <c r="H20" i="9"/>
  <c r="I20" i="9"/>
  <c r="J20" i="9"/>
  <c r="K20" i="9"/>
  <c r="L20" i="9"/>
  <c r="M20" i="9"/>
  <c r="N20" i="9"/>
  <c r="J19" i="11"/>
  <c r="O20" i="9"/>
  <c r="A21" i="9"/>
  <c r="D21" i="9"/>
  <c r="E21" i="9"/>
  <c r="G21" i="9"/>
  <c r="H21" i="9"/>
  <c r="I21" i="9"/>
  <c r="J21" i="9"/>
  <c r="K21" i="9"/>
  <c r="L21" i="9"/>
  <c r="M21" i="9"/>
  <c r="N21" i="9"/>
  <c r="J20" i="11"/>
  <c r="O21" i="9"/>
  <c r="A14" i="9"/>
  <c r="D14" i="9"/>
  <c r="E14" i="9"/>
  <c r="G14" i="9"/>
  <c r="H14" i="9"/>
  <c r="I14" i="9"/>
  <c r="J14" i="9"/>
  <c r="K14" i="9"/>
  <c r="L14" i="9"/>
  <c r="M14" i="9"/>
  <c r="N14" i="9"/>
  <c r="J13" i="11"/>
  <c r="O14" i="9"/>
  <c r="A15" i="9"/>
  <c r="D15" i="9"/>
  <c r="E15" i="9"/>
  <c r="G15" i="9"/>
  <c r="H15" i="9"/>
  <c r="I15" i="9"/>
  <c r="J15" i="9"/>
  <c r="K15" i="9"/>
  <c r="L15" i="9"/>
  <c r="M15" i="9"/>
  <c r="N15" i="9"/>
  <c r="J14" i="11"/>
  <c r="O15" i="9"/>
  <c r="A3" i="9"/>
  <c r="D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J6" i="11"/>
  <c r="O7" i="9"/>
  <c r="A8" i="9"/>
  <c r="D8" i="9"/>
  <c r="E8" i="9"/>
  <c r="G8" i="9"/>
  <c r="H8" i="9"/>
  <c r="I8" i="9"/>
  <c r="J8" i="9"/>
  <c r="K8" i="9"/>
  <c r="L8" i="9"/>
  <c r="M8" i="9"/>
  <c r="N8" i="9"/>
  <c r="J7" i="11"/>
  <c r="O8" i="9"/>
  <c r="A9" i="9"/>
  <c r="D9" i="9"/>
  <c r="G9" i="9"/>
  <c r="H9" i="9"/>
  <c r="I9" i="9"/>
  <c r="J9" i="9"/>
  <c r="K9" i="9"/>
  <c r="L9" i="9"/>
  <c r="M9" i="9"/>
  <c r="N9" i="9"/>
  <c r="J8" i="11"/>
  <c r="O9" i="9"/>
  <c r="A10" i="9"/>
  <c r="D10" i="9"/>
  <c r="E10" i="9"/>
  <c r="G10" i="9"/>
  <c r="H10" i="9"/>
  <c r="I10" i="9"/>
  <c r="J10" i="9"/>
  <c r="K10" i="9"/>
  <c r="L10" i="9"/>
  <c r="M10" i="9"/>
  <c r="N10" i="9"/>
  <c r="J9" i="11"/>
  <c r="O10" i="9"/>
  <c r="A11" i="9"/>
  <c r="D11" i="9"/>
  <c r="G11" i="9"/>
  <c r="H11" i="9"/>
  <c r="I11" i="9"/>
  <c r="J11" i="9"/>
  <c r="K11" i="9"/>
  <c r="L11" i="9"/>
  <c r="M11" i="9"/>
  <c r="N11" i="9"/>
  <c r="J10" i="11"/>
  <c r="O11" i="9"/>
  <c r="A12" i="9"/>
  <c r="D12" i="9"/>
  <c r="E12" i="9"/>
  <c r="G12" i="9"/>
  <c r="H12" i="9"/>
  <c r="I12" i="9"/>
  <c r="J12" i="9"/>
  <c r="K12" i="9"/>
  <c r="L12" i="9"/>
  <c r="M12" i="9"/>
  <c r="N12" i="9"/>
  <c r="J11" i="11"/>
  <c r="O12" i="9"/>
  <c r="A13" i="9"/>
  <c r="D13" i="9"/>
  <c r="G13" i="9"/>
  <c r="H13" i="9"/>
  <c r="I13" i="9"/>
  <c r="J13" i="9"/>
  <c r="K13" i="9"/>
  <c r="L13" i="9"/>
  <c r="M13" i="9"/>
  <c r="N13" i="9"/>
  <c r="J12" i="11"/>
  <c r="O13" i="9"/>
  <c r="W2" i="7"/>
  <c r="A3" i="7"/>
  <c r="D3" i="7"/>
  <c r="E3" i="7"/>
  <c r="F3" i="7"/>
  <c r="H3" i="7"/>
  <c r="I3" i="7"/>
  <c r="J3" i="7"/>
  <c r="N3" i="7"/>
  <c r="O3" i="7"/>
  <c r="P3" i="7"/>
  <c r="Q3" i="7"/>
  <c r="R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W4" i="7"/>
  <c r="Y4" i="7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A4" i="1"/>
  <c r="D4" i="1"/>
  <c r="E4" i="1"/>
  <c r="F4" i="1"/>
  <c r="H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6" i="1"/>
  <c r="D6" i="1"/>
  <c r="E6" i="1"/>
  <c r="F6" i="1"/>
  <c r="H6" i="1"/>
  <c r="I6" i="1"/>
  <c r="J6" i="1"/>
  <c r="M6" i="1"/>
  <c r="N6" i="1"/>
  <c r="O6" i="1"/>
  <c r="P6" i="1"/>
  <c r="Q6" i="1"/>
  <c r="E2" i="9"/>
  <c r="V6" i="1"/>
  <c r="AB6" i="1"/>
  <c r="AC6" i="1"/>
  <c r="AD6" i="1"/>
  <c r="AE6" i="1"/>
  <c r="AG6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9" i="1"/>
  <c r="D9" i="1"/>
  <c r="E9" i="1"/>
  <c r="F9" i="1"/>
  <c r="H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11" i="1"/>
  <c r="D11" i="1"/>
  <c r="E11" i="1"/>
  <c r="F11" i="1"/>
  <c r="H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12" i="1"/>
  <c r="D12" i="1"/>
  <c r="E12" i="1"/>
  <c r="F12" i="1"/>
  <c r="H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13" i="1"/>
  <c r="D13" i="1"/>
  <c r="E13" i="1"/>
  <c r="F13" i="1"/>
  <c r="H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H16" i="2"/>
  <c r="E16" i="2"/>
  <c r="D16" i="2"/>
  <c r="H2" i="1"/>
  <c r="H3" i="1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J2" i="11"/>
  <c r="O2" i="9"/>
  <c r="N2" i="9"/>
  <c r="M2" i="9"/>
  <c r="L2" i="9"/>
  <c r="K2" i="9"/>
  <c r="J2" i="9"/>
  <c r="I2" i="9"/>
  <c r="H2" i="9"/>
  <c r="G2" i="9"/>
  <c r="D2" i="9"/>
  <c r="Y2" i="7"/>
  <c r="E9" i="16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<sst xmlns="http://schemas.openxmlformats.org/spreadsheetml/2006/main" count="989" uniqueCount="298">
  <si>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</si>
  <si>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</si>
  <si>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</si>
  <si>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</si>
  <si>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</si>
  <si>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</si>
  <si>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</si>
  <si>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</si>
  <si>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</si>
  <si>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</si>
  <si>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</si>
  <si>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</si>
  <si>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</si>
  <si>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</si>
  <si>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</si>
  <si>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</si>
  <si>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</si>
  <si>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</si>
  <si>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</si>
  <si>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</si>
  <si>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</si>
  <si>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</si>
  <si>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</si>
  <si>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</si>
  <si>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</si>
  <si>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</si>
  <si>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</si>
  <si>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</si>
  <si>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</si>
  <si>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</si>
  <si>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</si>
  <si>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</si>
  <si>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</si>
  <si>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</si>
  <si>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</si>
  <si>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</si>
  <si>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</si>
  <si>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</si>
  <si>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</si>
  <si>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</si>
  <si>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</si>
  <si>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</si>
  <si>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</si>
  <si>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</si>
  <si>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</si>
  <si>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</si>
  <si>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</si>
  <si>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</si>
  <si>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</si>
  <si>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</si>
  <si>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</si>
  <si>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</si>
  <si>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</si>
  <si>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</si>
  <si>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</si>
  <si>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</si>
  <si>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</si>
  <si>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</si>
  <si>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</si>
  <si>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</si>
  <si>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</si>
  <si>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</si>
  <si>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</si>
  <si>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</si>
  <si>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</si>
  <si>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</si>
  <si>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</si>
  <si>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</si>
  <si>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</si>
  <si>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</si>
  <si>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</si>
  <si>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</si>
  <si>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</si>
  <si>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</si>
  <si>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</si>
  <si>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</si>
  <si>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</si>
  <si>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</si>
  <si>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</si>
  <si>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</si>
  <si>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</si>
  <si>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</si>
  <si>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</si>
  <si>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</si>
  <si>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</si>
  <si>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</si>
  <si>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</si>
  <si>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</si>
  <si>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</si>
  <si>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</si>
  <si>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</si>
  <si>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</si>
  <si>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</si>
  <si>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</si>
  <si>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</si>
  <si>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</si>
  <si>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</si>
  <si>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</si>
  <si>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</si>
  <si>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</si>
  <si>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</si>
  <si>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</si>
  <si>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</si>
  <si>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</si>
  <si>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</si>
  <si>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</si>
  <si>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</si>
  <si>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</si>
  <si>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</si>
  <si>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</si>
  <si>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</si>
  <si>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</si>
  <si>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</si>
  <si>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</si>
  <si>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</si>
  <si>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</si>
  <si>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</si>
  <si>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</si>
  <si>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</si>
  <si>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</si>
  <si>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</si>
  <si>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</si>
  <si>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</si>
  <si>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</si>
  <si>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</si>
  <si>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</si>
  <si>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</si>
  <si>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</si>
  <si>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</si>
  <si>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</si>
  <si>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</si>
  <si>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</si>
  <si>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</si>
  <si>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</si>
  <si>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</si>
  <si>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</si>
  <si>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</si>
  <si>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</si>
  <si>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</si>
  <si>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</si>
  <si>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</si>
  <si>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</si>
  <si>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</si>
  <si>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</si>
  <si>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</si>
  <si>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</si>
  <si>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</si>
  <si>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</si>
  <si>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</si>
  <si>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</si>
  <si>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</si>
  <si>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</si>
  <si>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</si>
  <si>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</si>
  <si>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</si>
  <si>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</si>
  <si>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</si>
  <si>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</si>
  <si>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</si>
  <si>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</si>
  <si>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</si>
  <si>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</si>
  <si>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</si>
  <si>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</si>
  <si>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</si>
  <si>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</si>
  <si>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</si>
  <si>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</si>
  <si>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</si>
  <si>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</si>
  <si>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</si>
  <si>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</si>
  <si>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</si>
  <si>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</si>
  <si>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</si>
  <si>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</si>
  <si>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</si>
  <si>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</si>
  <si>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</si>
  <si>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</si>
  <si>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</si>
  <si>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</si>
  <si>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</si>
  <si>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</si>
  <si>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</si>
  <si>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</si>
  <si>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</si>
  <si>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</si>
  <si>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</si>
  <si>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</si>
  <si>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</si>
  <si>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</si>
  <si>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</si>
  <si>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</si>
  <si>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</si>
  <si>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</si>
  <si>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</si>
  <si>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</si>
  <si>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</si>
  <si>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</si>
  <si>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</si>
  <si>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</si>
  <si>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</si>
  <si>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</si>
  <si>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</si>
  <si>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</si>
  <si>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</si>
  <si>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</si>
  <si>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</si>
  <si>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</si>
  <si>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</si>
  <si>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</si>
  <si>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</si>
  <si>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</si>
  <si>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</si>
  <si>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マーメイド</t>
  </si>
  <si>
    <t>セイレーン(1F)</t>
    <phoneticPr fontId="5"/>
  </si>
  <si>
    <t>ダックス(リーダー)</t>
    <phoneticPr fontId="5"/>
  </si>
  <si>
    <t>ダックス(2F)</t>
    <phoneticPr fontId="5"/>
  </si>
  <si>
    <t>ダックス(4F)</t>
    <phoneticPr fontId="5"/>
  </si>
  <si>
    <t>エキドナ(4F)</t>
    <phoneticPr fontId="5"/>
  </si>
  <si>
    <t>クラーケン(3F)</t>
    <phoneticPr fontId="5"/>
  </si>
  <si>
    <t>戦闘案内人 リム(3F)</t>
    <phoneticPr fontId="5"/>
  </si>
  <si>
    <t>マミコ(3F)</t>
    <phoneticPr fontId="5"/>
  </si>
  <si>
    <t>戦闘案内人 リム(4F)</t>
    <phoneticPr fontId="5"/>
  </si>
  <si>
    <t>セイレーン(1G)</t>
    <phoneticPr fontId="5"/>
  </si>
  <si>
    <t>セイレーン(2G)</t>
    <phoneticPr fontId="5"/>
  </si>
  <si>
    <t>ケンジ(５F)</t>
    <phoneticPr fontId="5"/>
  </si>
  <si>
    <t>裏方の意地</t>
    <rPh sb="0" eb="2">
      <t>ウラカタ</t>
    </rPh>
    <phoneticPr fontId="5"/>
  </si>
  <si>
    <t>回復タイプのユニットに大ダメージの全体攻撃</t>
    <rPh sb="0" eb="2">
      <t>カイフク</t>
    </rPh>
    <rPh sb="11" eb="12">
      <t>ダイ</t>
    </rPh>
    <rPh sb="17" eb="19">
      <t>ゼンタイ</t>
    </rPh>
    <rPh sb="19" eb="21">
      <t>コウゲキ</t>
    </rPh>
    <phoneticPr fontId="5"/>
  </si>
  <si>
    <t>[effect:virus, turn:-1, target:unit_all, rate:1, val:0.07, animation:enemy_virus],[effect:enhance_fever, val:1000.0, animation:fevergauge_up04]</t>
    <phoneticPr fontId="5"/>
  </si>
  <si>
    <t xml:space="preserve">[effect:degrade_unit, target:unit_all, turn:1, status:attack, val:1, calc:add]    </t>
    <phoneticPr fontId="5"/>
  </si>
  <si>
    <t>赤属性に大ダメージの全体攻撃</t>
    <rPh sb="0" eb="1">
      <t>アカ</t>
    </rPh>
    <rPh sb="1" eb="3">
      <t>ゾクセイ</t>
    </rPh>
    <rPh sb="4" eb="5">
      <t>ダイ</t>
    </rPh>
    <rPh sb="10" eb="14">
      <t>ゼンタイコウゲキ</t>
    </rPh>
    <phoneticPr fontId="5"/>
  </si>
  <si>
    <t>null</t>
    <phoneticPr fontId="5"/>
  </si>
  <si>
    <t>null</t>
    <phoneticPr fontId="5"/>
  </si>
  <si>
    <t>null</t>
    <phoneticPr fontId="5"/>
  </si>
  <si>
    <t>コールリーダーの先導</t>
    <rPh sb="8" eb="10">
      <t>センドウ</t>
    </rPh>
    <phoneticPr fontId="5"/>
  </si>
  <si>
    <t>ペンライト・ウェーブ</t>
    <phoneticPr fontId="5"/>
  </si>
  <si>
    <t>ダンサーズ・プライド</t>
    <phoneticPr fontId="5"/>
  </si>
  <si>
    <t>セイレーン・シャウト</t>
    <phoneticPr fontId="5"/>
  </si>
  <si>
    <t>アンコール・クラップ</t>
    <phoneticPr fontId="5"/>
  </si>
  <si>
    <t xml:space="preserve">[effect:freq_turn, target:enemy_all, turn:2, val:1, animation:enemy_freq_turn],[effect:suicide, val:0.5, dead_type:escape, target:myself, animation:enemy_suicide]    </t>
    <phoneticPr fontId="5"/>
  </si>
  <si>
    <t>[effect:damage_anti_type, target:unit_all, type:heal, val1:0.8, val2:0.2]</t>
    <phoneticPr fontId="5"/>
  </si>
  <si>
    <t>リムのスキルで生成される
時限式パネルは威力極小のため
無視して攻撃に専念しても問題ありません</t>
    <rPh sb="7" eb="9">
      <t>セイセイ</t>
    </rPh>
    <rPh sb="13" eb="16">
      <t>ジゲンシキ</t>
    </rPh>
    <rPh sb="20" eb="22">
      <t>イリョク</t>
    </rPh>
    <rPh sb="22" eb="24">
      <t>ゴクショウ</t>
    </rPh>
    <rPh sb="28" eb="30">
      <t>ムシ</t>
    </rPh>
    <rPh sb="32" eb="34">
      <t>コウゲキ</t>
    </rPh>
    <rPh sb="35" eb="37">
      <t>センネン</t>
    </rPh>
    <rPh sb="40" eb="42">
      <t>モンダイ</t>
    </rPh>
    <phoneticPr fontId="5"/>
  </si>
  <si>
    <t>[effect:panel_freeze, target:block_yellow, count:10],[effect:spread, val:0.7]</t>
    <phoneticPr fontId="5"/>
  </si>
  <si>
    <t xml:space="preserve">[effect:damage_anti_color, target:unit_all, color:red, val1:3.35, val2:0.44]    </t>
    <phoneticPr fontId="5"/>
  </si>
  <si>
    <t>[effect:enhance_enemy, target:enemy_all, turn:3, status:attack, val:1.2, calc:mul, animation:enemy_enhance_attack],[effect:suicide, val:0.5, dead_type:escape, target:myself, animation:enemy_suicide]</t>
    <phoneticPr fontId="5"/>
  </si>
  <si>
    <t>[effect:dark, target:unit_all, turn:-1, animation:enemy_dark],[effect:fix_speed, target:myself, turn:1]</t>
    <phoneticPr fontId="5"/>
  </si>
  <si>
    <t xml:space="preserve">[effect:remove_enhancement, target:unit_all, target_effect:dark, target_type:debuff, animation:frozen_wave],[effect:fix_speed, target:myself, turn:2]    </t>
    <phoneticPr fontId="5"/>
  </si>
  <si>
    <t>全力応援</t>
    <rPh sb="0" eb="2">
      <t>ゼンリョク</t>
    </rPh>
    <rPh sb="2" eb="4">
      <t>オウエン</t>
    </rPh>
    <phoneticPr fontId="5"/>
  </si>
  <si>
    <t>1ターンの間 攻撃力がダウン</t>
    <rPh sb="5" eb="6">
      <t>アイダ</t>
    </rPh>
    <rPh sb="7" eb="10">
      <t>コウゲキリョク</t>
    </rPh>
    <phoneticPr fontId="5"/>
  </si>
  <si>
    <t xml:space="preserve">[effect:force_change_block, new_block:block_heart, target:block_yellow, count:5, val:0, animation:change_block],[effect:rush, count:8, val:0.22]    </t>
    <phoneticPr fontId="5"/>
  </si>
  <si>
    <t>舞台照明操作・暗転</t>
    <rPh sb="0" eb="4">
      <t>ブタイショウメイ</t>
    </rPh>
    <rPh sb="4" eb="6">
      <t>ソウサ</t>
    </rPh>
    <rPh sb="7" eb="9">
      <t>アンテン</t>
    </rPh>
    <phoneticPr fontId="5"/>
  </si>
  <si>
    <t>舞台照明操作・明転</t>
    <rPh sb="0" eb="2">
      <t>ブタイ</t>
    </rPh>
    <rPh sb="2" eb="4">
      <t>ショウメイ</t>
    </rPh>
    <rPh sb="4" eb="6">
      <t>ソウサ</t>
    </rPh>
    <rPh sb="7" eb="9">
      <t>meiteン</t>
    </rPh>
    <phoneticPr fontId="5"/>
  </si>
  <si>
    <t>フィナーレ・ナンバー</t>
    <phoneticPr fontId="5"/>
  </si>
  <si>
    <t>全体攻撃＋一定確率で2ターンの間スキルが使えない</t>
    <rPh sb="0" eb="2">
      <t>ゼンタイ</t>
    </rPh>
    <rPh sb="2" eb="4">
      <t>コウゲキ</t>
    </rPh>
    <rPh sb="5" eb="7">
      <t>イッテイ</t>
    </rPh>
    <rPh sb="7" eb="9">
      <t>コウカクリツ</t>
    </rPh>
    <rPh sb="15" eb="16">
      <t>アイダ</t>
    </rPh>
    <rPh sb="20" eb="21">
      <t>ツカ</t>
    </rPh>
    <phoneticPr fontId="5"/>
  </si>
  <si>
    <t xml:space="preserve">[effect:spread, val:0.43],[effect:hungup, target:unit_all, turn:2, rate:0.4, animation:hungup01]    </t>
    <phoneticPr fontId="5"/>
  </si>
  <si>
    <t>ワタシたちのライブ楽しんでネ！</t>
    <rPh sb="9" eb="10">
      <t>タノ</t>
    </rPh>
    <phoneticPr fontId="5"/>
  </si>
  <si>
    <t>この戦闘の間 タップ数＋１</t>
    <rPh sb="2" eb="4">
      <t>セントウ</t>
    </rPh>
    <rPh sb="5" eb="6">
      <t>アイダ</t>
    </rPh>
    <rPh sb="10" eb="11">
      <t>スウ</t>
    </rPh>
    <phoneticPr fontId="5"/>
  </si>
  <si>
    <t>癒しのガーリィ・ポップス</t>
    <rPh sb="0" eb="1">
      <t>イヤ</t>
    </rPh>
    <phoneticPr fontId="5"/>
  </si>
  <si>
    <t>誘惑のラブリィ・ソング</t>
    <rPh sb="0" eb="2">
      <t>ユウワク</t>
    </rPh>
    <phoneticPr fontId="5"/>
  </si>
  <si>
    <t>ナチュラルハッキングヴォイス</t>
    <phoneticPr fontId="5"/>
  </si>
  <si>
    <t>魅惑のセクシィ・トランス</t>
    <rPh sb="0" eb="2">
      <t>ミワク</t>
    </rPh>
    <phoneticPr fontId="5"/>
  </si>
  <si>
    <t>鋭角スラッピングベース</t>
    <rPh sb="0" eb="2">
      <t>エイカク</t>
    </rPh>
    <phoneticPr fontId="5"/>
  </si>
  <si>
    <t>回復タイプのユニットに対し大ダメージの
全体攻撃を一斉に放ってきますので
先制攻撃をかけて数を減らしましょう</t>
    <rPh sb="0" eb="2">
      <t>カイフク</t>
    </rPh>
    <rPh sb="11" eb="12">
      <t>タイ</t>
    </rPh>
    <rPh sb="13" eb="14">
      <t>ダイ</t>
    </rPh>
    <rPh sb="20" eb="24">
      <t>ゼンタイコウゲキ</t>
    </rPh>
    <rPh sb="25" eb="27">
      <t>イッセイ</t>
    </rPh>
    <rPh sb="28" eb="29">
      <t>ハナ</t>
    </rPh>
    <rPh sb="37" eb="41">
      <t>センセイコウゲキ</t>
    </rPh>
    <rPh sb="45" eb="46">
      <t>カズヲ</t>
    </rPh>
    <rPh sb="47" eb="48">
      <t>ヘラシマショウ</t>
    </rPh>
    <phoneticPr fontId="5"/>
  </si>
  <si>
    <t>マーメイドのスキルで生成される
ハートパネルを有効活用しましょう</t>
    <rPh sb="10" eb="12">
      <t>セイセイ</t>
    </rPh>
    <rPh sb="23" eb="25">
      <t>ユウコウ</t>
    </rPh>
    <rPh sb="25" eb="27">
      <t>カツヨウ</t>
    </rPh>
    <phoneticPr fontId="5"/>
  </si>
  <si>
    <t>ケンジを倒すことで暗闇状態を
固定させることが可能です
明るい状態の間に倒しましょう</t>
    <rPh sb="4" eb="5">
      <t>タオスコトデ</t>
    </rPh>
    <rPh sb="15" eb="17">
      <t>コテイ</t>
    </rPh>
    <rPh sb="28" eb="29">
      <t>アカルイジョウタイ</t>
    </rPh>
    <rPh sb="34" eb="35">
      <t>アイダニ</t>
    </rPh>
    <rPh sb="36" eb="37">
      <t>タオシマショウ</t>
    </rPh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</si>
  <si>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</si>
  <si>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</si>
  <si>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</si>
  <si>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</si>
  <si>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暗闇解除＋攻撃頻度を2ターンに変更</t>
    <phoneticPr fontId="5"/>
  </si>
  <si>
    <t>永続暗闇＋攻撃頻度を1ターンに変更</t>
    <phoneticPr fontId="5"/>
  </si>
  <si>
    <t>3ターンの間攻撃力UP</t>
    <phoneticPr fontId="5"/>
  </si>
  <si>
    <t>2ターンの間攻撃頻度が1にUP</t>
    <phoneticPr fontId="5"/>
  </si>
  <si>
    <t>この戦闘の間 回復パネルの出現率DOWN</t>
    <phoneticPr fontId="5"/>
  </si>
  <si>
    <t>演出用火薬</t>
    <rPh sb="0" eb="2">
      <t>エンシュツ</t>
    </rPh>
    <rPh sb="2" eb="3">
      <t>ヨウ</t>
    </rPh>
    <rPh sb="3" eb="5">
      <t>カヤク</t>
    </rPh>
    <phoneticPr fontId="5"/>
  </si>
  <si>
    <t>null</t>
    <phoneticPr fontId="5"/>
  </si>
  <si>
    <t>暗闇解除＋撤退</t>
    <rPh sb="0" eb="4">
      <t>クラヤミカイジョ</t>
    </rPh>
    <rPh sb="5" eb="7">
      <t>テッタイ</t>
    </rPh>
    <phoneticPr fontId="5"/>
  </si>
  <si>
    <t xml:space="preserve">[effect:remove_enhancement, target:unit_all, target_effect:dark, target_type:debuff, animation:frozen_wave],[effect:suicide, val:1, dead_type:escape, target:myself, animation:enemy_suicide]    </t>
    <phoneticPr fontId="5"/>
  </si>
  <si>
    <t>舞台に捧げる光</t>
    <rPh sb="0" eb="2">
      <t>ブタイ</t>
    </rPh>
    <rPh sb="3" eb="4">
      <t>ササ</t>
    </rPh>
    <rPh sb="6" eb="7">
      <t>ヒカリ</t>
    </rPh>
    <phoneticPr fontId="5"/>
  </si>
  <si>
    <t>リムとマミコのスキルが同時に発動すると
クラーケンの危険度が一気に高まります
ターゲット機能を使って先に倒しましょう</t>
    <rPh sb="11" eb="13">
      <t>ドウジ</t>
    </rPh>
    <rPh sb="14" eb="16">
      <t>ハツドウ</t>
    </rPh>
    <rPh sb="26" eb="29">
      <t>キケンド</t>
    </rPh>
    <rPh sb="30" eb="32">
      <t>イッキ</t>
    </rPh>
    <rPh sb="33" eb="34">
      <t>タカ</t>
    </rPh>
    <rPh sb="44" eb="46">
      <t>kiンou</t>
    </rPh>
    <rPh sb="47" eb="48">
      <t>ツカ</t>
    </rPh>
    <rPh sb="50" eb="51">
      <t>サキニ</t>
    </rPh>
    <rPh sb="52" eb="53">
      <t>タオシマショウ</t>
    </rPh>
    <phoneticPr fontId="5"/>
  </si>
  <si>
    <t>[effect:change_panel_ratio, turn:-1, block_type:heal, val:0.1, animation:block_incidence04],[effect:suicide, val:1, dead_type:escape, target:myself]</t>
    <phoneticPr fontId="5"/>
  </si>
  <si>
    <t>[effect:enhance_unit, target:unit_all, turn:-1, status:action, val:1, calc:add],[effect:freq_turn, target:enemy_all, turn:1, val:2, animation:enemy_freq_turn]</t>
    <phoneticPr fontId="5"/>
  </si>
  <si>
    <t>[effect:force_change_block, new_block:block_heart, target:block_all, ignore01:crash, ignore02:crack_bomb, ignore03:time_bomb, ignore04:jammer, count:5, val:0, animation:change_block],[effect:rush, count:8, val:0.3]</t>
    <phoneticPr fontId="5"/>
  </si>
  <si>
    <t xml:space="preserve">[effect:force_change_block, new_block:block_heart, target:block_all, ignore01:crash, ignore02:crack_bomb, ignore03:time_bomb, ignore04:jammer, count:8, val:0, animation:change_block],[effect:spread, val:0.22],[effect:rush, count:6, val:0.21]    </t>
    <phoneticPr fontId="5"/>
  </si>
  <si>
    <t xml:space="preserve">[effect:force_change_block, new_block:block_heart, target:block_all, ignore01:crash, ignore02:crack_bomb, ignore03:time_bomb, ignore04:jammer, count:10, val:0, animation:change_block]       </t>
    <phoneticPr fontId="5"/>
  </si>
  <si>
    <t>黄パネルを最大10個プロテクト＋全体攻撃</t>
    <rPh sb="0" eb="1">
      <t>キ</t>
    </rPh>
    <rPh sb="5" eb="7">
      <t>サイダイ</t>
    </rPh>
    <rPh sb="9" eb="10">
      <t>コ</t>
    </rPh>
    <rPh sb="16" eb="20">
      <t>ゼンタイコウゲキ</t>
    </rPh>
    <phoneticPr fontId="5"/>
  </si>
  <si>
    <t>黄パネルを最大6個　時限式ダメージパネルに変換</t>
    <rPh sb="0" eb="1">
      <t>キ</t>
    </rPh>
    <rPh sb="5" eb="7">
      <t>サイダイ</t>
    </rPh>
    <rPh sb="8" eb="9">
      <t>コ</t>
    </rPh>
    <rPh sb="21" eb="23">
      <t>ヘンカン</t>
    </rPh>
    <phoneticPr fontId="5"/>
  </si>
  <si>
    <t>フィーバーゲージ上昇
＋解除するまで毎ターンダメージ</t>
    <rPh sb="8" eb="10">
      <t>ジョウショウ</t>
    </rPh>
    <rPh sb="12" eb="14">
      <t>カイジョ</t>
    </rPh>
    <rPh sb="18" eb="19">
      <t>マイ</t>
    </rPh>
    <phoneticPr fontId="5"/>
  </si>
  <si>
    <t>黄パネルを最大5個ハートパネルに変換
＋8回連続攻撃</t>
    <rPh sb="0" eb="1">
      <t>キイロ</t>
    </rPh>
    <rPh sb="5" eb="7">
      <t>サイダイ</t>
    </rPh>
    <rPh sb="8" eb="9">
      <t>コ</t>
    </rPh>
    <rPh sb="16" eb="18">
      <t>ヘンカン</t>
    </rPh>
    <rPh sb="21" eb="22">
      <t>カイ</t>
    </rPh>
    <rPh sb="22" eb="24">
      <t>レンゾク</t>
    </rPh>
    <rPh sb="24" eb="26">
      <t>コウゲキ</t>
    </rPh>
    <phoneticPr fontId="5"/>
  </si>
  <si>
    <t>ハートパネルを最大5個生成
＋8回連続攻撃</t>
    <rPh sb="7" eb="9">
      <t>サイダイ</t>
    </rPh>
    <rPh sb="10" eb="11">
      <t>コ</t>
    </rPh>
    <rPh sb="16" eb="17">
      <t>カイ</t>
    </rPh>
    <phoneticPr fontId="5"/>
  </si>
  <si>
    <t>ハートパネルを最大8個生成
＋全体攻撃</t>
    <rPh sb="7" eb="9">
      <t>サイダイ</t>
    </rPh>
    <rPh sb="10" eb="11">
      <t>コ</t>
    </rPh>
    <phoneticPr fontId="5"/>
  </si>
  <si>
    <t>ハートパネルを最大5個生成
＋全体攻撃</t>
    <rPh sb="7" eb="9">
      <t>サイダイ</t>
    </rPh>
    <rPh sb="10" eb="11">
      <t>コ</t>
    </rPh>
    <phoneticPr fontId="5"/>
  </si>
  <si>
    <t xml:space="preserve">[effect:force_change_block, new_block:time_bomb, target:block_yellow, ignore01:crash, ignore02:crack_bomb, count:6, val:0.01, min_time_count:2, max_time_count:4, animation:change_block]    </t>
    <phoneticPr fontId="5"/>
  </si>
  <si>
    <t>[effect:force_change_block, new_block:block_heart, target:block_all, ignore01:crash, ignore02:crack_bomb,  ignore03:time_bomb, ignore04:jammer, count:5, val:0, animation:change_block],[effect:spread, val:0.52]</t>
    <phoneticPr fontId="5"/>
  </si>
  <si>
    <t>ランダムでハートパネルを最大10個生成</t>
    <rPh sb="12" eb="14">
      <t>サイダイ</t>
    </rPh>
    <rPh sb="16" eb="17">
      <t>コ</t>
    </rPh>
    <phoneticPr fontId="5"/>
  </si>
  <si>
    <t>コール・アンド・レスポンス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</si>
</sst>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</borders>
  <cellStyleXfs count="86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3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vertical="center"/>
    </xf>
    <xf numFmtId="0" fontId="27" fillId="6" borderId="35" xfId="0" applyFont="1" applyFill="1" applyBorder="1" applyAlignment="1">
      <alignment horizontal="center"/>
    </xf>
    <xf numFmtId="0" fontId="16" fillId="6" borderId="25" xfId="0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/>
    </xf>
    <xf numFmtId="0" fontId="16" fillId="30" borderId="25" xfId="0" applyFont="1" applyFill="1" applyBorder="1" applyAlignment="1">
      <alignment horizontal="center"/>
    </xf>
    <xf numFmtId="0" fontId="16" fillId="13" borderId="25" xfId="0" applyFont="1" applyFill="1" applyBorder="1" applyAlignment="1">
      <alignment horizontal="center"/>
    </xf>
    <xf numFmtId="0" fontId="16" fillId="15" borderId="25" xfId="0" applyFont="1" applyFill="1" applyBorder="1" applyAlignment="1">
      <alignment horizontal="center"/>
    </xf>
    <xf numFmtId="0" fontId="16" fillId="14" borderId="25" xfId="0" applyFont="1" applyFill="1" applyBorder="1" applyAlignment="1">
      <alignment horizontal="center"/>
    </xf>
    <xf numFmtId="56" fontId="16" fillId="14" borderId="25" xfId="0" applyNumberFormat="1" applyFont="1" applyFill="1" applyBorder="1" applyAlignment="1">
      <alignment horizontal="center"/>
    </xf>
    <xf numFmtId="0" fontId="0" fillId="15" borderId="26" xfId="0" applyFill="1" applyBorder="1"/>
    <xf numFmtId="0" fontId="27" fillId="0" borderId="36" xfId="0" applyFont="1" applyFill="1" applyBorder="1"/>
    <xf numFmtId="0" fontId="0" fillId="0" borderId="28" xfId="0" applyBorder="1"/>
    <xf numFmtId="0" fontId="27" fillId="0" borderId="37" xfId="0" applyFont="1" applyFill="1" applyBorder="1"/>
    <xf numFmtId="0" fontId="28" fillId="0" borderId="31" xfId="0" applyFont="1" applyFill="1" applyBorder="1"/>
    <xf numFmtId="0" fontId="29" fillId="3" borderId="38" xfId="0" applyFont="1" applyFill="1" applyBorder="1" applyAlignment="1">
      <alignment vertical="center"/>
    </xf>
    <xf numFmtId="0" fontId="30" fillId="0" borderId="31" xfId="0" applyFont="1" applyFill="1" applyBorder="1"/>
    <xf numFmtId="0" fontId="29" fillId="0" borderId="38" xfId="0" applyFont="1" applyFill="1" applyBorder="1" applyAlignment="1">
      <alignment vertical="center"/>
    </xf>
    <xf numFmtId="0" fontId="30" fillId="30" borderId="31" xfId="0" applyFont="1" applyFill="1" applyBorder="1"/>
    <xf numFmtId="0" fontId="30" fillId="14" borderId="31" xfId="0" applyFont="1" applyFill="1" applyBorder="1"/>
    <xf numFmtId="0" fontId="31" fillId="0" borderId="31" xfId="0" applyFont="1" applyFill="1" applyBorder="1"/>
    <xf numFmtId="0" fontId="0" fillId="0" borderId="32" xfId="0" applyBorder="1"/>
    <xf numFmtId="0" fontId="27" fillId="0" borderId="39" xfId="0" applyFont="1" applyFill="1" applyBorder="1"/>
    <xf numFmtId="0" fontId="28" fillId="0" borderId="2" xfId="0" applyFont="1" applyFill="1" applyBorder="1"/>
    <xf numFmtId="0" fontId="29" fillId="3" borderId="40" xfId="0" applyFont="1" applyFill="1" applyBorder="1" applyAlignment="1">
      <alignment vertical="center"/>
    </xf>
    <xf numFmtId="0" fontId="30" fillId="0" borderId="2" xfId="0" applyFont="1" applyFill="1" applyBorder="1"/>
    <xf numFmtId="0" fontId="29" fillId="0" borderId="40" xfId="0" applyFont="1" applyFill="1" applyBorder="1" applyAlignment="1">
      <alignment vertical="center"/>
    </xf>
    <xf numFmtId="0" fontId="30" fillId="30" borderId="2" xfId="0" applyFont="1" applyFill="1" applyBorder="1"/>
    <xf numFmtId="0" fontId="30" fillId="14" borderId="2" xfId="0" applyFont="1" applyFill="1" applyBorder="1"/>
    <xf numFmtId="0" fontId="31" fillId="0" borderId="2" xfId="0" applyFont="1" applyFill="1" applyBorder="1"/>
    <xf numFmtId="0" fontId="0" fillId="0" borderId="33" xfId="0" applyBorder="1"/>
    <xf numFmtId="0" fontId="27" fillId="0" borderId="41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34" xfId="0" applyBorder="1"/>
    <xf numFmtId="0" fontId="27" fillId="0" borderId="35" xfId="0" applyFont="1" applyFill="1" applyBorder="1"/>
    <xf numFmtId="0" fontId="28" fillId="0" borderId="25" xfId="0" applyFont="1" applyFill="1" applyBorder="1"/>
    <xf numFmtId="0" fontId="29" fillId="3" borderId="25" xfId="0" applyFont="1" applyFill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30" fillId="30" borderId="25" xfId="0" applyFont="1" applyFill="1" applyBorder="1"/>
    <xf numFmtId="0" fontId="30" fillId="14" borderId="25" xfId="0" applyFont="1" applyFill="1" applyBorder="1"/>
    <xf numFmtId="0" fontId="31" fillId="0" borderId="25" xfId="0" applyFont="1" applyFill="1" applyBorder="1"/>
    <xf numFmtId="0" fontId="0" fillId="0" borderId="26" xfId="0" applyBorder="1"/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12" fillId="7" borderId="23" xfId="0" applyFont="1" applyFill="1" applyBorder="1" applyAlignment="1">
      <alignment horizontal="left" vertical="center"/>
    </xf>
    <xf numFmtId="0" fontId="4" fillId="2" borderId="42" xfId="0" applyFont="1" applyFill="1" applyBorder="1" applyAlignment="1">
      <alignment horizontal="left" vertical="center"/>
    </xf>
    <xf numFmtId="0" fontId="4" fillId="3" borderId="42" xfId="0" applyFont="1" applyFill="1" applyBorder="1" applyAlignment="1">
      <alignment horizontal="left" vertical="center"/>
    </xf>
    <xf numFmtId="0" fontId="4" fillId="6" borderId="42" xfId="0" applyFont="1" applyFill="1" applyBorder="1" applyAlignment="1">
      <alignment horizontal="left" vertical="center"/>
    </xf>
    <xf numFmtId="0" fontId="4" fillId="3" borderId="43" xfId="0" applyFont="1" applyFill="1" applyBorder="1" applyAlignment="1">
      <alignment horizontal="left" vertical="center"/>
    </xf>
    <xf numFmtId="0" fontId="4" fillId="3" borderId="44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4" fillId="6" borderId="45" xfId="0" applyFont="1" applyFill="1" applyBorder="1" applyAlignment="1">
      <alignment horizontal="left" vertical="center"/>
    </xf>
    <xf numFmtId="176" fontId="4" fillId="0" borderId="46" xfId="0" applyNumberFormat="1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47" xfId="0" applyFont="1" applyFill="1" applyBorder="1" applyAlignment="1">
      <alignment vertical="center"/>
    </xf>
    <xf numFmtId="0" fontId="8" fillId="0" borderId="48" xfId="0" applyFont="1" applyBorder="1" applyAlignment="1">
      <alignment vertical="center"/>
    </xf>
    <xf numFmtId="177" fontId="8" fillId="0" borderId="48" xfId="0" applyNumberFormat="1" applyFont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49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176" fontId="4" fillId="0" borderId="50" xfId="0" applyNumberFormat="1" applyFont="1" applyFill="1" applyBorder="1" applyAlignment="1">
      <alignment horizontal="center" vertical="center"/>
    </xf>
    <xf numFmtId="0" fontId="6" fillId="5" borderId="50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6" fillId="5" borderId="51" xfId="0" applyFont="1" applyFill="1" applyBorder="1" applyAlignment="1">
      <alignment vertical="center"/>
    </xf>
    <xf numFmtId="0" fontId="8" fillId="0" borderId="52" xfId="0" applyFont="1" applyBorder="1" applyAlignment="1">
      <alignment vertical="center"/>
    </xf>
    <xf numFmtId="177" fontId="8" fillId="0" borderId="52" xfId="0" applyNumberFormat="1" applyFont="1" applyBorder="1" applyAlignment="1">
      <alignment vertical="center"/>
    </xf>
    <xf numFmtId="0" fontId="4" fillId="0" borderId="53" xfId="0" applyFont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vertical="center"/>
    </xf>
    <xf numFmtId="0" fontId="4" fillId="0" borderId="54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38" fontId="16" fillId="0" borderId="2" xfId="628" applyFont="1" applyFill="1" applyBorder="1" applyAlignment="1">
      <alignment wrapText="1"/>
    </xf>
    <xf numFmtId="0" fontId="51" fillId="0" borderId="25" xfId="0" applyFont="1" applyBorder="1" applyAlignment="1">
      <alignment vertical="center"/>
    </xf>
    <xf numFmtId="0" fontId="51" fillId="0" borderId="55" xfId="0" applyFont="1" applyBorder="1" applyAlignment="1">
      <alignment vertical="center"/>
    </xf>
    <xf numFmtId="0" fontId="51" fillId="0" borderId="12" xfId="0" applyFont="1" applyBorder="1" applyAlignment="1">
      <alignment vertical="center"/>
    </xf>
    <xf numFmtId="0" fontId="51" fillId="0" borderId="56" xfId="0" applyFont="1" applyBorder="1" applyAlignment="1">
      <alignment vertical="center"/>
    </xf>
    <xf numFmtId="0" fontId="6" fillId="3" borderId="5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3" borderId="58" xfId="0" applyFont="1" applyFill="1" applyBorder="1" applyAlignment="1">
      <alignment vertical="center"/>
    </xf>
    <xf numFmtId="0" fontId="6" fillId="3" borderId="59" xfId="0" applyFont="1" applyFill="1" applyBorder="1" applyAlignment="1">
      <alignment vertical="center"/>
    </xf>
    <xf numFmtId="0" fontId="6" fillId="3" borderId="60" xfId="0" applyFont="1" applyFill="1" applyBorder="1" applyAlignment="1">
      <alignment vertical="center"/>
    </xf>
    <xf numFmtId="0" fontId="4" fillId="3" borderId="35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4" fillId="3" borderId="41" xfId="0" applyFont="1" applyFill="1" applyBorder="1" applyAlignment="1">
      <alignment horizontal="center" vertical="center"/>
    </xf>
    <xf numFmtId="0" fontId="51" fillId="0" borderId="38" xfId="0" applyFont="1" applyBorder="1" applyAlignment="1">
      <alignment vertical="center"/>
    </xf>
    <xf numFmtId="0" fontId="51" fillId="0" borderId="61" xfId="0" applyFont="1" applyBorder="1" applyAlignment="1">
      <alignment vertical="center"/>
    </xf>
    <xf numFmtId="0" fontId="16" fillId="0" borderId="0" xfId="0" applyFont="1" applyAlignment="1">
      <alignment wrapText="1"/>
    </xf>
    <xf numFmtId="38" fontId="16" fillId="0" borderId="7" xfId="628" applyFont="1" applyFill="1" applyBorder="1" applyAlignment="1">
      <alignment wrapText="1"/>
    </xf>
    <xf numFmtId="177" fontId="8" fillId="0" borderId="62" xfId="0" applyNumberFormat="1" applyFont="1" applyBorder="1" applyAlignment="1">
      <alignment vertical="center"/>
    </xf>
    <xf numFmtId="0" fontId="0" fillId="0" borderId="35" xfId="0" applyBorder="1"/>
    <xf numFmtId="0" fontId="0" fillId="0" borderId="25" xfId="0" applyBorder="1"/>
    <xf numFmtId="0" fontId="0" fillId="3" borderId="25" xfId="0" applyFill="1" applyBorder="1"/>
    <xf numFmtId="0" fontId="27" fillId="31" borderId="25" xfId="0" applyFont="1" applyFill="1" applyBorder="1"/>
    <xf numFmtId="0" fontId="27" fillId="31" borderId="26" xfId="0" applyFont="1" applyFill="1" applyBorder="1"/>
    <xf numFmtId="0" fontId="27" fillId="31" borderId="7" xfId="0" applyFont="1" applyFill="1" applyBorder="1"/>
    <xf numFmtId="0" fontId="27" fillId="31" borderId="28" xfId="0" applyFont="1" applyFill="1" applyBorder="1"/>
    <xf numFmtId="0" fontId="0" fillId="0" borderId="31" xfId="0" applyBorder="1"/>
    <xf numFmtId="0" fontId="0" fillId="3" borderId="31" xfId="0" applyFill="1" applyBorder="1"/>
    <xf numFmtId="0" fontId="27" fillId="31" borderId="31" xfId="0" applyFont="1" applyFill="1" applyBorder="1"/>
    <xf numFmtId="0" fontId="27" fillId="31" borderId="32" xfId="0" applyFont="1" applyFill="1" applyBorder="1"/>
    <xf numFmtId="0" fontId="0" fillId="0" borderId="12" xfId="0" applyBorder="1"/>
    <xf numFmtId="0" fontId="0" fillId="3" borderId="12" xfId="0" applyFill="1" applyBorder="1"/>
    <xf numFmtId="0" fontId="27" fillId="31" borderId="12" xfId="0" applyFont="1" applyFill="1" applyBorder="1"/>
    <xf numFmtId="0" fontId="27" fillId="0" borderId="25" xfId="0" applyFont="1" applyFill="1" applyBorder="1"/>
    <xf numFmtId="0" fontId="27" fillId="0" borderId="31" xfId="0" applyFont="1" applyFill="1" applyBorder="1"/>
    <xf numFmtId="0" fontId="27" fillId="0" borderId="12" xfId="0" applyFont="1" applyFill="1" applyBorder="1"/>
  </cellXfs>
  <cellStyles count="86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2" sqref="A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2" t="s">
        <v>131</v>
      </c>
      <c r="B1" s="47" t="s">
        <v>101</v>
      </c>
      <c r="C1" s="47" t="s">
        <v>102</v>
      </c>
      <c r="D1" s="47" t="s">
        <v>103</v>
      </c>
      <c r="E1" s="47" t="s">
        <v>104</v>
      </c>
      <c r="F1" s="47" t="s">
        <v>105</v>
      </c>
      <c r="G1" s="47" t="s">
        <v>106</v>
      </c>
      <c r="H1" s="47"/>
      <c r="I1" s="47"/>
      <c r="J1" s="47"/>
      <c r="K1" s="47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</row>
    <row r="2" spans="1:30" x14ac:dyDescent="0.15">
      <c r="A2" s="53" t="s">
        <v>214</v>
      </c>
      <c r="B2" s="49" t="s">
        <v>107</v>
      </c>
      <c r="C2" s="54">
        <v>20014</v>
      </c>
      <c r="D2" s="49" t="s">
        <v>108</v>
      </c>
      <c r="E2" s="48" t="str">
        <f>B2&amp;C2&amp;D2</f>
        <v>floors_20014.tmp</v>
      </c>
      <c r="F2" s="49" t="s">
        <v>109</v>
      </c>
      <c r="G2" s="50" t="s">
        <v>0</v>
      </c>
      <c r="H2" s="50" t="s">
        <v>1</v>
      </c>
      <c r="I2" s="50" t="s">
        <v>13</v>
      </c>
      <c r="J2" s="50" t="s">
        <v>14</v>
      </c>
      <c r="K2" s="50" t="s">
        <v>15</v>
      </c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</row>
    <row r="3" spans="1:30" x14ac:dyDescent="0.15">
      <c r="A3" s="53" t="s">
        <v>214</v>
      </c>
      <c r="B3" s="49" t="s">
        <v>110</v>
      </c>
      <c r="C3" s="54">
        <v>20014</v>
      </c>
      <c r="D3" s="49" t="s">
        <v>108</v>
      </c>
      <c r="E3" s="48" t="str">
        <f>B3&amp;C3&amp;D3</f>
        <v>enemy_habitats_20014.tmp</v>
      </c>
      <c r="F3" s="49" t="s">
        <v>111</v>
      </c>
      <c r="G3" s="50" t="s">
        <v>0</v>
      </c>
      <c r="H3" s="50" t="s">
        <v>1</v>
      </c>
      <c r="I3" s="50" t="s">
        <v>13</v>
      </c>
      <c r="J3" s="50" t="s">
        <v>2</v>
      </c>
      <c r="K3" s="50" t="s">
        <v>3</v>
      </c>
      <c r="L3" s="50" t="s">
        <v>47</v>
      </c>
      <c r="M3" s="50" t="s">
        <v>49</v>
      </c>
      <c r="N3" s="50" t="s">
        <v>51</v>
      </c>
      <c r="O3" s="50" t="s">
        <v>22</v>
      </c>
      <c r="P3" s="50" t="s">
        <v>5</v>
      </c>
      <c r="Q3" s="50" t="s">
        <v>6</v>
      </c>
      <c r="R3" s="50" t="s">
        <v>7</v>
      </c>
      <c r="S3" s="50" t="s">
        <v>8</v>
      </c>
      <c r="T3" s="50" t="s">
        <v>9</v>
      </c>
      <c r="U3" s="50" t="s">
        <v>10</v>
      </c>
      <c r="V3" s="50" t="s">
        <v>11</v>
      </c>
      <c r="W3" s="50" t="s">
        <v>12</v>
      </c>
      <c r="X3" s="50" t="s">
        <v>37</v>
      </c>
      <c r="Y3" s="50" t="s">
        <v>39</v>
      </c>
      <c r="Z3" s="50" t="s">
        <v>41</v>
      </c>
      <c r="AA3" s="50" t="s">
        <v>43</v>
      </c>
      <c r="AB3" s="50" t="s">
        <v>45</v>
      </c>
      <c r="AC3" s="50" t="s">
        <v>54</v>
      </c>
      <c r="AD3" s="50" t="s">
        <v>179</v>
      </c>
    </row>
    <row r="4" spans="1:30" x14ac:dyDescent="0.15">
      <c r="A4" s="53" t="s">
        <v>214</v>
      </c>
      <c r="B4" s="49" t="s">
        <v>112</v>
      </c>
      <c r="C4" s="54">
        <v>20014</v>
      </c>
      <c r="D4" s="49" t="s">
        <v>108</v>
      </c>
      <c r="E4" s="48" t="str">
        <f>B4&amp;C4&amp;D4</f>
        <v>enemy_habitat_S_20014.tmp</v>
      </c>
      <c r="F4" s="49" t="s">
        <v>113</v>
      </c>
      <c r="G4" s="50" t="s">
        <v>0</v>
      </c>
      <c r="H4" s="50" t="s">
        <v>1</v>
      </c>
      <c r="I4" s="50" t="s">
        <v>13</v>
      </c>
      <c r="J4" s="50" t="s">
        <v>54</v>
      </c>
      <c r="K4" s="50" t="s">
        <v>55</v>
      </c>
      <c r="L4" s="50" t="s">
        <v>56</v>
      </c>
      <c r="M4" s="50" t="s">
        <v>57</v>
      </c>
      <c r="N4" s="50" t="s">
        <v>58</v>
      </c>
      <c r="O4" s="50" t="s">
        <v>59</v>
      </c>
      <c r="P4" s="50" t="s">
        <v>48</v>
      </c>
      <c r="Q4" s="50" t="s">
        <v>50</v>
      </c>
      <c r="R4" s="50" t="s">
        <v>52</v>
      </c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</row>
    <row r="5" spans="1:30" x14ac:dyDescent="0.15">
      <c r="A5" s="53" t="s">
        <v>214</v>
      </c>
      <c r="B5" s="49" t="s">
        <v>114</v>
      </c>
      <c r="C5" s="54">
        <v>20014</v>
      </c>
      <c r="D5" s="49" t="s">
        <v>108</v>
      </c>
      <c r="E5" s="48" t="str">
        <f>B5&amp;C5&amp;D5</f>
        <v>enemy_skill_sets_20014.tmp</v>
      </c>
      <c r="F5" s="49" t="s">
        <v>115</v>
      </c>
      <c r="G5" s="51" t="s">
        <v>22</v>
      </c>
      <c r="H5" s="51" t="s">
        <v>100</v>
      </c>
      <c r="I5" s="51" t="s">
        <v>95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</row>
    <row r="6" spans="1:30" x14ac:dyDescent="0.15">
      <c r="A6" s="53" t="s">
        <v>214</v>
      </c>
      <c r="B6" s="49" t="s">
        <v>116</v>
      </c>
      <c r="C6" s="54">
        <v>20014</v>
      </c>
      <c r="D6" s="49" t="s">
        <v>117</v>
      </c>
      <c r="E6" s="48" t="str">
        <f t="shared" ref="E6:E10" si="0">B6&amp;C6&amp;D6</f>
        <v>enemy_skills_tmp_20014.tmp</v>
      </c>
      <c r="F6" s="49" t="s">
        <v>91</v>
      </c>
      <c r="G6" s="50" t="s">
        <v>79</v>
      </c>
      <c r="H6" s="50" t="s">
        <v>80</v>
      </c>
      <c r="I6" s="50" t="s">
        <v>81</v>
      </c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</row>
    <row r="7" spans="1:30" x14ac:dyDescent="0.15">
      <c r="A7" s="53" t="s">
        <v>214</v>
      </c>
      <c r="B7" s="49" t="s">
        <v>118</v>
      </c>
      <c r="C7" s="54">
        <v>20014</v>
      </c>
      <c r="D7" s="49" t="s">
        <v>108</v>
      </c>
      <c r="E7" s="48" t="str">
        <f>B7&amp;C7&amp;D7</f>
        <v>enemy_skills_i18n_20014.tmp</v>
      </c>
      <c r="F7" s="49" t="s">
        <v>119</v>
      </c>
      <c r="G7" s="50" t="s">
        <v>79</v>
      </c>
      <c r="H7" s="50" t="s">
        <v>92</v>
      </c>
      <c r="I7" s="50" t="s">
        <v>93</v>
      </c>
      <c r="J7" s="50" t="s">
        <v>94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</row>
    <row r="8" spans="1:30" x14ac:dyDescent="0.15">
      <c r="A8" s="53" t="s">
        <v>214</v>
      </c>
      <c r="B8" s="49" t="s">
        <v>120</v>
      </c>
      <c r="C8" s="54">
        <v>20014</v>
      </c>
      <c r="D8" s="49" t="s">
        <v>121</v>
      </c>
      <c r="E8" s="48" t="str">
        <f t="shared" si="0"/>
        <v>enemy_skill_triggers_20014.tmp</v>
      </c>
      <c r="F8" s="49" t="s">
        <v>122</v>
      </c>
      <c r="G8" s="50" t="s">
        <v>95</v>
      </c>
      <c r="H8" s="50" t="s">
        <v>96</v>
      </c>
      <c r="I8" s="50" t="s">
        <v>97</v>
      </c>
      <c r="J8" s="50" t="s">
        <v>98</v>
      </c>
      <c r="K8" s="50" t="s">
        <v>123</v>
      </c>
      <c r="L8" s="50" t="s">
        <v>99</v>
      </c>
      <c r="M8" s="50" t="s">
        <v>124</v>
      </c>
      <c r="N8" s="50" t="s">
        <v>125</v>
      </c>
      <c r="O8" s="50" t="s">
        <v>126</v>
      </c>
      <c r="P8" s="50" t="s">
        <v>67</v>
      </c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</row>
    <row r="9" spans="1:30" x14ac:dyDescent="0.15">
      <c r="A9" s="53" t="s">
        <v>214</v>
      </c>
      <c r="B9" s="59" t="s">
        <v>178</v>
      </c>
      <c r="C9" s="54">
        <v>20014</v>
      </c>
      <c r="D9" s="59" t="s">
        <v>172</v>
      </c>
      <c r="E9" s="60" t="str">
        <f t="shared" si="0"/>
        <v>stage_bug_bonuses_20014.tmp</v>
      </c>
      <c r="F9" s="59" t="s">
        <v>173</v>
      </c>
      <c r="G9" s="56" t="s">
        <v>151</v>
      </c>
      <c r="H9" s="56" t="s">
        <v>174</v>
      </c>
      <c r="I9" s="56" t="s">
        <v>175</v>
      </c>
      <c r="J9" s="58" t="s">
        <v>176</v>
      </c>
      <c r="K9" s="56" t="s">
        <v>177</v>
      </c>
      <c r="L9" s="56" t="s">
        <v>157</v>
      </c>
      <c r="M9" s="56" t="s">
        <v>158</v>
      </c>
      <c r="N9" s="56" t="s">
        <v>159</v>
      </c>
      <c r="O9" s="56" t="s">
        <v>160</v>
      </c>
      <c r="P9" s="56" t="s">
        <v>161</v>
      </c>
      <c r="Q9" s="56" t="s">
        <v>162</v>
      </c>
      <c r="R9" s="56" t="s">
        <v>163</v>
      </c>
      <c r="S9" s="56" t="s">
        <v>164</v>
      </c>
      <c r="T9" s="56" t="s">
        <v>165</v>
      </c>
      <c r="U9" s="56" t="s">
        <v>166</v>
      </c>
      <c r="V9" s="56" t="s">
        <v>167</v>
      </c>
      <c r="W9" s="56" t="s">
        <v>168</v>
      </c>
    </row>
    <row r="10" spans="1:30" s="67" customFormat="1" x14ac:dyDescent="0.15">
      <c r="A10" s="53" t="s">
        <v>214</v>
      </c>
      <c r="B10" s="59" t="s">
        <v>202</v>
      </c>
      <c r="C10" s="54">
        <v>20014</v>
      </c>
      <c r="D10" s="59" t="s">
        <v>181</v>
      </c>
      <c r="E10" s="60" t="str">
        <f t="shared" si="0"/>
        <v>stage_hints_data_c_20014.tmp</v>
      </c>
      <c r="F10" s="59" t="s">
        <v>210</v>
      </c>
      <c r="G10" s="64" t="s">
        <v>182</v>
      </c>
      <c r="H10" s="64" t="s">
        <v>174</v>
      </c>
      <c r="I10" s="65" t="s">
        <v>183</v>
      </c>
      <c r="J10" s="58" t="s">
        <v>184</v>
      </c>
      <c r="K10" s="66" t="s">
        <v>185</v>
      </c>
    </row>
    <row r="11" spans="1:30" s="67" customFormat="1" x14ac:dyDescent="0.15">
      <c r="A11" s="53" t="s">
        <v>214</v>
      </c>
      <c r="B11" s="59" t="s">
        <v>203</v>
      </c>
      <c r="C11" s="54">
        <v>20014</v>
      </c>
      <c r="D11" s="59" t="s">
        <v>172</v>
      </c>
      <c r="E11" s="60" t="str">
        <f t="shared" ref="E11:E12" si="1">B11&amp;C11&amp;D11</f>
        <v>stage_hints_data_f_20014.tmp</v>
      </c>
      <c r="F11" s="59" t="s">
        <v>212</v>
      </c>
      <c r="G11" s="64" t="s">
        <v>182</v>
      </c>
      <c r="H11" s="64" t="s">
        <v>174</v>
      </c>
      <c r="I11" s="65" t="s">
        <v>183</v>
      </c>
      <c r="J11" s="58" t="s">
        <v>184</v>
      </c>
      <c r="K11" s="66" t="s">
        <v>185</v>
      </c>
    </row>
    <row r="12" spans="1:30" s="67" customFormat="1" x14ac:dyDescent="0.15">
      <c r="A12" s="53" t="s">
        <v>214</v>
      </c>
      <c r="B12" s="59" t="s">
        <v>204</v>
      </c>
      <c r="C12" s="54">
        <v>20014</v>
      </c>
      <c r="D12" s="59" t="s">
        <v>172</v>
      </c>
      <c r="E12" s="60" t="str">
        <f t="shared" si="1"/>
        <v>stage_hints_i18n_20014.tmp</v>
      </c>
      <c r="F12" s="59" t="s">
        <v>213</v>
      </c>
      <c r="G12" s="65" t="s">
        <v>205</v>
      </c>
      <c r="H12" s="86" t="s">
        <v>206</v>
      </c>
      <c r="I12" s="64" t="s">
        <v>207</v>
      </c>
      <c r="J12" s="87" t="s">
        <v>208</v>
      </c>
      <c r="K12" s="66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K24" sqref="K24"/>
    </sheetView>
  </sheetViews>
  <sheetFormatPr baseColWidth="12" defaultColWidth="13" defaultRowHeight="21" customHeight="1" outlineLevelCol="1" x14ac:dyDescent="0.15"/>
  <cols>
    <col min="1" max="1" width="8.83203125" style="15" bestFit="1" customWidth="1"/>
    <col min="2" max="2" width="5" style="15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5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2" t="s">
        <v>30</v>
      </c>
      <c r="B1" s="12" t="s">
        <v>36</v>
      </c>
      <c r="C1" s="115" t="s">
        <v>0</v>
      </c>
      <c r="D1" s="92" t="s">
        <v>18</v>
      </c>
      <c r="E1" s="92" t="s">
        <v>33</v>
      </c>
      <c r="F1" s="115" t="s">
        <v>1</v>
      </c>
      <c r="G1" s="91" t="s">
        <v>32</v>
      </c>
      <c r="H1" s="92" t="s">
        <v>34</v>
      </c>
      <c r="I1" s="115" t="s">
        <v>13</v>
      </c>
      <c r="J1" s="115" t="s">
        <v>14</v>
      </c>
      <c r="K1" s="115" t="s">
        <v>15</v>
      </c>
    </row>
    <row r="2" spans="1:11" ht="21" customHeight="1" thickBot="1" x14ac:dyDescent="0.2">
      <c r="A2" s="96" t="str">
        <f>G2&amp;"-"&amp;I2</f>
        <v>20014_1-1</v>
      </c>
      <c r="B2" s="97" t="str">
        <f>IF(COUNTIF(enemy_habitats!$H:$H,A2),"OK","NG")</f>
        <v>OK</v>
      </c>
      <c r="C2" s="98">
        <v>20014</v>
      </c>
      <c r="D2" s="99" t="str">
        <f ca="1">VLOOKUP($C2,OFFSET([2]quests!$A$1,0,0,COUNTA([2]quests!$A:$A),MATCH(D$1,[2]quests!$1:$1,0)-MATCH($C$1,[2]quests!$1:$1,0)+1),MATCH(D$1,[2]quests!$1:$1,0)-MATCH($C$1,[2]quests!$1:$1,0)+1,FALSE)</f>
        <v>魅了する歌声</v>
      </c>
      <c r="E2" s="99" t="str">
        <f ca="1">VLOOKUP($C2,OFFSET([2]quests!$A$1,0,0,COUNTA([2]quests!$A:$A),MATCH(E$1,[2]quests!$1:$1,0)-MATCH($C$1,[2]quests!$1:$1,0)+1),MATCH(E$1,[2]quests!$1:$1,0)-MATCH($C$1,[2]quests!$1:$1,0)+1,FALSE)</f>
        <v>天使と悪魔編1</v>
      </c>
      <c r="F2" s="100">
        <v>1</v>
      </c>
      <c r="G2" s="199" t="str">
        <f>C2&amp;"_"&amp;F2</f>
        <v>20014_1</v>
      </c>
      <c r="H2" s="204" t="str">
        <f ca="1">VLOOKUP($G2,OFFSET([2]stages!$A$1,0,0,COUNTA([2]stages!$A:$A),MATCH(H$1,[2]stages!$2:$2,0)-MATCH($G$1,[2]stages!$2:$2,0)+1),MATCH(H$1,[2]stages!$2:$2,0)-MATCH($G$1,[2]stages!$2:$2,0)+1,FALSE)</f>
        <v>【初級】魅了する歌声</v>
      </c>
      <c r="I2" s="100">
        <v>1</v>
      </c>
      <c r="J2" s="102">
        <v>60</v>
      </c>
      <c r="K2" s="103">
        <v>60</v>
      </c>
    </row>
    <row r="3" spans="1:11" ht="21" customHeight="1" thickBot="1" x14ac:dyDescent="0.2">
      <c r="A3" s="104" t="str">
        <f t="shared" ref="A3:A6" si="0">G3&amp;"-"&amp;I3</f>
        <v>20014_1-2</v>
      </c>
      <c r="B3" s="105" t="str">
        <f>IF(COUNTIF(enemy_habitats!$H:$H,A3),"OK","NG")</f>
        <v>OK</v>
      </c>
      <c r="C3" s="98">
        <v>20014</v>
      </c>
      <c r="D3" s="14" t="str">
        <f ca="1">VLOOKUP($C3,OFFSET([2]quests!$A$1,0,0,COUNTA([2]quests!$A:$A),MATCH(D$1,[2]quests!$1:$1,0)-MATCH($C$1,[2]quests!$1:$1,0)+1),MATCH(D$1,[2]quests!$1:$1,0)-MATCH($C$1,[2]quests!$1:$1,0)+1,FALSE)</f>
        <v>魅了する歌声</v>
      </c>
      <c r="E3" s="14" t="str">
        <f ca="1">VLOOKUP($C3,OFFSET([2]quests!$A$1,0,0,COUNTA([2]quests!$A:$A),MATCH(E$1,[2]quests!$1:$1,0)-MATCH($C$1,[2]quests!$1:$1,0)+1),MATCH(E$1,[2]quests!$1:$1,0)-MATCH($C$1,[2]quests!$1:$1,0)+1,FALSE)</f>
        <v>天使と悪魔編1</v>
      </c>
      <c r="F3" s="107">
        <v>1</v>
      </c>
      <c r="G3" s="200" t="str">
        <f t="shared" ref="G3:G6" si="1">C3&amp;"_"&amp;F3</f>
        <v>20014_1</v>
      </c>
      <c r="H3" s="205" t="str">
        <f ca="1">VLOOKUP($G3,OFFSET([2]stages!$A$1,0,0,COUNTA([2]stages!$A:$A),MATCH(H$1,[2]stages!$2:$2,0)-MATCH($G$1,[2]stages!$2:$2,0)+1),MATCH(H$1,[2]stages!$2:$2,0)-MATCH($G$1,[2]stages!$2:$2,0)+1,FALSE)</f>
        <v>【初級】魅了する歌声</v>
      </c>
      <c r="I3" s="107">
        <v>2</v>
      </c>
      <c r="J3" s="30">
        <v>60</v>
      </c>
      <c r="K3" s="108">
        <v>60</v>
      </c>
    </row>
    <row r="4" spans="1:11" ht="21" customHeight="1" thickBot="1" x14ac:dyDescent="0.2">
      <c r="A4" s="104" t="str">
        <f t="shared" si="0"/>
        <v>20014_1-3</v>
      </c>
      <c r="B4" s="105" t="str">
        <f>IF(COUNTIF(enemy_habitats!$H:$H,A4),"OK","NG")</f>
        <v>OK</v>
      </c>
      <c r="C4" s="98">
        <v>20014</v>
      </c>
      <c r="D4" s="14" t="str">
        <f ca="1">VLOOKUP($C4,OFFSET([2]quests!$A$1,0,0,COUNTA([2]quests!$A:$A),MATCH(D$1,[2]quests!$1:$1,0)-MATCH($C$1,[2]quests!$1:$1,0)+1),MATCH(D$1,[2]quests!$1:$1,0)-MATCH($C$1,[2]quests!$1:$1,0)+1,FALSE)</f>
        <v>魅了する歌声</v>
      </c>
      <c r="E4" s="14" t="str">
        <f ca="1">VLOOKUP($C4,OFFSET([2]quests!$A$1,0,0,COUNTA([2]quests!$A:$A),MATCH(E$1,[2]quests!$1:$1,0)-MATCH($C$1,[2]quests!$1:$1,0)+1),MATCH(E$1,[2]quests!$1:$1,0)-MATCH($C$1,[2]quests!$1:$1,0)+1,FALSE)</f>
        <v>天使と悪魔編1</v>
      </c>
      <c r="F4" s="107">
        <v>1</v>
      </c>
      <c r="G4" s="200" t="str">
        <f t="shared" si="1"/>
        <v>20014_1</v>
      </c>
      <c r="H4" s="205" t="str">
        <f ca="1">VLOOKUP($G4,OFFSET([2]stages!$A$1,0,0,COUNTA([2]stages!$A:$A),MATCH(H$1,[2]stages!$2:$2,0)-MATCH($G$1,[2]stages!$2:$2,0)+1),MATCH(H$1,[2]stages!$2:$2,0)-MATCH($G$1,[2]stages!$2:$2,0)+1,FALSE)</f>
        <v>【初級】魅了する歌声</v>
      </c>
      <c r="I4" s="107">
        <v>3</v>
      </c>
      <c r="J4" s="30">
        <v>60</v>
      </c>
      <c r="K4" s="108">
        <v>60</v>
      </c>
    </row>
    <row r="5" spans="1:11" ht="21" customHeight="1" thickBot="1" x14ac:dyDescent="0.2">
      <c r="A5" s="104" t="str">
        <f t="shared" si="0"/>
        <v>20014_1-4</v>
      </c>
      <c r="B5" s="105" t="str">
        <f>IF(COUNTIF(enemy_habitats!$H:$H,A5),"OK","NG")</f>
        <v>OK</v>
      </c>
      <c r="C5" s="98">
        <v>20014</v>
      </c>
      <c r="D5" s="14" t="str">
        <f ca="1">VLOOKUP($C5,OFFSET([2]quests!$A$1,0,0,COUNTA([2]quests!$A:$A),MATCH(D$1,[2]quests!$1:$1,0)-MATCH($C$1,[2]quests!$1:$1,0)+1),MATCH(D$1,[2]quests!$1:$1,0)-MATCH($C$1,[2]quests!$1:$1,0)+1,FALSE)</f>
        <v>魅了する歌声</v>
      </c>
      <c r="E5" s="14" t="str">
        <f ca="1">VLOOKUP($C5,OFFSET([2]quests!$A$1,0,0,COUNTA([2]quests!$A:$A),MATCH(E$1,[2]quests!$1:$1,0)-MATCH($C$1,[2]quests!$1:$1,0)+1),MATCH(E$1,[2]quests!$1:$1,0)-MATCH($C$1,[2]quests!$1:$1,0)+1,FALSE)</f>
        <v>天使と悪魔編1</v>
      </c>
      <c r="F5" s="107">
        <v>1</v>
      </c>
      <c r="G5" s="200" t="str">
        <f t="shared" si="1"/>
        <v>20014_1</v>
      </c>
      <c r="H5" s="205" t="str">
        <f ca="1">VLOOKUP($G5,OFFSET([2]stages!$A$1,0,0,COUNTA([2]stages!$A:$A),MATCH(H$1,[2]stages!$2:$2,0)-MATCH($G$1,[2]stages!$2:$2,0)+1),MATCH(H$1,[2]stages!$2:$2,0)-MATCH($G$1,[2]stages!$2:$2,0)+1,FALSE)</f>
        <v>【初級】魅了する歌声</v>
      </c>
      <c r="I5" s="107">
        <v>4</v>
      </c>
      <c r="J5" s="30">
        <v>60</v>
      </c>
      <c r="K5" s="108">
        <v>60</v>
      </c>
    </row>
    <row r="6" spans="1:11" ht="21" customHeight="1" thickBot="1" x14ac:dyDescent="0.2">
      <c r="A6" s="104" t="str">
        <f t="shared" si="0"/>
        <v>20014_1-5</v>
      </c>
      <c r="B6" s="105" t="str">
        <f>IF(COUNTIF(enemy_habitats!$H:$H,A6),"OK","NG")</f>
        <v>OK</v>
      </c>
      <c r="C6" s="98">
        <v>20014</v>
      </c>
      <c r="D6" s="89" t="str">
        <f ca="1">VLOOKUP($C6,OFFSET([2]quests!$A$1,0,0,COUNTA([2]quests!$A:$A),MATCH(D$1,[2]quests!$1:$1,0)-MATCH($C$1,[2]quests!$1:$1,0)+1),MATCH(D$1,[2]quests!$1:$1,0)-MATCH($C$1,[2]quests!$1:$1,0)+1,FALSE)</f>
        <v>魅了する歌声</v>
      </c>
      <c r="E6" s="89" t="str">
        <f ca="1">VLOOKUP($C6,OFFSET([2]quests!$A$1,0,0,COUNTA([2]quests!$A:$A),MATCH(E$1,[2]quests!$1:$1,0)-MATCH($C$1,[2]quests!$1:$1,0)+1),MATCH(E$1,[2]quests!$1:$1,0)-MATCH($C$1,[2]quests!$1:$1,0)+1,FALSE)</f>
        <v>天使と悪魔編1</v>
      </c>
      <c r="F6" s="90">
        <v>1</v>
      </c>
      <c r="G6" s="201" t="str">
        <f t="shared" si="1"/>
        <v>20014_1</v>
      </c>
      <c r="H6" s="206" t="str">
        <f ca="1">VLOOKUP($G6,OFFSET([2]stages!$A$1,0,0,COUNTA([2]stages!$A:$A),MATCH(H$1,[2]stages!$2:$2,0)-MATCH($G$1,[2]stages!$2:$2,0)+1),MATCH(H$1,[2]stages!$2:$2,0)-MATCH($G$1,[2]stages!$2:$2,0)+1,FALSE)</f>
        <v>【初級】魅了する歌声</v>
      </c>
      <c r="I6" s="90">
        <v>5</v>
      </c>
      <c r="J6" s="93">
        <v>60</v>
      </c>
      <c r="K6" s="116">
        <v>60</v>
      </c>
    </row>
    <row r="7" spans="1:11" ht="21" customHeight="1" thickBot="1" x14ac:dyDescent="0.2">
      <c r="A7" s="96" t="str">
        <f>G7&amp;"-"&amp;I7</f>
        <v>20014_2-1</v>
      </c>
      <c r="B7" s="97" t="str">
        <f>IF(COUNTIF(enemy_habitats!$H:$H,A7),"OK","NG")</f>
        <v>OK</v>
      </c>
      <c r="C7" s="98">
        <v>20014</v>
      </c>
      <c r="D7" s="99" t="str">
        <f ca="1">VLOOKUP($C7,OFFSET([2]quests!$A$1,0,0,COUNTA([2]quests!$A:$A),MATCH(D$1,[2]quests!$1:$1,0)-MATCH($C$1,[2]quests!$1:$1,0)+1),MATCH(D$1,[2]quests!$1:$1,0)-MATCH($C$1,[2]quests!$1:$1,0)+1,FALSE)</f>
        <v>魅了する歌声</v>
      </c>
      <c r="E7" s="99" t="str">
        <f ca="1">VLOOKUP($C7,OFFSET([2]quests!$A$1,0,0,COUNTA([2]quests!$A:$A),MATCH(E$1,[2]quests!$1:$1,0)-MATCH($C$1,[2]quests!$1:$1,0)+1),MATCH(E$1,[2]quests!$1:$1,0)-MATCH($C$1,[2]quests!$1:$1,0)+1,FALSE)</f>
        <v>天使と悪魔編1</v>
      </c>
      <c r="F7" s="100">
        <v>2</v>
      </c>
      <c r="G7" s="199" t="str">
        <f>C7&amp;"_"&amp;F7</f>
        <v>20014_2</v>
      </c>
      <c r="H7" s="204" t="str">
        <f ca="1">VLOOKUP($G7,OFFSET([2]stages!$A$1,0,0,COUNTA([2]stages!$A:$A),MATCH(H$1,[2]stages!$2:$2,0)-MATCH($G$1,[2]stages!$2:$2,0)+1),MATCH(H$1,[2]stages!$2:$2,0)-MATCH($G$1,[2]stages!$2:$2,0)+1,FALSE)</f>
        <v>【中級】魅了する歌声</v>
      </c>
      <c r="I7" s="100">
        <v>1</v>
      </c>
      <c r="J7" s="102">
        <v>60</v>
      </c>
      <c r="K7" s="103">
        <v>60</v>
      </c>
    </row>
    <row r="8" spans="1:11" ht="21" customHeight="1" thickBot="1" x14ac:dyDescent="0.2">
      <c r="A8" s="104" t="str">
        <f t="shared" ref="A8:A11" si="2">G8&amp;"-"&amp;I8</f>
        <v>20014_2-2</v>
      </c>
      <c r="B8" s="105" t="str">
        <f>IF(COUNTIF(enemy_habitats!$H:$H,A8),"OK","NG")</f>
        <v>OK</v>
      </c>
      <c r="C8" s="98">
        <v>20014</v>
      </c>
      <c r="D8" s="14" t="str">
        <f ca="1">VLOOKUP($C8,OFFSET([2]quests!$A$1,0,0,COUNTA([2]quests!$A:$A),MATCH(D$1,[2]quests!$1:$1,0)-MATCH($C$1,[2]quests!$1:$1,0)+1),MATCH(D$1,[2]quests!$1:$1,0)-MATCH($C$1,[2]quests!$1:$1,0)+1,FALSE)</f>
        <v>魅了する歌声</v>
      </c>
      <c r="E8" s="14" t="str">
        <f ca="1">VLOOKUP($C8,OFFSET([2]quests!$A$1,0,0,COUNTA([2]quests!$A:$A),MATCH(E$1,[2]quests!$1:$1,0)-MATCH($C$1,[2]quests!$1:$1,0)+1),MATCH(E$1,[2]quests!$1:$1,0)-MATCH($C$1,[2]quests!$1:$1,0)+1,FALSE)</f>
        <v>天使と悪魔編1</v>
      </c>
      <c r="F8" s="107">
        <v>2</v>
      </c>
      <c r="G8" s="200" t="str">
        <f t="shared" ref="G8:G11" si="3">C8&amp;"_"&amp;F8</f>
        <v>20014_2</v>
      </c>
      <c r="H8" s="205" t="str">
        <f ca="1">VLOOKUP($G8,OFFSET([2]stages!$A$1,0,0,COUNTA([2]stages!$A:$A),MATCH(H$1,[2]stages!$2:$2,0)-MATCH($G$1,[2]stages!$2:$2,0)+1),MATCH(H$1,[2]stages!$2:$2,0)-MATCH($G$1,[2]stages!$2:$2,0)+1,FALSE)</f>
        <v>【中級】魅了する歌声</v>
      </c>
      <c r="I8" s="107">
        <v>2</v>
      </c>
      <c r="J8" s="30">
        <v>60</v>
      </c>
      <c r="K8" s="108">
        <v>60</v>
      </c>
    </row>
    <row r="9" spans="1:11" ht="21" customHeight="1" thickBot="1" x14ac:dyDescent="0.2">
      <c r="A9" s="104" t="str">
        <f t="shared" si="2"/>
        <v>20014_2-3</v>
      </c>
      <c r="B9" s="105" t="str">
        <f>IF(COUNTIF(enemy_habitats!$H:$H,A9),"OK","NG")</f>
        <v>OK</v>
      </c>
      <c r="C9" s="98">
        <v>20014</v>
      </c>
      <c r="D9" s="14" t="str">
        <f ca="1">VLOOKUP($C9,OFFSET([2]quests!$A$1,0,0,COUNTA([2]quests!$A:$A),MATCH(D$1,[2]quests!$1:$1,0)-MATCH($C$1,[2]quests!$1:$1,0)+1),MATCH(D$1,[2]quests!$1:$1,0)-MATCH($C$1,[2]quests!$1:$1,0)+1,FALSE)</f>
        <v>魅了する歌声</v>
      </c>
      <c r="E9" s="14" t="str">
        <f ca="1">VLOOKUP($C9,OFFSET([2]quests!$A$1,0,0,COUNTA([2]quests!$A:$A),MATCH(E$1,[2]quests!$1:$1,0)-MATCH($C$1,[2]quests!$1:$1,0)+1),MATCH(E$1,[2]quests!$1:$1,0)-MATCH($C$1,[2]quests!$1:$1,0)+1,FALSE)</f>
        <v>天使と悪魔編1</v>
      </c>
      <c r="F9" s="107">
        <v>2</v>
      </c>
      <c r="G9" s="200" t="str">
        <f t="shared" si="3"/>
        <v>20014_2</v>
      </c>
      <c r="H9" s="205" t="str">
        <f ca="1">VLOOKUP($G9,OFFSET([2]stages!$A$1,0,0,COUNTA([2]stages!$A:$A),MATCH(H$1,[2]stages!$2:$2,0)-MATCH($G$1,[2]stages!$2:$2,0)+1),MATCH(H$1,[2]stages!$2:$2,0)-MATCH($G$1,[2]stages!$2:$2,0)+1,FALSE)</f>
        <v>【中級】魅了する歌声</v>
      </c>
      <c r="I9" s="107">
        <v>3</v>
      </c>
      <c r="J9" s="30">
        <v>60</v>
      </c>
      <c r="K9" s="108">
        <v>60</v>
      </c>
    </row>
    <row r="10" spans="1:11" ht="21" customHeight="1" thickBot="1" x14ac:dyDescent="0.2">
      <c r="A10" s="104" t="str">
        <f t="shared" si="2"/>
        <v>20014_2-4</v>
      </c>
      <c r="B10" s="105" t="str">
        <f>IF(COUNTIF(enemy_habitats!$H:$H,A10),"OK","NG")</f>
        <v>OK</v>
      </c>
      <c r="C10" s="98">
        <v>20014</v>
      </c>
      <c r="D10" s="14" t="str">
        <f ca="1">VLOOKUP($C10,OFFSET([2]quests!$A$1,0,0,COUNTA([2]quests!$A:$A),MATCH(D$1,[2]quests!$1:$1,0)-MATCH($C$1,[2]quests!$1:$1,0)+1),MATCH(D$1,[2]quests!$1:$1,0)-MATCH($C$1,[2]quests!$1:$1,0)+1,FALSE)</f>
        <v>魅了する歌声</v>
      </c>
      <c r="E10" s="14" t="str">
        <f ca="1">VLOOKUP($C10,OFFSET([2]quests!$A$1,0,0,COUNTA([2]quests!$A:$A),MATCH(E$1,[2]quests!$1:$1,0)-MATCH($C$1,[2]quests!$1:$1,0)+1),MATCH(E$1,[2]quests!$1:$1,0)-MATCH($C$1,[2]quests!$1:$1,0)+1,FALSE)</f>
        <v>天使と悪魔編1</v>
      </c>
      <c r="F10" s="107">
        <v>2</v>
      </c>
      <c r="G10" s="200" t="str">
        <f t="shared" si="3"/>
        <v>20014_2</v>
      </c>
      <c r="H10" s="205" t="str">
        <f ca="1">VLOOKUP($G10,OFFSET([2]stages!$A$1,0,0,COUNTA([2]stages!$A:$A),MATCH(H$1,[2]stages!$2:$2,0)-MATCH($G$1,[2]stages!$2:$2,0)+1),MATCH(H$1,[2]stages!$2:$2,0)-MATCH($G$1,[2]stages!$2:$2,0)+1,FALSE)</f>
        <v>【中級】魅了する歌声</v>
      </c>
      <c r="I10" s="107">
        <v>4</v>
      </c>
      <c r="J10" s="30">
        <v>60</v>
      </c>
      <c r="K10" s="108">
        <v>60</v>
      </c>
    </row>
    <row r="11" spans="1:11" ht="21" customHeight="1" thickBot="1" x14ac:dyDescent="0.2">
      <c r="A11" s="109" t="str">
        <f t="shared" si="2"/>
        <v>20014_2-5</v>
      </c>
      <c r="B11" s="110" t="str">
        <f>IF(COUNTIF(enemy_habitats!$H:$H,A11),"OK","NG")</f>
        <v>OK</v>
      </c>
      <c r="C11" s="98">
        <v>20014</v>
      </c>
      <c r="D11" s="111" t="str">
        <f ca="1">VLOOKUP($C11,OFFSET([2]quests!$A$1,0,0,COUNTA([2]quests!$A:$A),MATCH(D$1,[2]quests!$1:$1,0)-MATCH($C$1,[2]quests!$1:$1,0)+1),MATCH(D$1,[2]quests!$1:$1,0)-MATCH($C$1,[2]quests!$1:$1,0)+1,FALSE)</f>
        <v>魅了する歌声</v>
      </c>
      <c r="E11" s="111" t="str">
        <f ca="1">VLOOKUP($C11,OFFSET([2]quests!$A$1,0,0,COUNTA([2]quests!$A:$A),MATCH(E$1,[2]quests!$1:$1,0)-MATCH($C$1,[2]quests!$1:$1,0)+1),MATCH(E$1,[2]quests!$1:$1,0)-MATCH($C$1,[2]quests!$1:$1,0)+1,FALSE)</f>
        <v>天使と悪魔編1</v>
      </c>
      <c r="F11" s="112">
        <v>2</v>
      </c>
      <c r="G11" s="202" t="str">
        <f t="shared" si="3"/>
        <v>20014_2</v>
      </c>
      <c r="H11" s="207" t="str">
        <f ca="1">VLOOKUP($G11,OFFSET([2]stages!$A$1,0,0,COUNTA([2]stages!$A:$A),MATCH(H$1,[2]stages!$2:$2,0)-MATCH($G$1,[2]stages!$2:$2,0)+1),MATCH(H$1,[2]stages!$2:$2,0)-MATCH($G$1,[2]stages!$2:$2,0)+1,FALSE)</f>
        <v>【中級】魅了する歌声</v>
      </c>
      <c r="I11" s="112">
        <v>5</v>
      </c>
      <c r="J11" s="93">
        <v>60</v>
      </c>
      <c r="K11" s="116">
        <v>60</v>
      </c>
    </row>
    <row r="12" spans="1:11" ht="21" customHeight="1" thickBot="1" x14ac:dyDescent="0.2">
      <c r="A12" s="104" t="str">
        <f>G12&amp;"-"&amp;I12</f>
        <v>20014_3-1</v>
      </c>
      <c r="B12" s="105" t="str">
        <f>IF(COUNTIF(enemy_habitats!$H:$H,A12),"OK","NG")</f>
        <v>OK</v>
      </c>
      <c r="C12" s="98">
        <v>20014</v>
      </c>
      <c r="D12" s="94" t="str">
        <f ca="1">VLOOKUP($C12,OFFSET([2]quests!$A$1,0,0,COUNTA([2]quests!$A:$A),MATCH(D$1,[2]quests!$1:$1,0)-MATCH($C$1,[2]quests!$1:$1,0)+1),MATCH(D$1,[2]quests!$1:$1,0)-MATCH($C$1,[2]quests!$1:$1,0)+1,FALSE)</f>
        <v>魅了する歌声</v>
      </c>
      <c r="E12" s="94" t="str">
        <f ca="1">VLOOKUP($C12,OFFSET([2]quests!$A$1,0,0,COUNTA([2]quests!$A:$A),MATCH(E$1,[2]quests!$1:$1,0)-MATCH($C$1,[2]quests!$1:$1,0)+1),MATCH(E$1,[2]quests!$1:$1,0)-MATCH($C$1,[2]quests!$1:$1,0)+1,FALSE)</f>
        <v>天使と悪魔編1</v>
      </c>
      <c r="F12" s="95">
        <v>3</v>
      </c>
      <c r="G12" s="203" t="str">
        <f>C12&amp;"_"&amp;F12</f>
        <v>20014_3</v>
      </c>
      <c r="H12" s="208" t="str">
        <f ca="1">VLOOKUP($G12,OFFSET([2]stages!$A$1,0,0,COUNTA([2]stages!$A:$A),MATCH(H$1,[2]stages!$2:$2,0)-MATCH($G$1,[2]stages!$2:$2,0)+1),MATCH(H$1,[2]stages!$2:$2,0)-MATCH($G$1,[2]stages!$2:$2,0)+1,FALSE)</f>
        <v>【上級】魅了する歌声</v>
      </c>
      <c r="I12" s="95">
        <v>1</v>
      </c>
      <c r="J12" s="195">
        <v>60</v>
      </c>
      <c r="K12" s="196">
        <v>60</v>
      </c>
    </row>
    <row r="13" spans="1:11" ht="21" customHeight="1" thickBot="1" x14ac:dyDescent="0.2">
      <c r="A13" s="104" t="str">
        <f t="shared" ref="A13:A16" si="4">G13&amp;"-"&amp;I13</f>
        <v>20014_3-2</v>
      </c>
      <c r="B13" s="105" t="str">
        <f>IF(COUNTIF(enemy_habitats!$H:$H,A13),"OK","NG")</f>
        <v>OK</v>
      </c>
      <c r="C13" s="98">
        <v>20014</v>
      </c>
      <c r="D13" s="14" t="str">
        <f ca="1">VLOOKUP($C13,OFFSET([2]quests!$A$1,0,0,COUNTA([2]quests!$A:$A),MATCH(D$1,[2]quests!$1:$1,0)-MATCH($C$1,[2]quests!$1:$1,0)+1),MATCH(D$1,[2]quests!$1:$1,0)-MATCH($C$1,[2]quests!$1:$1,0)+1,FALSE)</f>
        <v>魅了する歌声</v>
      </c>
      <c r="E13" s="14" t="str">
        <f ca="1">VLOOKUP($C13,OFFSET([2]quests!$A$1,0,0,COUNTA([2]quests!$A:$A),MATCH(E$1,[2]quests!$1:$1,0)-MATCH($C$1,[2]quests!$1:$1,0)+1),MATCH(E$1,[2]quests!$1:$1,0)-MATCH($C$1,[2]quests!$1:$1,0)+1,FALSE)</f>
        <v>天使と悪魔編1</v>
      </c>
      <c r="F13" s="107">
        <v>3</v>
      </c>
      <c r="G13" s="200" t="str">
        <f t="shared" ref="G13:G16" si="5">C13&amp;"_"&amp;F13</f>
        <v>20014_3</v>
      </c>
      <c r="H13" s="205" t="str">
        <f ca="1">VLOOKUP($G13,OFFSET([2]stages!$A$1,0,0,COUNTA([2]stages!$A:$A),MATCH(H$1,[2]stages!$2:$2,0)-MATCH($G$1,[2]stages!$2:$2,0)+1),MATCH(H$1,[2]stages!$2:$2,0)-MATCH($G$1,[2]stages!$2:$2,0)+1,FALSE)</f>
        <v>【上級】魅了する歌声</v>
      </c>
      <c r="I13" s="107">
        <v>2</v>
      </c>
      <c r="J13" s="197">
        <v>60</v>
      </c>
      <c r="K13" s="198">
        <v>60</v>
      </c>
    </row>
    <row r="14" spans="1:11" ht="21" customHeight="1" thickBot="1" x14ac:dyDescent="0.2">
      <c r="A14" s="104" t="str">
        <f t="shared" si="4"/>
        <v>20014_3-3</v>
      </c>
      <c r="B14" s="105" t="str">
        <f>IF(COUNTIF(enemy_habitats!$H:$H,A14),"OK","NG")</f>
        <v>OK</v>
      </c>
      <c r="C14" s="98">
        <v>20014</v>
      </c>
      <c r="D14" s="14" t="str">
        <f ca="1">VLOOKUP($C14,OFFSET([2]quests!$A$1,0,0,COUNTA([2]quests!$A:$A),MATCH(D$1,[2]quests!$1:$1,0)-MATCH($C$1,[2]quests!$1:$1,0)+1),MATCH(D$1,[2]quests!$1:$1,0)-MATCH($C$1,[2]quests!$1:$1,0)+1,FALSE)</f>
        <v>魅了する歌声</v>
      </c>
      <c r="E14" s="14" t="str">
        <f ca="1">VLOOKUP($C14,OFFSET([2]quests!$A$1,0,0,COUNTA([2]quests!$A:$A),MATCH(E$1,[2]quests!$1:$1,0)-MATCH($C$1,[2]quests!$1:$1,0)+1),MATCH(E$1,[2]quests!$1:$1,0)-MATCH($C$1,[2]quests!$1:$1,0)+1,FALSE)</f>
        <v>天使と悪魔編1</v>
      </c>
      <c r="F14" s="107">
        <v>3</v>
      </c>
      <c r="G14" s="200" t="str">
        <f t="shared" si="5"/>
        <v>20014_3</v>
      </c>
      <c r="H14" s="205" t="str">
        <f ca="1">VLOOKUP($G14,OFFSET([2]stages!$A$1,0,0,COUNTA([2]stages!$A:$A),MATCH(H$1,[2]stages!$2:$2,0)-MATCH($G$1,[2]stages!$2:$2,0)+1),MATCH(H$1,[2]stages!$2:$2,0)-MATCH($G$1,[2]stages!$2:$2,0)+1,FALSE)</f>
        <v>【上級】魅了する歌声</v>
      </c>
      <c r="I14" s="107">
        <v>3</v>
      </c>
      <c r="J14" s="197">
        <v>60</v>
      </c>
      <c r="K14" s="198">
        <v>60</v>
      </c>
    </row>
    <row r="15" spans="1:11" ht="21" customHeight="1" thickBot="1" x14ac:dyDescent="0.2">
      <c r="A15" s="104" t="str">
        <f t="shared" si="4"/>
        <v>20014_3-4</v>
      </c>
      <c r="B15" s="105" t="str">
        <f>IF(COUNTIF(enemy_habitats!$H:$H,A15),"OK","NG")</f>
        <v>OK</v>
      </c>
      <c r="C15" s="98">
        <v>20014</v>
      </c>
      <c r="D15" s="14" t="str">
        <f ca="1">VLOOKUP($C15,OFFSET([2]quests!$A$1,0,0,COUNTA([2]quests!$A:$A),MATCH(D$1,[2]quests!$1:$1,0)-MATCH($C$1,[2]quests!$1:$1,0)+1),MATCH(D$1,[2]quests!$1:$1,0)-MATCH($C$1,[2]quests!$1:$1,0)+1,FALSE)</f>
        <v>魅了する歌声</v>
      </c>
      <c r="E15" s="14" t="str">
        <f ca="1">VLOOKUP($C15,OFFSET([2]quests!$A$1,0,0,COUNTA([2]quests!$A:$A),MATCH(E$1,[2]quests!$1:$1,0)-MATCH($C$1,[2]quests!$1:$1,0)+1),MATCH(E$1,[2]quests!$1:$1,0)-MATCH($C$1,[2]quests!$1:$1,0)+1,FALSE)</f>
        <v>天使と悪魔編1</v>
      </c>
      <c r="F15" s="107">
        <v>3</v>
      </c>
      <c r="G15" s="200" t="str">
        <f t="shared" si="5"/>
        <v>20014_3</v>
      </c>
      <c r="H15" s="205" t="str">
        <f ca="1">VLOOKUP($G15,OFFSET([2]stages!$A$1,0,0,COUNTA([2]stages!$A:$A),MATCH(H$1,[2]stages!$2:$2,0)-MATCH($G$1,[2]stages!$2:$2,0)+1),MATCH(H$1,[2]stages!$2:$2,0)-MATCH($G$1,[2]stages!$2:$2,0)+1,FALSE)</f>
        <v>【上級】魅了する歌声</v>
      </c>
      <c r="I15" s="107">
        <v>4</v>
      </c>
      <c r="J15" s="197">
        <v>60</v>
      </c>
      <c r="K15" s="198">
        <v>60</v>
      </c>
    </row>
    <row r="16" spans="1:11" ht="21" customHeight="1" thickBot="1" x14ac:dyDescent="0.2">
      <c r="A16" s="109" t="str">
        <f t="shared" si="4"/>
        <v>20014_3-5</v>
      </c>
      <c r="B16" s="110" t="str">
        <f>IF(COUNTIF(enemy_habitats!$H:$H,A16),"OK","NG")</f>
        <v>OK</v>
      </c>
      <c r="C16" s="98">
        <v>20014</v>
      </c>
      <c r="D16" s="111" t="str">
        <f ca="1">VLOOKUP($C16,OFFSET([2]quests!$A$1,0,0,COUNTA([2]quests!$A:$A),MATCH(D$1,[2]quests!$1:$1,0)-MATCH($C$1,[2]quests!$1:$1,0)+1),MATCH(D$1,[2]quests!$1:$1,0)-MATCH($C$1,[2]quests!$1:$1,0)+1,FALSE)</f>
        <v>魅了する歌声</v>
      </c>
      <c r="E16" s="111" t="str">
        <f ca="1">VLOOKUP($C16,OFFSET([2]quests!$A$1,0,0,COUNTA([2]quests!$A:$A),MATCH(E$1,[2]quests!$1:$1,0)-MATCH($C$1,[2]quests!$1:$1,0)+1),MATCH(E$1,[2]quests!$1:$1,0)-MATCH($C$1,[2]quests!$1:$1,0)+1,FALSE)</f>
        <v>天使と悪魔編1</v>
      </c>
      <c r="F16" s="112">
        <v>3</v>
      </c>
      <c r="G16" s="202" t="str">
        <f t="shared" si="5"/>
        <v>20014_3</v>
      </c>
      <c r="H16" s="207" t="str">
        <f ca="1">VLOOKUP($G16,OFFSET([2]stages!$A$1,0,0,COUNTA([2]stages!$A:$A),MATCH(H$1,[2]stages!$2:$2,0)-MATCH($G$1,[2]stages!$2:$2,0)+1),MATCH(H$1,[2]stages!$2:$2,0)-MATCH($G$1,[2]stages!$2:$2,0)+1,FALSE)</f>
        <v>【上級】魅了する歌声</v>
      </c>
      <c r="I16" s="112">
        <v>5</v>
      </c>
      <c r="J16" s="209">
        <v>60</v>
      </c>
      <c r="K16" s="210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7"/>
  <sheetViews>
    <sheetView showGridLines="0" workbookViewId="0">
      <pane xSplit="17" ySplit="1" topLeftCell="AG6" activePane="bottomRight" state="frozen"/>
      <selection pane="topRight" activeCell="N1" sqref="N1"/>
      <selection pane="bottomLeft" activeCell="A2" sqref="A2"/>
      <selection pane="bottomRight" activeCell="AH25" sqref="AH25"/>
    </sheetView>
  </sheetViews>
  <sheetFormatPr baseColWidth="12" defaultColWidth="13" defaultRowHeight="21" customHeight="1" outlineLevelCol="1" x14ac:dyDescent="0.15"/>
  <cols>
    <col min="1" max="1" width="15.83203125" style="15" bestFit="1" customWidth="1"/>
    <col min="2" max="2" width="10.83203125" style="2" bestFit="1" customWidth="1"/>
    <col min="3" max="3" width="10.6640625" style="2" bestFit="1" customWidth="1"/>
    <col min="4" max="4" width="13" style="10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7" bestFit="1" customWidth="1"/>
    <col min="13" max="13" width="18.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9" bestFit="1" customWidth="1" outlineLevel="1"/>
    <col min="30" max="30" width="8" style="10" bestFit="1" customWidth="1" outlineLevel="1"/>
    <col min="31" max="31" width="12" style="10" bestFit="1" customWidth="1" outlineLevel="1"/>
    <col min="32" max="32" width="15" style="8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27" customFormat="1" ht="21" customHeight="1" thickBot="1" x14ac:dyDescent="0.2">
      <c r="A1" s="165" t="s">
        <v>29</v>
      </c>
      <c r="B1" s="166" t="s">
        <v>0</v>
      </c>
      <c r="C1" s="166" t="s">
        <v>1</v>
      </c>
      <c r="D1" s="167" t="s">
        <v>28</v>
      </c>
      <c r="E1" s="167" t="s">
        <v>20</v>
      </c>
      <c r="F1" s="167" t="s">
        <v>20</v>
      </c>
      <c r="G1" s="166" t="s">
        <v>19</v>
      </c>
      <c r="H1" s="167" t="s">
        <v>35</v>
      </c>
      <c r="I1" s="167" t="s">
        <v>14</v>
      </c>
      <c r="J1" s="167" t="s">
        <v>15</v>
      </c>
      <c r="K1" s="168" t="s">
        <v>54</v>
      </c>
      <c r="L1" s="168" t="s">
        <v>2</v>
      </c>
      <c r="M1" s="169" t="s">
        <v>21</v>
      </c>
      <c r="N1" s="167" t="s">
        <v>24</v>
      </c>
      <c r="O1" s="167" t="s">
        <v>23</v>
      </c>
      <c r="P1" s="170" t="s">
        <v>26</v>
      </c>
      <c r="Q1" s="167" t="s">
        <v>25</v>
      </c>
      <c r="R1" s="166" t="s">
        <v>3</v>
      </c>
      <c r="S1" s="166" t="s">
        <v>48</v>
      </c>
      <c r="T1" s="166" t="s">
        <v>50</v>
      </c>
      <c r="U1" s="166" t="s">
        <v>52</v>
      </c>
      <c r="V1" s="167" t="s">
        <v>31</v>
      </c>
      <c r="W1" s="166" t="s">
        <v>4</v>
      </c>
      <c r="X1" s="166" t="s">
        <v>5</v>
      </c>
      <c r="Y1" s="166" t="s">
        <v>6</v>
      </c>
      <c r="Z1" s="166" t="s">
        <v>7</v>
      </c>
      <c r="AA1" s="166" t="s">
        <v>8</v>
      </c>
      <c r="AB1" s="166" t="s">
        <v>9</v>
      </c>
      <c r="AC1" s="171" t="s">
        <v>16</v>
      </c>
      <c r="AD1" s="171" t="s">
        <v>17</v>
      </c>
      <c r="AE1" s="171" t="s">
        <v>27</v>
      </c>
      <c r="AF1" s="166" t="s">
        <v>10</v>
      </c>
      <c r="AG1" s="166" t="s">
        <v>11</v>
      </c>
      <c r="AH1" s="166" t="s">
        <v>12</v>
      </c>
      <c r="AI1" s="166" t="s">
        <v>38</v>
      </c>
      <c r="AJ1" s="166" t="s">
        <v>40</v>
      </c>
      <c r="AK1" s="166" t="s">
        <v>42</v>
      </c>
      <c r="AL1" s="166" t="s">
        <v>44</v>
      </c>
      <c r="AM1" s="166" t="s">
        <v>46</v>
      </c>
      <c r="AN1" s="172" t="s">
        <v>180</v>
      </c>
    </row>
    <row r="2" spans="1:40" ht="21" customHeight="1" x14ac:dyDescent="0.15">
      <c r="A2" s="96" t="str">
        <f>B2&amp;"_"&amp;C2&amp;"-"&amp;G2&amp;"/"&amp;L2&amp;"&lt;lv"&amp;R2&amp;"&gt;s"&amp;AA2</f>
        <v>20014_1-1/146&lt;lv10&gt;s2</v>
      </c>
      <c r="B2" s="173">
        <v>20014</v>
      </c>
      <c r="C2" s="100">
        <v>1</v>
      </c>
      <c r="D2" s="101" t="str">
        <f>B2&amp;"_"&amp;C2</f>
        <v>20014_1</v>
      </c>
      <c r="E2" s="174" t="str">
        <f ca="1">VLOOKUP($B2,OFFSET([2]quests!$A$1,0,0,COUNTA([2]quests!$A:$A),MATCH(E$1,[2]quests!$1:$1,0)-MATCH($B$1,[2]quests!$1:$1,0)+1),MATCH(E$1,[2]quests!$1:$1,0)-MATCH($B$1,[2]quests!$1:$1,0)+1,FALSE)</f>
        <v>魅了する歌声</v>
      </c>
      <c r="F2" s="174" t="str">
        <f ca="1">VLOOKUP($D2,OFFSET([2]stages!$A$1,0,0,COUNTA([2]stages!$A:$A),MATCH(F$1,[2]stages!$2:$2,0)-MATCH($D$1,[2]stages!$2:$2,0)+1),MATCH(F$1,[2]stages!$2:$2,0)-MATCH($D$1,[2]stages!$2:$2,0)+1,FALSE)</f>
        <v>【初級】魅了する歌声</v>
      </c>
      <c r="G2" s="100">
        <v>1</v>
      </c>
      <c r="H2" s="101" t="str">
        <f>B2&amp;"_"&amp;C2&amp;"-"&amp;G2</f>
        <v>20014_1-1</v>
      </c>
      <c r="I2" s="174">
        <f ca="1">VLOOKUP($H2,OFFSET(floors!$A$1,0,0,COUNTA(floors!$A:$A),MATCH(I$1,floors!$1:$1,0)-MATCH($H$1,floors!$1:$1,0)+1),MATCH(I$1,floors!$1:$1,0)-MATCH($H$1,floors!$1:$1,0)+1,FALSE)</f>
        <v>60</v>
      </c>
      <c r="J2" s="174">
        <f ca="1">VLOOKUP($H2,OFFSET(floors!$A$1,0,0,COUNTA(floors!$A:$A),MATCH(J$1,floors!$1:$1,0)-MATCH($H$1,floors!$1:$1,0)+1),MATCH(J$1,floors!$1:$1,0)-MATCH($H$1,floors!$1:$1,0)+1,FALSE)</f>
        <v>60</v>
      </c>
      <c r="K2" s="102" t="s">
        <v>53</v>
      </c>
      <c r="L2" s="175">
        <v>146</v>
      </c>
      <c r="M2" s="176" t="str">
        <f ca="1">VLOOKUP($L2,OFFSET([3]enemies!$A$1,0,0,COUNTA([3]enemies!$A:$A),MATCH(M$1,[3]enemies!$1:$1,0)-MATCH($L$1,[3]enemies!$1:$1,0)+1),MATCH(M$1,[3]enemies!$1:$1,0)-MATCH($L$1,[3]enemies!$1:$1,0)+1,FALSE)</f>
        <v>マーメイド</v>
      </c>
      <c r="N2" s="17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6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6">
        <f ca="1">VLOOKUP($L2,OFFSET([3]enemies!$A$1,0,0,COUNTA([3]enemies!$A:$A),MATCH(Q$1,[3]enemies!$1:$1,0)-MATCH($L$1,[3]enemies!$1:$1,0)+1),MATCH(Q$1,[3]enemies!$1:$1,0)-MATCH($L$1,[3]enemies!$1:$1,0)+1,FALSE)</f>
        <v>20</v>
      </c>
      <c r="R2" s="177">
        <v>10</v>
      </c>
      <c r="S2" s="19">
        <v>0.8</v>
      </c>
      <c r="T2" s="178">
        <v>0.6</v>
      </c>
      <c r="U2" s="177">
        <v>0</v>
      </c>
      <c r="V2" s="17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174">
        <v>20014100</v>
      </c>
      <c r="X2" s="179">
        <v>1</v>
      </c>
      <c r="Y2" s="179">
        <v>100</v>
      </c>
      <c r="Z2" s="179">
        <v>0</v>
      </c>
      <c r="AA2" s="176">
        <v>2</v>
      </c>
      <c r="AB2" s="180">
        <f>L2</f>
        <v>146</v>
      </c>
      <c r="AC2" s="17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マーメイド</v>
      </c>
      <c r="AD2" s="17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17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98">
        <v>1</v>
      </c>
      <c r="AG2" s="180">
        <f ca="1">AD2</f>
        <v>3</v>
      </c>
      <c r="AH2" s="181">
        <v>0</v>
      </c>
      <c r="AI2" s="98">
        <v>0</v>
      </c>
      <c r="AJ2" s="98">
        <v>0</v>
      </c>
      <c r="AK2" s="98">
        <v>0</v>
      </c>
      <c r="AL2" s="98">
        <v>0</v>
      </c>
      <c r="AM2" s="98">
        <v>1</v>
      </c>
      <c r="AN2" s="182">
        <v>1</v>
      </c>
    </row>
    <row r="3" spans="1:40" ht="21" customHeight="1" x14ac:dyDescent="0.15">
      <c r="A3" s="104" t="str">
        <f>B3&amp;"_"&amp;C3&amp;"-"&amp;G3&amp;"/"&amp;L3&amp;"&lt;lv"&amp;R3&amp;"&gt;s"&amp;AA3</f>
        <v>20014_1-1/842&lt;lv10&gt;s2</v>
      </c>
      <c r="B3" s="18">
        <v>20014</v>
      </c>
      <c r="C3" s="107">
        <v>1</v>
      </c>
      <c r="D3" s="11" t="str">
        <f>B3&amp;"_"&amp;C3</f>
        <v>20014_1</v>
      </c>
      <c r="E3" s="3" t="str">
        <f ca="1">VLOOKUP($B3,OFFSET([2]quests!$A$1,0,0,COUNTA([2]quests!$A:$A),MATCH(E$1,[2]quests!$1:$1,0)-MATCH($B$1,[2]quests!$1:$1,0)+1),MATCH(E$1,[2]quests!$1:$1,0)-MATCH($B$1,[2]quests!$1:$1,0)+1,FALSE)</f>
        <v>魅了する歌声</v>
      </c>
      <c r="F3" s="3" t="str">
        <f ca="1">VLOOKUP($D3,OFFSET([2]stages!$A$1,0,0,COUNTA([2]stages!$A:$A),MATCH(F$1,[2]stages!$2:$2,0)-MATCH($D$1,[2]stages!$2:$2,0)+1),MATCH(F$1,[2]stages!$2:$2,0)-MATCH($D$1,[2]stages!$2:$2,0)+1,FALSE)</f>
        <v>【初級】魅了する歌声</v>
      </c>
      <c r="G3" s="107">
        <v>1</v>
      </c>
      <c r="H3" s="11" t="str">
        <f>B3&amp;"_"&amp;C3&amp;"-"&amp;G3</f>
        <v>20014_1-1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0" t="s">
        <v>53</v>
      </c>
      <c r="L3" s="162">
        <v>842</v>
      </c>
      <c r="M3" s="13" t="str">
        <f ca="1">VLOOKUP($L3,OFFSET([3]enemies!$A$1,0,0,COUNTA([3]enemies!$A:$A),MATCH(M$1,[3]enemies!$1:$1,0)-MATCH($L$1,[3]enemies!$1:$1,0)+1),MATCH(M$1,[3]enemies!$1:$1,0)-MATCH($L$1,[3]enemies!$1:$1,0)+1,FALSE)</f>
        <v>セイレーン</v>
      </c>
      <c r="N3" s="13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3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3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3">
        <f ca="1">VLOOKUP($L3,OFFSET([3]enemies!$A$1,0,0,COUNTA([3]enemies!$A:$A),MATCH(Q$1,[3]enemies!$1:$1,0)-MATCH($L$1,[3]enemies!$1:$1,0)+1),MATCH(Q$1,[3]enemies!$1:$1,0)-MATCH($L$1,[3]enemies!$1:$1,0)+1,FALSE)</f>
        <v>30</v>
      </c>
      <c r="R3" s="4">
        <v>10</v>
      </c>
      <c r="S3" s="19">
        <v>1</v>
      </c>
      <c r="T3" s="19">
        <v>0.5</v>
      </c>
      <c r="U3" s="4">
        <v>0</v>
      </c>
      <c r="V3" s="3" t="str">
        <f ca="1">VLOOKUP($W3,OFFSET(enemy_skill_sets!$B$1,0,0,COUNTA(enemy_skill_sets!$B:$B),MATCH(M$1,enemy_skill_sets!$1:$1,0)-MATCH($W$1,enemy_skill_sets!$1:$1,0)+2),MATCH(M$1,enemy_skill_sets!$1:$1,0)-MATCH($W$1,enemy_skill_sets!$1:$1,0)+2,FALSE)</f>
        <v>この戦闘の間 回復パネルの出現率DOWN</v>
      </c>
      <c r="W3" s="3">
        <v>20014101</v>
      </c>
      <c r="X3" s="5">
        <v>1</v>
      </c>
      <c r="Y3" s="5">
        <v>100</v>
      </c>
      <c r="Z3" s="5">
        <v>0</v>
      </c>
      <c r="AA3" s="13">
        <v>2</v>
      </c>
      <c r="AB3" s="163">
        <f>L3</f>
        <v>842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セイレーン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106">
        <v>1</v>
      </c>
      <c r="AG3" s="163">
        <f ca="1">AD3</f>
        <v>4</v>
      </c>
      <c r="AH3" s="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1</v>
      </c>
      <c r="AN3" s="164">
        <v>1</v>
      </c>
    </row>
    <row r="4" spans="1:40" ht="21" customHeight="1" x14ac:dyDescent="0.15">
      <c r="A4" s="104" t="str">
        <f t="shared" ref="A4:A13" si="0">B4&amp;"_"&amp;C4&amp;"-"&amp;G4&amp;"/"&amp;L4&amp;"&lt;lv"&amp;R4&amp;"&gt;s"&amp;AA4</f>
        <v>20014_1-2/71&lt;lv11&gt;s3</v>
      </c>
      <c r="B4" s="18">
        <v>20014</v>
      </c>
      <c r="C4" s="107">
        <v>1</v>
      </c>
      <c r="D4" s="11" t="str">
        <f t="shared" ref="D4:D13" si="1">B4&amp;"_"&amp;C4</f>
        <v>20014_1</v>
      </c>
      <c r="E4" s="3" t="str">
        <f ca="1">VLOOKUP($B4,OFFSET([2]quests!$A$1,0,0,COUNTA([2]quests!$A:$A),MATCH(E$1,[2]quests!$1:$1,0)-MATCH($B$1,[2]quests!$1:$1,0)+1),MATCH(E$1,[2]quests!$1:$1,0)-MATCH($B$1,[2]quests!$1:$1,0)+1,FALSE)</f>
        <v>魅了する歌声</v>
      </c>
      <c r="F4" s="3" t="str">
        <f ca="1">VLOOKUP($D4,OFFSET([2]stages!$A$1,0,0,COUNTA([2]stages!$A:$A),MATCH(F$1,[2]stages!$2:$2,0)-MATCH($D$1,[2]stages!$2:$2,0)+1),MATCH(F$1,[2]stages!$2:$2,0)-MATCH($D$1,[2]stages!$2:$2,0)+1,FALSE)</f>
        <v>【初級】魅了する歌声</v>
      </c>
      <c r="G4" s="107">
        <v>2</v>
      </c>
      <c r="H4" s="11" t="str">
        <f t="shared" ref="H4:H13" si="2">B4&amp;"_"&amp;C4&amp;"-"&amp;G4</f>
        <v>20014_1-2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0" t="s">
        <v>53</v>
      </c>
      <c r="L4" s="162">
        <v>71</v>
      </c>
      <c r="M4" s="13" t="str">
        <f ca="1">VLOOKUP($L4,OFFSET([3]enemies!$A$1,0,0,COUNTA([3]enemies!$A:$A),MATCH(M$1,[3]enemies!$1:$1,0)-MATCH($L$1,[3]enemies!$1:$1,0)+1),MATCH(M$1,[3]enemies!$1:$1,0)-MATCH($L$1,[3]enemies!$1:$1,0)+1,FALSE)</f>
        <v>ダックス</v>
      </c>
      <c r="N4" s="13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3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3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3">
        <f ca="1">VLOOKUP($L4,OFFSET([3]enemies!$A$1,0,0,COUNTA([3]enemies!$A:$A),MATCH(Q$1,[3]enemies!$1:$1,0)-MATCH($L$1,[3]enemies!$1:$1,0)+1),MATCH(Q$1,[3]enemies!$1:$1,0)-MATCH($L$1,[3]enemies!$1:$1,0)+1,FALSE)</f>
        <v>15</v>
      </c>
      <c r="R4" s="4">
        <v>11</v>
      </c>
      <c r="S4" s="19">
        <v>2</v>
      </c>
      <c r="T4" s="19">
        <v>0.5</v>
      </c>
      <c r="U4" s="4">
        <v>0</v>
      </c>
      <c r="V4" s="3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3">
        <v>20014102</v>
      </c>
      <c r="X4" s="5">
        <v>1</v>
      </c>
      <c r="Y4" s="5">
        <v>100</v>
      </c>
      <c r="Z4" s="5">
        <v>1</v>
      </c>
      <c r="AA4" s="13">
        <v>3</v>
      </c>
      <c r="AB4" s="163">
        <f t="shared" ref="AB4:AB13" si="3">L4</f>
        <v>71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106">
        <v>1</v>
      </c>
      <c r="AG4" s="163">
        <f t="shared" ref="AG4:AG13" ca="1" si="4">AD4</f>
        <v>2</v>
      </c>
      <c r="AH4" s="6">
        <v>60</v>
      </c>
      <c r="AI4" s="106">
        <v>0</v>
      </c>
      <c r="AJ4" s="106">
        <v>0</v>
      </c>
      <c r="AK4" s="106">
        <v>0</v>
      </c>
      <c r="AL4" s="106">
        <v>0</v>
      </c>
      <c r="AM4" s="106">
        <v>1</v>
      </c>
      <c r="AN4" s="164">
        <v>1</v>
      </c>
    </row>
    <row r="5" spans="1:40" ht="21" customHeight="1" x14ac:dyDescent="0.15">
      <c r="A5" s="104" t="str">
        <f t="shared" ref="A5" si="5">B5&amp;"_"&amp;C5&amp;"-"&amp;G5&amp;"/"&amp;L5&amp;"&lt;lv"&amp;R5&amp;"&gt;s"&amp;AA5</f>
        <v>20014_1-2/71&lt;lv10&gt;s3</v>
      </c>
      <c r="B5" s="18">
        <v>20014</v>
      </c>
      <c r="C5" s="107">
        <v>1</v>
      </c>
      <c r="D5" s="11" t="str">
        <f t="shared" ref="D5" si="6">B5&amp;"_"&amp;C5</f>
        <v>20014_1</v>
      </c>
      <c r="E5" s="3" t="str">
        <f ca="1">VLOOKUP($B5,OFFSET([2]quests!$A$1,0,0,COUNTA([2]quests!$A:$A),MATCH(E$1,[2]quests!$1:$1,0)-MATCH($B$1,[2]quests!$1:$1,0)+1),MATCH(E$1,[2]quests!$1:$1,0)-MATCH($B$1,[2]quests!$1:$1,0)+1,FALSE)</f>
        <v>魅了する歌声</v>
      </c>
      <c r="F5" s="3" t="str">
        <f ca="1">VLOOKUP($D5,OFFSET([2]stages!$A$1,0,0,COUNTA([2]stages!$A:$A),MATCH(F$1,[2]stages!$2:$2,0)-MATCH($D$1,[2]stages!$2:$2,0)+1),MATCH(F$1,[2]stages!$2:$2,0)-MATCH($D$1,[2]stages!$2:$2,0)+1,FALSE)</f>
        <v>【初級】魅了する歌声</v>
      </c>
      <c r="G5" s="107">
        <v>2</v>
      </c>
      <c r="H5" s="11" t="str">
        <f t="shared" ref="H5" si="7">B5&amp;"_"&amp;C5&amp;"-"&amp;G5</f>
        <v>20014_1-2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0" t="s">
        <v>53</v>
      </c>
      <c r="L5" s="162">
        <v>71</v>
      </c>
      <c r="M5" s="13" t="str">
        <f ca="1">VLOOKUP($L5,OFFSET([3]enemies!$A$1,0,0,COUNTA([3]enemies!$A:$A),MATCH(M$1,[3]enemies!$1:$1,0)-MATCH($L$1,[3]enemies!$1:$1,0)+1),MATCH(M$1,[3]enemies!$1:$1,0)-MATCH($L$1,[3]enemies!$1:$1,0)+1,FALSE)</f>
        <v>ダックス</v>
      </c>
      <c r="N5" s="13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3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3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3">
        <f ca="1">VLOOKUP($L5,OFFSET([3]enemies!$A$1,0,0,COUNTA([3]enemies!$A:$A),MATCH(Q$1,[3]enemies!$1:$1,0)-MATCH($L$1,[3]enemies!$1:$1,0)+1),MATCH(Q$1,[3]enemies!$1:$1,0)-MATCH($L$1,[3]enemies!$1:$1,0)+1,FALSE)</f>
        <v>15</v>
      </c>
      <c r="R5" s="4">
        <v>10</v>
      </c>
      <c r="S5" s="19">
        <v>2</v>
      </c>
      <c r="T5" s="19">
        <v>0.5</v>
      </c>
      <c r="U5" s="4">
        <v>0</v>
      </c>
      <c r="V5" s="3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3">
        <v>20014103</v>
      </c>
      <c r="X5" s="5">
        <v>0</v>
      </c>
      <c r="Y5" s="5">
        <v>100</v>
      </c>
      <c r="Z5" s="5">
        <v>0</v>
      </c>
      <c r="AA5" s="13">
        <v>3</v>
      </c>
      <c r="AB5" s="163">
        <f t="shared" ref="AB5" si="8">L5</f>
        <v>71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106">
        <v>1</v>
      </c>
      <c r="AG5" s="163">
        <f t="shared" ref="AG5" ca="1" si="9">AD5</f>
        <v>2</v>
      </c>
      <c r="AH5" s="6">
        <v>60</v>
      </c>
      <c r="AI5" s="106">
        <v>0</v>
      </c>
      <c r="AJ5" s="106">
        <v>0</v>
      </c>
      <c r="AK5" s="106">
        <v>0</v>
      </c>
      <c r="AL5" s="106">
        <v>0</v>
      </c>
      <c r="AM5" s="106">
        <v>1</v>
      </c>
      <c r="AN5" s="164">
        <v>1</v>
      </c>
    </row>
    <row r="6" spans="1:40" ht="21" customHeight="1" x14ac:dyDescent="0.15">
      <c r="A6" s="104" t="str">
        <f t="shared" si="0"/>
        <v>20014_1-3/184&lt;lv10&gt;s3</v>
      </c>
      <c r="B6" s="18">
        <v>20014</v>
      </c>
      <c r="C6" s="107">
        <v>1</v>
      </c>
      <c r="D6" s="11" t="str">
        <f t="shared" si="1"/>
        <v>20014_1</v>
      </c>
      <c r="E6" s="3" t="str">
        <f ca="1">VLOOKUP($B6,OFFSET([2]quests!$A$1,0,0,COUNTA([2]quests!$A:$A),MATCH(E$1,[2]quests!$1:$1,0)-MATCH($B$1,[2]quests!$1:$1,0)+1),MATCH(E$1,[2]quests!$1:$1,0)-MATCH($B$1,[2]quests!$1:$1,0)+1,FALSE)</f>
        <v>魅了する歌声</v>
      </c>
      <c r="F6" s="3" t="str">
        <f ca="1">VLOOKUP($D6,OFFSET([2]stages!$A$1,0,0,COUNTA([2]stages!$A:$A),MATCH(F$1,[2]stages!$2:$2,0)-MATCH($D$1,[2]stages!$2:$2,0)+1),MATCH(F$1,[2]stages!$2:$2,0)-MATCH($D$1,[2]stages!$2:$2,0)+1,FALSE)</f>
        <v>【初級】魅了する歌声</v>
      </c>
      <c r="G6" s="107">
        <v>3</v>
      </c>
      <c r="H6" s="11" t="str">
        <f t="shared" si="2"/>
        <v>20014_1-3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0" t="s">
        <v>53</v>
      </c>
      <c r="L6" s="162">
        <v>184</v>
      </c>
      <c r="M6" s="13" t="str">
        <f ca="1">VLOOKUP($L6,OFFSET([3]enemies!$A$1,0,0,COUNTA([3]enemies!$A:$A),MATCH(M$1,[3]enemies!$1:$1,0)-MATCH($L$1,[3]enemies!$1:$1,0)+1),MATCH(M$1,[3]enemies!$1:$1,0)-MATCH($L$1,[3]enemies!$1:$1,0)+1,FALSE)</f>
        <v>クラーケン</v>
      </c>
      <c r="N6" s="13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3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3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3">
        <f ca="1">VLOOKUP($L6,OFFSET([3]enemies!$A$1,0,0,COUNTA([3]enemies!$A:$A),MATCH(Q$1,[3]enemies!$1:$1,0)-MATCH($L$1,[3]enemies!$1:$1,0)+1),MATCH(Q$1,[3]enemies!$1:$1,0)-MATCH($L$1,[3]enemies!$1:$1,0)+1,FALSE)</f>
        <v>20</v>
      </c>
      <c r="R6" s="4">
        <v>10</v>
      </c>
      <c r="S6" s="19">
        <v>1.5</v>
      </c>
      <c r="T6" s="19">
        <v>0.5</v>
      </c>
      <c r="U6" s="4">
        <v>0</v>
      </c>
      <c r="V6" s="3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ハートパネルを最大5個生成_x000D_＋8回連続攻撃</v>
      </c>
      <c r="W6" s="3">
        <v>20014104</v>
      </c>
      <c r="X6" s="5">
        <v>1</v>
      </c>
      <c r="Y6" s="5">
        <v>100</v>
      </c>
      <c r="Z6" s="5">
        <v>1</v>
      </c>
      <c r="AA6" s="13">
        <v>3</v>
      </c>
      <c r="AB6" s="163">
        <f t="shared" si="3"/>
        <v>184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クラーケン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106">
        <v>1</v>
      </c>
      <c r="AG6" s="163">
        <f t="shared" ca="1" si="4"/>
        <v>3</v>
      </c>
      <c r="AH6" s="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1</v>
      </c>
      <c r="AN6" s="164">
        <v>1</v>
      </c>
    </row>
    <row r="7" spans="1:40" ht="21" customHeight="1" x14ac:dyDescent="0.15">
      <c r="A7" s="104" t="str">
        <f t="shared" si="0"/>
        <v>20014_1-3/18&lt;lv10&gt;s2</v>
      </c>
      <c r="B7" s="18">
        <v>20014</v>
      </c>
      <c r="C7" s="107">
        <v>1</v>
      </c>
      <c r="D7" s="11" t="str">
        <f t="shared" si="1"/>
        <v>20014_1</v>
      </c>
      <c r="E7" s="3" t="str">
        <f ca="1">VLOOKUP($B7,OFFSET([2]quests!$A$1,0,0,COUNTA([2]quests!$A:$A),MATCH(E$1,[2]quests!$1:$1,0)-MATCH($B$1,[2]quests!$1:$1,0)+1),MATCH(E$1,[2]quests!$1:$1,0)-MATCH($B$1,[2]quests!$1:$1,0)+1,FALSE)</f>
        <v>魅了する歌声</v>
      </c>
      <c r="F7" s="3" t="str">
        <f ca="1">VLOOKUP($D7,OFFSET([2]stages!$A$1,0,0,COUNTA([2]stages!$A:$A),MATCH(F$1,[2]stages!$2:$2,0)-MATCH($D$1,[2]stages!$2:$2,0)+1),MATCH(F$1,[2]stages!$2:$2,0)-MATCH($D$1,[2]stages!$2:$2,0)+1,FALSE)</f>
        <v>【初級】魅了する歌声</v>
      </c>
      <c r="G7" s="107">
        <v>3</v>
      </c>
      <c r="H7" s="11" t="str">
        <f t="shared" si="2"/>
        <v>20014_1-3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30" t="s">
        <v>53</v>
      </c>
      <c r="L7" s="162">
        <v>18</v>
      </c>
      <c r="M7" s="13" t="str">
        <f ca="1">VLOOKUP($L7,OFFSET([3]enemies!$A$1,0,0,COUNTA([3]enemies!$A:$A),MATCH(M$1,[3]enemies!$1:$1,0)-MATCH($L$1,[3]enemies!$1:$1,0)+1),MATCH(M$1,[3]enemies!$1:$1,0)-MATCH($L$1,[3]enemies!$1:$1,0)+1,FALSE)</f>
        <v>戦闘案内人 リム</v>
      </c>
      <c r="N7" s="13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3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3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3">
        <f ca="1">VLOOKUP($L7,OFFSET([3]enemies!$A$1,0,0,COUNTA([3]enemies!$A:$A),MATCH(Q$1,[3]enemies!$1:$1,0)-MATCH($L$1,[3]enemies!$1:$1,0)+1),MATCH(Q$1,[3]enemies!$1:$1,0)-MATCH($L$1,[3]enemies!$1:$1,0)+1,FALSE)</f>
        <v>15</v>
      </c>
      <c r="R7" s="4">
        <v>10</v>
      </c>
      <c r="S7" s="19">
        <v>1.5</v>
      </c>
      <c r="T7" s="19">
        <v>0.5</v>
      </c>
      <c r="U7" s="4">
        <v>0</v>
      </c>
      <c r="V7" s="3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3">
        <v>20014105</v>
      </c>
      <c r="X7" s="5">
        <v>0</v>
      </c>
      <c r="Y7" s="5">
        <v>100</v>
      </c>
      <c r="Z7" s="5">
        <v>0</v>
      </c>
      <c r="AA7" s="13">
        <v>2</v>
      </c>
      <c r="AB7" s="163">
        <f t="shared" si="3"/>
        <v>18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Drop1W</v>
      </c>
      <c r="AF7" s="106">
        <v>1</v>
      </c>
      <c r="AG7" s="163">
        <f t="shared" ca="1" si="4"/>
        <v>2</v>
      </c>
      <c r="AH7" s="6">
        <v>60</v>
      </c>
      <c r="AI7" s="106">
        <v>0</v>
      </c>
      <c r="AJ7" s="106">
        <v>0</v>
      </c>
      <c r="AK7" s="106">
        <v>0</v>
      </c>
      <c r="AL7" s="106">
        <v>0</v>
      </c>
      <c r="AM7" s="106">
        <v>1</v>
      </c>
      <c r="AN7" s="164">
        <v>1</v>
      </c>
    </row>
    <row r="8" spans="1:40" ht="21" customHeight="1" x14ac:dyDescent="0.15">
      <c r="A8" s="104" t="str">
        <f t="shared" si="0"/>
        <v>20014_1-3/55&lt;lv10&gt;s2</v>
      </c>
      <c r="B8" s="18">
        <v>20014</v>
      </c>
      <c r="C8" s="107">
        <v>1</v>
      </c>
      <c r="D8" s="11" t="str">
        <f t="shared" si="1"/>
        <v>20014_1</v>
      </c>
      <c r="E8" s="3" t="str">
        <f ca="1">VLOOKUP($B8,OFFSET([2]quests!$A$1,0,0,COUNTA([2]quests!$A:$A),MATCH(E$1,[2]quests!$1:$1,0)-MATCH($B$1,[2]quests!$1:$1,0)+1),MATCH(E$1,[2]quests!$1:$1,0)-MATCH($B$1,[2]quests!$1:$1,0)+1,FALSE)</f>
        <v>魅了する歌声</v>
      </c>
      <c r="F8" s="3" t="str">
        <f ca="1">VLOOKUP($D8,OFFSET([2]stages!$A$1,0,0,COUNTA([2]stages!$A:$A),MATCH(F$1,[2]stages!$2:$2,0)-MATCH($D$1,[2]stages!$2:$2,0)+1),MATCH(F$1,[2]stages!$2:$2,0)-MATCH($D$1,[2]stages!$2:$2,0)+1,FALSE)</f>
        <v>【初級】魅了する歌声</v>
      </c>
      <c r="G8" s="107">
        <v>3</v>
      </c>
      <c r="H8" s="11" t="str">
        <f t="shared" si="2"/>
        <v>20014_1-3</v>
      </c>
      <c r="I8" s="3">
        <f ca="1">VLOOKUP($H8,OFFSET(floors!$A$1,0,0,COUNTA(floors!$A:$A),MATCH(I$1,floors!$1:$1,0)-MATCH($H$1,floors!$1:$1,0)+1),MATCH(I$1,floors!$1:$1,0)-MATCH($H$1,floors!$1:$1,0)+1,FALSE)</f>
        <v>60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30" t="s">
        <v>53</v>
      </c>
      <c r="L8" s="162">
        <v>55</v>
      </c>
      <c r="M8" s="13" t="str">
        <f ca="1">VLOOKUP($L8,OFFSET([3]enemies!$A$1,0,0,COUNTA([3]enemies!$A:$A),MATCH(M$1,[3]enemies!$1:$1,0)-MATCH($L$1,[3]enemies!$1:$1,0)+1),MATCH(M$1,[3]enemies!$1:$1,0)-MATCH($L$1,[3]enemies!$1:$1,0)+1,FALSE)</f>
        <v>マミコ</v>
      </c>
      <c r="N8" s="13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3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3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3">
        <f ca="1">VLOOKUP($L8,OFFSET([3]enemies!$A$1,0,0,COUNTA([3]enemies!$A:$A),MATCH(Q$1,[3]enemies!$1:$1,0)-MATCH($L$1,[3]enemies!$1:$1,0)+1),MATCH(Q$1,[3]enemies!$1:$1,0)-MATCH($L$1,[3]enemies!$1:$1,0)+1,FALSE)</f>
        <v>15</v>
      </c>
      <c r="R8" s="4">
        <v>10</v>
      </c>
      <c r="S8" s="19">
        <v>1.5</v>
      </c>
      <c r="T8" s="19">
        <v>0.5</v>
      </c>
      <c r="U8" s="4">
        <v>0</v>
      </c>
      <c r="V8" s="3" t="str">
        <f ca="1">VLOOKUP($W8,OFFSET(enemy_skill_sets!$B$1,0,0,COUNTA(enemy_skill_sets!$B:$B),MATCH(M$1,enemy_skill_sets!$1:$1,0)-MATCH($W$1,enemy_skill_sets!$1:$1,0)+2),MATCH(M$1,enemy_skill_sets!$1:$1,0)-MATCH($W$1,enemy_skill_sets!$1:$1,0)+2,FALSE)</f>
        <v>2ターンの間攻撃頻度が1にUP</v>
      </c>
      <c r="W8" s="3">
        <v>20014106</v>
      </c>
      <c r="X8" s="5">
        <v>0</v>
      </c>
      <c r="Y8" s="5">
        <v>100</v>
      </c>
      <c r="Z8" s="5">
        <v>0</v>
      </c>
      <c r="AA8" s="13">
        <v>2</v>
      </c>
      <c r="AB8" s="163">
        <f t="shared" si="3"/>
        <v>55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106">
        <v>1</v>
      </c>
      <c r="AG8" s="163">
        <f t="shared" ca="1" si="4"/>
        <v>2</v>
      </c>
      <c r="AH8" s="6">
        <v>60</v>
      </c>
      <c r="AI8" s="106">
        <v>0</v>
      </c>
      <c r="AJ8" s="106">
        <v>0</v>
      </c>
      <c r="AK8" s="106">
        <v>0</v>
      </c>
      <c r="AL8" s="106">
        <v>0</v>
      </c>
      <c r="AM8" s="106">
        <v>1</v>
      </c>
      <c r="AN8" s="164">
        <v>1</v>
      </c>
    </row>
    <row r="9" spans="1:40" ht="21" customHeight="1" x14ac:dyDescent="0.15">
      <c r="A9" s="104" t="str">
        <f t="shared" si="0"/>
        <v>20014_1-4/405&lt;lv10&gt;s2</v>
      </c>
      <c r="B9" s="18">
        <v>20014</v>
      </c>
      <c r="C9" s="107">
        <v>1</v>
      </c>
      <c r="D9" s="11" t="str">
        <f t="shared" si="1"/>
        <v>20014_1</v>
      </c>
      <c r="E9" s="3" t="str">
        <f ca="1">VLOOKUP($B9,OFFSET([2]quests!$A$1,0,0,COUNTA([2]quests!$A:$A),MATCH(E$1,[2]quests!$1:$1,0)-MATCH($B$1,[2]quests!$1:$1,0)+1),MATCH(E$1,[2]quests!$1:$1,0)-MATCH($B$1,[2]quests!$1:$1,0)+1,FALSE)</f>
        <v>魅了する歌声</v>
      </c>
      <c r="F9" s="3" t="str">
        <f ca="1">VLOOKUP($D9,OFFSET([2]stages!$A$1,0,0,COUNTA([2]stages!$A:$A),MATCH(F$1,[2]stages!$2:$2,0)-MATCH($D$1,[2]stages!$2:$2,0)+1),MATCH(F$1,[2]stages!$2:$2,0)-MATCH($D$1,[2]stages!$2:$2,0)+1,FALSE)</f>
        <v>【初級】魅了する歌声</v>
      </c>
      <c r="G9" s="107">
        <v>4</v>
      </c>
      <c r="H9" s="11" t="str">
        <f t="shared" si="2"/>
        <v>20014_1-4</v>
      </c>
      <c r="I9" s="3">
        <f ca="1">VLOOKUP($H9,OFFSET(floors!$A$1,0,0,COUNTA(floors!$A:$A),MATCH(I$1,floors!$1:$1,0)-MATCH($H$1,floors!$1:$1,0)+1),MATCH(I$1,floors!$1:$1,0)-MATCH($H$1,floors!$1:$1,0)+1,FALSE)</f>
        <v>60</v>
      </c>
      <c r="J9" s="3">
        <f ca="1">VLOOKUP($H9,OFFSET(floors!$A$1,0,0,COUNTA(floors!$A:$A),MATCH(J$1,floors!$1:$1,0)-MATCH($H$1,floors!$1:$1,0)+1),MATCH(J$1,floors!$1:$1,0)-MATCH($H$1,floors!$1:$1,0)+1,FALSE)</f>
        <v>60</v>
      </c>
      <c r="K9" s="30" t="s">
        <v>53</v>
      </c>
      <c r="L9" s="162">
        <v>405</v>
      </c>
      <c r="M9" s="13" t="str">
        <f ca="1">VLOOKUP($L9,OFFSET([3]enemies!$A$1,0,0,COUNTA([3]enemies!$A:$A),MATCH(M$1,[3]enemies!$1:$1,0)-MATCH($L$1,[3]enemies!$1:$1,0)+1),MATCH(M$1,[3]enemies!$1:$1,0)-MATCH($L$1,[3]enemies!$1:$1,0)+1,FALSE)</f>
        <v>エキドナ</v>
      </c>
      <c r="N9" s="13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3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3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3">
        <f ca="1">VLOOKUP($L9,OFFSET([3]enemies!$A$1,0,0,COUNTA([3]enemies!$A:$A),MATCH(Q$1,[3]enemies!$1:$1,0)-MATCH($L$1,[3]enemies!$1:$1,0)+1),MATCH(Q$1,[3]enemies!$1:$1,0)-MATCH($L$1,[3]enemies!$1:$1,0)+1,FALSE)</f>
        <v>25</v>
      </c>
      <c r="R9" s="4">
        <v>10</v>
      </c>
      <c r="S9" s="19">
        <v>1.5</v>
      </c>
      <c r="T9" s="19">
        <v>0.6</v>
      </c>
      <c r="U9" s="4">
        <v>0</v>
      </c>
      <c r="V9" s="3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3">
        <v>20014107</v>
      </c>
      <c r="X9" s="5">
        <v>1</v>
      </c>
      <c r="Y9" s="5">
        <v>100</v>
      </c>
      <c r="Z9" s="5">
        <v>1</v>
      </c>
      <c r="AA9" s="13">
        <v>2</v>
      </c>
      <c r="AB9" s="163">
        <f t="shared" si="3"/>
        <v>405</v>
      </c>
      <c r="AC9" s="3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エキドナ</v>
      </c>
      <c r="AD9" s="3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3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106">
        <v>1</v>
      </c>
      <c r="AG9" s="163">
        <f t="shared" ca="1" si="4"/>
        <v>3</v>
      </c>
      <c r="AH9" s="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1</v>
      </c>
      <c r="AN9" s="164">
        <v>1</v>
      </c>
    </row>
    <row r="10" spans="1:40" ht="21" customHeight="1" x14ac:dyDescent="0.15">
      <c r="A10" s="104" t="str">
        <f t="shared" si="0"/>
        <v>20014_1-4/18&lt;lv10&gt;s1</v>
      </c>
      <c r="B10" s="18">
        <v>20014</v>
      </c>
      <c r="C10" s="107">
        <v>1</v>
      </c>
      <c r="D10" s="11" t="str">
        <f t="shared" si="1"/>
        <v>20014_1</v>
      </c>
      <c r="E10" s="3" t="str">
        <f ca="1">VLOOKUP($B10,OFFSET([2]quests!$A$1,0,0,COUNTA([2]quests!$A:$A),MATCH(E$1,[2]quests!$1:$1,0)-MATCH($B$1,[2]quests!$1:$1,0)+1),MATCH(E$1,[2]quests!$1:$1,0)-MATCH($B$1,[2]quests!$1:$1,0)+1,FALSE)</f>
        <v>魅了する歌声</v>
      </c>
      <c r="F10" s="3" t="str">
        <f ca="1">VLOOKUP($D10,OFFSET([2]stages!$A$1,0,0,COUNTA([2]stages!$A:$A),MATCH(F$1,[2]stages!$2:$2,0)-MATCH($D$1,[2]stages!$2:$2,0)+1),MATCH(F$1,[2]stages!$2:$2,0)-MATCH($D$1,[2]stages!$2:$2,0)+1,FALSE)</f>
        <v>【初級】魅了する歌声</v>
      </c>
      <c r="G10" s="107">
        <v>4</v>
      </c>
      <c r="H10" s="11" t="str">
        <f t="shared" si="2"/>
        <v>20014_1-4</v>
      </c>
      <c r="I10" s="3">
        <f ca="1">VLOOKUP($H10,OFFSET(floors!$A$1,0,0,COUNTA(floors!$A:$A),MATCH(I$1,floors!$1:$1,0)-MATCH($H$1,floors!$1:$1,0)+1),MATCH(I$1,floors!$1:$1,0)-MATCH($H$1,floors!$1:$1,0)+1,FALSE)</f>
        <v>60</v>
      </c>
      <c r="J10" s="3">
        <f ca="1">VLOOKUP($H10,OFFSET(floors!$A$1,0,0,COUNTA(floors!$A:$A),MATCH(J$1,floors!$1:$1,0)-MATCH($H$1,floors!$1:$1,0)+1),MATCH(J$1,floors!$1:$1,0)-MATCH($H$1,floors!$1:$1,0)+1,FALSE)</f>
        <v>60</v>
      </c>
      <c r="K10" s="30" t="s">
        <v>53</v>
      </c>
      <c r="L10" s="162">
        <v>18</v>
      </c>
      <c r="M10" s="13" t="str">
        <f ca="1">VLOOKUP($L10,OFFSET([3]enemies!$A$1,0,0,COUNTA([3]enemies!$A:$A),MATCH(M$1,[3]enemies!$1:$1,0)-MATCH($L$1,[3]enemies!$1:$1,0)+1),MATCH(M$1,[3]enemies!$1:$1,0)-MATCH($L$1,[3]enemies!$1:$1,0)+1,FALSE)</f>
        <v>戦闘案内人 リム</v>
      </c>
      <c r="N10" s="13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3" t="str">
        <f ca="1">VLOOKUP($L10,OFFSET([4]characters!$A$1,0,0,COUNTA([4]characters!$A:$A),MATCH(O$1,[4]characters!$1:$1,0)-MATCH($L$1,[4]characters!$1:$1,0)+1),MATCH(O$1,[4]characters!$1:$1,0)-MATCH($L$1,[4]characters!$1:$1,0)+1,FALSE)</f>
        <v>Drop1W</v>
      </c>
      <c r="P10" s="13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3">
        <f ca="1">VLOOKUP($L10,OFFSET([3]enemies!$A$1,0,0,COUNTA([3]enemies!$A:$A),MATCH(Q$1,[3]enemies!$1:$1,0)-MATCH($L$1,[3]enemies!$1:$1,0)+1),MATCH(Q$1,[3]enemies!$1:$1,0)-MATCH($L$1,[3]enemies!$1:$1,0)+1,FALSE)</f>
        <v>15</v>
      </c>
      <c r="R10" s="4">
        <v>10</v>
      </c>
      <c r="S10" s="19">
        <v>1.2</v>
      </c>
      <c r="T10" s="19">
        <v>0.5</v>
      </c>
      <c r="U10" s="4">
        <v>0</v>
      </c>
      <c r="V10" s="3" t="str">
        <f ca="1">VLOOKUP($W10,OFFSET(enemy_skill_sets!$B$1,0,0,COUNTA(enemy_skill_sets!$B:$B),MATCH(M$1,enemy_skill_sets!$1:$1,0)-MATCH($W$1,enemy_skill_sets!$1:$1,0)+2),MATCH(M$1,enemy_skill_sets!$1:$1,0)-MATCH($W$1,enemy_skill_sets!$1:$1,0)+2,FALSE)</f>
        <v>黄パネルを最大6個　時限式ダメージパネルに変換</v>
      </c>
      <c r="W10" s="3">
        <v>20014108</v>
      </c>
      <c r="X10" s="5">
        <v>0</v>
      </c>
      <c r="Y10" s="5">
        <v>100</v>
      </c>
      <c r="Z10" s="5">
        <v>0</v>
      </c>
      <c r="AA10" s="13">
        <v>1</v>
      </c>
      <c r="AB10" s="163">
        <f t="shared" si="3"/>
        <v>18</v>
      </c>
      <c r="AC10" s="3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10" s="3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3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" s="106">
        <v>1</v>
      </c>
      <c r="AG10" s="163">
        <f t="shared" ca="1" si="4"/>
        <v>2</v>
      </c>
      <c r="AH10" s="6">
        <v>60</v>
      </c>
      <c r="AI10" s="106">
        <v>0</v>
      </c>
      <c r="AJ10" s="106">
        <v>0</v>
      </c>
      <c r="AK10" s="106">
        <v>0</v>
      </c>
      <c r="AL10" s="106">
        <v>0</v>
      </c>
      <c r="AM10" s="106">
        <v>1</v>
      </c>
      <c r="AN10" s="164">
        <v>1</v>
      </c>
    </row>
    <row r="11" spans="1:40" ht="21" customHeight="1" x14ac:dyDescent="0.15">
      <c r="A11" s="104" t="str">
        <f t="shared" si="0"/>
        <v>20014_1-4/71&lt;lv10&gt;s3</v>
      </c>
      <c r="B11" s="18">
        <v>20014</v>
      </c>
      <c r="C11" s="107">
        <v>1</v>
      </c>
      <c r="D11" s="11" t="str">
        <f t="shared" si="1"/>
        <v>20014_1</v>
      </c>
      <c r="E11" s="3" t="str">
        <f ca="1">VLOOKUP($B11,OFFSET([2]quests!$A$1,0,0,COUNTA([2]quests!$A:$A),MATCH(E$1,[2]quests!$1:$1,0)-MATCH($B$1,[2]quests!$1:$1,0)+1),MATCH(E$1,[2]quests!$1:$1,0)-MATCH($B$1,[2]quests!$1:$1,0)+1,FALSE)</f>
        <v>魅了する歌声</v>
      </c>
      <c r="F11" s="3" t="str">
        <f ca="1">VLOOKUP($D11,OFFSET([2]stages!$A$1,0,0,COUNTA([2]stages!$A:$A),MATCH(F$1,[2]stages!$2:$2,0)-MATCH($D$1,[2]stages!$2:$2,0)+1),MATCH(F$1,[2]stages!$2:$2,0)-MATCH($D$1,[2]stages!$2:$2,0)+1,FALSE)</f>
        <v>【初級】魅了する歌声</v>
      </c>
      <c r="G11" s="107">
        <v>4</v>
      </c>
      <c r="H11" s="11" t="str">
        <f t="shared" si="2"/>
        <v>20014_1-4</v>
      </c>
      <c r="I11" s="3">
        <f ca="1">VLOOKUP($H11,OFFSET(floors!$A$1,0,0,COUNTA(floors!$A:$A),MATCH(I$1,floors!$1:$1,0)-MATCH($H$1,floors!$1:$1,0)+1),MATCH(I$1,floors!$1:$1,0)-MATCH($H$1,floors!$1:$1,0)+1,FALSE)</f>
        <v>60</v>
      </c>
      <c r="J11" s="3">
        <f ca="1">VLOOKUP($H11,OFFSET(floors!$A$1,0,0,COUNTA(floors!$A:$A),MATCH(J$1,floors!$1:$1,0)-MATCH($H$1,floors!$1:$1,0)+1),MATCH(J$1,floors!$1:$1,0)-MATCH($H$1,floors!$1:$1,0)+1,FALSE)</f>
        <v>60</v>
      </c>
      <c r="K11" s="30" t="s">
        <v>53</v>
      </c>
      <c r="L11" s="162">
        <v>71</v>
      </c>
      <c r="M11" s="13" t="str">
        <f ca="1">VLOOKUP($L11,OFFSET([3]enemies!$A$1,0,0,COUNTA([3]enemies!$A:$A),MATCH(M$1,[3]enemies!$1:$1,0)-MATCH($L$1,[3]enemies!$1:$1,0)+1),MATCH(M$1,[3]enemies!$1:$1,0)-MATCH($L$1,[3]enemies!$1:$1,0)+1,FALSE)</f>
        <v>ダックス</v>
      </c>
      <c r="N11" s="13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3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3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3">
        <f ca="1">VLOOKUP($L11,OFFSET([3]enemies!$A$1,0,0,COUNTA([3]enemies!$A:$A),MATCH(Q$1,[3]enemies!$1:$1,0)-MATCH($L$1,[3]enemies!$1:$1,0)+1),MATCH(Q$1,[3]enemies!$1:$1,0)-MATCH($L$1,[3]enemies!$1:$1,0)+1,FALSE)</f>
        <v>15</v>
      </c>
      <c r="R11" s="4">
        <v>10</v>
      </c>
      <c r="S11" s="19">
        <v>1.2</v>
      </c>
      <c r="T11" s="19">
        <v>0.5</v>
      </c>
      <c r="U11" s="4">
        <v>0</v>
      </c>
      <c r="V11" s="3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3">
        <v>20014109</v>
      </c>
      <c r="X11" s="5">
        <v>0</v>
      </c>
      <c r="Y11" s="5">
        <v>100</v>
      </c>
      <c r="Z11" s="5">
        <v>0</v>
      </c>
      <c r="AA11" s="13">
        <v>3</v>
      </c>
      <c r="AB11" s="163">
        <f t="shared" si="3"/>
        <v>71</v>
      </c>
      <c r="AC11" s="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11" s="3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106">
        <v>1</v>
      </c>
      <c r="AG11" s="163">
        <f t="shared" ca="1" si="4"/>
        <v>2</v>
      </c>
      <c r="AH11" s="6">
        <v>60</v>
      </c>
      <c r="AI11" s="106">
        <v>0</v>
      </c>
      <c r="AJ11" s="106">
        <v>0</v>
      </c>
      <c r="AK11" s="106">
        <v>0</v>
      </c>
      <c r="AL11" s="106">
        <v>0</v>
      </c>
      <c r="AM11" s="106">
        <v>1</v>
      </c>
      <c r="AN11" s="164">
        <v>1</v>
      </c>
    </row>
    <row r="12" spans="1:40" ht="21" customHeight="1" x14ac:dyDescent="0.15">
      <c r="A12" s="104" t="str">
        <f t="shared" si="0"/>
        <v>20014_1-5/842&lt;lv10&gt;s2</v>
      </c>
      <c r="B12" s="18">
        <v>20014</v>
      </c>
      <c r="C12" s="107">
        <v>1</v>
      </c>
      <c r="D12" s="11" t="str">
        <f t="shared" si="1"/>
        <v>20014_1</v>
      </c>
      <c r="E12" s="3" t="str">
        <f ca="1">VLOOKUP($B12,OFFSET([2]quests!$A$1,0,0,COUNTA([2]quests!$A:$A),MATCH(E$1,[2]quests!$1:$1,0)-MATCH($B$1,[2]quests!$1:$1,0)+1),MATCH(E$1,[2]quests!$1:$1,0)-MATCH($B$1,[2]quests!$1:$1,0)+1,FALSE)</f>
        <v>魅了する歌声</v>
      </c>
      <c r="F12" s="3" t="str">
        <f ca="1">VLOOKUP($D12,OFFSET([2]stages!$A$1,0,0,COUNTA([2]stages!$A:$A),MATCH(F$1,[2]stages!$2:$2,0)-MATCH($D$1,[2]stages!$2:$2,0)+1),MATCH(F$1,[2]stages!$2:$2,0)-MATCH($D$1,[2]stages!$2:$2,0)+1,FALSE)</f>
        <v>【初級】魅了する歌声</v>
      </c>
      <c r="G12" s="107">
        <v>5</v>
      </c>
      <c r="H12" s="11" t="str">
        <f t="shared" si="2"/>
        <v>20014_1-5</v>
      </c>
      <c r="I12" s="3">
        <f ca="1">VLOOKUP($H12,OFFSET(floors!$A$1,0,0,COUNTA(floors!$A:$A),MATCH(I$1,floors!$1:$1,0)-MATCH($H$1,floors!$1:$1,0)+1),MATCH(I$1,floors!$1:$1,0)-MATCH($H$1,floors!$1:$1,0)+1,FALSE)</f>
        <v>60</v>
      </c>
      <c r="J12" s="3">
        <f ca="1">VLOOKUP($H12,OFFSET(floors!$A$1,0,0,COUNTA(floors!$A:$A),MATCH(J$1,floors!$1:$1,0)-MATCH($H$1,floors!$1:$1,0)+1),MATCH(J$1,floors!$1:$1,0)-MATCH($H$1,floors!$1:$1,0)+1,FALSE)</f>
        <v>60</v>
      </c>
      <c r="K12" s="30">
        <v>1</v>
      </c>
      <c r="L12" s="162">
        <v>842</v>
      </c>
      <c r="M12" s="13" t="str">
        <f ca="1">VLOOKUP($L12,OFFSET([3]enemies!$A$1,0,0,COUNTA([3]enemies!$A:$A),MATCH(M$1,[3]enemies!$1:$1,0)-MATCH($L$1,[3]enemies!$1:$1,0)+1),MATCH(M$1,[3]enemies!$1:$1,0)-MATCH($L$1,[3]enemies!$1:$1,0)+1,FALSE)</f>
        <v>セイレーン</v>
      </c>
      <c r="N12" s="13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3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3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3">
        <f ca="1">VLOOKUP($L12,OFFSET([3]enemies!$A$1,0,0,COUNTA([3]enemies!$A:$A),MATCH(Q$1,[3]enemies!$1:$1,0)-MATCH($L$1,[3]enemies!$1:$1,0)+1),MATCH(Q$1,[3]enemies!$1:$1,0)-MATCH($L$1,[3]enemies!$1:$1,0)+1,FALSE)</f>
        <v>30</v>
      </c>
      <c r="R12" s="4">
        <v>10</v>
      </c>
      <c r="S12" s="19">
        <v>3</v>
      </c>
      <c r="T12" s="19">
        <v>0.6</v>
      </c>
      <c r="U12" s="4">
        <v>0</v>
      </c>
      <c r="V12" s="3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フィーバーゲージ上昇_x000D_＋解除するまで毎ターンダメージ</v>
      </c>
      <c r="W12" s="3">
        <v>20014110</v>
      </c>
      <c r="X12" s="5">
        <v>1</v>
      </c>
      <c r="Y12" s="5">
        <v>100</v>
      </c>
      <c r="Z12" s="5">
        <v>1</v>
      </c>
      <c r="AA12" s="13">
        <v>2</v>
      </c>
      <c r="AB12" s="163">
        <f t="shared" si="3"/>
        <v>842</v>
      </c>
      <c r="AC12" s="3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セイレーン</v>
      </c>
      <c r="AD12" s="3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3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Drop2N</v>
      </c>
      <c r="AF12" s="106">
        <v>1</v>
      </c>
      <c r="AG12" s="163">
        <f t="shared" ca="1" si="4"/>
        <v>4</v>
      </c>
      <c r="AH12" s="6">
        <v>20</v>
      </c>
      <c r="AI12" s="106">
        <v>0</v>
      </c>
      <c r="AJ12" s="106">
        <v>0</v>
      </c>
      <c r="AK12" s="106">
        <v>0</v>
      </c>
      <c r="AL12" s="106">
        <v>0</v>
      </c>
      <c r="AM12" s="106">
        <v>1</v>
      </c>
      <c r="AN12" s="164">
        <v>1</v>
      </c>
    </row>
    <row r="13" spans="1:40" ht="21" customHeight="1" thickBot="1" x14ac:dyDescent="0.2">
      <c r="A13" s="109" t="str">
        <f t="shared" si="0"/>
        <v>20014_1-5/53&lt;lv10&gt;s2</v>
      </c>
      <c r="B13" s="183">
        <v>20014</v>
      </c>
      <c r="C13" s="112">
        <v>1</v>
      </c>
      <c r="D13" s="113" t="str">
        <f t="shared" si="1"/>
        <v>20014_1</v>
      </c>
      <c r="E13" s="184" t="str">
        <f ca="1">VLOOKUP($B13,OFFSET([2]quests!$A$1,0,0,COUNTA([2]quests!$A:$A),MATCH(E$1,[2]quests!$1:$1,0)-MATCH($B$1,[2]quests!$1:$1,0)+1),MATCH(E$1,[2]quests!$1:$1,0)-MATCH($B$1,[2]quests!$1:$1,0)+1,FALSE)</f>
        <v>魅了する歌声</v>
      </c>
      <c r="F13" s="184" t="str">
        <f ca="1">VLOOKUP($D13,OFFSET([2]stages!$A$1,0,0,COUNTA([2]stages!$A:$A),MATCH(F$1,[2]stages!$2:$2,0)-MATCH($D$1,[2]stages!$2:$2,0)+1),MATCH(F$1,[2]stages!$2:$2,0)-MATCH($D$1,[2]stages!$2:$2,0)+1,FALSE)</f>
        <v>【初級】魅了する歌声</v>
      </c>
      <c r="G13" s="112">
        <v>5</v>
      </c>
      <c r="H13" s="113" t="str">
        <f t="shared" si="2"/>
        <v>20014_1-5</v>
      </c>
      <c r="I13" s="184">
        <f ca="1">VLOOKUP($H13,OFFSET(floors!$A$1,0,0,COUNTA(floors!$A:$A),MATCH(I$1,floors!$1:$1,0)-MATCH($H$1,floors!$1:$1,0)+1),MATCH(I$1,floors!$1:$1,0)-MATCH($H$1,floors!$1:$1,0)+1,FALSE)</f>
        <v>60</v>
      </c>
      <c r="J13" s="184">
        <f ca="1">VLOOKUP($H13,OFFSET(floors!$A$1,0,0,COUNTA(floors!$A:$A),MATCH(J$1,floors!$1:$1,0)-MATCH($H$1,floors!$1:$1,0)+1),MATCH(J$1,floors!$1:$1,0)-MATCH($H$1,floors!$1:$1,0)+1,FALSE)</f>
        <v>60</v>
      </c>
      <c r="K13" s="114" t="s">
        <v>233</v>
      </c>
      <c r="L13" s="185">
        <v>53</v>
      </c>
      <c r="M13" s="186" t="str">
        <f ca="1">VLOOKUP($L13,OFFSET([3]enemies!$A$1,0,0,COUNTA([3]enemies!$A:$A),MATCH(M$1,[3]enemies!$1:$1,0)-MATCH($L$1,[3]enemies!$1:$1,0)+1),MATCH(M$1,[3]enemies!$1:$1,0)-MATCH($L$1,[3]enemies!$1:$1,0)+1,FALSE)</f>
        <v>ケンジ</v>
      </c>
      <c r="N13" s="186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86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86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86">
        <f ca="1">VLOOKUP($L13,OFFSET([3]enemies!$A$1,0,0,COUNTA([3]enemies!$A:$A),MATCH(Q$1,[3]enemies!$1:$1,0)-MATCH($L$1,[3]enemies!$1:$1,0)+1),MATCH(Q$1,[3]enemies!$1:$1,0)-MATCH($L$1,[3]enemies!$1:$1,0)+1,FALSE)</f>
        <v>15</v>
      </c>
      <c r="R13" s="187">
        <v>10</v>
      </c>
      <c r="S13" s="188">
        <v>4</v>
      </c>
      <c r="T13" s="188">
        <v>0.5</v>
      </c>
      <c r="U13" s="187">
        <v>0</v>
      </c>
      <c r="V13" s="18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184">
        <v>20014111</v>
      </c>
      <c r="X13" s="189">
        <v>1</v>
      </c>
      <c r="Y13" s="189">
        <v>100</v>
      </c>
      <c r="Z13" s="189">
        <v>2</v>
      </c>
      <c r="AA13" s="186">
        <v>2</v>
      </c>
      <c r="AB13" s="190">
        <f t="shared" si="3"/>
        <v>53</v>
      </c>
      <c r="AC13" s="18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13" s="18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18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191">
        <v>1</v>
      </c>
      <c r="AG13" s="190">
        <f t="shared" ca="1" si="4"/>
        <v>2</v>
      </c>
      <c r="AH13" s="192">
        <v>0</v>
      </c>
      <c r="AI13" s="191">
        <v>0</v>
      </c>
      <c r="AJ13" s="191">
        <v>0</v>
      </c>
      <c r="AK13" s="191">
        <v>0</v>
      </c>
      <c r="AL13" s="191">
        <v>0</v>
      </c>
      <c r="AM13" s="191">
        <v>1</v>
      </c>
      <c r="AN13" s="193">
        <v>1</v>
      </c>
    </row>
    <row r="14" spans="1:40" ht="21" customHeight="1" x14ac:dyDescent="0.15">
      <c r="A14" s="96" t="str">
        <f>B14&amp;"_"&amp;C14&amp;"-"&amp;G14&amp;"/"&amp;L14&amp;"&lt;lv"&amp;R14&amp;"&gt;s"&amp;AA14</f>
        <v>20014_2-1/146&lt;lv20&gt;s2</v>
      </c>
      <c r="B14" s="173">
        <v>20014</v>
      </c>
      <c r="C14" s="100">
        <v>2</v>
      </c>
      <c r="D14" s="101" t="str">
        <f>B14&amp;"_"&amp;C14</f>
        <v>20014_2</v>
      </c>
      <c r="E14" s="174" t="str">
        <f ca="1">VLOOKUP($B14,OFFSET([2]quests!$A$1,0,0,COUNTA([2]quests!$A:$A),MATCH(E$1,[2]quests!$1:$1,0)-MATCH($B$1,[2]quests!$1:$1,0)+1),MATCH(E$1,[2]quests!$1:$1,0)-MATCH($B$1,[2]quests!$1:$1,0)+1,FALSE)</f>
        <v>魅了する歌声</v>
      </c>
      <c r="F14" s="174" t="str">
        <f ca="1">VLOOKUP($D14,OFFSET([2]stages!$A$1,0,0,COUNTA([2]stages!$A:$A),MATCH(F$1,[2]stages!$2:$2,0)-MATCH($D$1,[2]stages!$2:$2,0)+1),MATCH(F$1,[2]stages!$2:$2,0)-MATCH($D$1,[2]stages!$2:$2,0)+1,FALSE)</f>
        <v>【中級】魅了する歌声</v>
      </c>
      <c r="G14" s="100">
        <v>1</v>
      </c>
      <c r="H14" s="101" t="str">
        <f>B14&amp;"_"&amp;C14&amp;"-"&amp;G14</f>
        <v>20014_2-1</v>
      </c>
      <c r="I14" s="174">
        <f ca="1">VLOOKUP($H14,OFFSET(floors!$A$1,0,0,COUNTA(floors!$A:$A),MATCH(I$1,floors!$1:$1,0)-MATCH($H$1,floors!$1:$1,0)+1),MATCH(I$1,floors!$1:$1,0)-MATCH($H$1,floors!$1:$1,0)+1,FALSE)</f>
        <v>60</v>
      </c>
      <c r="J14" s="174">
        <f ca="1">VLOOKUP($H14,OFFSET(floors!$A$1,0,0,COUNTA(floors!$A:$A),MATCH(J$1,floors!$1:$1,0)-MATCH($H$1,floors!$1:$1,0)+1),MATCH(J$1,floors!$1:$1,0)-MATCH($H$1,floors!$1:$1,0)+1,FALSE)</f>
        <v>60</v>
      </c>
      <c r="K14" s="102" t="s">
        <v>53</v>
      </c>
      <c r="L14" s="175">
        <v>146</v>
      </c>
      <c r="M14" s="176" t="str">
        <f ca="1">VLOOKUP($L14,OFFSET([3]enemies!$A$1,0,0,COUNTA([3]enemies!$A:$A),MATCH(M$1,[3]enemies!$1:$1,0)-MATCH($L$1,[3]enemies!$1:$1,0)+1),MATCH(M$1,[3]enemies!$1:$1,0)-MATCH($L$1,[3]enemies!$1:$1,0)+1,FALSE)</f>
        <v>マーメイド</v>
      </c>
      <c r="N14" s="176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6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76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6">
        <f ca="1">VLOOKUP($L14,OFFSET([3]enemies!$A$1,0,0,COUNTA([3]enemies!$A:$A),MATCH(Q$1,[3]enemies!$1:$1,0)-MATCH($L$1,[3]enemies!$1:$1,0)+1),MATCH(Q$1,[3]enemies!$1:$1,0)-MATCH($L$1,[3]enemies!$1:$1,0)+1,FALSE)</f>
        <v>20</v>
      </c>
      <c r="R14" s="177">
        <v>20</v>
      </c>
      <c r="S14" s="213">
        <v>0.8</v>
      </c>
      <c r="T14" s="178">
        <v>0.6</v>
      </c>
      <c r="U14" s="177">
        <v>0</v>
      </c>
      <c r="V14" s="17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4" s="174">
        <v>20014100</v>
      </c>
      <c r="X14" s="179">
        <v>1</v>
      </c>
      <c r="Y14" s="179">
        <v>100</v>
      </c>
      <c r="Z14" s="179">
        <v>0</v>
      </c>
      <c r="AA14" s="176">
        <v>2</v>
      </c>
      <c r="AB14" s="180">
        <f>L14</f>
        <v>146</v>
      </c>
      <c r="AC14" s="17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マーメイド</v>
      </c>
      <c r="AD14" s="17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17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4" s="98">
        <v>1</v>
      </c>
      <c r="AG14" s="180">
        <f ca="1">AD14</f>
        <v>3</v>
      </c>
      <c r="AH14" s="181">
        <v>0</v>
      </c>
      <c r="AI14" s="98">
        <v>0</v>
      </c>
      <c r="AJ14" s="98">
        <v>0</v>
      </c>
      <c r="AK14" s="98">
        <v>0</v>
      </c>
      <c r="AL14" s="98">
        <v>0</v>
      </c>
      <c r="AM14" s="98">
        <v>1</v>
      </c>
      <c r="AN14" s="182">
        <v>1</v>
      </c>
    </row>
    <row r="15" spans="1:40" ht="21" customHeight="1" x14ac:dyDescent="0.15">
      <c r="A15" s="104" t="str">
        <f>B15&amp;"_"&amp;C15&amp;"-"&amp;G15&amp;"/"&amp;L15&amp;"&lt;lv"&amp;R15&amp;"&gt;s"&amp;AA15</f>
        <v>20014_2-1/842&lt;lv20&gt;s2</v>
      </c>
      <c r="B15" s="18">
        <v>20014</v>
      </c>
      <c r="C15" s="107">
        <v>2</v>
      </c>
      <c r="D15" s="11" t="str">
        <f>B15&amp;"_"&amp;C15</f>
        <v>20014_2</v>
      </c>
      <c r="E15" s="3" t="str">
        <f ca="1">VLOOKUP($B15,OFFSET([2]quests!$A$1,0,0,COUNTA([2]quests!$A:$A),MATCH(E$1,[2]quests!$1:$1,0)-MATCH($B$1,[2]quests!$1:$1,0)+1),MATCH(E$1,[2]quests!$1:$1,0)-MATCH($B$1,[2]quests!$1:$1,0)+1,FALSE)</f>
        <v>魅了する歌声</v>
      </c>
      <c r="F15" s="3" t="str">
        <f ca="1">VLOOKUP($D15,OFFSET([2]stages!$A$1,0,0,COUNTA([2]stages!$A:$A),MATCH(F$1,[2]stages!$2:$2,0)-MATCH($D$1,[2]stages!$2:$2,0)+1),MATCH(F$1,[2]stages!$2:$2,0)-MATCH($D$1,[2]stages!$2:$2,0)+1,FALSE)</f>
        <v>【中級】魅了する歌声</v>
      </c>
      <c r="G15" s="107">
        <v>1</v>
      </c>
      <c r="H15" s="11" t="str">
        <f>B15&amp;"_"&amp;C15&amp;"-"&amp;G15</f>
        <v>20014_2-1</v>
      </c>
      <c r="I15" s="3">
        <f ca="1">VLOOKUP($H15,OFFSET(floors!$A$1,0,0,COUNTA(floors!$A:$A),MATCH(I$1,floors!$1:$1,0)-MATCH($H$1,floors!$1:$1,0)+1),MATCH(I$1,floors!$1:$1,0)-MATCH($H$1,floors!$1:$1,0)+1,FALSE)</f>
        <v>60</v>
      </c>
      <c r="J15" s="3">
        <f ca="1">VLOOKUP($H15,OFFSET(floors!$A$1,0,0,COUNTA(floors!$A:$A),MATCH(J$1,floors!$1:$1,0)-MATCH($H$1,floors!$1:$1,0)+1),MATCH(J$1,floors!$1:$1,0)-MATCH($H$1,floors!$1:$1,0)+1,FALSE)</f>
        <v>60</v>
      </c>
      <c r="K15" s="30" t="s">
        <v>53</v>
      </c>
      <c r="L15" s="162">
        <v>842</v>
      </c>
      <c r="M15" s="13" t="str">
        <f ca="1">VLOOKUP($L15,OFFSET([3]enemies!$A$1,0,0,COUNTA([3]enemies!$A:$A),MATCH(M$1,[3]enemies!$1:$1,0)-MATCH($L$1,[3]enemies!$1:$1,0)+1),MATCH(M$1,[3]enemies!$1:$1,0)-MATCH($L$1,[3]enemies!$1:$1,0)+1,FALSE)</f>
        <v>セイレーン</v>
      </c>
      <c r="N15" s="13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3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3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3">
        <f ca="1">VLOOKUP($L15,OFFSET([3]enemies!$A$1,0,0,COUNTA([3]enemies!$A:$A),MATCH(Q$1,[3]enemies!$1:$1,0)-MATCH($L$1,[3]enemies!$1:$1,0)+1),MATCH(Q$1,[3]enemies!$1:$1,0)-MATCH($L$1,[3]enemies!$1:$1,0)+1,FALSE)</f>
        <v>30</v>
      </c>
      <c r="R15" s="4">
        <v>20</v>
      </c>
      <c r="S15" s="19">
        <v>1</v>
      </c>
      <c r="T15" s="19">
        <v>0.5</v>
      </c>
      <c r="U15" s="4">
        <v>0</v>
      </c>
      <c r="V15" s="3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この戦闘の間 回復パネルの出現率DOWN</v>
      </c>
      <c r="W15" s="3">
        <v>20014101</v>
      </c>
      <c r="X15" s="5">
        <v>1</v>
      </c>
      <c r="Y15" s="5">
        <v>100</v>
      </c>
      <c r="Z15" s="5">
        <v>0</v>
      </c>
      <c r="AA15" s="13">
        <v>2</v>
      </c>
      <c r="AB15" s="163">
        <f>L15</f>
        <v>842</v>
      </c>
      <c r="AC15" s="3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セイレーン</v>
      </c>
      <c r="AD15" s="3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3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106">
        <v>1</v>
      </c>
      <c r="AG15" s="163">
        <f ca="1">AD15</f>
        <v>4</v>
      </c>
      <c r="AH15" s="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1</v>
      </c>
      <c r="AN15" s="164">
        <v>1</v>
      </c>
    </row>
    <row r="16" spans="1:40" ht="21" customHeight="1" x14ac:dyDescent="0.15">
      <c r="A16" s="104" t="str">
        <f t="shared" ref="A16:A25" si="10">B16&amp;"_"&amp;C16&amp;"-"&amp;G16&amp;"/"&amp;L16&amp;"&lt;lv"&amp;R16&amp;"&gt;s"&amp;AA16</f>
        <v>20014_2-2/71&lt;lv21&gt;s3</v>
      </c>
      <c r="B16" s="18">
        <v>20014</v>
      </c>
      <c r="C16" s="107">
        <v>2</v>
      </c>
      <c r="D16" s="11" t="str">
        <f t="shared" ref="D16:D25" si="11">B16&amp;"_"&amp;C16</f>
        <v>20014_2</v>
      </c>
      <c r="E16" s="3" t="str">
        <f ca="1">VLOOKUP($B16,OFFSET([2]quests!$A$1,0,0,COUNTA([2]quests!$A:$A),MATCH(E$1,[2]quests!$1:$1,0)-MATCH($B$1,[2]quests!$1:$1,0)+1),MATCH(E$1,[2]quests!$1:$1,0)-MATCH($B$1,[2]quests!$1:$1,0)+1,FALSE)</f>
        <v>魅了する歌声</v>
      </c>
      <c r="F16" s="3" t="str">
        <f ca="1">VLOOKUP($D16,OFFSET([2]stages!$A$1,0,0,COUNTA([2]stages!$A:$A),MATCH(F$1,[2]stages!$2:$2,0)-MATCH($D$1,[2]stages!$2:$2,0)+1),MATCH(F$1,[2]stages!$2:$2,0)-MATCH($D$1,[2]stages!$2:$2,0)+1,FALSE)</f>
        <v>【中級】魅了する歌声</v>
      </c>
      <c r="G16" s="107">
        <v>2</v>
      </c>
      <c r="H16" s="11" t="str">
        <f t="shared" ref="H16:H25" si="12">B16&amp;"_"&amp;C16&amp;"-"&amp;G16</f>
        <v>20014_2-2</v>
      </c>
      <c r="I16" s="3">
        <f ca="1">VLOOKUP($H16,OFFSET(floors!$A$1,0,0,COUNTA(floors!$A:$A),MATCH(I$1,floors!$1:$1,0)-MATCH($H$1,floors!$1:$1,0)+1),MATCH(I$1,floors!$1:$1,0)-MATCH($H$1,floors!$1:$1,0)+1,FALSE)</f>
        <v>60</v>
      </c>
      <c r="J16" s="3">
        <f ca="1">VLOOKUP($H16,OFFSET(floors!$A$1,0,0,COUNTA(floors!$A:$A),MATCH(J$1,floors!$1:$1,0)-MATCH($H$1,floors!$1:$1,0)+1),MATCH(J$1,floors!$1:$1,0)-MATCH($H$1,floors!$1:$1,0)+1,FALSE)</f>
        <v>60</v>
      </c>
      <c r="K16" s="30" t="s">
        <v>53</v>
      </c>
      <c r="L16" s="162">
        <v>71</v>
      </c>
      <c r="M16" s="13" t="str">
        <f ca="1">VLOOKUP($L16,OFFSET([3]enemies!$A$1,0,0,COUNTA([3]enemies!$A:$A),MATCH(M$1,[3]enemies!$1:$1,0)-MATCH($L$1,[3]enemies!$1:$1,0)+1),MATCH(M$1,[3]enemies!$1:$1,0)-MATCH($L$1,[3]enemies!$1:$1,0)+1,FALSE)</f>
        <v>ダックス</v>
      </c>
      <c r="N16" s="13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3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3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3">
        <f ca="1">VLOOKUP($L16,OFFSET([3]enemies!$A$1,0,0,COUNTA([3]enemies!$A:$A),MATCH(Q$1,[3]enemies!$1:$1,0)-MATCH($L$1,[3]enemies!$1:$1,0)+1),MATCH(Q$1,[3]enemies!$1:$1,0)-MATCH($L$1,[3]enemies!$1:$1,0)+1,FALSE)</f>
        <v>15</v>
      </c>
      <c r="R16" s="4">
        <v>21</v>
      </c>
      <c r="S16" s="19">
        <v>2</v>
      </c>
      <c r="T16" s="19">
        <v>0.5</v>
      </c>
      <c r="U16" s="4">
        <v>0</v>
      </c>
      <c r="V16" s="3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6" s="3">
        <v>20014102</v>
      </c>
      <c r="X16" s="5">
        <v>1</v>
      </c>
      <c r="Y16" s="5">
        <v>100</v>
      </c>
      <c r="Z16" s="5">
        <v>1</v>
      </c>
      <c r="AA16" s="13">
        <v>3</v>
      </c>
      <c r="AB16" s="163">
        <f t="shared" ref="AB16:AB25" si="13">L16</f>
        <v>71</v>
      </c>
      <c r="AC16" s="3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16" s="3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3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106">
        <v>1</v>
      </c>
      <c r="AG16" s="163">
        <f t="shared" ref="AG16:AG25" ca="1" si="14">AD16</f>
        <v>2</v>
      </c>
      <c r="AH16" s="6">
        <v>60</v>
      </c>
      <c r="AI16" s="106">
        <v>0</v>
      </c>
      <c r="AJ16" s="106">
        <v>0</v>
      </c>
      <c r="AK16" s="106">
        <v>0</v>
      </c>
      <c r="AL16" s="106">
        <v>0</v>
      </c>
      <c r="AM16" s="106">
        <v>1</v>
      </c>
      <c r="AN16" s="164">
        <v>1</v>
      </c>
    </row>
    <row r="17" spans="1:40" ht="21" customHeight="1" x14ac:dyDescent="0.15">
      <c r="A17" s="104" t="str">
        <f t="shared" si="10"/>
        <v>20014_2-2/71&lt;lv20&gt;s3</v>
      </c>
      <c r="B17" s="18">
        <v>20014</v>
      </c>
      <c r="C17" s="107">
        <v>2</v>
      </c>
      <c r="D17" s="11" t="str">
        <f t="shared" si="11"/>
        <v>20014_2</v>
      </c>
      <c r="E17" s="3" t="str">
        <f ca="1">VLOOKUP($B17,OFFSET([2]quests!$A$1,0,0,COUNTA([2]quests!$A:$A),MATCH(E$1,[2]quests!$1:$1,0)-MATCH($B$1,[2]quests!$1:$1,0)+1),MATCH(E$1,[2]quests!$1:$1,0)-MATCH($B$1,[2]quests!$1:$1,0)+1,FALSE)</f>
        <v>魅了する歌声</v>
      </c>
      <c r="F17" s="3" t="str">
        <f ca="1">VLOOKUP($D17,OFFSET([2]stages!$A$1,0,0,COUNTA([2]stages!$A:$A),MATCH(F$1,[2]stages!$2:$2,0)-MATCH($D$1,[2]stages!$2:$2,0)+1),MATCH(F$1,[2]stages!$2:$2,0)-MATCH($D$1,[2]stages!$2:$2,0)+1,FALSE)</f>
        <v>【中級】魅了する歌声</v>
      </c>
      <c r="G17" s="107">
        <v>2</v>
      </c>
      <c r="H17" s="11" t="str">
        <f t="shared" si="12"/>
        <v>20014_2-2</v>
      </c>
      <c r="I17" s="3">
        <f ca="1">VLOOKUP($H17,OFFSET(floors!$A$1,0,0,COUNTA(floors!$A:$A),MATCH(I$1,floors!$1:$1,0)-MATCH($H$1,floors!$1:$1,0)+1),MATCH(I$1,floors!$1:$1,0)-MATCH($H$1,floors!$1:$1,0)+1,FALSE)</f>
        <v>60</v>
      </c>
      <c r="J17" s="3">
        <f ca="1">VLOOKUP($H17,OFFSET(floors!$A$1,0,0,COUNTA(floors!$A:$A),MATCH(J$1,floors!$1:$1,0)-MATCH($H$1,floors!$1:$1,0)+1),MATCH(J$1,floors!$1:$1,0)-MATCH($H$1,floors!$1:$1,0)+1,FALSE)</f>
        <v>60</v>
      </c>
      <c r="K17" s="30" t="s">
        <v>53</v>
      </c>
      <c r="L17" s="162">
        <v>71</v>
      </c>
      <c r="M17" s="13" t="str">
        <f ca="1">VLOOKUP($L17,OFFSET([3]enemies!$A$1,0,0,COUNTA([3]enemies!$A:$A),MATCH(M$1,[3]enemies!$1:$1,0)-MATCH($L$1,[3]enemies!$1:$1,0)+1),MATCH(M$1,[3]enemies!$1:$1,0)-MATCH($L$1,[3]enemies!$1:$1,0)+1,FALSE)</f>
        <v>ダックス</v>
      </c>
      <c r="N17" s="13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3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3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3">
        <f ca="1">VLOOKUP($L17,OFFSET([3]enemies!$A$1,0,0,COUNTA([3]enemies!$A:$A),MATCH(Q$1,[3]enemies!$1:$1,0)-MATCH($L$1,[3]enemies!$1:$1,0)+1),MATCH(Q$1,[3]enemies!$1:$1,0)-MATCH($L$1,[3]enemies!$1:$1,0)+1,FALSE)</f>
        <v>15</v>
      </c>
      <c r="R17" s="4">
        <v>20</v>
      </c>
      <c r="S17" s="19">
        <v>2</v>
      </c>
      <c r="T17" s="19">
        <v>0.5</v>
      </c>
      <c r="U17" s="4">
        <v>0</v>
      </c>
      <c r="V17" s="3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7" s="3">
        <v>20014103</v>
      </c>
      <c r="X17" s="5">
        <v>0</v>
      </c>
      <c r="Y17" s="5">
        <v>100</v>
      </c>
      <c r="Z17" s="5">
        <v>0</v>
      </c>
      <c r="AA17" s="13">
        <v>3</v>
      </c>
      <c r="AB17" s="163">
        <f t="shared" si="13"/>
        <v>71</v>
      </c>
      <c r="AC17" s="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17" s="3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106">
        <v>1</v>
      </c>
      <c r="AG17" s="163">
        <f t="shared" ca="1" si="14"/>
        <v>2</v>
      </c>
      <c r="AH17" s="6">
        <v>60</v>
      </c>
      <c r="AI17" s="106">
        <v>0</v>
      </c>
      <c r="AJ17" s="106">
        <v>0</v>
      </c>
      <c r="AK17" s="106">
        <v>0</v>
      </c>
      <c r="AL17" s="106">
        <v>0</v>
      </c>
      <c r="AM17" s="106">
        <v>1</v>
      </c>
      <c r="AN17" s="164">
        <v>1</v>
      </c>
    </row>
    <row r="18" spans="1:40" ht="21" customHeight="1" x14ac:dyDescent="0.15">
      <c r="A18" s="104" t="str">
        <f t="shared" si="10"/>
        <v>20014_2-3/184&lt;lv20&gt;s3</v>
      </c>
      <c r="B18" s="18">
        <v>20014</v>
      </c>
      <c r="C18" s="107">
        <v>2</v>
      </c>
      <c r="D18" s="11" t="str">
        <f t="shared" si="11"/>
        <v>20014_2</v>
      </c>
      <c r="E18" s="3" t="str">
        <f ca="1">VLOOKUP($B18,OFFSET([2]quests!$A$1,0,0,COUNTA([2]quests!$A:$A),MATCH(E$1,[2]quests!$1:$1,0)-MATCH($B$1,[2]quests!$1:$1,0)+1),MATCH(E$1,[2]quests!$1:$1,0)-MATCH($B$1,[2]quests!$1:$1,0)+1,FALSE)</f>
        <v>魅了する歌声</v>
      </c>
      <c r="F18" s="3" t="str">
        <f ca="1">VLOOKUP($D18,OFFSET([2]stages!$A$1,0,0,COUNTA([2]stages!$A:$A),MATCH(F$1,[2]stages!$2:$2,0)-MATCH($D$1,[2]stages!$2:$2,0)+1),MATCH(F$1,[2]stages!$2:$2,0)-MATCH($D$1,[2]stages!$2:$2,0)+1,FALSE)</f>
        <v>【中級】魅了する歌声</v>
      </c>
      <c r="G18" s="107">
        <v>3</v>
      </c>
      <c r="H18" s="11" t="str">
        <f t="shared" si="12"/>
        <v>20014_2-3</v>
      </c>
      <c r="I18" s="3">
        <f ca="1">VLOOKUP($H18,OFFSET(floors!$A$1,0,0,COUNTA(floors!$A:$A),MATCH(I$1,floors!$1:$1,0)-MATCH($H$1,floors!$1:$1,0)+1),MATCH(I$1,floors!$1:$1,0)-MATCH($H$1,floors!$1:$1,0)+1,FALSE)</f>
        <v>60</v>
      </c>
      <c r="J18" s="3">
        <f ca="1">VLOOKUP($H18,OFFSET(floors!$A$1,0,0,COUNTA(floors!$A:$A),MATCH(J$1,floors!$1:$1,0)-MATCH($H$1,floors!$1:$1,0)+1),MATCH(J$1,floors!$1:$1,0)-MATCH($H$1,floors!$1:$1,0)+1,FALSE)</f>
        <v>60</v>
      </c>
      <c r="K18" s="30" t="s">
        <v>53</v>
      </c>
      <c r="L18" s="162">
        <v>184</v>
      </c>
      <c r="M18" s="13" t="str">
        <f ca="1">VLOOKUP($L18,OFFSET([3]enemies!$A$1,0,0,COUNTA([3]enemies!$A:$A),MATCH(M$1,[3]enemies!$1:$1,0)-MATCH($L$1,[3]enemies!$1:$1,0)+1),MATCH(M$1,[3]enemies!$1:$1,0)-MATCH($L$1,[3]enemies!$1:$1,0)+1,FALSE)</f>
        <v>クラーケン</v>
      </c>
      <c r="N18" s="13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3" t="str">
        <f ca="1">VLOOKUP($L18,OFFSET([4]characters!$A$1,0,0,COUNTA([4]characters!$A:$A),MATCH(O$1,[4]characters!$1:$1,0)-MATCH($L$1,[4]characters!$1:$1,0)+1),MATCH(O$1,[4]characters!$1:$1,0)-MATCH($L$1,[4]characters!$1:$1,0)+1,FALSE)</f>
        <v>PremiumN</v>
      </c>
      <c r="P18" s="13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3">
        <f ca="1">VLOOKUP($L18,OFFSET([3]enemies!$A$1,0,0,COUNTA([3]enemies!$A:$A),MATCH(Q$1,[3]enemies!$1:$1,0)-MATCH($L$1,[3]enemies!$1:$1,0)+1),MATCH(Q$1,[3]enemies!$1:$1,0)-MATCH($L$1,[3]enemies!$1:$1,0)+1,FALSE)</f>
        <v>20</v>
      </c>
      <c r="R18" s="4">
        <v>20</v>
      </c>
      <c r="S18" s="19">
        <v>1.5</v>
      </c>
      <c r="T18" s="19">
        <v>0.5</v>
      </c>
      <c r="U18" s="4">
        <v>0</v>
      </c>
      <c r="V18" s="3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ハートパネルを最大5個生成_x000D_＋8回連続攻撃</v>
      </c>
      <c r="W18" s="3">
        <v>20014104</v>
      </c>
      <c r="X18" s="5">
        <v>1</v>
      </c>
      <c r="Y18" s="5">
        <v>100</v>
      </c>
      <c r="Z18" s="5">
        <v>1</v>
      </c>
      <c r="AA18" s="13">
        <v>3</v>
      </c>
      <c r="AB18" s="163">
        <f t="shared" si="13"/>
        <v>184</v>
      </c>
      <c r="AC18" s="3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クラーケン</v>
      </c>
      <c r="AD18" s="3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3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8" s="106">
        <v>1</v>
      </c>
      <c r="AG18" s="163">
        <f t="shared" ca="1" si="14"/>
        <v>3</v>
      </c>
      <c r="AH18" s="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1</v>
      </c>
      <c r="AN18" s="164">
        <v>1</v>
      </c>
    </row>
    <row r="19" spans="1:40" ht="21" customHeight="1" x14ac:dyDescent="0.15">
      <c r="A19" s="104" t="str">
        <f t="shared" si="10"/>
        <v>20014_2-3/18&lt;lv20&gt;s2</v>
      </c>
      <c r="B19" s="18">
        <v>20014</v>
      </c>
      <c r="C19" s="107">
        <v>2</v>
      </c>
      <c r="D19" s="11" t="str">
        <f t="shared" si="11"/>
        <v>20014_2</v>
      </c>
      <c r="E19" s="3" t="str">
        <f ca="1">VLOOKUP($B19,OFFSET([2]quests!$A$1,0,0,COUNTA([2]quests!$A:$A),MATCH(E$1,[2]quests!$1:$1,0)-MATCH($B$1,[2]quests!$1:$1,0)+1),MATCH(E$1,[2]quests!$1:$1,0)-MATCH($B$1,[2]quests!$1:$1,0)+1,FALSE)</f>
        <v>魅了する歌声</v>
      </c>
      <c r="F19" s="3" t="str">
        <f ca="1">VLOOKUP($D19,OFFSET([2]stages!$A$1,0,0,COUNTA([2]stages!$A:$A),MATCH(F$1,[2]stages!$2:$2,0)-MATCH($D$1,[2]stages!$2:$2,0)+1),MATCH(F$1,[2]stages!$2:$2,0)-MATCH($D$1,[2]stages!$2:$2,0)+1,FALSE)</f>
        <v>【中級】魅了する歌声</v>
      </c>
      <c r="G19" s="107">
        <v>3</v>
      </c>
      <c r="H19" s="11" t="str">
        <f t="shared" si="12"/>
        <v>20014_2-3</v>
      </c>
      <c r="I19" s="3">
        <f ca="1">VLOOKUP($H19,OFFSET(floors!$A$1,0,0,COUNTA(floors!$A:$A),MATCH(I$1,floors!$1:$1,0)-MATCH($H$1,floors!$1:$1,0)+1),MATCH(I$1,floors!$1:$1,0)-MATCH($H$1,floors!$1:$1,0)+1,FALSE)</f>
        <v>60</v>
      </c>
      <c r="J19" s="3">
        <f ca="1">VLOOKUP($H19,OFFSET(floors!$A$1,0,0,COUNTA(floors!$A:$A),MATCH(J$1,floors!$1:$1,0)-MATCH($H$1,floors!$1:$1,0)+1),MATCH(J$1,floors!$1:$1,0)-MATCH($H$1,floors!$1:$1,0)+1,FALSE)</f>
        <v>60</v>
      </c>
      <c r="K19" s="30" t="s">
        <v>53</v>
      </c>
      <c r="L19" s="162">
        <v>18</v>
      </c>
      <c r="M19" s="13" t="str">
        <f ca="1">VLOOKUP($L19,OFFSET([3]enemies!$A$1,0,0,COUNTA([3]enemies!$A:$A),MATCH(M$1,[3]enemies!$1:$1,0)-MATCH($L$1,[3]enemies!$1:$1,0)+1),MATCH(M$1,[3]enemies!$1:$1,0)-MATCH($L$1,[3]enemies!$1:$1,0)+1,FALSE)</f>
        <v>戦闘案内人 リム</v>
      </c>
      <c r="N19" s="13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3" t="str">
        <f ca="1">VLOOKUP($L19,OFFSET([4]characters!$A$1,0,0,COUNTA([4]characters!$A:$A),MATCH(O$1,[4]characters!$1:$1,0)-MATCH($L$1,[4]characters!$1:$1,0)+1),MATCH(O$1,[4]characters!$1:$1,0)-MATCH($L$1,[4]characters!$1:$1,0)+1,FALSE)</f>
        <v>Drop1W</v>
      </c>
      <c r="P19" s="13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3">
        <f ca="1">VLOOKUP($L19,OFFSET([3]enemies!$A$1,0,0,COUNTA([3]enemies!$A:$A),MATCH(Q$1,[3]enemies!$1:$1,0)-MATCH($L$1,[3]enemies!$1:$1,0)+1),MATCH(Q$1,[3]enemies!$1:$1,0)-MATCH($L$1,[3]enemies!$1:$1,0)+1,FALSE)</f>
        <v>15</v>
      </c>
      <c r="R19" s="4">
        <v>20</v>
      </c>
      <c r="S19" s="19">
        <v>1.5</v>
      </c>
      <c r="T19" s="19">
        <v>0.5</v>
      </c>
      <c r="U19" s="4">
        <v>0</v>
      </c>
      <c r="V19" s="3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9" s="3">
        <v>20014105</v>
      </c>
      <c r="X19" s="5">
        <v>0</v>
      </c>
      <c r="Y19" s="5">
        <v>100</v>
      </c>
      <c r="Z19" s="5">
        <v>0</v>
      </c>
      <c r="AA19" s="13">
        <v>2</v>
      </c>
      <c r="AB19" s="163">
        <f t="shared" si="13"/>
        <v>18</v>
      </c>
      <c r="AC19" s="3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19" s="3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3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Drop1W</v>
      </c>
      <c r="AF19" s="106">
        <v>1</v>
      </c>
      <c r="AG19" s="163">
        <f t="shared" ca="1" si="14"/>
        <v>2</v>
      </c>
      <c r="AH19" s="6">
        <v>60</v>
      </c>
      <c r="AI19" s="106">
        <v>0</v>
      </c>
      <c r="AJ19" s="106">
        <v>0</v>
      </c>
      <c r="AK19" s="106">
        <v>0</v>
      </c>
      <c r="AL19" s="106">
        <v>0</v>
      </c>
      <c r="AM19" s="106">
        <v>1</v>
      </c>
      <c r="AN19" s="164">
        <v>1</v>
      </c>
    </row>
    <row r="20" spans="1:40" ht="21" customHeight="1" x14ac:dyDescent="0.15">
      <c r="A20" s="104" t="str">
        <f t="shared" si="10"/>
        <v>20014_2-3/55&lt;lv20&gt;s2</v>
      </c>
      <c r="B20" s="18">
        <v>20014</v>
      </c>
      <c r="C20" s="107">
        <v>2</v>
      </c>
      <c r="D20" s="11" t="str">
        <f t="shared" si="11"/>
        <v>20014_2</v>
      </c>
      <c r="E20" s="3" t="str">
        <f ca="1">VLOOKUP($B20,OFFSET([2]quests!$A$1,0,0,COUNTA([2]quests!$A:$A),MATCH(E$1,[2]quests!$1:$1,0)-MATCH($B$1,[2]quests!$1:$1,0)+1),MATCH(E$1,[2]quests!$1:$1,0)-MATCH($B$1,[2]quests!$1:$1,0)+1,FALSE)</f>
        <v>魅了する歌声</v>
      </c>
      <c r="F20" s="3" t="str">
        <f ca="1">VLOOKUP($D20,OFFSET([2]stages!$A$1,0,0,COUNTA([2]stages!$A:$A),MATCH(F$1,[2]stages!$2:$2,0)-MATCH($D$1,[2]stages!$2:$2,0)+1),MATCH(F$1,[2]stages!$2:$2,0)-MATCH($D$1,[2]stages!$2:$2,0)+1,FALSE)</f>
        <v>【中級】魅了する歌声</v>
      </c>
      <c r="G20" s="107">
        <v>3</v>
      </c>
      <c r="H20" s="11" t="str">
        <f t="shared" si="12"/>
        <v>20014_2-3</v>
      </c>
      <c r="I20" s="3">
        <f ca="1">VLOOKUP($H20,OFFSET(floors!$A$1,0,0,COUNTA(floors!$A:$A),MATCH(I$1,floors!$1:$1,0)-MATCH($H$1,floors!$1:$1,0)+1),MATCH(I$1,floors!$1:$1,0)-MATCH($H$1,floors!$1:$1,0)+1,FALSE)</f>
        <v>60</v>
      </c>
      <c r="J20" s="3">
        <f ca="1">VLOOKUP($H20,OFFSET(floors!$A$1,0,0,COUNTA(floors!$A:$A),MATCH(J$1,floors!$1:$1,0)-MATCH($H$1,floors!$1:$1,0)+1),MATCH(J$1,floors!$1:$1,0)-MATCH($H$1,floors!$1:$1,0)+1,FALSE)</f>
        <v>60</v>
      </c>
      <c r="K20" s="30" t="s">
        <v>53</v>
      </c>
      <c r="L20" s="162">
        <v>55</v>
      </c>
      <c r="M20" s="13" t="str">
        <f ca="1">VLOOKUP($L20,OFFSET([3]enemies!$A$1,0,0,COUNTA([3]enemies!$A:$A),MATCH(M$1,[3]enemies!$1:$1,0)-MATCH($L$1,[3]enemies!$1:$1,0)+1),MATCH(M$1,[3]enemies!$1:$1,0)-MATCH($L$1,[3]enemies!$1:$1,0)+1,FALSE)</f>
        <v>マミコ</v>
      </c>
      <c r="N20" s="13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3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3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3">
        <f ca="1">VLOOKUP($L20,OFFSET([3]enemies!$A$1,0,0,COUNTA([3]enemies!$A:$A),MATCH(Q$1,[3]enemies!$1:$1,0)-MATCH($L$1,[3]enemies!$1:$1,0)+1),MATCH(Q$1,[3]enemies!$1:$1,0)-MATCH($L$1,[3]enemies!$1:$1,0)+1,FALSE)</f>
        <v>15</v>
      </c>
      <c r="R20" s="4">
        <v>20</v>
      </c>
      <c r="S20" s="19">
        <v>1.5</v>
      </c>
      <c r="T20" s="19">
        <v>0.5</v>
      </c>
      <c r="U20" s="4">
        <v>0</v>
      </c>
      <c r="V20" s="3" t="str">
        <f ca="1">VLOOKUP($W20,OFFSET(enemy_skill_sets!$B$1,0,0,COUNTA(enemy_skill_sets!$B:$B),MATCH(M$1,enemy_skill_sets!$1:$1,0)-MATCH($W$1,enemy_skill_sets!$1:$1,0)+2),MATCH(M$1,enemy_skill_sets!$1:$1,0)-MATCH($W$1,enemy_skill_sets!$1:$1,0)+2,FALSE)</f>
        <v>2ターンの間攻撃頻度が1にUP</v>
      </c>
      <c r="W20" s="3">
        <v>20014106</v>
      </c>
      <c r="X20" s="5">
        <v>0</v>
      </c>
      <c r="Y20" s="5">
        <v>100</v>
      </c>
      <c r="Z20" s="5">
        <v>0</v>
      </c>
      <c r="AA20" s="13">
        <v>2</v>
      </c>
      <c r="AB20" s="163">
        <f t="shared" si="13"/>
        <v>55</v>
      </c>
      <c r="AC20" s="3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20" s="3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3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106">
        <v>1</v>
      </c>
      <c r="AG20" s="163">
        <f t="shared" ca="1" si="14"/>
        <v>2</v>
      </c>
      <c r="AH20" s="6">
        <v>60</v>
      </c>
      <c r="AI20" s="106">
        <v>0</v>
      </c>
      <c r="AJ20" s="106">
        <v>0</v>
      </c>
      <c r="AK20" s="106">
        <v>0</v>
      </c>
      <c r="AL20" s="106">
        <v>0</v>
      </c>
      <c r="AM20" s="106">
        <v>1</v>
      </c>
      <c r="AN20" s="164">
        <v>1</v>
      </c>
    </row>
    <row r="21" spans="1:40" ht="21" customHeight="1" x14ac:dyDescent="0.15">
      <c r="A21" s="104" t="str">
        <f t="shared" si="10"/>
        <v>20014_2-4/405&lt;lv20&gt;s2</v>
      </c>
      <c r="B21" s="18">
        <v>20014</v>
      </c>
      <c r="C21" s="107">
        <v>2</v>
      </c>
      <c r="D21" s="11" t="str">
        <f t="shared" si="11"/>
        <v>20014_2</v>
      </c>
      <c r="E21" s="3" t="str">
        <f ca="1">VLOOKUP($B21,OFFSET([2]quests!$A$1,0,0,COUNTA([2]quests!$A:$A),MATCH(E$1,[2]quests!$1:$1,0)-MATCH($B$1,[2]quests!$1:$1,0)+1),MATCH(E$1,[2]quests!$1:$1,0)-MATCH($B$1,[2]quests!$1:$1,0)+1,FALSE)</f>
        <v>魅了する歌声</v>
      </c>
      <c r="F21" s="3" t="str">
        <f ca="1">VLOOKUP($D21,OFFSET([2]stages!$A$1,0,0,COUNTA([2]stages!$A:$A),MATCH(F$1,[2]stages!$2:$2,0)-MATCH($D$1,[2]stages!$2:$2,0)+1),MATCH(F$1,[2]stages!$2:$2,0)-MATCH($D$1,[2]stages!$2:$2,0)+1,FALSE)</f>
        <v>【中級】魅了する歌声</v>
      </c>
      <c r="G21" s="107">
        <v>4</v>
      </c>
      <c r="H21" s="11" t="str">
        <f t="shared" si="12"/>
        <v>20014_2-4</v>
      </c>
      <c r="I21" s="3">
        <f ca="1">VLOOKUP($H21,OFFSET(floors!$A$1,0,0,COUNTA(floors!$A:$A),MATCH(I$1,floors!$1:$1,0)-MATCH($H$1,floors!$1:$1,0)+1),MATCH(I$1,floors!$1:$1,0)-MATCH($H$1,floors!$1:$1,0)+1,FALSE)</f>
        <v>60</v>
      </c>
      <c r="J21" s="3">
        <f ca="1">VLOOKUP($H21,OFFSET(floors!$A$1,0,0,COUNTA(floors!$A:$A),MATCH(J$1,floors!$1:$1,0)-MATCH($H$1,floors!$1:$1,0)+1),MATCH(J$1,floors!$1:$1,0)-MATCH($H$1,floors!$1:$1,0)+1,FALSE)</f>
        <v>60</v>
      </c>
      <c r="K21" s="30" t="s">
        <v>53</v>
      </c>
      <c r="L21" s="162">
        <v>405</v>
      </c>
      <c r="M21" s="13" t="str">
        <f ca="1">VLOOKUP($L21,OFFSET([3]enemies!$A$1,0,0,COUNTA([3]enemies!$A:$A),MATCH(M$1,[3]enemies!$1:$1,0)-MATCH($L$1,[3]enemies!$1:$1,0)+1),MATCH(M$1,[3]enemies!$1:$1,0)-MATCH($L$1,[3]enemies!$1:$1,0)+1,FALSE)</f>
        <v>エキドナ</v>
      </c>
      <c r="N21" s="13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3" t="str">
        <f ca="1">VLOOKUP($L21,OFFSET([4]characters!$A$1,0,0,COUNTA([4]characters!$A:$A),MATCH(O$1,[4]characters!$1:$1,0)-MATCH($L$1,[4]characters!$1:$1,0)+1),MATCH(O$1,[4]characters!$1:$1,0)-MATCH($L$1,[4]characters!$1:$1,0)+1,FALSE)</f>
        <v>PremiumS</v>
      </c>
      <c r="P21" s="13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3">
        <f ca="1">VLOOKUP($L21,OFFSET([3]enemies!$A$1,0,0,COUNTA([3]enemies!$A:$A),MATCH(Q$1,[3]enemies!$1:$1,0)-MATCH($L$1,[3]enemies!$1:$1,0)+1),MATCH(Q$1,[3]enemies!$1:$1,0)-MATCH($L$1,[3]enemies!$1:$1,0)+1,FALSE)</f>
        <v>25</v>
      </c>
      <c r="R21" s="4">
        <v>20</v>
      </c>
      <c r="S21" s="19">
        <v>1.5</v>
      </c>
      <c r="T21" s="19">
        <v>0.6</v>
      </c>
      <c r="U21" s="4">
        <v>0</v>
      </c>
      <c r="V21" s="3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1" s="3">
        <v>20014107</v>
      </c>
      <c r="X21" s="5">
        <v>1</v>
      </c>
      <c r="Y21" s="5">
        <v>100</v>
      </c>
      <c r="Z21" s="5">
        <v>1</v>
      </c>
      <c r="AA21" s="13">
        <v>2</v>
      </c>
      <c r="AB21" s="163">
        <f t="shared" si="13"/>
        <v>405</v>
      </c>
      <c r="AC21" s="3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エキドナ</v>
      </c>
      <c r="AD21" s="3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3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1" s="106">
        <v>1</v>
      </c>
      <c r="AG21" s="163">
        <f t="shared" ca="1" si="14"/>
        <v>3</v>
      </c>
      <c r="AH21" s="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1</v>
      </c>
      <c r="AN21" s="164">
        <v>1</v>
      </c>
    </row>
    <row r="22" spans="1:40" ht="21" customHeight="1" x14ac:dyDescent="0.15">
      <c r="A22" s="104" t="str">
        <f t="shared" si="10"/>
        <v>20014_2-4/18&lt;lv20&gt;s1</v>
      </c>
      <c r="B22" s="18">
        <v>20014</v>
      </c>
      <c r="C22" s="107">
        <v>2</v>
      </c>
      <c r="D22" s="11" t="str">
        <f t="shared" si="11"/>
        <v>20014_2</v>
      </c>
      <c r="E22" s="3" t="str">
        <f ca="1">VLOOKUP($B22,OFFSET([2]quests!$A$1,0,0,COUNTA([2]quests!$A:$A),MATCH(E$1,[2]quests!$1:$1,0)-MATCH($B$1,[2]quests!$1:$1,0)+1),MATCH(E$1,[2]quests!$1:$1,0)-MATCH($B$1,[2]quests!$1:$1,0)+1,FALSE)</f>
        <v>魅了する歌声</v>
      </c>
      <c r="F22" s="3" t="str">
        <f ca="1">VLOOKUP($D22,OFFSET([2]stages!$A$1,0,0,COUNTA([2]stages!$A:$A),MATCH(F$1,[2]stages!$2:$2,0)-MATCH($D$1,[2]stages!$2:$2,0)+1),MATCH(F$1,[2]stages!$2:$2,0)-MATCH($D$1,[2]stages!$2:$2,0)+1,FALSE)</f>
        <v>【中級】魅了する歌声</v>
      </c>
      <c r="G22" s="107">
        <v>4</v>
      </c>
      <c r="H22" s="11" t="str">
        <f t="shared" si="12"/>
        <v>20014_2-4</v>
      </c>
      <c r="I22" s="3">
        <f ca="1">VLOOKUP($H22,OFFSET(floors!$A$1,0,0,COUNTA(floors!$A:$A),MATCH(I$1,floors!$1:$1,0)-MATCH($H$1,floors!$1:$1,0)+1),MATCH(I$1,floors!$1:$1,0)-MATCH($H$1,floors!$1:$1,0)+1,FALSE)</f>
        <v>60</v>
      </c>
      <c r="J22" s="3">
        <f ca="1">VLOOKUP($H22,OFFSET(floors!$A$1,0,0,COUNTA(floors!$A:$A),MATCH(J$1,floors!$1:$1,0)-MATCH($H$1,floors!$1:$1,0)+1),MATCH(J$1,floors!$1:$1,0)-MATCH($H$1,floors!$1:$1,0)+1,FALSE)</f>
        <v>60</v>
      </c>
      <c r="K22" s="30" t="s">
        <v>53</v>
      </c>
      <c r="L22" s="162">
        <v>18</v>
      </c>
      <c r="M22" s="13" t="str">
        <f ca="1">VLOOKUP($L22,OFFSET([3]enemies!$A$1,0,0,COUNTA([3]enemies!$A:$A),MATCH(M$1,[3]enemies!$1:$1,0)-MATCH($L$1,[3]enemies!$1:$1,0)+1),MATCH(M$1,[3]enemies!$1:$1,0)-MATCH($L$1,[3]enemies!$1:$1,0)+1,FALSE)</f>
        <v>戦闘案内人 リム</v>
      </c>
      <c r="N22" s="13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3" t="str">
        <f ca="1">VLOOKUP($L22,OFFSET([4]characters!$A$1,0,0,COUNTA([4]characters!$A:$A),MATCH(O$1,[4]characters!$1:$1,0)-MATCH($L$1,[4]characters!$1:$1,0)+1),MATCH(O$1,[4]characters!$1:$1,0)-MATCH($L$1,[4]characters!$1:$1,0)+1,FALSE)</f>
        <v>Drop1W</v>
      </c>
      <c r="P22" s="13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3">
        <f ca="1">VLOOKUP($L22,OFFSET([3]enemies!$A$1,0,0,COUNTA([3]enemies!$A:$A),MATCH(Q$1,[3]enemies!$1:$1,0)-MATCH($L$1,[3]enemies!$1:$1,0)+1),MATCH(Q$1,[3]enemies!$1:$1,0)-MATCH($L$1,[3]enemies!$1:$1,0)+1,FALSE)</f>
        <v>15</v>
      </c>
      <c r="R22" s="4">
        <v>20</v>
      </c>
      <c r="S22" s="19">
        <v>1.2</v>
      </c>
      <c r="T22" s="19">
        <v>0.5</v>
      </c>
      <c r="U22" s="4">
        <v>0</v>
      </c>
      <c r="V22" s="3" t="str">
        <f ca="1">VLOOKUP($W22,OFFSET(enemy_skill_sets!$B$1,0,0,COUNTA(enemy_skill_sets!$B:$B),MATCH(M$1,enemy_skill_sets!$1:$1,0)-MATCH($W$1,enemy_skill_sets!$1:$1,0)+2),MATCH(M$1,enemy_skill_sets!$1:$1,0)-MATCH($W$1,enemy_skill_sets!$1:$1,0)+2,FALSE)</f>
        <v>黄パネルを最大6個　時限式ダメージパネルに変換</v>
      </c>
      <c r="W22" s="3">
        <v>20014108</v>
      </c>
      <c r="X22" s="5">
        <v>0</v>
      </c>
      <c r="Y22" s="5">
        <v>100</v>
      </c>
      <c r="Z22" s="5">
        <v>0</v>
      </c>
      <c r="AA22" s="13">
        <v>1</v>
      </c>
      <c r="AB22" s="163">
        <f t="shared" si="13"/>
        <v>18</v>
      </c>
      <c r="AC22" s="3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22" s="3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3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2" s="106">
        <v>1</v>
      </c>
      <c r="AG22" s="163">
        <f t="shared" ca="1" si="14"/>
        <v>2</v>
      </c>
      <c r="AH22" s="6">
        <v>60</v>
      </c>
      <c r="AI22" s="106">
        <v>0</v>
      </c>
      <c r="AJ22" s="106">
        <v>0</v>
      </c>
      <c r="AK22" s="106">
        <v>0</v>
      </c>
      <c r="AL22" s="106">
        <v>0</v>
      </c>
      <c r="AM22" s="106">
        <v>1</v>
      </c>
      <c r="AN22" s="164">
        <v>1</v>
      </c>
    </row>
    <row r="23" spans="1:40" ht="21" customHeight="1" x14ac:dyDescent="0.15">
      <c r="A23" s="104" t="str">
        <f t="shared" si="10"/>
        <v>20014_2-4/71&lt;lv20&gt;s3</v>
      </c>
      <c r="B23" s="18">
        <v>20014</v>
      </c>
      <c r="C23" s="107">
        <v>2</v>
      </c>
      <c r="D23" s="11" t="str">
        <f t="shared" si="11"/>
        <v>20014_2</v>
      </c>
      <c r="E23" s="3" t="str">
        <f ca="1">VLOOKUP($B23,OFFSET([2]quests!$A$1,0,0,COUNTA([2]quests!$A:$A),MATCH(E$1,[2]quests!$1:$1,0)-MATCH($B$1,[2]quests!$1:$1,0)+1),MATCH(E$1,[2]quests!$1:$1,0)-MATCH($B$1,[2]quests!$1:$1,0)+1,FALSE)</f>
        <v>魅了する歌声</v>
      </c>
      <c r="F23" s="3" t="str">
        <f ca="1">VLOOKUP($D23,OFFSET([2]stages!$A$1,0,0,COUNTA([2]stages!$A:$A),MATCH(F$1,[2]stages!$2:$2,0)-MATCH($D$1,[2]stages!$2:$2,0)+1),MATCH(F$1,[2]stages!$2:$2,0)-MATCH($D$1,[2]stages!$2:$2,0)+1,FALSE)</f>
        <v>【中級】魅了する歌声</v>
      </c>
      <c r="G23" s="107">
        <v>4</v>
      </c>
      <c r="H23" s="11" t="str">
        <f t="shared" si="12"/>
        <v>20014_2-4</v>
      </c>
      <c r="I23" s="3">
        <f ca="1">VLOOKUP($H23,OFFSET(floors!$A$1,0,0,COUNTA(floors!$A:$A),MATCH(I$1,floors!$1:$1,0)-MATCH($H$1,floors!$1:$1,0)+1),MATCH(I$1,floors!$1:$1,0)-MATCH($H$1,floors!$1:$1,0)+1,FALSE)</f>
        <v>60</v>
      </c>
      <c r="J23" s="3">
        <f ca="1">VLOOKUP($H23,OFFSET(floors!$A$1,0,0,COUNTA(floors!$A:$A),MATCH(J$1,floors!$1:$1,0)-MATCH($H$1,floors!$1:$1,0)+1),MATCH(J$1,floors!$1:$1,0)-MATCH($H$1,floors!$1:$1,0)+1,FALSE)</f>
        <v>60</v>
      </c>
      <c r="K23" s="30" t="s">
        <v>53</v>
      </c>
      <c r="L23" s="162">
        <v>71</v>
      </c>
      <c r="M23" s="13" t="str">
        <f ca="1">VLOOKUP($L23,OFFSET([3]enemies!$A$1,0,0,COUNTA([3]enemies!$A:$A),MATCH(M$1,[3]enemies!$1:$1,0)-MATCH($L$1,[3]enemies!$1:$1,0)+1),MATCH(M$1,[3]enemies!$1:$1,0)-MATCH($L$1,[3]enemies!$1:$1,0)+1,FALSE)</f>
        <v>ダックス</v>
      </c>
      <c r="N23" s="13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3" t="str">
        <f ca="1">VLOOKUP($L23,OFFSET([4]characters!$A$1,0,0,COUNTA([4]characters!$A:$A),MATCH(O$1,[4]characters!$1:$1,0)-MATCH($L$1,[4]characters!$1:$1,0)+1),MATCH(O$1,[4]characters!$1:$1,0)-MATCH($L$1,[4]characters!$1:$1,0)+1,FALSE)</f>
        <v>Drop1S</v>
      </c>
      <c r="P23" s="13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3">
        <f ca="1">VLOOKUP($L23,OFFSET([3]enemies!$A$1,0,0,COUNTA([3]enemies!$A:$A),MATCH(Q$1,[3]enemies!$1:$1,0)-MATCH($L$1,[3]enemies!$1:$1,0)+1),MATCH(Q$1,[3]enemies!$1:$1,0)-MATCH($L$1,[3]enemies!$1:$1,0)+1,FALSE)</f>
        <v>15</v>
      </c>
      <c r="R23" s="4">
        <v>20</v>
      </c>
      <c r="S23" s="19">
        <v>1.2</v>
      </c>
      <c r="T23" s="19">
        <v>0.5</v>
      </c>
      <c r="U23" s="4">
        <v>0</v>
      </c>
      <c r="V23" s="3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3" s="3">
        <v>20014109</v>
      </c>
      <c r="X23" s="5">
        <v>0</v>
      </c>
      <c r="Y23" s="5">
        <v>100</v>
      </c>
      <c r="Z23" s="5">
        <v>0</v>
      </c>
      <c r="AA23" s="13">
        <v>3</v>
      </c>
      <c r="AB23" s="163">
        <f t="shared" si="13"/>
        <v>71</v>
      </c>
      <c r="AC23" s="3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3" s="3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3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Drop1S</v>
      </c>
      <c r="AF23" s="106">
        <v>1</v>
      </c>
      <c r="AG23" s="163">
        <f t="shared" ca="1" si="14"/>
        <v>2</v>
      </c>
      <c r="AH23" s="6">
        <v>60</v>
      </c>
      <c r="AI23" s="106">
        <v>0</v>
      </c>
      <c r="AJ23" s="106">
        <v>0</v>
      </c>
      <c r="AK23" s="106">
        <v>0</v>
      </c>
      <c r="AL23" s="106">
        <v>0</v>
      </c>
      <c r="AM23" s="106">
        <v>1</v>
      </c>
      <c r="AN23" s="164">
        <v>1</v>
      </c>
    </row>
    <row r="24" spans="1:40" ht="21" customHeight="1" x14ac:dyDescent="0.15">
      <c r="A24" s="104" t="str">
        <f t="shared" si="10"/>
        <v>20014_2-5/842&lt;lv20&gt;s2</v>
      </c>
      <c r="B24" s="18">
        <v>20014</v>
      </c>
      <c r="C24" s="107">
        <v>2</v>
      </c>
      <c r="D24" s="11" t="str">
        <f t="shared" si="11"/>
        <v>20014_2</v>
      </c>
      <c r="E24" s="3" t="str">
        <f ca="1">VLOOKUP($B24,OFFSET([2]quests!$A$1,0,0,COUNTA([2]quests!$A:$A),MATCH(E$1,[2]quests!$1:$1,0)-MATCH($B$1,[2]quests!$1:$1,0)+1),MATCH(E$1,[2]quests!$1:$1,0)-MATCH($B$1,[2]quests!$1:$1,0)+1,FALSE)</f>
        <v>魅了する歌声</v>
      </c>
      <c r="F24" s="3" t="str">
        <f ca="1">VLOOKUP($D24,OFFSET([2]stages!$A$1,0,0,COUNTA([2]stages!$A:$A),MATCH(F$1,[2]stages!$2:$2,0)-MATCH($D$1,[2]stages!$2:$2,0)+1),MATCH(F$1,[2]stages!$2:$2,0)-MATCH($D$1,[2]stages!$2:$2,0)+1,FALSE)</f>
        <v>【中級】魅了する歌声</v>
      </c>
      <c r="G24" s="107">
        <v>5</v>
      </c>
      <c r="H24" s="11" t="str">
        <f t="shared" si="12"/>
        <v>20014_2-5</v>
      </c>
      <c r="I24" s="3">
        <f ca="1">VLOOKUP($H24,OFFSET(floors!$A$1,0,0,COUNTA(floors!$A:$A),MATCH(I$1,floors!$1:$1,0)-MATCH($H$1,floors!$1:$1,0)+1),MATCH(I$1,floors!$1:$1,0)-MATCH($H$1,floors!$1:$1,0)+1,FALSE)</f>
        <v>60</v>
      </c>
      <c r="J24" s="3">
        <f ca="1">VLOOKUP($H24,OFFSET(floors!$A$1,0,0,COUNTA(floors!$A:$A),MATCH(J$1,floors!$1:$1,0)-MATCH($H$1,floors!$1:$1,0)+1),MATCH(J$1,floors!$1:$1,0)-MATCH($H$1,floors!$1:$1,0)+1,FALSE)</f>
        <v>60</v>
      </c>
      <c r="K24" s="30">
        <v>2</v>
      </c>
      <c r="L24" s="162">
        <v>842</v>
      </c>
      <c r="M24" s="13" t="str">
        <f ca="1">VLOOKUP($L24,OFFSET([3]enemies!$A$1,0,0,COUNTA([3]enemies!$A:$A),MATCH(M$1,[3]enemies!$1:$1,0)-MATCH($L$1,[3]enemies!$1:$1,0)+1),MATCH(M$1,[3]enemies!$1:$1,0)-MATCH($L$1,[3]enemies!$1:$1,0)+1,FALSE)</f>
        <v>セイレーン</v>
      </c>
      <c r="N24" s="13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3" t="str">
        <f ca="1">VLOOKUP($L24,OFFSET([4]characters!$A$1,0,0,COUNTA([4]characters!$A:$A),MATCH(O$1,[4]characters!$1:$1,0)-MATCH($L$1,[4]characters!$1:$1,0)+1),MATCH(O$1,[4]characters!$1:$1,0)-MATCH($L$1,[4]characters!$1:$1,0)+1,FALSE)</f>
        <v>Drop2N</v>
      </c>
      <c r="P24" s="13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3">
        <f ca="1">VLOOKUP($L24,OFFSET([3]enemies!$A$1,0,0,COUNTA([3]enemies!$A:$A),MATCH(Q$1,[3]enemies!$1:$1,0)-MATCH($L$1,[3]enemies!$1:$1,0)+1),MATCH(Q$1,[3]enemies!$1:$1,0)-MATCH($L$1,[3]enemies!$1:$1,0)+1,FALSE)</f>
        <v>30</v>
      </c>
      <c r="R24" s="4">
        <v>20</v>
      </c>
      <c r="S24" s="19">
        <v>3</v>
      </c>
      <c r="T24" s="19">
        <v>0.6</v>
      </c>
      <c r="U24" s="4">
        <v>0</v>
      </c>
      <c r="V24" s="3" t="str">
        <f ca="1">VLOOKUP($W24,OFFSET(enemy_skill_sets!$B$1,0,0,COUNTA(enemy_skill_sets!$B:$B),MATCH(M$1,enemy_skill_sets!$1:$1,0)-MATCH($W$1,enemy_skill_sets!$1:$1,0)+2),MATCH(M$1,enemy_skill_sets!$1:$1,0)-MATCH($W$1,enemy_skill_sets!$1:$1,0)+2,FALSE)</f>
        <v>フィーバーゲージ上昇_x000D_＋解除するまで毎ターンダメージ</v>
      </c>
      <c r="W24" s="3">
        <v>20014110</v>
      </c>
      <c r="X24" s="5">
        <v>1</v>
      </c>
      <c r="Y24" s="5">
        <v>100</v>
      </c>
      <c r="Z24" s="5">
        <v>1</v>
      </c>
      <c r="AA24" s="13">
        <v>2</v>
      </c>
      <c r="AB24" s="163">
        <f t="shared" si="13"/>
        <v>842</v>
      </c>
      <c r="AC24" s="3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セイレーン</v>
      </c>
      <c r="AD24" s="3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3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Drop2N</v>
      </c>
      <c r="AF24" s="106">
        <v>1</v>
      </c>
      <c r="AG24" s="163">
        <f t="shared" ca="1" si="14"/>
        <v>4</v>
      </c>
      <c r="AH24" s="6">
        <v>50</v>
      </c>
      <c r="AI24" s="106">
        <v>0</v>
      </c>
      <c r="AJ24" s="106">
        <v>0</v>
      </c>
      <c r="AK24" s="106">
        <v>0</v>
      </c>
      <c r="AL24" s="106">
        <v>0</v>
      </c>
      <c r="AM24" s="106">
        <v>1</v>
      </c>
      <c r="AN24" s="164">
        <v>1</v>
      </c>
    </row>
    <row r="25" spans="1:40" ht="21" customHeight="1" thickBot="1" x14ac:dyDescent="0.2">
      <c r="A25" s="109" t="str">
        <f t="shared" si="10"/>
        <v>20014_2-5/53&lt;lv20&gt;s2</v>
      </c>
      <c r="B25" s="183">
        <v>20014</v>
      </c>
      <c r="C25" s="112">
        <v>2</v>
      </c>
      <c r="D25" s="113" t="str">
        <f t="shared" si="11"/>
        <v>20014_2</v>
      </c>
      <c r="E25" s="184" t="str">
        <f ca="1">VLOOKUP($B25,OFFSET([2]quests!$A$1,0,0,COUNTA([2]quests!$A:$A),MATCH(E$1,[2]quests!$1:$1,0)-MATCH($B$1,[2]quests!$1:$1,0)+1),MATCH(E$1,[2]quests!$1:$1,0)-MATCH($B$1,[2]quests!$1:$1,0)+1,FALSE)</f>
        <v>魅了する歌声</v>
      </c>
      <c r="F25" s="184" t="str">
        <f ca="1">VLOOKUP($D25,OFFSET([2]stages!$A$1,0,0,COUNTA([2]stages!$A:$A),MATCH(F$1,[2]stages!$2:$2,0)-MATCH($D$1,[2]stages!$2:$2,0)+1),MATCH(F$1,[2]stages!$2:$2,0)-MATCH($D$1,[2]stages!$2:$2,0)+1,FALSE)</f>
        <v>【中級】魅了する歌声</v>
      </c>
      <c r="G25" s="112">
        <v>5</v>
      </c>
      <c r="H25" s="113" t="str">
        <f t="shared" si="12"/>
        <v>20014_2-5</v>
      </c>
      <c r="I25" s="184">
        <f ca="1">VLOOKUP($H25,OFFSET(floors!$A$1,0,0,COUNTA(floors!$A:$A),MATCH(I$1,floors!$1:$1,0)-MATCH($H$1,floors!$1:$1,0)+1),MATCH(I$1,floors!$1:$1,0)-MATCH($H$1,floors!$1:$1,0)+1,FALSE)</f>
        <v>60</v>
      </c>
      <c r="J25" s="184">
        <f ca="1">VLOOKUP($H25,OFFSET(floors!$A$1,0,0,COUNTA(floors!$A:$A),MATCH(J$1,floors!$1:$1,0)-MATCH($H$1,floors!$1:$1,0)+1),MATCH(J$1,floors!$1:$1,0)-MATCH($H$1,floors!$1:$1,0)+1,FALSE)</f>
        <v>60</v>
      </c>
      <c r="K25" s="114" t="s">
        <v>233</v>
      </c>
      <c r="L25" s="185">
        <v>53</v>
      </c>
      <c r="M25" s="186" t="str">
        <f ca="1">VLOOKUP($L25,OFFSET([3]enemies!$A$1,0,0,COUNTA([3]enemies!$A:$A),MATCH(M$1,[3]enemies!$1:$1,0)-MATCH($L$1,[3]enemies!$1:$1,0)+1),MATCH(M$1,[3]enemies!$1:$1,0)-MATCH($L$1,[3]enemies!$1:$1,0)+1,FALSE)</f>
        <v>ケンジ</v>
      </c>
      <c r="N25" s="186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86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86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86">
        <f ca="1">VLOOKUP($L25,OFFSET([3]enemies!$A$1,0,0,COUNTA([3]enemies!$A:$A),MATCH(Q$1,[3]enemies!$1:$1,0)-MATCH($L$1,[3]enemies!$1:$1,0)+1),MATCH(Q$1,[3]enemies!$1:$1,0)-MATCH($L$1,[3]enemies!$1:$1,0)+1,FALSE)</f>
        <v>15</v>
      </c>
      <c r="R25" s="187">
        <v>20</v>
      </c>
      <c r="S25" s="188">
        <v>4</v>
      </c>
      <c r="T25" s="188">
        <v>0.5</v>
      </c>
      <c r="U25" s="187">
        <v>0</v>
      </c>
      <c r="V25" s="184" t="e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5" s="184">
        <v>20014111</v>
      </c>
      <c r="X25" s="189">
        <v>1</v>
      </c>
      <c r="Y25" s="189">
        <v>100</v>
      </c>
      <c r="Z25" s="189">
        <v>2</v>
      </c>
      <c r="AA25" s="186">
        <v>2</v>
      </c>
      <c r="AB25" s="190">
        <f t="shared" si="13"/>
        <v>53</v>
      </c>
      <c r="AC25" s="18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25" s="18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18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191">
        <v>1</v>
      </c>
      <c r="AG25" s="190">
        <f t="shared" ca="1" si="14"/>
        <v>2</v>
      </c>
      <c r="AH25" s="192">
        <v>0</v>
      </c>
      <c r="AI25" s="191">
        <v>0</v>
      </c>
      <c r="AJ25" s="191">
        <v>0</v>
      </c>
      <c r="AK25" s="191">
        <v>0</v>
      </c>
      <c r="AL25" s="191">
        <v>0</v>
      </c>
      <c r="AM25" s="191">
        <v>1</v>
      </c>
      <c r="AN25" s="193">
        <v>1</v>
      </c>
    </row>
    <row r="26" spans="1:40" ht="21" customHeight="1" x14ac:dyDescent="0.15">
      <c r="A26" s="96" t="str">
        <f>B26&amp;"_"&amp;C26&amp;"-"&amp;G26&amp;"/"&amp;L26&amp;"&lt;lv"&amp;R26&amp;"&gt;s"&amp;AA26</f>
        <v>20014_3-1/146&lt;lv40&gt;s2</v>
      </c>
      <c r="B26" s="173">
        <v>20014</v>
      </c>
      <c r="C26" s="100">
        <v>3</v>
      </c>
      <c r="D26" s="101" t="str">
        <f>B26&amp;"_"&amp;C26</f>
        <v>20014_3</v>
      </c>
      <c r="E26" s="174" t="str">
        <f ca="1">VLOOKUP($B26,OFFSET([2]quests!$A$1,0,0,COUNTA([2]quests!$A:$A),MATCH(E$1,[2]quests!$1:$1,0)-MATCH($B$1,[2]quests!$1:$1,0)+1),MATCH(E$1,[2]quests!$1:$1,0)-MATCH($B$1,[2]quests!$1:$1,0)+1,FALSE)</f>
        <v>魅了する歌声</v>
      </c>
      <c r="F26" s="174" t="str">
        <f ca="1">VLOOKUP($D26,OFFSET([2]stages!$A$1,0,0,COUNTA([2]stages!$A:$A),MATCH(F$1,[2]stages!$2:$2,0)-MATCH($D$1,[2]stages!$2:$2,0)+1),MATCH(F$1,[2]stages!$2:$2,0)-MATCH($D$1,[2]stages!$2:$2,0)+1,FALSE)</f>
        <v>【上級】魅了する歌声</v>
      </c>
      <c r="G26" s="100">
        <v>1</v>
      </c>
      <c r="H26" s="101" t="str">
        <f>B26&amp;"_"&amp;C26&amp;"-"&amp;G26</f>
        <v>20014_3-1</v>
      </c>
      <c r="I26" s="174">
        <f ca="1">VLOOKUP($H26,OFFSET(floors!$A$1,0,0,COUNTA(floors!$A:$A),MATCH(I$1,floors!$1:$1,0)-MATCH($H$1,floors!$1:$1,0)+1),MATCH(I$1,floors!$1:$1,0)-MATCH($H$1,floors!$1:$1,0)+1,FALSE)</f>
        <v>60</v>
      </c>
      <c r="J26" s="174">
        <f ca="1">VLOOKUP($H26,OFFSET(floors!$A$1,0,0,COUNTA(floors!$A:$A),MATCH(J$1,floors!$1:$1,0)-MATCH($H$1,floors!$1:$1,0)+1),MATCH(J$1,floors!$1:$1,0)-MATCH($H$1,floors!$1:$1,0)+1,FALSE)</f>
        <v>60</v>
      </c>
      <c r="K26" s="102" t="s">
        <v>53</v>
      </c>
      <c r="L26" s="175">
        <v>146</v>
      </c>
      <c r="M26" s="176" t="str">
        <f ca="1">VLOOKUP($L26,OFFSET([3]enemies!$A$1,0,0,COUNTA([3]enemies!$A:$A),MATCH(M$1,[3]enemies!$1:$1,0)-MATCH($L$1,[3]enemies!$1:$1,0)+1),MATCH(M$1,[3]enemies!$1:$1,0)-MATCH($L$1,[3]enemies!$1:$1,0)+1,FALSE)</f>
        <v>マーメイド</v>
      </c>
      <c r="N26" s="176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6" t="str">
        <f ca="1">VLOOKUP($L26,OFFSET([4]characters!$A$1,0,0,COUNTA([4]characters!$A:$A),MATCH(O$1,[4]characters!$1:$1,0)-MATCH($L$1,[4]characters!$1:$1,0)+1),MATCH(O$1,[4]characters!$1:$1,0)-MATCH($L$1,[4]characters!$1:$1,0)+1,FALSE)</f>
        <v>PremiumW</v>
      </c>
      <c r="P26" s="176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6">
        <f ca="1">VLOOKUP($L26,OFFSET([3]enemies!$A$1,0,0,COUNTA([3]enemies!$A:$A),MATCH(Q$1,[3]enemies!$1:$1,0)-MATCH($L$1,[3]enemies!$1:$1,0)+1),MATCH(Q$1,[3]enemies!$1:$1,0)-MATCH($L$1,[3]enemies!$1:$1,0)+1,FALSE)</f>
        <v>20</v>
      </c>
      <c r="R26" s="177">
        <v>40</v>
      </c>
      <c r="S26" s="213">
        <v>0.8</v>
      </c>
      <c r="T26" s="178">
        <v>0.6</v>
      </c>
      <c r="U26" s="177">
        <v>0</v>
      </c>
      <c r="V26" s="174" t="e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6" s="174">
        <v>20014100</v>
      </c>
      <c r="X26" s="179">
        <v>1</v>
      </c>
      <c r="Y26" s="179">
        <v>100</v>
      </c>
      <c r="Z26" s="179">
        <v>0</v>
      </c>
      <c r="AA26" s="176">
        <v>2</v>
      </c>
      <c r="AB26" s="180">
        <f>L26</f>
        <v>146</v>
      </c>
      <c r="AC26" s="17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マーメイド</v>
      </c>
      <c r="AD26" s="17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17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6" s="98">
        <v>1</v>
      </c>
      <c r="AG26" s="180">
        <f ca="1">AD26</f>
        <v>3</v>
      </c>
      <c r="AH26" s="181">
        <v>0</v>
      </c>
      <c r="AI26" s="98">
        <v>0</v>
      </c>
      <c r="AJ26" s="98">
        <v>0</v>
      </c>
      <c r="AK26" s="98">
        <v>0</v>
      </c>
      <c r="AL26" s="98">
        <v>0</v>
      </c>
      <c r="AM26" s="98">
        <v>1</v>
      </c>
      <c r="AN26" s="182">
        <v>1</v>
      </c>
    </row>
    <row r="27" spans="1:40" ht="21" customHeight="1" x14ac:dyDescent="0.15">
      <c r="A27" s="104" t="str">
        <f>B27&amp;"_"&amp;C27&amp;"-"&amp;G27&amp;"/"&amp;L27&amp;"&lt;lv"&amp;R27&amp;"&gt;s"&amp;AA27</f>
        <v>20014_3-1/842&lt;lv40&gt;s2</v>
      </c>
      <c r="B27" s="18">
        <v>20014</v>
      </c>
      <c r="C27" s="107">
        <v>3</v>
      </c>
      <c r="D27" s="11" t="str">
        <f>B27&amp;"_"&amp;C27</f>
        <v>20014_3</v>
      </c>
      <c r="E27" s="3" t="str">
        <f ca="1">VLOOKUP($B27,OFFSET([2]quests!$A$1,0,0,COUNTA([2]quests!$A:$A),MATCH(E$1,[2]quests!$1:$1,0)-MATCH($B$1,[2]quests!$1:$1,0)+1),MATCH(E$1,[2]quests!$1:$1,0)-MATCH($B$1,[2]quests!$1:$1,0)+1,FALSE)</f>
        <v>魅了する歌声</v>
      </c>
      <c r="F27" s="3" t="str">
        <f ca="1">VLOOKUP($D27,OFFSET([2]stages!$A$1,0,0,COUNTA([2]stages!$A:$A),MATCH(F$1,[2]stages!$2:$2,0)-MATCH($D$1,[2]stages!$2:$2,0)+1),MATCH(F$1,[2]stages!$2:$2,0)-MATCH($D$1,[2]stages!$2:$2,0)+1,FALSE)</f>
        <v>【上級】魅了する歌声</v>
      </c>
      <c r="G27" s="107">
        <v>1</v>
      </c>
      <c r="H27" s="11" t="str">
        <f>B27&amp;"_"&amp;C27&amp;"-"&amp;G27</f>
        <v>20014_3-1</v>
      </c>
      <c r="I27" s="3">
        <f ca="1">VLOOKUP($H27,OFFSET(floors!$A$1,0,0,COUNTA(floors!$A:$A),MATCH(I$1,floors!$1:$1,0)-MATCH($H$1,floors!$1:$1,0)+1),MATCH(I$1,floors!$1:$1,0)-MATCH($H$1,floors!$1:$1,0)+1,FALSE)</f>
        <v>60</v>
      </c>
      <c r="J27" s="3">
        <f ca="1">VLOOKUP($H27,OFFSET(floors!$A$1,0,0,COUNTA(floors!$A:$A),MATCH(J$1,floors!$1:$1,0)-MATCH($H$1,floors!$1:$1,0)+1),MATCH(J$1,floors!$1:$1,0)-MATCH($H$1,floors!$1:$1,0)+1,FALSE)</f>
        <v>60</v>
      </c>
      <c r="K27" s="30" t="s">
        <v>53</v>
      </c>
      <c r="L27" s="162">
        <v>842</v>
      </c>
      <c r="M27" s="13" t="str">
        <f ca="1">VLOOKUP($L27,OFFSET([3]enemies!$A$1,0,0,COUNTA([3]enemies!$A:$A),MATCH(M$1,[3]enemies!$1:$1,0)-MATCH($L$1,[3]enemies!$1:$1,0)+1),MATCH(M$1,[3]enemies!$1:$1,0)-MATCH($L$1,[3]enemies!$1:$1,0)+1,FALSE)</f>
        <v>セイレーン</v>
      </c>
      <c r="N27" s="13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3" t="str">
        <f ca="1">VLOOKUP($L27,OFFSET([4]characters!$A$1,0,0,COUNTA([4]characters!$A:$A),MATCH(O$1,[4]characters!$1:$1,0)-MATCH($L$1,[4]characters!$1:$1,0)+1),MATCH(O$1,[4]characters!$1:$1,0)-MATCH($L$1,[4]characters!$1:$1,0)+1,FALSE)</f>
        <v>Drop2N</v>
      </c>
      <c r="P27" s="13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3">
        <f ca="1">VLOOKUP($L27,OFFSET([3]enemies!$A$1,0,0,COUNTA([3]enemies!$A:$A),MATCH(Q$1,[3]enemies!$1:$1,0)-MATCH($L$1,[3]enemies!$1:$1,0)+1),MATCH(Q$1,[3]enemies!$1:$1,0)-MATCH($L$1,[3]enemies!$1:$1,0)+1,FALSE)</f>
        <v>30</v>
      </c>
      <c r="R27" s="4">
        <v>40</v>
      </c>
      <c r="S27" s="19">
        <v>1</v>
      </c>
      <c r="T27" s="19">
        <v>0.5</v>
      </c>
      <c r="U27" s="4">
        <v>0</v>
      </c>
      <c r="V27" s="3" t="str">
        <f ca="1">VLOOKUP($W27,OFFSET(enemy_skill_sets!$B$1,0,0,COUNTA(enemy_skill_sets!$B:$B),MATCH(M$1,enemy_skill_sets!$1:$1,0)-MATCH($W$1,enemy_skill_sets!$1:$1,0)+2),MATCH(M$1,enemy_skill_sets!$1:$1,0)-MATCH($W$1,enemy_skill_sets!$1:$1,0)+2,FALSE)</f>
        <v>この戦闘の間 回復パネルの出現率DOWN</v>
      </c>
      <c r="W27" s="3">
        <v>20014101</v>
      </c>
      <c r="X27" s="5">
        <v>1</v>
      </c>
      <c r="Y27" s="5">
        <v>100</v>
      </c>
      <c r="Z27" s="5">
        <v>0</v>
      </c>
      <c r="AA27" s="13">
        <v>2</v>
      </c>
      <c r="AB27" s="163">
        <f>L27</f>
        <v>842</v>
      </c>
      <c r="AC27" s="3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セイレーン</v>
      </c>
      <c r="AD27" s="3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3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Drop2N</v>
      </c>
      <c r="AF27" s="106">
        <v>1</v>
      </c>
      <c r="AG27" s="163">
        <f ca="1">AD27</f>
        <v>4</v>
      </c>
      <c r="AH27" s="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1</v>
      </c>
      <c r="AN27" s="164">
        <v>1</v>
      </c>
    </row>
    <row r="28" spans="1:40" ht="21" customHeight="1" x14ac:dyDescent="0.15">
      <c r="A28" s="104" t="str">
        <f t="shared" ref="A28:A37" si="15">B28&amp;"_"&amp;C28&amp;"-"&amp;G28&amp;"/"&amp;L28&amp;"&lt;lv"&amp;R28&amp;"&gt;s"&amp;AA28</f>
        <v>20014_3-2/71&lt;lv41&gt;s3</v>
      </c>
      <c r="B28" s="18">
        <v>20014</v>
      </c>
      <c r="C28" s="107">
        <v>3</v>
      </c>
      <c r="D28" s="11" t="str">
        <f t="shared" ref="D28:D37" si="16">B28&amp;"_"&amp;C28</f>
        <v>20014_3</v>
      </c>
      <c r="E28" s="3" t="str">
        <f ca="1">VLOOKUP($B28,OFFSET([2]quests!$A$1,0,0,COUNTA([2]quests!$A:$A),MATCH(E$1,[2]quests!$1:$1,0)-MATCH($B$1,[2]quests!$1:$1,0)+1),MATCH(E$1,[2]quests!$1:$1,0)-MATCH($B$1,[2]quests!$1:$1,0)+1,FALSE)</f>
        <v>魅了する歌声</v>
      </c>
      <c r="F28" s="3" t="str">
        <f ca="1">VLOOKUP($D28,OFFSET([2]stages!$A$1,0,0,COUNTA([2]stages!$A:$A),MATCH(F$1,[2]stages!$2:$2,0)-MATCH($D$1,[2]stages!$2:$2,0)+1),MATCH(F$1,[2]stages!$2:$2,0)-MATCH($D$1,[2]stages!$2:$2,0)+1,FALSE)</f>
        <v>【上級】魅了する歌声</v>
      </c>
      <c r="G28" s="107">
        <v>2</v>
      </c>
      <c r="H28" s="11" t="str">
        <f t="shared" ref="H28:H37" si="17">B28&amp;"_"&amp;C28&amp;"-"&amp;G28</f>
        <v>20014_3-2</v>
      </c>
      <c r="I28" s="3">
        <f ca="1">VLOOKUP($H28,OFFSET(floors!$A$1,0,0,COUNTA(floors!$A:$A),MATCH(I$1,floors!$1:$1,0)-MATCH($H$1,floors!$1:$1,0)+1),MATCH(I$1,floors!$1:$1,0)-MATCH($H$1,floors!$1:$1,0)+1,FALSE)</f>
        <v>60</v>
      </c>
      <c r="J28" s="3">
        <f ca="1">VLOOKUP($H28,OFFSET(floors!$A$1,0,0,COUNTA(floors!$A:$A),MATCH(J$1,floors!$1:$1,0)-MATCH($H$1,floors!$1:$1,0)+1),MATCH(J$1,floors!$1:$1,0)-MATCH($H$1,floors!$1:$1,0)+1,FALSE)</f>
        <v>60</v>
      </c>
      <c r="K28" s="30" t="s">
        <v>53</v>
      </c>
      <c r="L28" s="162">
        <v>71</v>
      </c>
      <c r="M28" s="13" t="str">
        <f ca="1">VLOOKUP($L28,OFFSET([3]enemies!$A$1,0,0,COUNTA([3]enemies!$A:$A),MATCH(M$1,[3]enemies!$1:$1,0)-MATCH($L$1,[3]enemies!$1:$1,0)+1),MATCH(M$1,[3]enemies!$1:$1,0)-MATCH($L$1,[3]enemies!$1:$1,0)+1,FALSE)</f>
        <v>ダックス</v>
      </c>
      <c r="N28" s="13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3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3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3">
        <f ca="1">VLOOKUP($L28,OFFSET([3]enemies!$A$1,0,0,COUNTA([3]enemies!$A:$A),MATCH(Q$1,[3]enemies!$1:$1,0)-MATCH($L$1,[3]enemies!$1:$1,0)+1),MATCH(Q$1,[3]enemies!$1:$1,0)-MATCH($L$1,[3]enemies!$1:$1,0)+1,FALSE)</f>
        <v>15</v>
      </c>
      <c r="R28" s="4">
        <v>41</v>
      </c>
      <c r="S28" s="19">
        <v>2</v>
      </c>
      <c r="T28" s="19">
        <v>0.5</v>
      </c>
      <c r="U28" s="4">
        <v>0</v>
      </c>
      <c r="V28" s="3" t="e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8" s="3">
        <v>20014102</v>
      </c>
      <c r="X28" s="5">
        <v>1</v>
      </c>
      <c r="Y28" s="5">
        <v>100</v>
      </c>
      <c r="Z28" s="5">
        <v>1</v>
      </c>
      <c r="AA28" s="13">
        <v>3</v>
      </c>
      <c r="AB28" s="163">
        <f t="shared" ref="AB28:AB37" si="18">L28</f>
        <v>71</v>
      </c>
      <c r="AC28" s="3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8" s="3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3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106">
        <v>1</v>
      </c>
      <c r="AG28" s="163">
        <f t="shared" ref="AG28:AG37" ca="1" si="19">AD28</f>
        <v>2</v>
      </c>
      <c r="AH28" s="6">
        <v>60</v>
      </c>
      <c r="AI28" s="106">
        <v>0</v>
      </c>
      <c r="AJ28" s="106">
        <v>0</v>
      </c>
      <c r="AK28" s="106">
        <v>0</v>
      </c>
      <c r="AL28" s="106">
        <v>0</v>
      </c>
      <c r="AM28" s="106">
        <v>1</v>
      </c>
      <c r="AN28" s="164">
        <v>1</v>
      </c>
    </row>
    <row r="29" spans="1:40" ht="21" customHeight="1" x14ac:dyDescent="0.15">
      <c r="A29" s="104" t="str">
        <f t="shared" si="15"/>
        <v>20014_3-2/71&lt;lv40&gt;s3</v>
      </c>
      <c r="B29" s="18">
        <v>20014</v>
      </c>
      <c r="C29" s="107">
        <v>3</v>
      </c>
      <c r="D29" s="11" t="str">
        <f t="shared" si="16"/>
        <v>20014_3</v>
      </c>
      <c r="E29" s="3" t="str">
        <f ca="1">VLOOKUP($B29,OFFSET([2]quests!$A$1,0,0,COUNTA([2]quests!$A:$A),MATCH(E$1,[2]quests!$1:$1,0)-MATCH($B$1,[2]quests!$1:$1,0)+1),MATCH(E$1,[2]quests!$1:$1,0)-MATCH($B$1,[2]quests!$1:$1,0)+1,FALSE)</f>
        <v>魅了する歌声</v>
      </c>
      <c r="F29" s="3" t="str">
        <f ca="1">VLOOKUP($D29,OFFSET([2]stages!$A$1,0,0,COUNTA([2]stages!$A:$A),MATCH(F$1,[2]stages!$2:$2,0)-MATCH($D$1,[2]stages!$2:$2,0)+1),MATCH(F$1,[2]stages!$2:$2,0)-MATCH($D$1,[2]stages!$2:$2,0)+1,FALSE)</f>
        <v>【上級】魅了する歌声</v>
      </c>
      <c r="G29" s="107">
        <v>2</v>
      </c>
      <c r="H29" s="11" t="str">
        <f t="shared" si="17"/>
        <v>20014_3-2</v>
      </c>
      <c r="I29" s="3">
        <f ca="1">VLOOKUP($H29,OFFSET(floors!$A$1,0,0,COUNTA(floors!$A:$A),MATCH(I$1,floors!$1:$1,0)-MATCH($H$1,floors!$1:$1,0)+1),MATCH(I$1,floors!$1:$1,0)-MATCH($H$1,floors!$1:$1,0)+1,FALSE)</f>
        <v>60</v>
      </c>
      <c r="J29" s="3">
        <f ca="1">VLOOKUP($H29,OFFSET(floors!$A$1,0,0,COUNTA(floors!$A:$A),MATCH(J$1,floors!$1:$1,0)-MATCH($H$1,floors!$1:$1,0)+1),MATCH(J$1,floors!$1:$1,0)-MATCH($H$1,floors!$1:$1,0)+1,FALSE)</f>
        <v>60</v>
      </c>
      <c r="K29" s="30" t="s">
        <v>53</v>
      </c>
      <c r="L29" s="162">
        <v>71</v>
      </c>
      <c r="M29" s="13" t="str">
        <f ca="1">VLOOKUP($L29,OFFSET([3]enemies!$A$1,0,0,COUNTA([3]enemies!$A:$A),MATCH(M$1,[3]enemies!$1:$1,0)-MATCH($L$1,[3]enemies!$1:$1,0)+1),MATCH(M$1,[3]enemies!$1:$1,0)-MATCH($L$1,[3]enemies!$1:$1,0)+1,FALSE)</f>
        <v>ダックス</v>
      </c>
      <c r="N29" s="13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3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3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3">
        <f ca="1">VLOOKUP($L29,OFFSET([3]enemies!$A$1,0,0,COUNTA([3]enemies!$A:$A),MATCH(Q$1,[3]enemies!$1:$1,0)-MATCH($L$1,[3]enemies!$1:$1,0)+1),MATCH(Q$1,[3]enemies!$1:$1,0)-MATCH($L$1,[3]enemies!$1:$1,0)+1,FALSE)</f>
        <v>15</v>
      </c>
      <c r="R29" s="4">
        <v>40</v>
      </c>
      <c r="S29" s="19">
        <v>2</v>
      </c>
      <c r="T29" s="19">
        <v>0.5</v>
      </c>
      <c r="U29" s="4">
        <v>0</v>
      </c>
      <c r="V29" s="3" t="e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9" s="3">
        <v>20014103</v>
      </c>
      <c r="X29" s="5">
        <v>0</v>
      </c>
      <c r="Y29" s="5">
        <v>100</v>
      </c>
      <c r="Z29" s="5">
        <v>0</v>
      </c>
      <c r="AA29" s="13">
        <v>3</v>
      </c>
      <c r="AB29" s="163">
        <f t="shared" si="18"/>
        <v>71</v>
      </c>
      <c r="AC29" s="3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9" s="3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3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106">
        <v>1</v>
      </c>
      <c r="AG29" s="163">
        <f t="shared" ca="1" si="19"/>
        <v>2</v>
      </c>
      <c r="AH29" s="6">
        <v>60</v>
      </c>
      <c r="AI29" s="106">
        <v>0</v>
      </c>
      <c r="AJ29" s="106">
        <v>0</v>
      </c>
      <c r="AK29" s="106">
        <v>0</v>
      </c>
      <c r="AL29" s="106">
        <v>0</v>
      </c>
      <c r="AM29" s="106">
        <v>1</v>
      </c>
      <c r="AN29" s="164">
        <v>1</v>
      </c>
    </row>
    <row r="30" spans="1:40" ht="21" customHeight="1" x14ac:dyDescent="0.15">
      <c r="A30" s="104" t="str">
        <f t="shared" si="15"/>
        <v>20014_3-3/184&lt;lv40&gt;s3</v>
      </c>
      <c r="B30" s="18">
        <v>20014</v>
      </c>
      <c r="C30" s="107">
        <v>3</v>
      </c>
      <c r="D30" s="11" t="str">
        <f t="shared" si="16"/>
        <v>20014_3</v>
      </c>
      <c r="E30" s="3" t="str">
        <f ca="1">VLOOKUP($B30,OFFSET([2]quests!$A$1,0,0,COUNTA([2]quests!$A:$A),MATCH(E$1,[2]quests!$1:$1,0)-MATCH($B$1,[2]quests!$1:$1,0)+1),MATCH(E$1,[2]quests!$1:$1,0)-MATCH($B$1,[2]quests!$1:$1,0)+1,FALSE)</f>
        <v>魅了する歌声</v>
      </c>
      <c r="F30" s="3" t="str">
        <f ca="1">VLOOKUP($D30,OFFSET([2]stages!$A$1,0,0,COUNTA([2]stages!$A:$A),MATCH(F$1,[2]stages!$2:$2,0)-MATCH($D$1,[2]stages!$2:$2,0)+1),MATCH(F$1,[2]stages!$2:$2,0)-MATCH($D$1,[2]stages!$2:$2,0)+1,FALSE)</f>
        <v>【上級】魅了する歌声</v>
      </c>
      <c r="G30" s="107">
        <v>3</v>
      </c>
      <c r="H30" s="11" t="str">
        <f t="shared" si="17"/>
        <v>20014_3-3</v>
      </c>
      <c r="I30" s="3">
        <f ca="1">VLOOKUP($H30,OFFSET(floors!$A$1,0,0,COUNTA(floors!$A:$A),MATCH(I$1,floors!$1:$1,0)-MATCH($H$1,floors!$1:$1,0)+1),MATCH(I$1,floors!$1:$1,0)-MATCH($H$1,floors!$1:$1,0)+1,FALSE)</f>
        <v>60</v>
      </c>
      <c r="J30" s="3">
        <f ca="1">VLOOKUP($H30,OFFSET(floors!$A$1,0,0,COUNTA(floors!$A:$A),MATCH(J$1,floors!$1:$1,0)-MATCH($H$1,floors!$1:$1,0)+1),MATCH(J$1,floors!$1:$1,0)-MATCH($H$1,floors!$1:$1,0)+1,FALSE)</f>
        <v>60</v>
      </c>
      <c r="K30" s="30" t="s">
        <v>53</v>
      </c>
      <c r="L30" s="162">
        <v>184</v>
      </c>
      <c r="M30" s="13" t="str">
        <f ca="1">VLOOKUP($L30,OFFSET([3]enemies!$A$1,0,0,COUNTA([3]enemies!$A:$A),MATCH(M$1,[3]enemies!$1:$1,0)-MATCH($L$1,[3]enemies!$1:$1,0)+1),MATCH(M$1,[3]enemies!$1:$1,0)-MATCH($L$1,[3]enemies!$1:$1,0)+1,FALSE)</f>
        <v>クラーケン</v>
      </c>
      <c r="N30" s="13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3" t="str">
        <f ca="1">VLOOKUP($L30,OFFSET([4]characters!$A$1,0,0,COUNTA([4]characters!$A:$A),MATCH(O$1,[4]characters!$1:$1,0)-MATCH($L$1,[4]characters!$1:$1,0)+1),MATCH(O$1,[4]characters!$1:$1,0)-MATCH($L$1,[4]characters!$1:$1,0)+1,FALSE)</f>
        <v>PremiumN</v>
      </c>
      <c r="P30" s="13" t="str">
        <f ca="1">VLOOKUP($L30,OFFSET([3]enemies!$A$1,0,0,COUNTA([3]enemies!$A:$A),MATCH(P$1,[3]enemies!$1:$1,0)-MATCH($L$1,[3]enemies!$1:$1,0)+1),MATCH(P$1,[3]enemies!$1:$1,0)-MATCH($L$1,[3]enemies!$1:$1,0)+1,FALSE)</f>
        <v>animal</v>
      </c>
      <c r="Q30" s="13">
        <f ca="1">VLOOKUP($L30,OFFSET([3]enemies!$A$1,0,0,COUNTA([3]enemies!$A:$A),MATCH(Q$1,[3]enemies!$1:$1,0)-MATCH($L$1,[3]enemies!$1:$1,0)+1),MATCH(Q$1,[3]enemies!$1:$1,0)-MATCH($L$1,[3]enemies!$1:$1,0)+1,FALSE)</f>
        <v>20</v>
      </c>
      <c r="R30" s="4">
        <v>40</v>
      </c>
      <c r="S30" s="19">
        <v>1.5</v>
      </c>
      <c r="T30" s="19">
        <v>0.5</v>
      </c>
      <c r="U30" s="4">
        <v>0</v>
      </c>
      <c r="V30" s="3" t="str">
        <f ca="1">VLOOKUP($W30,OFFSET(enemy_skill_sets!$B$1,0,0,COUNTA(enemy_skill_sets!$B:$B),MATCH(M$1,enemy_skill_sets!$1:$1,0)-MATCH($W$1,enemy_skill_sets!$1:$1,0)+2),MATCH(M$1,enemy_skill_sets!$1:$1,0)-MATCH($W$1,enemy_skill_sets!$1:$1,0)+2,FALSE)</f>
        <v>ハートパネルを最大5個生成_x000D_＋8回連続攻撃</v>
      </c>
      <c r="W30" s="3">
        <v>20014104</v>
      </c>
      <c r="X30" s="5">
        <v>1</v>
      </c>
      <c r="Y30" s="5">
        <v>100</v>
      </c>
      <c r="Z30" s="5">
        <v>1</v>
      </c>
      <c r="AA30" s="13">
        <v>3</v>
      </c>
      <c r="AB30" s="163">
        <f t="shared" si="18"/>
        <v>184</v>
      </c>
      <c r="AC30" s="3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クラーケン</v>
      </c>
      <c r="AD30" s="3">
        <f ca="1">VLOOKUP($AB30,OFFSET([4]characters!$A$1,0,0,COUNTA([4]characters!$A:$A),MATCH(AD$1,[4]characters!$1:$1,0)-MATCH("character_id",[4]characters!$1:$1,0)+1),MATCH(AD$1,[4]characters!$1:$1,0)-MATCH("character_id",[4]characters!$1:$1,0)+1,FALSE)</f>
        <v>3</v>
      </c>
      <c r="AE30" s="3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0" s="106">
        <v>1</v>
      </c>
      <c r="AG30" s="163">
        <f t="shared" ca="1" si="19"/>
        <v>3</v>
      </c>
      <c r="AH30" s="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1</v>
      </c>
      <c r="AN30" s="164">
        <v>1</v>
      </c>
    </row>
    <row r="31" spans="1:40" ht="21" customHeight="1" x14ac:dyDescent="0.15">
      <c r="A31" s="104" t="str">
        <f t="shared" si="15"/>
        <v>20014_3-3/18&lt;lv40&gt;s2</v>
      </c>
      <c r="B31" s="18">
        <v>20014</v>
      </c>
      <c r="C31" s="107">
        <v>3</v>
      </c>
      <c r="D31" s="11" t="str">
        <f t="shared" si="16"/>
        <v>20014_3</v>
      </c>
      <c r="E31" s="3" t="str">
        <f ca="1">VLOOKUP($B31,OFFSET([2]quests!$A$1,0,0,COUNTA([2]quests!$A:$A),MATCH(E$1,[2]quests!$1:$1,0)-MATCH($B$1,[2]quests!$1:$1,0)+1),MATCH(E$1,[2]quests!$1:$1,0)-MATCH($B$1,[2]quests!$1:$1,0)+1,FALSE)</f>
        <v>魅了する歌声</v>
      </c>
      <c r="F31" s="3" t="str">
        <f ca="1">VLOOKUP($D31,OFFSET([2]stages!$A$1,0,0,COUNTA([2]stages!$A:$A),MATCH(F$1,[2]stages!$2:$2,0)-MATCH($D$1,[2]stages!$2:$2,0)+1),MATCH(F$1,[2]stages!$2:$2,0)-MATCH($D$1,[2]stages!$2:$2,0)+1,FALSE)</f>
        <v>【上級】魅了する歌声</v>
      </c>
      <c r="G31" s="107">
        <v>3</v>
      </c>
      <c r="H31" s="11" t="str">
        <f t="shared" si="17"/>
        <v>20014_3-3</v>
      </c>
      <c r="I31" s="3">
        <f ca="1">VLOOKUP($H31,OFFSET(floors!$A$1,0,0,COUNTA(floors!$A:$A),MATCH(I$1,floors!$1:$1,0)-MATCH($H$1,floors!$1:$1,0)+1),MATCH(I$1,floors!$1:$1,0)-MATCH($H$1,floors!$1:$1,0)+1,FALSE)</f>
        <v>60</v>
      </c>
      <c r="J31" s="3">
        <f ca="1">VLOOKUP($H31,OFFSET(floors!$A$1,0,0,COUNTA(floors!$A:$A),MATCH(J$1,floors!$1:$1,0)-MATCH($H$1,floors!$1:$1,0)+1),MATCH(J$1,floors!$1:$1,0)-MATCH($H$1,floors!$1:$1,0)+1,FALSE)</f>
        <v>60</v>
      </c>
      <c r="K31" s="30" t="s">
        <v>53</v>
      </c>
      <c r="L31" s="162">
        <v>18</v>
      </c>
      <c r="M31" s="13" t="str">
        <f ca="1">VLOOKUP($L31,OFFSET([3]enemies!$A$1,0,0,COUNTA([3]enemies!$A:$A),MATCH(M$1,[3]enemies!$1:$1,0)-MATCH($L$1,[3]enemies!$1:$1,0)+1),MATCH(M$1,[3]enemies!$1:$1,0)-MATCH($L$1,[3]enemies!$1:$1,0)+1,FALSE)</f>
        <v>戦闘案内人 リム</v>
      </c>
      <c r="N31" s="13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3" t="str">
        <f ca="1">VLOOKUP($L31,OFFSET([4]characters!$A$1,0,0,COUNTA([4]characters!$A:$A),MATCH(O$1,[4]characters!$1:$1,0)-MATCH($L$1,[4]characters!$1:$1,0)+1),MATCH(O$1,[4]characters!$1:$1,0)-MATCH($L$1,[4]characters!$1:$1,0)+1,FALSE)</f>
        <v>Drop1W</v>
      </c>
      <c r="P31" s="13" t="str">
        <f ca="1">VLOOKUP($L31,OFFSET([3]enemies!$A$1,0,0,COUNTA([3]enemies!$A:$A),MATCH(P$1,[3]enemies!$1:$1,0)-MATCH($L$1,[3]enemies!$1:$1,0)+1),MATCH(P$1,[3]enemies!$1:$1,0)-MATCH($L$1,[3]enemies!$1:$1,0)+1,FALSE)</f>
        <v>human</v>
      </c>
      <c r="Q31" s="13">
        <f ca="1">VLOOKUP($L31,OFFSET([3]enemies!$A$1,0,0,COUNTA([3]enemies!$A:$A),MATCH(Q$1,[3]enemies!$1:$1,0)-MATCH($L$1,[3]enemies!$1:$1,0)+1),MATCH(Q$1,[3]enemies!$1:$1,0)-MATCH($L$1,[3]enemies!$1:$1,0)+1,FALSE)</f>
        <v>15</v>
      </c>
      <c r="R31" s="4">
        <v>40</v>
      </c>
      <c r="S31" s="19">
        <v>1.5</v>
      </c>
      <c r="T31" s="19">
        <v>0.5</v>
      </c>
      <c r="U31" s="4">
        <v>0</v>
      </c>
      <c r="V31" s="3" t="e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1" s="3">
        <v>20014105</v>
      </c>
      <c r="X31" s="5">
        <v>0</v>
      </c>
      <c r="Y31" s="5">
        <v>100</v>
      </c>
      <c r="Z31" s="5">
        <v>0</v>
      </c>
      <c r="AA31" s="13">
        <v>2</v>
      </c>
      <c r="AB31" s="163">
        <f t="shared" si="18"/>
        <v>18</v>
      </c>
      <c r="AC31" s="3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31" s="3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3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Drop1W</v>
      </c>
      <c r="AF31" s="106">
        <v>1</v>
      </c>
      <c r="AG31" s="163">
        <f t="shared" ca="1" si="19"/>
        <v>2</v>
      </c>
      <c r="AH31" s="6">
        <v>60</v>
      </c>
      <c r="AI31" s="106">
        <v>0</v>
      </c>
      <c r="AJ31" s="106">
        <v>0</v>
      </c>
      <c r="AK31" s="106">
        <v>0</v>
      </c>
      <c r="AL31" s="106">
        <v>0</v>
      </c>
      <c r="AM31" s="106">
        <v>1</v>
      </c>
      <c r="AN31" s="164">
        <v>1</v>
      </c>
    </row>
    <row r="32" spans="1:40" ht="21" customHeight="1" x14ac:dyDescent="0.15">
      <c r="A32" s="104" t="str">
        <f t="shared" si="15"/>
        <v>20014_3-3/55&lt;lv40&gt;s2</v>
      </c>
      <c r="B32" s="18">
        <v>20014</v>
      </c>
      <c r="C32" s="107">
        <v>3</v>
      </c>
      <c r="D32" s="11" t="str">
        <f t="shared" si="16"/>
        <v>20014_3</v>
      </c>
      <c r="E32" s="3" t="str">
        <f ca="1">VLOOKUP($B32,OFFSET([2]quests!$A$1,0,0,COUNTA([2]quests!$A:$A),MATCH(E$1,[2]quests!$1:$1,0)-MATCH($B$1,[2]quests!$1:$1,0)+1),MATCH(E$1,[2]quests!$1:$1,0)-MATCH($B$1,[2]quests!$1:$1,0)+1,FALSE)</f>
        <v>魅了する歌声</v>
      </c>
      <c r="F32" s="3" t="str">
        <f ca="1">VLOOKUP($D32,OFFSET([2]stages!$A$1,0,0,COUNTA([2]stages!$A:$A),MATCH(F$1,[2]stages!$2:$2,0)-MATCH($D$1,[2]stages!$2:$2,0)+1),MATCH(F$1,[2]stages!$2:$2,0)-MATCH($D$1,[2]stages!$2:$2,0)+1,FALSE)</f>
        <v>【上級】魅了する歌声</v>
      </c>
      <c r="G32" s="107">
        <v>3</v>
      </c>
      <c r="H32" s="11" t="str">
        <f t="shared" si="17"/>
        <v>20014_3-3</v>
      </c>
      <c r="I32" s="3">
        <f ca="1">VLOOKUP($H32,OFFSET(floors!$A$1,0,0,COUNTA(floors!$A:$A),MATCH(I$1,floors!$1:$1,0)-MATCH($H$1,floors!$1:$1,0)+1),MATCH(I$1,floors!$1:$1,0)-MATCH($H$1,floors!$1:$1,0)+1,FALSE)</f>
        <v>60</v>
      </c>
      <c r="J32" s="3">
        <f ca="1">VLOOKUP($H32,OFFSET(floors!$A$1,0,0,COUNTA(floors!$A:$A),MATCH(J$1,floors!$1:$1,0)-MATCH($H$1,floors!$1:$1,0)+1),MATCH(J$1,floors!$1:$1,0)-MATCH($H$1,floors!$1:$1,0)+1,FALSE)</f>
        <v>60</v>
      </c>
      <c r="K32" s="30" t="s">
        <v>53</v>
      </c>
      <c r="L32" s="162">
        <v>55</v>
      </c>
      <c r="M32" s="13" t="str">
        <f ca="1">VLOOKUP($L32,OFFSET([3]enemies!$A$1,0,0,COUNTA([3]enemies!$A:$A),MATCH(M$1,[3]enemies!$1:$1,0)-MATCH($L$1,[3]enemies!$1:$1,0)+1),MATCH(M$1,[3]enemies!$1:$1,0)-MATCH($L$1,[3]enemies!$1:$1,0)+1,FALSE)</f>
        <v>マミコ</v>
      </c>
      <c r="N32" s="13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3" t="str">
        <f ca="1">VLOOKUP($L32,OFFSET([4]characters!$A$1,0,0,COUNTA([4]characters!$A:$A),MATCH(O$1,[4]characters!$1:$1,0)-MATCH($L$1,[4]characters!$1:$1,0)+1),MATCH(O$1,[4]characters!$1:$1,0)-MATCH($L$1,[4]characters!$1:$1,0)+1,FALSE)</f>
        <v>Drop1N</v>
      </c>
      <c r="P32" s="13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13">
        <f ca="1">VLOOKUP($L32,OFFSET([3]enemies!$A$1,0,0,COUNTA([3]enemies!$A:$A),MATCH(Q$1,[3]enemies!$1:$1,0)-MATCH($L$1,[3]enemies!$1:$1,0)+1),MATCH(Q$1,[3]enemies!$1:$1,0)-MATCH($L$1,[3]enemies!$1:$1,0)+1,FALSE)</f>
        <v>15</v>
      </c>
      <c r="R32" s="4">
        <v>40</v>
      </c>
      <c r="S32" s="19">
        <v>1.5</v>
      </c>
      <c r="T32" s="19">
        <v>0.5</v>
      </c>
      <c r="U32" s="4">
        <v>0</v>
      </c>
      <c r="V32" s="3" t="str">
        <f ca="1">VLOOKUP($W32,OFFSET(enemy_skill_sets!$B$1,0,0,COUNTA(enemy_skill_sets!$B:$B),MATCH(M$1,enemy_skill_sets!$1:$1,0)-MATCH($W$1,enemy_skill_sets!$1:$1,0)+2),MATCH(M$1,enemy_skill_sets!$1:$1,0)-MATCH($W$1,enemy_skill_sets!$1:$1,0)+2,FALSE)</f>
        <v>2ターンの間攻撃頻度が1にUP</v>
      </c>
      <c r="W32" s="3">
        <v>20014106</v>
      </c>
      <c r="X32" s="5">
        <v>0</v>
      </c>
      <c r="Y32" s="5">
        <v>100</v>
      </c>
      <c r="Z32" s="5">
        <v>0</v>
      </c>
      <c r="AA32" s="13">
        <v>2</v>
      </c>
      <c r="AB32" s="163">
        <f t="shared" si="18"/>
        <v>55</v>
      </c>
      <c r="AC32" s="3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32" s="3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3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Drop1N</v>
      </c>
      <c r="AF32" s="106">
        <v>1</v>
      </c>
      <c r="AG32" s="163">
        <f t="shared" ca="1" si="19"/>
        <v>2</v>
      </c>
      <c r="AH32" s="6">
        <v>60</v>
      </c>
      <c r="AI32" s="106">
        <v>0</v>
      </c>
      <c r="AJ32" s="106">
        <v>0</v>
      </c>
      <c r="AK32" s="106">
        <v>0</v>
      </c>
      <c r="AL32" s="106">
        <v>0</v>
      </c>
      <c r="AM32" s="106">
        <v>1</v>
      </c>
      <c r="AN32" s="164">
        <v>1</v>
      </c>
    </row>
    <row r="33" spans="1:40" ht="21" customHeight="1" x14ac:dyDescent="0.15">
      <c r="A33" s="104" t="str">
        <f t="shared" si="15"/>
        <v>20014_3-4/405&lt;lv40&gt;s2</v>
      </c>
      <c r="B33" s="18">
        <v>20014</v>
      </c>
      <c r="C33" s="107">
        <v>3</v>
      </c>
      <c r="D33" s="11" t="str">
        <f t="shared" si="16"/>
        <v>20014_3</v>
      </c>
      <c r="E33" s="3" t="str">
        <f ca="1">VLOOKUP($B33,OFFSET([2]quests!$A$1,0,0,COUNTA([2]quests!$A:$A),MATCH(E$1,[2]quests!$1:$1,0)-MATCH($B$1,[2]quests!$1:$1,0)+1),MATCH(E$1,[2]quests!$1:$1,0)-MATCH($B$1,[2]quests!$1:$1,0)+1,FALSE)</f>
        <v>魅了する歌声</v>
      </c>
      <c r="F33" s="3" t="str">
        <f ca="1">VLOOKUP($D33,OFFSET([2]stages!$A$1,0,0,COUNTA([2]stages!$A:$A),MATCH(F$1,[2]stages!$2:$2,0)-MATCH($D$1,[2]stages!$2:$2,0)+1),MATCH(F$1,[2]stages!$2:$2,0)-MATCH($D$1,[2]stages!$2:$2,0)+1,FALSE)</f>
        <v>【上級】魅了する歌声</v>
      </c>
      <c r="G33" s="107">
        <v>4</v>
      </c>
      <c r="H33" s="11" t="str">
        <f t="shared" si="17"/>
        <v>20014_3-4</v>
      </c>
      <c r="I33" s="3">
        <f ca="1">VLOOKUP($H33,OFFSET(floors!$A$1,0,0,COUNTA(floors!$A:$A),MATCH(I$1,floors!$1:$1,0)-MATCH($H$1,floors!$1:$1,0)+1),MATCH(I$1,floors!$1:$1,0)-MATCH($H$1,floors!$1:$1,0)+1,FALSE)</f>
        <v>60</v>
      </c>
      <c r="J33" s="3">
        <f ca="1">VLOOKUP($H33,OFFSET(floors!$A$1,0,0,COUNTA(floors!$A:$A),MATCH(J$1,floors!$1:$1,0)-MATCH($H$1,floors!$1:$1,0)+1),MATCH(J$1,floors!$1:$1,0)-MATCH($H$1,floors!$1:$1,0)+1,FALSE)</f>
        <v>60</v>
      </c>
      <c r="K33" s="30" t="s">
        <v>53</v>
      </c>
      <c r="L33" s="162">
        <v>405</v>
      </c>
      <c r="M33" s="13" t="str">
        <f ca="1">VLOOKUP($L33,OFFSET([3]enemies!$A$1,0,0,COUNTA([3]enemies!$A:$A),MATCH(M$1,[3]enemies!$1:$1,0)-MATCH($L$1,[3]enemies!$1:$1,0)+1),MATCH(M$1,[3]enemies!$1:$1,0)-MATCH($L$1,[3]enemies!$1:$1,0)+1,FALSE)</f>
        <v>エキドナ</v>
      </c>
      <c r="N33" s="13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3" t="str">
        <f ca="1">VLOOKUP($L33,OFFSET([4]characters!$A$1,0,0,COUNTA([4]characters!$A:$A),MATCH(O$1,[4]characters!$1:$1,0)-MATCH($L$1,[4]characters!$1:$1,0)+1),MATCH(O$1,[4]characters!$1:$1,0)-MATCH($L$1,[4]characters!$1:$1,0)+1,FALSE)</f>
        <v>PremiumS</v>
      </c>
      <c r="P33" s="13" t="str">
        <f ca="1">VLOOKUP($L33,OFFSET([3]enemies!$A$1,0,0,COUNTA([3]enemies!$A:$A),MATCH(P$1,[3]enemies!$1:$1,0)-MATCH($L$1,[3]enemies!$1:$1,0)+1),MATCH(P$1,[3]enemies!$1:$1,0)-MATCH($L$1,[3]enemies!$1:$1,0)+1,FALSE)</f>
        <v>animal</v>
      </c>
      <c r="Q33" s="13">
        <f ca="1">VLOOKUP($L33,OFFSET([3]enemies!$A$1,0,0,COUNTA([3]enemies!$A:$A),MATCH(Q$1,[3]enemies!$1:$1,0)-MATCH($L$1,[3]enemies!$1:$1,0)+1),MATCH(Q$1,[3]enemies!$1:$1,0)-MATCH($L$1,[3]enemies!$1:$1,0)+1,FALSE)</f>
        <v>25</v>
      </c>
      <c r="R33" s="4">
        <v>40</v>
      </c>
      <c r="S33" s="19">
        <v>1.5</v>
      </c>
      <c r="T33" s="19">
        <v>0.6</v>
      </c>
      <c r="U33" s="4">
        <v>0</v>
      </c>
      <c r="V33" s="3" t="e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3" s="3">
        <v>20014107</v>
      </c>
      <c r="X33" s="5">
        <v>1</v>
      </c>
      <c r="Y33" s="5">
        <v>100</v>
      </c>
      <c r="Z33" s="5">
        <v>1</v>
      </c>
      <c r="AA33" s="13">
        <v>2</v>
      </c>
      <c r="AB33" s="163">
        <f t="shared" si="18"/>
        <v>405</v>
      </c>
      <c r="AC33" s="3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エキドナ</v>
      </c>
      <c r="AD33" s="3">
        <f ca="1">VLOOKUP($AB33,OFFSET([4]characters!$A$1,0,0,COUNTA([4]characters!$A:$A),MATCH(AD$1,[4]characters!$1:$1,0)-MATCH("character_id",[4]characters!$1:$1,0)+1),MATCH(AD$1,[4]characters!$1:$1,0)-MATCH("character_id",[4]characters!$1:$1,0)+1,FALSE)</f>
        <v>3</v>
      </c>
      <c r="AE33" s="3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3" s="106">
        <v>1</v>
      </c>
      <c r="AG33" s="163">
        <f t="shared" ca="1" si="19"/>
        <v>3</v>
      </c>
      <c r="AH33" s="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1</v>
      </c>
      <c r="AN33" s="164">
        <v>1</v>
      </c>
    </row>
    <row r="34" spans="1:40" ht="21" customHeight="1" x14ac:dyDescent="0.15">
      <c r="A34" s="104" t="str">
        <f t="shared" si="15"/>
        <v>20014_3-4/18&lt;lv40&gt;s1</v>
      </c>
      <c r="B34" s="18">
        <v>20014</v>
      </c>
      <c r="C34" s="107">
        <v>3</v>
      </c>
      <c r="D34" s="11" t="str">
        <f t="shared" si="16"/>
        <v>20014_3</v>
      </c>
      <c r="E34" s="3" t="str">
        <f ca="1">VLOOKUP($B34,OFFSET([2]quests!$A$1,0,0,COUNTA([2]quests!$A:$A),MATCH(E$1,[2]quests!$1:$1,0)-MATCH($B$1,[2]quests!$1:$1,0)+1),MATCH(E$1,[2]quests!$1:$1,0)-MATCH($B$1,[2]quests!$1:$1,0)+1,FALSE)</f>
        <v>魅了する歌声</v>
      </c>
      <c r="F34" s="3" t="str">
        <f ca="1">VLOOKUP($D34,OFFSET([2]stages!$A$1,0,0,COUNTA([2]stages!$A:$A),MATCH(F$1,[2]stages!$2:$2,0)-MATCH($D$1,[2]stages!$2:$2,0)+1),MATCH(F$1,[2]stages!$2:$2,0)-MATCH($D$1,[2]stages!$2:$2,0)+1,FALSE)</f>
        <v>【上級】魅了する歌声</v>
      </c>
      <c r="G34" s="107">
        <v>4</v>
      </c>
      <c r="H34" s="11" t="str">
        <f t="shared" si="17"/>
        <v>20014_3-4</v>
      </c>
      <c r="I34" s="3">
        <f ca="1">VLOOKUP($H34,OFFSET(floors!$A$1,0,0,COUNTA(floors!$A:$A),MATCH(I$1,floors!$1:$1,0)-MATCH($H$1,floors!$1:$1,0)+1),MATCH(I$1,floors!$1:$1,0)-MATCH($H$1,floors!$1:$1,0)+1,FALSE)</f>
        <v>60</v>
      </c>
      <c r="J34" s="3">
        <f ca="1">VLOOKUP($H34,OFFSET(floors!$A$1,0,0,COUNTA(floors!$A:$A),MATCH(J$1,floors!$1:$1,0)-MATCH($H$1,floors!$1:$1,0)+1),MATCH(J$1,floors!$1:$1,0)-MATCH($H$1,floors!$1:$1,0)+1,FALSE)</f>
        <v>60</v>
      </c>
      <c r="K34" s="30" t="s">
        <v>53</v>
      </c>
      <c r="L34" s="162">
        <v>18</v>
      </c>
      <c r="M34" s="13" t="str">
        <f ca="1">VLOOKUP($L34,OFFSET([3]enemies!$A$1,0,0,COUNTA([3]enemies!$A:$A),MATCH(M$1,[3]enemies!$1:$1,0)-MATCH($L$1,[3]enemies!$1:$1,0)+1),MATCH(M$1,[3]enemies!$1:$1,0)-MATCH($L$1,[3]enemies!$1:$1,0)+1,FALSE)</f>
        <v>戦闘案内人 リム</v>
      </c>
      <c r="N34" s="13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3" t="str">
        <f ca="1">VLOOKUP($L34,OFFSET([4]characters!$A$1,0,0,COUNTA([4]characters!$A:$A),MATCH(O$1,[4]characters!$1:$1,0)-MATCH($L$1,[4]characters!$1:$1,0)+1),MATCH(O$1,[4]characters!$1:$1,0)-MATCH($L$1,[4]characters!$1:$1,0)+1,FALSE)</f>
        <v>Drop1W</v>
      </c>
      <c r="P34" s="13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3">
        <f ca="1">VLOOKUP($L34,OFFSET([3]enemies!$A$1,0,0,COUNTA([3]enemies!$A:$A),MATCH(Q$1,[3]enemies!$1:$1,0)-MATCH($L$1,[3]enemies!$1:$1,0)+1),MATCH(Q$1,[3]enemies!$1:$1,0)-MATCH($L$1,[3]enemies!$1:$1,0)+1,FALSE)</f>
        <v>15</v>
      </c>
      <c r="R34" s="4">
        <v>40</v>
      </c>
      <c r="S34" s="19">
        <v>1.2</v>
      </c>
      <c r="T34" s="19">
        <v>0.5</v>
      </c>
      <c r="U34" s="4">
        <v>0</v>
      </c>
      <c r="V34" s="3" t="str">
        <f ca="1">VLOOKUP($W34,OFFSET(enemy_skill_sets!$B$1,0,0,COUNTA(enemy_skill_sets!$B:$B),MATCH(M$1,enemy_skill_sets!$1:$1,0)-MATCH($W$1,enemy_skill_sets!$1:$1,0)+2),MATCH(M$1,enemy_skill_sets!$1:$1,0)-MATCH($W$1,enemy_skill_sets!$1:$1,0)+2,FALSE)</f>
        <v>黄パネルを最大6個　時限式ダメージパネルに変換</v>
      </c>
      <c r="W34" s="3">
        <v>20014108</v>
      </c>
      <c r="X34" s="5">
        <v>0</v>
      </c>
      <c r="Y34" s="5">
        <v>100</v>
      </c>
      <c r="Z34" s="5">
        <v>0</v>
      </c>
      <c r="AA34" s="13">
        <v>1</v>
      </c>
      <c r="AB34" s="163">
        <f t="shared" si="18"/>
        <v>18</v>
      </c>
      <c r="AC34" s="3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34" s="3">
        <f ca="1">VLOOKUP($AB34,OFFSET([4]characters!$A$1,0,0,COUNTA([4]characters!$A:$A),MATCH(AD$1,[4]characters!$1:$1,0)-MATCH("character_id",[4]characters!$1:$1,0)+1),MATCH(AD$1,[4]characters!$1:$1,0)-MATCH("character_id",[4]characters!$1:$1,0)+1,FALSE)</f>
        <v>2</v>
      </c>
      <c r="AE34" s="3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Drop1W</v>
      </c>
      <c r="AF34" s="106">
        <v>1</v>
      </c>
      <c r="AG34" s="163">
        <f t="shared" ca="1" si="19"/>
        <v>2</v>
      </c>
      <c r="AH34" s="6">
        <v>60</v>
      </c>
      <c r="AI34" s="106">
        <v>0</v>
      </c>
      <c r="AJ34" s="106">
        <v>0</v>
      </c>
      <c r="AK34" s="106">
        <v>0</v>
      </c>
      <c r="AL34" s="106">
        <v>0</v>
      </c>
      <c r="AM34" s="106">
        <v>1</v>
      </c>
      <c r="AN34" s="164">
        <v>1</v>
      </c>
    </row>
    <row r="35" spans="1:40" ht="21" customHeight="1" x14ac:dyDescent="0.15">
      <c r="A35" s="104" t="str">
        <f t="shared" si="15"/>
        <v>20014_3-4/71&lt;lv40&gt;s3</v>
      </c>
      <c r="B35" s="18">
        <v>20014</v>
      </c>
      <c r="C35" s="107">
        <v>3</v>
      </c>
      <c r="D35" s="11" t="str">
        <f t="shared" si="16"/>
        <v>20014_3</v>
      </c>
      <c r="E35" s="3" t="str">
        <f ca="1">VLOOKUP($B35,OFFSET([2]quests!$A$1,0,0,COUNTA([2]quests!$A:$A),MATCH(E$1,[2]quests!$1:$1,0)-MATCH($B$1,[2]quests!$1:$1,0)+1),MATCH(E$1,[2]quests!$1:$1,0)-MATCH($B$1,[2]quests!$1:$1,0)+1,FALSE)</f>
        <v>魅了する歌声</v>
      </c>
      <c r="F35" s="3" t="str">
        <f ca="1">VLOOKUP($D35,OFFSET([2]stages!$A$1,0,0,COUNTA([2]stages!$A:$A),MATCH(F$1,[2]stages!$2:$2,0)-MATCH($D$1,[2]stages!$2:$2,0)+1),MATCH(F$1,[2]stages!$2:$2,0)-MATCH($D$1,[2]stages!$2:$2,0)+1,FALSE)</f>
        <v>【上級】魅了する歌声</v>
      </c>
      <c r="G35" s="107">
        <v>4</v>
      </c>
      <c r="H35" s="11" t="str">
        <f t="shared" si="17"/>
        <v>20014_3-4</v>
      </c>
      <c r="I35" s="3">
        <f ca="1">VLOOKUP($H35,OFFSET(floors!$A$1,0,0,COUNTA(floors!$A:$A),MATCH(I$1,floors!$1:$1,0)-MATCH($H$1,floors!$1:$1,0)+1),MATCH(I$1,floors!$1:$1,0)-MATCH($H$1,floors!$1:$1,0)+1,FALSE)</f>
        <v>60</v>
      </c>
      <c r="J35" s="3">
        <f ca="1">VLOOKUP($H35,OFFSET(floors!$A$1,0,0,COUNTA(floors!$A:$A),MATCH(J$1,floors!$1:$1,0)-MATCH($H$1,floors!$1:$1,0)+1),MATCH(J$1,floors!$1:$1,0)-MATCH($H$1,floors!$1:$1,0)+1,FALSE)</f>
        <v>60</v>
      </c>
      <c r="K35" s="30" t="s">
        <v>53</v>
      </c>
      <c r="L35" s="162">
        <v>71</v>
      </c>
      <c r="M35" s="13" t="str">
        <f ca="1">VLOOKUP($L35,OFFSET([3]enemies!$A$1,0,0,COUNTA([3]enemies!$A:$A),MATCH(M$1,[3]enemies!$1:$1,0)-MATCH($L$1,[3]enemies!$1:$1,0)+1),MATCH(M$1,[3]enemies!$1:$1,0)-MATCH($L$1,[3]enemies!$1:$1,0)+1,FALSE)</f>
        <v>ダックス</v>
      </c>
      <c r="N35" s="13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3" t="str">
        <f ca="1">VLOOKUP($L35,OFFSET([4]characters!$A$1,0,0,COUNTA([4]characters!$A:$A),MATCH(O$1,[4]characters!$1:$1,0)-MATCH($L$1,[4]characters!$1:$1,0)+1),MATCH(O$1,[4]characters!$1:$1,0)-MATCH($L$1,[4]characters!$1:$1,0)+1,FALSE)</f>
        <v>Drop1S</v>
      </c>
      <c r="P35" s="13" t="str">
        <f ca="1">VLOOKUP($L35,OFFSET([3]enemies!$A$1,0,0,COUNTA([3]enemies!$A:$A),MATCH(P$1,[3]enemies!$1:$1,0)-MATCH($L$1,[3]enemies!$1:$1,0)+1),MATCH(P$1,[3]enemies!$1:$1,0)-MATCH($L$1,[3]enemies!$1:$1,0)+1,FALSE)</f>
        <v>animal</v>
      </c>
      <c r="Q35" s="13">
        <f ca="1">VLOOKUP($L35,OFFSET([3]enemies!$A$1,0,0,COUNTA([3]enemies!$A:$A),MATCH(Q$1,[3]enemies!$1:$1,0)-MATCH($L$1,[3]enemies!$1:$1,0)+1),MATCH(Q$1,[3]enemies!$1:$1,0)-MATCH($L$1,[3]enemies!$1:$1,0)+1,FALSE)</f>
        <v>15</v>
      </c>
      <c r="R35" s="4">
        <v>40</v>
      </c>
      <c r="S35" s="19">
        <v>1.2</v>
      </c>
      <c r="T35" s="19">
        <v>0.5</v>
      </c>
      <c r="U35" s="4">
        <v>0</v>
      </c>
      <c r="V35" s="3" t="e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5" s="3">
        <v>20014109</v>
      </c>
      <c r="X35" s="5">
        <v>0</v>
      </c>
      <c r="Y35" s="5">
        <v>100</v>
      </c>
      <c r="Z35" s="5">
        <v>0</v>
      </c>
      <c r="AA35" s="13">
        <v>3</v>
      </c>
      <c r="AB35" s="163">
        <f t="shared" si="18"/>
        <v>71</v>
      </c>
      <c r="AC35" s="3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35" s="3">
        <f ca="1">VLOOKUP($AB35,OFFSET([4]characters!$A$1,0,0,COUNTA([4]characters!$A:$A),MATCH(AD$1,[4]characters!$1:$1,0)-MATCH("character_id",[4]characters!$1:$1,0)+1),MATCH(AD$1,[4]characters!$1:$1,0)-MATCH("character_id",[4]characters!$1:$1,0)+1,FALSE)</f>
        <v>2</v>
      </c>
      <c r="AE35" s="3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Drop1S</v>
      </c>
      <c r="AF35" s="106">
        <v>1</v>
      </c>
      <c r="AG35" s="163">
        <f t="shared" ca="1" si="19"/>
        <v>2</v>
      </c>
      <c r="AH35" s="6">
        <v>60</v>
      </c>
      <c r="AI35" s="106">
        <v>0</v>
      </c>
      <c r="AJ35" s="106">
        <v>0</v>
      </c>
      <c r="AK35" s="106">
        <v>0</v>
      </c>
      <c r="AL35" s="106">
        <v>0</v>
      </c>
      <c r="AM35" s="106">
        <v>1</v>
      </c>
      <c r="AN35" s="164">
        <v>1</v>
      </c>
    </row>
    <row r="36" spans="1:40" ht="21" customHeight="1" x14ac:dyDescent="0.15">
      <c r="A36" s="104" t="str">
        <f t="shared" si="15"/>
        <v>20014_3-5/842&lt;lv40&gt;s2</v>
      </c>
      <c r="B36" s="18">
        <v>20014</v>
      </c>
      <c r="C36" s="107">
        <v>3</v>
      </c>
      <c r="D36" s="11" t="str">
        <f t="shared" si="16"/>
        <v>20014_3</v>
      </c>
      <c r="E36" s="3" t="str">
        <f ca="1">VLOOKUP($B36,OFFSET([2]quests!$A$1,0,0,COUNTA([2]quests!$A:$A),MATCH(E$1,[2]quests!$1:$1,0)-MATCH($B$1,[2]quests!$1:$1,0)+1),MATCH(E$1,[2]quests!$1:$1,0)-MATCH($B$1,[2]quests!$1:$1,0)+1,FALSE)</f>
        <v>魅了する歌声</v>
      </c>
      <c r="F36" s="3" t="str">
        <f ca="1">VLOOKUP($D36,OFFSET([2]stages!$A$1,0,0,COUNTA([2]stages!$A:$A),MATCH(F$1,[2]stages!$2:$2,0)-MATCH($D$1,[2]stages!$2:$2,0)+1),MATCH(F$1,[2]stages!$2:$2,0)-MATCH($D$1,[2]stages!$2:$2,0)+1,FALSE)</f>
        <v>【上級】魅了する歌声</v>
      </c>
      <c r="G36" s="107">
        <v>5</v>
      </c>
      <c r="H36" s="11" t="str">
        <f t="shared" si="17"/>
        <v>20014_3-5</v>
      </c>
      <c r="I36" s="3">
        <f ca="1">VLOOKUP($H36,OFFSET(floors!$A$1,0,0,COUNTA(floors!$A:$A),MATCH(I$1,floors!$1:$1,0)-MATCH($H$1,floors!$1:$1,0)+1),MATCH(I$1,floors!$1:$1,0)-MATCH($H$1,floors!$1:$1,0)+1,FALSE)</f>
        <v>60</v>
      </c>
      <c r="J36" s="3">
        <f ca="1">VLOOKUP($H36,OFFSET(floors!$A$1,0,0,COUNTA(floors!$A:$A),MATCH(J$1,floors!$1:$1,0)-MATCH($H$1,floors!$1:$1,0)+1),MATCH(J$1,floors!$1:$1,0)-MATCH($H$1,floors!$1:$1,0)+1,FALSE)</f>
        <v>60</v>
      </c>
      <c r="K36" s="30">
        <v>3</v>
      </c>
      <c r="L36" s="162">
        <v>842</v>
      </c>
      <c r="M36" s="13" t="str">
        <f ca="1">VLOOKUP($L36,OFFSET([3]enemies!$A$1,0,0,COUNTA([3]enemies!$A:$A),MATCH(M$1,[3]enemies!$1:$1,0)-MATCH($L$1,[3]enemies!$1:$1,0)+1),MATCH(M$1,[3]enemies!$1:$1,0)-MATCH($L$1,[3]enemies!$1:$1,0)+1,FALSE)</f>
        <v>セイレーン</v>
      </c>
      <c r="N36" s="13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13" t="str">
        <f ca="1">VLOOKUP($L36,OFFSET([4]characters!$A$1,0,0,COUNTA([4]characters!$A:$A),MATCH(O$1,[4]characters!$1:$1,0)-MATCH($L$1,[4]characters!$1:$1,0)+1),MATCH(O$1,[4]characters!$1:$1,0)-MATCH($L$1,[4]characters!$1:$1,0)+1,FALSE)</f>
        <v>Drop2N</v>
      </c>
      <c r="P36" s="13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3">
        <f ca="1">VLOOKUP($L36,OFFSET([3]enemies!$A$1,0,0,COUNTA([3]enemies!$A:$A),MATCH(Q$1,[3]enemies!$1:$1,0)-MATCH($L$1,[3]enemies!$1:$1,0)+1),MATCH(Q$1,[3]enemies!$1:$1,0)-MATCH($L$1,[3]enemies!$1:$1,0)+1,FALSE)</f>
        <v>30</v>
      </c>
      <c r="R36" s="4">
        <v>40</v>
      </c>
      <c r="S36" s="19">
        <v>3</v>
      </c>
      <c r="T36" s="19">
        <v>0.6</v>
      </c>
      <c r="U36" s="4">
        <v>0</v>
      </c>
      <c r="V36" s="3" t="str">
        <f ca="1">VLOOKUP($W36,OFFSET(enemy_skill_sets!$B$1,0,0,COUNTA(enemy_skill_sets!$B:$B),MATCH(M$1,enemy_skill_sets!$1:$1,0)-MATCH($W$1,enemy_skill_sets!$1:$1,0)+2),MATCH(M$1,enemy_skill_sets!$1:$1,0)-MATCH($W$1,enemy_skill_sets!$1:$1,0)+2,FALSE)</f>
        <v>フィーバーゲージ上昇_x000D_＋解除するまで毎ターンダメージ</v>
      </c>
      <c r="W36" s="3">
        <v>20014110</v>
      </c>
      <c r="X36" s="5">
        <v>1</v>
      </c>
      <c r="Y36" s="5">
        <v>100</v>
      </c>
      <c r="Z36" s="5">
        <v>1</v>
      </c>
      <c r="AA36" s="13">
        <v>2</v>
      </c>
      <c r="AB36" s="163">
        <f t="shared" si="18"/>
        <v>842</v>
      </c>
      <c r="AC36" s="3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セイレーン</v>
      </c>
      <c r="AD36" s="3">
        <f ca="1">VLOOKUP($AB36,OFFSET([4]characters!$A$1,0,0,COUNTA([4]characters!$A:$A),MATCH(AD$1,[4]characters!$1:$1,0)-MATCH("character_id",[4]characters!$1:$1,0)+1),MATCH(AD$1,[4]characters!$1:$1,0)-MATCH("character_id",[4]characters!$1:$1,0)+1,FALSE)</f>
        <v>4</v>
      </c>
      <c r="AE36" s="3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Drop2N</v>
      </c>
      <c r="AF36" s="106">
        <v>1</v>
      </c>
      <c r="AG36" s="163">
        <f t="shared" ca="1" si="19"/>
        <v>4</v>
      </c>
      <c r="AH36" s="6">
        <v>100</v>
      </c>
      <c r="AI36" s="106">
        <v>0</v>
      </c>
      <c r="AJ36" s="106">
        <v>0</v>
      </c>
      <c r="AK36" s="106">
        <v>0</v>
      </c>
      <c r="AL36" s="106">
        <v>0</v>
      </c>
      <c r="AM36" s="106">
        <v>1</v>
      </c>
      <c r="AN36" s="164">
        <v>1</v>
      </c>
    </row>
    <row r="37" spans="1:40" ht="21" customHeight="1" thickBot="1" x14ac:dyDescent="0.2">
      <c r="A37" s="109" t="str">
        <f t="shared" si="15"/>
        <v>20014_3-5/53&lt;lv40&gt;s2</v>
      </c>
      <c r="B37" s="183">
        <v>20014</v>
      </c>
      <c r="C37" s="112">
        <v>3</v>
      </c>
      <c r="D37" s="113" t="str">
        <f t="shared" si="16"/>
        <v>20014_3</v>
      </c>
      <c r="E37" s="184" t="str">
        <f ca="1">VLOOKUP($B37,OFFSET([2]quests!$A$1,0,0,COUNTA([2]quests!$A:$A),MATCH(E$1,[2]quests!$1:$1,0)-MATCH($B$1,[2]quests!$1:$1,0)+1),MATCH(E$1,[2]quests!$1:$1,0)-MATCH($B$1,[2]quests!$1:$1,0)+1,FALSE)</f>
        <v>魅了する歌声</v>
      </c>
      <c r="F37" s="184" t="str">
        <f ca="1">VLOOKUP($D37,OFFSET([2]stages!$A$1,0,0,COUNTA([2]stages!$A:$A),MATCH(F$1,[2]stages!$2:$2,0)-MATCH($D$1,[2]stages!$2:$2,0)+1),MATCH(F$1,[2]stages!$2:$2,0)-MATCH($D$1,[2]stages!$2:$2,0)+1,FALSE)</f>
        <v>【上級】魅了する歌声</v>
      </c>
      <c r="G37" s="112">
        <v>5</v>
      </c>
      <c r="H37" s="113" t="str">
        <f t="shared" si="17"/>
        <v>20014_3-5</v>
      </c>
      <c r="I37" s="184">
        <f ca="1">VLOOKUP($H37,OFFSET(floors!$A$1,0,0,COUNTA(floors!$A:$A),MATCH(I$1,floors!$1:$1,0)-MATCH($H$1,floors!$1:$1,0)+1),MATCH(I$1,floors!$1:$1,0)-MATCH($H$1,floors!$1:$1,0)+1,FALSE)</f>
        <v>60</v>
      </c>
      <c r="J37" s="184">
        <f ca="1">VLOOKUP($H37,OFFSET(floors!$A$1,0,0,COUNTA(floors!$A:$A),MATCH(J$1,floors!$1:$1,0)-MATCH($H$1,floors!$1:$1,0)+1),MATCH(J$1,floors!$1:$1,0)-MATCH($H$1,floors!$1:$1,0)+1,FALSE)</f>
        <v>60</v>
      </c>
      <c r="K37" s="114" t="s">
        <v>233</v>
      </c>
      <c r="L37" s="185">
        <v>53</v>
      </c>
      <c r="M37" s="186" t="str">
        <f ca="1">VLOOKUP($L37,OFFSET([3]enemies!$A$1,0,0,COUNTA([3]enemies!$A:$A),MATCH(M$1,[3]enemies!$1:$1,0)-MATCH($L$1,[3]enemies!$1:$1,0)+1),MATCH(M$1,[3]enemies!$1:$1,0)-MATCH($L$1,[3]enemies!$1:$1,0)+1,FALSE)</f>
        <v>ケンジ</v>
      </c>
      <c r="N37" s="186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186" t="str">
        <f ca="1">VLOOKUP($L37,OFFSET([4]characters!$A$1,0,0,COUNTA([4]characters!$A:$A),MATCH(O$1,[4]characters!$1:$1,0)-MATCH($L$1,[4]characters!$1:$1,0)+1),MATCH(O$1,[4]characters!$1:$1,0)-MATCH($L$1,[4]characters!$1:$1,0)+1,FALSE)</f>
        <v>Drop1N</v>
      </c>
      <c r="P37" s="186" t="str">
        <f ca="1">VLOOKUP($L37,OFFSET([3]enemies!$A$1,0,0,COUNTA([3]enemies!$A:$A),MATCH(P$1,[3]enemies!$1:$1,0)-MATCH($L$1,[3]enemies!$1:$1,0)+1),MATCH(P$1,[3]enemies!$1:$1,0)-MATCH($L$1,[3]enemies!$1:$1,0)+1,FALSE)</f>
        <v>human</v>
      </c>
      <c r="Q37" s="186">
        <f ca="1">VLOOKUP($L37,OFFSET([3]enemies!$A$1,0,0,COUNTA([3]enemies!$A:$A),MATCH(Q$1,[3]enemies!$1:$1,0)-MATCH($L$1,[3]enemies!$1:$1,0)+1),MATCH(Q$1,[3]enemies!$1:$1,0)-MATCH($L$1,[3]enemies!$1:$1,0)+1,FALSE)</f>
        <v>15</v>
      </c>
      <c r="R37" s="187">
        <v>40</v>
      </c>
      <c r="S37" s="188">
        <v>4</v>
      </c>
      <c r="T37" s="188">
        <v>0.5</v>
      </c>
      <c r="U37" s="187">
        <v>0</v>
      </c>
      <c r="V37" s="184" t="e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7" s="184">
        <v>20014111</v>
      </c>
      <c r="X37" s="189">
        <v>1</v>
      </c>
      <c r="Y37" s="189">
        <v>100</v>
      </c>
      <c r="Z37" s="189">
        <v>2</v>
      </c>
      <c r="AA37" s="186">
        <v>2</v>
      </c>
      <c r="AB37" s="190">
        <f t="shared" si="18"/>
        <v>53</v>
      </c>
      <c r="AC37" s="18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37" s="184">
        <f ca="1">VLOOKUP($AB37,OFFSET([4]characters!$A$1,0,0,COUNTA([4]characters!$A:$A),MATCH(AD$1,[4]characters!$1:$1,0)-MATCH("character_id",[4]characters!$1:$1,0)+1),MATCH(AD$1,[4]characters!$1:$1,0)-MATCH("character_id",[4]characters!$1:$1,0)+1,FALSE)</f>
        <v>2</v>
      </c>
      <c r="AE37" s="18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Drop1N</v>
      </c>
      <c r="AF37" s="191">
        <v>1</v>
      </c>
      <c r="AG37" s="190">
        <f t="shared" ca="1" si="19"/>
        <v>2</v>
      </c>
      <c r="AH37" s="192">
        <v>0</v>
      </c>
      <c r="AI37" s="191">
        <v>0</v>
      </c>
      <c r="AJ37" s="191">
        <v>0</v>
      </c>
      <c r="AK37" s="191">
        <v>0</v>
      </c>
      <c r="AL37" s="191">
        <v>0</v>
      </c>
      <c r="AM37" s="191">
        <v>1</v>
      </c>
      <c r="AN37" s="193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125" zoomScaleNormal="125" zoomScalePageLayoutView="125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M5" sqref="M5"/>
    </sheetView>
  </sheetViews>
  <sheetFormatPr baseColWidth="12" defaultColWidth="13" defaultRowHeight="21" customHeight="1" outlineLevelCol="1" x14ac:dyDescent="0.15"/>
  <cols>
    <col min="1" max="1" width="17" style="15" bestFit="1" customWidth="1"/>
    <col min="2" max="2" width="10.83203125" style="2" bestFit="1" customWidth="1"/>
    <col min="3" max="3" width="10.6640625" style="2" bestFit="1" customWidth="1"/>
    <col min="4" max="4" width="13" style="10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/>
    <col min="8" max="9" width="12.33203125" style="2" bestFit="1" customWidth="1" outlineLevel="1"/>
    <col min="10" max="10" width="12.33203125" style="2" customWidth="1" outlineLevel="1"/>
    <col min="11" max="11" width="12.33203125" style="2" customWidth="1"/>
    <col min="12" max="12" width="11" style="2" bestFit="1" customWidth="1"/>
    <col min="13" max="13" width="13.5" style="7" bestFit="1" customWidth="1" collapsed="1"/>
    <col min="14" max="14" width="8.83203125" style="2" hidden="1" customWidth="1" outlineLevel="1"/>
    <col min="15" max="15" width="8.6640625" style="2" hidden="1" customWidth="1" outlineLevel="1"/>
    <col min="16" max="16" width="12" style="2" hidden="1" customWidth="1" outlineLevel="1"/>
    <col min="17" max="17" width="21" style="2" hidden="1" customWidth="1" outlineLevel="1"/>
    <col min="18" max="18" width="8" style="2" hidden="1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27" customFormat="1" ht="21" customHeight="1" x14ac:dyDescent="0.15">
      <c r="A1" s="21" t="s">
        <v>29</v>
      </c>
      <c r="B1" s="22" t="s">
        <v>0</v>
      </c>
      <c r="C1" s="22" t="s">
        <v>1</v>
      </c>
      <c r="D1" s="23" t="s">
        <v>28</v>
      </c>
      <c r="E1" s="24" t="s">
        <v>16</v>
      </c>
      <c r="F1" s="24" t="s">
        <v>16</v>
      </c>
      <c r="G1" s="22" t="s">
        <v>19</v>
      </c>
      <c r="H1" s="23" t="s">
        <v>30</v>
      </c>
      <c r="I1" s="23" t="s">
        <v>14</v>
      </c>
      <c r="J1" s="23" t="s">
        <v>15</v>
      </c>
      <c r="K1" s="28" t="s">
        <v>54</v>
      </c>
      <c r="L1" s="28" t="s">
        <v>55</v>
      </c>
      <c r="M1" s="29" t="s">
        <v>2</v>
      </c>
      <c r="N1" s="25" t="s">
        <v>16</v>
      </c>
      <c r="O1" s="23" t="s">
        <v>24</v>
      </c>
      <c r="P1" s="23" t="s">
        <v>23</v>
      </c>
      <c r="Q1" s="26" t="s">
        <v>26</v>
      </c>
      <c r="R1" s="24" t="s">
        <v>25</v>
      </c>
      <c r="S1" s="22" t="s">
        <v>3</v>
      </c>
      <c r="T1" s="20" t="s">
        <v>48</v>
      </c>
      <c r="U1" s="20" t="s">
        <v>50</v>
      </c>
      <c r="V1" s="20" t="s">
        <v>52</v>
      </c>
      <c r="W1" s="22" t="s">
        <v>130</v>
      </c>
      <c r="X1" s="23" t="s">
        <v>129</v>
      </c>
      <c r="Y1" s="22" t="s">
        <v>8</v>
      </c>
    </row>
    <row r="2" spans="1:25" ht="21" customHeight="1" x14ac:dyDescent="0.15">
      <c r="A2" s="12" t="str">
        <f>B2&amp;"_"&amp;C2&amp;"-"&amp;G2&amp;"/"&amp;M2&amp;"&lt;lv"&amp;S2&amp;"&gt;sq"&amp;K2&amp;"st"&amp;L2</f>
        <v>20014_1-5/842&lt;lv10&gt;sq1st2</v>
      </c>
      <c r="B2" s="18">
        <v>20014</v>
      </c>
      <c r="C2" s="17">
        <v>1</v>
      </c>
      <c r="D2" s="1" t="str">
        <f>B2&amp;"_"&amp;C2</f>
        <v>20014_1</v>
      </c>
      <c r="E2" s="3" t="str">
        <f ca="1">VLOOKUP($B2,OFFSET([2]quests!$A$1,0,0,COUNTA([2]quests!$A:$A),MATCH(E$1,[2]quests!$1:$1,0)-MATCH($B$1,[2]quests!$1:$1,0)+1),MATCH(E$1,[2]quests!$1:$1,0)-MATCH($B$1,[2]quests!$1:$1,0)+1,FALSE)</f>
        <v>魅了する歌声</v>
      </c>
      <c r="F2" s="3" t="str">
        <f ca="1">VLOOKUP($D2,OFFSET([2]stages!$A$1,0,0,COUNTA([2]stages!$A:$A),MATCH(F$1,[2]stages!$2:$2,0)-MATCH($D$1,[2]stages!$2:$2,0)+1),MATCH(F$1,[2]stages!$2:$2,0)-MATCH($D$1,[2]stages!$2:$2,0)+1,FALSE)</f>
        <v>【初級】魅了する歌声</v>
      </c>
      <c r="G2" s="17">
        <v>5</v>
      </c>
      <c r="H2" s="11" t="str">
        <f>B2&amp;"_"&amp;C2&amp;"-"&amp;G2</f>
        <v>20014_1-5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0">
        <v>1</v>
      </c>
      <c r="L2" s="30">
        <v>2</v>
      </c>
      <c r="M2" s="16">
        <v>842</v>
      </c>
      <c r="N2" s="13" t="str">
        <f ca="1">VLOOKUP($M2,OFFSET([3]enemies!$A$1,0,0,COUNTA([3]enemies!$A:$A),MATCH(N$1,[3]enemies!$1:$1,0)-MATCH($M$1,[3]enemies!$1:$1,0)+1),MATCH(N$1,[3]enemies!$1:$1,0)-MATCH($M$1,[3]enemies!$1:$1,0)+1,FALSE)</f>
        <v>セイレーン</v>
      </c>
      <c r="O2" s="13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3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3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3">
        <f ca="1">VLOOKUP($M2,OFFSET([3]enemies!$A$1,0,0,COUNTA([3]enemies!$A:$A),MATCH(R$1,[3]enemies!$1:$1,0)-MATCH($M$1,[3]enemies!$1:$1,0)+1),MATCH(R$1,[3]enemies!$1:$1,0)-MATCH($M$1,[3]enemies!$1:$1,0)+1,FALSE)</f>
        <v>30</v>
      </c>
      <c r="S2" s="4">
        <v>10</v>
      </c>
      <c r="T2" s="19">
        <v>3</v>
      </c>
      <c r="U2" s="19">
        <v>0.6</v>
      </c>
      <c r="V2" s="4">
        <v>0</v>
      </c>
      <c r="W2" s="3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3">
        <v>20014112</v>
      </c>
      <c r="Y2" s="61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2" t="str">
        <f t="shared" ref="A3:A4" si="0">B3&amp;"_"&amp;C3&amp;"-"&amp;G3&amp;"/"&amp;M3&amp;"&lt;lv"&amp;S3&amp;"&gt;sq"&amp;K3&amp;"st"&amp;L3</f>
        <v>20014_2-5/842&lt;lv20&gt;sq2st2</v>
      </c>
      <c r="B3" s="18">
        <v>20014</v>
      </c>
      <c r="C3" s="17">
        <v>2</v>
      </c>
      <c r="D3" s="1" t="str">
        <f t="shared" ref="D3:D4" si="1">B3&amp;"_"&amp;C3</f>
        <v>20014_2</v>
      </c>
      <c r="E3" s="3" t="str">
        <f ca="1">VLOOKUP($B3,OFFSET([2]quests!$A$1,0,0,COUNTA([2]quests!$A:$A),MATCH(E$1,[2]quests!$1:$1,0)-MATCH($B$1,[2]quests!$1:$1,0)+1),MATCH(E$1,[2]quests!$1:$1,0)-MATCH($B$1,[2]quests!$1:$1,0)+1,FALSE)</f>
        <v>魅了する歌声</v>
      </c>
      <c r="F3" s="3" t="str">
        <f ca="1">VLOOKUP($D3,OFFSET([2]stages!$A$1,0,0,COUNTA([2]stages!$A:$A),MATCH(F$1,[2]stages!$2:$2,0)-MATCH($D$1,[2]stages!$2:$2,0)+1),MATCH(F$1,[2]stages!$2:$2,0)-MATCH($D$1,[2]stages!$2:$2,0)+1,FALSE)</f>
        <v>【中級】魅了する歌声</v>
      </c>
      <c r="G3" s="17">
        <v>5</v>
      </c>
      <c r="H3" s="11" t="str">
        <f t="shared" ref="H3:H4" si="2">B3&amp;"_"&amp;C3&amp;"-"&amp;G3</f>
        <v>20014_2-5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0">
        <v>2</v>
      </c>
      <c r="L3" s="30">
        <v>2</v>
      </c>
      <c r="M3" s="16">
        <v>842</v>
      </c>
      <c r="N3" s="13" t="str">
        <f ca="1">VLOOKUP($M3,OFFSET([3]enemies!$A$1,0,0,COUNTA([3]enemies!$A:$A),MATCH(N$1,[3]enemies!$1:$1,0)-MATCH($M$1,[3]enemies!$1:$1,0)+1),MATCH(N$1,[3]enemies!$1:$1,0)-MATCH($M$1,[3]enemies!$1:$1,0)+1,FALSE)</f>
        <v>セイレーン</v>
      </c>
      <c r="O3" s="13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3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3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3">
        <f ca="1">VLOOKUP($M3,OFFSET([3]enemies!$A$1,0,0,COUNTA([3]enemies!$A:$A),MATCH(R$1,[3]enemies!$1:$1,0)-MATCH($M$1,[3]enemies!$1:$1,0)+1),MATCH(R$1,[3]enemies!$1:$1,0)-MATCH($M$1,[3]enemies!$1:$1,0)+1,FALSE)</f>
        <v>30</v>
      </c>
      <c r="S3" s="4">
        <v>20</v>
      </c>
      <c r="T3" s="19">
        <v>3</v>
      </c>
      <c r="U3" s="19">
        <v>0.6</v>
      </c>
      <c r="V3" s="4">
        <v>0</v>
      </c>
      <c r="W3" s="3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3">
        <v>20014112</v>
      </c>
      <c r="Y3" s="61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2" t="str">
        <f t="shared" si="0"/>
        <v>20014_3-5/842&lt;lv40&gt;sq3st2</v>
      </c>
      <c r="B4" s="18">
        <v>20014</v>
      </c>
      <c r="C4" s="17">
        <v>3</v>
      </c>
      <c r="D4" s="1" t="str">
        <f t="shared" si="1"/>
        <v>20014_3</v>
      </c>
      <c r="E4" s="3" t="str">
        <f ca="1">VLOOKUP($B4,OFFSET([2]quests!$A$1,0,0,COUNTA([2]quests!$A:$A),MATCH(E$1,[2]quests!$1:$1,0)-MATCH($B$1,[2]quests!$1:$1,0)+1),MATCH(E$1,[2]quests!$1:$1,0)-MATCH($B$1,[2]quests!$1:$1,0)+1,FALSE)</f>
        <v>魅了する歌声</v>
      </c>
      <c r="F4" s="3" t="str">
        <f ca="1">VLOOKUP($D4,OFFSET([2]stages!$A$1,0,0,COUNTA([2]stages!$A:$A),MATCH(F$1,[2]stages!$2:$2,0)-MATCH($D$1,[2]stages!$2:$2,0)+1),MATCH(F$1,[2]stages!$2:$2,0)-MATCH($D$1,[2]stages!$2:$2,0)+1,FALSE)</f>
        <v>【上級】魅了する歌声</v>
      </c>
      <c r="G4" s="17">
        <v>5</v>
      </c>
      <c r="H4" s="11" t="str">
        <f t="shared" si="2"/>
        <v>20014_3-5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0">
        <v>3</v>
      </c>
      <c r="L4" s="30">
        <v>2</v>
      </c>
      <c r="M4" s="16">
        <v>842</v>
      </c>
      <c r="N4" s="13" t="str">
        <f ca="1">VLOOKUP($M4,OFFSET([3]enemies!$A$1,0,0,COUNTA([3]enemies!$A:$A),MATCH(N$1,[3]enemies!$1:$1,0)-MATCH($M$1,[3]enemies!$1:$1,0)+1),MATCH(N$1,[3]enemies!$1:$1,0)-MATCH($M$1,[3]enemies!$1:$1,0)+1,FALSE)</f>
        <v>セイレーン</v>
      </c>
      <c r="O4" s="13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3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3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3">
        <f ca="1">VLOOKUP($M4,OFFSET([3]enemies!$A$1,0,0,COUNTA([3]enemies!$A:$A),MATCH(R$1,[3]enemies!$1:$1,0)-MATCH($M$1,[3]enemies!$1:$1,0)+1),MATCH(R$1,[3]enemies!$1:$1,0)-MATCH($M$1,[3]enemies!$1:$1,0)+1,FALSE)</f>
        <v>30</v>
      </c>
      <c r="S4" s="4">
        <v>40</v>
      </c>
      <c r="T4" s="19">
        <v>3</v>
      </c>
      <c r="U4" s="19">
        <v>0.6</v>
      </c>
      <c r="V4" s="4">
        <v>0</v>
      </c>
      <c r="W4" s="3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3">
        <v>20014112</v>
      </c>
      <c r="Y4" s="61">
        <f ca="1">VLOOKUP($M4,OFFSET([3]enemies!$A$1,0,0,COUNTA([3]enemies!$A:$A),MATCH(Y$1,[3]enemies!$1:$1,0)-MATCH($M$1,[3]enemies!$1:$1,0)+1),MATCH(Y$1,[3]enemies!$1:$1,0)-MATCH($M$1,[3]enemies!$1:$1,0)+1,FALSE)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" sqref="E3"/>
    </sheetView>
  </sheetViews>
  <sheetFormatPr baseColWidth="12" defaultColWidth="12.83203125" defaultRowHeight="21" customHeight="1" outlineLevelCol="1" x14ac:dyDescent="0.15"/>
  <cols>
    <col min="1" max="1" width="11.33203125" style="31" bestFit="1" customWidth="1"/>
    <col min="2" max="2" width="9.5" style="41" bestFit="1" customWidth="1"/>
    <col min="3" max="3" width="9.6640625" style="41" customWidth="1"/>
    <col min="4" max="4" width="18.5" style="41" customWidth="1" outlineLevel="1"/>
    <col min="5" max="5" width="44.1640625" style="41" bestFit="1" customWidth="1" outlineLevel="1"/>
    <col min="6" max="6" width="10.83203125" style="41" bestFit="1" customWidth="1"/>
    <col min="7" max="7" width="8.33203125" style="41" bestFit="1" customWidth="1" outlineLevel="1"/>
    <col min="8" max="9" width="12.83203125" style="41" outlineLevel="1"/>
    <col min="10" max="10" width="17.6640625" style="41" bestFit="1" customWidth="1" outlineLevel="1"/>
    <col min="11" max="15" width="12.83203125" style="41" outlineLevel="1"/>
    <col min="16" max="16" width="8.33203125" style="37" bestFit="1" customWidth="1"/>
    <col min="17" max="17" width="9.6640625" style="37" customWidth="1"/>
    <col min="18" max="18" width="56.5" style="37" bestFit="1" customWidth="1"/>
    <col min="19" max="16384" width="12.83203125" style="37"/>
  </cols>
  <sheetData>
    <row r="1" spans="1:18" ht="21" customHeight="1" x14ac:dyDescent="0.15">
      <c r="A1" s="31" t="s">
        <v>60</v>
      </c>
      <c r="B1" s="32" t="s">
        <v>61</v>
      </c>
      <c r="C1" s="32" t="s">
        <v>62</v>
      </c>
      <c r="D1" s="33" t="s">
        <v>63</v>
      </c>
      <c r="E1" s="33" t="s">
        <v>64</v>
      </c>
      <c r="F1" s="34" t="s">
        <v>65</v>
      </c>
      <c r="G1" s="35" t="s">
        <v>66</v>
      </c>
      <c r="H1" s="35" t="s">
        <v>68</v>
      </c>
      <c r="I1" s="35" t="s">
        <v>69</v>
      </c>
      <c r="J1" s="35" t="s">
        <v>70</v>
      </c>
      <c r="K1" s="36" t="s">
        <v>71</v>
      </c>
      <c r="L1" s="36" t="s">
        <v>72</v>
      </c>
      <c r="M1" s="35" t="s">
        <v>73</v>
      </c>
      <c r="N1" s="35" t="s">
        <v>74</v>
      </c>
      <c r="O1" s="35" t="s">
        <v>75</v>
      </c>
      <c r="P1" s="33" t="s">
        <v>76</v>
      </c>
      <c r="Q1" s="33" t="s">
        <v>77</v>
      </c>
      <c r="R1" s="33" t="s">
        <v>78</v>
      </c>
    </row>
    <row r="2" spans="1:18" ht="21" customHeight="1" x14ac:dyDescent="0.15">
      <c r="A2" s="31" t="str">
        <f t="shared" ref="A2" si="0">B2&amp;"_"&amp;C2</f>
        <v>20014100_20014100</v>
      </c>
      <c r="B2" s="39">
        <v>20014100</v>
      </c>
      <c r="C2" s="39">
        <v>20014100</v>
      </c>
      <c r="D2" s="38" t="str">
        <f ca="1">VLOOKUP($C2,OFFSET(enemy_skills!$A$1,0,0,COUNTA(enemy_skills!$A:$A),MATCH(D$1,enemy_skills!$1:$1,0)-MATCH("enemy_skill_id",enemy_skills!$1:$1,0)+1),MATCH(D$1,enemy_skills!$1:$1,0)-MATCH("enemy_skill_id",enemy_skills!$1:$1,0)+1,FALSE)</f>
        <v>誘惑のラブリィ・ソング</v>
      </c>
      <c r="E2" s="38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ハートパネルを最大5個生成_x000D_＋全体攻撃</v>
      </c>
      <c r="F2" s="39">
        <v>20014100</v>
      </c>
      <c r="G2" s="40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0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0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" s="40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0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0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8</v>
      </c>
      <c r="M2" s="40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0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0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" s="39"/>
      <c r="Q2" s="39"/>
      <c r="R2" s="39"/>
    </row>
    <row r="3" spans="1:18" ht="21" customHeight="1" x14ac:dyDescent="0.15">
      <c r="A3" s="31" t="str">
        <f t="shared" ref="A3:A13" si="1">B3&amp;"_"&amp;C3</f>
        <v>20014101_20014101</v>
      </c>
      <c r="B3" s="39">
        <v>20014101</v>
      </c>
      <c r="C3" s="39">
        <v>20014101</v>
      </c>
      <c r="D3" s="38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ワタシたちのライブ楽しんでネ！</v>
      </c>
      <c r="E3" s="38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この戦闘の間 回復パネルの出現率DOWN</v>
      </c>
      <c r="F3" s="39">
        <v>20014101</v>
      </c>
      <c r="G3" s="40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0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0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0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0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0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0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0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0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9"/>
      <c r="Q3" s="39"/>
      <c r="R3" s="39"/>
    </row>
    <row r="4" spans="1:18" ht="21" customHeight="1" x14ac:dyDescent="0.15">
      <c r="A4" s="31" t="str">
        <f t="shared" si="1"/>
        <v>20014102_20014102</v>
      </c>
      <c r="B4" s="39">
        <v>20014102</v>
      </c>
      <c r="C4" s="39">
        <v>20014102</v>
      </c>
      <c r="D4" s="38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コールリーダーの先導</v>
      </c>
      <c r="E4" s="38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この戦闘の間 タップ数＋１</v>
      </c>
      <c r="F4" s="39">
        <v>20014102</v>
      </c>
      <c r="G4" s="40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0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0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0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0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0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0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0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0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9"/>
      <c r="Q4" s="39"/>
      <c r="R4" s="39"/>
    </row>
    <row r="5" spans="1:18" ht="21" customHeight="1" x14ac:dyDescent="0.15">
      <c r="A5" s="31" t="str">
        <f t="shared" ref="A5" si="2">B5&amp;"_"&amp;C5</f>
        <v>20014102_20014103</v>
      </c>
      <c r="B5" s="39">
        <v>20014102</v>
      </c>
      <c r="C5" s="39">
        <v>20014103</v>
      </c>
      <c r="D5" s="38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ペンライト・ウェーブ</v>
      </c>
      <c r="E5" s="38" t="str">
        <f ca="1">VLOOKUP($C5,OFFSET(enemy_skills!$A$1,0,0,COUNTA(enemy_skills!$A:$A),MATCH(E$1,enemy_skills!$1:$1,0)-MATCH("enemy_skill_id",enemy_skills!$1:$1,0)+1),MATCH(E$1,enemy_skills!$1:$1,0)-MATCH("enemy_skill_id",enemy_skills!$1:$1,0)+1,FALSE)</f>
        <v>回復タイプのユニットに大ダメージの全体攻撃</v>
      </c>
      <c r="F5" s="39">
        <v>20014103</v>
      </c>
      <c r="G5" s="40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0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0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" s="40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0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0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0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0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0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" s="39"/>
      <c r="Q5" s="39"/>
      <c r="R5" s="39"/>
    </row>
    <row r="6" spans="1:18" ht="21" customHeight="1" x14ac:dyDescent="0.15">
      <c r="A6" s="31" t="str">
        <f t="shared" si="1"/>
        <v>20014103_20014103</v>
      </c>
      <c r="B6" s="39">
        <v>20014103</v>
      </c>
      <c r="C6" s="39">
        <v>20014103</v>
      </c>
      <c r="D6" s="38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ペンライト・ウェーブ</v>
      </c>
      <c r="E6" s="38" t="str">
        <f ca="1">VLOOKUP($C6,OFFSET(enemy_skills!$A$1,0,0,COUNTA(enemy_skills!$A:$A),MATCH(E$1,enemy_skills!$1:$1,0)-MATCH("enemy_skill_id",enemy_skills!$1:$1,0)+1),MATCH(E$1,enemy_skills!$1:$1,0)-MATCH("enemy_skill_id",enemy_skills!$1:$1,0)+1,FALSE)</f>
        <v>回復タイプのユニットに大ダメージの全体攻撃</v>
      </c>
      <c r="F6" s="39">
        <v>20014103</v>
      </c>
      <c r="G6" s="4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0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0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6" s="40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0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0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0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0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0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6" s="39"/>
      <c r="Q6" s="39"/>
      <c r="R6" s="39"/>
    </row>
    <row r="7" spans="1:18" ht="21" customHeight="1" x14ac:dyDescent="0.15">
      <c r="A7" s="31" t="str">
        <f t="shared" si="1"/>
        <v>20014104_20014104</v>
      </c>
      <c r="B7" s="39">
        <v>20014104</v>
      </c>
      <c r="C7" s="39">
        <v>20014104</v>
      </c>
      <c r="D7" s="38" t="str">
        <f ca="1">VLOOKUP($C7,OFFSET(enemy_skills!$A$1,0,0,COUNTA(enemy_skills!$A:$A),MATCH(D$1,enemy_skills!$1:$1,0)-MATCH("enemy_skill_id",enemy_skills!$1:$1,0)+1),MATCH(D$1,enemy_skills!$1:$1,0)-MATCH("enemy_skill_id",enemy_skills!$1:$1,0)+1,FALSE)</f>
        <v>魅惑のセクシィ・トランス</v>
      </c>
      <c r="E7" s="38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ハートパネルを最大5個生成_x000D_＋8回連続攻撃</v>
      </c>
      <c r="F7" s="39">
        <v>20014104</v>
      </c>
      <c r="G7" s="40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0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0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7" s="40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0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0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8</v>
      </c>
      <c r="M7" s="40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0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0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7" s="39"/>
      <c r="Q7" s="39"/>
      <c r="R7" s="39"/>
    </row>
    <row r="8" spans="1:18" ht="21" customHeight="1" x14ac:dyDescent="0.15">
      <c r="A8" s="31" t="str">
        <f t="shared" si="1"/>
        <v>20014105_20014105</v>
      </c>
      <c r="B8" s="39">
        <v>20014105</v>
      </c>
      <c r="C8" s="39">
        <v>20014105</v>
      </c>
      <c r="D8" s="38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ダンサーズ・プライド</v>
      </c>
      <c r="E8" s="38" t="str">
        <f ca="1">VLOOKUP($C8,OFFSET(enemy_skills!$A$1,0,0,COUNTA(enemy_skills!$A:$A),MATCH(E$1,enemy_skills!$1:$1,0)-MATCH("enemy_skill_id",enemy_skills!$1:$1,0)+1),MATCH(E$1,enemy_skills!$1:$1,0)-MATCH("enemy_skill_id",enemy_skills!$1:$1,0)+1,FALSE)</f>
        <v>1ターンの間 攻撃力がダウン</v>
      </c>
      <c r="F8" s="39">
        <v>20014105</v>
      </c>
      <c r="G8" s="40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0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0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0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0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0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0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0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0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9"/>
      <c r="Q8" s="39"/>
      <c r="R8" s="39"/>
    </row>
    <row r="9" spans="1:18" ht="21" customHeight="1" x14ac:dyDescent="0.15">
      <c r="A9" s="31" t="str">
        <f t="shared" si="1"/>
        <v>20014106_20014106</v>
      </c>
      <c r="B9" s="39">
        <v>20014106</v>
      </c>
      <c r="C9" s="39">
        <v>20014106</v>
      </c>
      <c r="D9" s="38" t="str">
        <f ca="1">VLOOKUP($C9,OFFSET(enemy_skills!$A$1,0,0,COUNTA(enemy_skills!$A:$A),MATCH(D$1,enemy_skills!$1:$1,0)-MATCH("enemy_skill_id",enemy_skills!$1:$1,0)+1),MATCH(D$1,enemy_skills!$1:$1,0)-MATCH("enemy_skill_id",enemy_skills!$1:$1,0)+1,FALSE)</f>
        <v>全力応援</v>
      </c>
      <c r="E9" s="38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2ターンの間攻撃頻度が1にUP</v>
      </c>
      <c r="F9" s="39">
        <v>20014106</v>
      </c>
      <c r="G9" s="40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0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0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0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0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0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" s="40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0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0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9"/>
      <c r="Q9" s="39"/>
      <c r="R9" s="39"/>
    </row>
    <row r="10" spans="1:18" ht="21" customHeight="1" x14ac:dyDescent="0.15">
      <c r="A10" s="31" t="str">
        <f t="shared" si="1"/>
        <v>20014107_20014107</v>
      </c>
      <c r="B10" s="39">
        <v>20014107</v>
      </c>
      <c r="C10" s="39">
        <v>20014107</v>
      </c>
      <c r="D10" s="38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癒しのガーリィ・ポップス</v>
      </c>
      <c r="E10" s="38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ハートパネルを最大8個生成_x000D_＋全体攻撃</v>
      </c>
      <c r="F10" s="39">
        <v>20014107</v>
      </c>
      <c r="G10" s="40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0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0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0" s="40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0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0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8</v>
      </c>
      <c r="M10" s="40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0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0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0" s="39"/>
      <c r="Q10" s="39"/>
      <c r="R10" s="39"/>
    </row>
    <row r="11" spans="1:18" ht="21" customHeight="1" x14ac:dyDescent="0.15">
      <c r="A11" s="31" t="str">
        <f t="shared" si="1"/>
        <v>20014108_20014108</v>
      </c>
      <c r="B11" s="39">
        <v>20014108</v>
      </c>
      <c r="C11" s="39">
        <v>20014108</v>
      </c>
      <c r="D11" s="38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演出用火薬</v>
      </c>
      <c r="E11" s="38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黄パネルを最大6個　時限式ダメージパネルに変換</v>
      </c>
      <c r="F11" s="39">
        <v>20014108</v>
      </c>
      <c r="G11" s="40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0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0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0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0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0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0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0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0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9"/>
      <c r="Q11" s="39"/>
      <c r="R11" s="39"/>
    </row>
    <row r="12" spans="1:18" ht="21" customHeight="1" x14ac:dyDescent="0.15">
      <c r="A12" s="31" t="str">
        <f t="shared" si="1"/>
        <v>20014109_20014109</v>
      </c>
      <c r="B12" s="39">
        <v>20014109</v>
      </c>
      <c r="C12" s="39">
        <v>20014109</v>
      </c>
      <c r="D12" s="38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舞台に捧げる光</v>
      </c>
      <c r="E12" s="38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3ターンの間攻撃力UP</v>
      </c>
      <c r="F12" s="39">
        <v>20014109</v>
      </c>
      <c r="G12" s="40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0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0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0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0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0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2" s="40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0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0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9"/>
      <c r="Q12" s="39"/>
      <c r="R12" s="39"/>
    </row>
    <row r="13" spans="1:18" ht="21" customHeight="1" x14ac:dyDescent="0.15">
      <c r="A13" s="31" t="str">
        <f t="shared" si="1"/>
        <v>20014110_20014110</v>
      </c>
      <c r="B13" s="39">
        <v>20014110</v>
      </c>
      <c r="C13" s="39">
        <v>20014110</v>
      </c>
      <c r="D13" s="38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ナチュラルハッキングヴォイス</v>
      </c>
      <c r="E13" s="38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フィーバーゲージ上昇_x000D_＋解除するまで毎ターンダメージ</v>
      </c>
      <c r="F13" s="39">
        <v>20014110</v>
      </c>
      <c r="G13" s="40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0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0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0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0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0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0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0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0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9"/>
      <c r="Q13" s="39"/>
      <c r="R13" s="39"/>
    </row>
    <row r="14" spans="1:18" ht="21" customHeight="1" x14ac:dyDescent="0.15">
      <c r="A14" s="31" t="str">
        <f t="shared" ref="A14:A15" si="3">B14&amp;"_"&amp;C14</f>
        <v>20014110_20014111</v>
      </c>
      <c r="B14" s="39">
        <v>20014110</v>
      </c>
      <c r="C14" s="39">
        <v>20014111</v>
      </c>
      <c r="D14" s="38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コール・アンド・レスポンス</v>
      </c>
      <c r="E14" s="38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ランダムでハートパネルを最大10個生成</v>
      </c>
      <c r="F14" s="39">
        <v>20014111</v>
      </c>
      <c r="G14" s="40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0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0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0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0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0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0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0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0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39"/>
      <c r="Q14" s="39"/>
      <c r="R14" s="39"/>
    </row>
    <row r="15" spans="1:18" ht="21" customHeight="1" x14ac:dyDescent="0.15">
      <c r="A15" s="31" t="str">
        <f t="shared" si="3"/>
        <v>20014110_20014112</v>
      </c>
      <c r="B15" s="39">
        <v>20014110</v>
      </c>
      <c r="C15" s="39">
        <v>20014112</v>
      </c>
      <c r="D15" s="38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セイレーン・シャウト</v>
      </c>
      <c r="E15" s="38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黄パネルを最大10個プロテクト＋全体攻撃</v>
      </c>
      <c r="F15" s="39">
        <v>20014112</v>
      </c>
      <c r="G15" s="40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0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0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0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0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0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0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0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0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9"/>
      <c r="Q15" s="39"/>
      <c r="R15" s="39"/>
    </row>
    <row r="16" spans="1:18" ht="21" customHeight="1" x14ac:dyDescent="0.15">
      <c r="A16" s="31" t="str">
        <f t="shared" ref="A16:A21" si="4">B16&amp;"_"&amp;C16</f>
        <v>20014111_20014113</v>
      </c>
      <c r="B16" s="39">
        <v>20014111</v>
      </c>
      <c r="C16" s="39">
        <v>20014113</v>
      </c>
      <c r="D16" s="38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舞台照明操作・暗転</v>
      </c>
      <c r="E16" s="38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永続暗闇＋攻撃頻度を1ターンに変更</v>
      </c>
      <c r="F16" s="39">
        <v>20014113</v>
      </c>
      <c r="G16" s="40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0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" s="40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0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0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0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0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0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0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9"/>
      <c r="Q16" s="39"/>
      <c r="R16" s="39"/>
    </row>
    <row r="17" spans="1:18" ht="21" customHeight="1" x14ac:dyDescent="0.15">
      <c r="A17" s="31" t="str">
        <f t="shared" si="4"/>
        <v>20014111_20014114</v>
      </c>
      <c r="B17" s="39">
        <v>20014111</v>
      </c>
      <c r="C17" s="39">
        <v>20014114</v>
      </c>
      <c r="D17" s="38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舞台照明操作・明転</v>
      </c>
      <c r="E17" s="38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暗闇解除＋攻撃頻度を2ターンに変更</v>
      </c>
      <c r="F17" s="39">
        <v>20014114</v>
      </c>
      <c r="G17" s="40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0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0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0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0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0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0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0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0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9"/>
      <c r="Q17" s="39"/>
      <c r="R17" s="39"/>
    </row>
    <row r="18" spans="1:18" ht="21" customHeight="1" x14ac:dyDescent="0.15">
      <c r="A18" s="31" t="str">
        <f t="shared" si="4"/>
        <v>20014111_20014115</v>
      </c>
      <c r="B18" s="39">
        <v>20014111</v>
      </c>
      <c r="C18" s="39">
        <v>20014115</v>
      </c>
      <c r="D18" s="38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裏方の意地</v>
      </c>
      <c r="E18" s="38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暗闇解除＋撤退</v>
      </c>
      <c r="F18" s="39">
        <v>20014115</v>
      </c>
      <c r="G18" s="40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0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0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0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0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0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0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0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842</v>
      </c>
      <c r="O18" s="40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9"/>
      <c r="Q18" s="39"/>
      <c r="R18" s="39"/>
    </row>
    <row r="19" spans="1:18" ht="21" customHeight="1" x14ac:dyDescent="0.15">
      <c r="A19" s="31" t="str">
        <f t="shared" si="4"/>
        <v>20014112_20014116</v>
      </c>
      <c r="B19" s="39">
        <v>20014112</v>
      </c>
      <c r="C19" s="39">
        <v>20014116</v>
      </c>
      <c r="D19" s="38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アンコール・クラップ</v>
      </c>
      <c r="E19" s="38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全体攻撃＋一定確率で2ターンの間スキルが使えない</v>
      </c>
      <c r="F19" s="39">
        <v>20014116</v>
      </c>
      <c r="G19" s="40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0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0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0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0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0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0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0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0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9"/>
      <c r="Q19" s="39"/>
      <c r="R19" s="39"/>
    </row>
    <row r="20" spans="1:18" ht="21" customHeight="1" x14ac:dyDescent="0.15">
      <c r="A20" s="31" t="str">
        <f t="shared" si="4"/>
        <v>20014112_20014117</v>
      </c>
      <c r="B20" s="39">
        <v>20014112</v>
      </c>
      <c r="C20" s="39">
        <v>20014117</v>
      </c>
      <c r="D20" s="38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鋭角スラッピングベース</v>
      </c>
      <c r="E20" s="38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赤属性に大ダメージの全体攻撃</v>
      </c>
      <c r="F20" s="39">
        <v>20014117</v>
      </c>
      <c r="G20" s="40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0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0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0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0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0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0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0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0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39"/>
      <c r="Q20" s="39"/>
      <c r="R20" s="39"/>
    </row>
    <row r="21" spans="1:18" ht="21" customHeight="1" x14ac:dyDescent="0.15">
      <c r="A21" s="31" t="str">
        <f t="shared" si="4"/>
        <v>20014112_20014118</v>
      </c>
      <c r="B21" s="39">
        <v>20014112</v>
      </c>
      <c r="C21" s="39">
        <v>20014118</v>
      </c>
      <c r="D21" s="38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フィナーレ・ナンバー</v>
      </c>
      <c r="E21" s="38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黄パネルを最大5個ハートパネルに変換_x000D_＋8回連続攻撃</v>
      </c>
      <c r="F21" s="39">
        <v>20014118</v>
      </c>
      <c r="G21" s="40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0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0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0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0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0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0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0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0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9"/>
      <c r="Q21" s="39"/>
      <c r="R21" s="39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0"/>
  <sheetViews>
    <sheetView showGridLines="0" workbookViewId="0">
      <pane ySplit="1" topLeftCell="A2" activePane="bottomLeft" state="frozenSplit"/>
      <selection pane="bottomLeft" activeCell="D24" sqref="D24"/>
    </sheetView>
  </sheetViews>
  <sheetFormatPr baseColWidth="12" defaultColWidth="12.83203125" defaultRowHeight="21" customHeight="1" outlineLevelCol="1" x14ac:dyDescent="0.15"/>
  <cols>
    <col min="1" max="1" width="12.83203125" style="41"/>
    <col min="2" max="2" width="109" style="41" customWidth="1"/>
    <col min="3" max="4" width="12.83203125" style="41"/>
    <col min="5" max="5" width="25.33203125" style="41" customWidth="1"/>
    <col min="6" max="6" width="49" style="41" customWidth="1"/>
    <col min="7" max="7" width="10.1640625" style="41" hidden="1" customWidth="1" outlineLevel="1"/>
    <col min="8" max="8" width="9.33203125" style="41" hidden="1" customWidth="1" outlineLevel="1"/>
    <col min="9" max="9" width="8.33203125" style="41" hidden="1" customWidth="1" outlineLevel="1"/>
    <col min="10" max="10" width="7" style="41" hidden="1" customWidth="1" outlineLevel="1"/>
    <col min="11" max="11" width="3.1640625" style="41" hidden="1" customWidth="1" outlineLevel="1"/>
    <col min="12" max="12" width="23.6640625" style="41" customWidth="1" collapsed="1"/>
    <col min="13" max="18" width="23.6640625" style="41" hidden="1" customWidth="1" outlineLevel="1"/>
    <col min="19" max="19" width="23.6640625" style="41" customWidth="1" collapsed="1"/>
    <col min="20" max="24" width="23.6640625" style="41" hidden="1" customWidth="1" outlineLevel="1"/>
    <col min="25" max="25" width="23.6640625" style="41" customWidth="1" collapsed="1"/>
    <col min="26" max="27" width="12.83203125" style="41"/>
    <col min="28" max="28" width="44.5" style="41" customWidth="1"/>
    <col min="29" max="16384" width="12.83203125" style="41"/>
  </cols>
  <sheetData>
    <row r="1" spans="1:28" ht="21" customHeight="1" x14ac:dyDescent="0.15">
      <c r="A1" s="32" t="s">
        <v>79</v>
      </c>
      <c r="B1" s="32" t="s">
        <v>80</v>
      </c>
      <c r="C1" s="32" t="s">
        <v>81</v>
      </c>
      <c r="D1" s="32" t="s">
        <v>127</v>
      </c>
      <c r="E1" s="32" t="s">
        <v>82</v>
      </c>
      <c r="F1" s="32" t="s">
        <v>83</v>
      </c>
      <c r="G1" s="33" t="s">
        <v>133</v>
      </c>
      <c r="H1" s="33" t="s">
        <v>139</v>
      </c>
      <c r="I1" s="33" t="s">
        <v>141</v>
      </c>
      <c r="J1" s="33" t="s">
        <v>140</v>
      </c>
      <c r="K1" s="33" t="s">
        <v>142</v>
      </c>
      <c r="L1" s="33" t="s">
        <v>134</v>
      </c>
      <c r="M1" s="33" t="s">
        <v>132</v>
      </c>
      <c r="N1" s="33" t="s">
        <v>135</v>
      </c>
      <c r="O1" s="33" t="s">
        <v>143</v>
      </c>
      <c r="P1" s="33" t="s">
        <v>144</v>
      </c>
      <c r="Q1" s="33" t="s">
        <v>145</v>
      </c>
      <c r="R1" s="33" t="s">
        <v>146</v>
      </c>
      <c r="S1" s="33" t="s">
        <v>136</v>
      </c>
      <c r="T1" s="33" t="s">
        <v>137</v>
      </c>
      <c r="U1" s="33" t="s">
        <v>147</v>
      </c>
      <c r="V1" s="33" t="s">
        <v>148</v>
      </c>
      <c r="W1" s="33" t="s">
        <v>149</v>
      </c>
      <c r="X1" s="33" t="s">
        <v>150</v>
      </c>
      <c r="Y1" s="33" t="s">
        <v>138</v>
      </c>
      <c r="Z1" s="33" t="s">
        <v>76</v>
      </c>
      <c r="AA1" s="33" t="s">
        <v>77</v>
      </c>
      <c r="AB1" s="33" t="s">
        <v>78</v>
      </c>
    </row>
    <row r="2" spans="1:28" ht="21" customHeight="1" x14ac:dyDescent="0.15">
      <c r="A2" s="39">
        <v>20014100</v>
      </c>
      <c r="B2" s="39" t="s">
        <v>295</v>
      </c>
      <c r="C2" s="42">
        <v>3</v>
      </c>
      <c r="D2" s="42" t="s">
        <v>128</v>
      </c>
      <c r="E2" s="43" t="s">
        <v>260</v>
      </c>
      <c r="F2" s="43" t="s">
        <v>293</v>
      </c>
      <c r="G2" s="55" t="str">
        <f>IFERROR(LEFT(B2,FIND("],",B2)),B2)</f>
        <v>[effect:force_change_block, new_block:block_heart, target:block_all, ignore01:crash, ignore02:crack_bomb,  ignore03:time_bomb, ignore04:jammer, count:5, val:0, animation:change_block]</v>
      </c>
      <c r="H2" s="55">
        <f>FIND("effect:",G2)+7</f>
        <v>9</v>
      </c>
      <c r="I2" s="55">
        <f>IFERROR(FIND(",",G2),LEN(G2))</f>
        <v>27</v>
      </c>
      <c r="J2" s="55">
        <f>FIND("target:",G2)+7</f>
        <v>59</v>
      </c>
      <c r="K2" s="55">
        <f>FIND(",",G2,I2+1)</f>
        <v>50</v>
      </c>
      <c r="L2" s="55" t="str">
        <f>IFERROR(VLOOKUP(MID(G2,J2,K2-J2),[6]skilldef!$C:$D,2,FALSE),"-") &amp; " / " &amp; IFERROR(VLOOKUP(MID(G2,H2,I2-H2),[6]skilldef!$A:$B,2,FALSE),"-")</f>
        <v>- / -</v>
      </c>
      <c r="M2" s="55" t="str">
        <f>IFERROR(RIGHT(B2,LEN(B2)-FIND("],",B2)-1),"none")</f>
        <v>[effect:spread, val:0.52]</v>
      </c>
      <c r="N2" s="40" t="str">
        <f>IFERROR(LEFT(M2,FIND("],",M2)+S12),M2)</f>
        <v>[effect:spread, val:0.52]</v>
      </c>
      <c r="O2" s="55">
        <f>FIND("effect:",N2)+7</f>
        <v>9</v>
      </c>
      <c r="P2" s="55">
        <f>IFERROR(FIND(",",N2),LEN(N2))</f>
        <v>15</v>
      </c>
      <c r="Q2" s="55" t="e">
        <f>FIND("target:",N2)+7</f>
        <v>#VALUE!</v>
      </c>
      <c r="R2" s="55" t="e">
        <f>FIND(",",N2,P2+1)</f>
        <v>#VALUE!</v>
      </c>
      <c r="S2" s="55" t="str">
        <f>IFERROR(VLOOKUP(MID(N2,Q2,R2-Q2),[6]skilldef!$C:$D,2,FALSE),"-") &amp; " / " &amp; IFERROR(VLOOKUP(MID(N2,O2,P2-O2),[6]skilldef!$A:$B,2,FALSE),"-")</f>
        <v>- / 全体攻撃</v>
      </c>
      <c r="T2" s="40" t="str">
        <f>IFERROR(RIGHT(M2,LEN(M2)-FIND("],",M2)-1),"none")</f>
        <v>none</v>
      </c>
      <c r="U2" s="55" t="e">
        <f>FIND("effect:",T2)+7</f>
        <v>#VALUE!</v>
      </c>
      <c r="V2" s="55">
        <f>IFERROR(FIND(",",T2),LEN(T2))</f>
        <v>4</v>
      </c>
      <c r="W2" s="55" t="e">
        <f>FIND("target:",T2)+7</f>
        <v>#VALUE!</v>
      </c>
      <c r="X2" s="55" t="e">
        <f>FIND(",",T2,V2+1)</f>
        <v>#VALUE!</v>
      </c>
      <c r="Y2" s="55" t="str">
        <f>IFERROR(VLOOKUP(MID(T2,W2,X2-W2),[6]skilldef!$C:$D,2,FALSE),"-") &amp; " / " &amp; IFERROR(VLOOKUP(MID(T2,U2,V2-U2),[6]skilldef!$A:$B,2,FALSE),"-")</f>
        <v>- / -</v>
      </c>
      <c r="Z2" s="42"/>
      <c r="AA2" s="44"/>
      <c r="AB2" s="42" t="s">
        <v>215</v>
      </c>
    </row>
    <row r="3" spans="1:28" ht="21" customHeight="1" x14ac:dyDescent="0.15">
      <c r="A3" s="39">
        <v>20014101</v>
      </c>
      <c r="B3" s="39" t="s">
        <v>282</v>
      </c>
      <c r="C3" s="42">
        <v>3</v>
      </c>
      <c r="D3" s="42" t="s">
        <v>128</v>
      </c>
      <c r="E3" s="43" t="s">
        <v>257</v>
      </c>
      <c r="F3" s="43" t="s">
        <v>275</v>
      </c>
      <c r="G3" s="55" t="str">
        <f t="shared" ref="G3:G20" si="0">IFERROR(LEFT(B3,FIND("],",B3)),B3)</f>
        <v>[effect:change_panel_ratio, turn:-1, block_type:heal, val:0.1, animation:block_incidence04]</v>
      </c>
      <c r="H3" s="55">
        <f t="shared" ref="H3:H20" si="1">FIND("effect:",G3)+7</f>
        <v>9</v>
      </c>
      <c r="I3" s="55">
        <f t="shared" ref="I3:I20" si="2">IFERROR(FIND(",",G3),LEN(G3))</f>
        <v>27</v>
      </c>
      <c r="J3" s="55" t="e">
        <f t="shared" ref="J3:J20" si="3">FIND("target:",G3)+7</f>
        <v>#VALUE!</v>
      </c>
      <c r="K3" s="55">
        <f t="shared" ref="K3:K20" si="4">FIND(",",G3,I3+1)</f>
        <v>36</v>
      </c>
      <c r="L3" s="55" t="str">
        <f>IFERROR(VLOOKUP(MID(G3,J3,K3-J3),[6]skilldef!$C:$D,2,FALSE),"-") &amp; " / " &amp; IFERROR(VLOOKUP(MID(G3,H3,I3-H3),[6]skilldef!$A:$B,2,FALSE),"-")</f>
        <v>- / -</v>
      </c>
      <c r="M3" s="55" t="str">
        <f t="shared" ref="M3:M20" si="5">IFERROR(RIGHT(B3,LEN(B3)-FIND("],",B3)-1),"none")</f>
        <v>[effect:suicide, val:1, dead_type:escape, target:myself]</v>
      </c>
      <c r="N3" s="40" t="str">
        <f t="shared" ref="N3:N10" si="6">IFERROR(LEFT(M3,FIND("],",M3)+S13),M3)</f>
        <v>[effect:suicide, val:1, dead_type:escape, target:myself]</v>
      </c>
      <c r="O3" s="55">
        <f t="shared" ref="O3:O20" si="7">FIND("effect:",N3)+7</f>
        <v>9</v>
      </c>
      <c r="P3" s="55">
        <f t="shared" ref="P3:P20" si="8">IFERROR(FIND(",",N3),LEN(N3))</f>
        <v>16</v>
      </c>
      <c r="Q3" s="55">
        <f t="shared" ref="Q3:Q20" si="9">FIND("target:",N3)+7</f>
        <v>50</v>
      </c>
      <c r="R3" s="55">
        <f t="shared" ref="R3:R20" si="10">FIND(",",N3,P3+1)</f>
        <v>23</v>
      </c>
      <c r="S3" s="55" t="str">
        <f>IFERROR(VLOOKUP(MID(N3,Q3,R3-Q3),[6]skilldef!$C:$D,2,FALSE),"-") &amp; " / " &amp; IFERROR(VLOOKUP(MID(N3,O3,P3-O3),[6]skilldef!$A:$B,2,FALSE),"-")</f>
        <v>- / -</v>
      </c>
      <c r="T3" s="40" t="str">
        <f t="shared" ref="T3:T20" si="11">IFERROR(RIGHT(M3,LEN(M3)-FIND("],",M3)-1),"none")</f>
        <v>none</v>
      </c>
      <c r="U3" s="55" t="e">
        <f t="shared" ref="U3:U20" si="12">FIND("effect:",T3)+7</f>
        <v>#VALUE!</v>
      </c>
      <c r="V3" s="55">
        <f t="shared" ref="V3:V20" si="13">IFERROR(FIND(",",T3),LEN(T3))</f>
        <v>4</v>
      </c>
      <c r="W3" s="55" t="e">
        <f t="shared" ref="W3:W20" si="14">FIND("target:",T3)+7</f>
        <v>#VALUE!</v>
      </c>
      <c r="X3" s="55" t="e">
        <f t="shared" ref="X3:X20" si="15">FIND(",",T3,V3+1)</f>
        <v>#VALUE!</v>
      </c>
      <c r="Y3" s="55" t="str">
        <f>IFERROR(VLOOKUP(MID(T3,W3,X3-W3),[6]skilldef!$C:$D,2,FALSE),"-") &amp; " / " &amp; IFERROR(VLOOKUP(MID(T3,U3,V3-U3),[6]skilldef!$A:$B,2,FALSE),"-")</f>
        <v>- / -</v>
      </c>
      <c r="Z3" s="42"/>
      <c r="AA3" s="44"/>
      <c r="AB3" s="42" t="s">
        <v>216</v>
      </c>
    </row>
    <row r="4" spans="1:28" ht="21" customHeight="1" x14ac:dyDescent="0.15">
      <c r="A4" s="39">
        <v>20014102</v>
      </c>
      <c r="B4" s="39" t="s">
        <v>283</v>
      </c>
      <c r="C4" s="42">
        <v>3</v>
      </c>
      <c r="D4" s="42" t="s">
        <v>128</v>
      </c>
      <c r="E4" s="43" t="s">
        <v>236</v>
      </c>
      <c r="F4" s="43" t="s">
        <v>258</v>
      </c>
      <c r="G4" s="55" t="str">
        <f t="shared" si="0"/>
        <v>[effect:enhance_unit, target:unit_all, turn:-1, status:action, val:1, calc:add]</v>
      </c>
      <c r="H4" s="55">
        <f t="shared" si="1"/>
        <v>9</v>
      </c>
      <c r="I4" s="55">
        <f t="shared" si="2"/>
        <v>21</v>
      </c>
      <c r="J4" s="55">
        <f t="shared" si="3"/>
        <v>30</v>
      </c>
      <c r="K4" s="55">
        <f t="shared" si="4"/>
        <v>38</v>
      </c>
      <c r="L4" s="55" t="str">
        <f>IFERROR(VLOOKUP(MID(G4,J4,K4-J4),[6]skilldef!$C:$D,2,FALSE),"-") &amp; " / " &amp; IFERROR(VLOOKUP(MID(G4,H4,I4-H4),[6]skilldef!$A:$B,2,FALSE),"-")</f>
        <v>味方全体に / -</v>
      </c>
      <c r="M4" s="55" t="str">
        <f t="shared" si="5"/>
        <v>[effect:freq_turn, target:enemy_all, turn:1, val:2, animation:enemy_freq_turn]</v>
      </c>
      <c r="N4" s="40" t="str">
        <f t="shared" si="6"/>
        <v>[effect:freq_turn, target:enemy_all, turn:1, val:2, animation:enemy_freq_turn]</v>
      </c>
      <c r="O4" s="55">
        <f t="shared" si="7"/>
        <v>9</v>
      </c>
      <c r="P4" s="55">
        <f t="shared" si="8"/>
        <v>18</v>
      </c>
      <c r="Q4" s="55">
        <f t="shared" si="9"/>
        <v>27</v>
      </c>
      <c r="R4" s="55">
        <f t="shared" si="10"/>
        <v>36</v>
      </c>
      <c r="S4" s="55" t="str">
        <f>IFERROR(VLOOKUP(MID(N4,Q4,R4-Q4),[6]skilldef!$C:$D,2,FALSE),"-") &amp; " / " &amp; IFERROR(VLOOKUP(MID(N4,O4,P4-O4),[6]skilldef!$A:$B,2,FALSE),"-")</f>
        <v>敵全体に / 攻撃頻度がUP</v>
      </c>
      <c r="T4" s="40" t="str">
        <f t="shared" si="11"/>
        <v>none</v>
      </c>
      <c r="U4" s="55" t="e">
        <f t="shared" si="12"/>
        <v>#VALUE!</v>
      </c>
      <c r="V4" s="55">
        <f t="shared" si="13"/>
        <v>4</v>
      </c>
      <c r="W4" s="55" t="e">
        <f t="shared" si="14"/>
        <v>#VALUE!</v>
      </c>
      <c r="X4" s="55" t="e">
        <f t="shared" si="15"/>
        <v>#VALUE!</v>
      </c>
      <c r="Y4" s="55" t="str">
        <f>IFERROR(VLOOKUP(MID(T4,W4,X4-W4),[6]skilldef!$C:$D,2,FALSE),"-") &amp; " / " &amp; IFERROR(VLOOKUP(MID(T4,U4,V4-U4),[6]skilldef!$A:$B,2,FALSE),"-")</f>
        <v>- / -</v>
      </c>
      <c r="Z4" s="42"/>
      <c r="AA4" s="44"/>
      <c r="AB4" s="42" t="s">
        <v>217</v>
      </c>
    </row>
    <row r="5" spans="1:28" ht="21" customHeight="1" x14ac:dyDescent="0.15">
      <c r="A5" s="39">
        <v>20014103</v>
      </c>
      <c r="B5" s="39" t="s">
        <v>242</v>
      </c>
      <c r="C5" s="42">
        <v>3</v>
      </c>
      <c r="D5" s="42" t="s">
        <v>128</v>
      </c>
      <c r="E5" s="43" t="s">
        <v>237</v>
      </c>
      <c r="F5" s="43" t="s">
        <v>229</v>
      </c>
      <c r="G5" s="55" t="str">
        <f t="shared" si="0"/>
        <v>[effect:damage_anti_type, target:unit_all, type:heal, val1:0.8, val2:0.2]</v>
      </c>
      <c r="H5" s="55">
        <f t="shared" si="1"/>
        <v>9</v>
      </c>
      <c r="I5" s="55">
        <f t="shared" si="2"/>
        <v>25</v>
      </c>
      <c r="J5" s="55">
        <f t="shared" si="3"/>
        <v>34</v>
      </c>
      <c r="K5" s="55">
        <f t="shared" si="4"/>
        <v>42</v>
      </c>
      <c r="L5" s="55" t="str">
        <f>IFERROR(VLOOKUP(MID(G5,J5,K5-J5),[6]skilldef!$C:$D,2,FALSE),"-") &amp; " / " &amp; IFERROR(VLOOKUP(MID(G5,H5,I5-H5),[6]skilldef!$A:$B,2,FALSE),"-")</f>
        <v>味方全体に / タイプキラー</v>
      </c>
      <c r="M5" s="55" t="str">
        <f t="shared" si="5"/>
        <v>none</v>
      </c>
      <c r="N5" s="40" t="str">
        <f t="shared" si="6"/>
        <v>none</v>
      </c>
      <c r="O5" s="55" t="e">
        <f t="shared" si="7"/>
        <v>#VALUE!</v>
      </c>
      <c r="P5" s="55">
        <f t="shared" si="8"/>
        <v>4</v>
      </c>
      <c r="Q5" s="55" t="e">
        <f t="shared" si="9"/>
        <v>#VALUE!</v>
      </c>
      <c r="R5" s="55" t="e">
        <f t="shared" si="10"/>
        <v>#VALUE!</v>
      </c>
      <c r="S5" s="55" t="str">
        <f>IFERROR(VLOOKUP(MID(N5,Q5,R5-Q5),[6]skilldef!$C:$D,2,FALSE),"-") &amp; " / " &amp; IFERROR(VLOOKUP(MID(N5,O5,P5-O5),[6]skilldef!$A:$B,2,FALSE),"-")</f>
        <v>- / -</v>
      </c>
      <c r="T5" s="40" t="str">
        <f t="shared" si="11"/>
        <v>none</v>
      </c>
      <c r="U5" s="55" t="e">
        <f t="shared" si="12"/>
        <v>#VALUE!</v>
      </c>
      <c r="V5" s="55">
        <f t="shared" si="13"/>
        <v>4</v>
      </c>
      <c r="W5" s="55" t="e">
        <f t="shared" si="14"/>
        <v>#VALUE!</v>
      </c>
      <c r="X5" s="55" t="e">
        <f t="shared" si="15"/>
        <v>#VALUE!</v>
      </c>
      <c r="Y5" s="55" t="str">
        <f>IFERROR(VLOOKUP(MID(T5,W5,X5-W5),[6]skilldef!$C:$D,2,FALSE),"-") &amp; " / " &amp; IFERROR(VLOOKUP(MID(T5,U5,V5-U5),[6]skilldef!$A:$B,2,FALSE),"-")</f>
        <v>- / -</v>
      </c>
      <c r="Z5" s="42"/>
      <c r="AA5" s="44"/>
      <c r="AB5" s="42" t="s">
        <v>218</v>
      </c>
    </row>
    <row r="6" spans="1:28" ht="21" customHeight="1" x14ac:dyDescent="0.15">
      <c r="A6" s="39">
        <v>20014104</v>
      </c>
      <c r="B6" s="39" t="s">
        <v>284</v>
      </c>
      <c r="C6" s="42">
        <v>3</v>
      </c>
      <c r="D6" s="42" t="s">
        <v>128</v>
      </c>
      <c r="E6" s="43" t="s">
        <v>262</v>
      </c>
      <c r="F6" s="43" t="s">
        <v>291</v>
      </c>
      <c r="G6" s="55" t="str">
        <f t="shared" si="0"/>
        <v>[effect:force_change_block, new_block:block_heart, target:block_all, ignore01:crash, ignore02:crack_bomb, ignore03:time_bomb, ignore04:jammer, count:5, val:0, animation:change_block]</v>
      </c>
      <c r="H6" s="55">
        <f t="shared" si="1"/>
        <v>9</v>
      </c>
      <c r="I6" s="55">
        <f t="shared" si="2"/>
        <v>27</v>
      </c>
      <c r="J6" s="55">
        <f t="shared" si="3"/>
        <v>59</v>
      </c>
      <c r="K6" s="55">
        <f t="shared" si="4"/>
        <v>50</v>
      </c>
      <c r="L6" s="55" t="str">
        <f>IFERROR(VLOOKUP(MID(G6,J6,K6-J6),[6]skilldef!$C:$D,2,FALSE),"-") &amp; " / " &amp; IFERROR(VLOOKUP(MID(G6,H6,I6-H6),[6]skilldef!$A:$B,2,FALSE),"-")</f>
        <v>- / -</v>
      </c>
      <c r="M6" s="55" t="str">
        <f t="shared" si="5"/>
        <v>[effect:rush, count:8, val:0.3]</v>
      </c>
      <c r="N6" s="40" t="str">
        <f t="shared" si="6"/>
        <v>[effect:rush, count:8, val:0.3]</v>
      </c>
      <c r="O6" s="55">
        <f t="shared" si="7"/>
        <v>9</v>
      </c>
      <c r="P6" s="55">
        <f t="shared" si="8"/>
        <v>13</v>
      </c>
      <c r="Q6" s="55" t="e">
        <f t="shared" si="9"/>
        <v>#VALUE!</v>
      </c>
      <c r="R6" s="55">
        <f t="shared" si="10"/>
        <v>22</v>
      </c>
      <c r="S6" s="55" t="str">
        <f>IFERROR(VLOOKUP(MID(N6,Q6,R6-Q6),[6]skilldef!$C:$D,2,FALSE),"-") &amp; " / " &amp; IFERROR(VLOOKUP(MID(N6,O6,P6-O6),[6]skilldef!$A:$B,2,FALSE),"-")</f>
        <v>- / 連続攻撃</v>
      </c>
      <c r="T6" s="40" t="str">
        <f t="shared" si="11"/>
        <v>none</v>
      </c>
      <c r="U6" s="55" t="e">
        <f t="shared" si="12"/>
        <v>#VALUE!</v>
      </c>
      <c r="V6" s="55">
        <f t="shared" si="13"/>
        <v>4</v>
      </c>
      <c r="W6" s="55" t="e">
        <f t="shared" si="14"/>
        <v>#VALUE!</v>
      </c>
      <c r="X6" s="55" t="e">
        <f t="shared" si="15"/>
        <v>#VALUE!</v>
      </c>
      <c r="Y6" s="55" t="str">
        <f>IFERROR(VLOOKUP(MID(T6,W6,X6-W6),[6]skilldef!$C:$D,2,FALSE),"-") &amp; " / " &amp; IFERROR(VLOOKUP(MID(T6,U6,V6-U6),[6]skilldef!$A:$B,2,FALSE),"-")</f>
        <v>- / -</v>
      </c>
      <c r="Z6" s="42"/>
      <c r="AA6" s="44"/>
      <c r="AB6" s="42" t="s">
        <v>221</v>
      </c>
    </row>
    <row r="7" spans="1:28" ht="21" customHeight="1" x14ac:dyDescent="0.15">
      <c r="A7" s="39">
        <v>20014105</v>
      </c>
      <c r="B7" s="39" t="s">
        <v>231</v>
      </c>
      <c r="C7" s="42">
        <v>3</v>
      </c>
      <c r="D7" s="42" t="s">
        <v>128</v>
      </c>
      <c r="E7" s="43" t="s">
        <v>238</v>
      </c>
      <c r="F7" s="43" t="s">
        <v>250</v>
      </c>
      <c r="G7" s="55" t="str">
        <f t="shared" si="0"/>
        <v xml:space="preserve">[effect:degrade_unit, target:unit_all, turn:1, status:attack, val:1, calc:add]    </v>
      </c>
      <c r="H7" s="55">
        <f t="shared" si="1"/>
        <v>9</v>
      </c>
      <c r="I7" s="55">
        <f t="shared" si="2"/>
        <v>21</v>
      </c>
      <c r="J7" s="55">
        <f t="shared" si="3"/>
        <v>30</v>
      </c>
      <c r="K7" s="55">
        <f t="shared" si="4"/>
        <v>38</v>
      </c>
      <c r="L7" s="55" t="str">
        <f>IFERROR(VLOOKUP(MID(G7,J7,K7-J7),[6]skilldef!$C:$D,2,FALSE),"-") &amp; " / " &amp; IFERROR(VLOOKUP(MID(G7,H7,I7-H7),[6]skilldef!$A:$B,2,FALSE),"-")</f>
        <v>味方全体に / ステータスDOWN</v>
      </c>
      <c r="M7" s="55" t="str">
        <f t="shared" si="5"/>
        <v>none</v>
      </c>
      <c r="N7" s="40" t="str">
        <f t="shared" si="6"/>
        <v>none</v>
      </c>
      <c r="O7" s="55" t="e">
        <f t="shared" si="7"/>
        <v>#VALUE!</v>
      </c>
      <c r="P7" s="55">
        <f t="shared" si="8"/>
        <v>4</v>
      </c>
      <c r="Q7" s="55" t="e">
        <f t="shared" si="9"/>
        <v>#VALUE!</v>
      </c>
      <c r="R7" s="55" t="e">
        <f t="shared" si="10"/>
        <v>#VALUE!</v>
      </c>
      <c r="S7" s="55" t="str">
        <f>IFERROR(VLOOKUP(MID(N7,Q7,R7-Q7),[6]skilldef!$C:$D,2,FALSE),"-") &amp; " / " &amp; IFERROR(VLOOKUP(MID(N7,O7,P7-O7),[6]skilldef!$A:$B,2,FALSE),"-")</f>
        <v>- / -</v>
      </c>
      <c r="T7" s="40" t="str">
        <f t="shared" si="11"/>
        <v>none</v>
      </c>
      <c r="U7" s="55" t="e">
        <f t="shared" si="12"/>
        <v>#VALUE!</v>
      </c>
      <c r="V7" s="55">
        <f t="shared" si="13"/>
        <v>4</v>
      </c>
      <c r="W7" s="55" t="e">
        <f t="shared" si="14"/>
        <v>#VALUE!</v>
      </c>
      <c r="X7" s="55" t="e">
        <f t="shared" si="15"/>
        <v>#VALUE!</v>
      </c>
      <c r="Y7" s="55" t="str">
        <f>IFERROR(VLOOKUP(MID(T7,W7,X7-W7),[6]skilldef!$C:$D,2,FALSE),"-") &amp; " / " &amp; IFERROR(VLOOKUP(MID(T7,U7,V7-U7),[6]skilldef!$A:$B,2,FALSE),"-")</f>
        <v>- / -</v>
      </c>
      <c r="Z7" s="42"/>
      <c r="AA7" s="44"/>
      <c r="AB7" s="42" t="s">
        <v>222</v>
      </c>
    </row>
    <row r="8" spans="1:28" ht="21" customHeight="1" x14ac:dyDescent="0.15">
      <c r="A8" s="39">
        <v>20014106</v>
      </c>
      <c r="B8" s="39" t="s">
        <v>241</v>
      </c>
      <c r="C8" s="42">
        <v>3</v>
      </c>
      <c r="D8" s="42" t="s">
        <v>128</v>
      </c>
      <c r="E8" s="43" t="s">
        <v>249</v>
      </c>
      <c r="F8" s="43" t="s">
        <v>274</v>
      </c>
      <c r="G8" s="55" t="str">
        <f t="shared" si="0"/>
        <v>[effect:freq_turn, target:enemy_all, turn:2, val:1, animation:enemy_freq_turn]</v>
      </c>
      <c r="H8" s="55">
        <f t="shared" si="1"/>
        <v>9</v>
      </c>
      <c r="I8" s="55">
        <f t="shared" si="2"/>
        <v>18</v>
      </c>
      <c r="J8" s="55">
        <f t="shared" si="3"/>
        <v>27</v>
      </c>
      <c r="K8" s="55">
        <f t="shared" si="4"/>
        <v>36</v>
      </c>
      <c r="L8" s="55" t="str">
        <f>IFERROR(VLOOKUP(MID(G8,J8,K8-J8),[6]skilldef!$C:$D,2,FALSE),"-") &amp; " / " &amp; IFERROR(VLOOKUP(MID(G8,H8,I8-H8),[6]skilldef!$A:$B,2,FALSE),"-")</f>
        <v>敵全体に / 攻撃頻度がUP</v>
      </c>
      <c r="M8" s="55" t="str">
        <f t="shared" si="5"/>
        <v xml:space="preserve">[effect:suicide, val:0.5, dead_type:escape, target:myself, animation:enemy_suicide]    </v>
      </c>
      <c r="N8" s="40" t="str">
        <f t="shared" si="6"/>
        <v xml:space="preserve">[effect:suicide, val:0.5, dead_type:escape, target:myself, animation:enemy_suicide]    </v>
      </c>
      <c r="O8" s="55">
        <f t="shared" si="7"/>
        <v>9</v>
      </c>
      <c r="P8" s="55">
        <f t="shared" si="8"/>
        <v>16</v>
      </c>
      <c r="Q8" s="55">
        <f t="shared" si="9"/>
        <v>52</v>
      </c>
      <c r="R8" s="55">
        <f t="shared" si="10"/>
        <v>25</v>
      </c>
      <c r="S8" s="55" t="str">
        <f>IFERROR(VLOOKUP(MID(N8,Q8,R8-Q8),[6]skilldef!$C:$D,2,FALSE),"-") &amp; " / " &amp; IFERROR(VLOOKUP(MID(N8,O8,P8-O8),[6]skilldef!$A:$B,2,FALSE),"-")</f>
        <v>- / -</v>
      </c>
      <c r="T8" s="40" t="str">
        <f t="shared" si="11"/>
        <v>none</v>
      </c>
      <c r="U8" s="55" t="e">
        <f t="shared" si="12"/>
        <v>#VALUE!</v>
      </c>
      <c r="V8" s="55">
        <f t="shared" si="13"/>
        <v>4</v>
      </c>
      <c r="W8" s="55" t="e">
        <f t="shared" si="14"/>
        <v>#VALUE!</v>
      </c>
      <c r="X8" s="55" t="e">
        <f t="shared" si="15"/>
        <v>#VALUE!</v>
      </c>
      <c r="Y8" s="55" t="str">
        <f>IFERROR(VLOOKUP(MID(T8,W8,X8-W8),[6]skilldef!$C:$D,2,FALSE),"-") &amp; " / " &amp; IFERROR(VLOOKUP(MID(T8,U8,V8-U8),[6]skilldef!$A:$B,2,FALSE),"-")</f>
        <v>- / -</v>
      </c>
      <c r="Z8" s="42"/>
      <c r="AA8" s="44"/>
      <c r="AB8" s="42" t="s">
        <v>223</v>
      </c>
    </row>
    <row r="9" spans="1:28" ht="21" customHeight="1" x14ac:dyDescent="0.15">
      <c r="A9" s="39">
        <v>20014107</v>
      </c>
      <c r="B9" s="39" t="s">
        <v>285</v>
      </c>
      <c r="C9" s="42">
        <v>3</v>
      </c>
      <c r="D9" s="42" t="s">
        <v>128</v>
      </c>
      <c r="E9" s="43" t="s">
        <v>259</v>
      </c>
      <c r="F9" s="43" t="s">
        <v>292</v>
      </c>
      <c r="G9" s="55" t="str">
        <f t="shared" si="0"/>
        <v>[effect:force_change_block, new_block:block_heart, target:block_all, ignore01:crash, ignore02:crack_bomb, ignore03:time_bomb, ignore04:jammer, count:8, val:0, animation:change_block]</v>
      </c>
      <c r="H9" s="55">
        <f t="shared" si="1"/>
        <v>9</v>
      </c>
      <c r="I9" s="55">
        <f t="shared" si="2"/>
        <v>27</v>
      </c>
      <c r="J9" s="55">
        <f t="shared" si="3"/>
        <v>59</v>
      </c>
      <c r="K9" s="55">
        <f t="shared" si="4"/>
        <v>50</v>
      </c>
      <c r="L9" s="55" t="str">
        <f>IFERROR(VLOOKUP(MID(G9,J9,K9-J9),[6]skilldef!$C:$D,2,FALSE),"-") &amp; " / " &amp; IFERROR(VLOOKUP(MID(G9,H9,I9-H9),[6]skilldef!$A:$B,2,FALSE),"-")</f>
        <v>- / -</v>
      </c>
      <c r="M9" s="55" t="str">
        <f t="shared" si="5"/>
        <v xml:space="preserve">[effect:spread, val:0.22],[effect:rush, count:6, val:0.21]    </v>
      </c>
      <c r="N9" s="40" t="str">
        <f t="shared" si="6"/>
        <v xml:space="preserve">[effect:spread, val:0.22],[effect:rush, count:6, val:0.21]    </v>
      </c>
      <c r="O9" s="55">
        <f t="shared" si="7"/>
        <v>9</v>
      </c>
      <c r="P9" s="55">
        <f t="shared" si="8"/>
        <v>15</v>
      </c>
      <c r="Q9" s="55" t="e">
        <f t="shared" si="9"/>
        <v>#VALUE!</v>
      </c>
      <c r="R9" s="55">
        <f t="shared" si="10"/>
        <v>26</v>
      </c>
      <c r="S9" s="55" t="str">
        <f>IFERROR(VLOOKUP(MID(N9,Q9,R9-Q9),[6]skilldef!$C:$D,2,FALSE),"-") &amp; " / " &amp; IFERROR(VLOOKUP(MID(N9,O9,P9-O9),[6]skilldef!$A:$B,2,FALSE),"-")</f>
        <v>- / 全体攻撃</v>
      </c>
      <c r="T9" s="40" t="str">
        <f t="shared" si="11"/>
        <v xml:space="preserve">[effect:rush, count:6, val:0.21]    </v>
      </c>
      <c r="U9" s="55">
        <f t="shared" si="12"/>
        <v>9</v>
      </c>
      <c r="V9" s="55">
        <f t="shared" si="13"/>
        <v>13</v>
      </c>
      <c r="W9" s="55" t="e">
        <f t="shared" si="14"/>
        <v>#VALUE!</v>
      </c>
      <c r="X9" s="55">
        <f t="shared" si="15"/>
        <v>22</v>
      </c>
      <c r="Y9" s="55" t="str">
        <f>IFERROR(VLOOKUP(MID(T9,W9,X9-W9),[6]skilldef!$C:$D,2,FALSE),"-") &amp; " / " &amp; IFERROR(VLOOKUP(MID(T9,U9,V9-U9),[6]skilldef!$A:$B,2,FALSE),"-")</f>
        <v>- / 連続攻撃</v>
      </c>
      <c r="Z9" s="42"/>
      <c r="AA9" s="44"/>
      <c r="AB9" s="42" t="s">
        <v>220</v>
      </c>
    </row>
    <row r="10" spans="1:28" ht="21" customHeight="1" x14ac:dyDescent="0.15">
      <c r="A10" s="39">
        <v>20014108</v>
      </c>
      <c r="B10" s="39" t="s">
        <v>294</v>
      </c>
      <c r="C10" s="42">
        <v>3</v>
      </c>
      <c r="D10" s="42" t="s">
        <v>128</v>
      </c>
      <c r="E10" s="43" t="s">
        <v>276</v>
      </c>
      <c r="F10" s="43" t="s">
        <v>288</v>
      </c>
      <c r="G10" s="55" t="str">
        <f t="shared" si="0"/>
        <v xml:space="preserve">[effect:force_change_block, new_block:time_bomb, target:block_yellow, ignore01:crash, ignore02:crack_bomb, count:6, val:0.01, min_time_count:2, max_time_count:4, animation:change_block]    </v>
      </c>
      <c r="H10" s="55">
        <f t="shared" si="1"/>
        <v>9</v>
      </c>
      <c r="I10" s="55">
        <f t="shared" si="2"/>
        <v>27</v>
      </c>
      <c r="J10" s="55">
        <f t="shared" si="3"/>
        <v>57</v>
      </c>
      <c r="K10" s="55">
        <f t="shared" si="4"/>
        <v>48</v>
      </c>
      <c r="L10" s="55" t="str">
        <f>IFERROR(VLOOKUP(MID(G10,J10,K10-J10),[6]skilldef!$C:$D,2,FALSE),"-") &amp; " / " &amp; IFERROR(VLOOKUP(MID(G10,H10,I10-H10),[6]skilldef!$A:$B,2,FALSE),"-")</f>
        <v>- / -</v>
      </c>
      <c r="M10" s="55" t="str">
        <f t="shared" si="5"/>
        <v>none</v>
      </c>
      <c r="N10" s="40" t="str">
        <f t="shared" si="6"/>
        <v>none</v>
      </c>
      <c r="O10" s="55" t="e">
        <f t="shared" si="7"/>
        <v>#VALUE!</v>
      </c>
      <c r="P10" s="55">
        <f t="shared" si="8"/>
        <v>4</v>
      </c>
      <c r="Q10" s="55" t="e">
        <f t="shared" si="9"/>
        <v>#VALUE!</v>
      </c>
      <c r="R10" s="55" t="e">
        <f t="shared" si="10"/>
        <v>#VALUE!</v>
      </c>
      <c r="S10" s="55" t="str">
        <f>IFERROR(VLOOKUP(MID(N10,Q10,R10-Q10),[6]skilldef!$C:$D,2,FALSE),"-") &amp; " / " &amp; IFERROR(VLOOKUP(MID(N10,O10,P10-O10),[6]skilldef!$A:$B,2,FALSE),"-")</f>
        <v>- / -</v>
      </c>
      <c r="T10" s="40" t="str">
        <f t="shared" si="11"/>
        <v>none</v>
      </c>
      <c r="U10" s="55" t="e">
        <f t="shared" si="12"/>
        <v>#VALUE!</v>
      </c>
      <c r="V10" s="55">
        <f t="shared" si="13"/>
        <v>4</v>
      </c>
      <c r="W10" s="55" t="e">
        <f t="shared" si="14"/>
        <v>#VALUE!</v>
      </c>
      <c r="X10" s="55" t="e">
        <f t="shared" si="15"/>
        <v>#VALUE!</v>
      </c>
      <c r="Y10" s="55" t="str">
        <f>IFERROR(VLOOKUP(MID(T10,W10,X10-W10),[6]skilldef!$C:$D,2,FALSE),"-") &amp; " / " &amp; IFERROR(VLOOKUP(MID(T10,U10,V10-U10),[6]skilldef!$A:$B,2,FALSE),"-")</f>
        <v>- / -</v>
      </c>
      <c r="Z10" s="42"/>
      <c r="AA10" s="44"/>
      <c r="AB10" s="42" t="s">
        <v>224</v>
      </c>
    </row>
    <row r="11" spans="1:28" ht="21" customHeight="1" x14ac:dyDescent="0.15">
      <c r="A11" s="39">
        <v>20014109</v>
      </c>
      <c r="B11" s="39" t="s">
        <v>246</v>
      </c>
      <c r="C11" s="42">
        <v>3</v>
      </c>
      <c r="D11" s="42" t="s">
        <v>128</v>
      </c>
      <c r="E11" s="43" t="s">
        <v>280</v>
      </c>
      <c r="F11" s="43" t="s">
        <v>273</v>
      </c>
      <c r="G11" s="55" t="str">
        <f t="shared" si="0"/>
        <v>[effect:enhance_enemy, target:enemy_all, turn:3, status:attack, val:1.2, calc:mul, animation:enemy_enhance_attack]</v>
      </c>
      <c r="H11" s="55">
        <f t="shared" si="1"/>
        <v>9</v>
      </c>
      <c r="I11" s="55">
        <f t="shared" si="2"/>
        <v>22</v>
      </c>
      <c r="J11" s="55">
        <f t="shared" si="3"/>
        <v>31</v>
      </c>
      <c r="K11" s="55">
        <f t="shared" si="4"/>
        <v>40</v>
      </c>
      <c r="L11" s="55" t="str">
        <f>IFERROR(VLOOKUP(MID(G11,J11,K11-J11),[6]skilldef!$C:$D,2,FALSE),"-") &amp; " / " &amp; IFERROR(VLOOKUP(MID(G11,H11,I11-H11),[6]skilldef!$A:$B,2,FALSE),"-")</f>
        <v>敵全体に / ステータス強化</v>
      </c>
      <c r="M11" s="55" t="str">
        <f t="shared" si="5"/>
        <v>[effect:suicide, val:0.5, dead_type:escape, target:myself, animation:enemy_suicide]</v>
      </c>
      <c r="N11" s="40" t="str">
        <f>IFERROR(LEFT(M11,FIND("],",M11)+#REF!),M11)</f>
        <v>[effect:suicide, val:0.5, dead_type:escape, target:myself, animation:enemy_suicide]</v>
      </c>
      <c r="O11" s="55">
        <f t="shared" si="7"/>
        <v>9</v>
      </c>
      <c r="P11" s="55">
        <f t="shared" si="8"/>
        <v>16</v>
      </c>
      <c r="Q11" s="55">
        <f t="shared" si="9"/>
        <v>52</v>
      </c>
      <c r="R11" s="55">
        <f t="shared" si="10"/>
        <v>25</v>
      </c>
      <c r="S11" s="55" t="str">
        <f>IFERROR(VLOOKUP(MID(N11,Q11,R11-Q11),[6]skilldef!$C:$D,2,FALSE),"-") &amp; " / " &amp; IFERROR(VLOOKUP(MID(N11,O11,P11-O11),[6]skilldef!$A:$B,2,FALSE),"-")</f>
        <v>- / -</v>
      </c>
      <c r="T11" s="40" t="str">
        <f t="shared" si="11"/>
        <v>none</v>
      </c>
      <c r="U11" s="55" t="e">
        <f t="shared" si="12"/>
        <v>#VALUE!</v>
      </c>
      <c r="V11" s="55">
        <f t="shared" si="13"/>
        <v>4</v>
      </c>
      <c r="W11" s="55" t="e">
        <f t="shared" si="14"/>
        <v>#VALUE!</v>
      </c>
      <c r="X11" s="55" t="e">
        <f t="shared" si="15"/>
        <v>#VALUE!</v>
      </c>
      <c r="Y11" s="55" t="str">
        <f>IFERROR(VLOOKUP(MID(T11,W11,X11-W11),[6]skilldef!$C:$D,2,FALSE),"-") &amp; " / " &amp; IFERROR(VLOOKUP(MID(T11,U11,V11-U11),[6]skilldef!$A:$B,2,FALSE),"-")</f>
        <v>- / -</v>
      </c>
      <c r="Z11" s="42"/>
      <c r="AA11" s="44"/>
      <c r="AB11" s="42" t="s">
        <v>219</v>
      </c>
    </row>
    <row r="12" spans="1:28" ht="21" customHeight="1" x14ac:dyDescent="0.15">
      <c r="A12" s="39">
        <v>20014110</v>
      </c>
      <c r="B12" s="39" t="s">
        <v>230</v>
      </c>
      <c r="C12" s="42">
        <v>3</v>
      </c>
      <c r="D12" s="42" t="s">
        <v>128</v>
      </c>
      <c r="E12" s="43" t="s">
        <v>261</v>
      </c>
      <c r="F12" s="43" t="s">
        <v>289</v>
      </c>
      <c r="G12" s="55" t="str">
        <f t="shared" si="0"/>
        <v>[effect:virus, turn:-1, target:unit_all, rate:1, val:0.07, animation:enemy_virus]</v>
      </c>
      <c r="H12" s="55">
        <f t="shared" si="1"/>
        <v>9</v>
      </c>
      <c r="I12" s="55">
        <f t="shared" si="2"/>
        <v>14</v>
      </c>
      <c r="J12" s="55">
        <f t="shared" si="3"/>
        <v>32</v>
      </c>
      <c r="K12" s="55">
        <f t="shared" si="4"/>
        <v>23</v>
      </c>
      <c r="L12" s="55" t="str">
        <f>IFERROR(VLOOKUP(MID(G12,J12,K12-J12),[6]skilldef!$C:$D,2,FALSE),"-") &amp; " / " &amp; IFERROR(VLOOKUP(MID(G12,H12,I12-H12),[6]skilldef!$A:$B,2,FALSE),"-")</f>
        <v>- / ウィルス</v>
      </c>
      <c r="M12" s="55" t="str">
        <f t="shared" si="5"/>
        <v>[effect:enhance_fever, val:1000.0, animation:fevergauge_up04]</v>
      </c>
      <c r="N12" s="40" t="str">
        <f>IFERROR(LEFT(M12,FIND("],",M12)+#REF!),M12)</f>
        <v>[effect:enhance_fever, val:1000.0, animation:fevergauge_up04]</v>
      </c>
      <c r="O12" s="55">
        <f t="shared" si="7"/>
        <v>9</v>
      </c>
      <c r="P12" s="55">
        <f t="shared" si="8"/>
        <v>22</v>
      </c>
      <c r="Q12" s="55" t="e">
        <f t="shared" si="9"/>
        <v>#VALUE!</v>
      </c>
      <c r="R12" s="55">
        <f t="shared" si="10"/>
        <v>34</v>
      </c>
      <c r="S12" s="55" t="str">
        <f>IFERROR(VLOOKUP(MID(N12,Q12,R12-Q12),[6]skilldef!$C:$D,2,FALSE),"-") &amp; " / " &amp; IFERROR(VLOOKUP(MID(N12,O12,P12-O12),[6]skilldef!$A:$B,2,FALSE),"-")</f>
        <v>- / -</v>
      </c>
      <c r="T12" s="40" t="str">
        <f t="shared" si="11"/>
        <v>none</v>
      </c>
      <c r="U12" s="55" t="e">
        <f t="shared" si="12"/>
        <v>#VALUE!</v>
      </c>
      <c r="V12" s="55">
        <f t="shared" si="13"/>
        <v>4</v>
      </c>
      <c r="W12" s="55" t="e">
        <f t="shared" si="14"/>
        <v>#VALUE!</v>
      </c>
      <c r="X12" s="55" t="e">
        <f t="shared" si="15"/>
        <v>#VALUE!</v>
      </c>
      <c r="Y12" s="55" t="str">
        <f>IFERROR(VLOOKUP(MID(T12,W12,X12-W12),[6]skilldef!$C:$D,2,FALSE),"-") &amp; " / " &amp; IFERROR(VLOOKUP(MID(T12,U12,V12-U12),[6]skilldef!$A:$B,2,FALSE),"-")</f>
        <v>- / -</v>
      </c>
      <c r="Z12" s="42"/>
      <c r="AA12" s="44"/>
      <c r="AB12" s="42" t="s">
        <v>225</v>
      </c>
    </row>
    <row r="13" spans="1:28" ht="21" customHeight="1" x14ac:dyDescent="0.15">
      <c r="A13" s="39">
        <v>20014111</v>
      </c>
      <c r="B13" s="39" t="s">
        <v>286</v>
      </c>
      <c r="C13" s="42">
        <v>3</v>
      </c>
      <c r="D13" s="42" t="s">
        <v>128</v>
      </c>
      <c r="E13" s="43" t="s">
        <v>297</v>
      </c>
      <c r="F13" s="43" t="s">
        <v>296</v>
      </c>
      <c r="G13" s="55" t="str">
        <f t="shared" si="0"/>
        <v xml:space="preserve">[effect:force_change_block, new_block:block_heart, target:block_all, ignore01:crash, ignore02:crack_bomb, ignore03:time_bomb, ignore04:jammer, count:10, val:0, animation:change_block]       </v>
      </c>
      <c r="H13" s="55">
        <f t="shared" si="1"/>
        <v>9</v>
      </c>
      <c r="I13" s="55">
        <f t="shared" si="2"/>
        <v>27</v>
      </c>
      <c r="J13" s="55">
        <f t="shared" si="3"/>
        <v>59</v>
      </c>
      <c r="K13" s="55">
        <f t="shared" si="4"/>
        <v>50</v>
      </c>
      <c r="L13" s="55" t="str">
        <f>IFERROR(VLOOKUP(MID(G13,J13,K13-J13),[6]skilldef!$C:$D,2,FALSE),"-") &amp; " / " &amp; IFERROR(VLOOKUP(MID(G13,H13,I13-H13),[6]skilldef!$A:$B,2,FALSE),"-")</f>
        <v>- / -</v>
      </c>
      <c r="M13" s="55" t="str">
        <f t="shared" si="5"/>
        <v>none</v>
      </c>
      <c r="N13" s="40" t="str">
        <f>IFERROR(LEFT(M13,FIND("],",M13)+#REF!),M13)</f>
        <v>none</v>
      </c>
      <c r="O13" s="55" t="e">
        <f t="shared" si="7"/>
        <v>#VALUE!</v>
      </c>
      <c r="P13" s="55">
        <f t="shared" si="8"/>
        <v>4</v>
      </c>
      <c r="Q13" s="55" t="e">
        <f t="shared" si="9"/>
        <v>#VALUE!</v>
      </c>
      <c r="R13" s="55" t="e">
        <f t="shared" si="10"/>
        <v>#VALUE!</v>
      </c>
      <c r="S13" s="55" t="str">
        <f>IFERROR(VLOOKUP(MID(N13,Q13,R13-Q13),[6]skilldef!$C:$D,2,FALSE),"-") &amp; " / " &amp; IFERROR(VLOOKUP(MID(N13,O13,P13-O13),[6]skilldef!$A:$B,2,FALSE),"-")</f>
        <v>- / -</v>
      </c>
      <c r="T13" s="40" t="str">
        <f t="shared" si="11"/>
        <v>none</v>
      </c>
      <c r="U13" s="55" t="e">
        <f t="shared" si="12"/>
        <v>#VALUE!</v>
      </c>
      <c r="V13" s="55">
        <f t="shared" si="13"/>
        <v>4</v>
      </c>
      <c r="W13" s="55" t="e">
        <f t="shared" si="14"/>
        <v>#VALUE!</v>
      </c>
      <c r="X13" s="55" t="e">
        <f t="shared" si="15"/>
        <v>#VALUE!</v>
      </c>
      <c r="Y13" s="55" t="str">
        <f>IFERROR(VLOOKUP(MID(T13,W13,X13-W13),[6]skilldef!$C:$D,2,FALSE),"-") &amp; " / " &amp; IFERROR(VLOOKUP(MID(T13,U13,V13-U13),[6]skilldef!$A:$B,2,FALSE),"-")</f>
        <v>- / -</v>
      </c>
      <c r="Z13" s="42"/>
      <c r="AA13" s="44"/>
      <c r="AB13" s="42" t="s">
        <v>225</v>
      </c>
    </row>
    <row r="14" spans="1:28" ht="21" customHeight="1" x14ac:dyDescent="0.15">
      <c r="A14" s="39">
        <v>20014112</v>
      </c>
      <c r="B14" s="39" t="s">
        <v>244</v>
      </c>
      <c r="C14" s="42">
        <v>3</v>
      </c>
      <c r="D14" s="42" t="s">
        <v>128</v>
      </c>
      <c r="E14" s="43" t="s">
        <v>239</v>
      </c>
      <c r="F14" s="43" t="s">
        <v>287</v>
      </c>
      <c r="G14" s="55" t="str">
        <f t="shared" si="0"/>
        <v>[effect:panel_freeze, target:block_yellow, count:10]</v>
      </c>
      <c r="H14" s="55">
        <f t="shared" si="1"/>
        <v>9</v>
      </c>
      <c r="I14" s="55">
        <f t="shared" si="2"/>
        <v>21</v>
      </c>
      <c r="J14" s="55">
        <f t="shared" si="3"/>
        <v>30</v>
      </c>
      <c r="K14" s="55">
        <f t="shared" si="4"/>
        <v>42</v>
      </c>
      <c r="L14" s="55" t="str">
        <f>IFERROR(VLOOKUP(MID(G14,J14,K14-J14),[6]skilldef!$C:$D,2,FALSE),"-") &amp; " / " &amp; IFERROR(VLOOKUP(MID(G14,H14,I14-H14),[6]skilldef!$A:$B,2,FALSE),"-")</f>
        <v>黄色パネルを / -</v>
      </c>
      <c r="M14" s="55" t="str">
        <f t="shared" si="5"/>
        <v>[effect:spread, val:0.7]</v>
      </c>
      <c r="N14" s="40" t="str">
        <f>IFERROR(LEFT(M14,FIND("],",M14)+#REF!),M14)</f>
        <v>[effect:spread, val:0.7]</v>
      </c>
      <c r="O14" s="55">
        <f t="shared" si="7"/>
        <v>9</v>
      </c>
      <c r="P14" s="55">
        <f t="shared" si="8"/>
        <v>15</v>
      </c>
      <c r="Q14" s="55" t="e">
        <f t="shared" si="9"/>
        <v>#VALUE!</v>
      </c>
      <c r="R14" s="55" t="e">
        <f t="shared" si="10"/>
        <v>#VALUE!</v>
      </c>
      <c r="S14" s="55" t="str">
        <f>IFERROR(VLOOKUP(MID(N14,Q14,R14-Q14),[6]skilldef!$C:$D,2,FALSE),"-") &amp; " / " &amp; IFERROR(VLOOKUP(MID(N14,O14,P14-O14),[6]skilldef!$A:$B,2,FALSE),"-")</f>
        <v>- / 全体攻撃</v>
      </c>
      <c r="T14" s="40" t="str">
        <f t="shared" si="11"/>
        <v>none</v>
      </c>
      <c r="U14" s="55" t="e">
        <f t="shared" si="12"/>
        <v>#VALUE!</v>
      </c>
      <c r="V14" s="55">
        <f t="shared" si="13"/>
        <v>4</v>
      </c>
      <c r="W14" s="55" t="e">
        <f t="shared" si="14"/>
        <v>#VALUE!</v>
      </c>
      <c r="X14" s="55" t="e">
        <f t="shared" si="15"/>
        <v>#VALUE!</v>
      </c>
      <c r="Y14" s="55" t="str">
        <f>IFERROR(VLOOKUP(MID(T14,W14,X14-W14),[6]skilldef!$C:$D,2,FALSE),"-") &amp; " / " &amp; IFERROR(VLOOKUP(MID(T14,U14,V14-U14),[6]skilldef!$A:$B,2,FALSE),"-")</f>
        <v>- / -</v>
      </c>
      <c r="Z14" s="42"/>
      <c r="AA14" s="44"/>
      <c r="AB14" s="42" t="s">
        <v>225</v>
      </c>
    </row>
    <row r="15" spans="1:28" ht="21" customHeight="1" x14ac:dyDescent="0.15">
      <c r="A15" s="39">
        <v>20014113</v>
      </c>
      <c r="B15" s="39" t="s">
        <v>247</v>
      </c>
      <c r="C15" s="42">
        <v>3</v>
      </c>
      <c r="D15" s="42" t="s">
        <v>128</v>
      </c>
      <c r="E15" s="43" t="s">
        <v>252</v>
      </c>
      <c r="F15" s="43" t="s">
        <v>272</v>
      </c>
      <c r="G15" s="55" t="str">
        <f t="shared" si="0"/>
        <v>[effect:dark, target:unit_all, turn:-1, animation:enemy_dark]</v>
      </c>
      <c r="H15" s="55">
        <f t="shared" si="1"/>
        <v>9</v>
      </c>
      <c r="I15" s="55">
        <f t="shared" si="2"/>
        <v>13</v>
      </c>
      <c r="J15" s="55">
        <f t="shared" si="3"/>
        <v>22</v>
      </c>
      <c r="K15" s="55">
        <f t="shared" si="4"/>
        <v>30</v>
      </c>
      <c r="L15" s="55" t="str">
        <f>IFERROR(VLOOKUP(MID(G15,J15,K15-J15),[6]skilldef!$C:$D,2,FALSE),"-") &amp; " / " &amp; IFERROR(VLOOKUP(MID(G15,H15,I15-H15),[6]skilldef!$A:$B,2,FALSE),"-")</f>
        <v>味方全体に / 暗黒</v>
      </c>
      <c r="M15" s="55" t="str">
        <f t="shared" si="5"/>
        <v>[effect:fix_speed, target:myself, turn:1]</v>
      </c>
      <c r="N15" s="40" t="str">
        <f>IFERROR(LEFT(M15,FIND("],",M15)+#REF!),M15)</f>
        <v>[effect:fix_speed, target:myself, turn:1]</v>
      </c>
      <c r="O15" s="55">
        <f t="shared" si="7"/>
        <v>9</v>
      </c>
      <c r="P15" s="55">
        <f t="shared" si="8"/>
        <v>18</v>
      </c>
      <c r="Q15" s="55">
        <f t="shared" si="9"/>
        <v>27</v>
      </c>
      <c r="R15" s="55">
        <f t="shared" si="10"/>
        <v>33</v>
      </c>
      <c r="S15" s="55" t="str">
        <f>IFERROR(VLOOKUP(MID(N15,Q15,R15-Q15),[6]skilldef!$C:$D,2,FALSE),"-") &amp; " / " &amp; IFERROR(VLOOKUP(MID(N15,O15,P15-O15),[6]skilldef!$A:$B,2,FALSE),"-")</f>
        <v>自分自身に / 行動値設定</v>
      </c>
      <c r="T15" s="40" t="str">
        <f t="shared" si="11"/>
        <v>none</v>
      </c>
      <c r="U15" s="55" t="e">
        <f t="shared" si="12"/>
        <v>#VALUE!</v>
      </c>
      <c r="V15" s="55">
        <f t="shared" si="13"/>
        <v>4</v>
      </c>
      <c r="W15" s="55" t="e">
        <f t="shared" si="14"/>
        <v>#VALUE!</v>
      </c>
      <c r="X15" s="55" t="e">
        <f t="shared" si="15"/>
        <v>#VALUE!</v>
      </c>
      <c r="Y15" s="55" t="str">
        <f>IFERROR(VLOOKUP(MID(T15,W15,X15-W15),[6]skilldef!$C:$D,2,FALSE),"-") &amp; " / " &amp; IFERROR(VLOOKUP(MID(T15,U15,V15-U15),[6]skilldef!$A:$B,2,FALSE),"-")</f>
        <v>- / -</v>
      </c>
      <c r="Z15" s="42"/>
      <c r="AA15" s="44"/>
      <c r="AB15" s="42" t="s">
        <v>227</v>
      </c>
    </row>
    <row r="16" spans="1:28" ht="21" customHeight="1" x14ac:dyDescent="0.15">
      <c r="A16" s="39">
        <v>20014114</v>
      </c>
      <c r="B16" s="39" t="s">
        <v>248</v>
      </c>
      <c r="C16" s="42">
        <v>3</v>
      </c>
      <c r="D16" s="42" t="s">
        <v>128</v>
      </c>
      <c r="E16" s="43" t="s">
        <v>253</v>
      </c>
      <c r="F16" s="43" t="s">
        <v>271</v>
      </c>
      <c r="G16" s="55" t="str">
        <f t="shared" si="0"/>
        <v>[effect:remove_enhancement, target:unit_all, target_effect:dark, target_type:debuff, animation:frozen_wave]</v>
      </c>
      <c r="H16" s="55">
        <f t="shared" si="1"/>
        <v>9</v>
      </c>
      <c r="I16" s="55">
        <f t="shared" si="2"/>
        <v>27</v>
      </c>
      <c r="J16" s="55">
        <f t="shared" si="3"/>
        <v>36</v>
      </c>
      <c r="K16" s="55">
        <f t="shared" si="4"/>
        <v>44</v>
      </c>
      <c r="L16" s="55" t="str">
        <f>IFERROR(VLOOKUP(MID(G16,J16,K16-J16),[6]skilldef!$C:$D,2,FALSE),"-") &amp; " / " &amp; IFERROR(VLOOKUP(MID(G16,H16,I16-H16),[6]skilldef!$A:$B,2,FALSE),"-")</f>
        <v>味方全体に / -</v>
      </c>
      <c r="M16" s="55" t="str">
        <f t="shared" si="5"/>
        <v xml:space="preserve">[effect:fix_speed, target:myself, turn:2]    </v>
      </c>
      <c r="N16" s="40" t="str">
        <f>IFERROR(LEFT(M16,FIND("],",M16)+#REF!),M16)</f>
        <v xml:space="preserve">[effect:fix_speed, target:myself, turn:2]    </v>
      </c>
      <c r="O16" s="55">
        <f t="shared" si="7"/>
        <v>9</v>
      </c>
      <c r="P16" s="55">
        <f t="shared" si="8"/>
        <v>18</v>
      </c>
      <c r="Q16" s="55">
        <f t="shared" si="9"/>
        <v>27</v>
      </c>
      <c r="R16" s="55">
        <f t="shared" si="10"/>
        <v>33</v>
      </c>
      <c r="S16" s="55" t="str">
        <f>IFERROR(VLOOKUP(MID(N16,Q16,R16-Q16),[6]skilldef!$C:$D,2,FALSE),"-") &amp; " / " &amp; IFERROR(VLOOKUP(MID(N16,O16,P16-O16),[6]skilldef!$A:$B,2,FALSE),"-")</f>
        <v>自分自身に / 行動値設定</v>
      </c>
      <c r="T16" s="40" t="str">
        <f t="shared" si="11"/>
        <v>none</v>
      </c>
      <c r="U16" s="55" t="e">
        <f t="shared" si="12"/>
        <v>#VALUE!</v>
      </c>
      <c r="V16" s="55">
        <f t="shared" si="13"/>
        <v>4</v>
      </c>
      <c r="W16" s="55" t="e">
        <f t="shared" si="14"/>
        <v>#VALUE!</v>
      </c>
      <c r="X16" s="55" t="e">
        <f t="shared" si="15"/>
        <v>#VALUE!</v>
      </c>
      <c r="Y16" s="55" t="str">
        <f>IFERROR(VLOOKUP(MID(T16,W16,X16-W16),[6]skilldef!$C:$D,2,FALSE),"-") &amp; " / " &amp; IFERROR(VLOOKUP(MID(T16,U16,V16-U16),[6]skilldef!$A:$B,2,FALSE),"-")</f>
        <v>- / -</v>
      </c>
      <c r="Z16" s="42"/>
      <c r="AA16" s="44"/>
      <c r="AB16" s="42" t="s">
        <v>227</v>
      </c>
    </row>
    <row r="17" spans="1:28" ht="21" customHeight="1" x14ac:dyDescent="0.15">
      <c r="A17" s="39">
        <v>20014115</v>
      </c>
      <c r="B17" s="39" t="s">
        <v>279</v>
      </c>
      <c r="C17" s="42">
        <v>3</v>
      </c>
      <c r="D17" s="42" t="s">
        <v>128</v>
      </c>
      <c r="E17" s="43" t="s">
        <v>228</v>
      </c>
      <c r="F17" s="43" t="s">
        <v>278</v>
      </c>
      <c r="G17" s="55" t="str">
        <f t="shared" si="0"/>
        <v>[effect:remove_enhancement, target:unit_all, target_effect:dark, target_type:debuff, animation:frozen_wave]</v>
      </c>
      <c r="H17" s="55">
        <f t="shared" si="1"/>
        <v>9</v>
      </c>
      <c r="I17" s="55">
        <f t="shared" si="2"/>
        <v>27</v>
      </c>
      <c r="J17" s="55">
        <f t="shared" si="3"/>
        <v>36</v>
      </c>
      <c r="K17" s="55">
        <f t="shared" si="4"/>
        <v>44</v>
      </c>
      <c r="L17" s="55" t="str">
        <f>IFERROR(VLOOKUP(MID(G17,J17,K17-J17),[6]skilldef!$C:$D,2,FALSE),"-") &amp; " / " &amp; IFERROR(VLOOKUP(MID(G17,H17,I17-H17),[6]skilldef!$A:$B,2,FALSE),"-")</f>
        <v>味方全体に / -</v>
      </c>
      <c r="M17" s="55" t="str">
        <f t="shared" si="5"/>
        <v xml:space="preserve">[effect:suicide, val:1, dead_type:escape, target:myself, animation:enemy_suicide]    </v>
      </c>
      <c r="N17" s="40" t="str">
        <f>IFERROR(LEFT(M17,FIND("],",M17)+S21),M17)</f>
        <v xml:space="preserve">[effect:suicide, val:1, dead_type:escape, target:myself, animation:enemy_suicide]    </v>
      </c>
      <c r="O17" s="55">
        <f t="shared" si="7"/>
        <v>9</v>
      </c>
      <c r="P17" s="55">
        <f t="shared" si="8"/>
        <v>16</v>
      </c>
      <c r="Q17" s="55">
        <f t="shared" si="9"/>
        <v>50</v>
      </c>
      <c r="R17" s="55">
        <f t="shared" si="10"/>
        <v>23</v>
      </c>
      <c r="S17" s="55" t="str">
        <f>IFERROR(VLOOKUP(MID(N17,Q17,R17-Q17),[6]skilldef!$C:$D,2,FALSE),"-") &amp; " / " &amp; IFERROR(VLOOKUP(MID(N17,O17,P17-O17),[6]skilldef!$A:$B,2,FALSE),"-")</f>
        <v>- / -</v>
      </c>
      <c r="T17" s="40" t="str">
        <f t="shared" si="11"/>
        <v>none</v>
      </c>
      <c r="U17" s="55" t="e">
        <f t="shared" si="12"/>
        <v>#VALUE!</v>
      </c>
      <c r="V17" s="55">
        <f t="shared" si="13"/>
        <v>4</v>
      </c>
      <c r="W17" s="55" t="e">
        <f t="shared" si="14"/>
        <v>#VALUE!</v>
      </c>
      <c r="X17" s="55" t="e">
        <f t="shared" si="15"/>
        <v>#VALUE!</v>
      </c>
      <c r="Y17" s="55" t="str">
        <f>IFERROR(VLOOKUP(MID(T17,W17,X17-W17),[6]skilldef!$C:$D,2,FALSE),"-") &amp; " / " &amp; IFERROR(VLOOKUP(MID(T17,U17,V17-U17),[6]skilldef!$A:$B,2,FALSE),"-")</f>
        <v>- / -</v>
      </c>
      <c r="Z17" s="42"/>
      <c r="AA17" s="44"/>
      <c r="AB17" s="42" t="s">
        <v>227</v>
      </c>
    </row>
    <row r="18" spans="1:28" ht="21" customHeight="1" x14ac:dyDescent="0.15">
      <c r="A18" s="39">
        <v>20014116</v>
      </c>
      <c r="B18" s="39" t="s">
        <v>256</v>
      </c>
      <c r="C18" s="42">
        <v>3</v>
      </c>
      <c r="D18" s="42" t="s">
        <v>128</v>
      </c>
      <c r="E18" s="43" t="s">
        <v>240</v>
      </c>
      <c r="F18" s="43" t="s">
        <v>255</v>
      </c>
      <c r="G18" s="55" t="str">
        <f t="shared" si="0"/>
        <v>[effect:spread, val:0.43]</v>
      </c>
      <c r="H18" s="55">
        <f t="shared" si="1"/>
        <v>9</v>
      </c>
      <c r="I18" s="55">
        <f t="shared" si="2"/>
        <v>15</v>
      </c>
      <c r="J18" s="55" t="e">
        <f t="shared" si="3"/>
        <v>#VALUE!</v>
      </c>
      <c r="K18" s="55" t="e">
        <f t="shared" si="4"/>
        <v>#VALUE!</v>
      </c>
      <c r="L18" s="55" t="str">
        <f>IFERROR(VLOOKUP(MID(G18,J18,K18-J18),[6]skilldef!$C:$D,2,FALSE),"-") &amp; " / " &amp; IFERROR(VLOOKUP(MID(G18,H18,I18-H18),[6]skilldef!$A:$B,2,FALSE),"-")</f>
        <v>- / 全体攻撃</v>
      </c>
      <c r="M18" s="55" t="str">
        <f t="shared" si="5"/>
        <v xml:space="preserve">[effect:hungup, target:unit_all, turn:2, rate:0.4, animation:hungup01]    </v>
      </c>
      <c r="N18" s="40" t="str">
        <f>IFERROR(LEFT(M18,FIND("],",M18)+S22),M18)</f>
        <v xml:space="preserve">[effect:hungup, target:unit_all, turn:2, rate:0.4, animation:hungup01]    </v>
      </c>
      <c r="O18" s="55">
        <f t="shared" si="7"/>
        <v>9</v>
      </c>
      <c r="P18" s="55">
        <f t="shared" si="8"/>
        <v>15</v>
      </c>
      <c r="Q18" s="55">
        <f t="shared" si="9"/>
        <v>24</v>
      </c>
      <c r="R18" s="55">
        <f t="shared" si="10"/>
        <v>32</v>
      </c>
      <c r="S18" s="55" t="str">
        <f>IFERROR(VLOOKUP(MID(N18,Q18,R18-Q18),[6]skilldef!$C:$D,2,FALSE),"-") &amp; " / " &amp; IFERROR(VLOOKUP(MID(N18,O18,P18-O18),[6]skilldef!$A:$B,2,FALSE),"-")</f>
        <v>味方全体に / ハングアップ</v>
      </c>
      <c r="T18" s="40" t="str">
        <f t="shared" si="11"/>
        <v>none</v>
      </c>
      <c r="U18" s="55" t="e">
        <f t="shared" si="12"/>
        <v>#VALUE!</v>
      </c>
      <c r="V18" s="55">
        <f t="shared" si="13"/>
        <v>4</v>
      </c>
      <c r="W18" s="55" t="e">
        <f t="shared" si="14"/>
        <v>#VALUE!</v>
      </c>
      <c r="X18" s="55" t="e">
        <f t="shared" si="15"/>
        <v>#VALUE!</v>
      </c>
      <c r="Y18" s="55" t="str">
        <f>IFERROR(VLOOKUP(MID(T18,W18,X18-W18),[6]skilldef!$C:$D,2,FALSE),"-") &amp; " / " &amp; IFERROR(VLOOKUP(MID(T18,U18,V18-U18),[6]skilldef!$A:$B,2,FALSE),"-")</f>
        <v>- / -</v>
      </c>
      <c r="Z18" s="42"/>
      <c r="AA18" s="44"/>
      <c r="AB18" s="42" t="s">
        <v>226</v>
      </c>
    </row>
    <row r="19" spans="1:28" ht="21" customHeight="1" x14ac:dyDescent="0.15">
      <c r="A19" s="39">
        <v>20014117</v>
      </c>
      <c r="B19" s="39" t="s">
        <v>245</v>
      </c>
      <c r="C19" s="42">
        <v>3</v>
      </c>
      <c r="D19" s="42" t="s">
        <v>128</v>
      </c>
      <c r="E19" s="43" t="s">
        <v>263</v>
      </c>
      <c r="F19" s="43" t="s">
        <v>232</v>
      </c>
      <c r="G19" s="55" t="str">
        <f t="shared" si="0"/>
        <v xml:space="preserve">[effect:damage_anti_color, target:unit_all, color:red, val1:3.35, val2:0.44]    </v>
      </c>
      <c r="H19" s="55">
        <f t="shared" si="1"/>
        <v>9</v>
      </c>
      <c r="I19" s="55">
        <f t="shared" si="2"/>
        <v>26</v>
      </c>
      <c r="J19" s="55">
        <f t="shared" si="3"/>
        <v>35</v>
      </c>
      <c r="K19" s="55">
        <f t="shared" si="4"/>
        <v>43</v>
      </c>
      <c r="L19" s="55" t="str">
        <f>IFERROR(VLOOKUP(MID(G19,J19,K19-J19),[6]skilldef!$C:$D,2,FALSE),"-") &amp; " / " &amp; IFERROR(VLOOKUP(MID(G19,H19,I19-H19),[6]skilldef!$A:$B,2,FALSE),"-")</f>
        <v>味方全体に / 属性キラー</v>
      </c>
      <c r="M19" s="55" t="str">
        <f t="shared" si="5"/>
        <v>none</v>
      </c>
      <c r="N19" s="40" t="str">
        <f>IFERROR(LEFT(M19,FIND("],",M19)+S23),M19)</f>
        <v>none</v>
      </c>
      <c r="O19" s="55" t="e">
        <f t="shared" si="7"/>
        <v>#VALUE!</v>
      </c>
      <c r="P19" s="55">
        <f t="shared" si="8"/>
        <v>4</v>
      </c>
      <c r="Q19" s="55" t="e">
        <f t="shared" si="9"/>
        <v>#VALUE!</v>
      </c>
      <c r="R19" s="55" t="e">
        <f t="shared" si="10"/>
        <v>#VALUE!</v>
      </c>
      <c r="S19" s="55" t="str">
        <f>IFERROR(VLOOKUP(MID(N19,Q19,R19-Q19),[6]skilldef!$C:$D,2,FALSE),"-") &amp; " / " &amp; IFERROR(VLOOKUP(MID(N19,O19,P19-O19),[6]skilldef!$A:$B,2,FALSE),"-")</f>
        <v>- / -</v>
      </c>
      <c r="T19" s="40" t="str">
        <f t="shared" si="11"/>
        <v>none</v>
      </c>
      <c r="U19" s="55" t="e">
        <f t="shared" si="12"/>
        <v>#VALUE!</v>
      </c>
      <c r="V19" s="55">
        <f t="shared" si="13"/>
        <v>4</v>
      </c>
      <c r="W19" s="55" t="e">
        <f t="shared" si="14"/>
        <v>#VALUE!</v>
      </c>
      <c r="X19" s="55" t="e">
        <f t="shared" si="15"/>
        <v>#VALUE!</v>
      </c>
      <c r="Y19" s="55" t="str">
        <f>IFERROR(VLOOKUP(MID(T19,W19,X19-W19),[6]skilldef!$C:$D,2,FALSE),"-") &amp; " / " &amp; IFERROR(VLOOKUP(MID(T19,U19,V19-U19),[6]skilldef!$A:$B,2,FALSE),"-")</f>
        <v>- / -</v>
      </c>
      <c r="Z19" s="42"/>
      <c r="AA19" s="44"/>
      <c r="AB19" s="42" t="s">
        <v>226</v>
      </c>
    </row>
    <row r="20" spans="1:28" ht="21" customHeight="1" x14ac:dyDescent="0.15">
      <c r="A20" s="39">
        <v>20014118</v>
      </c>
      <c r="B20" s="39" t="s">
        <v>251</v>
      </c>
      <c r="C20" s="42">
        <v>3</v>
      </c>
      <c r="D20" s="42" t="s">
        <v>128</v>
      </c>
      <c r="E20" s="43" t="s">
        <v>254</v>
      </c>
      <c r="F20" s="43" t="s">
        <v>290</v>
      </c>
      <c r="G20" s="55" t="str">
        <f t="shared" si="0"/>
        <v>[effect:force_change_block, new_block:block_heart, target:block_yellow, count:5, val:0, animation:change_block]</v>
      </c>
      <c r="H20" s="55">
        <f t="shared" si="1"/>
        <v>9</v>
      </c>
      <c r="I20" s="55">
        <f t="shared" si="2"/>
        <v>27</v>
      </c>
      <c r="J20" s="55">
        <f t="shared" si="3"/>
        <v>59</v>
      </c>
      <c r="K20" s="55">
        <f t="shared" si="4"/>
        <v>50</v>
      </c>
      <c r="L20" s="55" t="str">
        <f>IFERROR(VLOOKUP(MID(G20,J20,K20-J20),[6]skilldef!$C:$D,2,FALSE),"-") &amp; " / " &amp; IFERROR(VLOOKUP(MID(G20,H20,I20-H20),[6]skilldef!$A:$B,2,FALSE),"-")</f>
        <v>- / -</v>
      </c>
      <c r="M20" s="55" t="str">
        <f t="shared" si="5"/>
        <v xml:space="preserve">[effect:rush, count:8, val:0.22]    </v>
      </c>
      <c r="N20" s="40" t="str">
        <f>IFERROR(LEFT(M20,FIND("],",M20)+S24),M20)</f>
        <v xml:space="preserve">[effect:rush, count:8, val:0.22]    </v>
      </c>
      <c r="O20" s="55">
        <f t="shared" si="7"/>
        <v>9</v>
      </c>
      <c r="P20" s="55">
        <f t="shared" si="8"/>
        <v>13</v>
      </c>
      <c r="Q20" s="55" t="e">
        <f t="shared" si="9"/>
        <v>#VALUE!</v>
      </c>
      <c r="R20" s="55">
        <f t="shared" si="10"/>
        <v>22</v>
      </c>
      <c r="S20" s="55" t="str">
        <f>IFERROR(VLOOKUP(MID(N20,Q20,R20-Q20),[6]skilldef!$C:$D,2,FALSE),"-") &amp; " / " &amp; IFERROR(VLOOKUP(MID(N20,O20,P20-O20),[6]skilldef!$A:$B,2,FALSE),"-")</f>
        <v>- / 連続攻撃</v>
      </c>
      <c r="T20" s="40" t="str">
        <f t="shared" si="11"/>
        <v>none</v>
      </c>
      <c r="U20" s="55" t="e">
        <f t="shared" si="12"/>
        <v>#VALUE!</v>
      </c>
      <c r="V20" s="55">
        <f t="shared" si="13"/>
        <v>4</v>
      </c>
      <c r="W20" s="55" t="e">
        <f t="shared" si="14"/>
        <v>#VALUE!</v>
      </c>
      <c r="X20" s="55" t="e">
        <f t="shared" si="15"/>
        <v>#VALUE!</v>
      </c>
      <c r="Y20" s="55" t="str">
        <f>IFERROR(VLOOKUP(MID(T20,W20,X20-W20),[6]skilldef!$C:$D,2,FALSE),"-") &amp; " / " &amp; IFERROR(VLOOKUP(MID(T20,U20,V20-U20),[6]skilldef!$A:$B,2,FALSE),"-")</f>
        <v>- / -</v>
      </c>
      <c r="Z20" s="42"/>
      <c r="AA20" s="44"/>
      <c r="AB20" s="42" t="s">
        <v>226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0"/>
  <sheetViews>
    <sheetView showGridLines="0" workbookViewId="0">
      <pane ySplit="1" topLeftCell="A2" activePane="bottomLeft" state="frozenSplit"/>
      <selection pane="bottomLeft" activeCell="G16" sqref="G16"/>
    </sheetView>
  </sheetViews>
  <sheetFormatPr baseColWidth="12" defaultColWidth="12.83203125" defaultRowHeight="21" customHeight="1" x14ac:dyDescent="0.15"/>
  <cols>
    <col min="1" max="1" width="16.1640625" style="41" bestFit="1" customWidth="1"/>
    <col min="2" max="2" width="13.33203125" style="41" bestFit="1" customWidth="1"/>
    <col min="3" max="3" width="11.83203125" style="41" bestFit="1" customWidth="1"/>
    <col min="4" max="4" width="14.6640625" style="41" bestFit="1" customWidth="1"/>
    <col min="5" max="5" width="15.6640625" style="41" bestFit="1" customWidth="1"/>
    <col min="6" max="6" width="17" style="41" bestFit="1" customWidth="1"/>
    <col min="7" max="7" width="15.6640625" style="41" bestFit="1" customWidth="1"/>
    <col min="8" max="9" width="14.6640625" style="41" customWidth="1"/>
    <col min="10" max="10" width="14.6640625" style="41" bestFit="1" customWidth="1"/>
    <col min="11" max="11" width="22.83203125" style="31" bestFit="1" customWidth="1"/>
    <col min="12" max="16384" width="12.83203125" style="37"/>
  </cols>
  <sheetData>
    <row r="1" spans="1:11" ht="21" customHeight="1" x14ac:dyDescent="0.15">
      <c r="A1" s="34" t="s">
        <v>84</v>
      </c>
      <c r="B1" s="34" t="s">
        <v>85</v>
      </c>
      <c r="C1" s="34" t="s">
        <v>86</v>
      </c>
      <c r="D1" s="34" t="s">
        <v>87</v>
      </c>
      <c r="E1" s="34" t="s">
        <v>70</v>
      </c>
      <c r="F1" s="45" t="s">
        <v>71</v>
      </c>
      <c r="G1" s="45" t="s">
        <v>72</v>
      </c>
      <c r="H1" s="34" t="s">
        <v>73</v>
      </c>
      <c r="I1" s="34" t="s">
        <v>74</v>
      </c>
      <c r="J1" s="34" t="s">
        <v>75</v>
      </c>
      <c r="K1" s="46" t="s">
        <v>88</v>
      </c>
    </row>
    <row r="2" spans="1:11" ht="21" customHeight="1" x14ac:dyDescent="0.15">
      <c r="A2" s="39">
        <v>20014100</v>
      </c>
      <c r="B2" s="39">
        <v>0</v>
      </c>
      <c r="C2" s="39">
        <v>100</v>
      </c>
      <c r="D2" s="39">
        <v>80</v>
      </c>
      <c r="E2" s="39" t="s">
        <v>53</v>
      </c>
      <c r="F2" s="39" t="s">
        <v>90</v>
      </c>
      <c r="G2" s="39">
        <v>8</v>
      </c>
      <c r="H2" s="39" t="s">
        <v>90</v>
      </c>
      <c r="I2" s="39" t="s">
        <v>90</v>
      </c>
      <c r="J2" s="40">
        <f t="shared" ref="J2" si="0">D2</f>
        <v>80</v>
      </c>
    </row>
    <row r="3" spans="1:11" ht="21" customHeight="1" x14ac:dyDescent="0.15">
      <c r="A3" s="39">
        <v>20014101</v>
      </c>
      <c r="B3" s="39">
        <v>1</v>
      </c>
      <c r="C3" s="39" t="s">
        <v>89</v>
      </c>
      <c r="D3" s="39">
        <v>100</v>
      </c>
      <c r="E3" s="39" t="s">
        <v>53</v>
      </c>
      <c r="F3" s="39" t="s">
        <v>53</v>
      </c>
      <c r="G3" s="39">
        <v>1</v>
      </c>
      <c r="H3" s="39" t="s">
        <v>53</v>
      </c>
      <c r="I3" s="39" t="s">
        <v>53</v>
      </c>
      <c r="J3" s="40">
        <f t="shared" ref="J3:J20" si="1">D3</f>
        <v>100</v>
      </c>
    </row>
    <row r="4" spans="1:11" ht="21" customHeight="1" x14ac:dyDescent="0.15">
      <c r="A4" s="39">
        <v>20014102</v>
      </c>
      <c r="B4" s="39">
        <v>1</v>
      </c>
      <c r="C4" s="39" t="s">
        <v>89</v>
      </c>
      <c r="D4" s="39">
        <v>100</v>
      </c>
      <c r="E4" s="39" t="s">
        <v>53</v>
      </c>
      <c r="F4" s="39" t="s">
        <v>53</v>
      </c>
      <c r="G4" s="39">
        <v>1</v>
      </c>
      <c r="H4" s="39" t="s">
        <v>53</v>
      </c>
      <c r="I4" s="39" t="s">
        <v>53</v>
      </c>
      <c r="J4" s="40">
        <f t="shared" si="1"/>
        <v>100</v>
      </c>
    </row>
    <row r="5" spans="1:11" ht="21" customHeight="1" x14ac:dyDescent="0.15">
      <c r="A5" s="39">
        <v>20014103</v>
      </c>
      <c r="B5" s="39">
        <v>0</v>
      </c>
      <c r="C5" s="39">
        <v>100</v>
      </c>
      <c r="D5" s="39">
        <v>60</v>
      </c>
      <c r="E5" s="39" t="s">
        <v>53</v>
      </c>
      <c r="F5" s="39" t="s">
        <v>53</v>
      </c>
      <c r="G5" s="39">
        <v>1</v>
      </c>
      <c r="H5" s="39" t="s">
        <v>53</v>
      </c>
      <c r="I5" s="39" t="s">
        <v>53</v>
      </c>
      <c r="J5" s="40">
        <f t="shared" si="1"/>
        <v>60</v>
      </c>
    </row>
    <row r="6" spans="1:11" ht="21" customHeight="1" x14ac:dyDescent="0.15">
      <c r="A6" s="39">
        <v>20014104</v>
      </c>
      <c r="B6" s="39">
        <v>0</v>
      </c>
      <c r="C6" s="39">
        <v>100</v>
      </c>
      <c r="D6" s="39">
        <v>80</v>
      </c>
      <c r="E6" s="39" t="s">
        <v>53</v>
      </c>
      <c r="F6" s="39" t="s">
        <v>53</v>
      </c>
      <c r="G6" s="39">
        <v>8</v>
      </c>
      <c r="H6" s="39" t="s">
        <v>53</v>
      </c>
      <c r="I6" s="39" t="s">
        <v>53</v>
      </c>
      <c r="J6" s="40">
        <f t="shared" si="1"/>
        <v>80</v>
      </c>
    </row>
    <row r="7" spans="1:11" ht="21" customHeight="1" x14ac:dyDescent="0.15">
      <c r="A7" s="39">
        <v>20014105</v>
      </c>
      <c r="B7" s="39">
        <v>0</v>
      </c>
      <c r="C7" s="39" t="s">
        <v>89</v>
      </c>
      <c r="D7" s="39">
        <v>100</v>
      </c>
      <c r="E7" s="39" t="s">
        <v>53</v>
      </c>
      <c r="F7" s="39" t="s">
        <v>53</v>
      </c>
      <c r="G7" s="39">
        <v>2</v>
      </c>
      <c r="H7" s="39" t="s">
        <v>53</v>
      </c>
      <c r="I7" s="39" t="s">
        <v>53</v>
      </c>
      <c r="J7" s="40">
        <f t="shared" si="1"/>
        <v>100</v>
      </c>
    </row>
    <row r="8" spans="1:11" ht="21" customHeight="1" x14ac:dyDescent="0.15">
      <c r="A8" s="39">
        <v>20014106</v>
      </c>
      <c r="B8" s="39">
        <v>0</v>
      </c>
      <c r="C8" s="39" t="s">
        <v>89</v>
      </c>
      <c r="D8" s="39">
        <v>100</v>
      </c>
      <c r="E8" s="39" t="s">
        <v>53</v>
      </c>
      <c r="F8" s="39" t="s">
        <v>53</v>
      </c>
      <c r="G8" s="39">
        <v>3</v>
      </c>
      <c r="H8" s="39" t="s">
        <v>53</v>
      </c>
      <c r="I8" s="39" t="s">
        <v>53</v>
      </c>
      <c r="J8" s="40">
        <f t="shared" si="1"/>
        <v>100</v>
      </c>
    </row>
    <row r="9" spans="1:11" ht="21" customHeight="1" x14ac:dyDescent="0.15">
      <c r="A9" s="39">
        <v>20014107</v>
      </c>
      <c r="B9" s="39">
        <v>0</v>
      </c>
      <c r="C9" s="39">
        <v>100</v>
      </c>
      <c r="D9" s="39">
        <v>80</v>
      </c>
      <c r="E9" s="39" t="s">
        <v>53</v>
      </c>
      <c r="F9" s="39" t="s">
        <v>53</v>
      </c>
      <c r="G9" s="39">
        <v>8</v>
      </c>
      <c r="H9" s="39" t="s">
        <v>53</v>
      </c>
      <c r="I9" s="39" t="s">
        <v>53</v>
      </c>
      <c r="J9" s="40">
        <f t="shared" si="1"/>
        <v>80</v>
      </c>
    </row>
    <row r="10" spans="1:11" ht="21" customHeight="1" x14ac:dyDescent="0.15">
      <c r="A10" s="39">
        <v>20014108</v>
      </c>
      <c r="B10" s="39">
        <v>0</v>
      </c>
      <c r="C10" s="39" t="s">
        <v>89</v>
      </c>
      <c r="D10" s="39">
        <v>100</v>
      </c>
      <c r="E10" s="39" t="s">
        <v>53</v>
      </c>
      <c r="F10" s="39" t="s">
        <v>53</v>
      </c>
      <c r="G10" s="39" t="s">
        <v>233</v>
      </c>
      <c r="H10" s="39" t="s">
        <v>53</v>
      </c>
      <c r="I10" s="39" t="s">
        <v>53</v>
      </c>
      <c r="J10" s="40">
        <f t="shared" si="1"/>
        <v>100</v>
      </c>
    </row>
    <row r="11" spans="1:11" ht="21" customHeight="1" x14ac:dyDescent="0.15">
      <c r="A11" s="39">
        <v>20014109</v>
      </c>
      <c r="B11" s="39">
        <v>0</v>
      </c>
      <c r="C11" s="39" t="s">
        <v>89</v>
      </c>
      <c r="D11" s="39">
        <v>100</v>
      </c>
      <c r="E11" s="39" t="s">
        <v>53</v>
      </c>
      <c r="F11" s="39" t="s">
        <v>53</v>
      </c>
      <c r="G11" s="39">
        <v>3</v>
      </c>
      <c r="H11" s="39" t="s">
        <v>53</v>
      </c>
      <c r="I11" s="39" t="s">
        <v>53</v>
      </c>
      <c r="J11" s="40">
        <f t="shared" si="1"/>
        <v>100</v>
      </c>
    </row>
    <row r="12" spans="1:11" ht="21" customHeight="1" x14ac:dyDescent="0.15">
      <c r="A12" s="39">
        <v>20014110</v>
      </c>
      <c r="B12" s="39">
        <v>1</v>
      </c>
      <c r="C12" s="39">
        <v>100</v>
      </c>
      <c r="D12" s="39">
        <v>100</v>
      </c>
      <c r="E12" s="39" t="s">
        <v>53</v>
      </c>
      <c r="F12" s="39" t="s">
        <v>53</v>
      </c>
      <c r="G12" s="39">
        <v>1</v>
      </c>
      <c r="H12" s="39" t="s">
        <v>53</v>
      </c>
      <c r="I12" s="39" t="s">
        <v>53</v>
      </c>
      <c r="J12" s="40">
        <f t="shared" si="1"/>
        <v>100</v>
      </c>
    </row>
    <row r="13" spans="1:11" ht="21" customHeight="1" x14ac:dyDescent="0.15">
      <c r="A13" s="39">
        <v>20014111</v>
      </c>
      <c r="B13" s="39">
        <v>0</v>
      </c>
      <c r="C13" s="39">
        <v>90</v>
      </c>
      <c r="D13" s="39">
        <v>50</v>
      </c>
      <c r="E13" s="39" t="s">
        <v>53</v>
      </c>
      <c r="F13" s="39" t="s">
        <v>53</v>
      </c>
      <c r="G13" s="39" t="s">
        <v>233</v>
      </c>
      <c r="H13" s="39" t="s">
        <v>53</v>
      </c>
      <c r="I13" s="39" t="s">
        <v>53</v>
      </c>
      <c r="J13" s="40">
        <f t="shared" si="1"/>
        <v>50</v>
      </c>
    </row>
    <row r="14" spans="1:11" ht="21" customHeight="1" x14ac:dyDescent="0.15">
      <c r="A14" s="39">
        <v>20014112</v>
      </c>
      <c r="B14" s="39">
        <v>0</v>
      </c>
      <c r="C14" s="39">
        <v>80</v>
      </c>
      <c r="D14" s="39">
        <v>100</v>
      </c>
      <c r="E14" s="39" t="s">
        <v>53</v>
      </c>
      <c r="F14" s="39" t="s">
        <v>53</v>
      </c>
      <c r="G14" s="39" t="s">
        <v>235</v>
      </c>
      <c r="H14" s="39" t="s">
        <v>53</v>
      </c>
      <c r="I14" s="39" t="s">
        <v>53</v>
      </c>
      <c r="J14" s="40">
        <f t="shared" si="1"/>
        <v>100</v>
      </c>
    </row>
    <row r="15" spans="1:11" ht="21" customHeight="1" x14ac:dyDescent="0.15">
      <c r="A15" s="39">
        <v>20014113</v>
      </c>
      <c r="B15" s="39">
        <v>1</v>
      </c>
      <c r="C15" s="39">
        <v>90</v>
      </c>
      <c r="D15" s="39">
        <v>100</v>
      </c>
      <c r="E15" s="39" t="s">
        <v>53</v>
      </c>
      <c r="F15" s="39" t="s">
        <v>53</v>
      </c>
      <c r="G15" s="39" t="s">
        <v>277</v>
      </c>
      <c r="H15" s="39">
        <v>3</v>
      </c>
      <c r="I15" s="39" t="s">
        <v>53</v>
      </c>
      <c r="J15" s="40">
        <f t="shared" si="1"/>
        <v>100</v>
      </c>
    </row>
    <row r="16" spans="1:11" ht="21" customHeight="1" x14ac:dyDescent="0.15">
      <c r="A16" s="39">
        <v>20014114</v>
      </c>
      <c r="B16" s="39">
        <v>0</v>
      </c>
      <c r="C16" s="39">
        <v>100</v>
      </c>
      <c r="D16" s="39">
        <v>100</v>
      </c>
      <c r="E16" s="39" t="s">
        <v>53</v>
      </c>
      <c r="F16" s="39" t="s">
        <v>53</v>
      </c>
      <c r="G16" s="39" t="s">
        <v>233</v>
      </c>
      <c r="H16" s="39" t="s">
        <v>277</v>
      </c>
      <c r="I16" s="39" t="s">
        <v>53</v>
      </c>
      <c r="J16" s="40">
        <f t="shared" si="1"/>
        <v>100</v>
      </c>
    </row>
    <row r="17" spans="1:10" ht="21" customHeight="1" x14ac:dyDescent="0.15">
      <c r="A17" s="39">
        <v>20014115</v>
      </c>
      <c r="B17" s="39">
        <v>0</v>
      </c>
      <c r="C17" s="39" t="s">
        <v>89</v>
      </c>
      <c r="D17" s="39">
        <v>100</v>
      </c>
      <c r="E17" s="39" t="s">
        <v>53</v>
      </c>
      <c r="F17" s="39" t="s">
        <v>53</v>
      </c>
      <c r="G17" s="39">
        <v>1</v>
      </c>
      <c r="H17" s="39" t="s">
        <v>53</v>
      </c>
      <c r="I17" s="39">
        <v>842</v>
      </c>
      <c r="J17" s="40">
        <f t="shared" si="1"/>
        <v>100</v>
      </c>
    </row>
    <row r="18" spans="1:10" ht="21" customHeight="1" x14ac:dyDescent="0.15">
      <c r="A18" s="39">
        <v>20014116</v>
      </c>
      <c r="B18" s="39">
        <v>1</v>
      </c>
      <c r="C18" s="39" t="s">
        <v>89</v>
      </c>
      <c r="D18" s="39">
        <v>100</v>
      </c>
      <c r="E18" s="39" t="s">
        <v>53</v>
      </c>
      <c r="F18" s="39" t="s">
        <v>53</v>
      </c>
      <c r="G18" s="39">
        <v>1</v>
      </c>
      <c r="H18" s="39" t="s">
        <v>53</v>
      </c>
      <c r="I18" s="39" t="s">
        <v>53</v>
      </c>
      <c r="J18" s="40">
        <f t="shared" si="1"/>
        <v>100</v>
      </c>
    </row>
    <row r="19" spans="1:10" ht="21" customHeight="1" x14ac:dyDescent="0.15">
      <c r="A19" s="39">
        <v>20014117</v>
      </c>
      <c r="B19" s="39">
        <v>0</v>
      </c>
      <c r="C19" s="39">
        <v>90</v>
      </c>
      <c r="D19" s="39">
        <v>50</v>
      </c>
      <c r="E19" s="39" t="s">
        <v>53</v>
      </c>
      <c r="F19" s="39" t="s">
        <v>53</v>
      </c>
      <c r="G19" s="39" t="s">
        <v>234</v>
      </c>
      <c r="H19" s="39" t="s">
        <v>53</v>
      </c>
      <c r="I19" s="39" t="s">
        <v>53</v>
      </c>
      <c r="J19" s="40">
        <f t="shared" si="1"/>
        <v>50</v>
      </c>
    </row>
    <row r="20" spans="1:10" ht="21" customHeight="1" x14ac:dyDescent="0.15">
      <c r="A20" s="39">
        <v>20014118</v>
      </c>
      <c r="B20" s="39">
        <v>0</v>
      </c>
      <c r="C20" s="39">
        <v>80</v>
      </c>
      <c r="D20" s="39">
        <v>100</v>
      </c>
      <c r="E20" s="39" t="s">
        <v>53</v>
      </c>
      <c r="F20" s="39" t="s">
        <v>53</v>
      </c>
      <c r="G20" s="39" t="s">
        <v>233</v>
      </c>
      <c r="H20" s="39" t="s">
        <v>53</v>
      </c>
      <c r="I20" s="39" t="s">
        <v>53</v>
      </c>
      <c r="J20" s="40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G26" sqref="G26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56" t="s">
        <v>151</v>
      </c>
      <c r="B1" s="56" t="s">
        <v>152</v>
      </c>
      <c r="C1" s="57" t="s">
        <v>153</v>
      </c>
      <c r="D1" s="63" t="s">
        <v>154</v>
      </c>
      <c r="E1" s="58" t="s">
        <v>155</v>
      </c>
      <c r="F1" s="56" t="s">
        <v>156</v>
      </c>
      <c r="G1" s="56" t="s">
        <v>157</v>
      </c>
      <c r="H1" s="56" t="s">
        <v>158</v>
      </c>
      <c r="I1" s="56" t="s">
        <v>159</v>
      </c>
      <c r="J1" s="56" t="s">
        <v>160</v>
      </c>
      <c r="K1" s="56" t="s">
        <v>161</v>
      </c>
      <c r="L1" s="56" t="s">
        <v>162</v>
      </c>
      <c r="M1" s="56" t="s">
        <v>163</v>
      </c>
      <c r="N1" s="56" t="s">
        <v>164</v>
      </c>
      <c r="O1" s="56" t="s">
        <v>165</v>
      </c>
      <c r="P1" s="56" t="s">
        <v>166</v>
      </c>
      <c r="Q1" s="56" t="s">
        <v>167</v>
      </c>
      <c r="R1" s="56" t="s">
        <v>168</v>
      </c>
    </row>
    <row r="2" spans="1:18" ht="16" thickBot="1" x14ac:dyDescent="0.2">
      <c r="A2" s="214">
        <v>20014</v>
      </c>
      <c r="B2" s="215">
        <v>1</v>
      </c>
      <c r="C2" s="216" t="str">
        <f>A2&amp; "_"&amp;B2</f>
        <v>20014_1</v>
      </c>
      <c r="D2" s="99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15">
        <v>1</v>
      </c>
      <c r="F2" s="217" t="s">
        <v>169</v>
      </c>
      <c r="G2" s="228">
        <v>1800</v>
      </c>
      <c r="H2" s="217" t="s">
        <v>89</v>
      </c>
      <c r="I2" s="217">
        <v>1</v>
      </c>
      <c r="J2" s="217">
        <v>1</v>
      </c>
      <c r="K2" s="217">
        <v>0</v>
      </c>
      <c r="L2" s="217">
        <v>0</v>
      </c>
      <c r="M2" s="217">
        <v>0</v>
      </c>
      <c r="N2" s="217">
        <v>0</v>
      </c>
      <c r="O2" s="217">
        <v>1</v>
      </c>
      <c r="P2" s="228">
        <v>200</v>
      </c>
      <c r="Q2" s="217" t="s">
        <v>170</v>
      </c>
      <c r="R2" s="218" t="s">
        <v>171</v>
      </c>
    </row>
    <row r="3" spans="1:18" ht="16" thickBot="1" x14ac:dyDescent="0.2">
      <c r="A3" s="214">
        <v>20014</v>
      </c>
      <c r="B3" s="49">
        <v>1</v>
      </c>
      <c r="C3" s="62" t="str">
        <f t="shared" ref="C3:C32" si="0">A3&amp; "_"&amp;B3</f>
        <v>20014_1</v>
      </c>
      <c r="D3" s="14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9">
        <v>2</v>
      </c>
      <c r="F3" s="219" t="s">
        <v>267</v>
      </c>
      <c r="G3" s="73">
        <v>20</v>
      </c>
      <c r="H3" s="219" t="s">
        <v>89</v>
      </c>
      <c r="I3" s="219">
        <v>1</v>
      </c>
      <c r="J3" s="219">
        <v>1</v>
      </c>
      <c r="K3" s="219">
        <v>0</v>
      </c>
      <c r="L3" s="219">
        <v>0</v>
      </c>
      <c r="M3" s="219">
        <v>0</v>
      </c>
      <c r="N3" s="219">
        <v>0</v>
      </c>
      <c r="O3" s="219">
        <v>1</v>
      </c>
      <c r="P3" s="73">
        <v>200</v>
      </c>
      <c r="Q3" s="219" t="s">
        <v>170</v>
      </c>
      <c r="R3" s="220" t="s">
        <v>171</v>
      </c>
    </row>
    <row r="4" spans="1:18" ht="16" thickBot="1" x14ac:dyDescent="0.2">
      <c r="A4" s="214">
        <v>20014</v>
      </c>
      <c r="B4" s="49">
        <v>1</v>
      </c>
      <c r="C4" s="62" t="str">
        <f t="shared" si="0"/>
        <v>20014_1</v>
      </c>
      <c r="D4" s="14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9">
        <v>3</v>
      </c>
      <c r="F4" s="219" t="s">
        <v>268</v>
      </c>
      <c r="G4" s="73">
        <v>340</v>
      </c>
      <c r="H4" s="219">
        <v>1</v>
      </c>
      <c r="I4" s="219">
        <v>1</v>
      </c>
      <c r="J4" s="219">
        <v>1</v>
      </c>
      <c r="K4" s="219">
        <v>0</v>
      </c>
      <c r="L4" s="219">
        <v>0</v>
      </c>
      <c r="M4" s="219">
        <v>0</v>
      </c>
      <c r="N4" s="219">
        <v>0</v>
      </c>
      <c r="O4" s="219">
        <v>1</v>
      </c>
      <c r="P4" s="73">
        <v>98</v>
      </c>
      <c r="Q4" s="219" t="s">
        <v>170</v>
      </c>
      <c r="R4" s="220" t="s">
        <v>171</v>
      </c>
    </row>
    <row r="5" spans="1:18" ht="16" thickBot="1" x14ac:dyDescent="0.2">
      <c r="A5" s="214">
        <v>20014</v>
      </c>
      <c r="B5" s="49">
        <v>1</v>
      </c>
      <c r="C5" s="62" t="str">
        <f t="shared" si="0"/>
        <v>20014_1</v>
      </c>
      <c r="D5" s="14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9">
        <v>4</v>
      </c>
      <c r="F5" s="219" t="s">
        <v>268</v>
      </c>
      <c r="G5" s="73">
        <v>341</v>
      </c>
      <c r="H5" s="219">
        <v>1</v>
      </c>
      <c r="I5" s="219">
        <v>1</v>
      </c>
      <c r="J5" s="219">
        <v>1</v>
      </c>
      <c r="K5" s="219">
        <v>0</v>
      </c>
      <c r="L5" s="219">
        <v>0</v>
      </c>
      <c r="M5" s="219">
        <v>0</v>
      </c>
      <c r="N5" s="219">
        <v>0</v>
      </c>
      <c r="O5" s="219">
        <v>1</v>
      </c>
      <c r="P5" s="73">
        <v>42</v>
      </c>
      <c r="Q5" s="219" t="s">
        <v>170</v>
      </c>
      <c r="R5" s="220" t="s">
        <v>171</v>
      </c>
    </row>
    <row r="6" spans="1:18" ht="16" thickBot="1" x14ac:dyDescent="0.2">
      <c r="A6" s="214">
        <v>20014</v>
      </c>
      <c r="B6" s="49">
        <v>1</v>
      </c>
      <c r="C6" s="62" t="str">
        <f t="shared" si="0"/>
        <v>20014_1</v>
      </c>
      <c r="D6" s="14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9">
        <v>5</v>
      </c>
      <c r="F6" s="219" t="s">
        <v>268</v>
      </c>
      <c r="G6" s="73">
        <v>121</v>
      </c>
      <c r="H6" s="219">
        <v>1</v>
      </c>
      <c r="I6" s="219">
        <v>1</v>
      </c>
      <c r="J6" s="219">
        <v>1</v>
      </c>
      <c r="K6" s="219">
        <v>0</v>
      </c>
      <c r="L6" s="219">
        <v>0</v>
      </c>
      <c r="M6" s="219">
        <v>0</v>
      </c>
      <c r="N6" s="219">
        <v>0</v>
      </c>
      <c r="O6" s="219">
        <v>1</v>
      </c>
      <c r="P6" s="73">
        <v>50</v>
      </c>
      <c r="Q6" s="219" t="s">
        <v>170</v>
      </c>
      <c r="R6" s="220" t="s">
        <v>171</v>
      </c>
    </row>
    <row r="7" spans="1:18" ht="16" thickBot="1" x14ac:dyDescent="0.2">
      <c r="A7" s="214">
        <v>20014</v>
      </c>
      <c r="B7" s="49">
        <v>1</v>
      </c>
      <c r="C7" s="62" t="str">
        <f t="shared" si="0"/>
        <v>20014_1</v>
      </c>
      <c r="D7" s="14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9">
        <v>6</v>
      </c>
      <c r="F7" s="219" t="s">
        <v>269</v>
      </c>
      <c r="G7" s="73">
        <v>122</v>
      </c>
      <c r="H7" s="219">
        <v>1</v>
      </c>
      <c r="I7" s="219">
        <v>1</v>
      </c>
      <c r="J7" s="219">
        <v>1</v>
      </c>
      <c r="K7" s="219">
        <v>0</v>
      </c>
      <c r="L7" s="219">
        <v>0</v>
      </c>
      <c r="M7" s="219">
        <v>0</v>
      </c>
      <c r="N7" s="219">
        <v>0</v>
      </c>
      <c r="O7" s="219">
        <v>1</v>
      </c>
      <c r="P7" s="73">
        <v>50</v>
      </c>
      <c r="Q7" s="219" t="s">
        <v>170</v>
      </c>
      <c r="R7" s="220" t="s">
        <v>171</v>
      </c>
    </row>
    <row r="8" spans="1:18" ht="16" thickBot="1" x14ac:dyDescent="0.2">
      <c r="A8" s="214">
        <v>20014</v>
      </c>
      <c r="B8" s="49">
        <v>1</v>
      </c>
      <c r="C8" s="62" t="str">
        <f t="shared" si="0"/>
        <v>20014_1</v>
      </c>
      <c r="D8" s="14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9">
        <v>7</v>
      </c>
      <c r="F8" s="219" t="s">
        <v>270</v>
      </c>
      <c r="G8" s="73">
        <v>123</v>
      </c>
      <c r="H8" s="219">
        <v>1</v>
      </c>
      <c r="I8" s="219">
        <v>1</v>
      </c>
      <c r="J8" s="219">
        <v>1</v>
      </c>
      <c r="K8" s="219">
        <v>0</v>
      </c>
      <c r="L8" s="219">
        <v>0</v>
      </c>
      <c r="M8" s="219">
        <v>0</v>
      </c>
      <c r="N8" s="219">
        <v>0</v>
      </c>
      <c r="O8" s="219">
        <v>1</v>
      </c>
      <c r="P8" s="73">
        <v>50</v>
      </c>
      <c r="Q8" s="219" t="s">
        <v>170</v>
      </c>
      <c r="R8" s="220" t="s">
        <v>171</v>
      </c>
    </row>
    <row r="9" spans="1:18" ht="16" thickBot="1" x14ac:dyDescent="0.2">
      <c r="A9" s="214">
        <v>20014</v>
      </c>
      <c r="B9" s="49">
        <v>1</v>
      </c>
      <c r="C9" s="62" t="str">
        <f t="shared" si="0"/>
        <v>20014_1</v>
      </c>
      <c r="D9" s="14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9">
        <v>8</v>
      </c>
      <c r="F9" s="219" t="s">
        <v>268</v>
      </c>
      <c r="G9" s="73">
        <v>125</v>
      </c>
      <c r="H9" s="219">
        <v>1</v>
      </c>
      <c r="I9" s="219">
        <v>1</v>
      </c>
      <c r="J9" s="219">
        <v>1</v>
      </c>
      <c r="K9" s="219">
        <v>0</v>
      </c>
      <c r="L9" s="219">
        <v>0</v>
      </c>
      <c r="M9" s="219">
        <v>0</v>
      </c>
      <c r="N9" s="219">
        <v>0</v>
      </c>
      <c r="O9" s="219">
        <v>1</v>
      </c>
      <c r="P9" s="73">
        <v>10</v>
      </c>
      <c r="Q9" s="219" t="s">
        <v>170</v>
      </c>
      <c r="R9" s="220" t="s">
        <v>171</v>
      </c>
    </row>
    <row r="10" spans="1:18" ht="16" thickBot="1" x14ac:dyDescent="0.2">
      <c r="A10" s="214">
        <v>20014</v>
      </c>
      <c r="B10" s="49">
        <v>1</v>
      </c>
      <c r="C10" s="62" t="str">
        <f t="shared" si="0"/>
        <v>20014_1</v>
      </c>
      <c r="D10" s="14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9">
        <v>9</v>
      </c>
      <c r="F10" s="219" t="s">
        <v>268</v>
      </c>
      <c r="G10" s="73">
        <v>842</v>
      </c>
      <c r="H10" s="219">
        <v>1</v>
      </c>
      <c r="I10" s="219">
        <v>1</v>
      </c>
      <c r="J10" s="219">
        <v>1</v>
      </c>
      <c r="K10" s="219">
        <v>0</v>
      </c>
      <c r="L10" s="219">
        <v>0</v>
      </c>
      <c r="M10" s="219">
        <v>0</v>
      </c>
      <c r="N10" s="219">
        <v>0</v>
      </c>
      <c r="O10" s="219">
        <v>1</v>
      </c>
      <c r="P10" s="73">
        <v>200</v>
      </c>
      <c r="Q10" s="219" t="s">
        <v>170</v>
      </c>
      <c r="R10" s="220" t="s">
        <v>171</v>
      </c>
    </row>
    <row r="11" spans="1:18" ht="16" thickBot="1" x14ac:dyDescent="0.2">
      <c r="A11" s="214">
        <v>20014</v>
      </c>
      <c r="B11" s="221">
        <v>1</v>
      </c>
      <c r="C11" s="222" t="str">
        <f t="shared" si="0"/>
        <v>20014_1</v>
      </c>
      <c r="D11" s="1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21">
        <v>10</v>
      </c>
      <c r="F11" s="223" t="s">
        <v>268</v>
      </c>
      <c r="G11" s="229">
        <v>352</v>
      </c>
      <c r="H11" s="223">
        <v>1</v>
      </c>
      <c r="I11" s="223">
        <v>1</v>
      </c>
      <c r="J11" s="223">
        <v>1</v>
      </c>
      <c r="K11" s="223">
        <v>0</v>
      </c>
      <c r="L11" s="223">
        <v>0</v>
      </c>
      <c r="M11" s="223">
        <v>0</v>
      </c>
      <c r="N11" s="223">
        <v>0</v>
      </c>
      <c r="O11" s="223">
        <v>1</v>
      </c>
      <c r="P11" s="229">
        <v>100</v>
      </c>
      <c r="Q11" s="223" t="s">
        <v>170</v>
      </c>
      <c r="R11" s="224" t="s">
        <v>171</v>
      </c>
    </row>
    <row r="12" spans="1:18" ht="16" thickBot="1" x14ac:dyDescent="0.2">
      <c r="A12" s="214">
        <v>20014</v>
      </c>
      <c r="B12" s="215">
        <v>2</v>
      </c>
      <c r="C12" s="216" t="str">
        <f t="shared" si="0"/>
        <v>20014_2</v>
      </c>
      <c r="D12" s="99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15">
        <v>11</v>
      </c>
      <c r="F12" s="217" t="s">
        <v>169</v>
      </c>
      <c r="G12" s="228">
        <v>3300</v>
      </c>
      <c r="H12" s="217" t="s">
        <v>89</v>
      </c>
      <c r="I12" s="217">
        <v>1</v>
      </c>
      <c r="J12" s="217">
        <v>1</v>
      </c>
      <c r="K12" s="217">
        <v>0</v>
      </c>
      <c r="L12" s="217">
        <v>0</v>
      </c>
      <c r="M12" s="217">
        <v>0</v>
      </c>
      <c r="N12" s="217">
        <v>0</v>
      </c>
      <c r="O12" s="217">
        <v>1</v>
      </c>
      <c r="P12" s="228">
        <v>200</v>
      </c>
      <c r="Q12" s="217" t="s">
        <v>170</v>
      </c>
      <c r="R12" s="218" t="s">
        <v>171</v>
      </c>
    </row>
    <row r="13" spans="1:18" ht="16" thickBot="1" x14ac:dyDescent="0.2">
      <c r="A13" s="214">
        <v>20014</v>
      </c>
      <c r="B13" s="49">
        <v>2</v>
      </c>
      <c r="C13" s="62" t="str">
        <f t="shared" si="0"/>
        <v>20014_2</v>
      </c>
      <c r="D13" s="14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49">
        <v>12</v>
      </c>
      <c r="F13" s="219" t="s">
        <v>267</v>
      </c>
      <c r="G13" s="73">
        <v>20</v>
      </c>
      <c r="H13" s="219" t="s">
        <v>89</v>
      </c>
      <c r="I13" s="219">
        <v>1</v>
      </c>
      <c r="J13" s="219">
        <v>1</v>
      </c>
      <c r="K13" s="219">
        <v>0</v>
      </c>
      <c r="L13" s="219">
        <v>0</v>
      </c>
      <c r="M13" s="219">
        <v>0</v>
      </c>
      <c r="N13" s="219">
        <v>0</v>
      </c>
      <c r="O13" s="219">
        <v>1</v>
      </c>
      <c r="P13" s="73">
        <v>150</v>
      </c>
      <c r="Q13" s="219" t="s">
        <v>170</v>
      </c>
      <c r="R13" s="220" t="s">
        <v>171</v>
      </c>
    </row>
    <row r="14" spans="1:18" ht="16" thickBot="1" x14ac:dyDescent="0.2">
      <c r="A14" s="214">
        <v>20014</v>
      </c>
      <c r="B14" s="49">
        <v>2</v>
      </c>
      <c r="C14" s="62" t="str">
        <f t="shared" si="0"/>
        <v>20014_2</v>
      </c>
      <c r="D14" s="14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49">
        <v>13</v>
      </c>
      <c r="F14" s="219" t="s">
        <v>268</v>
      </c>
      <c r="G14" s="73">
        <v>340</v>
      </c>
      <c r="H14" s="219">
        <v>1</v>
      </c>
      <c r="I14" s="219">
        <v>1</v>
      </c>
      <c r="J14" s="219">
        <v>1</v>
      </c>
      <c r="K14" s="219">
        <v>0</v>
      </c>
      <c r="L14" s="219">
        <v>0</v>
      </c>
      <c r="M14" s="219">
        <v>0</v>
      </c>
      <c r="N14" s="219">
        <v>0</v>
      </c>
      <c r="O14" s="219">
        <v>1</v>
      </c>
      <c r="P14" s="73">
        <v>70</v>
      </c>
      <c r="Q14" s="219" t="s">
        <v>170</v>
      </c>
      <c r="R14" s="220" t="s">
        <v>171</v>
      </c>
    </row>
    <row r="15" spans="1:18" ht="16" thickBot="1" x14ac:dyDescent="0.2">
      <c r="A15" s="214">
        <v>20014</v>
      </c>
      <c r="B15" s="49">
        <v>2</v>
      </c>
      <c r="C15" s="62" t="str">
        <f t="shared" si="0"/>
        <v>20014_2</v>
      </c>
      <c r="D15" s="14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49">
        <v>14</v>
      </c>
      <c r="F15" s="219" t="s">
        <v>270</v>
      </c>
      <c r="G15" s="73">
        <v>341</v>
      </c>
      <c r="H15" s="219">
        <v>1</v>
      </c>
      <c r="I15" s="219">
        <v>1</v>
      </c>
      <c r="J15" s="219">
        <v>1</v>
      </c>
      <c r="K15" s="219">
        <v>0</v>
      </c>
      <c r="L15" s="219">
        <v>0</v>
      </c>
      <c r="M15" s="219">
        <v>0</v>
      </c>
      <c r="N15" s="219">
        <v>0</v>
      </c>
      <c r="O15" s="219">
        <v>1</v>
      </c>
      <c r="P15" s="73">
        <v>70</v>
      </c>
      <c r="Q15" s="219" t="s">
        <v>170</v>
      </c>
      <c r="R15" s="220" t="s">
        <v>171</v>
      </c>
    </row>
    <row r="16" spans="1:18" ht="16" thickBot="1" x14ac:dyDescent="0.2">
      <c r="A16" s="214">
        <v>20014</v>
      </c>
      <c r="B16" s="49">
        <v>2</v>
      </c>
      <c r="C16" s="62" t="str">
        <f t="shared" si="0"/>
        <v>20014_2</v>
      </c>
      <c r="D16" s="14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49">
        <v>15</v>
      </c>
      <c r="F16" s="219" t="s">
        <v>268</v>
      </c>
      <c r="G16" s="73">
        <v>121</v>
      </c>
      <c r="H16" s="219">
        <v>1</v>
      </c>
      <c r="I16" s="219">
        <v>1</v>
      </c>
      <c r="J16" s="219">
        <v>1</v>
      </c>
      <c r="K16" s="219">
        <v>0</v>
      </c>
      <c r="L16" s="219">
        <v>0</v>
      </c>
      <c r="M16" s="219">
        <v>0</v>
      </c>
      <c r="N16" s="219">
        <v>0</v>
      </c>
      <c r="O16" s="219">
        <v>1</v>
      </c>
      <c r="P16" s="73">
        <v>50</v>
      </c>
      <c r="Q16" s="219" t="s">
        <v>170</v>
      </c>
      <c r="R16" s="220" t="s">
        <v>171</v>
      </c>
    </row>
    <row r="17" spans="1:18" ht="16" thickBot="1" x14ac:dyDescent="0.2">
      <c r="A17" s="214">
        <v>20014</v>
      </c>
      <c r="B17" s="49">
        <v>2</v>
      </c>
      <c r="C17" s="62" t="str">
        <f t="shared" si="0"/>
        <v>20014_2</v>
      </c>
      <c r="D17" s="14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49">
        <v>16</v>
      </c>
      <c r="F17" s="219" t="s">
        <v>269</v>
      </c>
      <c r="G17" s="73">
        <v>122</v>
      </c>
      <c r="H17" s="219">
        <v>1</v>
      </c>
      <c r="I17" s="219">
        <v>1</v>
      </c>
      <c r="J17" s="219">
        <v>1</v>
      </c>
      <c r="K17" s="219">
        <v>0</v>
      </c>
      <c r="L17" s="219">
        <v>0</v>
      </c>
      <c r="M17" s="219">
        <v>0</v>
      </c>
      <c r="N17" s="219">
        <v>0</v>
      </c>
      <c r="O17" s="219">
        <v>1</v>
      </c>
      <c r="P17" s="73">
        <v>50</v>
      </c>
      <c r="Q17" s="219" t="s">
        <v>170</v>
      </c>
      <c r="R17" s="220" t="s">
        <v>171</v>
      </c>
    </row>
    <row r="18" spans="1:18" ht="16" thickBot="1" x14ac:dyDescent="0.2">
      <c r="A18" s="214">
        <v>20014</v>
      </c>
      <c r="B18" s="49">
        <v>2</v>
      </c>
      <c r="C18" s="62" t="str">
        <f t="shared" si="0"/>
        <v>20014_2</v>
      </c>
      <c r="D18" s="1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49">
        <v>17</v>
      </c>
      <c r="F18" s="219" t="s">
        <v>270</v>
      </c>
      <c r="G18" s="73">
        <v>123</v>
      </c>
      <c r="H18" s="219">
        <v>1</v>
      </c>
      <c r="I18" s="219">
        <v>1</v>
      </c>
      <c r="J18" s="219">
        <v>1</v>
      </c>
      <c r="K18" s="219">
        <v>0</v>
      </c>
      <c r="L18" s="219">
        <v>0</v>
      </c>
      <c r="M18" s="219">
        <v>0</v>
      </c>
      <c r="N18" s="219">
        <v>0</v>
      </c>
      <c r="O18" s="219">
        <v>1</v>
      </c>
      <c r="P18" s="73">
        <v>50</v>
      </c>
      <c r="Q18" s="219" t="s">
        <v>170</v>
      </c>
      <c r="R18" s="220" t="s">
        <v>171</v>
      </c>
    </row>
    <row r="19" spans="1:18" ht="16" thickBot="1" x14ac:dyDescent="0.2">
      <c r="A19" s="214">
        <v>20014</v>
      </c>
      <c r="B19" s="49">
        <v>2</v>
      </c>
      <c r="C19" s="62" t="str">
        <f t="shared" si="0"/>
        <v>20014_2</v>
      </c>
      <c r="D19" s="14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49">
        <v>18</v>
      </c>
      <c r="F19" s="219" t="s">
        <v>268</v>
      </c>
      <c r="G19" s="73">
        <v>125</v>
      </c>
      <c r="H19" s="219">
        <v>1</v>
      </c>
      <c r="I19" s="219">
        <v>1</v>
      </c>
      <c r="J19" s="219">
        <v>1</v>
      </c>
      <c r="K19" s="219">
        <v>0</v>
      </c>
      <c r="L19" s="219">
        <v>0</v>
      </c>
      <c r="M19" s="219">
        <v>0</v>
      </c>
      <c r="N19" s="219">
        <v>0</v>
      </c>
      <c r="O19" s="219">
        <v>1</v>
      </c>
      <c r="P19" s="73">
        <v>10</v>
      </c>
      <c r="Q19" s="219" t="s">
        <v>170</v>
      </c>
      <c r="R19" s="220" t="s">
        <v>171</v>
      </c>
    </row>
    <row r="20" spans="1:18" ht="16" thickBot="1" x14ac:dyDescent="0.2">
      <c r="A20" s="214">
        <v>20014</v>
      </c>
      <c r="B20" s="49">
        <v>2</v>
      </c>
      <c r="C20" s="62" t="str">
        <f t="shared" si="0"/>
        <v>20014_2</v>
      </c>
      <c r="D20" s="14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49">
        <v>19</v>
      </c>
      <c r="F20" s="219" t="s">
        <v>268</v>
      </c>
      <c r="G20" s="73">
        <v>842</v>
      </c>
      <c r="H20" s="219">
        <v>1</v>
      </c>
      <c r="I20" s="219">
        <v>1</v>
      </c>
      <c r="J20" s="219">
        <v>1</v>
      </c>
      <c r="K20" s="219">
        <v>0</v>
      </c>
      <c r="L20" s="219">
        <v>0</v>
      </c>
      <c r="M20" s="219">
        <v>0</v>
      </c>
      <c r="N20" s="219">
        <v>0</v>
      </c>
      <c r="O20" s="219">
        <v>1</v>
      </c>
      <c r="P20" s="73">
        <v>250</v>
      </c>
      <c r="Q20" s="219" t="s">
        <v>170</v>
      </c>
      <c r="R20" s="220" t="s">
        <v>171</v>
      </c>
    </row>
    <row r="21" spans="1:18" ht="16" thickBot="1" x14ac:dyDescent="0.2">
      <c r="A21" s="214">
        <v>20014</v>
      </c>
      <c r="B21" s="221">
        <v>2</v>
      </c>
      <c r="C21" s="222" t="str">
        <f t="shared" si="0"/>
        <v>20014_2</v>
      </c>
      <c r="D21" s="1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21">
        <v>20</v>
      </c>
      <c r="F21" s="223" t="s">
        <v>268</v>
      </c>
      <c r="G21" s="229">
        <v>352</v>
      </c>
      <c r="H21" s="223">
        <v>1</v>
      </c>
      <c r="I21" s="223">
        <v>1</v>
      </c>
      <c r="J21" s="223">
        <v>1</v>
      </c>
      <c r="K21" s="223">
        <v>0</v>
      </c>
      <c r="L21" s="223">
        <v>0</v>
      </c>
      <c r="M21" s="223">
        <v>0</v>
      </c>
      <c r="N21" s="223">
        <v>0</v>
      </c>
      <c r="O21" s="223">
        <v>1</v>
      </c>
      <c r="P21" s="229">
        <v>100</v>
      </c>
      <c r="Q21" s="223" t="s">
        <v>170</v>
      </c>
      <c r="R21" s="224" t="s">
        <v>171</v>
      </c>
    </row>
    <row r="22" spans="1:18" ht="16" thickBot="1" x14ac:dyDescent="0.2">
      <c r="A22" s="214">
        <v>20014</v>
      </c>
      <c r="B22" s="225">
        <v>3</v>
      </c>
      <c r="C22" s="226" t="str">
        <f t="shared" si="0"/>
        <v>20014_3</v>
      </c>
      <c r="D22" s="9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25">
        <v>21</v>
      </c>
      <c r="F22" s="227" t="s">
        <v>169</v>
      </c>
      <c r="G22" s="230">
        <v>5100</v>
      </c>
      <c r="H22" s="227" t="s">
        <v>89</v>
      </c>
      <c r="I22" s="227">
        <v>1</v>
      </c>
      <c r="J22" s="227">
        <v>1</v>
      </c>
      <c r="K22" s="227">
        <v>0</v>
      </c>
      <c r="L22" s="227">
        <v>0</v>
      </c>
      <c r="M22" s="227">
        <v>0</v>
      </c>
      <c r="N22" s="227">
        <v>0</v>
      </c>
      <c r="O22" s="227">
        <v>1</v>
      </c>
      <c r="P22" s="230">
        <v>100</v>
      </c>
      <c r="Q22" s="227" t="s">
        <v>170</v>
      </c>
      <c r="R22" s="227" t="s">
        <v>171</v>
      </c>
    </row>
    <row r="23" spans="1:18" ht="16" thickBot="1" x14ac:dyDescent="0.2">
      <c r="A23" s="214">
        <v>20014</v>
      </c>
      <c r="B23" s="49">
        <v>3</v>
      </c>
      <c r="C23" s="62" t="str">
        <f t="shared" si="0"/>
        <v>20014_3</v>
      </c>
      <c r="D23" s="14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49">
        <v>22</v>
      </c>
      <c r="F23" s="219" t="s">
        <v>267</v>
      </c>
      <c r="G23" s="73">
        <v>25</v>
      </c>
      <c r="H23" s="219" t="s">
        <v>89</v>
      </c>
      <c r="I23" s="219">
        <v>1</v>
      </c>
      <c r="J23" s="219">
        <v>1</v>
      </c>
      <c r="K23" s="219">
        <v>0</v>
      </c>
      <c r="L23" s="219">
        <v>0</v>
      </c>
      <c r="M23" s="219">
        <v>0</v>
      </c>
      <c r="N23" s="219">
        <v>0</v>
      </c>
      <c r="O23" s="219">
        <v>1</v>
      </c>
      <c r="P23" s="73">
        <v>100</v>
      </c>
      <c r="Q23" s="219" t="s">
        <v>170</v>
      </c>
      <c r="R23" s="219" t="s">
        <v>171</v>
      </c>
    </row>
    <row r="24" spans="1:18" ht="16" thickBot="1" x14ac:dyDescent="0.2">
      <c r="A24" s="214">
        <v>20014</v>
      </c>
      <c r="B24" s="49">
        <v>3</v>
      </c>
      <c r="C24" s="62" t="str">
        <f t="shared" si="0"/>
        <v>20014_3</v>
      </c>
      <c r="D24" s="14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49">
        <v>23</v>
      </c>
      <c r="F24" s="219" t="s">
        <v>268</v>
      </c>
      <c r="G24" s="73">
        <v>340</v>
      </c>
      <c r="H24" s="219">
        <v>1</v>
      </c>
      <c r="I24" s="219">
        <v>1</v>
      </c>
      <c r="J24" s="219">
        <v>1</v>
      </c>
      <c r="K24" s="219">
        <v>0</v>
      </c>
      <c r="L24" s="219">
        <v>0</v>
      </c>
      <c r="M24" s="219">
        <v>0</v>
      </c>
      <c r="N24" s="219">
        <v>0</v>
      </c>
      <c r="O24" s="219">
        <v>1</v>
      </c>
      <c r="P24" s="73">
        <v>56</v>
      </c>
      <c r="Q24" s="219" t="s">
        <v>170</v>
      </c>
      <c r="R24" s="219" t="s">
        <v>171</v>
      </c>
    </row>
    <row r="25" spans="1:18" ht="16" thickBot="1" x14ac:dyDescent="0.2">
      <c r="A25" s="214">
        <v>20014</v>
      </c>
      <c r="B25" s="49">
        <v>3</v>
      </c>
      <c r="C25" s="62" t="str">
        <f t="shared" si="0"/>
        <v>20014_3</v>
      </c>
      <c r="D25" s="14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49">
        <v>24</v>
      </c>
      <c r="F25" s="219" t="s">
        <v>268</v>
      </c>
      <c r="G25" s="73">
        <v>341</v>
      </c>
      <c r="H25" s="219">
        <v>1</v>
      </c>
      <c r="I25" s="219">
        <v>1</v>
      </c>
      <c r="J25" s="219">
        <v>1</v>
      </c>
      <c r="K25" s="219">
        <v>0</v>
      </c>
      <c r="L25" s="219">
        <v>0</v>
      </c>
      <c r="M25" s="219">
        <v>0</v>
      </c>
      <c r="N25" s="219">
        <v>0</v>
      </c>
      <c r="O25" s="219">
        <v>1</v>
      </c>
      <c r="P25" s="73">
        <v>56</v>
      </c>
      <c r="Q25" s="219" t="s">
        <v>170</v>
      </c>
      <c r="R25" s="219" t="s">
        <v>171</v>
      </c>
    </row>
    <row r="26" spans="1:18" ht="16" thickBot="1" x14ac:dyDescent="0.2">
      <c r="A26" s="214">
        <v>20014</v>
      </c>
      <c r="B26" s="49">
        <v>3</v>
      </c>
      <c r="C26" s="62" t="str">
        <f t="shared" si="0"/>
        <v>20014_3</v>
      </c>
      <c r="D26" s="14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49">
        <v>25</v>
      </c>
      <c r="F26" s="219" t="s">
        <v>268</v>
      </c>
      <c r="G26" s="73">
        <v>342</v>
      </c>
      <c r="H26" s="219">
        <v>1</v>
      </c>
      <c r="I26" s="219">
        <v>1</v>
      </c>
      <c r="J26" s="219">
        <v>1</v>
      </c>
      <c r="K26" s="219">
        <v>0</v>
      </c>
      <c r="L26" s="219">
        <v>0</v>
      </c>
      <c r="M26" s="219">
        <v>0</v>
      </c>
      <c r="N26" s="219">
        <v>0</v>
      </c>
      <c r="O26" s="219">
        <v>1</v>
      </c>
      <c r="P26" s="73">
        <v>28</v>
      </c>
      <c r="Q26" s="219" t="s">
        <v>170</v>
      </c>
      <c r="R26" s="219" t="s">
        <v>171</v>
      </c>
    </row>
    <row r="27" spans="1:18" ht="16" thickBot="1" x14ac:dyDescent="0.2">
      <c r="A27" s="214">
        <v>20014</v>
      </c>
      <c r="B27" s="49">
        <v>3</v>
      </c>
      <c r="C27" s="62" t="str">
        <f t="shared" si="0"/>
        <v>20014_3</v>
      </c>
      <c r="D27" s="14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49">
        <v>26</v>
      </c>
      <c r="F27" s="219" t="s">
        <v>270</v>
      </c>
      <c r="G27" s="73">
        <v>121</v>
      </c>
      <c r="H27" s="219">
        <v>1</v>
      </c>
      <c r="I27" s="219">
        <v>1</v>
      </c>
      <c r="J27" s="219">
        <v>1</v>
      </c>
      <c r="K27" s="219">
        <v>0</v>
      </c>
      <c r="L27" s="219">
        <v>0</v>
      </c>
      <c r="M27" s="219">
        <v>0</v>
      </c>
      <c r="N27" s="219">
        <v>0</v>
      </c>
      <c r="O27" s="219">
        <v>1</v>
      </c>
      <c r="P27" s="73">
        <v>50</v>
      </c>
      <c r="Q27" s="219" t="s">
        <v>170</v>
      </c>
      <c r="R27" s="219" t="s">
        <v>171</v>
      </c>
    </row>
    <row r="28" spans="1:18" ht="16" thickBot="1" x14ac:dyDescent="0.2">
      <c r="A28" s="214">
        <v>20014</v>
      </c>
      <c r="B28" s="49">
        <v>3</v>
      </c>
      <c r="C28" s="62" t="str">
        <f t="shared" si="0"/>
        <v>20014_3</v>
      </c>
      <c r="D28" s="14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49">
        <v>27</v>
      </c>
      <c r="F28" s="219" t="s">
        <v>268</v>
      </c>
      <c r="G28" s="73">
        <v>122</v>
      </c>
      <c r="H28" s="219">
        <v>1</v>
      </c>
      <c r="I28" s="219">
        <v>1</v>
      </c>
      <c r="J28" s="219">
        <v>1</v>
      </c>
      <c r="K28" s="219">
        <v>0</v>
      </c>
      <c r="L28" s="219">
        <v>0</v>
      </c>
      <c r="M28" s="219">
        <v>0</v>
      </c>
      <c r="N28" s="219">
        <v>0</v>
      </c>
      <c r="O28" s="219">
        <v>1</v>
      </c>
      <c r="P28" s="73">
        <v>50</v>
      </c>
      <c r="Q28" s="219" t="s">
        <v>170</v>
      </c>
      <c r="R28" s="219" t="s">
        <v>171</v>
      </c>
    </row>
    <row r="29" spans="1:18" ht="16" thickBot="1" x14ac:dyDescent="0.2">
      <c r="A29" s="214">
        <v>20014</v>
      </c>
      <c r="B29" s="49">
        <v>3</v>
      </c>
      <c r="C29" s="62" t="str">
        <f t="shared" si="0"/>
        <v>20014_3</v>
      </c>
      <c r="D29" s="14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49">
        <v>28</v>
      </c>
      <c r="F29" s="219" t="s">
        <v>268</v>
      </c>
      <c r="G29" s="73">
        <v>123</v>
      </c>
      <c r="H29" s="219">
        <v>1</v>
      </c>
      <c r="I29" s="219">
        <v>1</v>
      </c>
      <c r="J29" s="219">
        <v>1</v>
      </c>
      <c r="K29" s="219">
        <v>0</v>
      </c>
      <c r="L29" s="219">
        <v>0</v>
      </c>
      <c r="M29" s="219">
        <v>0</v>
      </c>
      <c r="N29" s="219">
        <v>0</v>
      </c>
      <c r="O29" s="219">
        <v>1</v>
      </c>
      <c r="P29" s="73">
        <v>50</v>
      </c>
      <c r="Q29" s="219" t="s">
        <v>170</v>
      </c>
      <c r="R29" s="219" t="s">
        <v>171</v>
      </c>
    </row>
    <row r="30" spans="1:18" ht="16" thickBot="1" x14ac:dyDescent="0.2">
      <c r="A30" s="214">
        <v>20014</v>
      </c>
      <c r="B30" s="49">
        <v>3</v>
      </c>
      <c r="C30" s="62" t="str">
        <f t="shared" si="0"/>
        <v>20014_3</v>
      </c>
      <c r="D30" s="14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49">
        <v>29</v>
      </c>
      <c r="F30" s="219" t="s">
        <v>268</v>
      </c>
      <c r="G30" s="73">
        <v>125</v>
      </c>
      <c r="H30" s="219">
        <v>1</v>
      </c>
      <c r="I30" s="219">
        <v>1</v>
      </c>
      <c r="J30" s="219">
        <v>1</v>
      </c>
      <c r="K30" s="219">
        <v>0</v>
      </c>
      <c r="L30" s="219">
        <v>0</v>
      </c>
      <c r="M30" s="219">
        <v>0</v>
      </c>
      <c r="N30" s="219">
        <v>0</v>
      </c>
      <c r="O30" s="219">
        <v>1</v>
      </c>
      <c r="P30" s="73">
        <v>10</v>
      </c>
      <c r="Q30" s="219" t="s">
        <v>170</v>
      </c>
      <c r="R30" s="219" t="s">
        <v>171</v>
      </c>
    </row>
    <row r="31" spans="1:18" ht="16" thickBot="1" x14ac:dyDescent="0.2">
      <c r="A31" s="214">
        <v>20014</v>
      </c>
      <c r="B31" s="49">
        <v>3</v>
      </c>
      <c r="C31" s="62" t="str">
        <f t="shared" si="0"/>
        <v>20014_3</v>
      </c>
      <c r="D31" s="14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49">
        <v>30</v>
      </c>
      <c r="F31" s="219" t="s">
        <v>268</v>
      </c>
      <c r="G31" s="73">
        <v>842</v>
      </c>
      <c r="H31" s="219">
        <v>1</v>
      </c>
      <c r="I31" s="219">
        <v>1</v>
      </c>
      <c r="J31" s="219">
        <v>1</v>
      </c>
      <c r="K31" s="219">
        <v>0</v>
      </c>
      <c r="L31" s="219">
        <v>0</v>
      </c>
      <c r="M31" s="219">
        <v>0</v>
      </c>
      <c r="N31" s="219">
        <v>0</v>
      </c>
      <c r="O31" s="219">
        <v>1</v>
      </c>
      <c r="P31" s="73">
        <v>400</v>
      </c>
      <c r="Q31" s="219" t="s">
        <v>170</v>
      </c>
      <c r="R31" s="219" t="s">
        <v>171</v>
      </c>
    </row>
    <row r="32" spans="1:18" x14ac:dyDescent="0.15">
      <c r="A32" s="214">
        <v>20014</v>
      </c>
      <c r="B32" s="49">
        <v>3</v>
      </c>
      <c r="C32" s="62" t="str">
        <f t="shared" si="0"/>
        <v>20014_3</v>
      </c>
      <c r="D32" s="14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49">
        <v>31</v>
      </c>
      <c r="F32" s="219" t="s">
        <v>268</v>
      </c>
      <c r="G32" s="73">
        <v>352</v>
      </c>
      <c r="H32" s="219">
        <v>1</v>
      </c>
      <c r="I32" s="219">
        <v>1</v>
      </c>
      <c r="J32" s="219">
        <v>1</v>
      </c>
      <c r="K32" s="219">
        <v>0</v>
      </c>
      <c r="L32" s="219">
        <v>0</v>
      </c>
      <c r="M32" s="219">
        <v>0</v>
      </c>
      <c r="N32" s="219">
        <v>0</v>
      </c>
      <c r="O32" s="219">
        <v>1</v>
      </c>
      <c r="P32" s="73">
        <v>100</v>
      </c>
      <c r="Q32" s="219" t="s">
        <v>170</v>
      </c>
      <c r="R32" s="219" t="s">
        <v>171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O22" sqref="O22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8" t="s">
        <v>188</v>
      </c>
      <c r="B1" s="64" t="s">
        <v>189</v>
      </c>
      <c r="C1" s="69" t="s">
        <v>190</v>
      </c>
      <c r="D1" s="69" t="s">
        <v>33</v>
      </c>
      <c r="E1" s="64" t="s">
        <v>191</v>
      </c>
      <c r="F1" s="69" t="s">
        <v>192</v>
      </c>
      <c r="G1" s="69" t="s">
        <v>33</v>
      </c>
      <c r="H1" s="64" t="s">
        <v>193</v>
      </c>
      <c r="I1" s="82" t="s">
        <v>195</v>
      </c>
      <c r="J1" s="71" t="s">
        <v>127</v>
      </c>
      <c r="K1" s="70" t="s">
        <v>187</v>
      </c>
      <c r="L1" s="83" t="s">
        <v>186</v>
      </c>
      <c r="M1" s="72" t="s">
        <v>196</v>
      </c>
    </row>
    <row r="2" spans="1:13" x14ac:dyDescent="0.15">
      <c r="A2" s="73" t="s">
        <v>201</v>
      </c>
      <c r="B2" s="74">
        <f>floors!$C$2</f>
        <v>20014</v>
      </c>
      <c r="C2" s="75" t="str">
        <f ca="1">VLOOKUP($B2,OFFSET([2]quests!$A$1,0,0,COUNTA([2]quests!$A:$A),MATCH(C$1,[2]quests!$1:$1,0)-MATCH($B$1,[2]quests!$1:$1,0)+1),MATCH(C$1,[2]quests!$1:$1,0)-MATCH($B$1,[2]quests!$1:$1,0)+1,FALSE)</f>
        <v>魅了する歌声</v>
      </c>
      <c r="D2" s="75" t="str">
        <f ca="1">VLOOKUP($B2,OFFSET([2]quests!$A$1,0,0,COUNTA([2]quests!$A:$A),MATCH(D$1,[2]quests!$1:$1,0)-MATCH($B$1,[2]quests!$1:$1,0)+1),MATCH(D$1,[2]quests!$1:$1,0)-MATCH($B$1,[2]quests!$1:$1,0)+1,FALSE)</f>
        <v>天使と悪魔編1</v>
      </c>
      <c r="E2" s="79">
        <v>1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【初級】魅了する歌声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天使と悪魔編1</v>
      </c>
      <c r="H2" s="77">
        <v>0</v>
      </c>
      <c r="I2">
        <v>1</v>
      </c>
      <c r="J2" s="76" t="s">
        <v>198</v>
      </c>
      <c r="K2" s="84" t="str">
        <f>VLOOKUP(I2,[7]stage_hints!$A:$C,3,FALSE)</f>
        <v>長くつなげて大ダメージ</v>
      </c>
      <c r="L2" s="85" t="str">
        <f>VLOOKUP(I2,[7]stage_hints!$A:$D,4,FALSE)</f>
        <v>パネルを長くつなげるほど_x000D_大ダメージを与えることができます</v>
      </c>
      <c r="M2" s="49" t="s">
        <v>211</v>
      </c>
    </row>
    <row r="3" spans="1:13" x14ac:dyDescent="0.15">
      <c r="A3" s="73" t="s">
        <v>201</v>
      </c>
      <c r="B3" s="74">
        <f>floors!$C$2</f>
        <v>20014</v>
      </c>
      <c r="C3" s="75" t="str">
        <f ca="1">VLOOKUP($B3,OFFSET([2]quests!$A$1,0,0,COUNTA([2]quests!$A:$A),MATCH(C$1,[2]quests!$1:$1,0)-MATCH($B$1,[2]quests!$1:$1,0)+1),MATCH(C$1,[2]quests!$1:$1,0)-MATCH($B$1,[2]quests!$1:$1,0)+1,FALSE)</f>
        <v>魅了する歌声</v>
      </c>
      <c r="D3" s="75" t="str">
        <f ca="1">VLOOKUP($B3,OFFSET([2]quests!$A$1,0,0,COUNTA([2]quests!$A:$A),MATCH(D$1,[2]quests!$1:$1,0)-MATCH($B$1,[2]quests!$1:$1,0)+1),MATCH(D$1,[2]quests!$1:$1,0)-MATCH($B$1,[2]quests!$1:$1,0)+1,FALSE)</f>
        <v>天使と悪魔編1</v>
      </c>
      <c r="E3" s="79">
        <v>1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【初級】魅了する歌声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天使と悪魔編1</v>
      </c>
      <c r="H3" s="77">
        <v>0</v>
      </c>
      <c r="I3">
        <v>2</v>
      </c>
      <c r="J3" s="76" t="s">
        <v>198</v>
      </c>
      <c r="K3" s="84" t="str">
        <f>VLOOKUP(I3,[7]stage_hints!$A:$C,3,FALSE)</f>
        <v>属性の相性</v>
      </c>
      <c r="L3" s="85" t="str">
        <f>VLOOKUP(I3,[7]stage_hints!$A:$D,4,FALSE)</f>
        <v>赤＞青　青＞黄　黄＞緑　緑＞赤_x000D_敵属性に最適なパーティがオススメです</v>
      </c>
      <c r="M3" s="49" t="s">
        <v>211</v>
      </c>
    </row>
    <row r="4" spans="1:13" x14ac:dyDescent="0.15">
      <c r="A4" s="73" t="s">
        <v>201</v>
      </c>
      <c r="B4" s="74">
        <f>floors!$C$2</f>
        <v>20014</v>
      </c>
      <c r="C4" s="75" t="str">
        <f ca="1">VLOOKUP($B4,OFFSET([2]quests!$A$1,0,0,COUNTA([2]quests!$A:$A),MATCH(C$1,[2]quests!$1:$1,0)-MATCH($B$1,[2]quests!$1:$1,0)+1),MATCH(C$1,[2]quests!$1:$1,0)-MATCH($B$1,[2]quests!$1:$1,0)+1,FALSE)</f>
        <v>魅了する歌声</v>
      </c>
      <c r="D4" s="75" t="str">
        <f ca="1">VLOOKUP($B4,OFFSET([2]quests!$A$1,0,0,COUNTA([2]quests!$A:$A),MATCH(D$1,[2]quests!$1:$1,0)-MATCH($B$1,[2]quests!$1:$1,0)+1),MATCH(D$1,[2]quests!$1:$1,0)-MATCH($B$1,[2]quests!$1:$1,0)+1,FALSE)</f>
        <v>天使と悪魔編1</v>
      </c>
      <c r="E4" s="79">
        <v>1</v>
      </c>
      <c r="F4" s="75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【初級】魅了する歌声</v>
      </c>
      <c r="G4" s="75" t="str">
        <f ca="1">VLOOKUP($B4&amp;"_"&amp;$E4,OFFSET([2]stages!$A$1,0,0,COUNTA([2]stages!$A:$A),MATCH(G$1,[2]stages!$2:$2,0)-MATCH("temp_stage",[2]stages!$2:$2,0)+1),MATCH(G$1,[2]stages!$2:$2,0)-MATCH("temp_stage",[2]stages!$2:$2,0)+1,FALSE)</f>
        <v>天使と悪魔編1</v>
      </c>
      <c r="H4" s="77">
        <v>0</v>
      </c>
      <c r="I4">
        <v>3</v>
      </c>
      <c r="J4" s="76" t="s">
        <v>198</v>
      </c>
      <c r="K4" s="84" t="str">
        <f>VLOOKUP(I4,[7]stage_hints!$A:$C,3,FALSE)</f>
        <v>ターゲット</v>
      </c>
      <c r="L4" s="85" t="str">
        <f>VLOOKUP(I4,[7]stage_hints!$A:$D,4,FALSE)</f>
        <v>敵ユニットをタップすると_x000D_その敵を狙い撃ちできます</v>
      </c>
      <c r="M4" s="49" t="s">
        <v>211</v>
      </c>
    </row>
    <row r="5" spans="1:13" x14ac:dyDescent="0.15">
      <c r="A5" s="73" t="s">
        <v>201</v>
      </c>
      <c r="B5" s="74">
        <f>floors!$C$2</f>
        <v>20014</v>
      </c>
      <c r="C5" s="75" t="str">
        <f ca="1">VLOOKUP($B5,OFFSET([2]quests!$A$1,0,0,COUNTA([2]quests!$A:$A),MATCH(C$1,[2]quests!$1:$1,0)-MATCH($B$1,[2]quests!$1:$1,0)+1),MATCH(C$1,[2]quests!$1:$1,0)-MATCH($B$1,[2]quests!$1:$1,0)+1,FALSE)</f>
        <v>魅了する歌声</v>
      </c>
      <c r="D5" s="75" t="str">
        <f ca="1">VLOOKUP($B5,OFFSET([2]quests!$A$1,0,0,COUNTA([2]quests!$A:$A),MATCH(D$1,[2]quests!$1:$1,0)-MATCH($B$1,[2]quests!$1:$1,0)+1),MATCH(D$1,[2]quests!$1:$1,0)-MATCH($B$1,[2]quests!$1:$1,0)+1,FALSE)</f>
        <v>天使と悪魔編1</v>
      </c>
      <c r="E5" s="79">
        <v>1</v>
      </c>
      <c r="F5" s="75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【初級】魅了する歌声</v>
      </c>
      <c r="G5" s="75" t="str">
        <f ca="1">VLOOKUP($B5&amp;"_"&amp;$E5,OFFSET([2]stages!$A$1,0,0,COUNTA([2]stages!$A:$A),MATCH(G$1,[2]stages!$2:$2,0)-MATCH("temp_stage",[2]stages!$2:$2,0)+1),MATCH(G$1,[2]stages!$2:$2,0)-MATCH("temp_stage",[2]stages!$2:$2,0)+1,FALSE)</f>
        <v>天使と悪魔編1</v>
      </c>
      <c r="H5" s="77">
        <v>0</v>
      </c>
      <c r="I5">
        <v>5</v>
      </c>
      <c r="J5" s="76" t="s">
        <v>198</v>
      </c>
      <c r="K5" s="84" t="str">
        <f>VLOOKUP(I5,[7]stage_hints!$A:$C,3,FALSE)</f>
        <v>ユニット強化でレベルアップ</v>
      </c>
      <c r="L5" s="85" t="str">
        <f>VLOOKUP(I5,[7]stage_hints!$A:$D,4,FALSE)</f>
        <v>「ユニット強化」でレベルアップすると_x000D_勝てない敵にも勝てるようになります</v>
      </c>
      <c r="M5" s="49" t="s">
        <v>211</v>
      </c>
    </row>
    <row r="6" spans="1:13" x14ac:dyDescent="0.15">
      <c r="A6" s="73" t="s">
        <v>201</v>
      </c>
      <c r="B6" s="74">
        <f>floors!$C$2</f>
        <v>20014</v>
      </c>
      <c r="C6" s="75" t="str">
        <f ca="1">VLOOKUP($B6,OFFSET([2]quests!$A$1,0,0,COUNTA([2]quests!$A:$A),MATCH(C$1,[2]quests!$1:$1,0)-MATCH($B$1,[2]quests!$1:$1,0)+1),MATCH(C$1,[2]quests!$1:$1,0)-MATCH($B$1,[2]quests!$1:$1,0)+1,FALSE)</f>
        <v>魅了する歌声</v>
      </c>
      <c r="D6" s="75" t="str">
        <f ca="1">VLOOKUP($B6,OFFSET([2]quests!$A$1,0,0,COUNTA([2]quests!$A:$A),MATCH(D$1,[2]quests!$1:$1,0)-MATCH($B$1,[2]quests!$1:$1,0)+1),MATCH(D$1,[2]quests!$1:$1,0)-MATCH($B$1,[2]quests!$1:$1,0)+1,FALSE)</f>
        <v>天使と悪魔編1</v>
      </c>
      <c r="E6" s="79">
        <v>1</v>
      </c>
      <c r="F6" s="75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【初級】魅了する歌声</v>
      </c>
      <c r="G6" s="75" t="str">
        <f ca="1">VLOOKUP($B6&amp;"_"&amp;$E6,OFFSET([2]stages!$A$1,0,0,COUNTA([2]stages!$A:$A),MATCH(G$1,[2]stages!$2:$2,0)-MATCH("temp_stage",[2]stages!$2:$2,0)+1),MATCH(G$1,[2]stages!$2:$2,0)-MATCH("temp_stage",[2]stages!$2:$2,0)+1,FALSE)</f>
        <v>天使と悪魔編1</v>
      </c>
      <c r="H6" s="77">
        <v>0</v>
      </c>
      <c r="I6">
        <v>6</v>
      </c>
      <c r="J6" s="76" t="s">
        <v>198</v>
      </c>
      <c r="K6" s="84" t="str">
        <f>VLOOKUP(I6,[7]stage_hints!$A:$C,3,FALSE)</f>
        <v>ユニット強化の属性ボーナス</v>
      </c>
      <c r="L6" s="85" t="str">
        <f>VLOOKUP(I6,[7]stage_hints!$A:$D,4,FALSE)</f>
        <v>同属性ユニットを強化素材にすると_x000D_経験値が多くもらえます</v>
      </c>
      <c r="M6" s="49" t="s">
        <v>211</v>
      </c>
    </row>
    <row r="7" spans="1:13" x14ac:dyDescent="0.15">
      <c r="A7" s="73" t="s">
        <v>201</v>
      </c>
      <c r="B7" s="74">
        <f>floors!$C$2</f>
        <v>20014</v>
      </c>
      <c r="C7" s="75" t="str">
        <f ca="1">VLOOKUP($B7,OFFSET([2]quests!$A$1,0,0,COUNTA([2]quests!$A:$A),MATCH(C$1,[2]quests!$1:$1,0)-MATCH($B$1,[2]quests!$1:$1,0)+1),MATCH(C$1,[2]quests!$1:$1,0)-MATCH($B$1,[2]quests!$1:$1,0)+1,FALSE)</f>
        <v>魅了する歌声</v>
      </c>
      <c r="D7" s="75" t="str">
        <f ca="1">VLOOKUP($B7,OFFSET([2]quests!$A$1,0,0,COUNTA([2]quests!$A:$A),MATCH(D$1,[2]quests!$1:$1,0)-MATCH($B$1,[2]quests!$1:$1,0)+1),MATCH(D$1,[2]quests!$1:$1,0)-MATCH($B$1,[2]quests!$1:$1,0)+1,FALSE)</f>
        <v>天使と悪魔編1</v>
      </c>
      <c r="E7" s="79">
        <v>1</v>
      </c>
      <c r="F7" s="75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【初級】魅了する歌声</v>
      </c>
      <c r="G7" s="75" t="str">
        <f ca="1">VLOOKUP($B7&amp;"_"&amp;$E7,OFFSET([2]stages!$A$1,0,0,COUNTA([2]stages!$A:$A),MATCH(G$1,[2]stages!$2:$2,0)-MATCH("temp_stage",[2]stages!$2:$2,0)+1),MATCH(G$1,[2]stages!$2:$2,0)-MATCH("temp_stage",[2]stages!$2:$2,0)+1,FALSE)</f>
        <v>天使と悪魔編1</v>
      </c>
      <c r="H7" s="77">
        <v>0</v>
      </c>
      <c r="I7">
        <v>7</v>
      </c>
      <c r="J7" s="76" t="s">
        <v>198</v>
      </c>
      <c r="K7" s="84" t="str">
        <f>VLOOKUP(I7,[7]stage_hints!$A:$C,3,FALSE)</f>
        <v>メタルダックで経験値を獲得</v>
      </c>
      <c r="L7" s="85" t="str">
        <f>VLOOKUP(I7,[7]stage_hints!$A:$D,4,FALSE)</f>
        <v>「メタルなアヒル」を強化素材にすると_x000D_大量の経験値がもらえます</v>
      </c>
      <c r="M7" s="49" t="s">
        <v>211</v>
      </c>
    </row>
    <row r="8" spans="1:13" x14ac:dyDescent="0.15">
      <c r="A8" s="73" t="s">
        <v>201</v>
      </c>
      <c r="B8" s="74">
        <f>floors!$C$2</f>
        <v>20014</v>
      </c>
      <c r="C8" s="75" t="str">
        <f ca="1">VLOOKUP($B8,OFFSET([2]quests!$A$1,0,0,COUNTA([2]quests!$A:$A),MATCH(C$1,[2]quests!$1:$1,0)-MATCH($B$1,[2]quests!$1:$1,0)+1),MATCH(C$1,[2]quests!$1:$1,0)-MATCH($B$1,[2]quests!$1:$1,0)+1,FALSE)</f>
        <v>魅了する歌声</v>
      </c>
      <c r="D8" s="75" t="str">
        <f ca="1">VLOOKUP($B8,OFFSET([2]quests!$A$1,0,0,COUNTA([2]quests!$A:$A),MATCH(D$1,[2]quests!$1:$1,0)-MATCH($B$1,[2]quests!$1:$1,0)+1),MATCH(D$1,[2]quests!$1:$1,0)-MATCH($B$1,[2]quests!$1:$1,0)+1,FALSE)</f>
        <v>天使と悪魔編1</v>
      </c>
      <c r="E8" s="79">
        <v>1</v>
      </c>
      <c r="F8" s="75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【初級】魅了する歌声</v>
      </c>
      <c r="G8" s="75" t="str">
        <f ca="1">VLOOKUP($B8&amp;"_"&amp;$E8,OFFSET([2]stages!$A$1,0,0,COUNTA([2]stages!$A:$A),MATCH(G$1,[2]stages!$2:$2,0)-MATCH("temp_stage",[2]stages!$2:$2,0)+1),MATCH(G$1,[2]stages!$2:$2,0)-MATCH("temp_stage",[2]stages!$2:$2,0)+1,FALSE)</f>
        <v>天使と悪魔編1</v>
      </c>
      <c r="H8" s="77">
        <v>0</v>
      </c>
      <c r="I8">
        <v>8</v>
      </c>
      <c r="J8" s="76" t="s">
        <v>198</v>
      </c>
      <c r="K8" s="84" t="str">
        <f>VLOOKUP(I8,[7]stage_hints!$A:$C,3,FALSE)</f>
        <v>ゲリラクエストは要チェック</v>
      </c>
      <c r="L8" s="85" t="str">
        <f>VLOOKUP(I8,[7]stage_hints!$A:$D,4,FALSE)</f>
        <v>時間限定の「アヒル捕獲作戦」では_x000D_経験値素材ユニットが多く手に入ります</v>
      </c>
      <c r="M8" s="49" t="s">
        <v>211</v>
      </c>
    </row>
    <row r="9" spans="1:13" x14ac:dyDescent="0.15">
      <c r="A9" s="73" t="s">
        <v>201</v>
      </c>
      <c r="B9" s="74">
        <f>floors!$C$2</f>
        <v>20014</v>
      </c>
      <c r="C9" s="75" t="str">
        <f ca="1">VLOOKUP($B9,OFFSET([2]quests!$A$1,0,0,COUNTA([2]quests!$A:$A),MATCH(C$1,[2]quests!$1:$1,0)-MATCH($B$1,[2]quests!$1:$1,0)+1),MATCH(C$1,[2]quests!$1:$1,0)-MATCH($B$1,[2]quests!$1:$1,0)+1,FALSE)</f>
        <v>魅了する歌声</v>
      </c>
      <c r="D9" s="75" t="str">
        <f ca="1">VLOOKUP($B9,OFFSET([2]quests!$A$1,0,0,COUNTA([2]quests!$A:$A),MATCH(D$1,[2]quests!$1:$1,0)-MATCH($B$1,[2]quests!$1:$1,0)+1),MATCH(D$1,[2]quests!$1:$1,0)-MATCH($B$1,[2]quests!$1:$1,0)+1,FALSE)</f>
        <v>天使と悪魔編1</v>
      </c>
      <c r="E9" s="79">
        <v>1</v>
      </c>
      <c r="F9" s="75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【初級】魅了する歌声</v>
      </c>
      <c r="G9" s="75" t="str">
        <f ca="1">VLOOKUP($B9&amp;"_"&amp;$E9,OFFSET([2]stages!$A$1,0,0,COUNTA([2]stages!$A:$A),MATCH(G$1,[2]stages!$2:$2,0)-MATCH("temp_stage",[2]stages!$2:$2,0)+1),MATCH(G$1,[2]stages!$2:$2,0)-MATCH("temp_stage",[2]stages!$2:$2,0)+1,FALSE)</f>
        <v>天使と悪魔編1</v>
      </c>
      <c r="H9" s="77">
        <v>0</v>
      </c>
      <c r="I9">
        <v>9</v>
      </c>
      <c r="J9" s="76" t="s">
        <v>198</v>
      </c>
      <c r="K9" s="84" t="str">
        <f>VLOOKUP(I9,[7]stage_hints!$A:$C,3,FALSE)</f>
        <v>ゴールドダックでビットを獲得</v>
      </c>
      <c r="L9" s="85" t="str">
        <f>VLOOKUP(I9,[7]stage_hints!$A:$D,4,FALSE)</f>
        <v>「ゴールドなアヒル」を売却すると_x000D_大量のビットがもらえます</v>
      </c>
      <c r="M9" s="49" t="s">
        <v>211</v>
      </c>
    </row>
    <row r="10" spans="1:13" x14ac:dyDescent="0.15">
      <c r="A10" s="73" t="s">
        <v>201</v>
      </c>
      <c r="B10" s="74">
        <f>floors!$C$2</f>
        <v>20014</v>
      </c>
      <c r="C10" s="75" t="str">
        <f ca="1">VLOOKUP($B10,OFFSET([2]quests!$A$1,0,0,COUNTA([2]quests!$A:$A),MATCH(C$1,[2]quests!$1:$1,0)-MATCH($B$1,[2]quests!$1:$1,0)+1),MATCH(C$1,[2]quests!$1:$1,0)-MATCH($B$1,[2]quests!$1:$1,0)+1,FALSE)</f>
        <v>魅了する歌声</v>
      </c>
      <c r="D10" s="75" t="str">
        <f ca="1">VLOOKUP($B10,OFFSET([2]quests!$A$1,0,0,COUNTA([2]quests!$A:$A),MATCH(D$1,[2]quests!$1:$1,0)-MATCH($B$1,[2]quests!$1:$1,0)+1),MATCH(D$1,[2]quests!$1:$1,0)-MATCH($B$1,[2]quests!$1:$1,0)+1,FALSE)</f>
        <v>天使と悪魔編1</v>
      </c>
      <c r="E10" s="79">
        <v>1</v>
      </c>
      <c r="F10" s="75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【初級】魅了する歌声</v>
      </c>
      <c r="G10" s="75" t="str">
        <f ca="1">VLOOKUP($B10&amp;"_"&amp;$E10,OFFSET([2]stages!$A$1,0,0,COUNTA([2]stages!$A:$A),MATCH(G$1,[2]stages!$2:$2,0)-MATCH("temp_stage",[2]stages!$2:$2,0)+1),MATCH(G$1,[2]stages!$2:$2,0)-MATCH("temp_stage",[2]stages!$2:$2,0)+1,FALSE)</f>
        <v>天使と悪魔編1</v>
      </c>
      <c r="H10" s="77">
        <v>0</v>
      </c>
      <c r="I10">
        <v>10</v>
      </c>
      <c r="J10" s="76" t="s">
        <v>198</v>
      </c>
      <c r="K10" s="84" t="str">
        <f>VLOOKUP(I10,[7]stage_hints!$A:$C,3,FALSE)</f>
        <v>土日に大量のビットを獲得</v>
      </c>
      <c r="L10" s="85" t="str">
        <f>VLOOKUP(I10,[7]stage_hints!$A:$D,4,FALSE)</f>
        <v>土日限定の「ゴールドカジノ」では_x000D_売却素材ユニットが多く手に入ります</v>
      </c>
      <c r="M10" s="49" t="s">
        <v>211</v>
      </c>
    </row>
    <row r="11" spans="1:13" x14ac:dyDescent="0.15">
      <c r="A11" s="73" t="s">
        <v>201</v>
      </c>
      <c r="B11" s="74">
        <f>floors!$C$2</f>
        <v>20014</v>
      </c>
      <c r="C11" s="75" t="str">
        <f ca="1">VLOOKUP($B11,OFFSET([2]quests!$A$1,0,0,COUNTA([2]quests!$A:$A),MATCH(C$1,[2]quests!$1:$1,0)-MATCH($B$1,[2]quests!$1:$1,0)+1),MATCH(C$1,[2]quests!$1:$1,0)-MATCH($B$1,[2]quests!$1:$1,0)+1,FALSE)</f>
        <v>魅了する歌声</v>
      </c>
      <c r="D11" s="75" t="str">
        <f ca="1">VLOOKUP($B11,OFFSET([2]quests!$A$1,0,0,COUNTA([2]quests!$A:$A),MATCH(D$1,[2]quests!$1:$1,0)-MATCH($B$1,[2]quests!$1:$1,0)+1),MATCH(D$1,[2]quests!$1:$1,0)-MATCH($B$1,[2]quests!$1:$1,0)+1,FALSE)</f>
        <v>天使と悪魔編1</v>
      </c>
      <c r="E11" s="79">
        <v>1</v>
      </c>
      <c r="F11" s="75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【初級】魅了する歌声</v>
      </c>
      <c r="G11" s="75" t="str">
        <f ca="1">VLOOKUP($B11&amp;"_"&amp;$E11,OFFSET([2]stages!$A$1,0,0,COUNTA([2]stages!$A:$A),MATCH(G$1,[2]stages!$2:$2,0)-MATCH("temp_stage",[2]stages!$2:$2,0)+1),MATCH(G$1,[2]stages!$2:$2,0)-MATCH("temp_stage",[2]stages!$2:$2,0)+1,FALSE)</f>
        <v>天使と悪魔編1</v>
      </c>
      <c r="H11" s="77">
        <v>0</v>
      </c>
      <c r="I11">
        <v>11</v>
      </c>
      <c r="J11" s="76" t="s">
        <v>198</v>
      </c>
      <c r="K11" s="84" t="str">
        <f>VLOOKUP(I11,[7]stage_hints!$A:$C,3,FALSE)</f>
        <v>ランク解放クエスト</v>
      </c>
      <c r="L11" s="85" t="str">
        <f>VLOOKUP(I11,[7]stage_hints!$A:$D,4,FALSE)</f>
        <v>一定ランクに到達すると_x000D_報酬付きのランク開放クエストが現れます</v>
      </c>
      <c r="M11" s="49" t="s">
        <v>211</v>
      </c>
    </row>
    <row r="12" spans="1:13" x14ac:dyDescent="0.15">
      <c r="A12" s="73" t="s">
        <v>201</v>
      </c>
      <c r="B12" s="74">
        <f>floors!$C$2</f>
        <v>20014</v>
      </c>
      <c r="C12" s="75" t="str">
        <f ca="1">VLOOKUP($B12,OFFSET([2]quests!$A$1,0,0,COUNTA([2]quests!$A:$A),MATCH(C$1,[2]quests!$1:$1,0)-MATCH($B$1,[2]quests!$1:$1,0)+1),MATCH(C$1,[2]quests!$1:$1,0)-MATCH($B$1,[2]quests!$1:$1,0)+1,FALSE)</f>
        <v>魅了する歌声</v>
      </c>
      <c r="D12" s="75" t="str">
        <f ca="1">VLOOKUP($B12,OFFSET([2]quests!$A$1,0,0,COUNTA([2]quests!$A:$A),MATCH(D$1,[2]quests!$1:$1,0)-MATCH($B$1,[2]quests!$1:$1,0)+1),MATCH(D$1,[2]quests!$1:$1,0)-MATCH($B$1,[2]quests!$1:$1,0)+1,FALSE)</f>
        <v>天使と悪魔編1</v>
      </c>
      <c r="E12" s="79">
        <v>1</v>
      </c>
      <c r="F12" s="75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【初級】魅了する歌声</v>
      </c>
      <c r="G12" s="75" t="str">
        <f ca="1">VLOOKUP($B12&amp;"_"&amp;$E12,OFFSET([2]stages!$A$1,0,0,COUNTA([2]stages!$A:$A),MATCH(G$1,[2]stages!$2:$2,0)-MATCH("temp_stage",[2]stages!$2:$2,0)+1),MATCH(G$1,[2]stages!$2:$2,0)-MATCH("temp_stage",[2]stages!$2:$2,0)+1,FALSE)</f>
        <v>天使と悪魔編1</v>
      </c>
      <c r="H12" s="77">
        <v>0</v>
      </c>
      <c r="I12">
        <v>12</v>
      </c>
      <c r="J12" s="76" t="s">
        <v>198</v>
      </c>
      <c r="K12" s="84" t="str">
        <f>VLOOKUP(I12,[7]stage_hints!$A:$C,3,FALSE)</f>
        <v>ユニットのお気に入り登録</v>
      </c>
      <c r="L12" s="85" t="str">
        <f>VLOOKUP(I12,[7]stage_hints!$A:$D,4,FALSE)</f>
        <v>大事なユニットを誤って消さないように_x000D_フォルダから「お気に入り登録」しましょう</v>
      </c>
      <c r="M12" s="49" t="s">
        <v>211</v>
      </c>
    </row>
    <row r="13" spans="1:13" x14ac:dyDescent="0.15">
      <c r="A13" s="73" t="s">
        <v>201</v>
      </c>
      <c r="B13" s="74">
        <f>floors!$C$2</f>
        <v>20014</v>
      </c>
      <c r="C13" s="75" t="str">
        <f ca="1">VLOOKUP($B13,OFFSET([2]quests!$A$1,0,0,COUNTA([2]quests!$A:$A),MATCH(C$1,[2]quests!$1:$1,0)-MATCH($B$1,[2]quests!$1:$1,0)+1),MATCH(C$1,[2]quests!$1:$1,0)-MATCH($B$1,[2]quests!$1:$1,0)+1,FALSE)</f>
        <v>魅了する歌声</v>
      </c>
      <c r="D13" s="75" t="str">
        <f ca="1">VLOOKUP($B13,OFFSET([2]quests!$A$1,0,0,COUNTA([2]quests!$A:$A),MATCH(D$1,[2]quests!$1:$1,0)-MATCH($B$1,[2]quests!$1:$1,0)+1),MATCH(D$1,[2]quests!$1:$1,0)-MATCH($B$1,[2]quests!$1:$1,0)+1,FALSE)</f>
        <v>天使と悪魔編1</v>
      </c>
      <c r="E13" s="79">
        <v>1</v>
      </c>
      <c r="F13" s="75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【初級】魅了する歌声</v>
      </c>
      <c r="G13" s="75" t="str">
        <f ca="1">VLOOKUP($B13&amp;"_"&amp;$E13,OFFSET([2]stages!$A$1,0,0,COUNTA([2]stages!$A:$A),MATCH(G$1,[2]stages!$2:$2,0)-MATCH("temp_stage",[2]stages!$2:$2,0)+1),MATCH(G$1,[2]stages!$2:$2,0)-MATCH("temp_stage",[2]stages!$2:$2,0)+1,FALSE)</f>
        <v>天使と悪魔編1</v>
      </c>
      <c r="H13" s="77">
        <v>0</v>
      </c>
      <c r="I13">
        <v>13</v>
      </c>
      <c r="J13" s="76" t="s">
        <v>198</v>
      </c>
      <c r="K13" s="84" t="str">
        <f>VLOOKUP(I13,[7]stage_hints!$A:$C,3,FALSE)</f>
        <v>ユニットの覚醒</v>
      </c>
      <c r="L13" s="85" t="str">
        <f>VLOOKUP(I13,[7]stage_hints!$A:$D,4,FALSE)</f>
        <v>ユニットを覚醒させると_x000D_比べものにならない強さが手に入ります</v>
      </c>
      <c r="M13" s="49" t="s">
        <v>211</v>
      </c>
    </row>
    <row r="14" spans="1:13" x14ac:dyDescent="0.15">
      <c r="A14" s="73" t="s">
        <v>201</v>
      </c>
      <c r="B14" s="74">
        <f>floors!$C$2</f>
        <v>20014</v>
      </c>
      <c r="C14" s="75" t="str">
        <f ca="1">VLOOKUP($B14,OFFSET([2]quests!$A$1,0,0,COUNTA([2]quests!$A:$A),MATCH(C$1,[2]quests!$1:$1,0)-MATCH($B$1,[2]quests!$1:$1,0)+1),MATCH(C$1,[2]quests!$1:$1,0)-MATCH($B$1,[2]quests!$1:$1,0)+1,FALSE)</f>
        <v>魅了する歌声</v>
      </c>
      <c r="D14" s="75" t="str">
        <f ca="1">VLOOKUP($B14,OFFSET([2]quests!$A$1,0,0,COUNTA([2]quests!$A:$A),MATCH(D$1,[2]quests!$1:$1,0)-MATCH($B$1,[2]quests!$1:$1,0)+1),MATCH(D$1,[2]quests!$1:$1,0)-MATCH($B$1,[2]quests!$1:$1,0)+1,FALSE)</f>
        <v>天使と悪魔編1</v>
      </c>
      <c r="E14" s="79">
        <v>1</v>
      </c>
      <c r="F14" s="75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【初級】魅了する歌声</v>
      </c>
      <c r="G14" s="75" t="str">
        <f ca="1">VLOOKUP($B14&amp;"_"&amp;$E14,OFFSET([2]stages!$A$1,0,0,COUNTA([2]stages!$A:$A),MATCH(G$1,[2]stages!$2:$2,0)-MATCH("temp_stage",[2]stages!$2:$2,0)+1),MATCH(G$1,[2]stages!$2:$2,0)-MATCH("temp_stage",[2]stages!$2:$2,0)+1,FALSE)</f>
        <v>天使と悪魔編1</v>
      </c>
      <c r="H14" s="77">
        <v>0</v>
      </c>
      <c r="I14">
        <v>14</v>
      </c>
      <c r="J14" s="76" t="s">
        <v>198</v>
      </c>
      <c r="K14" s="84" t="str">
        <f>VLOOKUP(I14,[7]stage_hints!$A:$C,3,FALSE)</f>
        <v>覚醒するにはレベルを最大に</v>
      </c>
      <c r="L14" s="85" t="str">
        <f>VLOOKUP(I14,[7]stage_hints!$A:$D,4,FALSE)</f>
        <v>覚醒するにはユニットのレベルを_x000D_最大まで上げる必要があります</v>
      </c>
      <c r="M14" s="49" t="s">
        <v>211</v>
      </c>
    </row>
    <row r="15" spans="1:13" x14ac:dyDescent="0.15">
      <c r="A15" s="73" t="s">
        <v>201</v>
      </c>
      <c r="B15" s="74">
        <f>floors!$C$2</f>
        <v>20014</v>
      </c>
      <c r="C15" s="75" t="str">
        <f ca="1">VLOOKUP($B15,OFFSET([2]quests!$A$1,0,0,COUNTA([2]quests!$A:$A),MATCH(C$1,[2]quests!$1:$1,0)-MATCH($B$1,[2]quests!$1:$1,0)+1),MATCH(C$1,[2]quests!$1:$1,0)-MATCH($B$1,[2]quests!$1:$1,0)+1,FALSE)</f>
        <v>魅了する歌声</v>
      </c>
      <c r="D15" s="75" t="str">
        <f ca="1">VLOOKUP($B15,OFFSET([2]quests!$A$1,0,0,COUNTA([2]quests!$A:$A),MATCH(D$1,[2]quests!$1:$1,0)-MATCH($B$1,[2]quests!$1:$1,0)+1),MATCH(D$1,[2]quests!$1:$1,0)-MATCH($B$1,[2]quests!$1:$1,0)+1,FALSE)</f>
        <v>天使と悪魔編1</v>
      </c>
      <c r="E15" s="79">
        <v>1</v>
      </c>
      <c r="F15" s="75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【初級】魅了する歌声</v>
      </c>
      <c r="G15" s="75" t="str">
        <f ca="1">VLOOKUP($B15&amp;"_"&amp;$E15,OFFSET([2]stages!$A$1,0,0,COUNTA([2]stages!$A:$A),MATCH(G$1,[2]stages!$2:$2,0)-MATCH("temp_stage",[2]stages!$2:$2,0)+1),MATCH(G$1,[2]stages!$2:$2,0)-MATCH("temp_stage",[2]stages!$2:$2,0)+1,FALSE)</f>
        <v>天使と悪魔編1</v>
      </c>
      <c r="H15" s="77">
        <v>0</v>
      </c>
      <c r="I15">
        <v>15</v>
      </c>
      <c r="J15" s="76" t="s">
        <v>198</v>
      </c>
      <c r="K15" s="84" t="str">
        <f>VLOOKUP(I15,[7]stage_hints!$A:$C,3,FALSE)</f>
        <v>覚醒素材を獲得</v>
      </c>
      <c r="L15" s="85" t="str">
        <f>VLOOKUP(I15,[7]stage_hints!$A:$D,4,FALSE)</f>
        <v>「曜日クエスト」では_x000D_ユニットの覚醒に必要な素材が手に入ります</v>
      </c>
      <c r="M15" s="49" t="s">
        <v>211</v>
      </c>
    </row>
    <row r="16" spans="1:13" x14ac:dyDescent="0.15">
      <c r="A16" s="73" t="s">
        <v>201</v>
      </c>
      <c r="B16" s="74">
        <f>floors!$C$2</f>
        <v>20014</v>
      </c>
      <c r="C16" s="75" t="str">
        <f ca="1">VLOOKUP($B16,OFFSET([2]quests!$A$1,0,0,COUNTA([2]quests!$A:$A),MATCH(C$1,[2]quests!$1:$1,0)-MATCH($B$1,[2]quests!$1:$1,0)+1),MATCH(C$1,[2]quests!$1:$1,0)-MATCH($B$1,[2]quests!$1:$1,0)+1,FALSE)</f>
        <v>魅了する歌声</v>
      </c>
      <c r="D16" s="75" t="str">
        <f ca="1">VLOOKUP($B16,OFFSET([2]quests!$A$1,0,0,COUNTA([2]quests!$A:$A),MATCH(D$1,[2]quests!$1:$1,0)-MATCH($B$1,[2]quests!$1:$1,0)+1),MATCH(D$1,[2]quests!$1:$1,0)-MATCH($B$1,[2]quests!$1:$1,0)+1,FALSE)</f>
        <v>天使と悪魔編1</v>
      </c>
      <c r="E16" s="79">
        <v>1</v>
      </c>
      <c r="F16" s="75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【初級】魅了する歌声</v>
      </c>
      <c r="G16" s="75" t="str">
        <f ca="1">VLOOKUP($B16&amp;"_"&amp;$E16,OFFSET([2]stages!$A$1,0,0,COUNTA([2]stages!$A:$A),MATCH(G$1,[2]stages!$2:$2,0)-MATCH("temp_stage",[2]stages!$2:$2,0)+1),MATCH(G$1,[2]stages!$2:$2,0)-MATCH("temp_stage",[2]stages!$2:$2,0)+1,FALSE)</f>
        <v>天使と悪魔編1</v>
      </c>
      <c r="H16" s="77">
        <v>0</v>
      </c>
      <c r="I16">
        <v>16</v>
      </c>
      <c r="J16" s="76" t="s">
        <v>198</v>
      </c>
      <c r="K16" s="84" t="str">
        <f>VLOOKUP(I16,[7]stage_hints!$A:$C,3,FALSE)</f>
        <v>マルチプレイのメリット（その1）</v>
      </c>
      <c r="L16" s="85" t="str">
        <f>VLOOKUP(I16,[7]stage_hints!$A:$D,4,FALSE)</f>
        <v>他のプレイヤーとマルチプレイで遊ぶと_x000D_ポリゴンがもらえます（100人まで）</v>
      </c>
      <c r="M16" s="49" t="s">
        <v>211</v>
      </c>
    </row>
    <row r="17" spans="1:13" x14ac:dyDescent="0.15">
      <c r="A17" s="73" t="s">
        <v>201</v>
      </c>
      <c r="B17" s="74">
        <f>floors!$C$2</f>
        <v>20014</v>
      </c>
      <c r="C17" s="75" t="str">
        <f ca="1">VLOOKUP($B17,OFFSET([2]quests!$A$1,0,0,COUNTA([2]quests!$A:$A),MATCH(C$1,[2]quests!$1:$1,0)-MATCH($B$1,[2]quests!$1:$1,0)+1),MATCH(C$1,[2]quests!$1:$1,0)-MATCH($B$1,[2]quests!$1:$1,0)+1,FALSE)</f>
        <v>魅了する歌声</v>
      </c>
      <c r="D17" s="75" t="str">
        <f ca="1">VLOOKUP($B17,OFFSET([2]quests!$A$1,0,0,COUNTA([2]quests!$A:$A),MATCH(D$1,[2]quests!$1:$1,0)-MATCH($B$1,[2]quests!$1:$1,0)+1),MATCH(D$1,[2]quests!$1:$1,0)-MATCH($B$1,[2]quests!$1:$1,0)+1,FALSE)</f>
        <v>天使と悪魔編1</v>
      </c>
      <c r="E17" s="79">
        <v>1</v>
      </c>
      <c r="F17" s="75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【初級】魅了する歌声</v>
      </c>
      <c r="G17" s="75" t="str">
        <f ca="1">VLOOKUP($B17&amp;"_"&amp;$E17,OFFSET([2]stages!$A$1,0,0,COUNTA([2]stages!$A:$A),MATCH(G$1,[2]stages!$2:$2,0)-MATCH("temp_stage",[2]stages!$2:$2,0)+1),MATCH(G$1,[2]stages!$2:$2,0)-MATCH("temp_stage",[2]stages!$2:$2,0)+1,FALSE)</f>
        <v>天使と悪魔編1</v>
      </c>
      <c r="H17" s="77">
        <v>0</v>
      </c>
      <c r="I17">
        <v>17</v>
      </c>
      <c r="J17" s="76" t="s">
        <v>198</v>
      </c>
      <c r="K17" s="84" t="str">
        <f>VLOOKUP(I17,[7]stage_hints!$A:$C,3,FALSE)</f>
        <v>リンクガチャ</v>
      </c>
      <c r="L17" s="85" t="str">
        <f>VLOOKUP(I17,[7]stage_hints!$A:$D,4,FALSE)</f>
        <v>無料のリンクガチャを回して_x000D_経験値素材や売却素材を獲得しましょう</v>
      </c>
      <c r="M17" s="49" t="s">
        <v>211</v>
      </c>
    </row>
    <row r="18" spans="1:13" x14ac:dyDescent="0.15">
      <c r="A18" s="73" t="s">
        <v>201</v>
      </c>
      <c r="B18" s="74">
        <f>floors!$C$2</f>
        <v>20014</v>
      </c>
      <c r="C18" s="75" t="str">
        <f ca="1">VLOOKUP($B18,OFFSET([2]quests!$A$1,0,0,COUNTA([2]quests!$A:$A),MATCH(C$1,[2]quests!$1:$1,0)-MATCH($B$1,[2]quests!$1:$1,0)+1),MATCH(C$1,[2]quests!$1:$1,0)-MATCH($B$1,[2]quests!$1:$1,0)+1,FALSE)</f>
        <v>魅了する歌声</v>
      </c>
      <c r="D18" s="75" t="str">
        <f ca="1">VLOOKUP($B18,OFFSET([2]quests!$A$1,0,0,COUNTA([2]quests!$A:$A),MATCH(D$1,[2]quests!$1:$1,0)-MATCH($B$1,[2]quests!$1:$1,0)+1),MATCH(D$1,[2]quests!$1:$1,0)-MATCH($B$1,[2]quests!$1:$1,0)+1,FALSE)</f>
        <v>天使と悪魔編1</v>
      </c>
      <c r="E18" s="79">
        <v>1</v>
      </c>
      <c r="F18" s="75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【初級】魅了する歌声</v>
      </c>
      <c r="G18" s="75" t="str">
        <f ca="1">VLOOKUP($B18&amp;"_"&amp;$E18,OFFSET([2]stages!$A$1,0,0,COUNTA([2]stages!$A:$A),MATCH(G$1,[2]stages!$2:$2,0)-MATCH("temp_stage",[2]stages!$2:$2,0)+1),MATCH(G$1,[2]stages!$2:$2,0)-MATCH("temp_stage",[2]stages!$2:$2,0)+1,FALSE)</f>
        <v>天使と悪魔編1</v>
      </c>
      <c r="H18" s="77">
        <v>0</v>
      </c>
      <c r="I18">
        <v>18</v>
      </c>
      <c r="J18" s="76" t="s">
        <v>198</v>
      </c>
      <c r="K18" s="84" t="str">
        <f>VLOOKUP(I18,[7]stage_hints!$A:$C,3,FALSE)</f>
        <v>マルチプレイのメリット（その2）</v>
      </c>
      <c r="L18" s="85" t="str">
        <f>VLOOKUP(I18,[7]stage_hints!$A:$D,4,FALSE)</f>
        <v>マルチプレイならリンクが2倍もらえます_x000D_リンクガチャをたくさん回しましょう</v>
      </c>
      <c r="M18" s="49" t="s">
        <v>211</v>
      </c>
    </row>
    <row r="19" spans="1:13" x14ac:dyDescent="0.15">
      <c r="A19" s="73" t="s">
        <v>201</v>
      </c>
      <c r="B19" s="74">
        <f>floors!$C$2</f>
        <v>20014</v>
      </c>
      <c r="C19" s="75" t="str">
        <f ca="1">VLOOKUP($B19,OFFSET([2]quests!$A$1,0,0,COUNTA([2]quests!$A:$A),MATCH(C$1,[2]quests!$1:$1,0)-MATCH($B$1,[2]quests!$1:$1,0)+1),MATCH(C$1,[2]quests!$1:$1,0)-MATCH($B$1,[2]quests!$1:$1,0)+1,FALSE)</f>
        <v>魅了する歌声</v>
      </c>
      <c r="D19" s="75" t="str">
        <f ca="1">VLOOKUP($B19,OFFSET([2]quests!$A$1,0,0,COUNTA([2]quests!$A:$A),MATCH(D$1,[2]quests!$1:$1,0)-MATCH($B$1,[2]quests!$1:$1,0)+1),MATCH(D$1,[2]quests!$1:$1,0)-MATCH($B$1,[2]quests!$1:$1,0)+1,FALSE)</f>
        <v>天使と悪魔編1</v>
      </c>
      <c r="E19" s="79">
        <v>1</v>
      </c>
      <c r="F19" s="75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【初級】魅了する歌声</v>
      </c>
      <c r="G19" s="75" t="str">
        <f ca="1">VLOOKUP($B19&amp;"_"&amp;$E19,OFFSET([2]stages!$A$1,0,0,COUNTA([2]stages!$A:$A),MATCH(G$1,[2]stages!$2:$2,0)-MATCH("temp_stage",[2]stages!$2:$2,0)+1),MATCH(G$1,[2]stages!$2:$2,0)-MATCH("temp_stage",[2]stages!$2:$2,0)+1,FALSE)</f>
        <v>天使と悪魔編1</v>
      </c>
      <c r="H19" s="77">
        <v>0</v>
      </c>
      <c r="I19">
        <v>19</v>
      </c>
      <c r="J19" s="76" t="s">
        <v>198</v>
      </c>
      <c r="K19" s="84" t="str">
        <f>VLOOKUP(I19,[7]stage_hints!$A:$C,3,FALSE)</f>
        <v>ソロ専用タワーオブザクイーン</v>
      </c>
      <c r="L19" s="85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49" t="s">
        <v>211</v>
      </c>
    </row>
    <row r="20" spans="1:13" x14ac:dyDescent="0.15">
      <c r="A20" s="73" t="s">
        <v>201</v>
      </c>
      <c r="B20" s="74">
        <f>floors!$C$2</f>
        <v>20014</v>
      </c>
      <c r="C20" s="75" t="str">
        <f ca="1">VLOOKUP($B20,OFFSET([2]quests!$A$1,0,0,COUNTA([2]quests!$A:$A),MATCH(C$1,[2]quests!$1:$1,0)-MATCH($B$1,[2]quests!$1:$1,0)+1),MATCH(C$1,[2]quests!$1:$1,0)-MATCH($B$1,[2]quests!$1:$1,0)+1,FALSE)</f>
        <v>魅了する歌声</v>
      </c>
      <c r="D20" s="75" t="str">
        <f ca="1">VLOOKUP($B20,OFFSET([2]quests!$A$1,0,0,COUNTA([2]quests!$A:$A),MATCH(D$1,[2]quests!$1:$1,0)-MATCH($B$1,[2]quests!$1:$1,0)+1),MATCH(D$1,[2]quests!$1:$1,0)-MATCH($B$1,[2]quests!$1:$1,0)+1,FALSE)</f>
        <v>天使と悪魔編1</v>
      </c>
      <c r="E20" s="79">
        <v>1</v>
      </c>
      <c r="F20" s="75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【初級】魅了する歌声</v>
      </c>
      <c r="G20" s="75" t="str">
        <f ca="1">VLOOKUP($B20&amp;"_"&amp;$E20,OFFSET([2]stages!$A$1,0,0,COUNTA([2]stages!$A:$A),MATCH(G$1,[2]stages!$2:$2,0)-MATCH("temp_stage",[2]stages!$2:$2,0)+1),MATCH(G$1,[2]stages!$2:$2,0)-MATCH("temp_stage",[2]stages!$2:$2,0)+1,FALSE)</f>
        <v>天使と悪魔編1</v>
      </c>
      <c r="H20" s="77">
        <v>0</v>
      </c>
      <c r="I20">
        <v>20</v>
      </c>
      <c r="J20" s="76" t="s">
        <v>198</v>
      </c>
      <c r="K20" s="84" t="str">
        <f>VLOOKUP(I20,[7]stage_hints!$A:$C,3,FALSE)</f>
        <v>マルチプレイのメリット（その3）</v>
      </c>
      <c r="L20" s="85" t="str">
        <f>VLOOKUP(I20,[7]stage_hints!$A:$D,4,FALSE)</f>
        <v>マルチプレイへの参加はエナジー消費ゼロ_x000D_いつでも好きなだけ遊ぶことができます</v>
      </c>
      <c r="M20" s="49" t="s">
        <v>211</v>
      </c>
    </row>
    <row r="21" spans="1:13" x14ac:dyDescent="0.15">
      <c r="A21" s="73" t="s">
        <v>201</v>
      </c>
      <c r="B21" s="74">
        <f>floors!$C$2</f>
        <v>20014</v>
      </c>
      <c r="C21" s="75" t="str">
        <f ca="1">VLOOKUP($B21,OFFSET([2]quests!$A$1,0,0,COUNTA([2]quests!$A:$A),MATCH(C$1,[2]quests!$1:$1,0)-MATCH($B$1,[2]quests!$1:$1,0)+1),MATCH(C$1,[2]quests!$1:$1,0)-MATCH($B$1,[2]quests!$1:$1,0)+1,FALSE)</f>
        <v>魅了する歌声</v>
      </c>
      <c r="D21" s="75" t="str">
        <f ca="1">VLOOKUP($B21,OFFSET([2]quests!$A$1,0,0,COUNTA([2]quests!$A:$A),MATCH(D$1,[2]quests!$1:$1,0)-MATCH($B$1,[2]quests!$1:$1,0)+1),MATCH(D$1,[2]quests!$1:$1,0)-MATCH($B$1,[2]quests!$1:$1,0)+1,FALSE)</f>
        <v>天使と悪魔編1</v>
      </c>
      <c r="E21" s="79">
        <v>1</v>
      </c>
      <c r="F21" s="75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【初級】魅了する歌声</v>
      </c>
      <c r="G21" s="75" t="str">
        <f ca="1">VLOOKUP($B21&amp;"_"&amp;$E21,OFFSET([2]stages!$A$1,0,0,COUNTA([2]stages!$A:$A),MATCH(G$1,[2]stages!$2:$2,0)-MATCH("temp_stage",[2]stages!$2:$2,0)+1),MATCH(G$1,[2]stages!$2:$2,0)-MATCH("temp_stage",[2]stages!$2:$2,0)+1,FALSE)</f>
        <v>天使と悪魔編1</v>
      </c>
      <c r="H21" s="77">
        <v>0</v>
      </c>
      <c r="I21">
        <v>21</v>
      </c>
      <c r="J21" s="76" t="s">
        <v>198</v>
      </c>
      <c r="K21" s="84" t="str">
        <f>VLOOKUP(I21,[7]stage_hints!$A:$C,3,FALSE)</f>
        <v>スキルを有効に</v>
      </c>
      <c r="L21" s="85" t="str">
        <f>VLOOKUP(I21,[7]stage_hints!$A:$D,4,FALSE)</f>
        <v>ターン経過でユニットのスキルが使えます_x000D_強力スキルでバトルを有利に進めましょう</v>
      </c>
      <c r="M21" s="49" t="s">
        <v>211</v>
      </c>
    </row>
    <row r="22" spans="1:13" x14ac:dyDescent="0.15">
      <c r="A22" s="73" t="s">
        <v>201</v>
      </c>
      <c r="B22" s="74">
        <f>floors!$C$2</f>
        <v>20014</v>
      </c>
      <c r="C22" s="75" t="str">
        <f ca="1">VLOOKUP($B22,OFFSET([2]quests!$A$1,0,0,COUNTA([2]quests!$A:$A),MATCH(C$1,[2]quests!$1:$1,0)-MATCH($B$1,[2]quests!$1:$1,0)+1),MATCH(C$1,[2]quests!$1:$1,0)-MATCH($B$1,[2]quests!$1:$1,0)+1,FALSE)</f>
        <v>魅了する歌声</v>
      </c>
      <c r="D22" s="75" t="str">
        <f ca="1">VLOOKUP($B22,OFFSET([2]quests!$A$1,0,0,COUNTA([2]quests!$A:$A),MATCH(D$1,[2]quests!$1:$1,0)-MATCH($B$1,[2]quests!$1:$1,0)+1),MATCH(D$1,[2]quests!$1:$1,0)-MATCH($B$1,[2]quests!$1:$1,0)+1,FALSE)</f>
        <v>天使と悪魔編1</v>
      </c>
      <c r="E22" s="79">
        <v>1</v>
      </c>
      <c r="F22" s="75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【初級】魅了する歌声</v>
      </c>
      <c r="G22" s="75" t="str">
        <f ca="1">VLOOKUP($B22&amp;"_"&amp;$E22,OFFSET([2]stages!$A$1,0,0,COUNTA([2]stages!$A:$A),MATCH(G$1,[2]stages!$2:$2,0)-MATCH("temp_stage",[2]stages!$2:$2,0)+1),MATCH(G$1,[2]stages!$2:$2,0)-MATCH("temp_stage",[2]stages!$2:$2,0)+1,FALSE)</f>
        <v>天使と悪魔編1</v>
      </c>
      <c r="H22" s="77">
        <v>0</v>
      </c>
      <c r="I22">
        <v>22</v>
      </c>
      <c r="J22" s="76" t="s">
        <v>198</v>
      </c>
      <c r="K22" s="84" t="str">
        <f>VLOOKUP(I22,[7]stage_hints!$A:$C,3,FALSE)</f>
        <v>フィーバーで一発逆転（その1）</v>
      </c>
      <c r="L22" s="85" t="str">
        <f>VLOOKUP(I22,[7]stage_hints!$A:$D,4,FALSE)</f>
        <v>フィーバーは攻撃と回復を兼ね備えます_x000D_ピンチからの一発逆転を狙いましょう</v>
      </c>
      <c r="M22" s="49" t="s">
        <v>211</v>
      </c>
    </row>
    <row r="23" spans="1:13" x14ac:dyDescent="0.15">
      <c r="A23" s="73" t="s">
        <v>201</v>
      </c>
      <c r="B23" s="74">
        <f>floors!$C$2</f>
        <v>20014</v>
      </c>
      <c r="C23" s="75" t="str">
        <f ca="1">VLOOKUP($B23,OFFSET([2]quests!$A$1,0,0,COUNTA([2]quests!$A:$A),MATCH(C$1,[2]quests!$1:$1,0)-MATCH($B$1,[2]quests!$1:$1,0)+1),MATCH(C$1,[2]quests!$1:$1,0)-MATCH($B$1,[2]quests!$1:$1,0)+1,FALSE)</f>
        <v>魅了する歌声</v>
      </c>
      <c r="D23" s="75" t="str">
        <f ca="1">VLOOKUP($B23,OFFSET([2]quests!$A$1,0,0,COUNTA([2]quests!$A:$A),MATCH(D$1,[2]quests!$1:$1,0)-MATCH($B$1,[2]quests!$1:$1,0)+1),MATCH(D$1,[2]quests!$1:$1,0)-MATCH($B$1,[2]quests!$1:$1,0)+1,FALSE)</f>
        <v>天使と悪魔編1</v>
      </c>
      <c r="E23" s="79">
        <v>1</v>
      </c>
      <c r="F23" s="75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【初級】魅了する歌声</v>
      </c>
      <c r="G23" s="75" t="str">
        <f ca="1">VLOOKUP($B23&amp;"_"&amp;$E23,OFFSET([2]stages!$A$1,0,0,COUNTA([2]stages!$A:$A),MATCH(G$1,[2]stages!$2:$2,0)-MATCH("temp_stage",[2]stages!$2:$2,0)+1),MATCH(G$1,[2]stages!$2:$2,0)-MATCH("temp_stage",[2]stages!$2:$2,0)+1,FALSE)</f>
        <v>天使と悪魔編1</v>
      </c>
      <c r="H23" s="77">
        <v>0</v>
      </c>
      <c r="I23">
        <v>23</v>
      </c>
      <c r="J23" s="76" t="s">
        <v>198</v>
      </c>
      <c r="K23" s="84" t="str">
        <f>VLOOKUP(I23,[7]stage_hints!$A:$C,3,FALSE)</f>
        <v>フィーバーで一発逆転（その2）</v>
      </c>
      <c r="L23" s="85" t="str">
        <f>VLOOKUP(I23,[7]stage_hints!$A:$D,4,FALSE)</f>
        <v>フィーバー中は虹色のボムパネルを狙って_x000D_画面上のパネルを一気に破壊しましょう</v>
      </c>
      <c r="M23" s="49" t="s">
        <v>211</v>
      </c>
    </row>
    <row r="24" spans="1:13" x14ac:dyDescent="0.15">
      <c r="A24" s="73" t="s">
        <v>201</v>
      </c>
      <c r="B24" s="74">
        <f>floors!$C$2</f>
        <v>20014</v>
      </c>
      <c r="C24" s="75" t="str">
        <f ca="1">VLOOKUP($B24,OFFSET([2]quests!$A$1,0,0,COUNTA([2]quests!$A:$A),MATCH(C$1,[2]quests!$1:$1,0)-MATCH($B$1,[2]quests!$1:$1,0)+1),MATCH(C$1,[2]quests!$1:$1,0)-MATCH($B$1,[2]quests!$1:$1,0)+1,FALSE)</f>
        <v>魅了する歌声</v>
      </c>
      <c r="D24" s="75" t="str">
        <f ca="1">VLOOKUP($B24,OFFSET([2]quests!$A$1,0,0,COUNTA([2]quests!$A:$A),MATCH(D$1,[2]quests!$1:$1,0)-MATCH($B$1,[2]quests!$1:$1,0)+1),MATCH(D$1,[2]quests!$1:$1,0)-MATCH($B$1,[2]quests!$1:$1,0)+1,FALSE)</f>
        <v>天使と悪魔編1</v>
      </c>
      <c r="E24" s="79">
        <v>1</v>
      </c>
      <c r="F24" s="75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【初級】魅了する歌声</v>
      </c>
      <c r="G24" s="75" t="str">
        <f ca="1">VLOOKUP($B24&amp;"_"&amp;$E24,OFFSET([2]stages!$A$1,0,0,COUNTA([2]stages!$A:$A),MATCH(G$1,[2]stages!$2:$2,0)-MATCH("temp_stage",[2]stages!$2:$2,0)+1),MATCH(G$1,[2]stages!$2:$2,0)-MATCH("temp_stage",[2]stages!$2:$2,0)+1,FALSE)</f>
        <v>天使と悪魔編1</v>
      </c>
      <c r="H24" s="77">
        <v>0</v>
      </c>
      <c r="I24">
        <v>24</v>
      </c>
      <c r="J24" s="76" t="s">
        <v>198</v>
      </c>
      <c r="K24" s="84" t="str">
        <f>VLOOKUP(I24,[7]stage_hints!$A:$C,3,FALSE)</f>
        <v>果実を使って限界突破</v>
      </c>
      <c r="L24" s="85" t="str">
        <f>VLOOKUP(I24,[7]stage_hints!$A:$D,4,FALSE)</f>
        <v>攻めの果実 癒しの果実_x000D_生命の果実をユニット強化に使うと_x000D_ステータスが限界突破します（計99個迄）</v>
      </c>
      <c r="M24" s="49" t="s">
        <v>211</v>
      </c>
    </row>
    <row r="25" spans="1:13" x14ac:dyDescent="0.15">
      <c r="A25" s="73" t="s">
        <v>201</v>
      </c>
      <c r="B25" s="74">
        <f>floors!$C$2</f>
        <v>20014</v>
      </c>
      <c r="C25" s="75" t="str">
        <f ca="1">VLOOKUP($B25,OFFSET([2]quests!$A$1,0,0,COUNTA([2]quests!$A:$A),MATCH(C$1,[2]quests!$1:$1,0)-MATCH($B$1,[2]quests!$1:$1,0)+1),MATCH(C$1,[2]quests!$1:$1,0)-MATCH($B$1,[2]quests!$1:$1,0)+1,FALSE)</f>
        <v>魅了する歌声</v>
      </c>
      <c r="D25" s="75" t="str">
        <f ca="1">VLOOKUP($B25,OFFSET([2]quests!$A$1,0,0,COUNTA([2]quests!$A:$A),MATCH(D$1,[2]quests!$1:$1,0)-MATCH($B$1,[2]quests!$1:$1,0)+1),MATCH(D$1,[2]quests!$1:$1,0)-MATCH($B$1,[2]quests!$1:$1,0)+1,FALSE)</f>
        <v>天使と悪魔編1</v>
      </c>
      <c r="E25" s="79">
        <v>1</v>
      </c>
      <c r="F25" s="75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【初級】魅了する歌声</v>
      </c>
      <c r="G25" s="75" t="str">
        <f ca="1">VLOOKUP($B25&amp;"_"&amp;$E25,OFFSET([2]stages!$A$1,0,0,COUNTA([2]stages!$A:$A),MATCH(G$1,[2]stages!$2:$2,0)-MATCH("temp_stage",[2]stages!$2:$2,0)+1),MATCH(G$1,[2]stages!$2:$2,0)-MATCH("temp_stage",[2]stages!$2:$2,0)+1,FALSE)</f>
        <v>天使と悪魔編1</v>
      </c>
      <c r="H25" s="77">
        <v>0</v>
      </c>
      <c r="I25">
        <v>25</v>
      </c>
      <c r="J25" s="76" t="s">
        <v>198</v>
      </c>
      <c r="K25" s="84" t="str">
        <f>VLOOKUP(I25,[7]stage_hints!$A:$C,3,FALSE)</f>
        <v>スキルレベルアップ</v>
      </c>
      <c r="L25" s="85" t="str">
        <f>VLOOKUP(I25,[7]stage_hints!$A:$D,4,FALSE)</f>
        <v>「秘術の果実」を強化に使うと_x000D_スキルレベルを上げることができます</v>
      </c>
      <c r="M25" s="49" t="s">
        <v>211</v>
      </c>
    </row>
    <row r="26" spans="1:13" x14ac:dyDescent="0.15">
      <c r="A26" s="73" t="s">
        <v>201</v>
      </c>
      <c r="B26" s="74">
        <f>floors!$C$2</f>
        <v>20014</v>
      </c>
      <c r="C26" s="75" t="str">
        <f ca="1">VLOOKUP($B26,OFFSET([2]quests!$A$1,0,0,COUNTA([2]quests!$A:$A),MATCH(C$1,[2]quests!$1:$1,0)-MATCH($B$1,[2]quests!$1:$1,0)+1),MATCH(C$1,[2]quests!$1:$1,0)-MATCH($B$1,[2]quests!$1:$1,0)+1,FALSE)</f>
        <v>魅了する歌声</v>
      </c>
      <c r="D26" s="75" t="str">
        <f ca="1">VLOOKUP($B26,OFFSET([2]quests!$A$1,0,0,COUNTA([2]quests!$A:$A),MATCH(D$1,[2]quests!$1:$1,0)-MATCH($B$1,[2]quests!$1:$1,0)+1),MATCH(D$1,[2]quests!$1:$1,0)-MATCH($B$1,[2]quests!$1:$1,0)+1,FALSE)</f>
        <v>天使と悪魔編1</v>
      </c>
      <c r="E26" s="79">
        <v>1</v>
      </c>
      <c r="F26" s="75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【初級】魅了する歌声</v>
      </c>
      <c r="G26" s="75" t="str">
        <f ca="1">VLOOKUP($B26&amp;"_"&amp;$E26,OFFSET([2]stages!$A$1,0,0,COUNTA([2]stages!$A:$A),MATCH(G$1,[2]stages!$2:$2,0)-MATCH("temp_stage",[2]stages!$2:$2,0)+1),MATCH(G$1,[2]stages!$2:$2,0)-MATCH("temp_stage",[2]stages!$2:$2,0)+1,FALSE)</f>
        <v>天使と悪魔編1</v>
      </c>
      <c r="H26" s="77">
        <v>0</v>
      </c>
      <c r="I26">
        <v>26</v>
      </c>
      <c r="J26" s="76" t="s">
        <v>198</v>
      </c>
      <c r="K26" s="84" t="str">
        <f>VLOOKUP(I26,[7]stage_hints!$A:$C,3,FALSE)</f>
        <v>スキルレベルの効果</v>
      </c>
      <c r="L26" s="85" t="str">
        <f>VLOOKUP(I26,[7]stage_hints!$A:$D,4,FALSE)</f>
        <v>スキルレベルが上がると_x000D_短いターンでスキルを使うことができます</v>
      </c>
      <c r="M26" s="49" t="s">
        <v>211</v>
      </c>
    </row>
    <row r="27" spans="1:13" x14ac:dyDescent="0.15">
      <c r="A27" s="73" t="s">
        <v>201</v>
      </c>
      <c r="B27" s="74">
        <f>floors!$C$2</f>
        <v>20014</v>
      </c>
      <c r="C27" s="75" t="str">
        <f ca="1">VLOOKUP($B27,OFFSET([2]quests!$A$1,0,0,COUNTA([2]quests!$A:$A),MATCH(C$1,[2]quests!$1:$1,0)-MATCH($B$1,[2]quests!$1:$1,0)+1),MATCH(C$1,[2]quests!$1:$1,0)-MATCH($B$1,[2]quests!$1:$1,0)+1,FALSE)</f>
        <v>魅了する歌声</v>
      </c>
      <c r="D27" s="75" t="str">
        <f ca="1">VLOOKUP($B27,OFFSET([2]quests!$A$1,0,0,COUNTA([2]quests!$A:$A),MATCH(D$1,[2]quests!$1:$1,0)-MATCH($B$1,[2]quests!$1:$1,0)+1),MATCH(D$1,[2]quests!$1:$1,0)-MATCH($B$1,[2]quests!$1:$1,0)+1,FALSE)</f>
        <v>天使と悪魔編1</v>
      </c>
      <c r="E27" s="79">
        <v>1</v>
      </c>
      <c r="F27" s="75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【初級】魅了する歌声</v>
      </c>
      <c r="G27" s="75" t="str">
        <f ca="1">VLOOKUP($B27&amp;"_"&amp;$E27,OFFSET([2]stages!$A$1,0,0,COUNTA([2]stages!$A:$A),MATCH(G$1,[2]stages!$2:$2,0)-MATCH("temp_stage",[2]stages!$2:$2,0)+1),MATCH(G$1,[2]stages!$2:$2,0)-MATCH("temp_stage",[2]stages!$2:$2,0)+1,FALSE)</f>
        <v>天使と悪魔編1</v>
      </c>
      <c r="H27" s="77">
        <v>0</v>
      </c>
      <c r="I27">
        <v>39</v>
      </c>
      <c r="J27" s="76" t="s">
        <v>198</v>
      </c>
      <c r="K27" s="84" t="str">
        <f>VLOOKUP(I27,[7]stage_hints!$A:$C,3,FALSE)</f>
        <v>システム適合者を確認</v>
      </c>
      <c r="L27" s="85" t="str">
        <f>VLOOKUP(I27,[7]stage_hints!$A:$D,4,FALSE)</f>
        <v>ALICEが 「アナタ」を呼んでいます</v>
      </c>
      <c r="M27" s="49" t="s">
        <v>211</v>
      </c>
    </row>
    <row r="28" spans="1:13" x14ac:dyDescent="0.15">
      <c r="A28" s="73" t="s">
        <v>201</v>
      </c>
      <c r="B28" s="74">
        <f>floors!$C$2</f>
        <v>20014</v>
      </c>
      <c r="C28" s="75" t="str">
        <f ca="1">VLOOKUP($B28,OFFSET([2]quests!$A$1,0,0,COUNTA([2]quests!$A:$A),MATCH(C$1,[2]quests!$1:$1,0)-MATCH($B$1,[2]quests!$1:$1,0)+1),MATCH(C$1,[2]quests!$1:$1,0)-MATCH($B$1,[2]quests!$1:$1,0)+1,FALSE)</f>
        <v>魅了する歌声</v>
      </c>
      <c r="D28" s="75" t="str">
        <f ca="1">VLOOKUP($B28,OFFSET([2]quests!$A$1,0,0,COUNTA([2]quests!$A:$A),MATCH(D$1,[2]quests!$1:$1,0)-MATCH($B$1,[2]quests!$1:$1,0)+1),MATCH(D$1,[2]quests!$1:$1,0)-MATCH($B$1,[2]quests!$1:$1,0)+1,FALSE)</f>
        <v>天使と悪魔編1</v>
      </c>
      <c r="E28" s="79">
        <v>2</v>
      </c>
      <c r="F28" s="75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【中級】魅了する歌声</v>
      </c>
      <c r="G28" s="75" t="str">
        <f ca="1">VLOOKUP($B28&amp;"_"&amp;$E28,OFFSET([2]stages!$A$1,0,0,COUNTA([2]stages!$A:$A),MATCH(G$1,[2]stages!$2:$2,0)-MATCH("temp_stage",[2]stages!$2:$2,0)+1),MATCH(G$1,[2]stages!$2:$2,0)-MATCH("temp_stage",[2]stages!$2:$2,0)+1,FALSE)</f>
        <v>天使と悪魔編1</v>
      </c>
      <c r="H28" s="77">
        <v>0</v>
      </c>
      <c r="I28">
        <v>3</v>
      </c>
      <c r="J28" s="76" t="s">
        <v>198</v>
      </c>
      <c r="K28" s="84" t="str">
        <f>VLOOKUP(I28,[7]stage_hints!$A:$C,3,FALSE)</f>
        <v>ターゲット</v>
      </c>
      <c r="L28" s="85" t="str">
        <f>VLOOKUP(I28,[7]stage_hints!$A:$D,4,FALSE)</f>
        <v>敵ユニットをタップすると_x000D_その敵を狙い撃ちできます</v>
      </c>
      <c r="M28" s="49" t="s">
        <v>211</v>
      </c>
    </row>
    <row r="29" spans="1:13" x14ac:dyDescent="0.15">
      <c r="A29" s="73" t="s">
        <v>201</v>
      </c>
      <c r="B29" s="74">
        <f>floors!$C$2</f>
        <v>20014</v>
      </c>
      <c r="C29" s="75" t="str">
        <f ca="1">VLOOKUP($B29,OFFSET([2]quests!$A$1,0,0,COUNTA([2]quests!$A:$A),MATCH(C$1,[2]quests!$1:$1,0)-MATCH($B$1,[2]quests!$1:$1,0)+1),MATCH(C$1,[2]quests!$1:$1,0)-MATCH($B$1,[2]quests!$1:$1,0)+1,FALSE)</f>
        <v>魅了する歌声</v>
      </c>
      <c r="D29" s="75" t="str">
        <f ca="1">VLOOKUP($B29,OFFSET([2]quests!$A$1,0,0,COUNTA([2]quests!$A:$A),MATCH(D$1,[2]quests!$1:$1,0)-MATCH($B$1,[2]quests!$1:$1,0)+1),MATCH(D$1,[2]quests!$1:$1,0)-MATCH($B$1,[2]quests!$1:$1,0)+1,FALSE)</f>
        <v>天使と悪魔編1</v>
      </c>
      <c r="E29" s="79">
        <v>2</v>
      </c>
      <c r="F29" s="75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【中級】魅了する歌声</v>
      </c>
      <c r="G29" s="75" t="str">
        <f ca="1">VLOOKUP($B29&amp;"_"&amp;$E29,OFFSET([2]stages!$A$1,0,0,COUNTA([2]stages!$A:$A),MATCH(G$1,[2]stages!$2:$2,0)-MATCH("temp_stage",[2]stages!$2:$2,0)+1),MATCH(G$1,[2]stages!$2:$2,0)-MATCH("temp_stage",[2]stages!$2:$2,0)+1,FALSE)</f>
        <v>天使と悪魔編1</v>
      </c>
      <c r="H29" s="77">
        <v>0</v>
      </c>
      <c r="I29">
        <v>6</v>
      </c>
      <c r="J29" s="76" t="s">
        <v>198</v>
      </c>
      <c r="K29" s="84" t="str">
        <f>VLOOKUP(I29,[7]stage_hints!$A:$C,3,FALSE)</f>
        <v>ユニット強化の属性ボーナス</v>
      </c>
      <c r="L29" s="85" t="str">
        <f>VLOOKUP(I29,[7]stage_hints!$A:$D,4,FALSE)</f>
        <v>同属性ユニットを強化素材にすると_x000D_経験値が多くもらえます</v>
      </c>
      <c r="M29" s="49" t="s">
        <v>211</v>
      </c>
    </row>
    <row r="30" spans="1:13" x14ac:dyDescent="0.15">
      <c r="A30" s="73" t="s">
        <v>201</v>
      </c>
      <c r="B30" s="74">
        <f>floors!$C$2</f>
        <v>20014</v>
      </c>
      <c r="C30" s="75" t="str">
        <f ca="1">VLOOKUP($B30,OFFSET([2]quests!$A$1,0,0,COUNTA([2]quests!$A:$A),MATCH(C$1,[2]quests!$1:$1,0)-MATCH($B$1,[2]quests!$1:$1,0)+1),MATCH(C$1,[2]quests!$1:$1,0)-MATCH($B$1,[2]quests!$1:$1,0)+1,FALSE)</f>
        <v>魅了する歌声</v>
      </c>
      <c r="D30" s="75" t="str">
        <f ca="1">VLOOKUP($B30,OFFSET([2]quests!$A$1,0,0,COUNTA([2]quests!$A:$A),MATCH(D$1,[2]quests!$1:$1,0)-MATCH($B$1,[2]quests!$1:$1,0)+1),MATCH(D$1,[2]quests!$1:$1,0)-MATCH($B$1,[2]quests!$1:$1,0)+1,FALSE)</f>
        <v>天使と悪魔編1</v>
      </c>
      <c r="E30" s="79">
        <v>2</v>
      </c>
      <c r="F30" s="75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【中級】魅了する歌声</v>
      </c>
      <c r="G30" s="75" t="str">
        <f ca="1">VLOOKUP($B30&amp;"_"&amp;$E30,OFFSET([2]stages!$A$1,0,0,COUNTA([2]stages!$A:$A),MATCH(G$1,[2]stages!$2:$2,0)-MATCH("temp_stage",[2]stages!$2:$2,0)+1),MATCH(G$1,[2]stages!$2:$2,0)-MATCH("temp_stage",[2]stages!$2:$2,0)+1,FALSE)</f>
        <v>天使と悪魔編1</v>
      </c>
      <c r="H30" s="77">
        <v>0</v>
      </c>
      <c r="I30">
        <v>7</v>
      </c>
      <c r="J30" s="76" t="s">
        <v>198</v>
      </c>
      <c r="K30" s="84" t="str">
        <f>VLOOKUP(I30,[7]stage_hints!$A:$C,3,FALSE)</f>
        <v>メタルダックで経験値を獲得</v>
      </c>
      <c r="L30" s="85" t="str">
        <f>VLOOKUP(I30,[7]stage_hints!$A:$D,4,FALSE)</f>
        <v>「メタルなアヒル」を強化素材にすると_x000D_大量の経験値がもらえます</v>
      </c>
      <c r="M30" s="49" t="s">
        <v>211</v>
      </c>
    </row>
    <row r="31" spans="1:13" x14ac:dyDescent="0.15">
      <c r="A31" s="73" t="s">
        <v>201</v>
      </c>
      <c r="B31" s="74">
        <f>floors!$C$2</f>
        <v>20014</v>
      </c>
      <c r="C31" s="75" t="str">
        <f ca="1">VLOOKUP($B31,OFFSET([2]quests!$A$1,0,0,COUNTA([2]quests!$A:$A),MATCH(C$1,[2]quests!$1:$1,0)-MATCH($B$1,[2]quests!$1:$1,0)+1),MATCH(C$1,[2]quests!$1:$1,0)-MATCH($B$1,[2]quests!$1:$1,0)+1,FALSE)</f>
        <v>魅了する歌声</v>
      </c>
      <c r="D31" s="75" t="str">
        <f ca="1">VLOOKUP($B31,OFFSET([2]quests!$A$1,0,0,COUNTA([2]quests!$A:$A),MATCH(D$1,[2]quests!$1:$1,0)-MATCH($B$1,[2]quests!$1:$1,0)+1),MATCH(D$1,[2]quests!$1:$1,0)-MATCH($B$1,[2]quests!$1:$1,0)+1,FALSE)</f>
        <v>天使と悪魔編1</v>
      </c>
      <c r="E31" s="79">
        <v>2</v>
      </c>
      <c r="F31" s="75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【中級】魅了する歌声</v>
      </c>
      <c r="G31" s="75" t="str">
        <f ca="1">VLOOKUP($B31&amp;"_"&amp;$E31,OFFSET([2]stages!$A$1,0,0,COUNTA([2]stages!$A:$A),MATCH(G$1,[2]stages!$2:$2,0)-MATCH("temp_stage",[2]stages!$2:$2,0)+1),MATCH(G$1,[2]stages!$2:$2,0)-MATCH("temp_stage",[2]stages!$2:$2,0)+1,FALSE)</f>
        <v>天使と悪魔編1</v>
      </c>
      <c r="H31" s="77">
        <v>0</v>
      </c>
      <c r="I31">
        <v>8</v>
      </c>
      <c r="J31" s="76" t="s">
        <v>198</v>
      </c>
      <c r="K31" s="84" t="str">
        <f>VLOOKUP(I31,[7]stage_hints!$A:$C,3,FALSE)</f>
        <v>ゲリラクエストは要チェック</v>
      </c>
      <c r="L31" s="85" t="str">
        <f>VLOOKUP(I31,[7]stage_hints!$A:$D,4,FALSE)</f>
        <v>時間限定の「アヒル捕獲作戦」では_x000D_経験値素材ユニットが多く手に入ります</v>
      </c>
      <c r="M31" s="49" t="s">
        <v>211</v>
      </c>
    </row>
    <row r="32" spans="1:13" x14ac:dyDescent="0.15">
      <c r="A32" s="73" t="s">
        <v>201</v>
      </c>
      <c r="B32" s="74">
        <f>floors!$C$2</f>
        <v>20014</v>
      </c>
      <c r="C32" s="75" t="str">
        <f ca="1">VLOOKUP($B32,OFFSET([2]quests!$A$1,0,0,COUNTA([2]quests!$A:$A),MATCH(C$1,[2]quests!$1:$1,0)-MATCH($B$1,[2]quests!$1:$1,0)+1),MATCH(C$1,[2]quests!$1:$1,0)-MATCH($B$1,[2]quests!$1:$1,0)+1,FALSE)</f>
        <v>魅了する歌声</v>
      </c>
      <c r="D32" s="75" t="str">
        <f ca="1">VLOOKUP($B32,OFFSET([2]quests!$A$1,0,0,COUNTA([2]quests!$A:$A),MATCH(D$1,[2]quests!$1:$1,0)-MATCH($B$1,[2]quests!$1:$1,0)+1),MATCH(D$1,[2]quests!$1:$1,0)-MATCH($B$1,[2]quests!$1:$1,0)+1,FALSE)</f>
        <v>天使と悪魔編1</v>
      </c>
      <c r="E32" s="79">
        <v>2</v>
      </c>
      <c r="F32" s="75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【中級】魅了する歌声</v>
      </c>
      <c r="G32" s="75" t="str">
        <f ca="1">VLOOKUP($B32&amp;"_"&amp;$E32,OFFSET([2]stages!$A$1,0,0,COUNTA([2]stages!$A:$A),MATCH(G$1,[2]stages!$2:$2,0)-MATCH("temp_stage",[2]stages!$2:$2,0)+1),MATCH(G$1,[2]stages!$2:$2,0)-MATCH("temp_stage",[2]stages!$2:$2,0)+1,FALSE)</f>
        <v>天使と悪魔編1</v>
      </c>
      <c r="H32" s="77">
        <v>0</v>
      </c>
      <c r="I32">
        <v>9</v>
      </c>
      <c r="J32" s="76" t="s">
        <v>198</v>
      </c>
      <c r="K32" s="84" t="str">
        <f>VLOOKUP(I32,[7]stage_hints!$A:$C,3,FALSE)</f>
        <v>ゴールドダックでビットを獲得</v>
      </c>
      <c r="L32" s="85" t="str">
        <f>VLOOKUP(I32,[7]stage_hints!$A:$D,4,FALSE)</f>
        <v>「ゴールドなアヒル」を売却すると_x000D_大量のビットがもらえます</v>
      </c>
      <c r="M32" s="49" t="s">
        <v>211</v>
      </c>
    </row>
    <row r="33" spans="1:13" x14ac:dyDescent="0.15">
      <c r="A33" s="73" t="s">
        <v>201</v>
      </c>
      <c r="B33" s="74">
        <f>floors!$C$2</f>
        <v>20014</v>
      </c>
      <c r="C33" s="75" t="str">
        <f ca="1">VLOOKUP($B33,OFFSET([2]quests!$A$1,0,0,COUNTA([2]quests!$A:$A),MATCH(C$1,[2]quests!$1:$1,0)-MATCH($B$1,[2]quests!$1:$1,0)+1),MATCH(C$1,[2]quests!$1:$1,0)-MATCH($B$1,[2]quests!$1:$1,0)+1,FALSE)</f>
        <v>魅了する歌声</v>
      </c>
      <c r="D33" s="75" t="str">
        <f ca="1">VLOOKUP($B33,OFFSET([2]quests!$A$1,0,0,COUNTA([2]quests!$A:$A),MATCH(D$1,[2]quests!$1:$1,0)-MATCH($B$1,[2]quests!$1:$1,0)+1),MATCH(D$1,[2]quests!$1:$1,0)-MATCH($B$1,[2]quests!$1:$1,0)+1,FALSE)</f>
        <v>天使と悪魔編1</v>
      </c>
      <c r="E33" s="79">
        <v>2</v>
      </c>
      <c r="F33" s="75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【中級】魅了する歌声</v>
      </c>
      <c r="G33" s="75" t="str">
        <f ca="1">VLOOKUP($B33&amp;"_"&amp;$E33,OFFSET([2]stages!$A$1,0,0,COUNTA([2]stages!$A:$A),MATCH(G$1,[2]stages!$2:$2,0)-MATCH("temp_stage",[2]stages!$2:$2,0)+1),MATCH(G$1,[2]stages!$2:$2,0)-MATCH("temp_stage",[2]stages!$2:$2,0)+1,FALSE)</f>
        <v>天使と悪魔編1</v>
      </c>
      <c r="H33" s="77">
        <v>0</v>
      </c>
      <c r="I33">
        <v>10</v>
      </c>
      <c r="J33" s="76" t="s">
        <v>198</v>
      </c>
      <c r="K33" s="84" t="str">
        <f>VLOOKUP(I33,[7]stage_hints!$A:$C,3,FALSE)</f>
        <v>土日に大量のビットを獲得</v>
      </c>
      <c r="L33" s="85" t="str">
        <f>VLOOKUP(I33,[7]stage_hints!$A:$D,4,FALSE)</f>
        <v>土日限定の「ゴールドカジノ」では_x000D_売却素材ユニットが多く手に入ります</v>
      </c>
      <c r="M33" s="49" t="s">
        <v>211</v>
      </c>
    </row>
    <row r="34" spans="1:13" x14ac:dyDescent="0.15">
      <c r="A34" s="73" t="s">
        <v>201</v>
      </c>
      <c r="B34" s="74">
        <f>floors!$C$2</f>
        <v>20014</v>
      </c>
      <c r="C34" s="75" t="str">
        <f ca="1">VLOOKUP($B34,OFFSET([2]quests!$A$1,0,0,COUNTA([2]quests!$A:$A),MATCH(C$1,[2]quests!$1:$1,0)-MATCH($B$1,[2]quests!$1:$1,0)+1),MATCH(C$1,[2]quests!$1:$1,0)-MATCH($B$1,[2]quests!$1:$1,0)+1,FALSE)</f>
        <v>魅了する歌声</v>
      </c>
      <c r="D34" s="75" t="str">
        <f ca="1">VLOOKUP($B34,OFFSET([2]quests!$A$1,0,0,COUNTA([2]quests!$A:$A),MATCH(D$1,[2]quests!$1:$1,0)-MATCH($B$1,[2]quests!$1:$1,0)+1),MATCH(D$1,[2]quests!$1:$1,0)-MATCH($B$1,[2]quests!$1:$1,0)+1,FALSE)</f>
        <v>天使と悪魔編1</v>
      </c>
      <c r="E34" s="79">
        <v>2</v>
      </c>
      <c r="F34" s="75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【中級】魅了する歌声</v>
      </c>
      <c r="G34" s="75" t="str">
        <f ca="1">VLOOKUP($B34&amp;"_"&amp;$E34,OFFSET([2]stages!$A$1,0,0,COUNTA([2]stages!$A:$A),MATCH(G$1,[2]stages!$2:$2,0)-MATCH("temp_stage",[2]stages!$2:$2,0)+1),MATCH(G$1,[2]stages!$2:$2,0)-MATCH("temp_stage",[2]stages!$2:$2,0)+1,FALSE)</f>
        <v>天使と悪魔編1</v>
      </c>
      <c r="H34" s="77">
        <v>0</v>
      </c>
      <c r="I34">
        <v>11</v>
      </c>
      <c r="J34" s="76" t="s">
        <v>198</v>
      </c>
      <c r="K34" s="84" t="str">
        <f>VLOOKUP(I34,[7]stage_hints!$A:$C,3,FALSE)</f>
        <v>ランク解放クエスト</v>
      </c>
      <c r="L34" s="85" t="str">
        <f>VLOOKUP(I34,[7]stage_hints!$A:$D,4,FALSE)</f>
        <v>一定ランクに到達すると_x000D_報酬付きのランク開放クエストが現れます</v>
      </c>
      <c r="M34" s="49" t="s">
        <v>211</v>
      </c>
    </row>
    <row r="35" spans="1:13" x14ac:dyDescent="0.15">
      <c r="A35" s="73" t="s">
        <v>201</v>
      </c>
      <c r="B35" s="74">
        <f>floors!$C$2</f>
        <v>20014</v>
      </c>
      <c r="C35" s="75" t="str">
        <f ca="1">VLOOKUP($B35,OFFSET([2]quests!$A$1,0,0,COUNTA([2]quests!$A:$A),MATCH(C$1,[2]quests!$1:$1,0)-MATCH($B$1,[2]quests!$1:$1,0)+1),MATCH(C$1,[2]quests!$1:$1,0)-MATCH($B$1,[2]quests!$1:$1,0)+1,FALSE)</f>
        <v>魅了する歌声</v>
      </c>
      <c r="D35" s="75" t="str">
        <f ca="1">VLOOKUP($B35,OFFSET([2]quests!$A$1,0,0,COUNTA([2]quests!$A:$A),MATCH(D$1,[2]quests!$1:$1,0)-MATCH($B$1,[2]quests!$1:$1,0)+1),MATCH(D$1,[2]quests!$1:$1,0)-MATCH($B$1,[2]quests!$1:$1,0)+1,FALSE)</f>
        <v>天使と悪魔編1</v>
      </c>
      <c r="E35" s="79">
        <v>2</v>
      </c>
      <c r="F35" s="75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【中級】魅了する歌声</v>
      </c>
      <c r="G35" s="75" t="str">
        <f ca="1">VLOOKUP($B35&amp;"_"&amp;$E35,OFFSET([2]stages!$A$1,0,0,COUNTA([2]stages!$A:$A),MATCH(G$1,[2]stages!$2:$2,0)-MATCH("temp_stage",[2]stages!$2:$2,0)+1),MATCH(G$1,[2]stages!$2:$2,0)-MATCH("temp_stage",[2]stages!$2:$2,0)+1,FALSE)</f>
        <v>天使と悪魔編1</v>
      </c>
      <c r="H35" s="77">
        <v>0</v>
      </c>
      <c r="I35">
        <v>12</v>
      </c>
      <c r="J35" s="76" t="s">
        <v>198</v>
      </c>
      <c r="K35" s="84" t="str">
        <f>VLOOKUP(I35,[7]stage_hints!$A:$C,3,FALSE)</f>
        <v>ユニットのお気に入り登録</v>
      </c>
      <c r="L35" s="85" t="str">
        <f>VLOOKUP(I35,[7]stage_hints!$A:$D,4,FALSE)</f>
        <v>大事なユニットを誤って消さないように_x000D_フォルダから「お気に入り登録」しましょう</v>
      </c>
      <c r="M35" s="49" t="s">
        <v>211</v>
      </c>
    </row>
    <row r="36" spans="1:13" x14ac:dyDescent="0.15">
      <c r="A36" s="73" t="s">
        <v>201</v>
      </c>
      <c r="B36" s="74">
        <f>floors!$C$2</f>
        <v>20014</v>
      </c>
      <c r="C36" s="75" t="str">
        <f ca="1">VLOOKUP($B36,OFFSET([2]quests!$A$1,0,0,COUNTA([2]quests!$A:$A),MATCH(C$1,[2]quests!$1:$1,0)-MATCH($B$1,[2]quests!$1:$1,0)+1),MATCH(C$1,[2]quests!$1:$1,0)-MATCH($B$1,[2]quests!$1:$1,0)+1,FALSE)</f>
        <v>魅了する歌声</v>
      </c>
      <c r="D36" s="75" t="str">
        <f ca="1">VLOOKUP($B36,OFFSET([2]quests!$A$1,0,0,COUNTA([2]quests!$A:$A),MATCH(D$1,[2]quests!$1:$1,0)-MATCH($B$1,[2]quests!$1:$1,0)+1),MATCH(D$1,[2]quests!$1:$1,0)-MATCH($B$1,[2]quests!$1:$1,0)+1,FALSE)</f>
        <v>天使と悪魔編1</v>
      </c>
      <c r="E36" s="79">
        <v>2</v>
      </c>
      <c r="F36" s="75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【中級】魅了する歌声</v>
      </c>
      <c r="G36" s="75" t="str">
        <f ca="1">VLOOKUP($B36&amp;"_"&amp;$E36,OFFSET([2]stages!$A$1,0,0,COUNTA([2]stages!$A:$A),MATCH(G$1,[2]stages!$2:$2,0)-MATCH("temp_stage",[2]stages!$2:$2,0)+1),MATCH(G$1,[2]stages!$2:$2,0)-MATCH("temp_stage",[2]stages!$2:$2,0)+1,FALSE)</f>
        <v>天使と悪魔編1</v>
      </c>
      <c r="H36" s="77">
        <v>0</v>
      </c>
      <c r="I36">
        <v>13</v>
      </c>
      <c r="J36" s="76" t="s">
        <v>198</v>
      </c>
      <c r="K36" s="84" t="str">
        <f>VLOOKUP(I36,[7]stage_hints!$A:$C,3,FALSE)</f>
        <v>ユニットの覚醒</v>
      </c>
      <c r="L36" s="85" t="str">
        <f>VLOOKUP(I36,[7]stage_hints!$A:$D,4,FALSE)</f>
        <v>ユニットを覚醒させると_x000D_比べものにならない強さが手に入ります</v>
      </c>
      <c r="M36" s="49" t="s">
        <v>211</v>
      </c>
    </row>
    <row r="37" spans="1:13" x14ac:dyDescent="0.15">
      <c r="A37" s="73" t="s">
        <v>201</v>
      </c>
      <c r="B37" s="74">
        <f>floors!$C$2</f>
        <v>20014</v>
      </c>
      <c r="C37" s="75" t="str">
        <f ca="1">VLOOKUP($B37,OFFSET([2]quests!$A$1,0,0,COUNTA([2]quests!$A:$A),MATCH(C$1,[2]quests!$1:$1,0)-MATCH($B$1,[2]quests!$1:$1,0)+1),MATCH(C$1,[2]quests!$1:$1,0)-MATCH($B$1,[2]quests!$1:$1,0)+1,FALSE)</f>
        <v>魅了する歌声</v>
      </c>
      <c r="D37" s="75" t="str">
        <f ca="1">VLOOKUP($B37,OFFSET([2]quests!$A$1,0,0,COUNTA([2]quests!$A:$A),MATCH(D$1,[2]quests!$1:$1,0)-MATCH($B$1,[2]quests!$1:$1,0)+1),MATCH(D$1,[2]quests!$1:$1,0)-MATCH($B$1,[2]quests!$1:$1,0)+1,FALSE)</f>
        <v>天使と悪魔編1</v>
      </c>
      <c r="E37" s="79">
        <v>2</v>
      </c>
      <c r="F37" s="75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【中級】魅了する歌声</v>
      </c>
      <c r="G37" s="75" t="str">
        <f ca="1">VLOOKUP($B37&amp;"_"&amp;$E37,OFFSET([2]stages!$A$1,0,0,COUNTA([2]stages!$A:$A),MATCH(G$1,[2]stages!$2:$2,0)-MATCH("temp_stage",[2]stages!$2:$2,0)+1),MATCH(G$1,[2]stages!$2:$2,0)-MATCH("temp_stage",[2]stages!$2:$2,0)+1,FALSE)</f>
        <v>天使と悪魔編1</v>
      </c>
      <c r="H37" s="77">
        <v>0</v>
      </c>
      <c r="I37">
        <v>14</v>
      </c>
      <c r="J37" s="76" t="s">
        <v>198</v>
      </c>
      <c r="K37" s="84" t="str">
        <f>VLOOKUP(I37,[7]stage_hints!$A:$C,3,FALSE)</f>
        <v>覚醒するにはレベルを最大に</v>
      </c>
      <c r="L37" s="85" t="str">
        <f>VLOOKUP(I37,[7]stage_hints!$A:$D,4,FALSE)</f>
        <v>覚醒するにはユニットのレベルを_x000D_最大まで上げる必要があります</v>
      </c>
      <c r="M37" s="49" t="s">
        <v>211</v>
      </c>
    </row>
    <row r="38" spans="1:13" x14ac:dyDescent="0.15">
      <c r="A38" s="73" t="s">
        <v>201</v>
      </c>
      <c r="B38" s="74">
        <f>floors!$C$2</f>
        <v>20014</v>
      </c>
      <c r="C38" s="75" t="str">
        <f ca="1">VLOOKUP($B38,OFFSET([2]quests!$A$1,0,0,COUNTA([2]quests!$A:$A),MATCH(C$1,[2]quests!$1:$1,0)-MATCH($B$1,[2]quests!$1:$1,0)+1),MATCH(C$1,[2]quests!$1:$1,0)-MATCH($B$1,[2]quests!$1:$1,0)+1,FALSE)</f>
        <v>魅了する歌声</v>
      </c>
      <c r="D38" s="75" t="str">
        <f ca="1">VLOOKUP($B38,OFFSET([2]quests!$A$1,0,0,COUNTA([2]quests!$A:$A),MATCH(D$1,[2]quests!$1:$1,0)-MATCH($B$1,[2]quests!$1:$1,0)+1),MATCH(D$1,[2]quests!$1:$1,0)-MATCH($B$1,[2]quests!$1:$1,0)+1,FALSE)</f>
        <v>天使と悪魔編1</v>
      </c>
      <c r="E38" s="79">
        <v>2</v>
      </c>
      <c r="F38" s="75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【中級】魅了する歌声</v>
      </c>
      <c r="G38" s="75" t="str">
        <f ca="1">VLOOKUP($B38&amp;"_"&amp;$E38,OFFSET([2]stages!$A$1,0,0,COUNTA([2]stages!$A:$A),MATCH(G$1,[2]stages!$2:$2,0)-MATCH("temp_stage",[2]stages!$2:$2,0)+1),MATCH(G$1,[2]stages!$2:$2,0)-MATCH("temp_stage",[2]stages!$2:$2,0)+1,FALSE)</f>
        <v>天使と悪魔編1</v>
      </c>
      <c r="H38" s="77">
        <v>0</v>
      </c>
      <c r="I38">
        <v>15</v>
      </c>
      <c r="J38" s="76" t="s">
        <v>198</v>
      </c>
      <c r="K38" s="84" t="str">
        <f>VLOOKUP(I38,[7]stage_hints!$A:$C,3,FALSE)</f>
        <v>覚醒素材を獲得</v>
      </c>
      <c r="L38" s="85" t="str">
        <f>VLOOKUP(I38,[7]stage_hints!$A:$D,4,FALSE)</f>
        <v>「曜日クエスト」では_x000D_ユニットの覚醒に必要な素材が手に入ります</v>
      </c>
      <c r="M38" s="49" t="s">
        <v>211</v>
      </c>
    </row>
    <row r="39" spans="1:13" x14ac:dyDescent="0.15">
      <c r="A39" s="73" t="s">
        <v>201</v>
      </c>
      <c r="B39" s="74">
        <f>floors!$C$2</f>
        <v>20014</v>
      </c>
      <c r="C39" s="75" t="str">
        <f ca="1">VLOOKUP($B39,OFFSET([2]quests!$A$1,0,0,COUNTA([2]quests!$A:$A),MATCH(C$1,[2]quests!$1:$1,0)-MATCH($B$1,[2]quests!$1:$1,0)+1),MATCH(C$1,[2]quests!$1:$1,0)-MATCH($B$1,[2]quests!$1:$1,0)+1,FALSE)</f>
        <v>魅了する歌声</v>
      </c>
      <c r="D39" s="75" t="str">
        <f ca="1">VLOOKUP($B39,OFFSET([2]quests!$A$1,0,0,COUNTA([2]quests!$A:$A),MATCH(D$1,[2]quests!$1:$1,0)-MATCH($B$1,[2]quests!$1:$1,0)+1),MATCH(D$1,[2]quests!$1:$1,0)-MATCH($B$1,[2]quests!$1:$1,0)+1,FALSE)</f>
        <v>天使と悪魔編1</v>
      </c>
      <c r="E39" s="79">
        <v>2</v>
      </c>
      <c r="F39" s="75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【中級】魅了する歌声</v>
      </c>
      <c r="G39" s="75" t="str">
        <f ca="1">VLOOKUP($B39&amp;"_"&amp;$E39,OFFSET([2]stages!$A$1,0,0,COUNTA([2]stages!$A:$A),MATCH(G$1,[2]stages!$2:$2,0)-MATCH("temp_stage",[2]stages!$2:$2,0)+1),MATCH(G$1,[2]stages!$2:$2,0)-MATCH("temp_stage",[2]stages!$2:$2,0)+1,FALSE)</f>
        <v>天使と悪魔編1</v>
      </c>
      <c r="H39" s="77">
        <v>0</v>
      </c>
      <c r="I39">
        <v>16</v>
      </c>
      <c r="J39" s="76" t="s">
        <v>198</v>
      </c>
      <c r="K39" s="84" t="str">
        <f>VLOOKUP(I39,[7]stage_hints!$A:$C,3,FALSE)</f>
        <v>マルチプレイのメリット（その1）</v>
      </c>
      <c r="L39" s="85" t="str">
        <f>VLOOKUP(I39,[7]stage_hints!$A:$D,4,FALSE)</f>
        <v>他のプレイヤーとマルチプレイで遊ぶと_x000D_ポリゴンがもらえます（100人まで）</v>
      </c>
      <c r="M39" s="49" t="s">
        <v>211</v>
      </c>
    </row>
    <row r="40" spans="1:13" x14ac:dyDescent="0.15">
      <c r="A40" s="73" t="s">
        <v>201</v>
      </c>
      <c r="B40" s="74">
        <f>floors!$C$2</f>
        <v>20014</v>
      </c>
      <c r="C40" s="75" t="str">
        <f ca="1">VLOOKUP($B40,OFFSET([2]quests!$A$1,0,0,COUNTA([2]quests!$A:$A),MATCH(C$1,[2]quests!$1:$1,0)-MATCH($B$1,[2]quests!$1:$1,0)+1),MATCH(C$1,[2]quests!$1:$1,0)-MATCH($B$1,[2]quests!$1:$1,0)+1,FALSE)</f>
        <v>魅了する歌声</v>
      </c>
      <c r="D40" s="75" t="str">
        <f ca="1">VLOOKUP($B40,OFFSET([2]quests!$A$1,0,0,COUNTA([2]quests!$A:$A),MATCH(D$1,[2]quests!$1:$1,0)-MATCH($B$1,[2]quests!$1:$1,0)+1),MATCH(D$1,[2]quests!$1:$1,0)-MATCH($B$1,[2]quests!$1:$1,0)+1,FALSE)</f>
        <v>天使と悪魔編1</v>
      </c>
      <c r="E40" s="79">
        <v>2</v>
      </c>
      <c r="F40" s="75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【中級】魅了する歌声</v>
      </c>
      <c r="G40" s="75" t="str">
        <f ca="1">VLOOKUP($B40&amp;"_"&amp;$E40,OFFSET([2]stages!$A$1,0,0,COUNTA([2]stages!$A:$A),MATCH(G$1,[2]stages!$2:$2,0)-MATCH("temp_stage",[2]stages!$2:$2,0)+1),MATCH(G$1,[2]stages!$2:$2,0)-MATCH("temp_stage",[2]stages!$2:$2,0)+1,FALSE)</f>
        <v>天使と悪魔編1</v>
      </c>
      <c r="H40" s="77">
        <v>0</v>
      </c>
      <c r="I40">
        <v>17</v>
      </c>
      <c r="J40" s="76" t="s">
        <v>198</v>
      </c>
      <c r="K40" s="84" t="str">
        <f>VLOOKUP(I40,[7]stage_hints!$A:$C,3,FALSE)</f>
        <v>リンクガチャ</v>
      </c>
      <c r="L40" s="85" t="str">
        <f>VLOOKUP(I40,[7]stage_hints!$A:$D,4,FALSE)</f>
        <v>無料のリンクガチャを回して_x000D_経験値素材や売却素材を獲得しましょう</v>
      </c>
      <c r="M40" s="49" t="s">
        <v>211</v>
      </c>
    </row>
    <row r="41" spans="1:13" x14ac:dyDescent="0.15">
      <c r="A41" s="73" t="s">
        <v>201</v>
      </c>
      <c r="B41" s="74">
        <f>floors!$C$2</f>
        <v>20014</v>
      </c>
      <c r="C41" s="75" t="str">
        <f ca="1">VLOOKUP($B41,OFFSET([2]quests!$A$1,0,0,COUNTA([2]quests!$A:$A),MATCH(C$1,[2]quests!$1:$1,0)-MATCH($B$1,[2]quests!$1:$1,0)+1),MATCH(C$1,[2]quests!$1:$1,0)-MATCH($B$1,[2]quests!$1:$1,0)+1,FALSE)</f>
        <v>魅了する歌声</v>
      </c>
      <c r="D41" s="75" t="str">
        <f ca="1">VLOOKUP($B41,OFFSET([2]quests!$A$1,0,0,COUNTA([2]quests!$A:$A),MATCH(D$1,[2]quests!$1:$1,0)-MATCH($B$1,[2]quests!$1:$1,0)+1),MATCH(D$1,[2]quests!$1:$1,0)-MATCH($B$1,[2]quests!$1:$1,0)+1,FALSE)</f>
        <v>天使と悪魔編1</v>
      </c>
      <c r="E41" s="79">
        <v>2</v>
      </c>
      <c r="F41" s="75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【中級】魅了する歌声</v>
      </c>
      <c r="G41" s="75" t="str">
        <f ca="1">VLOOKUP($B41&amp;"_"&amp;$E41,OFFSET([2]stages!$A$1,0,0,COUNTA([2]stages!$A:$A),MATCH(G$1,[2]stages!$2:$2,0)-MATCH("temp_stage",[2]stages!$2:$2,0)+1),MATCH(G$1,[2]stages!$2:$2,0)-MATCH("temp_stage",[2]stages!$2:$2,0)+1,FALSE)</f>
        <v>天使と悪魔編1</v>
      </c>
      <c r="H41" s="77">
        <v>0</v>
      </c>
      <c r="I41">
        <v>18</v>
      </c>
      <c r="J41" s="76" t="s">
        <v>198</v>
      </c>
      <c r="K41" s="84" t="str">
        <f>VLOOKUP(I41,[7]stage_hints!$A:$C,3,FALSE)</f>
        <v>マルチプレイのメリット（その2）</v>
      </c>
      <c r="L41" s="85" t="str">
        <f>VLOOKUP(I41,[7]stage_hints!$A:$D,4,FALSE)</f>
        <v>マルチプレイならリンクが2倍もらえます_x000D_リンクガチャをたくさん回しましょう</v>
      </c>
      <c r="M41" s="49" t="s">
        <v>211</v>
      </c>
    </row>
    <row r="42" spans="1:13" x14ac:dyDescent="0.15">
      <c r="A42" s="73" t="s">
        <v>201</v>
      </c>
      <c r="B42" s="74">
        <f>floors!$C$2</f>
        <v>20014</v>
      </c>
      <c r="C42" s="75" t="str">
        <f ca="1">VLOOKUP($B42,OFFSET([2]quests!$A$1,0,0,COUNTA([2]quests!$A:$A),MATCH(C$1,[2]quests!$1:$1,0)-MATCH($B$1,[2]quests!$1:$1,0)+1),MATCH(C$1,[2]quests!$1:$1,0)-MATCH($B$1,[2]quests!$1:$1,0)+1,FALSE)</f>
        <v>魅了する歌声</v>
      </c>
      <c r="D42" s="75" t="str">
        <f ca="1">VLOOKUP($B42,OFFSET([2]quests!$A$1,0,0,COUNTA([2]quests!$A:$A),MATCH(D$1,[2]quests!$1:$1,0)-MATCH($B$1,[2]quests!$1:$1,0)+1),MATCH(D$1,[2]quests!$1:$1,0)-MATCH($B$1,[2]quests!$1:$1,0)+1,FALSE)</f>
        <v>天使と悪魔編1</v>
      </c>
      <c r="E42" s="79">
        <v>2</v>
      </c>
      <c r="F42" s="75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【中級】魅了する歌声</v>
      </c>
      <c r="G42" s="75" t="str">
        <f ca="1">VLOOKUP($B42&amp;"_"&amp;$E42,OFFSET([2]stages!$A$1,0,0,COUNTA([2]stages!$A:$A),MATCH(G$1,[2]stages!$2:$2,0)-MATCH("temp_stage",[2]stages!$2:$2,0)+1),MATCH(G$1,[2]stages!$2:$2,0)-MATCH("temp_stage",[2]stages!$2:$2,0)+1,FALSE)</f>
        <v>天使と悪魔編1</v>
      </c>
      <c r="H42" s="77">
        <v>0</v>
      </c>
      <c r="I42">
        <v>19</v>
      </c>
      <c r="J42" s="76" t="s">
        <v>198</v>
      </c>
      <c r="K42" s="84" t="str">
        <f>VLOOKUP(I42,[7]stage_hints!$A:$C,3,FALSE)</f>
        <v>ソロ専用タワーオブザクイーン</v>
      </c>
      <c r="L42" s="85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49" t="s">
        <v>211</v>
      </c>
    </row>
    <row r="43" spans="1:13" x14ac:dyDescent="0.15">
      <c r="A43" s="73" t="s">
        <v>201</v>
      </c>
      <c r="B43" s="74">
        <f>floors!$C$2</f>
        <v>20014</v>
      </c>
      <c r="C43" s="75" t="str">
        <f ca="1">VLOOKUP($B43,OFFSET([2]quests!$A$1,0,0,COUNTA([2]quests!$A:$A),MATCH(C$1,[2]quests!$1:$1,0)-MATCH($B$1,[2]quests!$1:$1,0)+1),MATCH(C$1,[2]quests!$1:$1,0)-MATCH($B$1,[2]quests!$1:$1,0)+1,FALSE)</f>
        <v>魅了する歌声</v>
      </c>
      <c r="D43" s="75" t="str">
        <f ca="1">VLOOKUP($B43,OFFSET([2]quests!$A$1,0,0,COUNTA([2]quests!$A:$A),MATCH(D$1,[2]quests!$1:$1,0)-MATCH($B$1,[2]quests!$1:$1,0)+1),MATCH(D$1,[2]quests!$1:$1,0)-MATCH($B$1,[2]quests!$1:$1,0)+1,FALSE)</f>
        <v>天使と悪魔編1</v>
      </c>
      <c r="E43" s="79">
        <v>2</v>
      </c>
      <c r="F43" s="75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【中級】魅了する歌声</v>
      </c>
      <c r="G43" s="75" t="str">
        <f ca="1">VLOOKUP($B43&amp;"_"&amp;$E43,OFFSET([2]stages!$A$1,0,0,COUNTA([2]stages!$A:$A),MATCH(G$1,[2]stages!$2:$2,0)-MATCH("temp_stage",[2]stages!$2:$2,0)+1),MATCH(G$1,[2]stages!$2:$2,0)-MATCH("temp_stage",[2]stages!$2:$2,0)+1,FALSE)</f>
        <v>天使と悪魔編1</v>
      </c>
      <c r="H43" s="77">
        <v>0</v>
      </c>
      <c r="I43">
        <v>20</v>
      </c>
      <c r="J43" s="76" t="s">
        <v>198</v>
      </c>
      <c r="K43" s="84" t="str">
        <f>VLOOKUP(I43,[7]stage_hints!$A:$C,3,FALSE)</f>
        <v>マルチプレイのメリット（その3）</v>
      </c>
      <c r="L43" s="85" t="str">
        <f>VLOOKUP(I43,[7]stage_hints!$A:$D,4,FALSE)</f>
        <v>マルチプレイへの参加はエナジー消費ゼロ_x000D_いつでも好きなだけ遊ぶことができます</v>
      </c>
      <c r="M43" s="49" t="s">
        <v>211</v>
      </c>
    </row>
    <row r="44" spans="1:13" x14ac:dyDescent="0.15">
      <c r="A44" s="73" t="s">
        <v>201</v>
      </c>
      <c r="B44" s="74">
        <f>floors!$C$2</f>
        <v>20014</v>
      </c>
      <c r="C44" s="75" t="str">
        <f ca="1">VLOOKUP($B44,OFFSET([2]quests!$A$1,0,0,COUNTA([2]quests!$A:$A),MATCH(C$1,[2]quests!$1:$1,0)-MATCH($B$1,[2]quests!$1:$1,0)+1),MATCH(C$1,[2]quests!$1:$1,0)-MATCH($B$1,[2]quests!$1:$1,0)+1,FALSE)</f>
        <v>魅了する歌声</v>
      </c>
      <c r="D44" s="75" t="str">
        <f ca="1">VLOOKUP($B44,OFFSET([2]quests!$A$1,0,0,COUNTA([2]quests!$A:$A),MATCH(D$1,[2]quests!$1:$1,0)-MATCH($B$1,[2]quests!$1:$1,0)+1),MATCH(D$1,[2]quests!$1:$1,0)-MATCH($B$1,[2]quests!$1:$1,0)+1,FALSE)</f>
        <v>天使と悪魔編1</v>
      </c>
      <c r="E44" s="79">
        <v>2</v>
      </c>
      <c r="F44" s="75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【中級】魅了する歌声</v>
      </c>
      <c r="G44" s="75" t="str">
        <f ca="1">VLOOKUP($B44&amp;"_"&amp;$E44,OFFSET([2]stages!$A$1,0,0,COUNTA([2]stages!$A:$A),MATCH(G$1,[2]stages!$2:$2,0)-MATCH("temp_stage",[2]stages!$2:$2,0)+1),MATCH(G$1,[2]stages!$2:$2,0)-MATCH("temp_stage",[2]stages!$2:$2,0)+1,FALSE)</f>
        <v>天使と悪魔編1</v>
      </c>
      <c r="H44" s="77">
        <v>0</v>
      </c>
      <c r="I44">
        <v>21</v>
      </c>
      <c r="J44" s="76" t="s">
        <v>198</v>
      </c>
      <c r="K44" s="84" t="str">
        <f>VLOOKUP(I44,[7]stage_hints!$A:$C,3,FALSE)</f>
        <v>スキルを有効に</v>
      </c>
      <c r="L44" s="85" t="str">
        <f>VLOOKUP(I44,[7]stage_hints!$A:$D,4,FALSE)</f>
        <v>ターン経過でユニットのスキルが使えます_x000D_強力スキルでバトルを有利に進めましょう</v>
      </c>
      <c r="M44" s="49" t="s">
        <v>211</v>
      </c>
    </row>
    <row r="45" spans="1:13" x14ac:dyDescent="0.15">
      <c r="A45" s="73" t="s">
        <v>201</v>
      </c>
      <c r="B45" s="74">
        <f>floors!$C$2</f>
        <v>20014</v>
      </c>
      <c r="C45" s="75" t="str">
        <f ca="1">VLOOKUP($B45,OFFSET([2]quests!$A$1,0,0,COUNTA([2]quests!$A:$A),MATCH(C$1,[2]quests!$1:$1,0)-MATCH($B$1,[2]quests!$1:$1,0)+1),MATCH(C$1,[2]quests!$1:$1,0)-MATCH($B$1,[2]quests!$1:$1,0)+1,FALSE)</f>
        <v>魅了する歌声</v>
      </c>
      <c r="D45" s="75" t="str">
        <f ca="1">VLOOKUP($B45,OFFSET([2]quests!$A$1,0,0,COUNTA([2]quests!$A:$A),MATCH(D$1,[2]quests!$1:$1,0)-MATCH($B$1,[2]quests!$1:$1,0)+1),MATCH(D$1,[2]quests!$1:$1,0)-MATCH($B$1,[2]quests!$1:$1,0)+1,FALSE)</f>
        <v>天使と悪魔編1</v>
      </c>
      <c r="E45" s="79">
        <v>2</v>
      </c>
      <c r="F45" s="75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【中級】魅了する歌声</v>
      </c>
      <c r="G45" s="75" t="str">
        <f ca="1">VLOOKUP($B45&amp;"_"&amp;$E45,OFFSET([2]stages!$A$1,0,0,COUNTA([2]stages!$A:$A),MATCH(G$1,[2]stages!$2:$2,0)-MATCH("temp_stage",[2]stages!$2:$2,0)+1),MATCH(G$1,[2]stages!$2:$2,0)-MATCH("temp_stage",[2]stages!$2:$2,0)+1,FALSE)</f>
        <v>天使と悪魔編1</v>
      </c>
      <c r="H45" s="77">
        <v>0</v>
      </c>
      <c r="I45">
        <v>22</v>
      </c>
      <c r="J45" s="76" t="s">
        <v>198</v>
      </c>
      <c r="K45" s="84" t="str">
        <f>VLOOKUP(I45,[7]stage_hints!$A:$C,3,FALSE)</f>
        <v>フィーバーで一発逆転（その1）</v>
      </c>
      <c r="L45" s="85" t="str">
        <f>VLOOKUP(I45,[7]stage_hints!$A:$D,4,FALSE)</f>
        <v>フィーバーは攻撃と回復を兼ね備えます_x000D_ピンチからの一発逆転を狙いましょう</v>
      </c>
      <c r="M45" s="49" t="s">
        <v>211</v>
      </c>
    </row>
    <row r="46" spans="1:13" x14ac:dyDescent="0.15">
      <c r="A46" s="73" t="s">
        <v>201</v>
      </c>
      <c r="B46" s="74">
        <f>floors!$C$2</f>
        <v>20014</v>
      </c>
      <c r="C46" s="75" t="str">
        <f ca="1">VLOOKUP($B46,OFFSET([2]quests!$A$1,0,0,COUNTA([2]quests!$A:$A),MATCH(C$1,[2]quests!$1:$1,0)-MATCH($B$1,[2]quests!$1:$1,0)+1),MATCH(C$1,[2]quests!$1:$1,0)-MATCH($B$1,[2]quests!$1:$1,0)+1,FALSE)</f>
        <v>魅了する歌声</v>
      </c>
      <c r="D46" s="75" t="str">
        <f ca="1">VLOOKUP($B46,OFFSET([2]quests!$A$1,0,0,COUNTA([2]quests!$A:$A),MATCH(D$1,[2]quests!$1:$1,0)-MATCH($B$1,[2]quests!$1:$1,0)+1),MATCH(D$1,[2]quests!$1:$1,0)-MATCH($B$1,[2]quests!$1:$1,0)+1,FALSE)</f>
        <v>天使と悪魔編1</v>
      </c>
      <c r="E46" s="79">
        <v>2</v>
      </c>
      <c r="F46" s="75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【中級】魅了する歌声</v>
      </c>
      <c r="G46" s="75" t="str">
        <f ca="1">VLOOKUP($B46&amp;"_"&amp;$E46,OFFSET([2]stages!$A$1,0,0,COUNTA([2]stages!$A:$A),MATCH(G$1,[2]stages!$2:$2,0)-MATCH("temp_stage",[2]stages!$2:$2,0)+1),MATCH(G$1,[2]stages!$2:$2,0)-MATCH("temp_stage",[2]stages!$2:$2,0)+1,FALSE)</f>
        <v>天使と悪魔編1</v>
      </c>
      <c r="H46" s="77">
        <v>0</v>
      </c>
      <c r="I46">
        <v>23</v>
      </c>
      <c r="J46" s="76" t="s">
        <v>198</v>
      </c>
      <c r="K46" s="84" t="str">
        <f>VLOOKUP(I46,[7]stage_hints!$A:$C,3,FALSE)</f>
        <v>フィーバーで一発逆転（その2）</v>
      </c>
      <c r="L46" s="85" t="str">
        <f>VLOOKUP(I46,[7]stage_hints!$A:$D,4,FALSE)</f>
        <v>フィーバー中は虹色のボムパネルを狙って_x000D_画面上のパネルを一気に破壊しましょう</v>
      </c>
      <c r="M46" s="49" t="s">
        <v>211</v>
      </c>
    </row>
    <row r="47" spans="1:13" x14ac:dyDescent="0.15">
      <c r="A47" s="73" t="s">
        <v>201</v>
      </c>
      <c r="B47" s="74">
        <f>floors!$C$2</f>
        <v>20014</v>
      </c>
      <c r="C47" s="75" t="str">
        <f ca="1">VLOOKUP($B47,OFFSET([2]quests!$A$1,0,0,COUNTA([2]quests!$A:$A),MATCH(C$1,[2]quests!$1:$1,0)-MATCH($B$1,[2]quests!$1:$1,0)+1),MATCH(C$1,[2]quests!$1:$1,0)-MATCH($B$1,[2]quests!$1:$1,0)+1,FALSE)</f>
        <v>魅了する歌声</v>
      </c>
      <c r="D47" s="75" t="str">
        <f ca="1">VLOOKUP($B47,OFFSET([2]quests!$A$1,0,0,COUNTA([2]quests!$A:$A),MATCH(D$1,[2]quests!$1:$1,0)-MATCH($B$1,[2]quests!$1:$1,0)+1),MATCH(D$1,[2]quests!$1:$1,0)-MATCH($B$1,[2]quests!$1:$1,0)+1,FALSE)</f>
        <v>天使と悪魔編1</v>
      </c>
      <c r="E47" s="79">
        <v>2</v>
      </c>
      <c r="F47" s="75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【中級】魅了する歌声</v>
      </c>
      <c r="G47" s="75" t="str">
        <f ca="1">VLOOKUP($B47&amp;"_"&amp;$E47,OFFSET([2]stages!$A$1,0,0,COUNTA([2]stages!$A:$A),MATCH(G$1,[2]stages!$2:$2,0)-MATCH("temp_stage",[2]stages!$2:$2,0)+1),MATCH(G$1,[2]stages!$2:$2,0)-MATCH("temp_stage",[2]stages!$2:$2,0)+1,FALSE)</f>
        <v>天使と悪魔編1</v>
      </c>
      <c r="H47" s="77">
        <v>0</v>
      </c>
      <c r="I47">
        <v>24</v>
      </c>
      <c r="J47" s="76" t="s">
        <v>198</v>
      </c>
      <c r="K47" s="84" t="str">
        <f>VLOOKUP(I47,[7]stage_hints!$A:$C,3,FALSE)</f>
        <v>果実を使って限界突破</v>
      </c>
      <c r="L47" s="85" t="str">
        <f>VLOOKUP(I47,[7]stage_hints!$A:$D,4,FALSE)</f>
        <v>攻めの果実 癒しの果実_x000D_生命の果実をユニット強化に使うと_x000D_ステータスが限界突破します（計99個迄）</v>
      </c>
      <c r="M47" s="49" t="s">
        <v>211</v>
      </c>
    </row>
    <row r="48" spans="1:13" x14ac:dyDescent="0.15">
      <c r="A48" s="73" t="s">
        <v>201</v>
      </c>
      <c r="B48" s="74">
        <f>floors!$C$2</f>
        <v>20014</v>
      </c>
      <c r="C48" s="75" t="str">
        <f ca="1">VLOOKUP($B48,OFFSET([2]quests!$A$1,0,0,COUNTA([2]quests!$A:$A),MATCH(C$1,[2]quests!$1:$1,0)-MATCH($B$1,[2]quests!$1:$1,0)+1),MATCH(C$1,[2]quests!$1:$1,0)-MATCH($B$1,[2]quests!$1:$1,0)+1,FALSE)</f>
        <v>魅了する歌声</v>
      </c>
      <c r="D48" s="75" t="str">
        <f ca="1">VLOOKUP($B48,OFFSET([2]quests!$A$1,0,0,COUNTA([2]quests!$A:$A),MATCH(D$1,[2]quests!$1:$1,0)-MATCH($B$1,[2]quests!$1:$1,0)+1),MATCH(D$1,[2]quests!$1:$1,0)-MATCH($B$1,[2]quests!$1:$1,0)+1,FALSE)</f>
        <v>天使と悪魔編1</v>
      </c>
      <c r="E48" s="79">
        <v>2</v>
      </c>
      <c r="F48" s="75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【中級】魅了する歌声</v>
      </c>
      <c r="G48" s="75" t="str">
        <f ca="1">VLOOKUP($B48&amp;"_"&amp;$E48,OFFSET([2]stages!$A$1,0,0,COUNTA([2]stages!$A:$A),MATCH(G$1,[2]stages!$2:$2,0)-MATCH("temp_stage",[2]stages!$2:$2,0)+1),MATCH(G$1,[2]stages!$2:$2,0)-MATCH("temp_stage",[2]stages!$2:$2,0)+1,FALSE)</f>
        <v>天使と悪魔編1</v>
      </c>
      <c r="H48" s="77">
        <v>0</v>
      </c>
      <c r="I48">
        <v>25</v>
      </c>
      <c r="J48" s="76" t="s">
        <v>198</v>
      </c>
      <c r="K48" s="84" t="str">
        <f>VLOOKUP(I48,[7]stage_hints!$A:$C,3,FALSE)</f>
        <v>スキルレベルアップ</v>
      </c>
      <c r="L48" s="85" t="str">
        <f>VLOOKUP(I48,[7]stage_hints!$A:$D,4,FALSE)</f>
        <v>「秘術の果実」を強化に使うと_x000D_スキルレベルを上げることができます</v>
      </c>
      <c r="M48" s="49" t="s">
        <v>211</v>
      </c>
    </row>
    <row r="49" spans="1:13" x14ac:dyDescent="0.15">
      <c r="A49" s="73" t="s">
        <v>201</v>
      </c>
      <c r="B49" s="74">
        <f>floors!$C$2</f>
        <v>20014</v>
      </c>
      <c r="C49" s="75" t="str">
        <f ca="1">VLOOKUP($B49,OFFSET([2]quests!$A$1,0,0,COUNTA([2]quests!$A:$A),MATCH(C$1,[2]quests!$1:$1,0)-MATCH($B$1,[2]quests!$1:$1,0)+1),MATCH(C$1,[2]quests!$1:$1,0)-MATCH($B$1,[2]quests!$1:$1,0)+1,FALSE)</f>
        <v>魅了する歌声</v>
      </c>
      <c r="D49" s="75" t="str">
        <f ca="1">VLOOKUP($B49,OFFSET([2]quests!$A$1,0,0,COUNTA([2]quests!$A:$A),MATCH(D$1,[2]quests!$1:$1,0)-MATCH($B$1,[2]quests!$1:$1,0)+1),MATCH(D$1,[2]quests!$1:$1,0)-MATCH($B$1,[2]quests!$1:$1,0)+1,FALSE)</f>
        <v>天使と悪魔編1</v>
      </c>
      <c r="E49" s="79">
        <v>2</v>
      </c>
      <c r="F49" s="75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【中級】魅了する歌声</v>
      </c>
      <c r="G49" s="75" t="str">
        <f ca="1">VLOOKUP($B49&amp;"_"&amp;$E49,OFFSET([2]stages!$A$1,0,0,COUNTA([2]stages!$A:$A),MATCH(G$1,[2]stages!$2:$2,0)-MATCH("temp_stage",[2]stages!$2:$2,0)+1),MATCH(G$1,[2]stages!$2:$2,0)-MATCH("temp_stage",[2]stages!$2:$2,0)+1,FALSE)</f>
        <v>天使と悪魔編1</v>
      </c>
      <c r="H49" s="77">
        <v>0</v>
      </c>
      <c r="I49">
        <v>26</v>
      </c>
      <c r="J49" s="76" t="s">
        <v>198</v>
      </c>
      <c r="K49" s="84" t="str">
        <f>VLOOKUP(I49,[7]stage_hints!$A:$C,3,FALSE)</f>
        <v>スキルレベルの効果</v>
      </c>
      <c r="L49" s="85" t="str">
        <f>VLOOKUP(I49,[7]stage_hints!$A:$D,4,FALSE)</f>
        <v>スキルレベルが上がると_x000D_短いターンでスキルを使うことができます</v>
      </c>
      <c r="M49" s="49" t="s">
        <v>211</v>
      </c>
    </row>
    <row r="50" spans="1:13" x14ac:dyDescent="0.15">
      <c r="A50" s="73" t="s">
        <v>201</v>
      </c>
      <c r="B50" s="74">
        <f>floors!$C$2</f>
        <v>20014</v>
      </c>
      <c r="C50" s="75" t="str">
        <f ca="1">VLOOKUP($B50,OFFSET([2]quests!$A$1,0,0,COUNTA([2]quests!$A:$A),MATCH(C$1,[2]quests!$1:$1,0)-MATCH($B$1,[2]quests!$1:$1,0)+1),MATCH(C$1,[2]quests!$1:$1,0)-MATCH($B$1,[2]quests!$1:$1,0)+1,FALSE)</f>
        <v>魅了する歌声</v>
      </c>
      <c r="D50" s="75" t="str">
        <f ca="1">VLOOKUP($B50,OFFSET([2]quests!$A$1,0,0,COUNTA([2]quests!$A:$A),MATCH(D$1,[2]quests!$1:$1,0)-MATCH($B$1,[2]quests!$1:$1,0)+1),MATCH(D$1,[2]quests!$1:$1,0)-MATCH($B$1,[2]quests!$1:$1,0)+1,FALSE)</f>
        <v>天使と悪魔編1</v>
      </c>
      <c r="E50" s="79">
        <v>2</v>
      </c>
      <c r="F50" s="75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【中級】魅了する歌声</v>
      </c>
      <c r="G50" s="75" t="str">
        <f ca="1">VLOOKUP($B50&amp;"_"&amp;$E50,OFFSET([2]stages!$A$1,0,0,COUNTA([2]stages!$A:$A),MATCH(G$1,[2]stages!$2:$2,0)-MATCH("temp_stage",[2]stages!$2:$2,0)+1),MATCH(G$1,[2]stages!$2:$2,0)-MATCH("temp_stage",[2]stages!$2:$2,0)+1,FALSE)</f>
        <v>天使と悪魔編1</v>
      </c>
      <c r="H50" s="77">
        <v>0</v>
      </c>
      <c r="I50">
        <v>27</v>
      </c>
      <c r="J50" s="76" t="s">
        <v>198</v>
      </c>
      <c r="K50" s="84" t="str">
        <f>VLOOKUP(I50,[7]stage_hints!$A:$C,3,FALSE)</f>
        <v>ホーム画面からデッキを編成</v>
      </c>
      <c r="L50" s="85" t="str">
        <f>VLOOKUP(I50,[7]stage_hints!$A:$D,4,FALSE)</f>
        <v>ホーム画面でユニットを長押しすると_x000D_すぐにパーティ編成に移動できます</v>
      </c>
      <c r="M50" s="49" t="s">
        <v>211</v>
      </c>
    </row>
    <row r="51" spans="1:13" x14ac:dyDescent="0.15">
      <c r="A51" s="73" t="s">
        <v>201</v>
      </c>
      <c r="B51" s="74">
        <f>floors!$C$2</f>
        <v>20014</v>
      </c>
      <c r="C51" s="75" t="str">
        <f ca="1">VLOOKUP($B51,OFFSET([2]quests!$A$1,0,0,COUNTA([2]quests!$A:$A),MATCH(C$1,[2]quests!$1:$1,0)-MATCH($B$1,[2]quests!$1:$1,0)+1),MATCH(C$1,[2]quests!$1:$1,0)-MATCH($B$1,[2]quests!$1:$1,0)+1,FALSE)</f>
        <v>魅了する歌声</v>
      </c>
      <c r="D51" s="75" t="str">
        <f ca="1">VLOOKUP($B51,OFFSET([2]quests!$A$1,0,0,COUNTA([2]quests!$A:$A),MATCH(D$1,[2]quests!$1:$1,0)-MATCH($B$1,[2]quests!$1:$1,0)+1),MATCH(D$1,[2]quests!$1:$1,0)-MATCH($B$1,[2]quests!$1:$1,0)+1,FALSE)</f>
        <v>天使と悪魔編1</v>
      </c>
      <c r="E51" s="79">
        <v>2</v>
      </c>
      <c r="F51" s="75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【中級】魅了する歌声</v>
      </c>
      <c r="G51" s="75" t="str">
        <f ca="1">VLOOKUP($B51&amp;"_"&amp;$E51,OFFSET([2]stages!$A$1,0,0,COUNTA([2]stages!$A:$A),MATCH(G$1,[2]stages!$2:$2,0)-MATCH("temp_stage",[2]stages!$2:$2,0)+1),MATCH(G$1,[2]stages!$2:$2,0)-MATCH("temp_stage",[2]stages!$2:$2,0)+1,FALSE)</f>
        <v>天使と悪魔編1</v>
      </c>
      <c r="H51" s="77">
        <v>0</v>
      </c>
      <c r="I51">
        <v>28</v>
      </c>
      <c r="J51" s="76" t="s">
        <v>198</v>
      </c>
      <c r="K51" s="84" t="str">
        <f>VLOOKUP(I51,[7]stage_hints!$A:$C,3,FALSE)</f>
        <v>ステータス情報は長押しで</v>
      </c>
      <c r="L51" s="85" t="str">
        <f>VLOOKUP(I51,[7]stage_hints!$A:$D,4,FALSE)</f>
        <v>ユニットのアイコンを長押しすると_x000D_ステータス情報を確認することができます</v>
      </c>
      <c r="M51" s="49" t="s">
        <v>211</v>
      </c>
    </row>
    <row r="52" spans="1:13" x14ac:dyDescent="0.15">
      <c r="A52" s="73" t="s">
        <v>201</v>
      </c>
      <c r="B52" s="74">
        <f>floors!$C$2</f>
        <v>20014</v>
      </c>
      <c r="C52" s="75" t="str">
        <f ca="1">VLOOKUP($B52,OFFSET([2]quests!$A$1,0,0,COUNTA([2]quests!$A:$A),MATCH(C$1,[2]quests!$1:$1,0)-MATCH($B$1,[2]quests!$1:$1,0)+1),MATCH(C$1,[2]quests!$1:$1,0)-MATCH($B$1,[2]quests!$1:$1,0)+1,FALSE)</f>
        <v>魅了する歌声</v>
      </c>
      <c r="D52" s="75" t="str">
        <f ca="1">VLOOKUP($B52,OFFSET([2]quests!$A$1,0,0,COUNTA([2]quests!$A:$A),MATCH(D$1,[2]quests!$1:$1,0)-MATCH($B$1,[2]quests!$1:$1,0)+1),MATCH(D$1,[2]quests!$1:$1,0)-MATCH($B$1,[2]quests!$1:$1,0)+1,FALSE)</f>
        <v>天使と悪魔編1</v>
      </c>
      <c r="E52" s="79">
        <v>2</v>
      </c>
      <c r="F52" s="75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【中級】魅了する歌声</v>
      </c>
      <c r="G52" s="75" t="str">
        <f ca="1">VLOOKUP($B52&amp;"_"&amp;$E52,OFFSET([2]stages!$A$1,0,0,COUNTA([2]stages!$A:$A),MATCH(G$1,[2]stages!$2:$2,0)-MATCH("temp_stage",[2]stages!$2:$2,0)+1),MATCH(G$1,[2]stages!$2:$2,0)-MATCH("temp_stage",[2]stages!$2:$2,0)+1,FALSE)</f>
        <v>天使と悪魔編1</v>
      </c>
      <c r="H52" s="77">
        <v>0</v>
      </c>
      <c r="I52">
        <v>29</v>
      </c>
      <c r="J52" s="76" t="s">
        <v>198</v>
      </c>
      <c r="K52" s="84" t="str">
        <f>VLOOKUP(I52,[7]stage_hints!$A:$C,3,FALSE)</f>
        <v>「バグ」のメリット</v>
      </c>
      <c r="L52" s="85" t="str">
        <f>VLOOKUP(I52,[7]stage_hints!$A:$D,4,FALSE)</f>
        <v>ユニットの「バグ」を増やすと_x000D_報酬をもらえる確率がアップします</v>
      </c>
      <c r="M52" s="49" t="s">
        <v>211</v>
      </c>
    </row>
    <row r="53" spans="1:13" x14ac:dyDescent="0.15">
      <c r="A53" s="73" t="s">
        <v>201</v>
      </c>
      <c r="B53" s="74">
        <f>floors!$C$2</f>
        <v>20014</v>
      </c>
      <c r="C53" s="75" t="str">
        <f ca="1">VLOOKUP($B53,OFFSET([2]quests!$A$1,0,0,COUNTA([2]quests!$A:$A),MATCH(C$1,[2]quests!$1:$1,0)-MATCH($B$1,[2]quests!$1:$1,0)+1),MATCH(C$1,[2]quests!$1:$1,0)-MATCH($B$1,[2]quests!$1:$1,0)+1,FALSE)</f>
        <v>魅了する歌声</v>
      </c>
      <c r="D53" s="75" t="str">
        <f ca="1">VLOOKUP($B53,OFFSET([2]quests!$A$1,0,0,COUNTA([2]quests!$A:$A),MATCH(D$1,[2]quests!$1:$1,0)-MATCH($B$1,[2]quests!$1:$1,0)+1),MATCH(D$1,[2]quests!$1:$1,0)-MATCH($B$1,[2]quests!$1:$1,0)+1,FALSE)</f>
        <v>天使と悪魔編1</v>
      </c>
      <c r="E53" s="79">
        <v>2</v>
      </c>
      <c r="F53" s="75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【中級】魅了する歌声</v>
      </c>
      <c r="G53" s="75" t="str">
        <f ca="1">VLOOKUP($B53&amp;"_"&amp;$E53,OFFSET([2]stages!$A$1,0,0,COUNTA([2]stages!$A:$A),MATCH(G$1,[2]stages!$2:$2,0)-MATCH("temp_stage",[2]stages!$2:$2,0)+1),MATCH(G$1,[2]stages!$2:$2,0)-MATCH("temp_stage",[2]stages!$2:$2,0)+1,FALSE)</f>
        <v>天使と悪魔編1</v>
      </c>
      <c r="H53" s="77">
        <v>0</v>
      </c>
      <c r="I53">
        <v>30</v>
      </c>
      <c r="J53" s="76" t="s">
        <v>198</v>
      </c>
      <c r="K53" s="84" t="str">
        <f>VLOOKUP(I53,[7]stage_hints!$A:$C,3,FALSE)</f>
        <v>「バグ」の増やし方</v>
      </c>
      <c r="L53" s="85" t="str">
        <f>VLOOKUP(I53,[7]stage_hints!$A:$D,4,FALSE)</f>
        <v>同じユニット同士を強化で合成すると_x000D_「バグ」を増やすことができます</v>
      </c>
      <c r="M53" s="49" t="s">
        <v>211</v>
      </c>
    </row>
    <row r="54" spans="1:13" x14ac:dyDescent="0.15">
      <c r="A54" s="73" t="s">
        <v>201</v>
      </c>
      <c r="B54" s="74">
        <f>floors!$C$2</f>
        <v>20014</v>
      </c>
      <c r="C54" s="75" t="str">
        <f ca="1">VLOOKUP($B54,OFFSET([2]quests!$A$1,0,0,COUNTA([2]quests!$A:$A),MATCH(C$1,[2]quests!$1:$1,0)-MATCH($B$1,[2]quests!$1:$1,0)+1),MATCH(C$1,[2]quests!$1:$1,0)-MATCH($B$1,[2]quests!$1:$1,0)+1,FALSE)</f>
        <v>魅了する歌声</v>
      </c>
      <c r="D54" s="75" t="str">
        <f ca="1">VLOOKUP($B54,OFFSET([2]quests!$A$1,0,0,COUNTA([2]quests!$A:$A),MATCH(D$1,[2]quests!$1:$1,0)-MATCH($B$1,[2]quests!$1:$1,0)+1),MATCH(D$1,[2]quests!$1:$1,0)-MATCH($B$1,[2]quests!$1:$1,0)+1,FALSE)</f>
        <v>天使と悪魔編1</v>
      </c>
      <c r="E54" s="79">
        <v>2</v>
      </c>
      <c r="F54" s="75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【中級】魅了する歌声</v>
      </c>
      <c r="G54" s="75" t="str">
        <f ca="1">VLOOKUP($B54&amp;"_"&amp;$E54,OFFSET([2]stages!$A$1,0,0,COUNTA([2]stages!$A:$A),MATCH(G$1,[2]stages!$2:$2,0)-MATCH("temp_stage",[2]stages!$2:$2,0)+1),MATCH(G$1,[2]stages!$2:$2,0)-MATCH("temp_stage",[2]stages!$2:$2,0)+1,FALSE)</f>
        <v>天使と悪魔編1</v>
      </c>
      <c r="H54" s="77">
        <v>0</v>
      </c>
      <c r="I54">
        <v>31</v>
      </c>
      <c r="J54" s="76" t="s">
        <v>198</v>
      </c>
      <c r="K54" s="84" t="str">
        <f>VLOOKUP(I54,[7]stage_hints!$A:$C,3,FALSE)</f>
        <v>イベントはお知らせでチェック</v>
      </c>
      <c r="L54" s="85" t="str">
        <f>VLOOKUP(I54,[7]stage_hints!$A:$D,4,FALSE)</f>
        <v>イベント限定ユニットを取り忘れないように_x000D_お知らせをこまめにチェックしましょう</v>
      </c>
      <c r="M54" s="49" t="s">
        <v>211</v>
      </c>
    </row>
    <row r="55" spans="1:13" x14ac:dyDescent="0.15">
      <c r="A55" s="73" t="s">
        <v>201</v>
      </c>
      <c r="B55" s="74">
        <f>floors!$C$2</f>
        <v>20014</v>
      </c>
      <c r="C55" s="75" t="str">
        <f ca="1">VLOOKUP($B55,OFFSET([2]quests!$A$1,0,0,COUNTA([2]quests!$A:$A),MATCH(C$1,[2]quests!$1:$1,0)-MATCH($B$1,[2]quests!$1:$1,0)+1),MATCH(C$1,[2]quests!$1:$1,0)-MATCH($B$1,[2]quests!$1:$1,0)+1,FALSE)</f>
        <v>魅了する歌声</v>
      </c>
      <c r="D55" s="75" t="str">
        <f ca="1">VLOOKUP($B55,OFFSET([2]quests!$A$1,0,0,COUNTA([2]quests!$A:$A),MATCH(D$1,[2]quests!$1:$1,0)-MATCH($B$1,[2]quests!$1:$1,0)+1),MATCH(D$1,[2]quests!$1:$1,0)-MATCH($B$1,[2]quests!$1:$1,0)+1,FALSE)</f>
        <v>天使と悪魔編1</v>
      </c>
      <c r="E55" s="79">
        <v>2</v>
      </c>
      <c r="F55" s="75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【中級】魅了する歌声</v>
      </c>
      <c r="G55" s="75" t="str">
        <f ca="1">VLOOKUP($B55&amp;"_"&amp;$E55,OFFSET([2]stages!$A$1,0,0,COUNTA([2]stages!$A:$A),MATCH(G$1,[2]stages!$2:$2,0)-MATCH("temp_stage",[2]stages!$2:$2,0)+1),MATCH(G$1,[2]stages!$2:$2,0)-MATCH("temp_stage",[2]stages!$2:$2,0)+1,FALSE)</f>
        <v>天使と悪魔編1</v>
      </c>
      <c r="H55" s="77">
        <v>0</v>
      </c>
      <c r="I55">
        <v>32</v>
      </c>
      <c r="J55" s="76" t="s">
        <v>198</v>
      </c>
      <c r="K55" s="84" t="str">
        <f>VLOOKUP(I55,[7]stage_hints!$A:$C,3,FALSE)</f>
        <v>敵の連続攻撃には</v>
      </c>
      <c r="L55" s="85" t="str">
        <f>VLOOKUP(I55,[7]stage_hints!$A:$D,4,FALSE)</f>
        <v>カウンタースキルを持つユニットがいれば_x000D_ダメージ回数分の反撃ができます</v>
      </c>
      <c r="M55" s="49" t="s">
        <v>211</v>
      </c>
    </row>
    <row r="56" spans="1:13" x14ac:dyDescent="0.15">
      <c r="A56" s="73" t="s">
        <v>201</v>
      </c>
      <c r="B56" s="74">
        <f>floors!$C$2</f>
        <v>20014</v>
      </c>
      <c r="C56" s="75" t="str">
        <f ca="1">VLOOKUP($B56,OFFSET([2]quests!$A$1,0,0,COUNTA([2]quests!$A:$A),MATCH(C$1,[2]quests!$1:$1,0)-MATCH($B$1,[2]quests!$1:$1,0)+1),MATCH(C$1,[2]quests!$1:$1,0)-MATCH($B$1,[2]quests!$1:$1,0)+1,FALSE)</f>
        <v>魅了する歌声</v>
      </c>
      <c r="D56" s="75" t="str">
        <f ca="1">VLOOKUP($B56,OFFSET([2]quests!$A$1,0,0,COUNTA([2]quests!$A:$A),MATCH(D$1,[2]quests!$1:$1,0)-MATCH($B$1,[2]quests!$1:$1,0)+1),MATCH(D$1,[2]quests!$1:$1,0)-MATCH($B$1,[2]quests!$1:$1,0)+1,FALSE)</f>
        <v>天使と悪魔編1</v>
      </c>
      <c r="E56" s="79">
        <v>2</v>
      </c>
      <c r="F56" s="75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【中級】魅了する歌声</v>
      </c>
      <c r="G56" s="75" t="str">
        <f ca="1">VLOOKUP($B56&amp;"_"&amp;$E56,OFFSET([2]stages!$A$1,0,0,COUNTA([2]stages!$A:$A),MATCH(G$1,[2]stages!$2:$2,0)-MATCH("temp_stage",[2]stages!$2:$2,0)+1),MATCH(G$1,[2]stages!$2:$2,0)-MATCH("temp_stage",[2]stages!$2:$2,0)+1,FALSE)</f>
        <v>天使と悪魔編1</v>
      </c>
      <c r="H56" s="77">
        <v>0</v>
      </c>
      <c r="I56">
        <v>33</v>
      </c>
      <c r="J56" s="76" t="s">
        <v>198</v>
      </c>
      <c r="K56" s="84" t="str">
        <f>VLOOKUP(I56,[7]stage_hints!$A:$C,3,FALSE)</f>
        <v>敵のカウンター攻撃には</v>
      </c>
      <c r="L56" s="85" t="str">
        <f>VLOOKUP(I56,[7]stage_hints!$A:$D,4,FALSE)</f>
        <v>カウンターブレイクスキルを持っていれば_x000D_敵のカウンターを解除して攻撃ができます</v>
      </c>
      <c r="M56" s="49" t="s">
        <v>211</v>
      </c>
    </row>
    <row r="57" spans="1:13" x14ac:dyDescent="0.15">
      <c r="A57" s="73" t="s">
        <v>201</v>
      </c>
      <c r="B57" s="74">
        <f>floors!$C$2</f>
        <v>20014</v>
      </c>
      <c r="C57" s="75" t="str">
        <f ca="1">VLOOKUP($B57,OFFSET([2]quests!$A$1,0,0,COUNTA([2]quests!$A:$A),MATCH(C$1,[2]quests!$1:$1,0)-MATCH($B$1,[2]quests!$1:$1,0)+1),MATCH(C$1,[2]quests!$1:$1,0)-MATCH($B$1,[2]quests!$1:$1,0)+1,FALSE)</f>
        <v>魅了する歌声</v>
      </c>
      <c r="D57" s="75" t="str">
        <f ca="1">VLOOKUP($B57,OFFSET([2]quests!$A$1,0,0,COUNTA([2]quests!$A:$A),MATCH(D$1,[2]quests!$1:$1,0)-MATCH($B$1,[2]quests!$1:$1,0)+1),MATCH(D$1,[2]quests!$1:$1,0)-MATCH($B$1,[2]quests!$1:$1,0)+1,FALSE)</f>
        <v>天使と悪魔編1</v>
      </c>
      <c r="E57" s="79">
        <v>2</v>
      </c>
      <c r="F57" s="75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【中級】魅了する歌声</v>
      </c>
      <c r="G57" s="75" t="str">
        <f ca="1">VLOOKUP($B57&amp;"_"&amp;$E57,OFFSET([2]stages!$A$1,0,0,COUNTA([2]stages!$A:$A),MATCH(G$1,[2]stages!$2:$2,0)-MATCH("temp_stage",[2]stages!$2:$2,0)+1),MATCH(G$1,[2]stages!$2:$2,0)-MATCH("temp_stage",[2]stages!$2:$2,0)+1,FALSE)</f>
        <v>天使と悪魔編1</v>
      </c>
      <c r="H57" s="77">
        <v>0</v>
      </c>
      <c r="I57">
        <v>34</v>
      </c>
      <c r="J57" s="76" t="s">
        <v>198</v>
      </c>
      <c r="K57" s="84" t="str">
        <f>VLOOKUP(I57,[7]stage_hints!$A:$C,3,FALSE)</f>
        <v>ステータスをスキルで下げられたら</v>
      </c>
      <c r="L57" s="85" t="str">
        <f>VLOOKUP(I57,[7]stage_hints!$A:$D,4,FALSE)</f>
        <v>ステータスダウンのスキルを受けたら_x000D_ステータスアップスキルで上書きしましょう</v>
      </c>
      <c r="M57" s="49" t="s">
        <v>211</v>
      </c>
    </row>
    <row r="58" spans="1:13" x14ac:dyDescent="0.15">
      <c r="A58" s="73" t="s">
        <v>201</v>
      </c>
      <c r="B58" s="74">
        <f>floors!$C$2</f>
        <v>20014</v>
      </c>
      <c r="C58" s="75" t="str">
        <f ca="1">VLOOKUP($B58,OFFSET([2]quests!$A$1,0,0,COUNTA([2]quests!$A:$A),MATCH(C$1,[2]quests!$1:$1,0)-MATCH($B$1,[2]quests!$1:$1,0)+1),MATCH(C$1,[2]quests!$1:$1,0)-MATCH($B$1,[2]quests!$1:$1,0)+1,FALSE)</f>
        <v>魅了する歌声</v>
      </c>
      <c r="D58" s="75" t="str">
        <f ca="1">VLOOKUP($B58,OFFSET([2]quests!$A$1,0,0,COUNTA([2]quests!$A:$A),MATCH(D$1,[2]quests!$1:$1,0)-MATCH($B$1,[2]quests!$1:$1,0)+1),MATCH(D$1,[2]quests!$1:$1,0)-MATCH($B$1,[2]quests!$1:$1,0)+1,FALSE)</f>
        <v>天使と悪魔編1</v>
      </c>
      <c r="E58" s="79">
        <v>2</v>
      </c>
      <c r="F58" s="75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【中級】魅了する歌声</v>
      </c>
      <c r="G58" s="75" t="str">
        <f ca="1">VLOOKUP($B58&amp;"_"&amp;$E58,OFFSET([2]stages!$A$1,0,0,COUNTA([2]stages!$A:$A),MATCH(G$1,[2]stages!$2:$2,0)-MATCH("temp_stage",[2]stages!$2:$2,0)+1),MATCH(G$1,[2]stages!$2:$2,0)-MATCH("temp_stage",[2]stages!$2:$2,0)+1,FALSE)</f>
        <v>天使と悪魔編1</v>
      </c>
      <c r="H58" s="77">
        <v>0</v>
      </c>
      <c r="I58">
        <v>35</v>
      </c>
      <c r="J58" s="76" t="s">
        <v>198</v>
      </c>
      <c r="K58" s="84" t="str">
        <f>VLOOKUP(I58,[7]stage_hints!$A:$C,3,FALSE)</f>
        <v>敵のステータスがスキルで上がったら</v>
      </c>
      <c r="L58" s="85" t="str">
        <f>VLOOKUP(I58,[7]stage_hints!$A:$D,4,FALSE)</f>
        <v>敵のステータスがスキルでアップしたときは_x000D_ステータスダウンスキルで上書きしましょう</v>
      </c>
      <c r="M58" s="49" t="s">
        <v>211</v>
      </c>
    </row>
    <row r="59" spans="1:13" x14ac:dyDescent="0.15">
      <c r="A59" s="73" t="s">
        <v>201</v>
      </c>
      <c r="B59" s="74">
        <f>floors!$C$2</f>
        <v>20014</v>
      </c>
      <c r="C59" s="75" t="str">
        <f ca="1">VLOOKUP($B59,OFFSET([2]quests!$A$1,0,0,COUNTA([2]quests!$A:$A),MATCH(C$1,[2]quests!$1:$1,0)-MATCH($B$1,[2]quests!$1:$1,0)+1),MATCH(C$1,[2]quests!$1:$1,0)-MATCH($B$1,[2]quests!$1:$1,0)+1,FALSE)</f>
        <v>魅了する歌声</v>
      </c>
      <c r="D59" s="75" t="str">
        <f ca="1">VLOOKUP($B59,OFFSET([2]quests!$A$1,0,0,COUNTA([2]quests!$A:$A),MATCH(D$1,[2]quests!$1:$1,0)-MATCH($B$1,[2]quests!$1:$1,0)+1),MATCH(D$1,[2]quests!$1:$1,0)-MATCH($B$1,[2]quests!$1:$1,0)+1,FALSE)</f>
        <v>天使と悪魔編1</v>
      </c>
      <c r="E59" s="79">
        <v>2</v>
      </c>
      <c r="F59" s="75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【中級】魅了する歌声</v>
      </c>
      <c r="G59" s="75" t="str">
        <f ca="1">VLOOKUP($B59&amp;"_"&amp;$E59,OFFSET([2]stages!$A$1,0,0,COUNTA([2]stages!$A:$A),MATCH(G$1,[2]stages!$2:$2,0)-MATCH("temp_stage",[2]stages!$2:$2,0)+1),MATCH(G$1,[2]stages!$2:$2,0)-MATCH("temp_stage",[2]stages!$2:$2,0)+1,FALSE)</f>
        <v>天使と悪魔編1</v>
      </c>
      <c r="H59" s="77">
        <v>0</v>
      </c>
      <c r="I59">
        <v>39</v>
      </c>
      <c r="J59" s="76" t="s">
        <v>198</v>
      </c>
      <c r="K59" s="84" t="str">
        <f>VLOOKUP(I59,[7]stage_hints!$A:$C,3,FALSE)</f>
        <v>システム適合者を確認</v>
      </c>
      <c r="L59" s="85" t="str">
        <f>VLOOKUP(I59,[7]stage_hints!$A:$D,4,FALSE)</f>
        <v>ALICEが 「アナタ」を呼んでいます</v>
      </c>
      <c r="M59" s="49" t="s">
        <v>211</v>
      </c>
    </row>
    <row r="60" spans="1:13" x14ac:dyDescent="0.15">
      <c r="A60" s="73" t="s">
        <v>201</v>
      </c>
      <c r="B60" s="74">
        <f>floors!$C$2</f>
        <v>20014</v>
      </c>
      <c r="C60" s="75" t="str">
        <f ca="1">VLOOKUP($B60,OFFSET([2]quests!$A$1,0,0,COUNTA([2]quests!$A:$A),MATCH(C$1,[2]quests!$1:$1,0)-MATCH($B$1,[2]quests!$1:$1,0)+1),MATCH(C$1,[2]quests!$1:$1,0)-MATCH($B$1,[2]quests!$1:$1,0)+1,FALSE)</f>
        <v>魅了する歌声</v>
      </c>
      <c r="D60" s="75" t="str">
        <f ca="1">VLOOKUP($B60,OFFSET([2]quests!$A$1,0,0,COUNTA([2]quests!$A:$A),MATCH(D$1,[2]quests!$1:$1,0)-MATCH($B$1,[2]quests!$1:$1,0)+1),MATCH(D$1,[2]quests!$1:$1,0)-MATCH($B$1,[2]quests!$1:$1,0)+1,FALSE)</f>
        <v>天使と悪魔編1</v>
      </c>
      <c r="E60" s="79">
        <v>3</v>
      </c>
      <c r="F60" s="75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【上級】魅了する歌声</v>
      </c>
      <c r="G60" s="75" t="str">
        <f ca="1">VLOOKUP($B60&amp;"_"&amp;$E60,OFFSET([2]stages!$A$1,0,0,COUNTA([2]stages!$A:$A),MATCH(G$1,[2]stages!$2:$2,0)-MATCH("temp_stage",[2]stages!$2:$2,0)+1),MATCH(G$1,[2]stages!$2:$2,0)-MATCH("temp_stage",[2]stages!$2:$2,0)+1,FALSE)</f>
        <v>天使と悪魔編1</v>
      </c>
      <c r="H60" s="77">
        <v>0</v>
      </c>
      <c r="I60" s="88">
        <v>3</v>
      </c>
      <c r="J60" s="76" t="s">
        <v>198</v>
      </c>
      <c r="K60" s="84" t="str">
        <f>VLOOKUP(I60,[7]stage_hints!$A:$C,3,FALSE)</f>
        <v>ターゲット</v>
      </c>
      <c r="L60" s="85" t="str">
        <f>VLOOKUP(I60,[7]stage_hints!$A:$D,4,FALSE)</f>
        <v>敵ユニットをタップすると_x000D_その敵を狙い撃ちできます</v>
      </c>
      <c r="M60" s="49" t="s">
        <v>211</v>
      </c>
    </row>
    <row r="61" spans="1:13" x14ac:dyDescent="0.15">
      <c r="A61" s="73" t="s">
        <v>201</v>
      </c>
      <c r="B61" s="74">
        <f>floors!$C$2</f>
        <v>20014</v>
      </c>
      <c r="C61" s="75" t="str">
        <f ca="1">VLOOKUP($B61,OFFSET([2]quests!$A$1,0,0,COUNTA([2]quests!$A:$A),MATCH(C$1,[2]quests!$1:$1,0)-MATCH($B$1,[2]quests!$1:$1,0)+1),MATCH(C$1,[2]quests!$1:$1,0)-MATCH($B$1,[2]quests!$1:$1,0)+1,FALSE)</f>
        <v>魅了する歌声</v>
      </c>
      <c r="D61" s="75" t="str">
        <f ca="1">VLOOKUP($B61,OFFSET([2]quests!$A$1,0,0,COUNTA([2]quests!$A:$A),MATCH(D$1,[2]quests!$1:$1,0)-MATCH($B$1,[2]quests!$1:$1,0)+1),MATCH(D$1,[2]quests!$1:$1,0)-MATCH($B$1,[2]quests!$1:$1,0)+1,FALSE)</f>
        <v>天使と悪魔編1</v>
      </c>
      <c r="E61" s="79">
        <v>3</v>
      </c>
      <c r="F61" s="75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【上級】魅了する歌声</v>
      </c>
      <c r="G61" s="75" t="str">
        <f ca="1">VLOOKUP($B61&amp;"_"&amp;$E61,OFFSET([2]stages!$A$1,0,0,COUNTA([2]stages!$A:$A),MATCH(G$1,[2]stages!$2:$2,0)-MATCH("temp_stage",[2]stages!$2:$2,0)+1),MATCH(G$1,[2]stages!$2:$2,0)-MATCH("temp_stage",[2]stages!$2:$2,0)+1,FALSE)</f>
        <v>天使と悪魔編1</v>
      </c>
      <c r="H61" s="77">
        <v>0</v>
      </c>
      <c r="I61" s="88">
        <v>6</v>
      </c>
      <c r="J61" s="76" t="s">
        <v>198</v>
      </c>
      <c r="K61" s="84" t="str">
        <f>VLOOKUP(I61,[7]stage_hints!$A:$C,3,FALSE)</f>
        <v>ユニット強化の属性ボーナス</v>
      </c>
      <c r="L61" s="85" t="str">
        <f>VLOOKUP(I61,[7]stage_hints!$A:$D,4,FALSE)</f>
        <v>同属性ユニットを強化素材にすると_x000D_経験値が多くもらえます</v>
      </c>
      <c r="M61" s="49" t="s">
        <v>211</v>
      </c>
    </row>
    <row r="62" spans="1:13" x14ac:dyDescent="0.15">
      <c r="A62" s="73" t="s">
        <v>201</v>
      </c>
      <c r="B62" s="74">
        <f>floors!$C$2</f>
        <v>20014</v>
      </c>
      <c r="C62" s="75" t="str">
        <f ca="1">VLOOKUP($B62,OFFSET([2]quests!$A$1,0,0,COUNTA([2]quests!$A:$A),MATCH(C$1,[2]quests!$1:$1,0)-MATCH($B$1,[2]quests!$1:$1,0)+1),MATCH(C$1,[2]quests!$1:$1,0)-MATCH($B$1,[2]quests!$1:$1,0)+1,FALSE)</f>
        <v>魅了する歌声</v>
      </c>
      <c r="D62" s="75" t="str">
        <f ca="1">VLOOKUP($B62,OFFSET([2]quests!$A$1,0,0,COUNTA([2]quests!$A:$A),MATCH(D$1,[2]quests!$1:$1,0)-MATCH($B$1,[2]quests!$1:$1,0)+1),MATCH(D$1,[2]quests!$1:$1,0)-MATCH($B$1,[2]quests!$1:$1,0)+1,FALSE)</f>
        <v>天使と悪魔編1</v>
      </c>
      <c r="E62" s="79">
        <v>3</v>
      </c>
      <c r="F62" s="75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【上級】魅了する歌声</v>
      </c>
      <c r="G62" s="75" t="str">
        <f ca="1">VLOOKUP($B62&amp;"_"&amp;$E62,OFFSET([2]stages!$A$1,0,0,COUNTA([2]stages!$A:$A),MATCH(G$1,[2]stages!$2:$2,0)-MATCH("temp_stage",[2]stages!$2:$2,0)+1),MATCH(G$1,[2]stages!$2:$2,0)-MATCH("temp_stage",[2]stages!$2:$2,0)+1,FALSE)</f>
        <v>天使と悪魔編1</v>
      </c>
      <c r="H62" s="77">
        <v>0</v>
      </c>
      <c r="I62" s="88">
        <v>7</v>
      </c>
      <c r="J62" s="76" t="s">
        <v>198</v>
      </c>
      <c r="K62" s="84" t="str">
        <f>VLOOKUP(I62,[7]stage_hints!$A:$C,3,FALSE)</f>
        <v>メタルダックで経験値を獲得</v>
      </c>
      <c r="L62" s="85" t="str">
        <f>VLOOKUP(I62,[7]stage_hints!$A:$D,4,FALSE)</f>
        <v>「メタルなアヒル」を強化素材にすると_x000D_大量の経験値がもらえます</v>
      </c>
      <c r="M62" s="49" t="s">
        <v>211</v>
      </c>
    </row>
    <row r="63" spans="1:13" x14ac:dyDescent="0.15">
      <c r="A63" s="73" t="s">
        <v>201</v>
      </c>
      <c r="B63" s="74">
        <f>floors!$C$2</f>
        <v>20014</v>
      </c>
      <c r="C63" s="75" t="str">
        <f ca="1">VLOOKUP($B63,OFFSET([2]quests!$A$1,0,0,COUNTA([2]quests!$A:$A),MATCH(C$1,[2]quests!$1:$1,0)-MATCH($B$1,[2]quests!$1:$1,0)+1),MATCH(C$1,[2]quests!$1:$1,0)-MATCH($B$1,[2]quests!$1:$1,0)+1,FALSE)</f>
        <v>魅了する歌声</v>
      </c>
      <c r="D63" s="75" t="str">
        <f ca="1">VLOOKUP($B63,OFFSET([2]quests!$A$1,0,0,COUNTA([2]quests!$A:$A),MATCH(D$1,[2]quests!$1:$1,0)-MATCH($B$1,[2]quests!$1:$1,0)+1),MATCH(D$1,[2]quests!$1:$1,0)-MATCH($B$1,[2]quests!$1:$1,0)+1,FALSE)</f>
        <v>天使と悪魔編1</v>
      </c>
      <c r="E63" s="79">
        <v>3</v>
      </c>
      <c r="F63" s="75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【上級】魅了する歌声</v>
      </c>
      <c r="G63" s="75" t="str">
        <f ca="1">VLOOKUP($B63&amp;"_"&amp;$E63,OFFSET([2]stages!$A$1,0,0,COUNTA([2]stages!$A:$A),MATCH(G$1,[2]stages!$2:$2,0)-MATCH("temp_stage",[2]stages!$2:$2,0)+1),MATCH(G$1,[2]stages!$2:$2,0)-MATCH("temp_stage",[2]stages!$2:$2,0)+1,FALSE)</f>
        <v>天使と悪魔編1</v>
      </c>
      <c r="H63" s="77">
        <v>0</v>
      </c>
      <c r="I63" s="88">
        <v>8</v>
      </c>
      <c r="J63" s="76" t="s">
        <v>198</v>
      </c>
      <c r="K63" s="84" t="str">
        <f>VLOOKUP(I63,[7]stage_hints!$A:$C,3,FALSE)</f>
        <v>ゲリラクエストは要チェック</v>
      </c>
      <c r="L63" s="85" t="str">
        <f>VLOOKUP(I63,[7]stage_hints!$A:$D,4,FALSE)</f>
        <v>時間限定の「アヒル捕獲作戦」では_x000D_経験値素材ユニットが多く手に入ります</v>
      </c>
      <c r="M63" s="49" t="s">
        <v>211</v>
      </c>
    </row>
    <row r="64" spans="1:13" x14ac:dyDescent="0.15">
      <c r="A64" s="73" t="s">
        <v>201</v>
      </c>
      <c r="B64" s="74">
        <f>floors!$C$2</f>
        <v>20014</v>
      </c>
      <c r="C64" s="75" t="str">
        <f ca="1">VLOOKUP($B64,OFFSET([2]quests!$A$1,0,0,COUNTA([2]quests!$A:$A),MATCH(C$1,[2]quests!$1:$1,0)-MATCH($B$1,[2]quests!$1:$1,0)+1),MATCH(C$1,[2]quests!$1:$1,0)-MATCH($B$1,[2]quests!$1:$1,0)+1,FALSE)</f>
        <v>魅了する歌声</v>
      </c>
      <c r="D64" s="75" t="str">
        <f ca="1">VLOOKUP($B64,OFFSET([2]quests!$A$1,0,0,COUNTA([2]quests!$A:$A),MATCH(D$1,[2]quests!$1:$1,0)-MATCH($B$1,[2]quests!$1:$1,0)+1),MATCH(D$1,[2]quests!$1:$1,0)-MATCH($B$1,[2]quests!$1:$1,0)+1,FALSE)</f>
        <v>天使と悪魔編1</v>
      </c>
      <c r="E64" s="79">
        <v>3</v>
      </c>
      <c r="F64" s="75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【上級】魅了する歌声</v>
      </c>
      <c r="G64" s="75" t="str">
        <f ca="1">VLOOKUP($B64&amp;"_"&amp;$E64,OFFSET([2]stages!$A$1,0,0,COUNTA([2]stages!$A:$A),MATCH(G$1,[2]stages!$2:$2,0)-MATCH("temp_stage",[2]stages!$2:$2,0)+1),MATCH(G$1,[2]stages!$2:$2,0)-MATCH("temp_stage",[2]stages!$2:$2,0)+1,FALSE)</f>
        <v>天使と悪魔編1</v>
      </c>
      <c r="H64" s="77">
        <v>0</v>
      </c>
      <c r="I64" s="88">
        <v>9</v>
      </c>
      <c r="J64" s="76" t="s">
        <v>198</v>
      </c>
      <c r="K64" s="84" t="str">
        <f>VLOOKUP(I64,[7]stage_hints!$A:$C,3,FALSE)</f>
        <v>ゴールドダックでビットを獲得</v>
      </c>
      <c r="L64" s="85" t="str">
        <f>VLOOKUP(I64,[7]stage_hints!$A:$D,4,FALSE)</f>
        <v>「ゴールドなアヒル」を売却すると_x000D_大量のビットがもらえます</v>
      </c>
      <c r="M64" s="49" t="s">
        <v>211</v>
      </c>
    </row>
    <row r="65" spans="1:13" x14ac:dyDescent="0.15">
      <c r="A65" s="73" t="s">
        <v>201</v>
      </c>
      <c r="B65" s="74">
        <f>floors!$C$2</f>
        <v>20014</v>
      </c>
      <c r="C65" s="75" t="str">
        <f ca="1">VLOOKUP($B65,OFFSET([2]quests!$A$1,0,0,COUNTA([2]quests!$A:$A),MATCH(C$1,[2]quests!$1:$1,0)-MATCH($B$1,[2]quests!$1:$1,0)+1),MATCH(C$1,[2]quests!$1:$1,0)-MATCH($B$1,[2]quests!$1:$1,0)+1,FALSE)</f>
        <v>魅了する歌声</v>
      </c>
      <c r="D65" s="75" t="str">
        <f ca="1">VLOOKUP($B65,OFFSET([2]quests!$A$1,0,0,COUNTA([2]quests!$A:$A),MATCH(D$1,[2]quests!$1:$1,0)-MATCH($B$1,[2]quests!$1:$1,0)+1),MATCH(D$1,[2]quests!$1:$1,0)-MATCH($B$1,[2]quests!$1:$1,0)+1,FALSE)</f>
        <v>天使と悪魔編1</v>
      </c>
      <c r="E65" s="79">
        <v>3</v>
      </c>
      <c r="F65" s="75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【上級】魅了する歌声</v>
      </c>
      <c r="G65" s="75" t="str">
        <f ca="1">VLOOKUP($B65&amp;"_"&amp;$E65,OFFSET([2]stages!$A$1,0,0,COUNTA([2]stages!$A:$A),MATCH(G$1,[2]stages!$2:$2,0)-MATCH("temp_stage",[2]stages!$2:$2,0)+1),MATCH(G$1,[2]stages!$2:$2,0)-MATCH("temp_stage",[2]stages!$2:$2,0)+1,FALSE)</f>
        <v>天使と悪魔編1</v>
      </c>
      <c r="H65" s="77">
        <v>0</v>
      </c>
      <c r="I65" s="88">
        <v>10</v>
      </c>
      <c r="J65" s="76" t="s">
        <v>198</v>
      </c>
      <c r="K65" s="84" t="str">
        <f>VLOOKUP(I65,[7]stage_hints!$A:$C,3,FALSE)</f>
        <v>土日に大量のビットを獲得</v>
      </c>
      <c r="L65" s="85" t="str">
        <f>VLOOKUP(I65,[7]stage_hints!$A:$D,4,FALSE)</f>
        <v>土日限定の「ゴールドカジノ」では_x000D_売却素材ユニットが多く手に入ります</v>
      </c>
      <c r="M65" s="49" t="s">
        <v>211</v>
      </c>
    </row>
    <row r="66" spans="1:13" x14ac:dyDescent="0.15">
      <c r="A66" s="73" t="s">
        <v>201</v>
      </c>
      <c r="B66" s="74">
        <f>floors!$C$2</f>
        <v>20014</v>
      </c>
      <c r="C66" s="75" t="str">
        <f ca="1">VLOOKUP($B66,OFFSET([2]quests!$A$1,0,0,COUNTA([2]quests!$A:$A),MATCH(C$1,[2]quests!$1:$1,0)-MATCH($B$1,[2]quests!$1:$1,0)+1),MATCH(C$1,[2]quests!$1:$1,0)-MATCH($B$1,[2]quests!$1:$1,0)+1,FALSE)</f>
        <v>魅了する歌声</v>
      </c>
      <c r="D66" s="75" t="str">
        <f ca="1">VLOOKUP($B66,OFFSET([2]quests!$A$1,0,0,COUNTA([2]quests!$A:$A),MATCH(D$1,[2]quests!$1:$1,0)-MATCH($B$1,[2]quests!$1:$1,0)+1),MATCH(D$1,[2]quests!$1:$1,0)-MATCH($B$1,[2]quests!$1:$1,0)+1,FALSE)</f>
        <v>天使と悪魔編1</v>
      </c>
      <c r="E66" s="79">
        <v>3</v>
      </c>
      <c r="F66" s="75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【上級】魅了する歌声</v>
      </c>
      <c r="G66" s="75" t="str">
        <f ca="1">VLOOKUP($B66&amp;"_"&amp;$E66,OFFSET([2]stages!$A$1,0,0,COUNTA([2]stages!$A:$A),MATCH(G$1,[2]stages!$2:$2,0)-MATCH("temp_stage",[2]stages!$2:$2,0)+1),MATCH(G$1,[2]stages!$2:$2,0)-MATCH("temp_stage",[2]stages!$2:$2,0)+1,FALSE)</f>
        <v>天使と悪魔編1</v>
      </c>
      <c r="H66" s="77">
        <v>0</v>
      </c>
      <c r="I66" s="88">
        <v>11</v>
      </c>
      <c r="J66" s="76" t="s">
        <v>198</v>
      </c>
      <c r="K66" s="84" t="str">
        <f>VLOOKUP(I66,[7]stage_hints!$A:$C,3,FALSE)</f>
        <v>ランク解放クエスト</v>
      </c>
      <c r="L66" s="85" t="str">
        <f>VLOOKUP(I66,[7]stage_hints!$A:$D,4,FALSE)</f>
        <v>一定ランクに到達すると_x000D_報酬付きのランク開放クエストが現れます</v>
      </c>
      <c r="M66" s="49" t="s">
        <v>211</v>
      </c>
    </row>
    <row r="67" spans="1:13" x14ac:dyDescent="0.15">
      <c r="A67" s="73" t="s">
        <v>201</v>
      </c>
      <c r="B67" s="74">
        <f>floors!$C$2</f>
        <v>20014</v>
      </c>
      <c r="C67" s="75" t="str">
        <f ca="1">VLOOKUP($B67,OFFSET([2]quests!$A$1,0,0,COUNTA([2]quests!$A:$A),MATCH(C$1,[2]quests!$1:$1,0)-MATCH($B$1,[2]quests!$1:$1,0)+1),MATCH(C$1,[2]quests!$1:$1,0)-MATCH($B$1,[2]quests!$1:$1,0)+1,FALSE)</f>
        <v>魅了する歌声</v>
      </c>
      <c r="D67" s="75" t="str">
        <f ca="1">VLOOKUP($B67,OFFSET([2]quests!$A$1,0,0,COUNTA([2]quests!$A:$A),MATCH(D$1,[2]quests!$1:$1,0)-MATCH($B$1,[2]quests!$1:$1,0)+1),MATCH(D$1,[2]quests!$1:$1,0)-MATCH($B$1,[2]quests!$1:$1,0)+1,FALSE)</f>
        <v>天使と悪魔編1</v>
      </c>
      <c r="E67" s="79">
        <v>3</v>
      </c>
      <c r="F67" s="75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【上級】魅了する歌声</v>
      </c>
      <c r="G67" s="75" t="str">
        <f ca="1">VLOOKUP($B67&amp;"_"&amp;$E67,OFFSET([2]stages!$A$1,0,0,COUNTA([2]stages!$A:$A),MATCH(G$1,[2]stages!$2:$2,0)-MATCH("temp_stage",[2]stages!$2:$2,0)+1),MATCH(G$1,[2]stages!$2:$2,0)-MATCH("temp_stage",[2]stages!$2:$2,0)+1,FALSE)</f>
        <v>天使と悪魔編1</v>
      </c>
      <c r="H67" s="77">
        <v>0</v>
      </c>
      <c r="I67" s="88">
        <v>12</v>
      </c>
      <c r="J67" s="76" t="s">
        <v>198</v>
      </c>
      <c r="K67" s="84" t="str">
        <f>VLOOKUP(I67,[7]stage_hints!$A:$C,3,FALSE)</f>
        <v>ユニットのお気に入り登録</v>
      </c>
      <c r="L67" s="85" t="str">
        <f>VLOOKUP(I67,[7]stage_hints!$A:$D,4,FALSE)</f>
        <v>大事なユニットを誤って消さないように_x000D_フォルダから「お気に入り登録」しましょう</v>
      </c>
      <c r="M67" s="49" t="s">
        <v>211</v>
      </c>
    </row>
    <row r="68" spans="1:13" x14ac:dyDescent="0.15">
      <c r="A68" s="73" t="s">
        <v>201</v>
      </c>
      <c r="B68" s="74">
        <f>floors!$C$2</f>
        <v>20014</v>
      </c>
      <c r="C68" s="75" t="str">
        <f ca="1">VLOOKUP($B68,OFFSET([2]quests!$A$1,0,0,COUNTA([2]quests!$A:$A),MATCH(C$1,[2]quests!$1:$1,0)-MATCH($B$1,[2]quests!$1:$1,0)+1),MATCH(C$1,[2]quests!$1:$1,0)-MATCH($B$1,[2]quests!$1:$1,0)+1,FALSE)</f>
        <v>魅了する歌声</v>
      </c>
      <c r="D68" s="75" t="str">
        <f ca="1">VLOOKUP($B68,OFFSET([2]quests!$A$1,0,0,COUNTA([2]quests!$A:$A),MATCH(D$1,[2]quests!$1:$1,0)-MATCH($B$1,[2]quests!$1:$1,0)+1),MATCH(D$1,[2]quests!$1:$1,0)-MATCH($B$1,[2]quests!$1:$1,0)+1,FALSE)</f>
        <v>天使と悪魔編1</v>
      </c>
      <c r="E68" s="79">
        <v>3</v>
      </c>
      <c r="F68" s="75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【上級】魅了する歌声</v>
      </c>
      <c r="G68" s="75" t="str">
        <f ca="1">VLOOKUP($B68&amp;"_"&amp;$E68,OFFSET([2]stages!$A$1,0,0,COUNTA([2]stages!$A:$A),MATCH(G$1,[2]stages!$2:$2,0)-MATCH("temp_stage",[2]stages!$2:$2,0)+1),MATCH(G$1,[2]stages!$2:$2,0)-MATCH("temp_stage",[2]stages!$2:$2,0)+1,FALSE)</f>
        <v>天使と悪魔編1</v>
      </c>
      <c r="H68" s="77">
        <v>0</v>
      </c>
      <c r="I68" s="88">
        <v>13</v>
      </c>
      <c r="J68" s="76" t="s">
        <v>198</v>
      </c>
      <c r="K68" s="84" t="str">
        <f>VLOOKUP(I68,[7]stage_hints!$A:$C,3,FALSE)</f>
        <v>ユニットの覚醒</v>
      </c>
      <c r="L68" s="85" t="str">
        <f>VLOOKUP(I68,[7]stage_hints!$A:$D,4,FALSE)</f>
        <v>ユニットを覚醒させると_x000D_比べものにならない強さが手に入ります</v>
      </c>
      <c r="M68" s="49" t="s">
        <v>211</v>
      </c>
    </row>
    <row r="69" spans="1:13" x14ac:dyDescent="0.15">
      <c r="A69" s="73" t="s">
        <v>201</v>
      </c>
      <c r="B69" s="74">
        <f>floors!$C$2</f>
        <v>20014</v>
      </c>
      <c r="C69" s="75" t="str">
        <f ca="1">VLOOKUP($B69,OFFSET([2]quests!$A$1,0,0,COUNTA([2]quests!$A:$A),MATCH(C$1,[2]quests!$1:$1,0)-MATCH($B$1,[2]quests!$1:$1,0)+1),MATCH(C$1,[2]quests!$1:$1,0)-MATCH($B$1,[2]quests!$1:$1,0)+1,FALSE)</f>
        <v>魅了する歌声</v>
      </c>
      <c r="D69" s="75" t="str">
        <f ca="1">VLOOKUP($B69,OFFSET([2]quests!$A$1,0,0,COUNTA([2]quests!$A:$A),MATCH(D$1,[2]quests!$1:$1,0)-MATCH($B$1,[2]quests!$1:$1,0)+1),MATCH(D$1,[2]quests!$1:$1,0)-MATCH($B$1,[2]quests!$1:$1,0)+1,FALSE)</f>
        <v>天使と悪魔編1</v>
      </c>
      <c r="E69" s="79">
        <v>3</v>
      </c>
      <c r="F69" s="75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【上級】魅了する歌声</v>
      </c>
      <c r="G69" s="75" t="str">
        <f ca="1">VLOOKUP($B69&amp;"_"&amp;$E69,OFFSET([2]stages!$A$1,0,0,COUNTA([2]stages!$A:$A),MATCH(G$1,[2]stages!$2:$2,0)-MATCH("temp_stage",[2]stages!$2:$2,0)+1),MATCH(G$1,[2]stages!$2:$2,0)-MATCH("temp_stage",[2]stages!$2:$2,0)+1,FALSE)</f>
        <v>天使と悪魔編1</v>
      </c>
      <c r="H69" s="77">
        <v>0</v>
      </c>
      <c r="I69" s="88">
        <v>14</v>
      </c>
      <c r="J69" s="76" t="s">
        <v>198</v>
      </c>
      <c r="K69" s="84" t="str">
        <f>VLOOKUP(I69,[7]stage_hints!$A:$C,3,FALSE)</f>
        <v>覚醒するにはレベルを最大に</v>
      </c>
      <c r="L69" s="85" t="str">
        <f>VLOOKUP(I69,[7]stage_hints!$A:$D,4,FALSE)</f>
        <v>覚醒するにはユニットのレベルを_x000D_最大まで上げる必要があります</v>
      </c>
      <c r="M69" s="49" t="s">
        <v>211</v>
      </c>
    </row>
    <row r="70" spans="1:13" x14ac:dyDescent="0.15">
      <c r="A70" s="73" t="s">
        <v>201</v>
      </c>
      <c r="B70" s="74">
        <f>floors!$C$2</f>
        <v>20014</v>
      </c>
      <c r="C70" s="75" t="str">
        <f ca="1">VLOOKUP($B70,OFFSET([2]quests!$A$1,0,0,COUNTA([2]quests!$A:$A),MATCH(C$1,[2]quests!$1:$1,0)-MATCH($B$1,[2]quests!$1:$1,0)+1),MATCH(C$1,[2]quests!$1:$1,0)-MATCH($B$1,[2]quests!$1:$1,0)+1,FALSE)</f>
        <v>魅了する歌声</v>
      </c>
      <c r="D70" s="75" t="str">
        <f ca="1">VLOOKUP($B70,OFFSET([2]quests!$A$1,0,0,COUNTA([2]quests!$A:$A),MATCH(D$1,[2]quests!$1:$1,0)-MATCH($B$1,[2]quests!$1:$1,0)+1),MATCH(D$1,[2]quests!$1:$1,0)-MATCH($B$1,[2]quests!$1:$1,0)+1,FALSE)</f>
        <v>天使と悪魔編1</v>
      </c>
      <c r="E70" s="79">
        <v>3</v>
      </c>
      <c r="F70" s="75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【上級】魅了する歌声</v>
      </c>
      <c r="G70" s="75" t="str">
        <f ca="1">VLOOKUP($B70&amp;"_"&amp;$E70,OFFSET([2]stages!$A$1,0,0,COUNTA([2]stages!$A:$A),MATCH(G$1,[2]stages!$2:$2,0)-MATCH("temp_stage",[2]stages!$2:$2,0)+1),MATCH(G$1,[2]stages!$2:$2,0)-MATCH("temp_stage",[2]stages!$2:$2,0)+1,FALSE)</f>
        <v>天使と悪魔編1</v>
      </c>
      <c r="H70" s="77">
        <v>0</v>
      </c>
      <c r="I70" s="88">
        <v>15</v>
      </c>
      <c r="J70" s="76" t="s">
        <v>198</v>
      </c>
      <c r="K70" s="84" t="str">
        <f>VLOOKUP(I70,[7]stage_hints!$A:$C,3,FALSE)</f>
        <v>覚醒素材を獲得</v>
      </c>
      <c r="L70" s="85" t="str">
        <f>VLOOKUP(I70,[7]stage_hints!$A:$D,4,FALSE)</f>
        <v>「曜日クエスト」では_x000D_ユニットの覚醒に必要な素材が手に入ります</v>
      </c>
      <c r="M70" s="49" t="s">
        <v>211</v>
      </c>
    </row>
    <row r="71" spans="1:13" x14ac:dyDescent="0.15">
      <c r="A71" s="73" t="s">
        <v>201</v>
      </c>
      <c r="B71" s="74">
        <f>floors!$C$2</f>
        <v>20014</v>
      </c>
      <c r="C71" s="75" t="str">
        <f ca="1">VLOOKUP($B71,OFFSET([2]quests!$A$1,0,0,COUNTA([2]quests!$A:$A),MATCH(C$1,[2]quests!$1:$1,0)-MATCH($B$1,[2]quests!$1:$1,0)+1),MATCH(C$1,[2]quests!$1:$1,0)-MATCH($B$1,[2]quests!$1:$1,0)+1,FALSE)</f>
        <v>魅了する歌声</v>
      </c>
      <c r="D71" s="75" t="str">
        <f ca="1">VLOOKUP($B71,OFFSET([2]quests!$A$1,0,0,COUNTA([2]quests!$A:$A),MATCH(D$1,[2]quests!$1:$1,0)-MATCH($B$1,[2]quests!$1:$1,0)+1),MATCH(D$1,[2]quests!$1:$1,0)-MATCH($B$1,[2]quests!$1:$1,0)+1,FALSE)</f>
        <v>天使と悪魔編1</v>
      </c>
      <c r="E71" s="79">
        <v>3</v>
      </c>
      <c r="F71" s="75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【上級】魅了する歌声</v>
      </c>
      <c r="G71" s="75" t="str">
        <f ca="1">VLOOKUP($B71&amp;"_"&amp;$E71,OFFSET([2]stages!$A$1,0,0,COUNTA([2]stages!$A:$A),MATCH(G$1,[2]stages!$2:$2,0)-MATCH("temp_stage",[2]stages!$2:$2,0)+1),MATCH(G$1,[2]stages!$2:$2,0)-MATCH("temp_stage",[2]stages!$2:$2,0)+1,FALSE)</f>
        <v>天使と悪魔編1</v>
      </c>
      <c r="H71" s="77">
        <v>0</v>
      </c>
      <c r="I71" s="88">
        <v>16</v>
      </c>
      <c r="J71" s="76" t="s">
        <v>198</v>
      </c>
      <c r="K71" s="84" t="str">
        <f>VLOOKUP(I71,[7]stage_hints!$A:$C,3,FALSE)</f>
        <v>マルチプレイのメリット（その1）</v>
      </c>
      <c r="L71" s="85" t="str">
        <f>VLOOKUP(I71,[7]stage_hints!$A:$D,4,FALSE)</f>
        <v>他のプレイヤーとマルチプレイで遊ぶと_x000D_ポリゴンがもらえます（100人まで）</v>
      </c>
      <c r="M71" s="49" t="s">
        <v>211</v>
      </c>
    </row>
    <row r="72" spans="1:13" x14ac:dyDescent="0.15">
      <c r="A72" s="73" t="s">
        <v>201</v>
      </c>
      <c r="B72" s="74">
        <f>floors!$C$2</f>
        <v>20014</v>
      </c>
      <c r="C72" s="75" t="str">
        <f ca="1">VLOOKUP($B72,OFFSET([2]quests!$A$1,0,0,COUNTA([2]quests!$A:$A),MATCH(C$1,[2]quests!$1:$1,0)-MATCH($B$1,[2]quests!$1:$1,0)+1),MATCH(C$1,[2]quests!$1:$1,0)-MATCH($B$1,[2]quests!$1:$1,0)+1,FALSE)</f>
        <v>魅了する歌声</v>
      </c>
      <c r="D72" s="75" t="str">
        <f ca="1">VLOOKUP($B72,OFFSET([2]quests!$A$1,0,0,COUNTA([2]quests!$A:$A),MATCH(D$1,[2]quests!$1:$1,0)-MATCH($B$1,[2]quests!$1:$1,0)+1),MATCH(D$1,[2]quests!$1:$1,0)-MATCH($B$1,[2]quests!$1:$1,0)+1,FALSE)</f>
        <v>天使と悪魔編1</v>
      </c>
      <c r="E72" s="79">
        <v>3</v>
      </c>
      <c r="F72" s="75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【上級】魅了する歌声</v>
      </c>
      <c r="G72" s="75" t="str">
        <f ca="1">VLOOKUP($B72&amp;"_"&amp;$E72,OFFSET([2]stages!$A$1,0,0,COUNTA([2]stages!$A:$A),MATCH(G$1,[2]stages!$2:$2,0)-MATCH("temp_stage",[2]stages!$2:$2,0)+1),MATCH(G$1,[2]stages!$2:$2,0)-MATCH("temp_stage",[2]stages!$2:$2,0)+1,FALSE)</f>
        <v>天使と悪魔編1</v>
      </c>
      <c r="H72" s="77">
        <v>0</v>
      </c>
      <c r="I72" s="88">
        <v>17</v>
      </c>
      <c r="J72" s="76" t="s">
        <v>198</v>
      </c>
      <c r="K72" s="84" t="str">
        <f>VLOOKUP(I72,[7]stage_hints!$A:$C,3,FALSE)</f>
        <v>リンクガチャ</v>
      </c>
      <c r="L72" s="85" t="str">
        <f>VLOOKUP(I72,[7]stage_hints!$A:$D,4,FALSE)</f>
        <v>無料のリンクガチャを回して_x000D_経験値素材や売却素材を獲得しましょう</v>
      </c>
      <c r="M72" s="49" t="s">
        <v>211</v>
      </c>
    </row>
    <row r="73" spans="1:13" x14ac:dyDescent="0.15">
      <c r="A73" s="73" t="s">
        <v>201</v>
      </c>
      <c r="B73" s="74">
        <f>floors!$C$2</f>
        <v>20014</v>
      </c>
      <c r="C73" s="75" t="str">
        <f ca="1">VLOOKUP($B73,OFFSET([2]quests!$A$1,0,0,COUNTA([2]quests!$A:$A),MATCH(C$1,[2]quests!$1:$1,0)-MATCH($B$1,[2]quests!$1:$1,0)+1),MATCH(C$1,[2]quests!$1:$1,0)-MATCH($B$1,[2]quests!$1:$1,0)+1,FALSE)</f>
        <v>魅了する歌声</v>
      </c>
      <c r="D73" s="75" t="str">
        <f ca="1">VLOOKUP($B73,OFFSET([2]quests!$A$1,0,0,COUNTA([2]quests!$A:$A),MATCH(D$1,[2]quests!$1:$1,0)-MATCH($B$1,[2]quests!$1:$1,0)+1),MATCH(D$1,[2]quests!$1:$1,0)-MATCH($B$1,[2]quests!$1:$1,0)+1,FALSE)</f>
        <v>天使と悪魔編1</v>
      </c>
      <c r="E73" s="79">
        <v>3</v>
      </c>
      <c r="F73" s="75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【上級】魅了する歌声</v>
      </c>
      <c r="G73" s="75" t="str">
        <f ca="1">VLOOKUP($B73&amp;"_"&amp;$E73,OFFSET([2]stages!$A$1,0,0,COUNTA([2]stages!$A:$A),MATCH(G$1,[2]stages!$2:$2,0)-MATCH("temp_stage",[2]stages!$2:$2,0)+1),MATCH(G$1,[2]stages!$2:$2,0)-MATCH("temp_stage",[2]stages!$2:$2,0)+1,FALSE)</f>
        <v>天使と悪魔編1</v>
      </c>
      <c r="H73" s="77">
        <v>0</v>
      </c>
      <c r="I73" s="88">
        <v>18</v>
      </c>
      <c r="J73" s="76" t="s">
        <v>198</v>
      </c>
      <c r="K73" s="84" t="str">
        <f>VLOOKUP(I73,[7]stage_hints!$A:$C,3,FALSE)</f>
        <v>マルチプレイのメリット（その2）</v>
      </c>
      <c r="L73" s="85" t="str">
        <f>VLOOKUP(I73,[7]stage_hints!$A:$D,4,FALSE)</f>
        <v>マルチプレイならリンクが2倍もらえます_x000D_リンクガチャをたくさん回しましょう</v>
      </c>
      <c r="M73" s="49" t="s">
        <v>211</v>
      </c>
    </row>
    <row r="74" spans="1:13" x14ac:dyDescent="0.15">
      <c r="A74" s="73" t="s">
        <v>201</v>
      </c>
      <c r="B74" s="74">
        <f>floors!$C$2</f>
        <v>20014</v>
      </c>
      <c r="C74" s="75" t="str">
        <f ca="1">VLOOKUP($B74,OFFSET([2]quests!$A$1,0,0,COUNTA([2]quests!$A:$A),MATCH(C$1,[2]quests!$1:$1,0)-MATCH($B$1,[2]quests!$1:$1,0)+1),MATCH(C$1,[2]quests!$1:$1,0)-MATCH($B$1,[2]quests!$1:$1,0)+1,FALSE)</f>
        <v>魅了する歌声</v>
      </c>
      <c r="D74" s="75" t="str">
        <f ca="1">VLOOKUP($B74,OFFSET([2]quests!$A$1,0,0,COUNTA([2]quests!$A:$A),MATCH(D$1,[2]quests!$1:$1,0)-MATCH($B$1,[2]quests!$1:$1,0)+1),MATCH(D$1,[2]quests!$1:$1,0)-MATCH($B$1,[2]quests!$1:$1,0)+1,FALSE)</f>
        <v>天使と悪魔編1</v>
      </c>
      <c r="E74" s="79">
        <v>3</v>
      </c>
      <c r="F74" s="75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【上級】魅了する歌声</v>
      </c>
      <c r="G74" s="75" t="str">
        <f ca="1">VLOOKUP($B74&amp;"_"&amp;$E74,OFFSET([2]stages!$A$1,0,0,COUNTA([2]stages!$A:$A),MATCH(G$1,[2]stages!$2:$2,0)-MATCH("temp_stage",[2]stages!$2:$2,0)+1),MATCH(G$1,[2]stages!$2:$2,0)-MATCH("temp_stage",[2]stages!$2:$2,0)+1,FALSE)</f>
        <v>天使と悪魔編1</v>
      </c>
      <c r="H74" s="77">
        <v>0</v>
      </c>
      <c r="I74" s="88">
        <v>19</v>
      </c>
      <c r="J74" s="76" t="s">
        <v>198</v>
      </c>
      <c r="K74" s="84" t="str">
        <f>VLOOKUP(I74,[7]stage_hints!$A:$C,3,FALSE)</f>
        <v>ソロ専用タワーオブザクイーン</v>
      </c>
      <c r="L74" s="85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49" t="s">
        <v>211</v>
      </c>
    </row>
    <row r="75" spans="1:13" x14ac:dyDescent="0.15">
      <c r="A75" s="73" t="s">
        <v>201</v>
      </c>
      <c r="B75" s="74">
        <f>floors!$C$2</f>
        <v>20014</v>
      </c>
      <c r="C75" s="75" t="str">
        <f ca="1">VLOOKUP($B75,OFFSET([2]quests!$A$1,0,0,COUNTA([2]quests!$A:$A),MATCH(C$1,[2]quests!$1:$1,0)-MATCH($B$1,[2]quests!$1:$1,0)+1),MATCH(C$1,[2]quests!$1:$1,0)-MATCH($B$1,[2]quests!$1:$1,0)+1,FALSE)</f>
        <v>魅了する歌声</v>
      </c>
      <c r="D75" s="75" t="str">
        <f ca="1">VLOOKUP($B75,OFFSET([2]quests!$A$1,0,0,COUNTA([2]quests!$A:$A),MATCH(D$1,[2]quests!$1:$1,0)-MATCH($B$1,[2]quests!$1:$1,0)+1),MATCH(D$1,[2]quests!$1:$1,0)-MATCH($B$1,[2]quests!$1:$1,0)+1,FALSE)</f>
        <v>天使と悪魔編1</v>
      </c>
      <c r="E75" s="79">
        <v>3</v>
      </c>
      <c r="F75" s="75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【上級】魅了する歌声</v>
      </c>
      <c r="G75" s="75" t="str">
        <f ca="1">VLOOKUP($B75&amp;"_"&amp;$E75,OFFSET([2]stages!$A$1,0,0,COUNTA([2]stages!$A:$A),MATCH(G$1,[2]stages!$2:$2,0)-MATCH("temp_stage",[2]stages!$2:$2,0)+1),MATCH(G$1,[2]stages!$2:$2,0)-MATCH("temp_stage",[2]stages!$2:$2,0)+1,FALSE)</f>
        <v>天使と悪魔編1</v>
      </c>
      <c r="H75" s="77">
        <v>0</v>
      </c>
      <c r="I75" s="88">
        <v>20</v>
      </c>
      <c r="J75" s="76" t="s">
        <v>198</v>
      </c>
      <c r="K75" s="84" t="str">
        <f>VLOOKUP(I75,[7]stage_hints!$A:$C,3,FALSE)</f>
        <v>マルチプレイのメリット（その3）</v>
      </c>
      <c r="L75" s="85" t="str">
        <f>VLOOKUP(I75,[7]stage_hints!$A:$D,4,FALSE)</f>
        <v>マルチプレイへの参加はエナジー消費ゼロ_x000D_いつでも好きなだけ遊ぶことができます</v>
      </c>
      <c r="M75" s="49" t="s">
        <v>211</v>
      </c>
    </row>
    <row r="76" spans="1:13" x14ac:dyDescent="0.15">
      <c r="A76" s="73" t="s">
        <v>201</v>
      </c>
      <c r="B76" s="74">
        <f>floors!$C$2</f>
        <v>20014</v>
      </c>
      <c r="C76" s="75" t="str">
        <f ca="1">VLOOKUP($B76,OFFSET([2]quests!$A$1,0,0,COUNTA([2]quests!$A:$A),MATCH(C$1,[2]quests!$1:$1,0)-MATCH($B$1,[2]quests!$1:$1,0)+1),MATCH(C$1,[2]quests!$1:$1,0)-MATCH($B$1,[2]quests!$1:$1,0)+1,FALSE)</f>
        <v>魅了する歌声</v>
      </c>
      <c r="D76" s="75" t="str">
        <f ca="1">VLOOKUP($B76,OFFSET([2]quests!$A$1,0,0,COUNTA([2]quests!$A:$A),MATCH(D$1,[2]quests!$1:$1,0)-MATCH($B$1,[2]quests!$1:$1,0)+1),MATCH(D$1,[2]quests!$1:$1,0)-MATCH($B$1,[2]quests!$1:$1,0)+1,FALSE)</f>
        <v>天使と悪魔編1</v>
      </c>
      <c r="E76" s="79">
        <v>3</v>
      </c>
      <c r="F76" s="75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【上級】魅了する歌声</v>
      </c>
      <c r="G76" s="75" t="str">
        <f ca="1">VLOOKUP($B76&amp;"_"&amp;$E76,OFFSET([2]stages!$A$1,0,0,COUNTA([2]stages!$A:$A),MATCH(G$1,[2]stages!$2:$2,0)-MATCH("temp_stage",[2]stages!$2:$2,0)+1),MATCH(G$1,[2]stages!$2:$2,0)-MATCH("temp_stage",[2]stages!$2:$2,0)+1,FALSE)</f>
        <v>天使と悪魔編1</v>
      </c>
      <c r="H76" s="77">
        <v>0</v>
      </c>
      <c r="I76" s="88">
        <v>21</v>
      </c>
      <c r="J76" s="76" t="s">
        <v>198</v>
      </c>
      <c r="K76" s="84" t="str">
        <f>VLOOKUP(I76,[7]stage_hints!$A:$C,3,FALSE)</f>
        <v>スキルを有効に</v>
      </c>
      <c r="L76" s="85" t="str">
        <f>VLOOKUP(I76,[7]stage_hints!$A:$D,4,FALSE)</f>
        <v>ターン経過でユニットのスキルが使えます_x000D_強力スキルでバトルを有利に進めましょう</v>
      </c>
      <c r="M76" s="49" t="s">
        <v>211</v>
      </c>
    </row>
    <row r="77" spans="1:13" x14ac:dyDescent="0.15">
      <c r="A77" s="73" t="s">
        <v>201</v>
      </c>
      <c r="B77" s="74">
        <f>floors!$C$2</f>
        <v>20014</v>
      </c>
      <c r="C77" s="75" t="str">
        <f ca="1">VLOOKUP($B77,OFFSET([2]quests!$A$1,0,0,COUNTA([2]quests!$A:$A),MATCH(C$1,[2]quests!$1:$1,0)-MATCH($B$1,[2]quests!$1:$1,0)+1),MATCH(C$1,[2]quests!$1:$1,0)-MATCH($B$1,[2]quests!$1:$1,0)+1,FALSE)</f>
        <v>魅了する歌声</v>
      </c>
      <c r="D77" s="75" t="str">
        <f ca="1">VLOOKUP($B77,OFFSET([2]quests!$A$1,0,0,COUNTA([2]quests!$A:$A),MATCH(D$1,[2]quests!$1:$1,0)-MATCH($B$1,[2]quests!$1:$1,0)+1),MATCH(D$1,[2]quests!$1:$1,0)-MATCH($B$1,[2]quests!$1:$1,0)+1,FALSE)</f>
        <v>天使と悪魔編1</v>
      </c>
      <c r="E77" s="79">
        <v>3</v>
      </c>
      <c r="F77" s="75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【上級】魅了する歌声</v>
      </c>
      <c r="G77" s="75" t="str">
        <f ca="1">VLOOKUP($B77&amp;"_"&amp;$E77,OFFSET([2]stages!$A$1,0,0,COUNTA([2]stages!$A:$A),MATCH(G$1,[2]stages!$2:$2,0)-MATCH("temp_stage",[2]stages!$2:$2,0)+1),MATCH(G$1,[2]stages!$2:$2,0)-MATCH("temp_stage",[2]stages!$2:$2,0)+1,FALSE)</f>
        <v>天使と悪魔編1</v>
      </c>
      <c r="H77" s="77">
        <v>0</v>
      </c>
      <c r="I77" s="88">
        <v>22</v>
      </c>
      <c r="J77" s="76" t="s">
        <v>198</v>
      </c>
      <c r="K77" s="84" t="str">
        <f>VLOOKUP(I77,[7]stage_hints!$A:$C,3,FALSE)</f>
        <v>フィーバーで一発逆転（その1）</v>
      </c>
      <c r="L77" s="85" t="str">
        <f>VLOOKUP(I77,[7]stage_hints!$A:$D,4,FALSE)</f>
        <v>フィーバーは攻撃と回復を兼ね備えます_x000D_ピンチからの一発逆転を狙いましょう</v>
      </c>
      <c r="M77" s="49" t="s">
        <v>211</v>
      </c>
    </row>
    <row r="78" spans="1:13" x14ac:dyDescent="0.15">
      <c r="A78" s="73" t="s">
        <v>201</v>
      </c>
      <c r="B78" s="74">
        <f>floors!$C$2</f>
        <v>20014</v>
      </c>
      <c r="C78" s="75" t="str">
        <f ca="1">VLOOKUP($B78,OFFSET([2]quests!$A$1,0,0,COUNTA([2]quests!$A:$A),MATCH(C$1,[2]quests!$1:$1,0)-MATCH($B$1,[2]quests!$1:$1,0)+1),MATCH(C$1,[2]quests!$1:$1,0)-MATCH($B$1,[2]quests!$1:$1,0)+1,FALSE)</f>
        <v>魅了する歌声</v>
      </c>
      <c r="D78" s="75" t="str">
        <f ca="1">VLOOKUP($B78,OFFSET([2]quests!$A$1,0,0,COUNTA([2]quests!$A:$A),MATCH(D$1,[2]quests!$1:$1,0)-MATCH($B$1,[2]quests!$1:$1,0)+1),MATCH(D$1,[2]quests!$1:$1,0)-MATCH($B$1,[2]quests!$1:$1,0)+1,FALSE)</f>
        <v>天使と悪魔編1</v>
      </c>
      <c r="E78" s="79">
        <v>3</v>
      </c>
      <c r="F78" s="75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【上級】魅了する歌声</v>
      </c>
      <c r="G78" s="75" t="str">
        <f ca="1">VLOOKUP($B78&amp;"_"&amp;$E78,OFFSET([2]stages!$A$1,0,0,COUNTA([2]stages!$A:$A),MATCH(G$1,[2]stages!$2:$2,0)-MATCH("temp_stage",[2]stages!$2:$2,0)+1),MATCH(G$1,[2]stages!$2:$2,0)-MATCH("temp_stage",[2]stages!$2:$2,0)+1,FALSE)</f>
        <v>天使と悪魔編1</v>
      </c>
      <c r="H78" s="77">
        <v>0</v>
      </c>
      <c r="I78" s="88">
        <v>23</v>
      </c>
      <c r="J78" s="76" t="s">
        <v>198</v>
      </c>
      <c r="K78" s="84" t="str">
        <f>VLOOKUP(I78,[7]stage_hints!$A:$C,3,FALSE)</f>
        <v>フィーバーで一発逆転（その2）</v>
      </c>
      <c r="L78" s="85" t="str">
        <f>VLOOKUP(I78,[7]stage_hints!$A:$D,4,FALSE)</f>
        <v>フィーバー中は虹色のボムパネルを狙って_x000D_画面上のパネルを一気に破壊しましょう</v>
      </c>
      <c r="M78" s="49" t="s">
        <v>211</v>
      </c>
    </row>
    <row r="79" spans="1:13" x14ac:dyDescent="0.15">
      <c r="A79" s="73" t="s">
        <v>201</v>
      </c>
      <c r="B79" s="74">
        <f>floors!$C$2</f>
        <v>20014</v>
      </c>
      <c r="C79" s="75" t="str">
        <f ca="1">VLOOKUP($B79,OFFSET([2]quests!$A$1,0,0,COUNTA([2]quests!$A:$A),MATCH(C$1,[2]quests!$1:$1,0)-MATCH($B$1,[2]quests!$1:$1,0)+1),MATCH(C$1,[2]quests!$1:$1,0)-MATCH($B$1,[2]quests!$1:$1,0)+1,FALSE)</f>
        <v>魅了する歌声</v>
      </c>
      <c r="D79" s="75" t="str">
        <f ca="1">VLOOKUP($B79,OFFSET([2]quests!$A$1,0,0,COUNTA([2]quests!$A:$A),MATCH(D$1,[2]quests!$1:$1,0)-MATCH($B$1,[2]quests!$1:$1,0)+1),MATCH(D$1,[2]quests!$1:$1,0)-MATCH($B$1,[2]quests!$1:$1,0)+1,FALSE)</f>
        <v>天使と悪魔編1</v>
      </c>
      <c r="E79" s="79">
        <v>3</v>
      </c>
      <c r="F79" s="75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【上級】魅了する歌声</v>
      </c>
      <c r="G79" s="75" t="str">
        <f ca="1">VLOOKUP($B79&amp;"_"&amp;$E79,OFFSET([2]stages!$A$1,0,0,COUNTA([2]stages!$A:$A),MATCH(G$1,[2]stages!$2:$2,0)-MATCH("temp_stage",[2]stages!$2:$2,0)+1),MATCH(G$1,[2]stages!$2:$2,0)-MATCH("temp_stage",[2]stages!$2:$2,0)+1,FALSE)</f>
        <v>天使と悪魔編1</v>
      </c>
      <c r="H79" s="77">
        <v>0</v>
      </c>
      <c r="I79" s="88">
        <v>24</v>
      </c>
      <c r="J79" s="76" t="s">
        <v>198</v>
      </c>
      <c r="K79" s="84" t="str">
        <f>VLOOKUP(I79,[7]stage_hints!$A:$C,3,FALSE)</f>
        <v>果実を使って限界突破</v>
      </c>
      <c r="L79" s="85" t="str">
        <f>VLOOKUP(I79,[7]stage_hints!$A:$D,4,FALSE)</f>
        <v>攻めの果実 癒しの果実_x000D_生命の果実をユニット強化に使うと_x000D_ステータスが限界突破します（計99個迄）</v>
      </c>
      <c r="M79" s="49" t="s">
        <v>211</v>
      </c>
    </row>
    <row r="80" spans="1:13" x14ac:dyDescent="0.15">
      <c r="A80" s="73" t="s">
        <v>201</v>
      </c>
      <c r="B80" s="74">
        <f>floors!$C$2</f>
        <v>20014</v>
      </c>
      <c r="C80" s="75" t="str">
        <f ca="1">VLOOKUP($B80,OFFSET([2]quests!$A$1,0,0,COUNTA([2]quests!$A:$A),MATCH(C$1,[2]quests!$1:$1,0)-MATCH($B$1,[2]quests!$1:$1,0)+1),MATCH(C$1,[2]quests!$1:$1,0)-MATCH($B$1,[2]quests!$1:$1,0)+1,FALSE)</f>
        <v>魅了する歌声</v>
      </c>
      <c r="D80" s="75" t="str">
        <f ca="1">VLOOKUP($B80,OFFSET([2]quests!$A$1,0,0,COUNTA([2]quests!$A:$A),MATCH(D$1,[2]quests!$1:$1,0)-MATCH($B$1,[2]quests!$1:$1,0)+1),MATCH(D$1,[2]quests!$1:$1,0)-MATCH($B$1,[2]quests!$1:$1,0)+1,FALSE)</f>
        <v>天使と悪魔編1</v>
      </c>
      <c r="E80" s="79">
        <v>3</v>
      </c>
      <c r="F80" s="75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【上級】魅了する歌声</v>
      </c>
      <c r="G80" s="75" t="str">
        <f ca="1">VLOOKUP($B80&amp;"_"&amp;$E80,OFFSET([2]stages!$A$1,0,0,COUNTA([2]stages!$A:$A),MATCH(G$1,[2]stages!$2:$2,0)-MATCH("temp_stage",[2]stages!$2:$2,0)+1),MATCH(G$1,[2]stages!$2:$2,0)-MATCH("temp_stage",[2]stages!$2:$2,0)+1,FALSE)</f>
        <v>天使と悪魔編1</v>
      </c>
      <c r="H80" s="77">
        <v>0</v>
      </c>
      <c r="I80" s="88">
        <v>25</v>
      </c>
      <c r="J80" s="76" t="s">
        <v>198</v>
      </c>
      <c r="K80" s="84" t="str">
        <f>VLOOKUP(I80,[7]stage_hints!$A:$C,3,FALSE)</f>
        <v>スキルレベルアップ</v>
      </c>
      <c r="L80" s="85" t="str">
        <f>VLOOKUP(I80,[7]stage_hints!$A:$D,4,FALSE)</f>
        <v>「秘術の果実」を強化に使うと_x000D_スキルレベルを上げることができます</v>
      </c>
      <c r="M80" s="49" t="s">
        <v>211</v>
      </c>
    </row>
    <row r="81" spans="1:13" x14ac:dyDescent="0.15">
      <c r="A81" s="73" t="s">
        <v>201</v>
      </c>
      <c r="B81" s="74">
        <f>floors!$C$2</f>
        <v>20014</v>
      </c>
      <c r="C81" s="75" t="str">
        <f ca="1">VLOOKUP($B81,OFFSET([2]quests!$A$1,0,0,COUNTA([2]quests!$A:$A),MATCH(C$1,[2]quests!$1:$1,0)-MATCH($B$1,[2]quests!$1:$1,0)+1),MATCH(C$1,[2]quests!$1:$1,0)-MATCH($B$1,[2]quests!$1:$1,0)+1,FALSE)</f>
        <v>魅了する歌声</v>
      </c>
      <c r="D81" s="75" t="str">
        <f ca="1">VLOOKUP($B81,OFFSET([2]quests!$A$1,0,0,COUNTA([2]quests!$A:$A),MATCH(D$1,[2]quests!$1:$1,0)-MATCH($B$1,[2]quests!$1:$1,0)+1),MATCH(D$1,[2]quests!$1:$1,0)-MATCH($B$1,[2]quests!$1:$1,0)+1,FALSE)</f>
        <v>天使と悪魔編1</v>
      </c>
      <c r="E81" s="79">
        <v>3</v>
      </c>
      <c r="F81" s="75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【上級】魅了する歌声</v>
      </c>
      <c r="G81" s="75" t="str">
        <f ca="1">VLOOKUP($B81&amp;"_"&amp;$E81,OFFSET([2]stages!$A$1,0,0,COUNTA([2]stages!$A:$A),MATCH(G$1,[2]stages!$2:$2,0)-MATCH("temp_stage",[2]stages!$2:$2,0)+1),MATCH(G$1,[2]stages!$2:$2,0)-MATCH("temp_stage",[2]stages!$2:$2,0)+1,FALSE)</f>
        <v>天使と悪魔編1</v>
      </c>
      <c r="H81" s="77">
        <v>0</v>
      </c>
      <c r="I81" s="88">
        <v>26</v>
      </c>
      <c r="J81" s="76" t="s">
        <v>198</v>
      </c>
      <c r="K81" s="84" t="str">
        <f>VLOOKUP(I81,[7]stage_hints!$A:$C,3,FALSE)</f>
        <v>スキルレベルの効果</v>
      </c>
      <c r="L81" s="85" t="str">
        <f>VLOOKUP(I81,[7]stage_hints!$A:$D,4,FALSE)</f>
        <v>スキルレベルが上がると_x000D_短いターンでスキルを使うことができます</v>
      </c>
      <c r="M81" s="49" t="s">
        <v>211</v>
      </c>
    </row>
    <row r="82" spans="1:13" x14ac:dyDescent="0.15">
      <c r="A82" s="73" t="s">
        <v>201</v>
      </c>
      <c r="B82" s="74">
        <f>floors!$C$2</f>
        <v>20014</v>
      </c>
      <c r="C82" s="75" t="str">
        <f ca="1">VLOOKUP($B82,OFFSET([2]quests!$A$1,0,0,COUNTA([2]quests!$A:$A),MATCH(C$1,[2]quests!$1:$1,0)-MATCH($B$1,[2]quests!$1:$1,0)+1),MATCH(C$1,[2]quests!$1:$1,0)-MATCH($B$1,[2]quests!$1:$1,0)+1,FALSE)</f>
        <v>魅了する歌声</v>
      </c>
      <c r="D82" s="75" t="str">
        <f ca="1">VLOOKUP($B82,OFFSET([2]quests!$A$1,0,0,COUNTA([2]quests!$A:$A),MATCH(D$1,[2]quests!$1:$1,0)-MATCH($B$1,[2]quests!$1:$1,0)+1),MATCH(D$1,[2]quests!$1:$1,0)-MATCH($B$1,[2]quests!$1:$1,0)+1,FALSE)</f>
        <v>天使と悪魔編1</v>
      </c>
      <c r="E82" s="79">
        <v>3</v>
      </c>
      <c r="F82" s="75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【上級】魅了する歌声</v>
      </c>
      <c r="G82" s="75" t="str">
        <f ca="1">VLOOKUP($B82&amp;"_"&amp;$E82,OFFSET([2]stages!$A$1,0,0,COUNTA([2]stages!$A:$A),MATCH(G$1,[2]stages!$2:$2,0)-MATCH("temp_stage",[2]stages!$2:$2,0)+1),MATCH(G$1,[2]stages!$2:$2,0)-MATCH("temp_stage",[2]stages!$2:$2,0)+1,FALSE)</f>
        <v>天使と悪魔編1</v>
      </c>
      <c r="H82" s="77">
        <v>0</v>
      </c>
      <c r="I82" s="88">
        <v>27</v>
      </c>
      <c r="J82" s="76" t="s">
        <v>198</v>
      </c>
      <c r="K82" s="84" t="str">
        <f>VLOOKUP(I82,[7]stage_hints!$A:$C,3,FALSE)</f>
        <v>ホーム画面からデッキを編成</v>
      </c>
      <c r="L82" s="85" t="str">
        <f>VLOOKUP(I82,[7]stage_hints!$A:$D,4,FALSE)</f>
        <v>ホーム画面でユニットを長押しすると_x000D_すぐにパーティ編成に移動できます</v>
      </c>
      <c r="M82" s="49" t="s">
        <v>211</v>
      </c>
    </row>
    <row r="83" spans="1:13" x14ac:dyDescent="0.15">
      <c r="A83" s="73" t="s">
        <v>201</v>
      </c>
      <c r="B83" s="74">
        <f>floors!$C$2</f>
        <v>20014</v>
      </c>
      <c r="C83" s="75" t="str">
        <f ca="1">VLOOKUP($B83,OFFSET([2]quests!$A$1,0,0,COUNTA([2]quests!$A:$A),MATCH(C$1,[2]quests!$1:$1,0)-MATCH($B$1,[2]quests!$1:$1,0)+1),MATCH(C$1,[2]quests!$1:$1,0)-MATCH($B$1,[2]quests!$1:$1,0)+1,FALSE)</f>
        <v>魅了する歌声</v>
      </c>
      <c r="D83" s="75" t="str">
        <f ca="1">VLOOKUP($B83,OFFSET([2]quests!$A$1,0,0,COUNTA([2]quests!$A:$A),MATCH(D$1,[2]quests!$1:$1,0)-MATCH($B$1,[2]quests!$1:$1,0)+1),MATCH(D$1,[2]quests!$1:$1,0)-MATCH($B$1,[2]quests!$1:$1,0)+1,FALSE)</f>
        <v>天使と悪魔編1</v>
      </c>
      <c r="E83" s="79">
        <v>3</v>
      </c>
      <c r="F83" s="75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【上級】魅了する歌声</v>
      </c>
      <c r="G83" s="75" t="str">
        <f ca="1">VLOOKUP($B83&amp;"_"&amp;$E83,OFFSET([2]stages!$A$1,0,0,COUNTA([2]stages!$A:$A),MATCH(G$1,[2]stages!$2:$2,0)-MATCH("temp_stage",[2]stages!$2:$2,0)+1),MATCH(G$1,[2]stages!$2:$2,0)-MATCH("temp_stage",[2]stages!$2:$2,0)+1,FALSE)</f>
        <v>天使と悪魔編1</v>
      </c>
      <c r="H83" s="77">
        <v>0</v>
      </c>
      <c r="I83" s="88">
        <v>28</v>
      </c>
      <c r="J83" s="76" t="s">
        <v>198</v>
      </c>
      <c r="K83" s="84" t="str">
        <f>VLOOKUP(I83,[7]stage_hints!$A:$C,3,FALSE)</f>
        <v>ステータス情報は長押しで</v>
      </c>
      <c r="L83" s="85" t="str">
        <f>VLOOKUP(I83,[7]stage_hints!$A:$D,4,FALSE)</f>
        <v>ユニットのアイコンを長押しすると_x000D_ステータス情報を確認することができます</v>
      </c>
      <c r="M83" s="49" t="s">
        <v>211</v>
      </c>
    </row>
    <row r="84" spans="1:13" x14ac:dyDescent="0.15">
      <c r="A84" s="73" t="s">
        <v>201</v>
      </c>
      <c r="B84" s="74">
        <f>floors!$C$2</f>
        <v>20014</v>
      </c>
      <c r="C84" s="75" t="str">
        <f ca="1">VLOOKUP($B84,OFFSET([2]quests!$A$1,0,0,COUNTA([2]quests!$A:$A),MATCH(C$1,[2]quests!$1:$1,0)-MATCH($B$1,[2]quests!$1:$1,0)+1),MATCH(C$1,[2]quests!$1:$1,0)-MATCH($B$1,[2]quests!$1:$1,0)+1,FALSE)</f>
        <v>魅了する歌声</v>
      </c>
      <c r="D84" s="75" t="str">
        <f ca="1">VLOOKUP($B84,OFFSET([2]quests!$A$1,0,0,COUNTA([2]quests!$A:$A),MATCH(D$1,[2]quests!$1:$1,0)-MATCH($B$1,[2]quests!$1:$1,0)+1),MATCH(D$1,[2]quests!$1:$1,0)-MATCH($B$1,[2]quests!$1:$1,0)+1,FALSE)</f>
        <v>天使と悪魔編1</v>
      </c>
      <c r="E84" s="79">
        <v>3</v>
      </c>
      <c r="F84" s="75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【上級】魅了する歌声</v>
      </c>
      <c r="G84" s="75" t="str">
        <f ca="1">VLOOKUP($B84&amp;"_"&amp;$E84,OFFSET([2]stages!$A$1,0,0,COUNTA([2]stages!$A:$A),MATCH(G$1,[2]stages!$2:$2,0)-MATCH("temp_stage",[2]stages!$2:$2,0)+1),MATCH(G$1,[2]stages!$2:$2,0)-MATCH("temp_stage",[2]stages!$2:$2,0)+1,FALSE)</f>
        <v>天使と悪魔編1</v>
      </c>
      <c r="H84" s="77">
        <v>0</v>
      </c>
      <c r="I84" s="88">
        <v>29</v>
      </c>
      <c r="J84" s="76" t="s">
        <v>198</v>
      </c>
      <c r="K84" s="84" t="str">
        <f>VLOOKUP(I84,[7]stage_hints!$A:$C,3,FALSE)</f>
        <v>「バグ」のメリット</v>
      </c>
      <c r="L84" s="85" t="str">
        <f>VLOOKUP(I84,[7]stage_hints!$A:$D,4,FALSE)</f>
        <v>ユニットの「バグ」を増やすと_x000D_報酬をもらえる確率がアップします</v>
      </c>
      <c r="M84" s="49" t="s">
        <v>211</v>
      </c>
    </row>
    <row r="85" spans="1:13" x14ac:dyDescent="0.15">
      <c r="A85" s="73" t="s">
        <v>201</v>
      </c>
      <c r="B85" s="74">
        <f>floors!$C$2</f>
        <v>20014</v>
      </c>
      <c r="C85" s="75" t="str">
        <f ca="1">VLOOKUP($B85,OFFSET([2]quests!$A$1,0,0,COUNTA([2]quests!$A:$A),MATCH(C$1,[2]quests!$1:$1,0)-MATCH($B$1,[2]quests!$1:$1,0)+1),MATCH(C$1,[2]quests!$1:$1,0)-MATCH($B$1,[2]quests!$1:$1,0)+1,FALSE)</f>
        <v>魅了する歌声</v>
      </c>
      <c r="D85" s="75" t="str">
        <f ca="1">VLOOKUP($B85,OFFSET([2]quests!$A$1,0,0,COUNTA([2]quests!$A:$A),MATCH(D$1,[2]quests!$1:$1,0)-MATCH($B$1,[2]quests!$1:$1,0)+1),MATCH(D$1,[2]quests!$1:$1,0)-MATCH($B$1,[2]quests!$1:$1,0)+1,FALSE)</f>
        <v>天使と悪魔編1</v>
      </c>
      <c r="E85" s="79">
        <v>3</v>
      </c>
      <c r="F85" s="75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【上級】魅了する歌声</v>
      </c>
      <c r="G85" s="75" t="str">
        <f ca="1">VLOOKUP($B85&amp;"_"&amp;$E85,OFFSET([2]stages!$A$1,0,0,COUNTA([2]stages!$A:$A),MATCH(G$1,[2]stages!$2:$2,0)-MATCH("temp_stage",[2]stages!$2:$2,0)+1),MATCH(G$1,[2]stages!$2:$2,0)-MATCH("temp_stage",[2]stages!$2:$2,0)+1,FALSE)</f>
        <v>天使と悪魔編1</v>
      </c>
      <c r="H85" s="77">
        <v>0</v>
      </c>
      <c r="I85" s="88">
        <v>30</v>
      </c>
      <c r="J85" s="76" t="s">
        <v>198</v>
      </c>
      <c r="K85" s="84" t="str">
        <f>VLOOKUP(I85,[7]stage_hints!$A:$C,3,FALSE)</f>
        <v>「バグ」の増やし方</v>
      </c>
      <c r="L85" s="85" t="str">
        <f>VLOOKUP(I85,[7]stage_hints!$A:$D,4,FALSE)</f>
        <v>同じユニット同士を強化で合成すると_x000D_「バグ」を増やすことができます</v>
      </c>
      <c r="M85" s="49" t="s">
        <v>211</v>
      </c>
    </row>
    <row r="86" spans="1:13" x14ac:dyDescent="0.15">
      <c r="A86" s="73" t="s">
        <v>201</v>
      </c>
      <c r="B86" s="74">
        <f>floors!$C$2</f>
        <v>20014</v>
      </c>
      <c r="C86" s="75" t="str">
        <f ca="1">VLOOKUP($B86,OFFSET([2]quests!$A$1,0,0,COUNTA([2]quests!$A:$A),MATCH(C$1,[2]quests!$1:$1,0)-MATCH($B$1,[2]quests!$1:$1,0)+1),MATCH(C$1,[2]quests!$1:$1,0)-MATCH($B$1,[2]quests!$1:$1,0)+1,FALSE)</f>
        <v>魅了する歌声</v>
      </c>
      <c r="D86" s="75" t="str">
        <f ca="1">VLOOKUP($B86,OFFSET([2]quests!$A$1,0,0,COUNTA([2]quests!$A:$A),MATCH(D$1,[2]quests!$1:$1,0)-MATCH($B$1,[2]quests!$1:$1,0)+1),MATCH(D$1,[2]quests!$1:$1,0)-MATCH($B$1,[2]quests!$1:$1,0)+1,FALSE)</f>
        <v>天使と悪魔編1</v>
      </c>
      <c r="E86" s="79">
        <v>3</v>
      </c>
      <c r="F86" s="75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【上級】魅了する歌声</v>
      </c>
      <c r="G86" s="75" t="str">
        <f ca="1">VLOOKUP($B86&amp;"_"&amp;$E86,OFFSET([2]stages!$A$1,0,0,COUNTA([2]stages!$A:$A),MATCH(G$1,[2]stages!$2:$2,0)-MATCH("temp_stage",[2]stages!$2:$2,0)+1),MATCH(G$1,[2]stages!$2:$2,0)-MATCH("temp_stage",[2]stages!$2:$2,0)+1,FALSE)</f>
        <v>天使と悪魔編1</v>
      </c>
      <c r="H86" s="77">
        <v>0</v>
      </c>
      <c r="I86" s="88">
        <v>31</v>
      </c>
      <c r="J86" s="76" t="s">
        <v>198</v>
      </c>
      <c r="K86" s="84" t="str">
        <f>VLOOKUP(I86,[7]stage_hints!$A:$C,3,FALSE)</f>
        <v>イベントはお知らせでチェック</v>
      </c>
      <c r="L86" s="85" t="str">
        <f>VLOOKUP(I86,[7]stage_hints!$A:$D,4,FALSE)</f>
        <v>イベント限定ユニットを取り忘れないように_x000D_お知らせをこまめにチェックしましょう</v>
      </c>
      <c r="M86" s="49" t="s">
        <v>211</v>
      </c>
    </row>
    <row r="87" spans="1:13" x14ac:dyDescent="0.15">
      <c r="A87" s="73" t="s">
        <v>201</v>
      </c>
      <c r="B87" s="74">
        <f>floors!$C$2</f>
        <v>20014</v>
      </c>
      <c r="C87" s="75" t="str">
        <f ca="1">VLOOKUP($B87,OFFSET([2]quests!$A$1,0,0,COUNTA([2]quests!$A:$A),MATCH(C$1,[2]quests!$1:$1,0)-MATCH($B$1,[2]quests!$1:$1,0)+1),MATCH(C$1,[2]quests!$1:$1,0)-MATCH($B$1,[2]quests!$1:$1,0)+1,FALSE)</f>
        <v>魅了する歌声</v>
      </c>
      <c r="D87" s="75" t="str">
        <f ca="1">VLOOKUP($B87,OFFSET([2]quests!$A$1,0,0,COUNTA([2]quests!$A:$A),MATCH(D$1,[2]quests!$1:$1,0)-MATCH($B$1,[2]quests!$1:$1,0)+1),MATCH(D$1,[2]quests!$1:$1,0)-MATCH($B$1,[2]quests!$1:$1,0)+1,FALSE)</f>
        <v>天使と悪魔編1</v>
      </c>
      <c r="E87" s="79">
        <v>3</v>
      </c>
      <c r="F87" s="75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【上級】魅了する歌声</v>
      </c>
      <c r="G87" s="75" t="str">
        <f ca="1">VLOOKUP($B87&amp;"_"&amp;$E87,OFFSET([2]stages!$A$1,0,0,COUNTA([2]stages!$A:$A),MATCH(G$1,[2]stages!$2:$2,0)-MATCH("temp_stage",[2]stages!$2:$2,0)+1),MATCH(G$1,[2]stages!$2:$2,0)-MATCH("temp_stage",[2]stages!$2:$2,0)+1,FALSE)</f>
        <v>天使と悪魔編1</v>
      </c>
      <c r="H87" s="77">
        <v>0</v>
      </c>
      <c r="I87" s="88">
        <v>32</v>
      </c>
      <c r="J87" s="76" t="s">
        <v>198</v>
      </c>
      <c r="K87" s="84" t="str">
        <f>VLOOKUP(I87,[7]stage_hints!$A:$C,3,FALSE)</f>
        <v>敵の連続攻撃には</v>
      </c>
      <c r="L87" s="85" t="str">
        <f>VLOOKUP(I87,[7]stage_hints!$A:$D,4,FALSE)</f>
        <v>カウンタースキルを持つユニットがいれば_x000D_ダメージ回数分の反撃ができます</v>
      </c>
      <c r="M87" s="49" t="s">
        <v>211</v>
      </c>
    </row>
    <row r="88" spans="1:13" x14ac:dyDescent="0.15">
      <c r="A88" s="73" t="s">
        <v>201</v>
      </c>
      <c r="B88" s="74">
        <f>floors!$C$2</f>
        <v>20014</v>
      </c>
      <c r="C88" s="75" t="str">
        <f ca="1">VLOOKUP($B88,OFFSET([2]quests!$A$1,0,0,COUNTA([2]quests!$A:$A),MATCH(C$1,[2]quests!$1:$1,0)-MATCH($B$1,[2]quests!$1:$1,0)+1),MATCH(C$1,[2]quests!$1:$1,0)-MATCH($B$1,[2]quests!$1:$1,0)+1,FALSE)</f>
        <v>魅了する歌声</v>
      </c>
      <c r="D88" s="75" t="str">
        <f ca="1">VLOOKUP($B88,OFFSET([2]quests!$A$1,0,0,COUNTA([2]quests!$A:$A),MATCH(D$1,[2]quests!$1:$1,0)-MATCH($B$1,[2]quests!$1:$1,0)+1),MATCH(D$1,[2]quests!$1:$1,0)-MATCH($B$1,[2]quests!$1:$1,0)+1,FALSE)</f>
        <v>天使と悪魔編1</v>
      </c>
      <c r="E88" s="79">
        <v>3</v>
      </c>
      <c r="F88" s="75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【上級】魅了する歌声</v>
      </c>
      <c r="G88" s="75" t="str">
        <f ca="1">VLOOKUP($B88&amp;"_"&amp;$E88,OFFSET([2]stages!$A$1,0,0,COUNTA([2]stages!$A:$A),MATCH(G$1,[2]stages!$2:$2,0)-MATCH("temp_stage",[2]stages!$2:$2,0)+1),MATCH(G$1,[2]stages!$2:$2,0)-MATCH("temp_stage",[2]stages!$2:$2,0)+1,FALSE)</f>
        <v>天使と悪魔編1</v>
      </c>
      <c r="H88" s="77">
        <v>0</v>
      </c>
      <c r="I88" s="88">
        <v>33</v>
      </c>
      <c r="J88" s="76" t="s">
        <v>198</v>
      </c>
      <c r="K88" s="84" t="str">
        <f>VLOOKUP(I88,[7]stage_hints!$A:$C,3,FALSE)</f>
        <v>敵のカウンター攻撃には</v>
      </c>
      <c r="L88" s="85" t="str">
        <f>VLOOKUP(I88,[7]stage_hints!$A:$D,4,FALSE)</f>
        <v>カウンターブレイクスキルを持っていれば_x000D_敵のカウンターを解除して攻撃ができます</v>
      </c>
      <c r="M88" s="49" t="s">
        <v>211</v>
      </c>
    </row>
    <row r="89" spans="1:13" x14ac:dyDescent="0.15">
      <c r="A89" s="73" t="s">
        <v>201</v>
      </c>
      <c r="B89" s="74">
        <f>floors!$C$2</f>
        <v>20014</v>
      </c>
      <c r="C89" s="75" t="str">
        <f ca="1">VLOOKUP($B89,OFFSET([2]quests!$A$1,0,0,COUNTA([2]quests!$A:$A),MATCH(C$1,[2]quests!$1:$1,0)-MATCH($B$1,[2]quests!$1:$1,0)+1),MATCH(C$1,[2]quests!$1:$1,0)-MATCH($B$1,[2]quests!$1:$1,0)+1,FALSE)</f>
        <v>魅了する歌声</v>
      </c>
      <c r="D89" s="75" t="str">
        <f ca="1">VLOOKUP($B89,OFFSET([2]quests!$A$1,0,0,COUNTA([2]quests!$A:$A),MATCH(D$1,[2]quests!$1:$1,0)-MATCH($B$1,[2]quests!$1:$1,0)+1),MATCH(D$1,[2]quests!$1:$1,0)-MATCH($B$1,[2]quests!$1:$1,0)+1,FALSE)</f>
        <v>天使と悪魔編1</v>
      </c>
      <c r="E89" s="79">
        <v>3</v>
      </c>
      <c r="F89" s="75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【上級】魅了する歌声</v>
      </c>
      <c r="G89" s="75" t="str">
        <f ca="1">VLOOKUP($B89&amp;"_"&amp;$E89,OFFSET([2]stages!$A$1,0,0,COUNTA([2]stages!$A:$A),MATCH(G$1,[2]stages!$2:$2,0)-MATCH("temp_stage",[2]stages!$2:$2,0)+1),MATCH(G$1,[2]stages!$2:$2,0)-MATCH("temp_stage",[2]stages!$2:$2,0)+1,FALSE)</f>
        <v>天使と悪魔編1</v>
      </c>
      <c r="H89" s="77">
        <v>0</v>
      </c>
      <c r="I89" s="88">
        <v>34</v>
      </c>
      <c r="J89" s="76" t="s">
        <v>198</v>
      </c>
      <c r="K89" s="84" t="str">
        <f>VLOOKUP(I89,[7]stage_hints!$A:$C,3,FALSE)</f>
        <v>ステータスをスキルで下げられたら</v>
      </c>
      <c r="L89" s="85" t="str">
        <f>VLOOKUP(I89,[7]stage_hints!$A:$D,4,FALSE)</f>
        <v>ステータスダウンのスキルを受けたら_x000D_ステータスアップスキルで上書きしましょう</v>
      </c>
      <c r="M89" s="49" t="s">
        <v>211</v>
      </c>
    </row>
    <row r="90" spans="1:13" x14ac:dyDescent="0.15">
      <c r="A90" s="73" t="s">
        <v>201</v>
      </c>
      <c r="B90" s="74">
        <f>floors!$C$2</f>
        <v>20014</v>
      </c>
      <c r="C90" s="75" t="str">
        <f ca="1">VLOOKUP($B90,OFFSET([2]quests!$A$1,0,0,COUNTA([2]quests!$A:$A),MATCH(C$1,[2]quests!$1:$1,0)-MATCH($B$1,[2]quests!$1:$1,0)+1),MATCH(C$1,[2]quests!$1:$1,0)-MATCH($B$1,[2]quests!$1:$1,0)+1,FALSE)</f>
        <v>魅了する歌声</v>
      </c>
      <c r="D90" s="75" t="str">
        <f ca="1">VLOOKUP($B90,OFFSET([2]quests!$A$1,0,0,COUNTA([2]quests!$A:$A),MATCH(D$1,[2]quests!$1:$1,0)-MATCH($B$1,[2]quests!$1:$1,0)+1),MATCH(D$1,[2]quests!$1:$1,0)-MATCH($B$1,[2]quests!$1:$1,0)+1,FALSE)</f>
        <v>天使と悪魔編1</v>
      </c>
      <c r="E90" s="79">
        <v>3</v>
      </c>
      <c r="F90" s="75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【上級】魅了する歌声</v>
      </c>
      <c r="G90" s="75" t="str">
        <f ca="1">VLOOKUP($B90&amp;"_"&amp;$E90,OFFSET([2]stages!$A$1,0,0,COUNTA([2]stages!$A:$A),MATCH(G$1,[2]stages!$2:$2,0)-MATCH("temp_stage",[2]stages!$2:$2,0)+1),MATCH(G$1,[2]stages!$2:$2,0)-MATCH("temp_stage",[2]stages!$2:$2,0)+1,FALSE)</f>
        <v>天使と悪魔編1</v>
      </c>
      <c r="H90" s="77">
        <v>0</v>
      </c>
      <c r="I90" s="88">
        <v>35</v>
      </c>
      <c r="J90" s="76" t="s">
        <v>198</v>
      </c>
      <c r="K90" s="84" t="str">
        <f>VLOOKUP(I90,[7]stage_hints!$A:$C,3,FALSE)</f>
        <v>敵のステータスがスキルで上がったら</v>
      </c>
      <c r="L90" s="85" t="str">
        <f>VLOOKUP(I90,[7]stage_hints!$A:$D,4,FALSE)</f>
        <v>敵のステータスがスキルでアップしたときは_x000D_ステータスダウンスキルで上書きしましょう</v>
      </c>
      <c r="M90" s="49" t="s">
        <v>211</v>
      </c>
    </row>
    <row r="91" spans="1:13" x14ac:dyDescent="0.15">
      <c r="A91" s="73" t="s">
        <v>201</v>
      </c>
      <c r="B91" s="74">
        <f>floors!$C$2</f>
        <v>20014</v>
      </c>
      <c r="C91" s="75" t="str">
        <f ca="1">VLOOKUP($B91,OFFSET([2]quests!$A$1,0,0,COUNTA([2]quests!$A:$A),MATCH(C$1,[2]quests!$1:$1,0)-MATCH($B$1,[2]quests!$1:$1,0)+1),MATCH(C$1,[2]quests!$1:$1,0)-MATCH($B$1,[2]quests!$1:$1,0)+1,FALSE)</f>
        <v>魅了する歌声</v>
      </c>
      <c r="D91" s="75" t="str">
        <f ca="1">VLOOKUP($B91,OFFSET([2]quests!$A$1,0,0,COUNTA([2]quests!$A:$A),MATCH(D$1,[2]quests!$1:$1,0)-MATCH($B$1,[2]quests!$1:$1,0)+1),MATCH(D$1,[2]quests!$1:$1,0)-MATCH($B$1,[2]quests!$1:$1,0)+1,FALSE)</f>
        <v>天使と悪魔編1</v>
      </c>
      <c r="E91" s="79">
        <v>3</v>
      </c>
      <c r="F91" s="75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【上級】魅了する歌声</v>
      </c>
      <c r="G91" s="75" t="str">
        <f ca="1">VLOOKUP($B91&amp;"_"&amp;$E91,OFFSET([2]stages!$A$1,0,0,COUNTA([2]stages!$A:$A),MATCH(G$1,[2]stages!$2:$2,0)-MATCH("temp_stage",[2]stages!$2:$2,0)+1),MATCH(G$1,[2]stages!$2:$2,0)-MATCH("temp_stage",[2]stages!$2:$2,0)+1,FALSE)</f>
        <v>天使と悪魔編1</v>
      </c>
      <c r="H91" s="77">
        <v>0</v>
      </c>
      <c r="I91" s="88">
        <v>36</v>
      </c>
      <c r="J91" s="76" t="s">
        <v>198</v>
      </c>
      <c r="K91" s="84" t="str">
        <f>VLOOKUP(I91,[7]stage_hints!$A:$C,3,FALSE)</f>
        <v>タワーオブザクイーンのボス</v>
      </c>
      <c r="L91" s="85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49" t="s">
        <v>211</v>
      </c>
    </row>
    <row r="92" spans="1:13" x14ac:dyDescent="0.15">
      <c r="A92" s="73" t="s">
        <v>201</v>
      </c>
      <c r="B92" s="74">
        <f>floors!$C$2</f>
        <v>20014</v>
      </c>
      <c r="C92" s="75" t="str">
        <f ca="1">VLOOKUP($B92,OFFSET([2]quests!$A$1,0,0,COUNTA([2]quests!$A:$A),MATCH(C$1,[2]quests!$1:$1,0)-MATCH($B$1,[2]quests!$1:$1,0)+1),MATCH(C$1,[2]quests!$1:$1,0)-MATCH($B$1,[2]quests!$1:$1,0)+1,FALSE)</f>
        <v>魅了する歌声</v>
      </c>
      <c r="D92" s="75" t="str">
        <f ca="1">VLOOKUP($B92,OFFSET([2]quests!$A$1,0,0,COUNTA([2]quests!$A:$A),MATCH(D$1,[2]quests!$1:$1,0)-MATCH($B$1,[2]quests!$1:$1,0)+1),MATCH(D$1,[2]quests!$1:$1,0)-MATCH($B$1,[2]quests!$1:$1,0)+1,FALSE)</f>
        <v>天使と悪魔編1</v>
      </c>
      <c r="E92" s="79">
        <v>3</v>
      </c>
      <c r="F92" s="75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【上級】魅了する歌声</v>
      </c>
      <c r="G92" s="75" t="str">
        <f ca="1">VLOOKUP($B92&amp;"_"&amp;$E92,OFFSET([2]stages!$A$1,0,0,COUNTA([2]stages!$A:$A),MATCH(G$1,[2]stages!$2:$2,0)-MATCH("temp_stage",[2]stages!$2:$2,0)+1),MATCH(G$1,[2]stages!$2:$2,0)-MATCH("temp_stage",[2]stages!$2:$2,0)+1,FALSE)</f>
        <v>天使と悪魔編1</v>
      </c>
      <c r="H92" s="77">
        <v>0</v>
      </c>
      <c r="I92" s="88">
        <v>37</v>
      </c>
      <c r="J92" s="76" t="s">
        <v>198</v>
      </c>
      <c r="K92" s="84" t="str">
        <f>VLOOKUP(I92,[7]stage_hints!$A:$C,3,FALSE)</f>
        <v>限界突破値の引き継ぎ</v>
      </c>
      <c r="L92" s="85" t="str">
        <f>VLOOKUP(I92,[7]stage_hints!$A:$D,4,FALSE)</f>
        <v>同じユニットを強化で合成すると_x000D_限界突破値を引き継げます（覚醒前後も可）</v>
      </c>
      <c r="M92" s="49" t="s">
        <v>211</v>
      </c>
    </row>
    <row r="93" spans="1:13" x14ac:dyDescent="0.15">
      <c r="A93" s="73" t="s">
        <v>201</v>
      </c>
      <c r="B93" s="74">
        <f>floors!$C$2</f>
        <v>20014</v>
      </c>
      <c r="C93" s="75" t="str">
        <f ca="1">VLOOKUP($B93,OFFSET([2]quests!$A$1,0,0,COUNTA([2]quests!$A:$A),MATCH(C$1,[2]quests!$1:$1,0)-MATCH($B$1,[2]quests!$1:$1,0)+1),MATCH(C$1,[2]quests!$1:$1,0)-MATCH($B$1,[2]quests!$1:$1,0)+1,FALSE)</f>
        <v>魅了する歌声</v>
      </c>
      <c r="D93" s="75" t="str">
        <f ca="1">VLOOKUP($B93,OFFSET([2]quests!$A$1,0,0,COUNTA([2]quests!$A:$A),MATCH(D$1,[2]quests!$1:$1,0)-MATCH($B$1,[2]quests!$1:$1,0)+1),MATCH(D$1,[2]quests!$1:$1,0)-MATCH($B$1,[2]quests!$1:$1,0)+1,FALSE)</f>
        <v>天使と悪魔編1</v>
      </c>
      <c r="E93" s="79">
        <v>3</v>
      </c>
      <c r="F93" s="75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【上級】魅了する歌声</v>
      </c>
      <c r="G93" s="75" t="str">
        <f ca="1">VLOOKUP($B93&amp;"_"&amp;$E93,OFFSET([2]stages!$A$1,0,0,COUNTA([2]stages!$A:$A),MATCH(G$1,[2]stages!$2:$2,0)-MATCH("temp_stage",[2]stages!$2:$2,0)+1),MATCH(G$1,[2]stages!$2:$2,0)-MATCH("temp_stage",[2]stages!$2:$2,0)+1,FALSE)</f>
        <v>天使と悪魔編1</v>
      </c>
      <c r="H93" s="77">
        <v>0</v>
      </c>
      <c r="I93" s="88">
        <v>39</v>
      </c>
      <c r="J93" s="76" t="s">
        <v>198</v>
      </c>
      <c r="K93" s="84" t="str">
        <f>VLOOKUP(I93,[7]stage_hints!$A:$C,3,FALSE)</f>
        <v>システム適合者を確認</v>
      </c>
      <c r="L93" s="85" t="str">
        <f>VLOOKUP(I93,[7]stage_hints!$A:$D,4,FALSE)</f>
        <v>ALICEが 「アナタ」を呼んでいます</v>
      </c>
      <c r="M93" s="49" t="s">
        <v>211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Q16"/>
  <sheetViews>
    <sheetView showGridLines="0" workbookViewId="0">
      <pane ySplit="1" topLeftCell="A2" activePane="bottomLeft" state="frozen"/>
      <selection pane="bottomLeft" activeCell="O14" sqref="O14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7" x14ac:dyDescent="0.15">
      <c r="A1" s="117" t="s">
        <v>188</v>
      </c>
      <c r="B1" s="118" t="s">
        <v>151</v>
      </c>
      <c r="C1" s="119" t="s">
        <v>190</v>
      </c>
      <c r="D1" s="119" t="s">
        <v>33</v>
      </c>
      <c r="E1" s="118" t="s">
        <v>191</v>
      </c>
      <c r="F1" s="119" t="s">
        <v>18</v>
      </c>
      <c r="G1" s="119" t="s">
        <v>33</v>
      </c>
      <c r="H1" s="118" t="s">
        <v>193</v>
      </c>
      <c r="I1" s="120" t="s">
        <v>194</v>
      </c>
      <c r="J1" s="121" t="s">
        <v>195</v>
      </c>
      <c r="K1" s="122" t="s">
        <v>127</v>
      </c>
      <c r="L1" s="123" t="s">
        <v>187</v>
      </c>
      <c r="M1" s="124" t="s">
        <v>186</v>
      </c>
      <c r="N1" s="125" t="s">
        <v>196</v>
      </c>
    </row>
    <row r="2" spans="1:17" ht="28" x14ac:dyDescent="0.15">
      <c r="A2" s="126" t="s">
        <v>197</v>
      </c>
      <c r="B2" s="74">
        <f>floors!$C$2</f>
        <v>20014</v>
      </c>
      <c r="C2" s="75" t="str">
        <f ca="1">VLOOKUP($B2,OFFSET([2]quests!$A$1,0,0,COUNTA([2]quests!$A:$A),MATCH(C$1,[2]quests!$1:$1,0)-MATCH($B$1,[2]quests!$1:$1,0)+1),MATCH(C$1,[2]quests!$1:$1,0)-MATCH($B$1,[2]quests!$1:$1,0)+1,FALSE)</f>
        <v>魅了する歌声</v>
      </c>
      <c r="D2" s="75" t="str">
        <f ca="1">VLOOKUP($B2,OFFSET([2]quests!$A$1,0,0,COUNTA([2]quests!$A:$A),MATCH(D$1,[2]quests!$1:$1,0)-MATCH($B$1,[2]quests!$1:$1,0)+1),MATCH(D$1,[2]quests!$1:$1,0)-MATCH($B$1,[2]quests!$1:$1,0)+1,FALSE)</f>
        <v>天使と悪魔編1</v>
      </c>
      <c r="E2" s="76">
        <v>1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【初級】魅了する歌声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天使と悪魔編1</v>
      </c>
      <c r="H2" s="77">
        <v>1</v>
      </c>
      <c r="I2" s="81">
        <f>ROW()-1</f>
        <v>1</v>
      </c>
      <c r="J2" s="78" t="str">
        <f>B2&amp;TEXT(I2,"00")</f>
        <v>2001401</v>
      </c>
      <c r="K2" s="76" t="s">
        <v>198</v>
      </c>
      <c r="L2" s="79" t="s">
        <v>199</v>
      </c>
      <c r="M2" s="212" t="s">
        <v>265</v>
      </c>
      <c r="N2" s="127" t="s">
        <v>200</v>
      </c>
    </row>
    <row r="3" spans="1:17" ht="42" x14ac:dyDescent="0.15">
      <c r="A3" s="126" t="s">
        <v>197</v>
      </c>
      <c r="B3" s="74">
        <f>floors!$C$2</f>
        <v>20014</v>
      </c>
      <c r="C3" s="75" t="str">
        <f ca="1">VLOOKUP($B3,OFFSET([2]quests!$A$1,0,0,COUNTA([2]quests!$A:$A),MATCH(C$1,[2]quests!$1:$1,0)-MATCH($B$1,[2]quests!$1:$1,0)+1),MATCH(C$1,[2]quests!$1:$1,0)-MATCH($B$1,[2]quests!$1:$1,0)+1,FALSE)</f>
        <v>魅了する歌声</v>
      </c>
      <c r="D3" s="75" t="str">
        <f ca="1">VLOOKUP($B3,OFFSET([2]quests!$A$1,0,0,COUNTA([2]quests!$A:$A),MATCH(D$1,[2]quests!$1:$1,0)-MATCH($B$1,[2]quests!$1:$1,0)+1),MATCH(D$1,[2]quests!$1:$1,0)-MATCH($B$1,[2]quests!$1:$1,0)+1,FALSE)</f>
        <v>天使と悪魔編1</v>
      </c>
      <c r="E3" s="76">
        <v>1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【初級】魅了する歌声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天使と悪魔編1</v>
      </c>
      <c r="H3" s="77">
        <v>2</v>
      </c>
      <c r="I3" s="81">
        <f t="shared" ref="I3:I16" si="0">ROW()-1</f>
        <v>2</v>
      </c>
      <c r="J3" s="78" t="str">
        <f t="shared" ref="J3:J16" si="1">B3&amp;TEXT(I3,"00")</f>
        <v>2001402</v>
      </c>
      <c r="K3" s="76" t="s">
        <v>198</v>
      </c>
      <c r="L3" s="79" t="s">
        <v>199</v>
      </c>
      <c r="M3" s="212" t="s">
        <v>264</v>
      </c>
      <c r="N3" s="127" t="s">
        <v>200</v>
      </c>
    </row>
    <row r="4" spans="1:17" ht="42" x14ac:dyDescent="0.15">
      <c r="A4" s="126" t="s">
        <v>197</v>
      </c>
      <c r="B4" s="74">
        <f>floors!$C$2</f>
        <v>20014</v>
      </c>
      <c r="C4" s="75" t="str">
        <f ca="1">VLOOKUP($B4,OFFSET([2]quests!$A$1,0,0,COUNTA([2]quests!$A:$A),MATCH(C$1,[2]quests!$1:$1,0)-MATCH($B$1,[2]quests!$1:$1,0)+1),MATCH(C$1,[2]quests!$1:$1,0)-MATCH($B$1,[2]quests!$1:$1,0)+1,FALSE)</f>
        <v>魅了する歌声</v>
      </c>
      <c r="D4" s="75" t="str">
        <f ca="1">VLOOKUP($B4,OFFSET([2]quests!$A$1,0,0,COUNTA([2]quests!$A:$A),MATCH(D$1,[2]quests!$1:$1,0)-MATCH($B$1,[2]quests!$1:$1,0)+1),MATCH(D$1,[2]quests!$1:$1,0)-MATCH($B$1,[2]quests!$1:$1,0)+1,FALSE)</f>
        <v>天使と悪魔編1</v>
      </c>
      <c r="E4" s="76">
        <v>1</v>
      </c>
      <c r="F4" s="75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【初級】魅了する歌声</v>
      </c>
      <c r="G4" s="75" t="str">
        <f ca="1">VLOOKUP($B4&amp;"_"&amp;$E4,OFFSET([2]stages!$A$1,0,0,COUNTA([2]stages!$A:$A),MATCH(G$1,[2]stages!$2:$2,0)-MATCH("temp_stage",[2]stages!$2:$2,0)+1),MATCH(G$1,[2]stages!$2:$2,0)-MATCH("temp_stage",[2]stages!$2:$2,0)+1,FALSE)</f>
        <v>天使と悪魔編1</v>
      </c>
      <c r="H4" s="77">
        <v>3</v>
      </c>
      <c r="I4" s="81">
        <f t="shared" si="0"/>
        <v>3</v>
      </c>
      <c r="J4" s="78" t="str">
        <f t="shared" si="1"/>
        <v>2001403</v>
      </c>
      <c r="K4" s="76" t="s">
        <v>198</v>
      </c>
      <c r="L4" s="79" t="s">
        <v>199</v>
      </c>
      <c r="M4" s="212" t="s">
        <v>281</v>
      </c>
      <c r="N4" s="127" t="s">
        <v>200</v>
      </c>
    </row>
    <row r="5" spans="1:17" ht="42" x14ac:dyDescent="0.15">
      <c r="A5" s="126" t="s">
        <v>197</v>
      </c>
      <c r="B5" s="74">
        <f>floors!$C$2</f>
        <v>20014</v>
      </c>
      <c r="C5" s="75" t="str">
        <f ca="1">VLOOKUP($B5,OFFSET([2]quests!$A$1,0,0,COUNTA([2]quests!$A:$A),MATCH(C$1,[2]quests!$1:$1,0)-MATCH($B$1,[2]quests!$1:$1,0)+1),MATCH(C$1,[2]quests!$1:$1,0)-MATCH($B$1,[2]quests!$1:$1,0)+1,FALSE)</f>
        <v>魅了する歌声</v>
      </c>
      <c r="D5" s="75" t="str">
        <f ca="1">VLOOKUP($B5,OFFSET([2]quests!$A$1,0,0,COUNTA([2]quests!$A:$A),MATCH(D$1,[2]quests!$1:$1,0)-MATCH($B$1,[2]quests!$1:$1,0)+1),MATCH(D$1,[2]quests!$1:$1,0)-MATCH($B$1,[2]quests!$1:$1,0)+1,FALSE)</f>
        <v>天使と悪魔編1</v>
      </c>
      <c r="E5" s="76">
        <v>1</v>
      </c>
      <c r="F5" s="75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【初級】魅了する歌声</v>
      </c>
      <c r="G5" s="75" t="str">
        <f ca="1">VLOOKUP($B5&amp;"_"&amp;$E5,OFFSET([2]stages!$A$1,0,0,COUNTA([2]stages!$A:$A),MATCH(G$1,[2]stages!$2:$2,0)-MATCH("temp_stage",[2]stages!$2:$2,0)+1),MATCH(G$1,[2]stages!$2:$2,0)-MATCH("temp_stage",[2]stages!$2:$2,0)+1,FALSE)</f>
        <v>天使と悪魔編1</v>
      </c>
      <c r="H5" s="77">
        <v>4</v>
      </c>
      <c r="I5" s="81">
        <f t="shared" si="0"/>
        <v>4</v>
      </c>
      <c r="J5" s="78" t="str">
        <f t="shared" si="1"/>
        <v>2001404</v>
      </c>
      <c r="K5" s="76" t="s">
        <v>198</v>
      </c>
      <c r="L5" s="79" t="s">
        <v>199</v>
      </c>
      <c r="M5" s="212" t="s">
        <v>243</v>
      </c>
      <c r="N5" s="127" t="s">
        <v>200</v>
      </c>
    </row>
    <row r="6" spans="1:17" ht="43" thickBot="1" x14ac:dyDescent="0.2">
      <c r="A6" s="137" t="s">
        <v>197</v>
      </c>
      <c r="B6" s="138">
        <f>floors!$C$2</f>
        <v>20014</v>
      </c>
      <c r="C6" s="139" t="str">
        <f ca="1">VLOOKUP($B6,OFFSET([2]quests!$A$1,0,0,COUNTA([2]quests!$A:$A),MATCH(C$1,[2]quests!$1:$1,0)-MATCH($B$1,[2]quests!$1:$1,0)+1),MATCH(C$1,[2]quests!$1:$1,0)-MATCH($B$1,[2]quests!$1:$1,0)+1,FALSE)</f>
        <v>魅了する歌声</v>
      </c>
      <c r="D6" s="139" t="str">
        <f ca="1">VLOOKUP($B6,OFFSET([2]quests!$A$1,0,0,COUNTA([2]quests!$A:$A),MATCH(D$1,[2]quests!$1:$1,0)-MATCH($B$1,[2]quests!$1:$1,0)+1),MATCH(D$1,[2]quests!$1:$1,0)-MATCH($B$1,[2]quests!$1:$1,0)+1,FALSE)</f>
        <v>天使と悪魔編1</v>
      </c>
      <c r="E6" s="140">
        <v>1</v>
      </c>
      <c r="F6" s="139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【初級】魅了する歌声</v>
      </c>
      <c r="G6" s="139" t="str">
        <f ca="1">VLOOKUP($B6&amp;"_"&amp;$E6,OFFSET([2]stages!$A$1,0,0,COUNTA([2]stages!$A:$A),MATCH(G$1,[2]stages!$2:$2,0)-MATCH("temp_stage",[2]stages!$2:$2,0)+1),MATCH(G$1,[2]stages!$2:$2,0)-MATCH("temp_stage",[2]stages!$2:$2,0)+1,FALSE)</f>
        <v>天使と悪魔編1</v>
      </c>
      <c r="H6" s="141">
        <v>5</v>
      </c>
      <c r="I6" s="142">
        <f t="shared" si="0"/>
        <v>5</v>
      </c>
      <c r="J6" s="143" t="str">
        <f t="shared" si="1"/>
        <v>2001405</v>
      </c>
      <c r="K6" s="140" t="s">
        <v>198</v>
      </c>
      <c r="L6" s="144" t="s">
        <v>199</v>
      </c>
      <c r="M6" s="194" t="s">
        <v>266</v>
      </c>
      <c r="N6" s="145" t="s">
        <v>200</v>
      </c>
    </row>
    <row r="7" spans="1:17" ht="28" x14ac:dyDescent="0.15">
      <c r="A7" s="153" t="s">
        <v>197</v>
      </c>
      <c r="B7" s="154">
        <f>floors!$C$2</f>
        <v>20014</v>
      </c>
      <c r="C7" s="155" t="str">
        <f ca="1">VLOOKUP($B7,OFFSET([2]quests!$A$1,0,0,COUNTA([2]quests!$A:$A),MATCH(C$1,[2]quests!$1:$1,0)-MATCH($B$1,[2]quests!$1:$1,0)+1),MATCH(C$1,[2]quests!$1:$1,0)-MATCH($B$1,[2]quests!$1:$1,0)+1,FALSE)</f>
        <v>魅了する歌声</v>
      </c>
      <c r="D7" s="155" t="str">
        <f ca="1">VLOOKUP($B7,OFFSET([2]quests!$A$1,0,0,COUNTA([2]quests!$A:$A),MATCH(D$1,[2]quests!$1:$1,0)-MATCH($B$1,[2]quests!$1:$1,0)+1),MATCH(D$1,[2]quests!$1:$1,0)-MATCH($B$1,[2]quests!$1:$1,0)+1,FALSE)</f>
        <v>天使と悪魔編1</v>
      </c>
      <c r="E7" s="156">
        <v>2</v>
      </c>
      <c r="F7" s="155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【中級】魅了する歌声</v>
      </c>
      <c r="G7" s="155" t="str">
        <f ca="1">VLOOKUP($B7&amp;"_"&amp;$E7,OFFSET([2]stages!$A$1,0,0,COUNTA([2]stages!$A:$A),MATCH(G$1,[2]stages!$2:$2,0)-MATCH("temp_stage",[2]stages!$2:$2,0)+1),MATCH(G$1,[2]stages!$2:$2,0)-MATCH("temp_stage",[2]stages!$2:$2,0)+1,FALSE)</f>
        <v>天使と悪魔編1</v>
      </c>
      <c r="H7" s="157">
        <v>1</v>
      </c>
      <c r="I7" s="158">
        <f t="shared" si="0"/>
        <v>6</v>
      </c>
      <c r="J7" s="159" t="str">
        <f t="shared" si="1"/>
        <v>2001406</v>
      </c>
      <c r="K7" s="156" t="s">
        <v>198</v>
      </c>
      <c r="L7" s="160" t="s">
        <v>199</v>
      </c>
      <c r="M7" s="212" t="s">
        <v>265</v>
      </c>
      <c r="N7" s="161" t="s">
        <v>200</v>
      </c>
    </row>
    <row r="8" spans="1:17" ht="42" x14ac:dyDescent="0.15">
      <c r="A8" s="126" t="s">
        <v>197</v>
      </c>
      <c r="B8" s="74">
        <f>floors!$C$2</f>
        <v>20014</v>
      </c>
      <c r="C8" s="75" t="str">
        <f ca="1">VLOOKUP($B8,OFFSET([2]quests!$A$1,0,0,COUNTA([2]quests!$A:$A),MATCH(C$1,[2]quests!$1:$1,0)-MATCH($B$1,[2]quests!$1:$1,0)+1),MATCH(C$1,[2]quests!$1:$1,0)-MATCH($B$1,[2]quests!$1:$1,0)+1,FALSE)</f>
        <v>魅了する歌声</v>
      </c>
      <c r="D8" s="75" t="str">
        <f ca="1">VLOOKUP($B8,OFFSET([2]quests!$A$1,0,0,COUNTA([2]quests!$A:$A),MATCH(D$1,[2]quests!$1:$1,0)-MATCH($B$1,[2]quests!$1:$1,0)+1),MATCH(D$1,[2]quests!$1:$1,0)-MATCH($B$1,[2]quests!$1:$1,0)+1,FALSE)</f>
        <v>天使と悪魔編1</v>
      </c>
      <c r="E8" s="76">
        <v>2</v>
      </c>
      <c r="F8" s="75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【中級】魅了する歌声</v>
      </c>
      <c r="G8" s="75" t="str">
        <f ca="1">VLOOKUP($B8&amp;"_"&amp;$E8,OFFSET([2]stages!$A$1,0,0,COUNTA([2]stages!$A:$A),MATCH(G$1,[2]stages!$2:$2,0)-MATCH("temp_stage",[2]stages!$2:$2,0)+1),MATCH(G$1,[2]stages!$2:$2,0)-MATCH("temp_stage",[2]stages!$2:$2,0)+1,FALSE)</f>
        <v>天使と悪魔編1</v>
      </c>
      <c r="H8" s="77">
        <v>2</v>
      </c>
      <c r="I8" s="81">
        <f t="shared" si="0"/>
        <v>7</v>
      </c>
      <c r="J8" s="78" t="str">
        <f t="shared" si="1"/>
        <v>2001407</v>
      </c>
      <c r="K8" s="76" t="s">
        <v>198</v>
      </c>
      <c r="L8" s="79" t="s">
        <v>199</v>
      </c>
      <c r="M8" s="212" t="s">
        <v>264</v>
      </c>
      <c r="N8" s="127" t="s">
        <v>200</v>
      </c>
    </row>
    <row r="9" spans="1:17" ht="42" x14ac:dyDescent="0.15">
      <c r="A9" s="126" t="s">
        <v>197</v>
      </c>
      <c r="B9" s="74">
        <f>floors!$C$2</f>
        <v>20014</v>
      </c>
      <c r="C9" s="75" t="str">
        <f ca="1">VLOOKUP($B9,OFFSET([2]quests!$A$1,0,0,COUNTA([2]quests!$A:$A),MATCH(C$1,[2]quests!$1:$1,0)-MATCH($B$1,[2]quests!$1:$1,0)+1),MATCH(C$1,[2]quests!$1:$1,0)-MATCH($B$1,[2]quests!$1:$1,0)+1,FALSE)</f>
        <v>魅了する歌声</v>
      </c>
      <c r="D9" s="75" t="str">
        <f ca="1">VLOOKUP($B9,OFFSET([2]quests!$A$1,0,0,COUNTA([2]quests!$A:$A),MATCH(D$1,[2]quests!$1:$1,0)-MATCH($B$1,[2]quests!$1:$1,0)+1),MATCH(D$1,[2]quests!$1:$1,0)-MATCH($B$1,[2]quests!$1:$1,0)+1,FALSE)</f>
        <v>天使と悪魔編1</v>
      </c>
      <c r="E9" s="76">
        <v>2</v>
      </c>
      <c r="F9" s="75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【中級】魅了する歌声</v>
      </c>
      <c r="G9" s="75" t="str">
        <f ca="1">VLOOKUP($B9&amp;"_"&amp;$E9,OFFSET([2]stages!$A$1,0,0,COUNTA([2]stages!$A:$A),MATCH(G$1,[2]stages!$2:$2,0)-MATCH("temp_stage",[2]stages!$2:$2,0)+1),MATCH(G$1,[2]stages!$2:$2,0)-MATCH("temp_stage",[2]stages!$2:$2,0)+1,FALSE)</f>
        <v>天使と悪魔編1</v>
      </c>
      <c r="H9" s="77">
        <v>3</v>
      </c>
      <c r="I9" s="81">
        <f t="shared" si="0"/>
        <v>8</v>
      </c>
      <c r="J9" s="78" t="str">
        <f t="shared" si="1"/>
        <v>2001408</v>
      </c>
      <c r="K9" s="76" t="s">
        <v>198</v>
      </c>
      <c r="L9" s="79" t="s">
        <v>199</v>
      </c>
      <c r="M9" s="212" t="s">
        <v>281</v>
      </c>
      <c r="N9" s="127" t="s">
        <v>200</v>
      </c>
    </row>
    <row r="10" spans="1:17" ht="42" x14ac:dyDescent="0.15">
      <c r="A10" s="126" t="s">
        <v>197</v>
      </c>
      <c r="B10" s="74">
        <f>floors!$C$2</f>
        <v>20014</v>
      </c>
      <c r="C10" s="75" t="str">
        <f ca="1">VLOOKUP($B10,OFFSET([2]quests!$A$1,0,0,COUNTA([2]quests!$A:$A),MATCH(C$1,[2]quests!$1:$1,0)-MATCH($B$1,[2]quests!$1:$1,0)+1),MATCH(C$1,[2]quests!$1:$1,0)-MATCH($B$1,[2]quests!$1:$1,0)+1,FALSE)</f>
        <v>魅了する歌声</v>
      </c>
      <c r="D10" s="75" t="str">
        <f ca="1">VLOOKUP($B10,OFFSET([2]quests!$A$1,0,0,COUNTA([2]quests!$A:$A),MATCH(D$1,[2]quests!$1:$1,0)-MATCH($B$1,[2]quests!$1:$1,0)+1),MATCH(D$1,[2]quests!$1:$1,0)-MATCH($B$1,[2]quests!$1:$1,0)+1,FALSE)</f>
        <v>天使と悪魔編1</v>
      </c>
      <c r="E10" s="76">
        <v>2</v>
      </c>
      <c r="F10" s="75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【中級】魅了する歌声</v>
      </c>
      <c r="G10" s="75" t="str">
        <f ca="1">VLOOKUP($B10&amp;"_"&amp;$E10,OFFSET([2]stages!$A$1,0,0,COUNTA([2]stages!$A:$A),MATCH(G$1,[2]stages!$2:$2,0)-MATCH("temp_stage",[2]stages!$2:$2,0)+1),MATCH(G$1,[2]stages!$2:$2,0)-MATCH("temp_stage",[2]stages!$2:$2,0)+1,FALSE)</f>
        <v>天使と悪魔編1</v>
      </c>
      <c r="H10" s="77">
        <v>4</v>
      </c>
      <c r="I10" s="81">
        <f t="shared" si="0"/>
        <v>9</v>
      </c>
      <c r="J10" s="78" t="str">
        <f t="shared" si="1"/>
        <v>2001409</v>
      </c>
      <c r="K10" s="76" t="s">
        <v>198</v>
      </c>
      <c r="L10" s="79" t="s">
        <v>199</v>
      </c>
      <c r="M10" s="212" t="s">
        <v>243</v>
      </c>
      <c r="N10" s="127" t="s">
        <v>200</v>
      </c>
    </row>
    <row r="11" spans="1:17" ht="43" thickBot="1" x14ac:dyDescent="0.2">
      <c r="A11" s="128" t="s">
        <v>197</v>
      </c>
      <c r="B11" s="129">
        <f>floors!$C$2</f>
        <v>20014</v>
      </c>
      <c r="C11" s="130" t="str">
        <f ca="1">VLOOKUP($B11,OFFSET([2]quests!$A$1,0,0,COUNTA([2]quests!$A:$A),MATCH(C$1,[2]quests!$1:$1,0)-MATCH($B$1,[2]quests!$1:$1,0)+1),MATCH(C$1,[2]quests!$1:$1,0)-MATCH($B$1,[2]quests!$1:$1,0)+1,FALSE)</f>
        <v>魅了する歌声</v>
      </c>
      <c r="D11" s="130" t="str">
        <f ca="1">VLOOKUP($B11,OFFSET([2]quests!$A$1,0,0,COUNTA([2]quests!$A:$A),MATCH(D$1,[2]quests!$1:$1,0)-MATCH($B$1,[2]quests!$1:$1,0)+1),MATCH(D$1,[2]quests!$1:$1,0)-MATCH($B$1,[2]quests!$1:$1,0)+1,FALSE)</f>
        <v>天使と悪魔編1</v>
      </c>
      <c r="E11" s="131">
        <v>2</v>
      </c>
      <c r="F11" s="13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【中級】魅了する歌声</v>
      </c>
      <c r="G11" s="130" t="str">
        <f ca="1">VLOOKUP($B11&amp;"_"&amp;$E11,OFFSET([2]stages!$A$1,0,0,COUNTA([2]stages!$A:$A),MATCH(G$1,[2]stages!$2:$2,0)-MATCH("temp_stage",[2]stages!$2:$2,0)+1),MATCH(G$1,[2]stages!$2:$2,0)-MATCH("temp_stage",[2]stages!$2:$2,0)+1,FALSE)</f>
        <v>天使と悪魔編1</v>
      </c>
      <c r="H11" s="132">
        <v>5</v>
      </c>
      <c r="I11" s="133">
        <f t="shared" si="0"/>
        <v>10</v>
      </c>
      <c r="J11" s="134" t="str">
        <f t="shared" si="1"/>
        <v>2001410</v>
      </c>
      <c r="K11" s="131" t="s">
        <v>198</v>
      </c>
      <c r="L11" s="135" t="s">
        <v>199</v>
      </c>
      <c r="M11" s="194" t="s">
        <v>266</v>
      </c>
      <c r="N11" s="136" t="s">
        <v>200</v>
      </c>
    </row>
    <row r="12" spans="1:17" ht="28" x14ac:dyDescent="0.15">
      <c r="A12" s="146" t="s">
        <v>197</v>
      </c>
      <c r="B12" s="147">
        <f>floors!$C$2</f>
        <v>20014</v>
      </c>
      <c r="C12" s="75" t="str">
        <f ca="1">VLOOKUP($B12,OFFSET([2]quests!$A$1,0,0,COUNTA([2]quests!$A:$A),MATCH(C$1,[2]quests!$1:$1,0)-MATCH($B$1,[2]quests!$1:$1,0)+1),MATCH(C$1,[2]quests!$1:$1,0)-MATCH($B$1,[2]quests!$1:$1,0)+1,FALSE)</f>
        <v>魅了する歌声</v>
      </c>
      <c r="D12" s="75" t="str">
        <f ca="1">VLOOKUP($B12,OFFSET([2]quests!$A$1,0,0,COUNTA([2]quests!$A:$A),MATCH(D$1,[2]quests!$1:$1,0)-MATCH($B$1,[2]quests!$1:$1,0)+1),MATCH(D$1,[2]quests!$1:$1,0)-MATCH($B$1,[2]quests!$1:$1,0)+1,FALSE)</f>
        <v>天使と悪魔編1</v>
      </c>
      <c r="E12" s="148">
        <v>3</v>
      </c>
      <c r="F12" s="75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【上級】魅了する歌声</v>
      </c>
      <c r="G12" s="75" t="str">
        <f ca="1">VLOOKUP($B12&amp;"_"&amp;$E12,OFFSET([2]stages!$A$1,0,0,COUNTA([2]stages!$A:$A),MATCH(G$1,[2]stages!$2:$2,0)-MATCH("temp_stage",[2]stages!$2:$2,0)+1),MATCH(G$1,[2]stages!$2:$2,0)-MATCH("temp_stage",[2]stages!$2:$2,0)+1,FALSE)</f>
        <v>天使と悪魔編1</v>
      </c>
      <c r="H12" s="77">
        <v>1</v>
      </c>
      <c r="I12" s="149">
        <f t="shared" si="0"/>
        <v>11</v>
      </c>
      <c r="J12" s="150" t="str">
        <f t="shared" si="1"/>
        <v>2001411</v>
      </c>
      <c r="K12" s="148" t="s">
        <v>198</v>
      </c>
      <c r="L12" s="151" t="s">
        <v>199</v>
      </c>
      <c r="M12" s="212" t="s">
        <v>265</v>
      </c>
      <c r="N12" s="152" t="s">
        <v>200</v>
      </c>
    </row>
    <row r="13" spans="1:17" ht="42" x14ac:dyDescent="0.15">
      <c r="A13" s="126" t="s">
        <v>197</v>
      </c>
      <c r="B13" s="74">
        <f>floors!$C$2</f>
        <v>20014</v>
      </c>
      <c r="C13" s="75" t="str">
        <f ca="1">VLOOKUP($B13,OFFSET([2]quests!$A$1,0,0,COUNTA([2]quests!$A:$A),MATCH(C$1,[2]quests!$1:$1,0)-MATCH($B$1,[2]quests!$1:$1,0)+1),MATCH(C$1,[2]quests!$1:$1,0)-MATCH($B$1,[2]quests!$1:$1,0)+1,FALSE)</f>
        <v>魅了する歌声</v>
      </c>
      <c r="D13" s="75" t="str">
        <f ca="1">VLOOKUP($B13,OFFSET([2]quests!$A$1,0,0,COUNTA([2]quests!$A:$A),MATCH(D$1,[2]quests!$1:$1,0)-MATCH($B$1,[2]quests!$1:$1,0)+1),MATCH(D$1,[2]quests!$1:$1,0)-MATCH($B$1,[2]quests!$1:$1,0)+1,FALSE)</f>
        <v>天使と悪魔編1</v>
      </c>
      <c r="E13" s="76">
        <v>3</v>
      </c>
      <c r="F13" s="75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【上級】魅了する歌声</v>
      </c>
      <c r="G13" s="75" t="str">
        <f ca="1">VLOOKUP($B13&amp;"_"&amp;$E13,OFFSET([2]stages!$A$1,0,0,COUNTA([2]stages!$A:$A),MATCH(G$1,[2]stages!$2:$2,0)-MATCH("temp_stage",[2]stages!$2:$2,0)+1),MATCH(G$1,[2]stages!$2:$2,0)-MATCH("temp_stage",[2]stages!$2:$2,0)+1,FALSE)</f>
        <v>天使と悪魔編1</v>
      </c>
      <c r="H13" s="77">
        <v>2</v>
      </c>
      <c r="I13" s="81">
        <f t="shared" si="0"/>
        <v>12</v>
      </c>
      <c r="J13" s="78" t="str">
        <f t="shared" si="1"/>
        <v>2001412</v>
      </c>
      <c r="K13" s="76" t="s">
        <v>198</v>
      </c>
      <c r="L13" s="79" t="s">
        <v>199</v>
      </c>
      <c r="M13" s="212" t="s">
        <v>264</v>
      </c>
      <c r="N13" s="127" t="s">
        <v>200</v>
      </c>
    </row>
    <row r="14" spans="1:17" ht="42" x14ac:dyDescent="0.15">
      <c r="A14" s="126" t="s">
        <v>197</v>
      </c>
      <c r="B14" s="74">
        <f>floors!$C$2</f>
        <v>20014</v>
      </c>
      <c r="C14" s="75" t="str">
        <f ca="1">VLOOKUP($B14,OFFSET([2]quests!$A$1,0,0,COUNTA([2]quests!$A:$A),MATCH(C$1,[2]quests!$1:$1,0)-MATCH($B$1,[2]quests!$1:$1,0)+1),MATCH(C$1,[2]quests!$1:$1,0)-MATCH($B$1,[2]quests!$1:$1,0)+1,FALSE)</f>
        <v>魅了する歌声</v>
      </c>
      <c r="D14" s="75" t="str">
        <f ca="1">VLOOKUP($B14,OFFSET([2]quests!$A$1,0,0,COUNTA([2]quests!$A:$A),MATCH(D$1,[2]quests!$1:$1,0)-MATCH($B$1,[2]quests!$1:$1,0)+1),MATCH(D$1,[2]quests!$1:$1,0)-MATCH($B$1,[2]quests!$1:$1,0)+1,FALSE)</f>
        <v>天使と悪魔編1</v>
      </c>
      <c r="E14" s="76">
        <v>3</v>
      </c>
      <c r="F14" s="75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【上級】魅了する歌声</v>
      </c>
      <c r="G14" s="75" t="str">
        <f ca="1">VLOOKUP($B14&amp;"_"&amp;$E14,OFFSET([2]stages!$A$1,0,0,COUNTA([2]stages!$A:$A),MATCH(G$1,[2]stages!$2:$2,0)-MATCH("temp_stage",[2]stages!$2:$2,0)+1),MATCH(G$1,[2]stages!$2:$2,0)-MATCH("temp_stage",[2]stages!$2:$2,0)+1,FALSE)</f>
        <v>天使と悪魔編1</v>
      </c>
      <c r="H14" s="77">
        <v>3</v>
      </c>
      <c r="I14" s="81">
        <f t="shared" si="0"/>
        <v>13</v>
      </c>
      <c r="J14" s="78" t="str">
        <f t="shared" si="1"/>
        <v>2001413</v>
      </c>
      <c r="K14" s="76" t="s">
        <v>198</v>
      </c>
      <c r="L14" s="79" t="s">
        <v>199</v>
      </c>
      <c r="M14" s="212" t="s">
        <v>281</v>
      </c>
      <c r="N14" s="127" t="s">
        <v>200</v>
      </c>
    </row>
    <row r="15" spans="1:17" ht="42" x14ac:dyDescent="0.15">
      <c r="A15" s="126" t="s">
        <v>197</v>
      </c>
      <c r="B15" s="74">
        <f>floors!$C$2</f>
        <v>20014</v>
      </c>
      <c r="C15" s="75" t="str">
        <f ca="1">VLOOKUP($B15,OFFSET([2]quests!$A$1,0,0,COUNTA([2]quests!$A:$A),MATCH(C$1,[2]quests!$1:$1,0)-MATCH($B$1,[2]quests!$1:$1,0)+1),MATCH(C$1,[2]quests!$1:$1,0)-MATCH($B$1,[2]quests!$1:$1,0)+1,FALSE)</f>
        <v>魅了する歌声</v>
      </c>
      <c r="D15" s="75" t="str">
        <f ca="1">VLOOKUP($B15,OFFSET([2]quests!$A$1,0,0,COUNTA([2]quests!$A:$A),MATCH(D$1,[2]quests!$1:$1,0)-MATCH($B$1,[2]quests!$1:$1,0)+1),MATCH(D$1,[2]quests!$1:$1,0)-MATCH($B$1,[2]quests!$1:$1,0)+1,FALSE)</f>
        <v>天使と悪魔編1</v>
      </c>
      <c r="E15" s="76">
        <v>3</v>
      </c>
      <c r="F15" s="75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【上級】魅了する歌声</v>
      </c>
      <c r="G15" s="75" t="str">
        <f ca="1">VLOOKUP($B15&amp;"_"&amp;$E15,OFFSET([2]stages!$A$1,0,0,COUNTA([2]stages!$A:$A),MATCH(G$1,[2]stages!$2:$2,0)-MATCH("temp_stage",[2]stages!$2:$2,0)+1),MATCH(G$1,[2]stages!$2:$2,0)-MATCH("temp_stage",[2]stages!$2:$2,0)+1,FALSE)</f>
        <v>天使と悪魔編1</v>
      </c>
      <c r="H15" s="77">
        <v>4</v>
      </c>
      <c r="I15" s="81">
        <f t="shared" si="0"/>
        <v>14</v>
      </c>
      <c r="J15" s="78" t="str">
        <f t="shared" si="1"/>
        <v>2001414</v>
      </c>
      <c r="K15" s="76" t="s">
        <v>198</v>
      </c>
      <c r="L15" s="79" t="s">
        <v>199</v>
      </c>
      <c r="M15" s="212" t="s">
        <v>243</v>
      </c>
      <c r="N15" s="127" t="s">
        <v>200</v>
      </c>
      <c r="Q15" s="211"/>
    </row>
    <row r="16" spans="1:17" ht="43" thickBot="1" x14ac:dyDescent="0.2">
      <c r="A16" s="128" t="s">
        <v>197</v>
      </c>
      <c r="B16" s="129">
        <f>floors!$C$2</f>
        <v>20014</v>
      </c>
      <c r="C16" s="130" t="str">
        <f ca="1">VLOOKUP($B16,OFFSET([2]quests!$A$1,0,0,COUNTA([2]quests!$A:$A),MATCH(C$1,[2]quests!$1:$1,0)-MATCH($B$1,[2]quests!$1:$1,0)+1),MATCH(C$1,[2]quests!$1:$1,0)-MATCH($B$1,[2]quests!$1:$1,0)+1,FALSE)</f>
        <v>魅了する歌声</v>
      </c>
      <c r="D16" s="130" t="str">
        <f ca="1">VLOOKUP($B16,OFFSET([2]quests!$A$1,0,0,COUNTA([2]quests!$A:$A),MATCH(D$1,[2]quests!$1:$1,0)-MATCH($B$1,[2]quests!$1:$1,0)+1),MATCH(D$1,[2]quests!$1:$1,0)-MATCH($B$1,[2]quests!$1:$1,0)+1,FALSE)</f>
        <v>天使と悪魔編1</v>
      </c>
      <c r="E16" s="131">
        <v>3</v>
      </c>
      <c r="F16" s="130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【上級】魅了する歌声</v>
      </c>
      <c r="G16" s="130" t="str">
        <f ca="1">VLOOKUP($B16&amp;"_"&amp;$E16,OFFSET([2]stages!$A$1,0,0,COUNTA([2]stages!$A:$A),MATCH(G$1,[2]stages!$2:$2,0)-MATCH("temp_stage",[2]stages!$2:$2,0)+1),MATCH(G$1,[2]stages!$2:$2,0)-MATCH("temp_stage",[2]stages!$2:$2,0)+1,FALSE)</f>
        <v>天使と悪魔編1</v>
      </c>
      <c r="H16" s="132">
        <v>5</v>
      </c>
      <c r="I16" s="133">
        <f t="shared" si="0"/>
        <v>15</v>
      </c>
      <c r="J16" s="134" t="str">
        <f t="shared" si="1"/>
        <v>2001415</v>
      </c>
      <c r="K16" s="131" t="s">
        <v>198</v>
      </c>
      <c r="L16" s="135" t="s">
        <v>199</v>
      </c>
      <c r="M16" s="194" t="s">
        <v>266</v>
      </c>
      <c r="N16" s="136" t="s">
        <v>200</v>
      </c>
    </row>
  </sheetData>
  <phoneticPr fontId="5"/>
  <dataValidations disablePrompts="1"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2017-03-08T03:29:52Z</dcterms:modified>
</cp:coreProperties>
</file>