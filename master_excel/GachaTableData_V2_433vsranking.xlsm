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12"/>
  </bookViews>
  <sheets>
    <sheet name="確率の考え方" sheetId="110" r:id="rId1"/>
    <sheet name="Sheet1" sheetId="107" r:id="rId2"/>
    <sheet name="output" sheetId="103" r:id="rId3"/>
    <sheet name="input_433101" sheetId="106" r:id="rId4"/>
    <sheet name="tables_433101" sheetId="82" r:id="rId5"/>
    <sheet name="input_433103" sheetId="147" r:id="rId6"/>
    <sheet name="tables_433103" sheetId="148" r:id="rId7"/>
    <sheet name="tables_settle_433103" sheetId="157" r:id="rId8"/>
    <sheet name="input_433104" sheetId="149" r:id="rId9"/>
    <sheet name="tables_433104" sheetId="150" r:id="rId10"/>
    <sheet name="input_433105" sheetId="158" r:id="rId11"/>
    <sheet name="tables_433105" sheetId="159" r:id="rId12"/>
    <sheet name="input_433100" sheetId="153" r:id="rId13"/>
    <sheet name="tables_433100" sheetId="154" r:id="rId14"/>
    <sheet name="gacha_bonus_tables" sheetId="98" r:id="rId15"/>
    <sheet name="R6追加前" sheetId="111" r:id="rId16"/>
    <sheet name="R6開放" sheetId="112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3" hidden="1">tables_433100!$A$1:$V$300</definedName>
    <definedName name="_xlnm._FilterDatabase" localSheetId="4" hidden="1">tables_433101!$A$1:$V$1</definedName>
    <definedName name="_xlnm._FilterDatabase" localSheetId="6" hidden="1">tables_433103!$A$1:$V$300</definedName>
    <definedName name="_xlnm._FilterDatabase" localSheetId="9" hidden="1">tables_433104!$A$1:$V$294</definedName>
    <definedName name="_xlnm._FilterDatabase" localSheetId="11" hidden="1">tables_433105!$A$1:$V$300</definedName>
    <definedName name="_xlnm._FilterDatabase" localSheetId="7" hidden="1">tables_settle_433103!$A$1:$V$33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7" i="153" l="1"/>
  <c r="B20" i="153"/>
  <c r="A2" i="153"/>
  <c r="O307" i="154"/>
  <c r="O2" i="154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G20" i="153"/>
  <c r="H20" i="153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G27" i="153"/>
  <c r="H27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P307" i="154"/>
  <c r="P312" i="154"/>
  <c r="P314" i="154"/>
  <c r="P319" i="154"/>
  <c r="F64" i="153"/>
  <c r="P137" i="154"/>
  <c r="P138" i="154"/>
  <c r="P139" i="154"/>
  <c r="P140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8" i="154"/>
  <c r="P309" i="154"/>
  <c r="P310" i="154"/>
  <c r="P311" i="154"/>
  <c r="P313" i="154"/>
  <c r="P315" i="154"/>
  <c r="P316" i="154"/>
  <c r="P317" i="154"/>
  <c r="P318" i="154"/>
  <c r="P320" i="154"/>
  <c r="P321" i="154"/>
  <c r="P322" i="154"/>
  <c r="P323" i="154"/>
  <c r="P324" i="154"/>
  <c r="F63" i="153"/>
  <c r="A2" i="106"/>
  <c r="I53" i="82"/>
  <c r="D53" i="82"/>
  <c r="J53" i="82"/>
  <c r="E53" i="82"/>
  <c r="K53" i="82"/>
  <c r="G53" i="82"/>
  <c r="C53" i="82"/>
  <c r="I2" i="82"/>
  <c r="D2" i="82"/>
  <c r="J2" i="82"/>
  <c r="E2" i="82"/>
  <c r="K2" i="82"/>
  <c r="G2" i="82"/>
  <c r="C2" i="82"/>
  <c r="I3" i="82"/>
  <c r="D3" i="82"/>
  <c r="J3" i="82"/>
  <c r="E3" i="82"/>
  <c r="K3" i="82"/>
  <c r="G3" i="82"/>
  <c r="C3" i="82"/>
  <c r="I4" i="82"/>
  <c r="D4" i="82"/>
  <c r="J4" i="82"/>
  <c r="E4" i="82"/>
  <c r="K4" i="82"/>
  <c r="G4" i="82"/>
  <c r="C4" i="82"/>
  <c r="I5" i="82"/>
  <c r="D5" i="82"/>
  <c r="J5" i="82"/>
  <c r="E5" i="82"/>
  <c r="K5" i="82"/>
  <c r="G5" i="82"/>
  <c r="C5" i="82"/>
  <c r="I6" i="82"/>
  <c r="D6" i="82"/>
  <c r="J6" i="82"/>
  <c r="E6" i="82"/>
  <c r="K6" i="82"/>
  <c r="G6" i="82"/>
  <c r="C6" i="82"/>
  <c r="I7" i="82"/>
  <c r="D7" i="82"/>
  <c r="J7" i="82"/>
  <c r="E7" i="82"/>
  <c r="K7" i="82"/>
  <c r="G7" i="82"/>
  <c r="C7" i="82"/>
  <c r="I8" i="82"/>
  <c r="D8" i="82"/>
  <c r="J8" i="82"/>
  <c r="E8" i="82"/>
  <c r="K8" i="82"/>
  <c r="G8" i="82"/>
  <c r="C8" i="82"/>
  <c r="I9" i="82"/>
  <c r="D9" i="82"/>
  <c r="J9" i="82"/>
  <c r="E9" i="82"/>
  <c r="K9" i="82"/>
  <c r="G9" i="82"/>
  <c r="C9" i="82"/>
  <c r="I10" i="82"/>
  <c r="D10" i="82"/>
  <c r="J10" i="82"/>
  <c r="E10" i="82"/>
  <c r="K10" i="82"/>
  <c r="G10" i="82"/>
  <c r="C10" i="82"/>
  <c r="I11" i="82"/>
  <c r="D11" i="82"/>
  <c r="J11" i="82"/>
  <c r="E11" i="82"/>
  <c r="K11" i="82"/>
  <c r="G11" i="82"/>
  <c r="C11" i="82"/>
  <c r="I12" i="82"/>
  <c r="D12" i="82"/>
  <c r="J12" i="82"/>
  <c r="E12" i="82"/>
  <c r="K12" i="82"/>
  <c r="G12" i="82"/>
  <c r="C12" i="82"/>
  <c r="I13" i="82"/>
  <c r="D13" i="82"/>
  <c r="J13" i="82"/>
  <c r="E13" i="82"/>
  <c r="K13" i="82"/>
  <c r="G13" i="82"/>
  <c r="C13" i="82"/>
  <c r="I14" i="82"/>
  <c r="D14" i="82"/>
  <c r="J14" i="82"/>
  <c r="E14" i="82"/>
  <c r="K14" i="82"/>
  <c r="G14" i="82"/>
  <c r="C14" i="82"/>
  <c r="I15" i="82"/>
  <c r="D15" i="82"/>
  <c r="J15" i="82"/>
  <c r="E15" i="82"/>
  <c r="K15" i="82"/>
  <c r="G15" i="82"/>
  <c r="C15" i="82"/>
  <c r="I16" i="82"/>
  <c r="D16" i="82"/>
  <c r="J16" i="82"/>
  <c r="E16" i="82"/>
  <c r="K16" i="82"/>
  <c r="G16" i="82"/>
  <c r="C16" i="82"/>
  <c r="I17" i="82"/>
  <c r="D17" i="82"/>
  <c r="J17" i="82"/>
  <c r="E17" i="82"/>
  <c r="K17" i="82"/>
  <c r="G17" i="82"/>
  <c r="C17" i="82"/>
  <c r="I18" i="82"/>
  <c r="D18" i="82"/>
  <c r="J18" i="82"/>
  <c r="E18" i="82"/>
  <c r="K18" i="82"/>
  <c r="G18" i="82"/>
  <c r="C18" i="82"/>
  <c r="I19" i="82"/>
  <c r="D19" i="82"/>
  <c r="J19" i="82"/>
  <c r="E19" i="82"/>
  <c r="K19" i="82"/>
  <c r="G19" i="82"/>
  <c r="C19" i="82"/>
  <c r="I20" i="82"/>
  <c r="D20" i="82"/>
  <c r="J20" i="82"/>
  <c r="E20" i="82"/>
  <c r="K20" i="82"/>
  <c r="G20" i="82"/>
  <c r="C20" i="82"/>
  <c r="I21" i="82"/>
  <c r="D21" i="82"/>
  <c r="J21" i="82"/>
  <c r="E21" i="82"/>
  <c r="K21" i="82"/>
  <c r="G21" i="82"/>
  <c r="C21" i="82"/>
  <c r="I22" i="82"/>
  <c r="D22" i="82"/>
  <c r="J22" i="82"/>
  <c r="E22" i="82"/>
  <c r="K22" i="82"/>
  <c r="G22" i="82"/>
  <c r="C22" i="82"/>
  <c r="I23" i="82"/>
  <c r="D23" i="82"/>
  <c r="J23" i="82"/>
  <c r="E23" i="82"/>
  <c r="K23" i="82"/>
  <c r="G23" i="82"/>
  <c r="C23" i="82"/>
  <c r="I24" i="82"/>
  <c r="D24" i="82"/>
  <c r="J24" i="82"/>
  <c r="E24" i="82"/>
  <c r="K24" i="82"/>
  <c r="G24" i="82"/>
  <c r="C24" i="82"/>
  <c r="I25" i="82"/>
  <c r="D25" i="82"/>
  <c r="J25" i="82"/>
  <c r="E25" i="82"/>
  <c r="K25" i="82"/>
  <c r="G25" i="82"/>
  <c r="C25" i="82"/>
  <c r="I26" i="82"/>
  <c r="D26" i="82"/>
  <c r="J26" i="82"/>
  <c r="E26" i="82"/>
  <c r="K26" i="82"/>
  <c r="G26" i="82"/>
  <c r="C26" i="82"/>
  <c r="I27" i="82"/>
  <c r="D27" i="82"/>
  <c r="J27" i="82"/>
  <c r="E27" i="82"/>
  <c r="K27" i="82"/>
  <c r="G27" i="82"/>
  <c r="C27" i="82"/>
  <c r="I28" i="82"/>
  <c r="D28" i="82"/>
  <c r="J28" i="82"/>
  <c r="E28" i="82"/>
  <c r="K28" i="82"/>
  <c r="G28" i="82"/>
  <c r="C28" i="82"/>
  <c r="I29" i="82"/>
  <c r="D29" i="82"/>
  <c r="J29" i="82"/>
  <c r="E29" i="82"/>
  <c r="K29" i="82"/>
  <c r="G29" i="82"/>
  <c r="C29" i="82"/>
  <c r="I30" i="82"/>
  <c r="D30" i="82"/>
  <c r="J30" i="82"/>
  <c r="E30" i="82"/>
  <c r="K30" i="82"/>
  <c r="G30" i="82"/>
  <c r="C30" i="82"/>
  <c r="I31" i="82"/>
  <c r="D31" i="82"/>
  <c r="J31" i="82"/>
  <c r="E31" i="82"/>
  <c r="K31" i="82"/>
  <c r="G31" i="82"/>
  <c r="C31" i="82"/>
  <c r="I32" i="82"/>
  <c r="D32" i="82"/>
  <c r="J32" i="82"/>
  <c r="E32" i="82"/>
  <c r="K32" i="82"/>
  <c r="G32" i="82"/>
  <c r="C32" i="82"/>
  <c r="I33" i="82"/>
  <c r="D33" i="82"/>
  <c r="J33" i="82"/>
  <c r="E33" i="82"/>
  <c r="K33" i="82"/>
  <c r="G33" i="82"/>
  <c r="C33" i="82"/>
  <c r="I34" i="82"/>
  <c r="D34" i="82"/>
  <c r="J34" i="82"/>
  <c r="E34" i="82"/>
  <c r="K34" i="82"/>
  <c r="G34" i="82"/>
  <c r="C34" i="82"/>
  <c r="I35" i="82"/>
  <c r="D35" i="82"/>
  <c r="J35" i="82"/>
  <c r="E35" i="82"/>
  <c r="K35" i="82"/>
  <c r="G35" i="82"/>
  <c r="C35" i="82"/>
  <c r="I36" i="82"/>
  <c r="D36" i="82"/>
  <c r="J36" i="82"/>
  <c r="E36" i="82"/>
  <c r="K36" i="82"/>
  <c r="G36" i="82"/>
  <c r="C36" i="82"/>
  <c r="I37" i="82"/>
  <c r="D37" i="82"/>
  <c r="J37" i="82"/>
  <c r="E37" i="82"/>
  <c r="K37" i="82"/>
  <c r="G37" i="82"/>
  <c r="C37" i="82"/>
  <c r="I38" i="82"/>
  <c r="D38" i="82"/>
  <c r="J38" i="82"/>
  <c r="E38" i="82"/>
  <c r="K38" i="82"/>
  <c r="G38" i="82"/>
  <c r="C38" i="82"/>
  <c r="I39" i="82"/>
  <c r="D39" i="82"/>
  <c r="J39" i="82"/>
  <c r="E39" i="82"/>
  <c r="K39" i="82"/>
  <c r="G39" i="82"/>
  <c r="C39" i="82"/>
  <c r="I40" i="82"/>
  <c r="D40" i="82"/>
  <c r="J40" i="82"/>
  <c r="E40" i="82"/>
  <c r="K40" i="82"/>
  <c r="G40" i="82"/>
  <c r="C40" i="82"/>
  <c r="I41" i="82"/>
  <c r="D41" i="82"/>
  <c r="J41" i="82"/>
  <c r="E41" i="82"/>
  <c r="K41" i="82"/>
  <c r="G41" i="82"/>
  <c r="C41" i="82"/>
  <c r="I42" i="82"/>
  <c r="D42" i="82"/>
  <c r="J42" i="82"/>
  <c r="E42" i="82"/>
  <c r="K42" i="82"/>
  <c r="G42" i="82"/>
  <c r="C42" i="82"/>
  <c r="I43" i="82"/>
  <c r="D43" i="82"/>
  <c r="J43" i="82"/>
  <c r="E43" i="82"/>
  <c r="K43" i="82"/>
  <c r="G43" i="82"/>
  <c r="C43" i="82"/>
  <c r="I44" i="82"/>
  <c r="D44" i="82"/>
  <c r="J44" i="82"/>
  <c r="E44" i="82"/>
  <c r="K44" i="82"/>
  <c r="G44" i="82"/>
  <c r="C44" i="82"/>
  <c r="I45" i="82"/>
  <c r="D45" i="82"/>
  <c r="J45" i="82"/>
  <c r="E45" i="82"/>
  <c r="K45" i="82"/>
  <c r="G45" i="82"/>
  <c r="C45" i="82"/>
  <c r="I46" i="82"/>
  <c r="D46" i="82"/>
  <c r="J46" i="82"/>
  <c r="E46" i="82"/>
  <c r="K46" i="82"/>
  <c r="G46" i="82"/>
  <c r="C46" i="82"/>
  <c r="I47" i="82"/>
  <c r="D47" i="82"/>
  <c r="J47" i="82"/>
  <c r="E47" i="82"/>
  <c r="K47" i="82"/>
  <c r="G47" i="82"/>
  <c r="C47" i="82"/>
  <c r="I48" i="82"/>
  <c r="D48" i="82"/>
  <c r="J48" i="82"/>
  <c r="E48" i="82"/>
  <c r="K48" i="82"/>
  <c r="G48" i="82"/>
  <c r="C48" i="82"/>
  <c r="I49" i="82"/>
  <c r="D49" i="82"/>
  <c r="J49" i="82"/>
  <c r="E49" i="82"/>
  <c r="K49" i="82"/>
  <c r="G49" i="82"/>
  <c r="C49" i="82"/>
  <c r="I50" i="82"/>
  <c r="D50" i="82"/>
  <c r="J50" i="82"/>
  <c r="E50" i="82"/>
  <c r="K50" i="82"/>
  <c r="G50" i="82"/>
  <c r="C50" i="82"/>
  <c r="I51" i="82"/>
  <c r="D51" i="82"/>
  <c r="J51" i="82"/>
  <c r="E51" i="82"/>
  <c r="K51" i="82"/>
  <c r="G51" i="82"/>
  <c r="C51" i="82"/>
  <c r="I52" i="82"/>
  <c r="D52" i="82"/>
  <c r="J52" i="82"/>
  <c r="E52" i="82"/>
  <c r="K52" i="82"/>
  <c r="G52" i="82"/>
  <c r="C52" i="82"/>
  <c r="I54" i="82"/>
  <c r="D54" i="82"/>
  <c r="J54" i="82"/>
  <c r="E54" i="82"/>
  <c r="K54" i="82"/>
  <c r="G54" i="82"/>
  <c r="C54" i="82"/>
  <c r="I55" i="82"/>
  <c r="D55" i="82"/>
  <c r="J55" i="82"/>
  <c r="E55" i="82"/>
  <c r="K55" i="82"/>
  <c r="G55" i="82"/>
  <c r="C55" i="82"/>
  <c r="I56" i="82"/>
  <c r="D56" i="82"/>
  <c r="J56" i="82"/>
  <c r="E56" i="82"/>
  <c r="K56" i="82"/>
  <c r="G56" i="82"/>
  <c r="C56" i="82"/>
  <c r="I57" i="82"/>
  <c r="D57" i="82"/>
  <c r="J57" i="82"/>
  <c r="E57" i="82"/>
  <c r="K57" i="82"/>
  <c r="G57" i="82"/>
  <c r="C57" i="82"/>
  <c r="I58" i="82"/>
  <c r="D58" i="82"/>
  <c r="J58" i="82"/>
  <c r="E58" i="82"/>
  <c r="K58" i="82"/>
  <c r="G58" i="82"/>
  <c r="C58" i="82"/>
  <c r="I59" i="82"/>
  <c r="D59" i="82"/>
  <c r="J59" i="82"/>
  <c r="E59" i="82"/>
  <c r="K59" i="82"/>
  <c r="G59" i="82"/>
  <c r="C59" i="82"/>
  <c r="I60" i="82"/>
  <c r="D60" i="82"/>
  <c r="J60" i="82"/>
  <c r="E60" i="82"/>
  <c r="K60" i="82"/>
  <c r="G60" i="82"/>
  <c r="C60" i="82"/>
  <c r="I61" i="82"/>
  <c r="D61" i="82"/>
  <c r="J61" i="82"/>
  <c r="E61" i="82"/>
  <c r="K61" i="82"/>
  <c r="G61" i="82"/>
  <c r="C61" i="82"/>
  <c r="I62" i="82"/>
  <c r="D62" i="82"/>
  <c r="J62" i="82"/>
  <c r="E62" i="82"/>
  <c r="K62" i="82"/>
  <c r="G62" i="82"/>
  <c r="C62" i="82"/>
  <c r="I63" i="82"/>
  <c r="D63" i="82"/>
  <c r="J63" i="82"/>
  <c r="E63" i="82"/>
  <c r="K63" i="82"/>
  <c r="G63" i="82"/>
  <c r="C63" i="82"/>
  <c r="I64" i="82"/>
  <c r="D64" i="82"/>
  <c r="J64" i="82"/>
  <c r="E64" i="82"/>
  <c r="K64" i="82"/>
  <c r="G64" i="82"/>
  <c r="C64" i="82"/>
  <c r="I65" i="82"/>
  <c r="D65" i="82"/>
  <c r="J65" i="82"/>
  <c r="E65" i="82"/>
  <c r="K65" i="82"/>
  <c r="G65" i="82"/>
  <c r="C65" i="82"/>
  <c r="I66" i="82"/>
  <c r="D66" i="82"/>
  <c r="J66" i="82"/>
  <c r="E66" i="82"/>
  <c r="K66" i="82"/>
  <c r="G66" i="82"/>
  <c r="C66" i="82"/>
  <c r="I67" i="82"/>
  <c r="D67" i="82"/>
  <c r="J67" i="82"/>
  <c r="E67" i="82"/>
  <c r="K67" i="82"/>
  <c r="G67" i="82"/>
  <c r="C67" i="82"/>
  <c r="I68" i="82"/>
  <c r="D68" i="82"/>
  <c r="J68" i="82"/>
  <c r="E68" i="82"/>
  <c r="K68" i="82"/>
  <c r="G68" i="82"/>
  <c r="C68" i="82"/>
  <c r="I69" i="82"/>
  <c r="D69" i="82"/>
  <c r="J69" i="82"/>
  <c r="E69" i="82"/>
  <c r="K69" i="82"/>
  <c r="G69" i="82"/>
  <c r="C69" i="82"/>
  <c r="I70" i="82"/>
  <c r="D70" i="82"/>
  <c r="J70" i="82"/>
  <c r="E70" i="82"/>
  <c r="K70" i="82"/>
  <c r="G70" i="82"/>
  <c r="C70" i="82"/>
  <c r="I71" i="82"/>
  <c r="D71" i="82"/>
  <c r="J71" i="82"/>
  <c r="E71" i="82"/>
  <c r="K71" i="82"/>
  <c r="G71" i="82"/>
  <c r="C71" i="82"/>
  <c r="I72" i="82"/>
  <c r="D72" i="82"/>
  <c r="J72" i="82"/>
  <c r="E72" i="82"/>
  <c r="K72" i="82"/>
  <c r="G72" i="82"/>
  <c r="C72" i="82"/>
  <c r="I73" i="82"/>
  <c r="D73" i="82"/>
  <c r="J73" i="82"/>
  <c r="E73" i="82"/>
  <c r="K73" i="82"/>
  <c r="G73" i="82"/>
  <c r="C73" i="82"/>
  <c r="I74" i="82"/>
  <c r="D74" i="82"/>
  <c r="J74" i="82"/>
  <c r="E74" i="82"/>
  <c r="K74" i="82"/>
  <c r="G74" i="82"/>
  <c r="C74" i="82"/>
  <c r="I75" i="82"/>
  <c r="D75" i="82"/>
  <c r="J75" i="82"/>
  <c r="E75" i="82"/>
  <c r="K75" i="82"/>
  <c r="G75" i="82"/>
  <c r="C75" i="82"/>
  <c r="I76" i="82"/>
  <c r="D76" i="82"/>
  <c r="J76" i="82"/>
  <c r="E76" i="82"/>
  <c r="K76" i="82"/>
  <c r="G76" i="82"/>
  <c r="C76" i="82"/>
  <c r="I77" i="82"/>
  <c r="D77" i="82"/>
  <c r="J77" i="82"/>
  <c r="E77" i="82"/>
  <c r="K77" i="82"/>
  <c r="G77" i="82"/>
  <c r="C77" i="82"/>
  <c r="I78" i="82"/>
  <c r="D78" i="82"/>
  <c r="J78" i="82"/>
  <c r="E78" i="82"/>
  <c r="K78" i="82"/>
  <c r="G78" i="82"/>
  <c r="C78" i="82"/>
  <c r="I79" i="82"/>
  <c r="D79" i="82"/>
  <c r="J79" i="82"/>
  <c r="E79" i="82"/>
  <c r="K79" i="82"/>
  <c r="G79" i="82"/>
  <c r="C79" i="82"/>
  <c r="I80" i="82"/>
  <c r="D80" i="82"/>
  <c r="J80" i="82"/>
  <c r="E80" i="82"/>
  <c r="K80" i="82"/>
  <c r="G80" i="82"/>
  <c r="C80" i="82"/>
  <c r="I81" i="82"/>
  <c r="D81" i="82"/>
  <c r="J81" i="82"/>
  <c r="E81" i="82"/>
  <c r="K81" i="82"/>
  <c r="G81" i="82"/>
  <c r="C81" i="82"/>
  <c r="I82" i="82"/>
  <c r="D82" i="82"/>
  <c r="J82" i="82"/>
  <c r="E82" i="82"/>
  <c r="K82" i="82"/>
  <c r="G82" i="82"/>
  <c r="C82" i="82"/>
  <c r="I83" i="82"/>
  <c r="D83" i="82"/>
  <c r="J83" i="82"/>
  <c r="E83" i="82"/>
  <c r="K83" i="82"/>
  <c r="G83" i="82"/>
  <c r="C83" i="82"/>
  <c r="I84" i="82"/>
  <c r="D84" i="82"/>
  <c r="J84" i="82"/>
  <c r="E84" i="82"/>
  <c r="K84" i="82"/>
  <c r="G84" i="82"/>
  <c r="C84" i="82"/>
  <c r="I85" i="82"/>
  <c r="D85" i="82"/>
  <c r="J85" i="82"/>
  <c r="E85" i="82"/>
  <c r="K85" i="82"/>
  <c r="G85" i="82"/>
  <c r="C85" i="82"/>
  <c r="I86" i="82"/>
  <c r="D86" i="82"/>
  <c r="J86" i="82"/>
  <c r="E86" i="82"/>
  <c r="K86" i="82"/>
  <c r="G86" i="82"/>
  <c r="C86" i="82"/>
  <c r="I87" i="82"/>
  <c r="D87" i="82"/>
  <c r="J87" i="82"/>
  <c r="E87" i="82"/>
  <c r="K87" i="82"/>
  <c r="G87" i="82"/>
  <c r="C87" i="82"/>
  <c r="I88" i="82"/>
  <c r="D88" i="82"/>
  <c r="J88" i="82"/>
  <c r="E88" i="82"/>
  <c r="K88" i="82"/>
  <c r="G88" i="82"/>
  <c r="C88" i="82"/>
  <c r="I89" i="82"/>
  <c r="D89" i="82"/>
  <c r="J89" i="82"/>
  <c r="E89" i="82"/>
  <c r="K89" i="82"/>
  <c r="G89" i="82"/>
  <c r="C89" i="82"/>
  <c r="I90" i="82"/>
  <c r="D90" i="82"/>
  <c r="J90" i="82"/>
  <c r="E90" i="82"/>
  <c r="K90" i="82"/>
  <c r="G90" i="82"/>
  <c r="C90" i="82"/>
  <c r="I91" i="82"/>
  <c r="D91" i="82"/>
  <c r="J91" i="82"/>
  <c r="E91" i="82"/>
  <c r="K91" i="82"/>
  <c r="G91" i="82"/>
  <c r="C91" i="82"/>
  <c r="I92" i="82"/>
  <c r="D92" i="82"/>
  <c r="J92" i="82"/>
  <c r="E92" i="82"/>
  <c r="K92" i="82"/>
  <c r="G92" i="82"/>
  <c r="C92" i="82"/>
  <c r="I93" i="82"/>
  <c r="D93" i="82"/>
  <c r="J93" i="82"/>
  <c r="E93" i="82"/>
  <c r="K93" i="82"/>
  <c r="G93" i="82"/>
  <c r="C93" i="82"/>
  <c r="I94" i="82"/>
  <c r="D94" i="82"/>
  <c r="J94" i="82"/>
  <c r="E94" i="82"/>
  <c r="K94" i="82"/>
  <c r="G94" i="82"/>
  <c r="C94" i="82"/>
  <c r="I95" i="82"/>
  <c r="D95" i="82"/>
  <c r="J95" i="82"/>
  <c r="E95" i="82"/>
  <c r="K95" i="82"/>
  <c r="G95" i="82"/>
  <c r="C95" i="82"/>
  <c r="I96" i="82"/>
  <c r="D96" i="82"/>
  <c r="J96" i="82"/>
  <c r="E96" i="82"/>
  <c r="K96" i="82"/>
  <c r="G96" i="82"/>
  <c r="C96" i="82"/>
  <c r="I97" i="82"/>
  <c r="D97" i="82"/>
  <c r="J97" i="82"/>
  <c r="E97" i="82"/>
  <c r="K97" i="82"/>
  <c r="G97" i="82"/>
  <c r="C97" i="82"/>
  <c r="I98" i="82"/>
  <c r="D98" i="82"/>
  <c r="J98" i="82"/>
  <c r="E98" i="82"/>
  <c r="K98" i="82"/>
  <c r="G98" i="82"/>
  <c r="C98" i="82"/>
  <c r="I99" i="82"/>
  <c r="D99" i="82"/>
  <c r="J99" i="82"/>
  <c r="E99" i="82"/>
  <c r="K99" i="82"/>
  <c r="G99" i="82"/>
  <c r="C99" i="82"/>
  <c r="I100" i="82"/>
  <c r="D100" i="82"/>
  <c r="J100" i="82"/>
  <c r="E100" i="82"/>
  <c r="K100" i="82"/>
  <c r="G100" i="82"/>
  <c r="C100" i="82"/>
  <c r="I101" i="82"/>
  <c r="D101" i="82"/>
  <c r="J101" i="82"/>
  <c r="E101" i="82"/>
  <c r="K101" i="82"/>
  <c r="G101" i="82"/>
  <c r="C101" i="82"/>
  <c r="I102" i="82"/>
  <c r="D102" i="82"/>
  <c r="J102" i="82"/>
  <c r="E102" i="82"/>
  <c r="K102" i="82"/>
  <c r="G102" i="82"/>
  <c r="C102" i="82"/>
  <c r="I103" i="82"/>
  <c r="D103" i="82"/>
  <c r="J103" i="82"/>
  <c r="E103" i="82"/>
  <c r="K103" i="82"/>
  <c r="G103" i="82"/>
  <c r="C103" i="82"/>
  <c r="I104" i="82"/>
  <c r="D104" i="82"/>
  <c r="J104" i="82"/>
  <c r="E104" i="82"/>
  <c r="K104" i="82"/>
  <c r="G104" i="82"/>
  <c r="C104" i="82"/>
  <c r="I105" i="82"/>
  <c r="D105" i="82"/>
  <c r="J105" i="82"/>
  <c r="E105" i="82"/>
  <c r="K105" i="82"/>
  <c r="G105" i="82"/>
  <c r="C105" i="82"/>
  <c r="I106" i="82"/>
  <c r="D106" i="82"/>
  <c r="J106" i="82"/>
  <c r="E106" i="82"/>
  <c r="K106" i="82"/>
  <c r="G106" i="82"/>
  <c r="C106" i="82"/>
  <c r="I107" i="82"/>
  <c r="D107" i="82"/>
  <c r="J107" i="82"/>
  <c r="E107" i="82"/>
  <c r="K107" i="82"/>
  <c r="G107" i="82"/>
  <c r="C107" i="82"/>
  <c r="I108" i="82"/>
  <c r="D108" i="82"/>
  <c r="J108" i="82"/>
  <c r="E108" i="82"/>
  <c r="K108" i="82"/>
  <c r="G108" i="82"/>
  <c r="C108" i="82"/>
  <c r="I109" i="82"/>
  <c r="D109" i="82"/>
  <c r="J109" i="82"/>
  <c r="E109" i="82"/>
  <c r="K109" i="82"/>
  <c r="G109" i="82"/>
  <c r="C109" i="82"/>
  <c r="I110" i="82"/>
  <c r="D110" i="82"/>
  <c r="J110" i="82"/>
  <c r="E110" i="82"/>
  <c r="K110" i="82"/>
  <c r="G110" i="82"/>
  <c r="C110" i="82"/>
  <c r="I111" i="82"/>
  <c r="D111" i="82"/>
  <c r="J111" i="82"/>
  <c r="E111" i="82"/>
  <c r="K111" i="82"/>
  <c r="G111" i="82"/>
  <c r="C111" i="82"/>
  <c r="I112" i="82"/>
  <c r="D112" i="82"/>
  <c r="J112" i="82"/>
  <c r="E112" i="82"/>
  <c r="K112" i="82"/>
  <c r="G112" i="82"/>
  <c r="C112" i="82"/>
  <c r="I113" i="82"/>
  <c r="D113" i="82"/>
  <c r="J113" i="82"/>
  <c r="E113" i="82"/>
  <c r="K113" i="82"/>
  <c r="G113" i="82"/>
  <c r="C113" i="82"/>
  <c r="I114" i="82"/>
  <c r="D114" i="82"/>
  <c r="J114" i="82"/>
  <c r="E114" i="82"/>
  <c r="K114" i="82"/>
  <c r="G114" i="82"/>
  <c r="C114" i="82"/>
  <c r="I115" i="82"/>
  <c r="D115" i="82"/>
  <c r="J115" i="82"/>
  <c r="E115" i="82"/>
  <c r="K115" i="82"/>
  <c r="G115" i="82"/>
  <c r="C115" i="82"/>
  <c r="I116" i="82"/>
  <c r="D116" i="82"/>
  <c r="J116" i="82"/>
  <c r="E116" i="82"/>
  <c r="K116" i="82"/>
  <c r="G116" i="82"/>
  <c r="C116" i="82"/>
  <c r="I117" i="82"/>
  <c r="D117" i="82"/>
  <c r="J117" i="82"/>
  <c r="E117" i="82"/>
  <c r="K117" i="82"/>
  <c r="G117" i="82"/>
  <c r="C117" i="82"/>
  <c r="I118" i="82"/>
  <c r="D118" i="82"/>
  <c r="J118" i="82"/>
  <c r="E118" i="82"/>
  <c r="K118" i="82"/>
  <c r="G118" i="82"/>
  <c r="C118" i="82"/>
  <c r="I119" i="82"/>
  <c r="D119" i="82"/>
  <c r="J119" i="82"/>
  <c r="E119" i="82"/>
  <c r="K119" i="82"/>
  <c r="G119" i="82"/>
  <c r="C119" i="82"/>
  <c r="I120" i="82"/>
  <c r="D120" i="82"/>
  <c r="J120" i="82"/>
  <c r="E120" i="82"/>
  <c r="K120" i="82"/>
  <c r="G120" i="82"/>
  <c r="C120" i="82"/>
  <c r="I121" i="82"/>
  <c r="D121" i="82"/>
  <c r="J121" i="82"/>
  <c r="E121" i="82"/>
  <c r="K121" i="82"/>
  <c r="G121" i="82"/>
  <c r="C121" i="82"/>
  <c r="I122" i="82"/>
  <c r="D122" i="82"/>
  <c r="J122" i="82"/>
  <c r="E122" i="82"/>
  <c r="K122" i="82"/>
  <c r="G122" i="82"/>
  <c r="C122" i="82"/>
  <c r="I123" i="82"/>
  <c r="D123" i="82"/>
  <c r="J123" i="82"/>
  <c r="E123" i="82"/>
  <c r="K123" i="82"/>
  <c r="G123" i="82"/>
  <c r="C123" i="82"/>
  <c r="I124" i="82"/>
  <c r="D124" i="82"/>
  <c r="J124" i="82"/>
  <c r="E124" i="82"/>
  <c r="K124" i="82"/>
  <c r="G124" i="82"/>
  <c r="C124" i="82"/>
  <c r="I125" i="82"/>
  <c r="D125" i="82"/>
  <c r="J125" i="82"/>
  <c r="E125" i="82"/>
  <c r="K125" i="82"/>
  <c r="G125" i="82"/>
  <c r="C125" i="82"/>
  <c r="I126" i="82"/>
  <c r="D126" i="82"/>
  <c r="J126" i="82"/>
  <c r="E126" i="82"/>
  <c r="K126" i="82"/>
  <c r="G126" i="82"/>
  <c r="C126" i="82"/>
  <c r="I127" i="82"/>
  <c r="D127" i="82"/>
  <c r="J127" i="82"/>
  <c r="E127" i="82"/>
  <c r="K127" i="82"/>
  <c r="G127" i="82"/>
  <c r="C127" i="82"/>
  <c r="I128" i="82"/>
  <c r="D128" i="82"/>
  <c r="J128" i="82"/>
  <c r="E128" i="82"/>
  <c r="K128" i="82"/>
  <c r="G128" i="82"/>
  <c r="C128" i="82"/>
  <c r="I129" i="82"/>
  <c r="D129" i="82"/>
  <c r="J129" i="82"/>
  <c r="E129" i="82"/>
  <c r="K129" i="82"/>
  <c r="G129" i="82"/>
  <c r="C129" i="82"/>
  <c r="I130" i="82"/>
  <c r="D130" i="82"/>
  <c r="J130" i="82"/>
  <c r="E130" i="82"/>
  <c r="K130" i="82"/>
  <c r="G130" i="82"/>
  <c r="C130" i="82"/>
  <c r="I131" i="82"/>
  <c r="D131" i="82"/>
  <c r="J131" i="82"/>
  <c r="E131" i="82"/>
  <c r="K131" i="82"/>
  <c r="G131" i="82"/>
  <c r="C131" i="82"/>
  <c r="I132" i="82"/>
  <c r="D132" i="82"/>
  <c r="J132" i="82"/>
  <c r="E132" i="82"/>
  <c r="K132" i="82"/>
  <c r="G132" i="82"/>
  <c r="C132" i="82"/>
  <c r="I133" i="82"/>
  <c r="D133" i="82"/>
  <c r="J133" i="82"/>
  <c r="E133" i="82"/>
  <c r="K133" i="82"/>
  <c r="G133" i="82"/>
  <c r="C133" i="82"/>
  <c r="I134" i="82"/>
  <c r="D134" i="82"/>
  <c r="J134" i="82"/>
  <c r="E134" i="82"/>
  <c r="K134" i="82"/>
  <c r="G134" i="82"/>
  <c r="C134" i="82"/>
  <c r="I135" i="82"/>
  <c r="D135" i="82"/>
  <c r="J135" i="82"/>
  <c r="E135" i="82"/>
  <c r="K135" i="82"/>
  <c r="G135" i="82"/>
  <c r="C135" i="82"/>
  <c r="I136" i="82"/>
  <c r="D136" i="82"/>
  <c r="J136" i="82"/>
  <c r="E136" i="82"/>
  <c r="K136" i="82"/>
  <c r="G136" i="82"/>
  <c r="C136" i="82"/>
  <c r="I137" i="82"/>
  <c r="D137" i="82"/>
  <c r="J137" i="82"/>
  <c r="E137" i="82"/>
  <c r="K137" i="82"/>
  <c r="G137" i="82"/>
  <c r="C137" i="82"/>
  <c r="I138" i="82"/>
  <c r="D138" i="82"/>
  <c r="J138" i="82"/>
  <c r="E138" i="82"/>
  <c r="K138" i="82"/>
  <c r="G138" i="82"/>
  <c r="C138" i="82"/>
  <c r="I139" i="82"/>
  <c r="D139" i="82"/>
  <c r="J139" i="82"/>
  <c r="E139" i="82"/>
  <c r="K139" i="82"/>
  <c r="G139" i="82"/>
  <c r="C139" i="82"/>
  <c r="I140" i="82"/>
  <c r="D140" i="82"/>
  <c r="J140" i="82"/>
  <c r="E140" i="82"/>
  <c r="K140" i="82"/>
  <c r="G140" i="82"/>
  <c r="C140" i="82"/>
  <c r="I141" i="82"/>
  <c r="D141" i="82"/>
  <c r="J141" i="82"/>
  <c r="E141" i="82"/>
  <c r="K141" i="82"/>
  <c r="G141" i="82"/>
  <c r="C141" i="82"/>
  <c r="I142" i="82"/>
  <c r="D142" i="82"/>
  <c r="J142" i="82"/>
  <c r="E142" i="82"/>
  <c r="K142" i="82"/>
  <c r="G142" i="82"/>
  <c r="C142" i="82"/>
  <c r="I143" i="82"/>
  <c r="D143" i="82"/>
  <c r="J143" i="82"/>
  <c r="E143" i="82"/>
  <c r="K143" i="82"/>
  <c r="G143" i="82"/>
  <c r="C143" i="82"/>
  <c r="I144" i="82"/>
  <c r="D144" i="82"/>
  <c r="J144" i="82"/>
  <c r="E144" i="82"/>
  <c r="K144" i="82"/>
  <c r="G144" i="82"/>
  <c r="C144" i="82"/>
  <c r="I145" i="82"/>
  <c r="D145" i="82"/>
  <c r="J145" i="82"/>
  <c r="E145" i="82"/>
  <c r="K145" i="82"/>
  <c r="G145" i="82"/>
  <c r="C145" i="82"/>
  <c r="I146" i="82"/>
  <c r="D146" i="82"/>
  <c r="J146" i="82"/>
  <c r="E146" i="82"/>
  <c r="K146" i="82"/>
  <c r="G146" i="82"/>
  <c r="C146" i="82"/>
  <c r="I147" i="82"/>
  <c r="D147" i="82"/>
  <c r="J147" i="82"/>
  <c r="E147" i="82"/>
  <c r="K147" i="82"/>
  <c r="G147" i="82"/>
  <c r="C147" i="82"/>
  <c r="I148" i="82"/>
  <c r="D148" i="82"/>
  <c r="J148" i="82"/>
  <c r="E148" i="82"/>
  <c r="K148" i="82"/>
  <c r="G148" i="82"/>
  <c r="C148" i="82"/>
  <c r="I149" i="82"/>
  <c r="D149" i="82"/>
  <c r="J149" i="82"/>
  <c r="E149" i="82"/>
  <c r="K149" i="82"/>
  <c r="G149" i="82"/>
  <c r="C149" i="82"/>
  <c r="I150" i="82"/>
  <c r="D150" i="82"/>
  <c r="J150" i="82"/>
  <c r="E150" i="82"/>
  <c r="K150" i="82"/>
  <c r="G150" i="82"/>
  <c r="C150" i="82"/>
  <c r="I151" i="82"/>
  <c r="D151" i="82"/>
  <c r="J151" i="82"/>
  <c r="E151" i="82"/>
  <c r="K151" i="82"/>
  <c r="G151" i="82"/>
  <c r="C151" i="82"/>
  <c r="I152" i="82"/>
  <c r="D152" i="82"/>
  <c r="J152" i="82"/>
  <c r="E152" i="82"/>
  <c r="K152" i="82"/>
  <c r="G152" i="82"/>
  <c r="C152" i="82"/>
  <c r="I153" i="82"/>
  <c r="D153" i="82"/>
  <c r="J153" i="82"/>
  <c r="E153" i="82"/>
  <c r="K153" i="82"/>
  <c r="G153" i="82"/>
  <c r="C153" i="82"/>
  <c r="I154" i="82"/>
  <c r="D154" i="82"/>
  <c r="J154" i="82"/>
  <c r="E154" i="82"/>
  <c r="K154" i="82"/>
  <c r="G154" i="82"/>
  <c r="C154" i="82"/>
  <c r="I155" i="82"/>
  <c r="D155" i="82"/>
  <c r="J155" i="82"/>
  <c r="E155" i="82"/>
  <c r="K155" i="82"/>
  <c r="G155" i="82"/>
  <c r="C155" i="82"/>
  <c r="I156" i="82"/>
  <c r="D156" i="82"/>
  <c r="J156" i="82"/>
  <c r="E156" i="82"/>
  <c r="K156" i="82"/>
  <c r="G156" i="82"/>
  <c r="C156" i="82"/>
  <c r="I157" i="82"/>
  <c r="D157" i="82"/>
  <c r="J157" i="82"/>
  <c r="E157" i="82"/>
  <c r="K157" i="82"/>
  <c r="G157" i="82"/>
  <c r="C157" i="82"/>
  <c r="I158" i="82"/>
  <c r="D158" i="82"/>
  <c r="J158" i="82"/>
  <c r="E158" i="82"/>
  <c r="K158" i="82"/>
  <c r="G158" i="82"/>
  <c r="C158" i="82"/>
  <c r="I159" i="82"/>
  <c r="D159" i="82"/>
  <c r="J159" i="82"/>
  <c r="E159" i="82"/>
  <c r="K159" i="82"/>
  <c r="G159" i="82"/>
  <c r="C159" i="82"/>
  <c r="I160" i="82"/>
  <c r="D160" i="82"/>
  <c r="J160" i="82"/>
  <c r="E160" i="82"/>
  <c r="K160" i="82"/>
  <c r="G160" i="82"/>
  <c r="C160" i="82"/>
  <c r="I161" i="82"/>
  <c r="D161" i="82"/>
  <c r="J161" i="82"/>
  <c r="E161" i="82"/>
  <c r="K161" i="82"/>
  <c r="G161" i="82"/>
  <c r="C161" i="82"/>
  <c r="I162" i="82"/>
  <c r="D162" i="82"/>
  <c r="J162" i="82"/>
  <c r="E162" i="82"/>
  <c r="K162" i="82"/>
  <c r="G162" i="82"/>
  <c r="C162" i="82"/>
  <c r="I163" i="82"/>
  <c r="D163" i="82"/>
  <c r="J163" i="82"/>
  <c r="E163" i="82"/>
  <c r="K163" i="82"/>
  <c r="G163" i="82"/>
  <c r="C163" i="82"/>
  <c r="I164" i="82"/>
  <c r="D164" i="82"/>
  <c r="J164" i="82"/>
  <c r="E164" i="82"/>
  <c r="K164" i="82"/>
  <c r="G164" i="82"/>
  <c r="C164" i="82"/>
  <c r="I165" i="82"/>
  <c r="D165" i="82"/>
  <c r="J165" i="82"/>
  <c r="E165" i="82"/>
  <c r="K165" i="82"/>
  <c r="G165" i="82"/>
  <c r="C165" i="82"/>
  <c r="I166" i="82"/>
  <c r="D166" i="82"/>
  <c r="J166" i="82"/>
  <c r="E166" i="82"/>
  <c r="K166" i="82"/>
  <c r="G166" i="82"/>
  <c r="C166" i="82"/>
  <c r="I167" i="82"/>
  <c r="D167" i="82"/>
  <c r="J167" i="82"/>
  <c r="E167" i="82"/>
  <c r="K167" i="82"/>
  <c r="G167" i="82"/>
  <c r="C167" i="82"/>
  <c r="I168" i="82"/>
  <c r="D168" i="82"/>
  <c r="J168" i="82"/>
  <c r="E168" i="82"/>
  <c r="K168" i="82"/>
  <c r="G168" i="82"/>
  <c r="C168" i="82"/>
  <c r="I169" i="82"/>
  <c r="D169" i="82"/>
  <c r="J169" i="82"/>
  <c r="E169" i="82"/>
  <c r="K169" i="82"/>
  <c r="G169" i="82"/>
  <c r="C169" i="82"/>
  <c r="I170" i="82"/>
  <c r="D170" i="82"/>
  <c r="J170" i="82"/>
  <c r="E170" i="82"/>
  <c r="K170" i="82"/>
  <c r="G170" i="82"/>
  <c r="C170" i="82"/>
  <c r="I171" i="82"/>
  <c r="D171" i="82"/>
  <c r="J171" i="82"/>
  <c r="E171" i="82"/>
  <c r="K171" i="82"/>
  <c r="G171" i="82"/>
  <c r="C171" i="82"/>
  <c r="I172" i="82"/>
  <c r="D172" i="82"/>
  <c r="J172" i="82"/>
  <c r="E172" i="82"/>
  <c r="K172" i="82"/>
  <c r="G172" i="82"/>
  <c r="C172" i="82"/>
  <c r="I173" i="82"/>
  <c r="D173" i="82"/>
  <c r="J173" i="82"/>
  <c r="E173" i="82"/>
  <c r="K173" i="82"/>
  <c r="G173" i="82"/>
  <c r="C173" i="82"/>
  <c r="I174" i="82"/>
  <c r="D174" i="82"/>
  <c r="J174" i="82"/>
  <c r="E174" i="82"/>
  <c r="K174" i="82"/>
  <c r="G174" i="82"/>
  <c r="C174" i="82"/>
  <c r="I175" i="82"/>
  <c r="D175" i="82"/>
  <c r="J175" i="82"/>
  <c r="E175" i="82"/>
  <c r="K175" i="82"/>
  <c r="G175" i="82"/>
  <c r="C175" i="82"/>
  <c r="I176" i="82"/>
  <c r="D176" i="82"/>
  <c r="J176" i="82"/>
  <c r="E176" i="82"/>
  <c r="K176" i="82"/>
  <c r="G176" i="82"/>
  <c r="C176" i="82"/>
  <c r="I177" i="82"/>
  <c r="D177" i="82"/>
  <c r="J177" i="82"/>
  <c r="E177" i="82"/>
  <c r="K177" i="82"/>
  <c r="G177" i="82"/>
  <c r="C177" i="82"/>
  <c r="I178" i="82"/>
  <c r="D178" i="82"/>
  <c r="J178" i="82"/>
  <c r="E178" i="82"/>
  <c r="K178" i="82"/>
  <c r="G178" i="82"/>
  <c r="C178" i="82"/>
  <c r="I179" i="82"/>
  <c r="D179" i="82"/>
  <c r="J179" i="82"/>
  <c r="E179" i="82"/>
  <c r="K179" i="82"/>
  <c r="G179" i="82"/>
  <c r="C179" i="82"/>
  <c r="I180" i="82"/>
  <c r="D180" i="82"/>
  <c r="J180" i="82"/>
  <c r="E180" i="82"/>
  <c r="K180" i="82"/>
  <c r="G180" i="82"/>
  <c r="C180" i="82"/>
  <c r="I181" i="82"/>
  <c r="D181" i="82"/>
  <c r="J181" i="82"/>
  <c r="E181" i="82"/>
  <c r="K181" i="82"/>
  <c r="G181" i="82"/>
  <c r="C181" i="82"/>
  <c r="I182" i="82"/>
  <c r="D182" i="82"/>
  <c r="J182" i="82"/>
  <c r="E182" i="82"/>
  <c r="K182" i="82"/>
  <c r="G182" i="82"/>
  <c r="C182" i="82"/>
  <c r="I183" i="82"/>
  <c r="D183" i="82"/>
  <c r="J183" i="82"/>
  <c r="E183" i="82"/>
  <c r="K183" i="82"/>
  <c r="G183" i="82"/>
  <c r="C183" i="82"/>
  <c r="I184" i="82"/>
  <c r="D184" i="82"/>
  <c r="J184" i="82"/>
  <c r="E184" i="82"/>
  <c r="K184" i="82"/>
  <c r="G184" i="82"/>
  <c r="C184" i="82"/>
  <c r="I185" i="82"/>
  <c r="D185" i="82"/>
  <c r="J185" i="82"/>
  <c r="E185" i="82"/>
  <c r="K185" i="82"/>
  <c r="G185" i="82"/>
  <c r="C185" i="82"/>
  <c r="I186" i="82"/>
  <c r="D186" i="82"/>
  <c r="J186" i="82"/>
  <c r="E186" i="82"/>
  <c r="K186" i="82"/>
  <c r="G186" i="82"/>
  <c r="C186" i="82"/>
  <c r="I187" i="82"/>
  <c r="D187" i="82"/>
  <c r="J187" i="82"/>
  <c r="E187" i="82"/>
  <c r="K187" i="82"/>
  <c r="G187" i="82"/>
  <c r="C187" i="82"/>
  <c r="I188" i="82"/>
  <c r="D188" i="82"/>
  <c r="J188" i="82"/>
  <c r="E188" i="82"/>
  <c r="K188" i="82"/>
  <c r="G188" i="82"/>
  <c r="C188" i="82"/>
  <c r="I189" i="82"/>
  <c r="D189" i="82"/>
  <c r="J189" i="82"/>
  <c r="E189" i="82"/>
  <c r="K189" i="82"/>
  <c r="G189" i="82"/>
  <c r="C189" i="82"/>
  <c r="I190" i="82"/>
  <c r="D190" i="82"/>
  <c r="J190" i="82"/>
  <c r="E190" i="82"/>
  <c r="K190" i="82"/>
  <c r="G190" i="82"/>
  <c r="C190" i="82"/>
  <c r="I191" i="82"/>
  <c r="D191" i="82"/>
  <c r="J191" i="82"/>
  <c r="E191" i="82"/>
  <c r="K191" i="82"/>
  <c r="G191" i="82"/>
  <c r="C191" i="82"/>
  <c r="I192" i="82"/>
  <c r="D192" i="82"/>
  <c r="J192" i="82"/>
  <c r="E192" i="82"/>
  <c r="K192" i="82"/>
  <c r="G192" i="82"/>
  <c r="C192" i="82"/>
  <c r="I193" i="82"/>
  <c r="D193" i="82"/>
  <c r="J193" i="82"/>
  <c r="E193" i="82"/>
  <c r="K193" i="82"/>
  <c r="G193" i="82"/>
  <c r="C193" i="82"/>
  <c r="I194" i="82"/>
  <c r="D194" i="82"/>
  <c r="J194" i="82"/>
  <c r="E194" i="82"/>
  <c r="K194" i="82"/>
  <c r="G194" i="82"/>
  <c r="C194" i="82"/>
  <c r="I195" i="82"/>
  <c r="D195" i="82"/>
  <c r="J195" i="82"/>
  <c r="E195" i="82"/>
  <c r="K195" i="82"/>
  <c r="G195" i="82"/>
  <c r="C195" i="82"/>
  <c r="I196" i="82"/>
  <c r="D196" i="82"/>
  <c r="J196" i="82"/>
  <c r="E196" i="82"/>
  <c r="K196" i="82"/>
  <c r="G196" i="82"/>
  <c r="C196" i="82"/>
  <c r="I197" i="82"/>
  <c r="D197" i="82"/>
  <c r="J197" i="82"/>
  <c r="E197" i="82"/>
  <c r="K197" i="82"/>
  <c r="G197" i="82"/>
  <c r="C197" i="82"/>
  <c r="I198" i="82"/>
  <c r="D198" i="82"/>
  <c r="J198" i="82"/>
  <c r="E198" i="82"/>
  <c r="K198" i="82"/>
  <c r="G198" i="82"/>
  <c r="C198" i="82"/>
  <c r="I199" i="82"/>
  <c r="D199" i="82"/>
  <c r="J199" i="82"/>
  <c r="E199" i="82"/>
  <c r="K199" i="82"/>
  <c r="G199" i="82"/>
  <c r="C199" i="82"/>
  <c r="I200" i="82"/>
  <c r="D200" i="82"/>
  <c r="J200" i="82"/>
  <c r="E200" i="82"/>
  <c r="K200" i="82"/>
  <c r="G200" i="82"/>
  <c r="C200" i="82"/>
  <c r="I201" i="82"/>
  <c r="D201" i="82"/>
  <c r="J201" i="82"/>
  <c r="E201" i="82"/>
  <c r="K201" i="82"/>
  <c r="G201" i="82"/>
  <c r="C201" i="82"/>
  <c r="I202" i="82"/>
  <c r="D202" i="82"/>
  <c r="J202" i="82"/>
  <c r="E202" i="82"/>
  <c r="K202" i="82"/>
  <c r="G202" i="82"/>
  <c r="C202" i="82"/>
  <c r="I203" i="82"/>
  <c r="D203" i="82"/>
  <c r="J203" i="82"/>
  <c r="E203" i="82"/>
  <c r="K203" i="82"/>
  <c r="G203" i="82"/>
  <c r="C203" i="82"/>
  <c r="I204" i="82"/>
  <c r="D204" i="82"/>
  <c r="J204" i="82"/>
  <c r="E204" i="82"/>
  <c r="K204" i="82"/>
  <c r="G204" i="82"/>
  <c r="C204" i="82"/>
  <c r="I205" i="82"/>
  <c r="D205" i="82"/>
  <c r="J205" i="82"/>
  <c r="E205" i="82"/>
  <c r="K205" i="82"/>
  <c r="G205" i="82"/>
  <c r="C205" i="82"/>
  <c r="I206" i="82"/>
  <c r="D206" i="82"/>
  <c r="J206" i="82"/>
  <c r="E206" i="82"/>
  <c r="K206" i="82"/>
  <c r="G206" i="82"/>
  <c r="C206" i="82"/>
  <c r="I207" i="82"/>
  <c r="D207" i="82"/>
  <c r="J207" i="82"/>
  <c r="E207" i="82"/>
  <c r="K207" i="82"/>
  <c r="G207" i="82"/>
  <c r="C207" i="82"/>
  <c r="I208" i="82"/>
  <c r="D208" i="82"/>
  <c r="J208" i="82"/>
  <c r="E208" i="82"/>
  <c r="K208" i="82"/>
  <c r="G208" i="82"/>
  <c r="C208" i="82"/>
  <c r="I209" i="82"/>
  <c r="D209" i="82"/>
  <c r="J209" i="82"/>
  <c r="E209" i="82"/>
  <c r="K209" i="82"/>
  <c r="G209" i="82"/>
  <c r="C209" i="82"/>
  <c r="I210" i="82"/>
  <c r="D210" i="82"/>
  <c r="J210" i="82"/>
  <c r="E210" i="82"/>
  <c r="K210" i="82"/>
  <c r="G210" i="82"/>
  <c r="C210" i="82"/>
  <c r="I211" i="82"/>
  <c r="D211" i="82"/>
  <c r="J211" i="82"/>
  <c r="E211" i="82"/>
  <c r="K211" i="82"/>
  <c r="G211" i="82"/>
  <c r="C211" i="82"/>
  <c r="I212" i="82"/>
  <c r="D212" i="82"/>
  <c r="J212" i="82"/>
  <c r="E212" i="82"/>
  <c r="K212" i="82"/>
  <c r="G212" i="82"/>
  <c r="C212" i="82"/>
  <c r="I213" i="82"/>
  <c r="D213" i="82"/>
  <c r="J213" i="82"/>
  <c r="E213" i="82"/>
  <c r="K213" i="82"/>
  <c r="G213" i="82"/>
  <c r="C213" i="82"/>
  <c r="I214" i="82"/>
  <c r="D214" i="82"/>
  <c r="J214" i="82"/>
  <c r="E214" i="82"/>
  <c r="K214" i="82"/>
  <c r="G214" i="82"/>
  <c r="C214" i="82"/>
  <c r="I215" i="82"/>
  <c r="D215" i="82"/>
  <c r="J215" i="82"/>
  <c r="E215" i="82"/>
  <c r="K215" i="82"/>
  <c r="G215" i="82"/>
  <c r="C215" i="82"/>
  <c r="I216" i="82"/>
  <c r="D216" i="82"/>
  <c r="J216" i="82"/>
  <c r="E216" i="82"/>
  <c r="K216" i="82"/>
  <c r="G216" i="82"/>
  <c r="C216" i="82"/>
  <c r="I217" i="82"/>
  <c r="D217" i="82"/>
  <c r="J217" i="82"/>
  <c r="E217" i="82"/>
  <c r="K217" i="82"/>
  <c r="G217" i="82"/>
  <c r="C217" i="82"/>
  <c r="I218" i="82"/>
  <c r="D218" i="82"/>
  <c r="J218" i="82"/>
  <c r="E218" i="82"/>
  <c r="K218" i="82"/>
  <c r="G218" i="82"/>
  <c r="C218" i="82"/>
  <c r="I219" i="82"/>
  <c r="D219" i="82"/>
  <c r="J219" i="82"/>
  <c r="E219" i="82"/>
  <c r="K219" i="82"/>
  <c r="G219" i="82"/>
  <c r="C219" i="82"/>
  <c r="I220" i="82"/>
  <c r="D220" i="82"/>
  <c r="J220" i="82"/>
  <c r="E220" i="82"/>
  <c r="K220" i="82"/>
  <c r="G220" i="82"/>
  <c r="C220" i="82"/>
  <c r="I221" i="82"/>
  <c r="D221" i="82"/>
  <c r="J221" i="82"/>
  <c r="E221" i="82"/>
  <c r="K221" i="82"/>
  <c r="G221" i="82"/>
  <c r="C221" i="82"/>
  <c r="I222" i="82"/>
  <c r="D222" i="82"/>
  <c r="J222" i="82"/>
  <c r="E222" i="82"/>
  <c r="K222" i="82"/>
  <c r="G222" i="82"/>
  <c r="C222" i="82"/>
  <c r="I223" i="82"/>
  <c r="D223" i="82"/>
  <c r="J223" i="82"/>
  <c r="E223" i="82"/>
  <c r="K223" i="82"/>
  <c r="G223" i="82"/>
  <c r="C223" i="82"/>
  <c r="I224" i="82"/>
  <c r="D224" i="82"/>
  <c r="J224" i="82"/>
  <c r="E224" i="82"/>
  <c r="K224" i="82"/>
  <c r="G224" i="82"/>
  <c r="C224" i="82"/>
  <c r="I225" i="82"/>
  <c r="D225" i="82"/>
  <c r="J225" i="82"/>
  <c r="E225" i="82"/>
  <c r="K225" i="82"/>
  <c r="G225" i="82"/>
  <c r="C225" i="82"/>
  <c r="I226" i="82"/>
  <c r="D226" i="82"/>
  <c r="J226" i="82"/>
  <c r="E226" i="82"/>
  <c r="K226" i="82"/>
  <c r="G226" i="82"/>
  <c r="C226" i="82"/>
  <c r="I227" i="82"/>
  <c r="D227" i="82"/>
  <c r="J227" i="82"/>
  <c r="E227" i="82"/>
  <c r="K227" i="82"/>
  <c r="G227" i="82"/>
  <c r="C227" i="82"/>
  <c r="I228" i="82"/>
  <c r="D228" i="82"/>
  <c r="J228" i="82"/>
  <c r="E228" i="82"/>
  <c r="K228" i="82"/>
  <c r="G228" i="82"/>
  <c r="C228" i="82"/>
  <c r="I229" i="82"/>
  <c r="D229" i="82"/>
  <c r="J229" i="82"/>
  <c r="E229" i="82"/>
  <c r="K229" i="82"/>
  <c r="G229" i="82"/>
  <c r="C229" i="82"/>
  <c r="I230" i="82"/>
  <c r="D230" i="82"/>
  <c r="J230" i="82"/>
  <c r="E230" i="82"/>
  <c r="K230" i="82"/>
  <c r="G230" i="82"/>
  <c r="C230" i="82"/>
  <c r="I231" i="82"/>
  <c r="D231" i="82"/>
  <c r="J231" i="82"/>
  <c r="E231" i="82"/>
  <c r="K231" i="82"/>
  <c r="G231" i="82"/>
  <c r="C231" i="82"/>
  <c r="I232" i="82"/>
  <c r="D232" i="82"/>
  <c r="J232" i="82"/>
  <c r="E232" i="82"/>
  <c r="K232" i="82"/>
  <c r="G232" i="82"/>
  <c r="C232" i="82"/>
  <c r="I233" i="82"/>
  <c r="D233" i="82"/>
  <c r="J233" i="82"/>
  <c r="E233" i="82"/>
  <c r="K233" i="82"/>
  <c r="G233" i="82"/>
  <c r="C233" i="82"/>
  <c r="I234" i="82"/>
  <c r="D234" i="82"/>
  <c r="J234" i="82"/>
  <c r="E234" i="82"/>
  <c r="K234" i="82"/>
  <c r="G234" i="82"/>
  <c r="C234" i="82"/>
  <c r="I235" i="82"/>
  <c r="D235" i="82"/>
  <c r="J235" i="82"/>
  <c r="E235" i="82"/>
  <c r="K235" i="82"/>
  <c r="G235" i="82"/>
  <c r="C235" i="82"/>
  <c r="I236" i="82"/>
  <c r="D236" i="82"/>
  <c r="J236" i="82"/>
  <c r="E236" i="82"/>
  <c r="K236" i="82"/>
  <c r="G236" i="82"/>
  <c r="C236" i="82"/>
  <c r="I237" i="82"/>
  <c r="D237" i="82"/>
  <c r="J237" i="82"/>
  <c r="E237" i="82"/>
  <c r="K237" i="82"/>
  <c r="G237" i="82"/>
  <c r="C237" i="82"/>
  <c r="I238" i="82"/>
  <c r="D238" i="82"/>
  <c r="J238" i="82"/>
  <c r="E238" i="82"/>
  <c r="K238" i="82"/>
  <c r="G238" i="82"/>
  <c r="C238" i="82"/>
  <c r="I239" i="82"/>
  <c r="D239" i="82"/>
  <c r="J239" i="82"/>
  <c r="E239" i="82"/>
  <c r="K239" i="82"/>
  <c r="G239" i="82"/>
  <c r="C239" i="82"/>
  <c r="I240" i="82"/>
  <c r="D240" i="82"/>
  <c r="J240" i="82"/>
  <c r="E240" i="82"/>
  <c r="K240" i="82"/>
  <c r="G240" i="82"/>
  <c r="C240" i="82"/>
  <c r="I241" i="82"/>
  <c r="D241" i="82"/>
  <c r="J241" i="82"/>
  <c r="E241" i="82"/>
  <c r="K241" i="82"/>
  <c r="G241" i="82"/>
  <c r="C241" i="82"/>
  <c r="I242" i="82"/>
  <c r="D242" i="82"/>
  <c r="J242" i="82"/>
  <c r="E242" i="82"/>
  <c r="K242" i="82"/>
  <c r="G242" i="82"/>
  <c r="C242" i="82"/>
  <c r="I243" i="82"/>
  <c r="D243" i="82"/>
  <c r="J243" i="82"/>
  <c r="E243" i="82"/>
  <c r="K243" i="82"/>
  <c r="G243" i="82"/>
  <c r="C243" i="82"/>
  <c r="I244" i="82"/>
  <c r="D244" i="82"/>
  <c r="J244" i="82"/>
  <c r="E244" i="82"/>
  <c r="K244" i="82"/>
  <c r="G244" i="82"/>
  <c r="C244" i="82"/>
  <c r="I245" i="82"/>
  <c r="D245" i="82"/>
  <c r="J245" i="82"/>
  <c r="E245" i="82"/>
  <c r="K245" i="82"/>
  <c r="G245" i="82"/>
  <c r="C245" i="82"/>
  <c r="I246" i="82"/>
  <c r="D246" i="82"/>
  <c r="J246" i="82"/>
  <c r="E246" i="82"/>
  <c r="K246" i="82"/>
  <c r="G246" i="82"/>
  <c r="C246" i="82"/>
  <c r="I247" i="82"/>
  <c r="D247" i="82"/>
  <c r="J247" i="82"/>
  <c r="E247" i="82"/>
  <c r="K247" i="82"/>
  <c r="G247" i="82"/>
  <c r="C247" i="82"/>
  <c r="I248" i="82"/>
  <c r="D248" i="82"/>
  <c r="J248" i="82"/>
  <c r="E248" i="82"/>
  <c r="K248" i="82"/>
  <c r="G248" i="82"/>
  <c r="C248" i="82"/>
  <c r="I249" i="82"/>
  <c r="D249" i="82"/>
  <c r="J249" i="82"/>
  <c r="E249" i="82"/>
  <c r="K249" i="82"/>
  <c r="G249" i="82"/>
  <c r="C249" i="82"/>
  <c r="I250" i="82"/>
  <c r="D250" i="82"/>
  <c r="J250" i="82"/>
  <c r="E250" i="82"/>
  <c r="K250" i="82"/>
  <c r="G250" i="82"/>
  <c r="C250" i="82"/>
  <c r="I251" i="82"/>
  <c r="D251" i="82"/>
  <c r="J251" i="82"/>
  <c r="E251" i="82"/>
  <c r="K251" i="82"/>
  <c r="G251" i="82"/>
  <c r="C251" i="82"/>
  <c r="I252" i="82"/>
  <c r="D252" i="82"/>
  <c r="J252" i="82"/>
  <c r="E252" i="82"/>
  <c r="K252" i="82"/>
  <c r="G252" i="82"/>
  <c r="C252" i="82"/>
  <c r="I253" i="82"/>
  <c r="D253" i="82"/>
  <c r="J253" i="82"/>
  <c r="E253" i="82"/>
  <c r="K253" i="82"/>
  <c r="G253" i="82"/>
  <c r="C253" i="82"/>
  <c r="I254" i="82"/>
  <c r="D254" i="82"/>
  <c r="J254" i="82"/>
  <c r="E254" i="82"/>
  <c r="K254" i="82"/>
  <c r="G254" i="82"/>
  <c r="C254" i="82"/>
  <c r="I255" i="82"/>
  <c r="D255" i="82"/>
  <c r="J255" i="82"/>
  <c r="E255" i="82"/>
  <c r="K255" i="82"/>
  <c r="G255" i="82"/>
  <c r="C255" i="82"/>
  <c r="I256" i="82"/>
  <c r="D256" i="82"/>
  <c r="J256" i="82"/>
  <c r="E256" i="82"/>
  <c r="K256" i="82"/>
  <c r="G256" i="82"/>
  <c r="C256" i="82"/>
  <c r="I257" i="82"/>
  <c r="D257" i="82"/>
  <c r="J257" i="82"/>
  <c r="E257" i="82"/>
  <c r="K257" i="82"/>
  <c r="G257" i="82"/>
  <c r="C257" i="82"/>
  <c r="I258" i="82"/>
  <c r="D258" i="82"/>
  <c r="J258" i="82"/>
  <c r="E258" i="82"/>
  <c r="K258" i="82"/>
  <c r="G258" i="82"/>
  <c r="C258" i="82"/>
  <c r="I259" i="82"/>
  <c r="D259" i="82"/>
  <c r="J259" i="82"/>
  <c r="E259" i="82"/>
  <c r="K259" i="82"/>
  <c r="G259" i="82"/>
  <c r="C259" i="82"/>
  <c r="I260" i="82"/>
  <c r="D260" i="82"/>
  <c r="J260" i="82"/>
  <c r="E260" i="82"/>
  <c r="K260" i="82"/>
  <c r="G260" i="82"/>
  <c r="C260" i="82"/>
  <c r="I261" i="82"/>
  <c r="D261" i="82"/>
  <c r="J261" i="82"/>
  <c r="E261" i="82"/>
  <c r="K261" i="82"/>
  <c r="G261" i="82"/>
  <c r="C261" i="82"/>
  <c r="I262" i="82"/>
  <c r="D262" i="82"/>
  <c r="J262" i="82"/>
  <c r="E262" i="82"/>
  <c r="K262" i="82"/>
  <c r="G262" i="82"/>
  <c r="C262" i="82"/>
  <c r="I263" i="82"/>
  <c r="D263" i="82"/>
  <c r="J263" i="82"/>
  <c r="E263" i="82"/>
  <c r="K263" i="82"/>
  <c r="G263" i="82"/>
  <c r="C263" i="82"/>
  <c r="I264" i="82"/>
  <c r="D264" i="82"/>
  <c r="J264" i="82"/>
  <c r="E264" i="82"/>
  <c r="K264" i="82"/>
  <c r="G264" i="82"/>
  <c r="C264" i="82"/>
  <c r="I265" i="82"/>
  <c r="D265" i="82"/>
  <c r="J265" i="82"/>
  <c r="E265" i="82"/>
  <c r="K265" i="82"/>
  <c r="G265" i="82"/>
  <c r="C265" i="82"/>
  <c r="I266" i="82"/>
  <c r="D266" i="82"/>
  <c r="J266" i="82"/>
  <c r="E266" i="82"/>
  <c r="K266" i="82"/>
  <c r="G266" i="82"/>
  <c r="C266" i="82"/>
  <c r="I267" i="82"/>
  <c r="D267" i="82"/>
  <c r="J267" i="82"/>
  <c r="E267" i="82"/>
  <c r="K267" i="82"/>
  <c r="G267" i="82"/>
  <c r="C267" i="82"/>
  <c r="I268" i="82"/>
  <c r="D268" i="82"/>
  <c r="J268" i="82"/>
  <c r="E268" i="82"/>
  <c r="K268" i="82"/>
  <c r="G268" i="82"/>
  <c r="C268" i="82"/>
  <c r="I269" i="82"/>
  <c r="D269" i="82"/>
  <c r="J269" i="82"/>
  <c r="E269" i="82"/>
  <c r="K269" i="82"/>
  <c r="G269" i="82"/>
  <c r="C269" i="82"/>
  <c r="I270" i="82"/>
  <c r="D270" i="82"/>
  <c r="J270" i="82"/>
  <c r="E270" i="82"/>
  <c r="K270" i="82"/>
  <c r="G270" i="82"/>
  <c r="C270" i="82"/>
  <c r="I271" i="82"/>
  <c r="D271" i="82"/>
  <c r="J271" i="82"/>
  <c r="E271" i="82"/>
  <c r="K271" i="82"/>
  <c r="G271" i="82"/>
  <c r="C271" i="82"/>
  <c r="I272" i="82"/>
  <c r="D272" i="82"/>
  <c r="J272" i="82"/>
  <c r="E272" i="82"/>
  <c r="K272" i="82"/>
  <c r="G272" i="82"/>
  <c r="C272" i="82"/>
  <c r="I273" i="82"/>
  <c r="D273" i="82"/>
  <c r="J273" i="82"/>
  <c r="E273" i="82"/>
  <c r="K273" i="82"/>
  <c r="G273" i="82"/>
  <c r="C273" i="82"/>
  <c r="I274" i="82"/>
  <c r="D274" i="82"/>
  <c r="J274" i="82"/>
  <c r="E274" i="82"/>
  <c r="K274" i="82"/>
  <c r="G274" i="82"/>
  <c r="C274" i="82"/>
  <c r="I275" i="82"/>
  <c r="D275" i="82"/>
  <c r="J275" i="82"/>
  <c r="E275" i="82"/>
  <c r="K275" i="82"/>
  <c r="G275" i="82"/>
  <c r="C275" i="82"/>
  <c r="I276" i="82"/>
  <c r="D276" i="82"/>
  <c r="J276" i="82"/>
  <c r="E276" i="82"/>
  <c r="K276" i="82"/>
  <c r="G276" i="82"/>
  <c r="C276" i="82"/>
  <c r="I277" i="82"/>
  <c r="D277" i="82"/>
  <c r="J277" i="82"/>
  <c r="E277" i="82"/>
  <c r="K277" i="82"/>
  <c r="G277" i="82"/>
  <c r="C277" i="82"/>
  <c r="I278" i="82"/>
  <c r="D278" i="82"/>
  <c r="J278" i="82"/>
  <c r="E278" i="82"/>
  <c r="K278" i="82"/>
  <c r="G278" i="82"/>
  <c r="C278" i="82"/>
  <c r="I279" i="82"/>
  <c r="D279" i="82"/>
  <c r="J279" i="82"/>
  <c r="E279" i="82"/>
  <c r="K279" i="82"/>
  <c r="G279" i="82"/>
  <c r="C279" i="82"/>
  <c r="I280" i="82"/>
  <c r="D280" i="82"/>
  <c r="J280" i="82"/>
  <c r="E280" i="82"/>
  <c r="K280" i="82"/>
  <c r="G280" i="82"/>
  <c r="C280" i="82"/>
  <c r="I281" i="82"/>
  <c r="D281" i="82"/>
  <c r="J281" i="82"/>
  <c r="E281" i="82"/>
  <c r="K281" i="82"/>
  <c r="G281" i="82"/>
  <c r="C281" i="82"/>
  <c r="I282" i="82"/>
  <c r="D282" i="82"/>
  <c r="J282" i="82"/>
  <c r="E282" i="82"/>
  <c r="K282" i="82"/>
  <c r="G282" i="82"/>
  <c r="C282" i="82"/>
  <c r="I283" i="82"/>
  <c r="D283" i="82"/>
  <c r="J283" i="82"/>
  <c r="E283" i="82"/>
  <c r="K283" i="82"/>
  <c r="G283" i="82"/>
  <c r="C283" i="82"/>
  <c r="I284" i="82"/>
  <c r="D284" i="82"/>
  <c r="J284" i="82"/>
  <c r="E284" i="82"/>
  <c r="K284" i="82"/>
  <c r="G284" i="82"/>
  <c r="C284" i="82"/>
  <c r="I285" i="82"/>
  <c r="D285" i="82"/>
  <c r="J285" i="82"/>
  <c r="E285" i="82"/>
  <c r="K285" i="82"/>
  <c r="G285" i="82"/>
  <c r="C285" i="82"/>
  <c r="I286" i="82"/>
  <c r="D286" i="82"/>
  <c r="J286" i="82"/>
  <c r="E286" i="82"/>
  <c r="K286" i="82"/>
  <c r="G286" i="82"/>
  <c r="C286" i="82"/>
  <c r="I287" i="82"/>
  <c r="D287" i="82"/>
  <c r="J287" i="82"/>
  <c r="E287" i="82"/>
  <c r="K287" i="82"/>
  <c r="G287" i="82"/>
  <c r="C287" i="82"/>
  <c r="I288" i="82"/>
  <c r="D288" i="82"/>
  <c r="J288" i="82"/>
  <c r="E288" i="82"/>
  <c r="K288" i="82"/>
  <c r="G288" i="82"/>
  <c r="C288" i="82"/>
  <c r="I289" i="82"/>
  <c r="D289" i="82"/>
  <c r="J289" i="82"/>
  <c r="E289" i="82"/>
  <c r="K289" i="82"/>
  <c r="G289" i="82"/>
  <c r="C289" i="82"/>
  <c r="I290" i="82"/>
  <c r="D290" i="82"/>
  <c r="J290" i="82"/>
  <c r="E290" i="82"/>
  <c r="K290" i="82"/>
  <c r="G290" i="82"/>
  <c r="C290" i="82"/>
  <c r="I291" i="82"/>
  <c r="D291" i="82"/>
  <c r="J291" i="82"/>
  <c r="E291" i="82"/>
  <c r="K291" i="82"/>
  <c r="G291" i="82"/>
  <c r="C291" i="82"/>
  <c r="I292" i="82"/>
  <c r="D292" i="82"/>
  <c r="J292" i="82"/>
  <c r="E292" i="82"/>
  <c r="K292" i="82"/>
  <c r="G292" i="82"/>
  <c r="C292" i="82"/>
  <c r="I293" i="82"/>
  <c r="D293" i="82"/>
  <c r="J293" i="82"/>
  <c r="E293" i="82"/>
  <c r="K293" i="82"/>
  <c r="G293" i="82"/>
  <c r="C293" i="82"/>
  <c r="I294" i="82"/>
  <c r="D294" i="82"/>
  <c r="J294" i="82"/>
  <c r="E294" i="82"/>
  <c r="K294" i="82"/>
  <c r="G294" i="82"/>
  <c r="C294" i="82"/>
  <c r="I295" i="82"/>
  <c r="D295" i="82"/>
  <c r="J295" i="82"/>
  <c r="E295" i="82"/>
  <c r="K295" i="82"/>
  <c r="G295" i="82"/>
  <c r="C295" i="82"/>
  <c r="I296" i="82"/>
  <c r="D296" i="82"/>
  <c r="J296" i="82"/>
  <c r="E296" i="82"/>
  <c r="K296" i="82"/>
  <c r="G296" i="82"/>
  <c r="C296" i="82"/>
  <c r="I297" i="82"/>
  <c r="D297" i="82"/>
  <c r="J297" i="82"/>
  <c r="E297" i="82"/>
  <c r="K297" i="82"/>
  <c r="G297" i="82"/>
  <c r="C297" i="82"/>
  <c r="I298" i="82"/>
  <c r="D298" i="82"/>
  <c r="J298" i="82"/>
  <c r="E298" i="82"/>
  <c r="K298" i="82"/>
  <c r="G298" i="82"/>
  <c r="C298" i="82"/>
  <c r="I299" i="82"/>
  <c r="D299" i="82"/>
  <c r="J299" i="82"/>
  <c r="E299" i="82"/>
  <c r="K299" i="82"/>
  <c r="G299" i="82"/>
  <c r="C299" i="82"/>
  <c r="I300" i="82"/>
  <c r="D300" i="82"/>
  <c r="J300" i="82"/>
  <c r="E300" i="82"/>
  <c r="K300" i="82"/>
  <c r="G300" i="82"/>
  <c r="C300" i="82"/>
  <c r="I301" i="82"/>
  <c r="D301" i="82"/>
  <c r="J301" i="82"/>
  <c r="E301" i="82"/>
  <c r="K301" i="82"/>
  <c r="G301" i="82"/>
  <c r="C301" i="82"/>
  <c r="I302" i="82"/>
  <c r="D302" i="82"/>
  <c r="J302" i="82"/>
  <c r="E302" i="82"/>
  <c r="K302" i="82"/>
  <c r="G302" i="82"/>
  <c r="C302" i="82"/>
  <c r="I303" i="82"/>
  <c r="D303" i="82"/>
  <c r="J303" i="82"/>
  <c r="E303" i="82"/>
  <c r="K303" i="82"/>
  <c r="G303" i="82"/>
  <c r="C303" i="82"/>
  <c r="I304" i="82"/>
  <c r="D304" i="82"/>
  <c r="J304" i="82"/>
  <c r="E304" i="82"/>
  <c r="K304" i="82"/>
  <c r="G304" i="82"/>
  <c r="C304" i="82"/>
  <c r="I305" i="82"/>
  <c r="D305" i="82"/>
  <c r="J305" i="82"/>
  <c r="E305" i="82"/>
  <c r="K305" i="82"/>
  <c r="G305" i="82"/>
  <c r="C305" i="82"/>
  <c r="I306" i="82"/>
  <c r="D306" i="82"/>
  <c r="J306" i="82"/>
  <c r="E306" i="82"/>
  <c r="K306" i="82"/>
  <c r="G306" i="82"/>
  <c r="C306" i="82"/>
  <c r="I307" i="82"/>
  <c r="D307" i="82"/>
  <c r="J307" i="82"/>
  <c r="E307" i="82"/>
  <c r="K307" i="82"/>
  <c r="G307" i="82"/>
  <c r="C307" i="82"/>
  <c r="I308" i="82"/>
  <c r="D308" i="82"/>
  <c r="J308" i="82"/>
  <c r="E308" i="82"/>
  <c r="K308" i="82"/>
  <c r="G308" i="82"/>
  <c r="C308" i="82"/>
  <c r="I309" i="82"/>
  <c r="D309" i="82"/>
  <c r="J309" i="82"/>
  <c r="E309" i="82"/>
  <c r="K309" i="82"/>
  <c r="G309" i="82"/>
  <c r="C309" i="82"/>
  <c r="I310" i="82"/>
  <c r="D310" i="82"/>
  <c r="J310" i="82"/>
  <c r="E310" i="82"/>
  <c r="K310" i="82"/>
  <c r="G310" i="82"/>
  <c r="C310" i="82"/>
  <c r="I311" i="82"/>
  <c r="D311" i="82"/>
  <c r="J311" i="82"/>
  <c r="E311" i="82"/>
  <c r="K311" i="82"/>
  <c r="G311" i="82"/>
  <c r="C311" i="82"/>
  <c r="I312" i="82"/>
  <c r="D312" i="82"/>
  <c r="J312" i="82"/>
  <c r="E312" i="82"/>
  <c r="K312" i="82"/>
  <c r="G312" i="82"/>
  <c r="C312" i="82"/>
  <c r="I313" i="82"/>
  <c r="D313" i="82"/>
  <c r="J313" i="82"/>
  <c r="E313" i="82"/>
  <c r="K313" i="82"/>
  <c r="G313" i="82"/>
  <c r="C313" i="82"/>
  <c r="I314" i="82"/>
  <c r="D314" i="82"/>
  <c r="J314" i="82"/>
  <c r="E314" i="82"/>
  <c r="K314" i="82"/>
  <c r="G314" i="82"/>
  <c r="C314" i="82"/>
  <c r="I315" i="82"/>
  <c r="D315" i="82"/>
  <c r="J315" i="82"/>
  <c r="E315" i="82"/>
  <c r="K315" i="82"/>
  <c r="G315" i="82"/>
  <c r="C315" i="82"/>
  <c r="I316" i="82"/>
  <c r="D316" i="82"/>
  <c r="J316" i="82"/>
  <c r="E316" i="82"/>
  <c r="K316" i="82"/>
  <c r="G316" i="82"/>
  <c r="C316" i="82"/>
  <c r="I317" i="82"/>
  <c r="D317" i="82"/>
  <c r="J317" i="82"/>
  <c r="E317" i="82"/>
  <c r="K317" i="82"/>
  <c r="G317" i="82"/>
  <c r="C317" i="82"/>
  <c r="I318" i="82"/>
  <c r="D318" i="82"/>
  <c r="J318" i="82"/>
  <c r="E318" i="82"/>
  <c r="K318" i="82"/>
  <c r="G318" i="82"/>
  <c r="C318" i="82"/>
  <c r="I319" i="82"/>
  <c r="D319" i="82"/>
  <c r="J319" i="82"/>
  <c r="E319" i="82"/>
  <c r="K319" i="82"/>
  <c r="G319" i="82"/>
  <c r="C319" i="82"/>
  <c r="I320" i="82"/>
  <c r="D320" i="82"/>
  <c r="J320" i="82"/>
  <c r="E320" i="82"/>
  <c r="K320" i="82"/>
  <c r="G320" i="82"/>
  <c r="C320" i="82"/>
  <c r="I321" i="82"/>
  <c r="D321" i="82"/>
  <c r="J321" i="82"/>
  <c r="E321" i="82"/>
  <c r="K321" i="82"/>
  <c r="G321" i="82"/>
  <c r="C321" i="82"/>
  <c r="I322" i="82"/>
  <c r="D322" i="82"/>
  <c r="J322" i="82"/>
  <c r="E322" i="82"/>
  <c r="K322" i="82"/>
  <c r="G322" i="82"/>
  <c r="C322" i="82"/>
  <c r="I323" i="82"/>
  <c r="D323" i="82"/>
  <c r="J323" i="82"/>
  <c r="E323" i="82"/>
  <c r="K323" i="82"/>
  <c r="G323" i="82"/>
  <c r="C323" i="82"/>
  <c r="I324" i="82"/>
  <c r="D324" i="82"/>
  <c r="J324" i="82"/>
  <c r="E324" i="82"/>
  <c r="K324" i="82"/>
  <c r="G324" i="82"/>
  <c r="C324" i="82"/>
  <c r="F5" i="106"/>
  <c r="F7" i="106"/>
  <c r="A51" i="106"/>
  <c r="F8" i="106"/>
  <c r="E8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34" i="106"/>
  <c r="B34" i="106"/>
  <c r="G34" i="106"/>
  <c r="H34" i="106"/>
  <c r="O53" i="82"/>
  <c r="E35" i="106"/>
  <c r="B35" i="106"/>
  <c r="G35" i="106"/>
  <c r="H35" i="106"/>
  <c r="O54" i="82"/>
  <c r="E36" i="106"/>
  <c r="B36" i="106"/>
  <c r="G36" i="106"/>
  <c r="H36" i="106"/>
  <c r="O55" i="82"/>
  <c r="E7" i="106"/>
  <c r="E19" i="106"/>
  <c r="B19" i="106"/>
  <c r="E24" i="106"/>
  <c r="B24" i="106"/>
  <c r="B17" i="106"/>
  <c r="G17" i="106"/>
  <c r="E17" i="106"/>
  <c r="H17" i="106"/>
  <c r="O3" i="82"/>
  <c r="O5" i="82"/>
  <c r="O7" i="82"/>
  <c r="E39" i="106"/>
  <c r="B39" i="106"/>
  <c r="B32" i="106"/>
  <c r="G32" i="106"/>
  <c r="E32" i="106"/>
  <c r="H32" i="106"/>
  <c r="O9" i="82"/>
  <c r="E33" i="106"/>
  <c r="B33" i="106"/>
  <c r="G33" i="106"/>
  <c r="H33" i="106"/>
  <c r="O2" i="82"/>
  <c r="E18" i="106"/>
  <c r="B18" i="106"/>
  <c r="G18" i="106"/>
  <c r="H18" i="106"/>
  <c r="O4" i="82"/>
  <c r="O6" i="82"/>
  <c r="O8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G39" i="106"/>
  <c r="H39" i="106"/>
  <c r="O41" i="82"/>
  <c r="E40" i="106"/>
  <c r="B40" i="106"/>
  <c r="G40" i="106"/>
  <c r="H40" i="106"/>
  <c r="O42" i="82"/>
  <c r="E41" i="106"/>
  <c r="B41" i="106"/>
  <c r="G41" i="106"/>
  <c r="H41" i="106"/>
  <c r="O43" i="82"/>
  <c r="G24" i="106"/>
  <c r="H24" i="106"/>
  <c r="O44" i="82"/>
  <c r="E25" i="106"/>
  <c r="B25" i="106"/>
  <c r="G25" i="106"/>
  <c r="H25" i="106"/>
  <c r="O45" i="82"/>
  <c r="E26" i="106"/>
  <c r="B26" i="106"/>
  <c r="G26" i="106"/>
  <c r="H26" i="106"/>
  <c r="O46" i="82"/>
  <c r="O47" i="82"/>
  <c r="O48" i="82"/>
  <c r="O49" i="82"/>
  <c r="G19" i="106"/>
  <c r="H19" i="106"/>
  <c r="O50" i="82"/>
  <c r="E20" i="106"/>
  <c r="B20" i="106"/>
  <c r="G20" i="106"/>
  <c r="H20" i="106"/>
  <c r="O51" i="82"/>
  <c r="E21" i="106"/>
  <c r="B21" i="106"/>
  <c r="G21" i="106"/>
  <c r="H21" i="106"/>
  <c r="O52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F6" i="106"/>
  <c r="E6" i="106"/>
  <c r="E42" i="106"/>
  <c r="B42" i="106"/>
  <c r="G42" i="106"/>
  <c r="H42" i="106"/>
  <c r="O137" i="82"/>
  <c r="E43" i="106"/>
  <c r="B43" i="106"/>
  <c r="G43" i="106"/>
  <c r="H43" i="106"/>
  <c r="O138" i="82"/>
  <c r="E5" i="106"/>
  <c r="E27" i="106"/>
  <c r="B27" i="106"/>
  <c r="G27" i="106"/>
  <c r="H27" i="106"/>
  <c r="O139" i="82"/>
  <c r="E28" i="106"/>
  <c r="B28" i="106"/>
  <c r="G28" i="106"/>
  <c r="H28" i="106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E37" i="106"/>
  <c r="E38" i="106"/>
  <c r="B38" i="106"/>
  <c r="B37" i="106"/>
  <c r="G37" i="106"/>
  <c r="H37" i="106"/>
  <c r="O255" i="82"/>
  <c r="G38" i="106"/>
  <c r="H38" i="106"/>
  <c r="O256" i="82"/>
  <c r="E22" i="106"/>
  <c r="E23" i="106"/>
  <c r="B23" i="106"/>
  <c r="B22" i="106"/>
  <c r="G22" i="106"/>
  <c r="H22" i="106"/>
  <c r="O257" i="82"/>
  <c r="G23" i="106"/>
  <c r="H23" i="106"/>
  <c r="O258" i="82"/>
  <c r="E29" i="106"/>
  <c r="B29" i="106"/>
  <c r="G29" i="106"/>
  <c r="H29" i="106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E44" i="106"/>
  <c r="B44" i="106"/>
  <c r="G44" i="106"/>
  <c r="H44" i="106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G46" i="106"/>
  <c r="E46" i="106"/>
  <c r="H46" i="106"/>
  <c r="O324" i="82"/>
  <c r="F55" i="106"/>
  <c r="G55" i="106"/>
  <c r="F56" i="106"/>
  <c r="G56" i="106"/>
  <c r="F57" i="106"/>
  <c r="G57" i="106"/>
  <c r="I2" i="154"/>
  <c r="D2" i="154"/>
  <c r="J2" i="154"/>
  <c r="E2" i="154"/>
  <c r="K2" i="154"/>
  <c r="G2" i="154"/>
  <c r="C2" i="154"/>
  <c r="I3" i="154"/>
  <c r="D3" i="154"/>
  <c r="J3" i="154"/>
  <c r="E3" i="154"/>
  <c r="K3" i="154"/>
  <c r="G3" i="154"/>
  <c r="C3" i="154"/>
  <c r="I4" i="154"/>
  <c r="D4" i="154"/>
  <c r="J4" i="154"/>
  <c r="E4" i="154"/>
  <c r="K4" i="154"/>
  <c r="G4" i="154"/>
  <c r="C4" i="154"/>
  <c r="I5" i="154"/>
  <c r="D5" i="154"/>
  <c r="J5" i="154"/>
  <c r="E5" i="154"/>
  <c r="K5" i="154"/>
  <c r="G5" i="154"/>
  <c r="C5" i="154"/>
  <c r="I6" i="154"/>
  <c r="D6" i="154"/>
  <c r="J6" i="154"/>
  <c r="E6" i="154"/>
  <c r="K6" i="154"/>
  <c r="G6" i="154"/>
  <c r="C6" i="154"/>
  <c r="I7" i="154"/>
  <c r="D7" i="154"/>
  <c r="J7" i="154"/>
  <c r="E7" i="154"/>
  <c r="K7" i="154"/>
  <c r="G7" i="154"/>
  <c r="C7" i="154"/>
  <c r="I8" i="154"/>
  <c r="D8" i="154"/>
  <c r="J8" i="154"/>
  <c r="E8" i="154"/>
  <c r="K8" i="154"/>
  <c r="G8" i="154"/>
  <c r="C8" i="154"/>
  <c r="I9" i="154"/>
  <c r="D9" i="154"/>
  <c r="J9" i="154"/>
  <c r="E9" i="154"/>
  <c r="K9" i="154"/>
  <c r="G9" i="154"/>
  <c r="C9" i="154"/>
  <c r="I10" i="154"/>
  <c r="D10" i="154"/>
  <c r="J10" i="154"/>
  <c r="E10" i="154"/>
  <c r="K10" i="154"/>
  <c r="G10" i="154"/>
  <c r="C10" i="154"/>
  <c r="I11" i="154"/>
  <c r="D11" i="154"/>
  <c r="J11" i="154"/>
  <c r="E11" i="154"/>
  <c r="K11" i="154"/>
  <c r="G11" i="154"/>
  <c r="C11" i="154"/>
  <c r="I12" i="154"/>
  <c r="D12" i="154"/>
  <c r="J12" i="154"/>
  <c r="E12" i="154"/>
  <c r="K12" i="154"/>
  <c r="G12" i="154"/>
  <c r="C12" i="154"/>
  <c r="I13" i="154"/>
  <c r="D13" i="154"/>
  <c r="J13" i="154"/>
  <c r="E13" i="154"/>
  <c r="K13" i="154"/>
  <c r="G13" i="154"/>
  <c r="C13" i="154"/>
  <c r="I14" i="154"/>
  <c r="D14" i="154"/>
  <c r="J14" i="154"/>
  <c r="E14" i="154"/>
  <c r="K14" i="154"/>
  <c r="G14" i="154"/>
  <c r="C14" i="154"/>
  <c r="I15" i="154"/>
  <c r="D15" i="154"/>
  <c r="J15" i="154"/>
  <c r="E15" i="154"/>
  <c r="K15" i="154"/>
  <c r="G15" i="154"/>
  <c r="C15" i="154"/>
  <c r="I16" i="154"/>
  <c r="D16" i="154"/>
  <c r="J16" i="154"/>
  <c r="E16" i="154"/>
  <c r="K16" i="154"/>
  <c r="G16" i="154"/>
  <c r="C16" i="154"/>
  <c r="I17" i="154"/>
  <c r="D17" i="154"/>
  <c r="J17" i="154"/>
  <c r="E17" i="154"/>
  <c r="K17" i="154"/>
  <c r="G17" i="154"/>
  <c r="C17" i="154"/>
  <c r="I18" i="154"/>
  <c r="D18" i="154"/>
  <c r="J18" i="154"/>
  <c r="E18" i="154"/>
  <c r="K18" i="154"/>
  <c r="G18" i="154"/>
  <c r="C18" i="154"/>
  <c r="I19" i="154"/>
  <c r="D19" i="154"/>
  <c r="J19" i="154"/>
  <c r="E19" i="154"/>
  <c r="K19" i="154"/>
  <c r="G19" i="154"/>
  <c r="C19" i="154"/>
  <c r="I20" i="154"/>
  <c r="D20" i="154"/>
  <c r="J20" i="154"/>
  <c r="E20" i="154"/>
  <c r="K20" i="154"/>
  <c r="G20" i="154"/>
  <c r="C20" i="154"/>
  <c r="I21" i="154"/>
  <c r="D21" i="154"/>
  <c r="J21" i="154"/>
  <c r="E21" i="154"/>
  <c r="K21" i="154"/>
  <c r="G21" i="154"/>
  <c r="C21" i="154"/>
  <c r="I22" i="154"/>
  <c r="D22" i="154"/>
  <c r="J22" i="154"/>
  <c r="E22" i="154"/>
  <c r="K22" i="154"/>
  <c r="G22" i="154"/>
  <c r="C22" i="154"/>
  <c r="I23" i="154"/>
  <c r="D23" i="154"/>
  <c r="J23" i="154"/>
  <c r="E23" i="154"/>
  <c r="K23" i="154"/>
  <c r="G23" i="154"/>
  <c r="C23" i="154"/>
  <c r="I24" i="154"/>
  <c r="D24" i="154"/>
  <c r="J24" i="154"/>
  <c r="E24" i="154"/>
  <c r="K24" i="154"/>
  <c r="G24" i="154"/>
  <c r="C24" i="154"/>
  <c r="I25" i="154"/>
  <c r="D25" i="154"/>
  <c r="J25" i="154"/>
  <c r="E25" i="154"/>
  <c r="K25" i="154"/>
  <c r="G25" i="154"/>
  <c r="C25" i="154"/>
  <c r="I26" i="154"/>
  <c r="D26" i="154"/>
  <c r="J26" i="154"/>
  <c r="E26" i="154"/>
  <c r="K26" i="154"/>
  <c r="G26" i="154"/>
  <c r="C26" i="154"/>
  <c r="I27" i="154"/>
  <c r="D27" i="154"/>
  <c r="J27" i="154"/>
  <c r="E27" i="154"/>
  <c r="K27" i="154"/>
  <c r="G27" i="154"/>
  <c r="C27" i="154"/>
  <c r="I28" i="154"/>
  <c r="D28" i="154"/>
  <c r="J28" i="154"/>
  <c r="E28" i="154"/>
  <c r="K28" i="154"/>
  <c r="G28" i="154"/>
  <c r="C28" i="154"/>
  <c r="I29" i="154"/>
  <c r="D29" i="154"/>
  <c r="J29" i="154"/>
  <c r="E29" i="154"/>
  <c r="K29" i="154"/>
  <c r="G29" i="154"/>
  <c r="C29" i="154"/>
  <c r="I30" i="154"/>
  <c r="D30" i="154"/>
  <c r="J30" i="154"/>
  <c r="E30" i="154"/>
  <c r="K30" i="154"/>
  <c r="G30" i="154"/>
  <c r="C30" i="154"/>
  <c r="I31" i="154"/>
  <c r="D31" i="154"/>
  <c r="J31" i="154"/>
  <c r="E31" i="154"/>
  <c r="K31" i="154"/>
  <c r="G31" i="154"/>
  <c r="C31" i="154"/>
  <c r="I32" i="154"/>
  <c r="D32" i="154"/>
  <c r="J32" i="154"/>
  <c r="E32" i="154"/>
  <c r="K32" i="154"/>
  <c r="G32" i="154"/>
  <c r="C32" i="154"/>
  <c r="I33" i="154"/>
  <c r="D33" i="154"/>
  <c r="J33" i="154"/>
  <c r="E33" i="154"/>
  <c r="K33" i="154"/>
  <c r="G33" i="154"/>
  <c r="C33" i="154"/>
  <c r="I34" i="154"/>
  <c r="D34" i="154"/>
  <c r="J34" i="154"/>
  <c r="E34" i="154"/>
  <c r="K34" i="154"/>
  <c r="G34" i="154"/>
  <c r="C34" i="154"/>
  <c r="I35" i="154"/>
  <c r="D35" i="154"/>
  <c r="J35" i="154"/>
  <c r="E35" i="154"/>
  <c r="K35" i="154"/>
  <c r="G35" i="154"/>
  <c r="C35" i="154"/>
  <c r="I36" i="154"/>
  <c r="D36" i="154"/>
  <c r="J36" i="154"/>
  <c r="E36" i="154"/>
  <c r="K36" i="154"/>
  <c r="G36" i="154"/>
  <c r="C36" i="154"/>
  <c r="I37" i="154"/>
  <c r="D37" i="154"/>
  <c r="J37" i="154"/>
  <c r="E37" i="154"/>
  <c r="K37" i="154"/>
  <c r="G37" i="154"/>
  <c r="C37" i="154"/>
  <c r="I38" i="154"/>
  <c r="D38" i="154"/>
  <c r="J38" i="154"/>
  <c r="E38" i="154"/>
  <c r="K38" i="154"/>
  <c r="G38" i="154"/>
  <c r="C38" i="154"/>
  <c r="I39" i="154"/>
  <c r="D39" i="154"/>
  <c r="J39" i="154"/>
  <c r="E39" i="154"/>
  <c r="K39" i="154"/>
  <c r="G39" i="154"/>
  <c r="C39" i="154"/>
  <c r="I40" i="154"/>
  <c r="D40" i="154"/>
  <c r="J40" i="154"/>
  <c r="E40" i="154"/>
  <c r="K40" i="154"/>
  <c r="G40" i="154"/>
  <c r="C40" i="154"/>
  <c r="I41" i="154"/>
  <c r="D41" i="154"/>
  <c r="J41" i="154"/>
  <c r="E41" i="154"/>
  <c r="K41" i="154"/>
  <c r="G41" i="154"/>
  <c r="C41" i="154"/>
  <c r="I42" i="154"/>
  <c r="D42" i="154"/>
  <c r="J42" i="154"/>
  <c r="E42" i="154"/>
  <c r="K42" i="154"/>
  <c r="G42" i="154"/>
  <c r="C42" i="154"/>
  <c r="I43" i="154"/>
  <c r="D43" i="154"/>
  <c r="J43" i="154"/>
  <c r="E43" i="154"/>
  <c r="K43" i="154"/>
  <c r="G43" i="154"/>
  <c r="C43" i="154"/>
  <c r="I44" i="154"/>
  <c r="D44" i="154"/>
  <c r="J44" i="154"/>
  <c r="E44" i="154"/>
  <c r="K44" i="154"/>
  <c r="G44" i="154"/>
  <c r="C44" i="154"/>
  <c r="I45" i="154"/>
  <c r="D45" i="154"/>
  <c r="J45" i="154"/>
  <c r="E45" i="154"/>
  <c r="K45" i="154"/>
  <c r="G45" i="154"/>
  <c r="C45" i="154"/>
  <c r="I46" i="154"/>
  <c r="D46" i="154"/>
  <c r="J46" i="154"/>
  <c r="E46" i="154"/>
  <c r="K46" i="154"/>
  <c r="G46" i="154"/>
  <c r="C46" i="154"/>
  <c r="I47" i="154"/>
  <c r="D47" i="154"/>
  <c r="J47" i="154"/>
  <c r="E47" i="154"/>
  <c r="K47" i="154"/>
  <c r="G47" i="154"/>
  <c r="C47" i="154"/>
  <c r="I48" i="154"/>
  <c r="D48" i="154"/>
  <c r="J48" i="154"/>
  <c r="E48" i="154"/>
  <c r="K48" i="154"/>
  <c r="G48" i="154"/>
  <c r="C48" i="154"/>
  <c r="I49" i="154"/>
  <c r="D49" i="154"/>
  <c r="J49" i="154"/>
  <c r="E49" i="154"/>
  <c r="K49" i="154"/>
  <c r="G49" i="154"/>
  <c r="C49" i="154"/>
  <c r="I50" i="154"/>
  <c r="D50" i="154"/>
  <c r="J50" i="154"/>
  <c r="E50" i="154"/>
  <c r="K50" i="154"/>
  <c r="G50" i="154"/>
  <c r="C50" i="154"/>
  <c r="I51" i="154"/>
  <c r="D51" i="154"/>
  <c r="J51" i="154"/>
  <c r="E51" i="154"/>
  <c r="K51" i="154"/>
  <c r="G51" i="154"/>
  <c r="C51" i="154"/>
  <c r="I52" i="154"/>
  <c r="D52" i="154"/>
  <c r="J52" i="154"/>
  <c r="E52" i="154"/>
  <c r="K52" i="154"/>
  <c r="G52" i="154"/>
  <c r="C52" i="154"/>
  <c r="I53" i="154"/>
  <c r="D53" i="154"/>
  <c r="J53" i="154"/>
  <c r="E53" i="154"/>
  <c r="K53" i="154"/>
  <c r="G53" i="154"/>
  <c r="C53" i="154"/>
  <c r="I54" i="154"/>
  <c r="D54" i="154"/>
  <c r="J54" i="154"/>
  <c r="E54" i="154"/>
  <c r="K54" i="154"/>
  <c r="G54" i="154"/>
  <c r="C54" i="154"/>
  <c r="I55" i="154"/>
  <c r="D55" i="154"/>
  <c r="J55" i="154"/>
  <c r="E55" i="154"/>
  <c r="K55" i="154"/>
  <c r="G55" i="154"/>
  <c r="C55" i="154"/>
  <c r="I56" i="154"/>
  <c r="D56" i="154"/>
  <c r="J56" i="154"/>
  <c r="E56" i="154"/>
  <c r="K56" i="154"/>
  <c r="G56" i="154"/>
  <c r="C56" i="154"/>
  <c r="I57" i="154"/>
  <c r="D57" i="154"/>
  <c r="J57" i="154"/>
  <c r="E57" i="154"/>
  <c r="K57" i="154"/>
  <c r="G57" i="154"/>
  <c r="C57" i="154"/>
  <c r="I58" i="154"/>
  <c r="D58" i="154"/>
  <c r="J58" i="154"/>
  <c r="E58" i="154"/>
  <c r="K58" i="154"/>
  <c r="G58" i="154"/>
  <c r="C58" i="154"/>
  <c r="I59" i="154"/>
  <c r="D59" i="154"/>
  <c r="J59" i="154"/>
  <c r="E59" i="154"/>
  <c r="K59" i="154"/>
  <c r="G59" i="154"/>
  <c r="C59" i="154"/>
  <c r="I60" i="154"/>
  <c r="D60" i="154"/>
  <c r="J60" i="154"/>
  <c r="E60" i="154"/>
  <c r="K60" i="154"/>
  <c r="G60" i="154"/>
  <c r="C60" i="154"/>
  <c r="I61" i="154"/>
  <c r="D61" i="154"/>
  <c r="J61" i="154"/>
  <c r="E61" i="154"/>
  <c r="K61" i="154"/>
  <c r="G61" i="154"/>
  <c r="C61" i="154"/>
  <c r="I62" i="154"/>
  <c r="D62" i="154"/>
  <c r="J62" i="154"/>
  <c r="E62" i="154"/>
  <c r="K62" i="154"/>
  <c r="G62" i="154"/>
  <c r="C62" i="154"/>
  <c r="I63" i="154"/>
  <c r="D63" i="154"/>
  <c r="J63" i="154"/>
  <c r="E63" i="154"/>
  <c r="K63" i="154"/>
  <c r="G63" i="154"/>
  <c r="C63" i="154"/>
  <c r="I64" i="154"/>
  <c r="D64" i="154"/>
  <c r="J64" i="154"/>
  <c r="E64" i="154"/>
  <c r="K64" i="154"/>
  <c r="G64" i="154"/>
  <c r="C64" i="154"/>
  <c r="I65" i="154"/>
  <c r="D65" i="154"/>
  <c r="J65" i="154"/>
  <c r="E65" i="154"/>
  <c r="K65" i="154"/>
  <c r="G65" i="154"/>
  <c r="C65" i="154"/>
  <c r="I66" i="154"/>
  <c r="D66" i="154"/>
  <c r="J66" i="154"/>
  <c r="E66" i="154"/>
  <c r="K66" i="154"/>
  <c r="G66" i="154"/>
  <c r="C66" i="154"/>
  <c r="I67" i="154"/>
  <c r="D67" i="154"/>
  <c r="J67" i="154"/>
  <c r="E67" i="154"/>
  <c r="K67" i="154"/>
  <c r="G67" i="154"/>
  <c r="C67" i="154"/>
  <c r="I68" i="154"/>
  <c r="D68" i="154"/>
  <c r="J68" i="154"/>
  <c r="E68" i="154"/>
  <c r="K68" i="154"/>
  <c r="G68" i="154"/>
  <c r="C68" i="154"/>
  <c r="I69" i="154"/>
  <c r="D69" i="154"/>
  <c r="J69" i="154"/>
  <c r="E69" i="154"/>
  <c r="K69" i="154"/>
  <c r="G69" i="154"/>
  <c r="C69" i="154"/>
  <c r="I70" i="154"/>
  <c r="D70" i="154"/>
  <c r="J70" i="154"/>
  <c r="E70" i="154"/>
  <c r="K70" i="154"/>
  <c r="G70" i="154"/>
  <c r="C70" i="154"/>
  <c r="I71" i="154"/>
  <c r="D71" i="154"/>
  <c r="J71" i="154"/>
  <c r="E71" i="154"/>
  <c r="K71" i="154"/>
  <c r="G71" i="154"/>
  <c r="C71" i="154"/>
  <c r="I72" i="154"/>
  <c r="D72" i="154"/>
  <c r="J72" i="154"/>
  <c r="E72" i="154"/>
  <c r="K72" i="154"/>
  <c r="G72" i="154"/>
  <c r="C72" i="154"/>
  <c r="I73" i="154"/>
  <c r="D73" i="154"/>
  <c r="J73" i="154"/>
  <c r="E73" i="154"/>
  <c r="K73" i="154"/>
  <c r="G73" i="154"/>
  <c r="C73" i="154"/>
  <c r="I74" i="154"/>
  <c r="D74" i="154"/>
  <c r="J74" i="154"/>
  <c r="E74" i="154"/>
  <c r="K74" i="154"/>
  <c r="G74" i="154"/>
  <c r="C74" i="154"/>
  <c r="I75" i="154"/>
  <c r="D75" i="154"/>
  <c r="J75" i="154"/>
  <c r="E75" i="154"/>
  <c r="K75" i="154"/>
  <c r="G75" i="154"/>
  <c r="C75" i="154"/>
  <c r="I76" i="154"/>
  <c r="D76" i="154"/>
  <c r="J76" i="154"/>
  <c r="E76" i="154"/>
  <c r="K76" i="154"/>
  <c r="G76" i="154"/>
  <c r="C76" i="154"/>
  <c r="I77" i="154"/>
  <c r="D77" i="154"/>
  <c r="J77" i="154"/>
  <c r="E77" i="154"/>
  <c r="K77" i="154"/>
  <c r="G77" i="154"/>
  <c r="C77" i="154"/>
  <c r="I78" i="154"/>
  <c r="D78" i="154"/>
  <c r="J78" i="154"/>
  <c r="E78" i="154"/>
  <c r="K78" i="154"/>
  <c r="G78" i="154"/>
  <c r="C78" i="154"/>
  <c r="I79" i="154"/>
  <c r="D79" i="154"/>
  <c r="J79" i="154"/>
  <c r="E79" i="154"/>
  <c r="K79" i="154"/>
  <c r="G79" i="154"/>
  <c r="C79" i="154"/>
  <c r="I80" i="154"/>
  <c r="D80" i="154"/>
  <c r="J80" i="154"/>
  <c r="E80" i="154"/>
  <c r="K80" i="154"/>
  <c r="G80" i="154"/>
  <c r="C80" i="154"/>
  <c r="I81" i="154"/>
  <c r="D81" i="154"/>
  <c r="J81" i="154"/>
  <c r="E81" i="154"/>
  <c r="K81" i="154"/>
  <c r="G81" i="154"/>
  <c r="C81" i="154"/>
  <c r="I82" i="154"/>
  <c r="D82" i="154"/>
  <c r="J82" i="154"/>
  <c r="E82" i="154"/>
  <c r="K82" i="154"/>
  <c r="G82" i="154"/>
  <c r="C82" i="154"/>
  <c r="I83" i="154"/>
  <c r="D83" i="154"/>
  <c r="J83" i="154"/>
  <c r="E83" i="154"/>
  <c r="K83" i="154"/>
  <c r="G83" i="154"/>
  <c r="C83" i="154"/>
  <c r="I84" i="154"/>
  <c r="D84" i="154"/>
  <c r="J84" i="154"/>
  <c r="E84" i="154"/>
  <c r="K84" i="154"/>
  <c r="G84" i="154"/>
  <c r="C84" i="154"/>
  <c r="I85" i="154"/>
  <c r="D85" i="154"/>
  <c r="J85" i="154"/>
  <c r="E85" i="154"/>
  <c r="K85" i="154"/>
  <c r="G85" i="154"/>
  <c r="C85" i="154"/>
  <c r="I86" i="154"/>
  <c r="D86" i="154"/>
  <c r="J86" i="154"/>
  <c r="E86" i="154"/>
  <c r="K86" i="154"/>
  <c r="G86" i="154"/>
  <c r="C86" i="154"/>
  <c r="I87" i="154"/>
  <c r="D87" i="154"/>
  <c r="J87" i="154"/>
  <c r="E87" i="154"/>
  <c r="K87" i="154"/>
  <c r="G87" i="154"/>
  <c r="C87" i="154"/>
  <c r="I88" i="154"/>
  <c r="D88" i="154"/>
  <c r="J88" i="154"/>
  <c r="E88" i="154"/>
  <c r="K88" i="154"/>
  <c r="G88" i="154"/>
  <c r="C88" i="154"/>
  <c r="I89" i="154"/>
  <c r="D89" i="154"/>
  <c r="J89" i="154"/>
  <c r="E89" i="154"/>
  <c r="K89" i="154"/>
  <c r="G89" i="154"/>
  <c r="C89" i="154"/>
  <c r="I90" i="154"/>
  <c r="D90" i="154"/>
  <c r="J90" i="154"/>
  <c r="E90" i="154"/>
  <c r="K90" i="154"/>
  <c r="G90" i="154"/>
  <c r="C90" i="154"/>
  <c r="I91" i="154"/>
  <c r="D91" i="154"/>
  <c r="J91" i="154"/>
  <c r="E91" i="154"/>
  <c r="K91" i="154"/>
  <c r="G91" i="154"/>
  <c r="C91" i="154"/>
  <c r="I92" i="154"/>
  <c r="D92" i="154"/>
  <c r="J92" i="154"/>
  <c r="E92" i="154"/>
  <c r="K92" i="154"/>
  <c r="G92" i="154"/>
  <c r="C92" i="154"/>
  <c r="I93" i="154"/>
  <c r="D93" i="154"/>
  <c r="J93" i="154"/>
  <c r="E93" i="154"/>
  <c r="K93" i="154"/>
  <c r="G93" i="154"/>
  <c r="C93" i="154"/>
  <c r="I94" i="154"/>
  <c r="D94" i="154"/>
  <c r="J94" i="154"/>
  <c r="E94" i="154"/>
  <c r="K94" i="154"/>
  <c r="G94" i="154"/>
  <c r="C94" i="154"/>
  <c r="I95" i="154"/>
  <c r="D95" i="154"/>
  <c r="J95" i="154"/>
  <c r="E95" i="154"/>
  <c r="K95" i="154"/>
  <c r="G95" i="154"/>
  <c r="C95" i="154"/>
  <c r="I96" i="154"/>
  <c r="D96" i="154"/>
  <c r="J96" i="154"/>
  <c r="E96" i="154"/>
  <c r="K96" i="154"/>
  <c r="G96" i="154"/>
  <c r="C96" i="154"/>
  <c r="I97" i="154"/>
  <c r="D97" i="154"/>
  <c r="J97" i="154"/>
  <c r="E97" i="154"/>
  <c r="K97" i="154"/>
  <c r="G97" i="154"/>
  <c r="C97" i="154"/>
  <c r="I98" i="154"/>
  <c r="D98" i="154"/>
  <c r="J98" i="154"/>
  <c r="E98" i="154"/>
  <c r="K98" i="154"/>
  <c r="G98" i="154"/>
  <c r="C98" i="154"/>
  <c r="I99" i="154"/>
  <c r="D99" i="154"/>
  <c r="J99" i="154"/>
  <c r="E99" i="154"/>
  <c r="K99" i="154"/>
  <c r="G99" i="154"/>
  <c r="C99" i="154"/>
  <c r="I100" i="154"/>
  <c r="D100" i="154"/>
  <c r="J100" i="154"/>
  <c r="E100" i="154"/>
  <c r="K100" i="154"/>
  <c r="G100" i="154"/>
  <c r="C100" i="154"/>
  <c r="I101" i="154"/>
  <c r="D101" i="154"/>
  <c r="J101" i="154"/>
  <c r="E101" i="154"/>
  <c r="K101" i="154"/>
  <c r="G101" i="154"/>
  <c r="C101" i="154"/>
  <c r="I102" i="154"/>
  <c r="D102" i="154"/>
  <c r="J102" i="154"/>
  <c r="E102" i="154"/>
  <c r="K102" i="154"/>
  <c r="G102" i="154"/>
  <c r="C102" i="154"/>
  <c r="I103" i="154"/>
  <c r="D103" i="154"/>
  <c r="J103" i="154"/>
  <c r="E103" i="154"/>
  <c r="K103" i="154"/>
  <c r="G103" i="154"/>
  <c r="C103" i="154"/>
  <c r="I104" i="154"/>
  <c r="D104" i="154"/>
  <c r="J104" i="154"/>
  <c r="E104" i="154"/>
  <c r="K104" i="154"/>
  <c r="G104" i="154"/>
  <c r="C104" i="154"/>
  <c r="I105" i="154"/>
  <c r="D105" i="154"/>
  <c r="J105" i="154"/>
  <c r="E105" i="154"/>
  <c r="K105" i="154"/>
  <c r="G105" i="154"/>
  <c r="C105" i="154"/>
  <c r="I106" i="154"/>
  <c r="D106" i="154"/>
  <c r="J106" i="154"/>
  <c r="E106" i="154"/>
  <c r="K106" i="154"/>
  <c r="G106" i="154"/>
  <c r="C106" i="154"/>
  <c r="I107" i="154"/>
  <c r="D107" i="154"/>
  <c r="J107" i="154"/>
  <c r="E107" i="154"/>
  <c r="K107" i="154"/>
  <c r="G107" i="154"/>
  <c r="C107" i="154"/>
  <c r="I108" i="154"/>
  <c r="D108" i="154"/>
  <c r="J108" i="154"/>
  <c r="E108" i="154"/>
  <c r="K108" i="154"/>
  <c r="G108" i="154"/>
  <c r="C108" i="154"/>
  <c r="I109" i="154"/>
  <c r="D109" i="154"/>
  <c r="J109" i="154"/>
  <c r="E109" i="154"/>
  <c r="K109" i="154"/>
  <c r="G109" i="154"/>
  <c r="C109" i="154"/>
  <c r="I110" i="154"/>
  <c r="D110" i="154"/>
  <c r="J110" i="154"/>
  <c r="E110" i="154"/>
  <c r="K110" i="154"/>
  <c r="G110" i="154"/>
  <c r="C110" i="154"/>
  <c r="I111" i="154"/>
  <c r="D111" i="154"/>
  <c r="J111" i="154"/>
  <c r="E111" i="154"/>
  <c r="K111" i="154"/>
  <c r="G111" i="154"/>
  <c r="C111" i="154"/>
  <c r="I112" i="154"/>
  <c r="D112" i="154"/>
  <c r="J112" i="154"/>
  <c r="E112" i="154"/>
  <c r="K112" i="154"/>
  <c r="G112" i="154"/>
  <c r="C112" i="154"/>
  <c r="I113" i="154"/>
  <c r="D113" i="154"/>
  <c r="J113" i="154"/>
  <c r="E113" i="154"/>
  <c r="K113" i="154"/>
  <c r="G113" i="154"/>
  <c r="C113" i="154"/>
  <c r="I114" i="154"/>
  <c r="D114" i="154"/>
  <c r="J114" i="154"/>
  <c r="E114" i="154"/>
  <c r="K114" i="154"/>
  <c r="G114" i="154"/>
  <c r="C114" i="154"/>
  <c r="I115" i="154"/>
  <c r="D115" i="154"/>
  <c r="J115" i="154"/>
  <c r="E115" i="154"/>
  <c r="K115" i="154"/>
  <c r="G115" i="154"/>
  <c r="C115" i="154"/>
  <c r="I116" i="154"/>
  <c r="D116" i="154"/>
  <c r="J116" i="154"/>
  <c r="E116" i="154"/>
  <c r="K116" i="154"/>
  <c r="G116" i="154"/>
  <c r="C116" i="154"/>
  <c r="I117" i="154"/>
  <c r="D117" i="154"/>
  <c r="J117" i="154"/>
  <c r="E117" i="154"/>
  <c r="K117" i="154"/>
  <c r="G117" i="154"/>
  <c r="C117" i="154"/>
  <c r="I118" i="154"/>
  <c r="D118" i="154"/>
  <c r="J118" i="154"/>
  <c r="E118" i="154"/>
  <c r="K118" i="154"/>
  <c r="G118" i="154"/>
  <c r="C118" i="154"/>
  <c r="I119" i="154"/>
  <c r="D119" i="154"/>
  <c r="J119" i="154"/>
  <c r="E119" i="154"/>
  <c r="K119" i="154"/>
  <c r="G119" i="154"/>
  <c r="C119" i="154"/>
  <c r="I120" i="154"/>
  <c r="D120" i="154"/>
  <c r="J120" i="154"/>
  <c r="E120" i="154"/>
  <c r="K120" i="154"/>
  <c r="G120" i="154"/>
  <c r="C120" i="154"/>
  <c r="I121" i="154"/>
  <c r="D121" i="154"/>
  <c r="J121" i="154"/>
  <c r="E121" i="154"/>
  <c r="K121" i="154"/>
  <c r="G121" i="154"/>
  <c r="C121" i="154"/>
  <c r="I122" i="154"/>
  <c r="D122" i="154"/>
  <c r="J122" i="154"/>
  <c r="E122" i="154"/>
  <c r="K122" i="154"/>
  <c r="G122" i="154"/>
  <c r="C122" i="154"/>
  <c r="I123" i="154"/>
  <c r="D123" i="154"/>
  <c r="J123" i="154"/>
  <c r="E123" i="154"/>
  <c r="K123" i="154"/>
  <c r="G123" i="154"/>
  <c r="C123" i="154"/>
  <c r="I124" i="154"/>
  <c r="D124" i="154"/>
  <c r="J124" i="154"/>
  <c r="E124" i="154"/>
  <c r="K124" i="154"/>
  <c r="G124" i="154"/>
  <c r="C124" i="154"/>
  <c r="I125" i="154"/>
  <c r="D125" i="154"/>
  <c r="J125" i="154"/>
  <c r="E125" i="154"/>
  <c r="K125" i="154"/>
  <c r="G125" i="154"/>
  <c r="C125" i="154"/>
  <c r="I126" i="154"/>
  <c r="D126" i="154"/>
  <c r="J126" i="154"/>
  <c r="E126" i="154"/>
  <c r="K126" i="154"/>
  <c r="G126" i="154"/>
  <c r="C126" i="154"/>
  <c r="I127" i="154"/>
  <c r="D127" i="154"/>
  <c r="J127" i="154"/>
  <c r="E127" i="154"/>
  <c r="K127" i="154"/>
  <c r="G127" i="154"/>
  <c r="C127" i="154"/>
  <c r="I128" i="154"/>
  <c r="D128" i="154"/>
  <c r="J128" i="154"/>
  <c r="E128" i="154"/>
  <c r="K128" i="154"/>
  <c r="G128" i="154"/>
  <c r="C128" i="154"/>
  <c r="I129" i="154"/>
  <c r="D129" i="154"/>
  <c r="J129" i="154"/>
  <c r="E129" i="154"/>
  <c r="K129" i="154"/>
  <c r="G129" i="154"/>
  <c r="C129" i="154"/>
  <c r="I130" i="154"/>
  <c r="D130" i="154"/>
  <c r="J130" i="154"/>
  <c r="E130" i="154"/>
  <c r="K130" i="154"/>
  <c r="G130" i="154"/>
  <c r="C130" i="154"/>
  <c r="I131" i="154"/>
  <c r="D131" i="154"/>
  <c r="J131" i="154"/>
  <c r="E131" i="154"/>
  <c r="K131" i="154"/>
  <c r="G131" i="154"/>
  <c r="C131" i="154"/>
  <c r="I132" i="154"/>
  <c r="D132" i="154"/>
  <c r="J132" i="154"/>
  <c r="E132" i="154"/>
  <c r="K132" i="154"/>
  <c r="G132" i="154"/>
  <c r="C132" i="154"/>
  <c r="I133" i="154"/>
  <c r="D133" i="154"/>
  <c r="J133" i="154"/>
  <c r="E133" i="154"/>
  <c r="K133" i="154"/>
  <c r="G133" i="154"/>
  <c r="C133" i="154"/>
  <c r="I134" i="154"/>
  <c r="D134" i="154"/>
  <c r="J134" i="154"/>
  <c r="E134" i="154"/>
  <c r="K134" i="154"/>
  <c r="G134" i="154"/>
  <c r="C134" i="154"/>
  <c r="I135" i="154"/>
  <c r="D135" i="154"/>
  <c r="J135" i="154"/>
  <c r="E135" i="154"/>
  <c r="K135" i="154"/>
  <c r="G135" i="154"/>
  <c r="C135" i="154"/>
  <c r="I136" i="154"/>
  <c r="D136" i="154"/>
  <c r="J136" i="154"/>
  <c r="E136" i="154"/>
  <c r="K136" i="154"/>
  <c r="G136" i="154"/>
  <c r="C136" i="154"/>
  <c r="I137" i="154"/>
  <c r="D137" i="154"/>
  <c r="J137" i="154"/>
  <c r="E137" i="154"/>
  <c r="K137" i="154"/>
  <c r="G137" i="154"/>
  <c r="C137" i="154"/>
  <c r="I138" i="154"/>
  <c r="D138" i="154"/>
  <c r="J138" i="154"/>
  <c r="E138" i="154"/>
  <c r="K138" i="154"/>
  <c r="G138" i="154"/>
  <c r="C138" i="154"/>
  <c r="I139" i="154"/>
  <c r="D139" i="154"/>
  <c r="J139" i="154"/>
  <c r="E139" i="154"/>
  <c r="K139" i="154"/>
  <c r="G139" i="154"/>
  <c r="C139" i="154"/>
  <c r="I140" i="154"/>
  <c r="D140" i="154"/>
  <c r="J140" i="154"/>
  <c r="E140" i="154"/>
  <c r="K140" i="154"/>
  <c r="G140" i="154"/>
  <c r="C140" i="154"/>
  <c r="I141" i="154"/>
  <c r="D141" i="154"/>
  <c r="J141" i="154"/>
  <c r="E141" i="154"/>
  <c r="K141" i="154"/>
  <c r="G141" i="154"/>
  <c r="C141" i="154"/>
  <c r="I142" i="154"/>
  <c r="D142" i="154"/>
  <c r="J142" i="154"/>
  <c r="E142" i="154"/>
  <c r="K142" i="154"/>
  <c r="G142" i="154"/>
  <c r="C142" i="154"/>
  <c r="I143" i="154"/>
  <c r="D143" i="154"/>
  <c r="J143" i="154"/>
  <c r="E143" i="154"/>
  <c r="K143" i="154"/>
  <c r="G143" i="154"/>
  <c r="C143" i="154"/>
  <c r="I144" i="154"/>
  <c r="D144" i="154"/>
  <c r="J144" i="154"/>
  <c r="E144" i="154"/>
  <c r="K144" i="154"/>
  <c r="G144" i="154"/>
  <c r="C144" i="154"/>
  <c r="I145" i="154"/>
  <c r="D145" i="154"/>
  <c r="J145" i="154"/>
  <c r="E145" i="154"/>
  <c r="K145" i="154"/>
  <c r="G145" i="154"/>
  <c r="C145" i="154"/>
  <c r="I146" i="154"/>
  <c r="D146" i="154"/>
  <c r="J146" i="154"/>
  <c r="E146" i="154"/>
  <c r="K146" i="154"/>
  <c r="G146" i="154"/>
  <c r="C146" i="154"/>
  <c r="I147" i="154"/>
  <c r="D147" i="154"/>
  <c r="J147" i="154"/>
  <c r="E147" i="154"/>
  <c r="K147" i="154"/>
  <c r="G147" i="154"/>
  <c r="C147" i="154"/>
  <c r="I148" i="154"/>
  <c r="D148" i="154"/>
  <c r="J148" i="154"/>
  <c r="E148" i="154"/>
  <c r="K148" i="154"/>
  <c r="G148" i="154"/>
  <c r="C148" i="154"/>
  <c r="I149" i="154"/>
  <c r="D149" i="154"/>
  <c r="J149" i="154"/>
  <c r="E149" i="154"/>
  <c r="K149" i="154"/>
  <c r="G149" i="154"/>
  <c r="C149" i="154"/>
  <c r="I150" i="154"/>
  <c r="D150" i="154"/>
  <c r="J150" i="154"/>
  <c r="E150" i="154"/>
  <c r="K150" i="154"/>
  <c r="G150" i="154"/>
  <c r="C150" i="154"/>
  <c r="I151" i="154"/>
  <c r="D151" i="154"/>
  <c r="J151" i="154"/>
  <c r="E151" i="154"/>
  <c r="K151" i="154"/>
  <c r="G151" i="154"/>
  <c r="C151" i="154"/>
  <c r="I152" i="154"/>
  <c r="D152" i="154"/>
  <c r="J152" i="154"/>
  <c r="E152" i="154"/>
  <c r="K152" i="154"/>
  <c r="G152" i="154"/>
  <c r="C152" i="154"/>
  <c r="I153" i="154"/>
  <c r="D153" i="154"/>
  <c r="J153" i="154"/>
  <c r="E153" i="154"/>
  <c r="K153" i="154"/>
  <c r="G153" i="154"/>
  <c r="C153" i="154"/>
  <c r="I154" i="154"/>
  <c r="D154" i="154"/>
  <c r="J154" i="154"/>
  <c r="E154" i="154"/>
  <c r="K154" i="154"/>
  <c r="G154" i="154"/>
  <c r="C154" i="154"/>
  <c r="I155" i="154"/>
  <c r="D155" i="154"/>
  <c r="J155" i="154"/>
  <c r="E155" i="154"/>
  <c r="K155" i="154"/>
  <c r="G155" i="154"/>
  <c r="C155" i="154"/>
  <c r="I156" i="154"/>
  <c r="D156" i="154"/>
  <c r="J156" i="154"/>
  <c r="E156" i="154"/>
  <c r="K156" i="154"/>
  <c r="G156" i="154"/>
  <c r="C156" i="154"/>
  <c r="I157" i="154"/>
  <c r="D157" i="154"/>
  <c r="J157" i="154"/>
  <c r="E157" i="154"/>
  <c r="K157" i="154"/>
  <c r="G157" i="154"/>
  <c r="C157" i="154"/>
  <c r="I158" i="154"/>
  <c r="D158" i="154"/>
  <c r="J158" i="154"/>
  <c r="E158" i="154"/>
  <c r="K158" i="154"/>
  <c r="G158" i="154"/>
  <c r="C158" i="154"/>
  <c r="I159" i="154"/>
  <c r="D159" i="154"/>
  <c r="J159" i="154"/>
  <c r="E159" i="154"/>
  <c r="K159" i="154"/>
  <c r="G159" i="154"/>
  <c r="C159" i="154"/>
  <c r="I160" i="154"/>
  <c r="D160" i="154"/>
  <c r="J160" i="154"/>
  <c r="E160" i="154"/>
  <c r="K160" i="154"/>
  <c r="G160" i="154"/>
  <c r="C160" i="154"/>
  <c r="I161" i="154"/>
  <c r="D161" i="154"/>
  <c r="J161" i="154"/>
  <c r="E161" i="154"/>
  <c r="K161" i="154"/>
  <c r="G161" i="154"/>
  <c r="C161" i="154"/>
  <c r="I162" i="154"/>
  <c r="D162" i="154"/>
  <c r="J162" i="154"/>
  <c r="E162" i="154"/>
  <c r="K162" i="154"/>
  <c r="G162" i="154"/>
  <c r="C162" i="154"/>
  <c r="I163" i="154"/>
  <c r="D163" i="154"/>
  <c r="J163" i="154"/>
  <c r="E163" i="154"/>
  <c r="K163" i="154"/>
  <c r="G163" i="154"/>
  <c r="C163" i="154"/>
  <c r="I164" i="154"/>
  <c r="D164" i="154"/>
  <c r="J164" i="154"/>
  <c r="E164" i="154"/>
  <c r="K164" i="154"/>
  <c r="G164" i="154"/>
  <c r="C164" i="154"/>
  <c r="I165" i="154"/>
  <c r="D165" i="154"/>
  <c r="J165" i="154"/>
  <c r="E165" i="154"/>
  <c r="K165" i="154"/>
  <c r="G165" i="154"/>
  <c r="C165" i="154"/>
  <c r="I166" i="154"/>
  <c r="D166" i="154"/>
  <c r="J166" i="154"/>
  <c r="E166" i="154"/>
  <c r="K166" i="154"/>
  <c r="G166" i="154"/>
  <c r="C166" i="154"/>
  <c r="I167" i="154"/>
  <c r="D167" i="154"/>
  <c r="J167" i="154"/>
  <c r="E167" i="154"/>
  <c r="K167" i="154"/>
  <c r="G167" i="154"/>
  <c r="C167" i="154"/>
  <c r="I168" i="154"/>
  <c r="D168" i="154"/>
  <c r="J168" i="154"/>
  <c r="E168" i="154"/>
  <c r="K168" i="154"/>
  <c r="G168" i="154"/>
  <c r="C168" i="154"/>
  <c r="I169" i="154"/>
  <c r="D169" i="154"/>
  <c r="J169" i="154"/>
  <c r="E169" i="154"/>
  <c r="K169" i="154"/>
  <c r="G169" i="154"/>
  <c r="C169" i="154"/>
  <c r="I170" i="154"/>
  <c r="D170" i="154"/>
  <c r="J170" i="154"/>
  <c r="E170" i="154"/>
  <c r="K170" i="154"/>
  <c r="G170" i="154"/>
  <c r="C170" i="154"/>
  <c r="I171" i="154"/>
  <c r="D171" i="154"/>
  <c r="J171" i="154"/>
  <c r="E171" i="154"/>
  <c r="K171" i="154"/>
  <c r="G171" i="154"/>
  <c r="C171" i="154"/>
  <c r="I172" i="154"/>
  <c r="D172" i="154"/>
  <c r="J172" i="154"/>
  <c r="E172" i="154"/>
  <c r="K172" i="154"/>
  <c r="G172" i="154"/>
  <c r="C172" i="154"/>
  <c r="I173" i="154"/>
  <c r="D173" i="154"/>
  <c r="J173" i="154"/>
  <c r="E173" i="154"/>
  <c r="K173" i="154"/>
  <c r="G173" i="154"/>
  <c r="C173" i="154"/>
  <c r="I174" i="154"/>
  <c r="D174" i="154"/>
  <c r="J174" i="154"/>
  <c r="E174" i="154"/>
  <c r="K174" i="154"/>
  <c r="G174" i="154"/>
  <c r="C174" i="154"/>
  <c r="I175" i="154"/>
  <c r="D175" i="154"/>
  <c r="J175" i="154"/>
  <c r="E175" i="154"/>
  <c r="K175" i="154"/>
  <c r="G175" i="154"/>
  <c r="C175" i="154"/>
  <c r="I176" i="154"/>
  <c r="D176" i="154"/>
  <c r="J176" i="154"/>
  <c r="E176" i="154"/>
  <c r="K176" i="154"/>
  <c r="G176" i="154"/>
  <c r="C176" i="154"/>
  <c r="I177" i="154"/>
  <c r="D177" i="154"/>
  <c r="J177" i="154"/>
  <c r="E177" i="154"/>
  <c r="K177" i="154"/>
  <c r="G177" i="154"/>
  <c r="C177" i="154"/>
  <c r="I178" i="154"/>
  <c r="D178" i="154"/>
  <c r="J178" i="154"/>
  <c r="E178" i="154"/>
  <c r="K178" i="154"/>
  <c r="G178" i="154"/>
  <c r="C178" i="154"/>
  <c r="I179" i="154"/>
  <c r="D179" i="154"/>
  <c r="J179" i="154"/>
  <c r="E179" i="154"/>
  <c r="K179" i="154"/>
  <c r="G179" i="154"/>
  <c r="C179" i="154"/>
  <c r="I180" i="154"/>
  <c r="D180" i="154"/>
  <c r="J180" i="154"/>
  <c r="E180" i="154"/>
  <c r="K180" i="154"/>
  <c r="G180" i="154"/>
  <c r="C180" i="154"/>
  <c r="I181" i="154"/>
  <c r="D181" i="154"/>
  <c r="J181" i="154"/>
  <c r="E181" i="154"/>
  <c r="K181" i="154"/>
  <c r="G181" i="154"/>
  <c r="C181" i="154"/>
  <c r="I182" i="154"/>
  <c r="D182" i="154"/>
  <c r="J182" i="154"/>
  <c r="E182" i="154"/>
  <c r="K182" i="154"/>
  <c r="G182" i="154"/>
  <c r="C182" i="154"/>
  <c r="I183" i="154"/>
  <c r="D183" i="154"/>
  <c r="J183" i="154"/>
  <c r="E183" i="154"/>
  <c r="K183" i="154"/>
  <c r="G183" i="154"/>
  <c r="C183" i="154"/>
  <c r="I184" i="154"/>
  <c r="D184" i="154"/>
  <c r="J184" i="154"/>
  <c r="E184" i="154"/>
  <c r="K184" i="154"/>
  <c r="G184" i="154"/>
  <c r="C184" i="154"/>
  <c r="I185" i="154"/>
  <c r="D185" i="154"/>
  <c r="J185" i="154"/>
  <c r="E185" i="154"/>
  <c r="K185" i="154"/>
  <c r="G185" i="154"/>
  <c r="C185" i="154"/>
  <c r="I186" i="154"/>
  <c r="D186" i="154"/>
  <c r="J186" i="154"/>
  <c r="E186" i="154"/>
  <c r="K186" i="154"/>
  <c r="G186" i="154"/>
  <c r="C186" i="154"/>
  <c r="I187" i="154"/>
  <c r="D187" i="154"/>
  <c r="J187" i="154"/>
  <c r="E187" i="154"/>
  <c r="K187" i="154"/>
  <c r="G187" i="154"/>
  <c r="C187" i="154"/>
  <c r="I188" i="154"/>
  <c r="D188" i="154"/>
  <c r="J188" i="154"/>
  <c r="E188" i="154"/>
  <c r="K188" i="154"/>
  <c r="G188" i="154"/>
  <c r="C188" i="154"/>
  <c r="I189" i="154"/>
  <c r="D189" i="154"/>
  <c r="J189" i="154"/>
  <c r="E189" i="154"/>
  <c r="K189" i="154"/>
  <c r="G189" i="154"/>
  <c r="C189" i="154"/>
  <c r="I190" i="154"/>
  <c r="D190" i="154"/>
  <c r="J190" i="154"/>
  <c r="E190" i="154"/>
  <c r="K190" i="154"/>
  <c r="G190" i="154"/>
  <c r="C190" i="154"/>
  <c r="I191" i="154"/>
  <c r="D191" i="154"/>
  <c r="J191" i="154"/>
  <c r="E191" i="154"/>
  <c r="K191" i="154"/>
  <c r="G191" i="154"/>
  <c r="C191" i="154"/>
  <c r="I192" i="154"/>
  <c r="D192" i="154"/>
  <c r="J192" i="154"/>
  <c r="E192" i="154"/>
  <c r="K192" i="154"/>
  <c r="G192" i="154"/>
  <c r="C192" i="154"/>
  <c r="I193" i="154"/>
  <c r="D193" i="154"/>
  <c r="J193" i="154"/>
  <c r="E193" i="154"/>
  <c r="K193" i="154"/>
  <c r="G193" i="154"/>
  <c r="C193" i="154"/>
  <c r="I194" i="154"/>
  <c r="D194" i="154"/>
  <c r="J194" i="154"/>
  <c r="E194" i="154"/>
  <c r="K194" i="154"/>
  <c r="G194" i="154"/>
  <c r="C194" i="154"/>
  <c r="I195" i="154"/>
  <c r="D195" i="154"/>
  <c r="J195" i="154"/>
  <c r="E195" i="154"/>
  <c r="K195" i="154"/>
  <c r="G195" i="154"/>
  <c r="C195" i="154"/>
  <c r="I196" i="154"/>
  <c r="D196" i="154"/>
  <c r="J196" i="154"/>
  <c r="E196" i="154"/>
  <c r="K196" i="154"/>
  <c r="G196" i="154"/>
  <c r="C196" i="154"/>
  <c r="I197" i="154"/>
  <c r="D197" i="154"/>
  <c r="J197" i="154"/>
  <c r="E197" i="154"/>
  <c r="K197" i="154"/>
  <c r="G197" i="154"/>
  <c r="C197" i="154"/>
  <c r="I198" i="154"/>
  <c r="D198" i="154"/>
  <c r="J198" i="154"/>
  <c r="E198" i="154"/>
  <c r="K198" i="154"/>
  <c r="G198" i="154"/>
  <c r="C198" i="154"/>
  <c r="I199" i="154"/>
  <c r="D199" i="154"/>
  <c r="J199" i="154"/>
  <c r="E199" i="154"/>
  <c r="K199" i="154"/>
  <c r="G199" i="154"/>
  <c r="C199" i="154"/>
  <c r="I200" i="154"/>
  <c r="D200" i="154"/>
  <c r="J200" i="154"/>
  <c r="E200" i="154"/>
  <c r="K200" i="154"/>
  <c r="G200" i="154"/>
  <c r="C200" i="154"/>
  <c r="I201" i="154"/>
  <c r="D201" i="154"/>
  <c r="J201" i="154"/>
  <c r="E201" i="154"/>
  <c r="K201" i="154"/>
  <c r="G201" i="154"/>
  <c r="C201" i="154"/>
  <c r="I202" i="154"/>
  <c r="D202" i="154"/>
  <c r="J202" i="154"/>
  <c r="E202" i="154"/>
  <c r="K202" i="154"/>
  <c r="G202" i="154"/>
  <c r="C202" i="154"/>
  <c r="I203" i="154"/>
  <c r="D203" i="154"/>
  <c r="J203" i="154"/>
  <c r="E203" i="154"/>
  <c r="K203" i="154"/>
  <c r="G203" i="154"/>
  <c r="C203" i="154"/>
  <c r="I204" i="154"/>
  <c r="D204" i="154"/>
  <c r="J204" i="154"/>
  <c r="E204" i="154"/>
  <c r="K204" i="154"/>
  <c r="G204" i="154"/>
  <c r="C204" i="154"/>
  <c r="I205" i="154"/>
  <c r="D205" i="154"/>
  <c r="J205" i="154"/>
  <c r="E205" i="154"/>
  <c r="K205" i="154"/>
  <c r="G205" i="154"/>
  <c r="C205" i="154"/>
  <c r="I206" i="154"/>
  <c r="D206" i="154"/>
  <c r="J206" i="154"/>
  <c r="E206" i="154"/>
  <c r="K206" i="154"/>
  <c r="G206" i="154"/>
  <c r="C206" i="154"/>
  <c r="I207" i="154"/>
  <c r="D207" i="154"/>
  <c r="J207" i="154"/>
  <c r="E207" i="154"/>
  <c r="K207" i="154"/>
  <c r="G207" i="154"/>
  <c r="C207" i="154"/>
  <c r="I208" i="154"/>
  <c r="D208" i="154"/>
  <c r="J208" i="154"/>
  <c r="E208" i="154"/>
  <c r="K208" i="154"/>
  <c r="G208" i="154"/>
  <c r="C208" i="154"/>
  <c r="I209" i="154"/>
  <c r="D209" i="154"/>
  <c r="J209" i="154"/>
  <c r="E209" i="154"/>
  <c r="K209" i="154"/>
  <c r="G209" i="154"/>
  <c r="C209" i="154"/>
  <c r="I210" i="154"/>
  <c r="D210" i="154"/>
  <c r="J210" i="154"/>
  <c r="E210" i="154"/>
  <c r="K210" i="154"/>
  <c r="G210" i="154"/>
  <c r="C210" i="154"/>
  <c r="I211" i="154"/>
  <c r="D211" i="154"/>
  <c r="J211" i="154"/>
  <c r="E211" i="154"/>
  <c r="K211" i="154"/>
  <c r="G211" i="154"/>
  <c r="C211" i="154"/>
  <c r="I212" i="154"/>
  <c r="D212" i="154"/>
  <c r="J212" i="154"/>
  <c r="E212" i="154"/>
  <c r="K212" i="154"/>
  <c r="G212" i="154"/>
  <c r="C212" i="154"/>
  <c r="I213" i="154"/>
  <c r="D213" i="154"/>
  <c r="J213" i="154"/>
  <c r="E213" i="154"/>
  <c r="K213" i="154"/>
  <c r="G213" i="154"/>
  <c r="C213" i="154"/>
  <c r="I214" i="154"/>
  <c r="D214" i="154"/>
  <c r="J214" i="154"/>
  <c r="E214" i="154"/>
  <c r="K214" i="154"/>
  <c r="G214" i="154"/>
  <c r="C214" i="154"/>
  <c r="I215" i="154"/>
  <c r="D215" i="154"/>
  <c r="J215" i="154"/>
  <c r="E215" i="154"/>
  <c r="K215" i="154"/>
  <c r="G215" i="154"/>
  <c r="C215" i="154"/>
  <c r="I216" i="154"/>
  <c r="D216" i="154"/>
  <c r="J216" i="154"/>
  <c r="E216" i="154"/>
  <c r="K216" i="154"/>
  <c r="G216" i="154"/>
  <c r="C216" i="154"/>
  <c r="I217" i="154"/>
  <c r="D217" i="154"/>
  <c r="J217" i="154"/>
  <c r="E217" i="154"/>
  <c r="K217" i="154"/>
  <c r="G217" i="154"/>
  <c r="C217" i="154"/>
  <c r="I218" i="154"/>
  <c r="D218" i="154"/>
  <c r="J218" i="154"/>
  <c r="E218" i="154"/>
  <c r="K218" i="154"/>
  <c r="G218" i="154"/>
  <c r="C218" i="154"/>
  <c r="I219" i="154"/>
  <c r="D219" i="154"/>
  <c r="J219" i="154"/>
  <c r="E219" i="154"/>
  <c r="K219" i="154"/>
  <c r="G219" i="154"/>
  <c r="C219" i="154"/>
  <c r="I220" i="154"/>
  <c r="D220" i="154"/>
  <c r="J220" i="154"/>
  <c r="E220" i="154"/>
  <c r="K220" i="154"/>
  <c r="G220" i="154"/>
  <c r="C220" i="154"/>
  <c r="I221" i="154"/>
  <c r="D221" i="154"/>
  <c r="J221" i="154"/>
  <c r="E221" i="154"/>
  <c r="K221" i="154"/>
  <c r="G221" i="154"/>
  <c r="C221" i="154"/>
  <c r="I222" i="154"/>
  <c r="D222" i="154"/>
  <c r="J222" i="154"/>
  <c r="E222" i="154"/>
  <c r="K222" i="154"/>
  <c r="G222" i="154"/>
  <c r="C222" i="154"/>
  <c r="I223" i="154"/>
  <c r="D223" i="154"/>
  <c r="J223" i="154"/>
  <c r="E223" i="154"/>
  <c r="K223" i="154"/>
  <c r="G223" i="154"/>
  <c r="C223" i="154"/>
  <c r="I224" i="154"/>
  <c r="D224" i="154"/>
  <c r="J224" i="154"/>
  <c r="E224" i="154"/>
  <c r="K224" i="154"/>
  <c r="G224" i="154"/>
  <c r="C224" i="154"/>
  <c r="I225" i="154"/>
  <c r="D225" i="154"/>
  <c r="J225" i="154"/>
  <c r="E225" i="154"/>
  <c r="K225" i="154"/>
  <c r="G225" i="154"/>
  <c r="C225" i="154"/>
  <c r="I226" i="154"/>
  <c r="D226" i="154"/>
  <c r="J226" i="154"/>
  <c r="E226" i="154"/>
  <c r="K226" i="154"/>
  <c r="G226" i="154"/>
  <c r="C226" i="154"/>
  <c r="I227" i="154"/>
  <c r="D227" i="154"/>
  <c r="J227" i="154"/>
  <c r="E227" i="154"/>
  <c r="K227" i="154"/>
  <c r="G227" i="154"/>
  <c r="C227" i="154"/>
  <c r="I228" i="154"/>
  <c r="D228" i="154"/>
  <c r="J228" i="154"/>
  <c r="E228" i="154"/>
  <c r="K228" i="154"/>
  <c r="G228" i="154"/>
  <c r="C228" i="154"/>
  <c r="I229" i="154"/>
  <c r="D229" i="154"/>
  <c r="J229" i="154"/>
  <c r="E229" i="154"/>
  <c r="K229" i="154"/>
  <c r="G229" i="154"/>
  <c r="C229" i="154"/>
  <c r="I230" i="154"/>
  <c r="D230" i="154"/>
  <c r="J230" i="154"/>
  <c r="E230" i="154"/>
  <c r="K230" i="154"/>
  <c r="G230" i="154"/>
  <c r="C230" i="154"/>
  <c r="I231" i="154"/>
  <c r="D231" i="154"/>
  <c r="J231" i="154"/>
  <c r="E231" i="154"/>
  <c r="K231" i="154"/>
  <c r="G231" i="154"/>
  <c r="C231" i="154"/>
  <c r="I232" i="154"/>
  <c r="D232" i="154"/>
  <c r="J232" i="154"/>
  <c r="E232" i="154"/>
  <c r="K232" i="154"/>
  <c r="G232" i="154"/>
  <c r="C232" i="154"/>
  <c r="I233" i="154"/>
  <c r="D233" i="154"/>
  <c r="J233" i="154"/>
  <c r="E233" i="154"/>
  <c r="K233" i="154"/>
  <c r="G233" i="154"/>
  <c r="C233" i="154"/>
  <c r="I234" i="154"/>
  <c r="D234" i="154"/>
  <c r="J234" i="154"/>
  <c r="E234" i="154"/>
  <c r="K234" i="154"/>
  <c r="G234" i="154"/>
  <c r="C234" i="154"/>
  <c r="I235" i="154"/>
  <c r="D235" i="154"/>
  <c r="J235" i="154"/>
  <c r="E235" i="154"/>
  <c r="K235" i="154"/>
  <c r="G235" i="154"/>
  <c r="C235" i="154"/>
  <c r="I236" i="154"/>
  <c r="D236" i="154"/>
  <c r="J236" i="154"/>
  <c r="E236" i="154"/>
  <c r="K236" i="154"/>
  <c r="G236" i="154"/>
  <c r="C236" i="154"/>
  <c r="I237" i="154"/>
  <c r="D237" i="154"/>
  <c r="J237" i="154"/>
  <c r="E237" i="154"/>
  <c r="K237" i="154"/>
  <c r="G237" i="154"/>
  <c r="C237" i="154"/>
  <c r="I238" i="154"/>
  <c r="D238" i="154"/>
  <c r="J238" i="154"/>
  <c r="E238" i="154"/>
  <c r="K238" i="154"/>
  <c r="G238" i="154"/>
  <c r="C238" i="154"/>
  <c r="I239" i="154"/>
  <c r="D239" i="154"/>
  <c r="J239" i="154"/>
  <c r="E239" i="154"/>
  <c r="K239" i="154"/>
  <c r="G239" i="154"/>
  <c r="C239" i="154"/>
  <c r="I240" i="154"/>
  <c r="D240" i="154"/>
  <c r="J240" i="154"/>
  <c r="E240" i="154"/>
  <c r="K240" i="154"/>
  <c r="G240" i="154"/>
  <c r="C240" i="154"/>
  <c r="I241" i="154"/>
  <c r="D241" i="154"/>
  <c r="J241" i="154"/>
  <c r="E241" i="154"/>
  <c r="K241" i="154"/>
  <c r="G241" i="154"/>
  <c r="C241" i="154"/>
  <c r="I242" i="154"/>
  <c r="D242" i="154"/>
  <c r="J242" i="154"/>
  <c r="E242" i="154"/>
  <c r="K242" i="154"/>
  <c r="G242" i="154"/>
  <c r="C242" i="154"/>
  <c r="I243" i="154"/>
  <c r="D243" i="154"/>
  <c r="J243" i="154"/>
  <c r="E243" i="154"/>
  <c r="K243" i="154"/>
  <c r="G243" i="154"/>
  <c r="C243" i="154"/>
  <c r="I244" i="154"/>
  <c r="D244" i="154"/>
  <c r="J244" i="154"/>
  <c r="E244" i="154"/>
  <c r="K244" i="154"/>
  <c r="G244" i="154"/>
  <c r="C244" i="154"/>
  <c r="I245" i="154"/>
  <c r="D245" i="154"/>
  <c r="J245" i="154"/>
  <c r="E245" i="154"/>
  <c r="K245" i="154"/>
  <c r="G245" i="154"/>
  <c r="C245" i="154"/>
  <c r="I246" i="154"/>
  <c r="D246" i="154"/>
  <c r="J246" i="154"/>
  <c r="E246" i="154"/>
  <c r="K246" i="154"/>
  <c r="G246" i="154"/>
  <c r="C246" i="154"/>
  <c r="I247" i="154"/>
  <c r="D247" i="154"/>
  <c r="J247" i="154"/>
  <c r="E247" i="154"/>
  <c r="K247" i="154"/>
  <c r="G247" i="154"/>
  <c r="C247" i="154"/>
  <c r="I248" i="154"/>
  <c r="D248" i="154"/>
  <c r="J248" i="154"/>
  <c r="E248" i="154"/>
  <c r="K248" i="154"/>
  <c r="G248" i="154"/>
  <c r="C248" i="154"/>
  <c r="I249" i="154"/>
  <c r="D249" i="154"/>
  <c r="J249" i="154"/>
  <c r="E249" i="154"/>
  <c r="K249" i="154"/>
  <c r="G249" i="154"/>
  <c r="C249" i="154"/>
  <c r="I250" i="154"/>
  <c r="D250" i="154"/>
  <c r="J250" i="154"/>
  <c r="E250" i="154"/>
  <c r="K250" i="154"/>
  <c r="G250" i="154"/>
  <c r="C250" i="154"/>
  <c r="I251" i="154"/>
  <c r="D251" i="154"/>
  <c r="J251" i="154"/>
  <c r="E251" i="154"/>
  <c r="K251" i="154"/>
  <c r="G251" i="154"/>
  <c r="C251" i="154"/>
  <c r="I252" i="154"/>
  <c r="D252" i="154"/>
  <c r="J252" i="154"/>
  <c r="E252" i="154"/>
  <c r="K252" i="154"/>
  <c r="G252" i="154"/>
  <c r="C252" i="154"/>
  <c r="I253" i="154"/>
  <c r="D253" i="154"/>
  <c r="J253" i="154"/>
  <c r="E253" i="154"/>
  <c r="K253" i="154"/>
  <c r="G253" i="154"/>
  <c r="C253" i="154"/>
  <c r="I254" i="154"/>
  <c r="D254" i="154"/>
  <c r="J254" i="154"/>
  <c r="E254" i="154"/>
  <c r="K254" i="154"/>
  <c r="G254" i="154"/>
  <c r="C254" i="154"/>
  <c r="I255" i="154"/>
  <c r="D255" i="154"/>
  <c r="J255" i="154"/>
  <c r="E255" i="154"/>
  <c r="K255" i="154"/>
  <c r="G255" i="154"/>
  <c r="C255" i="154"/>
  <c r="I256" i="154"/>
  <c r="D256" i="154"/>
  <c r="J256" i="154"/>
  <c r="E256" i="154"/>
  <c r="K256" i="154"/>
  <c r="G256" i="154"/>
  <c r="C256" i="154"/>
  <c r="I257" i="154"/>
  <c r="D257" i="154"/>
  <c r="J257" i="154"/>
  <c r="E257" i="154"/>
  <c r="K257" i="154"/>
  <c r="G257" i="154"/>
  <c r="C257" i="154"/>
  <c r="I258" i="154"/>
  <c r="D258" i="154"/>
  <c r="J258" i="154"/>
  <c r="E258" i="154"/>
  <c r="K258" i="154"/>
  <c r="G258" i="154"/>
  <c r="C258" i="154"/>
  <c r="I259" i="154"/>
  <c r="D259" i="154"/>
  <c r="J259" i="154"/>
  <c r="E259" i="154"/>
  <c r="K259" i="154"/>
  <c r="G259" i="154"/>
  <c r="C259" i="154"/>
  <c r="I260" i="154"/>
  <c r="D260" i="154"/>
  <c r="J260" i="154"/>
  <c r="E260" i="154"/>
  <c r="K260" i="154"/>
  <c r="G260" i="154"/>
  <c r="C260" i="154"/>
  <c r="I261" i="154"/>
  <c r="D261" i="154"/>
  <c r="J261" i="154"/>
  <c r="E261" i="154"/>
  <c r="K261" i="154"/>
  <c r="G261" i="154"/>
  <c r="C261" i="154"/>
  <c r="I262" i="154"/>
  <c r="D262" i="154"/>
  <c r="J262" i="154"/>
  <c r="E262" i="154"/>
  <c r="K262" i="154"/>
  <c r="G262" i="154"/>
  <c r="C262" i="154"/>
  <c r="I263" i="154"/>
  <c r="D263" i="154"/>
  <c r="J263" i="154"/>
  <c r="E263" i="154"/>
  <c r="K263" i="154"/>
  <c r="G263" i="154"/>
  <c r="C263" i="154"/>
  <c r="I264" i="154"/>
  <c r="D264" i="154"/>
  <c r="J264" i="154"/>
  <c r="E264" i="154"/>
  <c r="K264" i="154"/>
  <c r="G264" i="154"/>
  <c r="C264" i="154"/>
  <c r="I265" i="154"/>
  <c r="D265" i="154"/>
  <c r="J265" i="154"/>
  <c r="E265" i="154"/>
  <c r="K265" i="154"/>
  <c r="G265" i="154"/>
  <c r="C265" i="154"/>
  <c r="I266" i="154"/>
  <c r="D266" i="154"/>
  <c r="J266" i="154"/>
  <c r="E266" i="154"/>
  <c r="K266" i="154"/>
  <c r="G266" i="154"/>
  <c r="C266" i="154"/>
  <c r="I267" i="154"/>
  <c r="D267" i="154"/>
  <c r="J267" i="154"/>
  <c r="E267" i="154"/>
  <c r="K267" i="154"/>
  <c r="G267" i="154"/>
  <c r="C267" i="154"/>
  <c r="I268" i="154"/>
  <c r="D268" i="154"/>
  <c r="J268" i="154"/>
  <c r="E268" i="154"/>
  <c r="K268" i="154"/>
  <c r="G268" i="154"/>
  <c r="C268" i="154"/>
  <c r="I269" i="154"/>
  <c r="D269" i="154"/>
  <c r="J269" i="154"/>
  <c r="E269" i="154"/>
  <c r="K269" i="154"/>
  <c r="G269" i="154"/>
  <c r="C269" i="154"/>
  <c r="I270" i="154"/>
  <c r="D270" i="154"/>
  <c r="J270" i="154"/>
  <c r="E270" i="154"/>
  <c r="K270" i="154"/>
  <c r="G270" i="154"/>
  <c r="C270" i="154"/>
  <c r="I271" i="154"/>
  <c r="D271" i="154"/>
  <c r="J271" i="154"/>
  <c r="E271" i="154"/>
  <c r="K271" i="154"/>
  <c r="G271" i="154"/>
  <c r="C271" i="154"/>
  <c r="I272" i="154"/>
  <c r="D272" i="154"/>
  <c r="J272" i="154"/>
  <c r="E272" i="154"/>
  <c r="K272" i="154"/>
  <c r="G272" i="154"/>
  <c r="C272" i="154"/>
  <c r="I273" i="154"/>
  <c r="D273" i="154"/>
  <c r="J273" i="154"/>
  <c r="E273" i="154"/>
  <c r="K273" i="154"/>
  <c r="G273" i="154"/>
  <c r="C273" i="154"/>
  <c r="I274" i="154"/>
  <c r="D274" i="154"/>
  <c r="J274" i="154"/>
  <c r="E274" i="154"/>
  <c r="K274" i="154"/>
  <c r="G274" i="154"/>
  <c r="C274" i="154"/>
  <c r="I275" i="154"/>
  <c r="D275" i="154"/>
  <c r="J275" i="154"/>
  <c r="E275" i="154"/>
  <c r="K275" i="154"/>
  <c r="G275" i="154"/>
  <c r="C275" i="154"/>
  <c r="I276" i="154"/>
  <c r="D276" i="154"/>
  <c r="J276" i="154"/>
  <c r="E276" i="154"/>
  <c r="K276" i="154"/>
  <c r="G276" i="154"/>
  <c r="C276" i="154"/>
  <c r="I277" i="154"/>
  <c r="D277" i="154"/>
  <c r="J277" i="154"/>
  <c r="E277" i="154"/>
  <c r="K277" i="154"/>
  <c r="G277" i="154"/>
  <c r="C277" i="154"/>
  <c r="I278" i="154"/>
  <c r="D278" i="154"/>
  <c r="J278" i="154"/>
  <c r="E278" i="154"/>
  <c r="K278" i="154"/>
  <c r="G278" i="154"/>
  <c r="C278" i="154"/>
  <c r="I279" i="154"/>
  <c r="D279" i="154"/>
  <c r="J279" i="154"/>
  <c r="E279" i="154"/>
  <c r="K279" i="154"/>
  <c r="G279" i="154"/>
  <c r="C279" i="154"/>
  <c r="I280" i="154"/>
  <c r="D280" i="154"/>
  <c r="J280" i="154"/>
  <c r="E280" i="154"/>
  <c r="K280" i="154"/>
  <c r="G280" i="154"/>
  <c r="C280" i="154"/>
  <c r="I281" i="154"/>
  <c r="D281" i="154"/>
  <c r="J281" i="154"/>
  <c r="E281" i="154"/>
  <c r="K281" i="154"/>
  <c r="G281" i="154"/>
  <c r="C281" i="154"/>
  <c r="I282" i="154"/>
  <c r="D282" i="154"/>
  <c r="J282" i="154"/>
  <c r="E282" i="154"/>
  <c r="K282" i="154"/>
  <c r="G282" i="154"/>
  <c r="C282" i="154"/>
  <c r="I283" i="154"/>
  <c r="D283" i="154"/>
  <c r="J283" i="154"/>
  <c r="E283" i="154"/>
  <c r="K283" i="154"/>
  <c r="G283" i="154"/>
  <c r="C283" i="154"/>
  <c r="I284" i="154"/>
  <c r="D284" i="154"/>
  <c r="J284" i="154"/>
  <c r="E284" i="154"/>
  <c r="K284" i="154"/>
  <c r="G284" i="154"/>
  <c r="C284" i="154"/>
  <c r="I285" i="154"/>
  <c r="D285" i="154"/>
  <c r="J285" i="154"/>
  <c r="E285" i="154"/>
  <c r="K285" i="154"/>
  <c r="G285" i="154"/>
  <c r="C285" i="154"/>
  <c r="I286" i="154"/>
  <c r="D286" i="154"/>
  <c r="J286" i="154"/>
  <c r="E286" i="154"/>
  <c r="K286" i="154"/>
  <c r="G286" i="154"/>
  <c r="C286" i="154"/>
  <c r="I287" i="154"/>
  <c r="D287" i="154"/>
  <c r="J287" i="154"/>
  <c r="E287" i="154"/>
  <c r="K287" i="154"/>
  <c r="G287" i="154"/>
  <c r="C287" i="154"/>
  <c r="I288" i="154"/>
  <c r="D288" i="154"/>
  <c r="J288" i="154"/>
  <c r="E288" i="154"/>
  <c r="K288" i="154"/>
  <c r="G288" i="154"/>
  <c r="C288" i="154"/>
  <c r="I289" i="154"/>
  <c r="D289" i="154"/>
  <c r="J289" i="154"/>
  <c r="E289" i="154"/>
  <c r="K289" i="154"/>
  <c r="G289" i="154"/>
  <c r="C289" i="154"/>
  <c r="I290" i="154"/>
  <c r="D290" i="154"/>
  <c r="J290" i="154"/>
  <c r="E290" i="154"/>
  <c r="K290" i="154"/>
  <c r="G290" i="154"/>
  <c r="C290" i="154"/>
  <c r="I291" i="154"/>
  <c r="D291" i="154"/>
  <c r="J291" i="154"/>
  <c r="E291" i="154"/>
  <c r="K291" i="154"/>
  <c r="G291" i="154"/>
  <c r="C291" i="154"/>
  <c r="I292" i="154"/>
  <c r="D292" i="154"/>
  <c r="J292" i="154"/>
  <c r="E292" i="154"/>
  <c r="K292" i="154"/>
  <c r="G292" i="154"/>
  <c r="C292" i="154"/>
  <c r="I293" i="154"/>
  <c r="D293" i="154"/>
  <c r="J293" i="154"/>
  <c r="E293" i="154"/>
  <c r="K293" i="154"/>
  <c r="G293" i="154"/>
  <c r="C293" i="154"/>
  <c r="I294" i="154"/>
  <c r="D294" i="154"/>
  <c r="J294" i="154"/>
  <c r="E294" i="154"/>
  <c r="K294" i="154"/>
  <c r="G294" i="154"/>
  <c r="C294" i="154"/>
  <c r="I295" i="154"/>
  <c r="D295" i="154"/>
  <c r="J295" i="154"/>
  <c r="E295" i="154"/>
  <c r="K295" i="154"/>
  <c r="G295" i="154"/>
  <c r="C295" i="154"/>
  <c r="I296" i="154"/>
  <c r="D296" i="154"/>
  <c r="J296" i="154"/>
  <c r="E296" i="154"/>
  <c r="K296" i="154"/>
  <c r="G296" i="154"/>
  <c r="C296" i="154"/>
  <c r="I297" i="154"/>
  <c r="D297" i="154"/>
  <c r="J297" i="154"/>
  <c r="E297" i="154"/>
  <c r="K297" i="154"/>
  <c r="G297" i="154"/>
  <c r="C297" i="154"/>
  <c r="I298" i="154"/>
  <c r="D298" i="154"/>
  <c r="J298" i="154"/>
  <c r="E298" i="154"/>
  <c r="K298" i="154"/>
  <c r="G298" i="154"/>
  <c r="C298" i="154"/>
  <c r="I299" i="154"/>
  <c r="D299" i="154"/>
  <c r="J299" i="154"/>
  <c r="E299" i="154"/>
  <c r="K299" i="154"/>
  <c r="G299" i="154"/>
  <c r="C299" i="154"/>
  <c r="I300" i="154"/>
  <c r="D300" i="154"/>
  <c r="J300" i="154"/>
  <c r="E300" i="154"/>
  <c r="K300" i="154"/>
  <c r="G300" i="154"/>
  <c r="C300" i="154"/>
  <c r="I301" i="154"/>
  <c r="D301" i="154"/>
  <c r="J301" i="154"/>
  <c r="E301" i="154"/>
  <c r="K301" i="154"/>
  <c r="G301" i="154"/>
  <c r="C301" i="154"/>
  <c r="I302" i="154"/>
  <c r="D302" i="154"/>
  <c r="J302" i="154"/>
  <c r="E302" i="154"/>
  <c r="K302" i="154"/>
  <c r="G302" i="154"/>
  <c r="C302" i="154"/>
  <c r="I303" i="154"/>
  <c r="D303" i="154"/>
  <c r="J303" i="154"/>
  <c r="E303" i="154"/>
  <c r="K303" i="154"/>
  <c r="G303" i="154"/>
  <c r="C303" i="154"/>
  <c r="I304" i="154"/>
  <c r="D304" i="154"/>
  <c r="J304" i="154"/>
  <c r="E304" i="154"/>
  <c r="K304" i="154"/>
  <c r="G304" i="154"/>
  <c r="C304" i="154"/>
  <c r="I305" i="154"/>
  <c r="D305" i="154"/>
  <c r="J305" i="154"/>
  <c r="E305" i="154"/>
  <c r="K305" i="154"/>
  <c r="G305" i="154"/>
  <c r="C305" i="154"/>
  <c r="I306" i="154"/>
  <c r="D306" i="154"/>
  <c r="J306" i="154"/>
  <c r="E306" i="154"/>
  <c r="K306" i="154"/>
  <c r="G306" i="154"/>
  <c r="C306" i="154"/>
  <c r="I307" i="154"/>
  <c r="D307" i="154"/>
  <c r="J307" i="154"/>
  <c r="E307" i="154"/>
  <c r="K307" i="154"/>
  <c r="G307" i="154"/>
  <c r="C307" i="154"/>
  <c r="I308" i="154"/>
  <c r="D308" i="154"/>
  <c r="J308" i="154"/>
  <c r="E308" i="154"/>
  <c r="K308" i="154"/>
  <c r="G308" i="154"/>
  <c r="C308" i="154"/>
  <c r="I309" i="154"/>
  <c r="D309" i="154"/>
  <c r="J309" i="154"/>
  <c r="E309" i="154"/>
  <c r="K309" i="154"/>
  <c r="G309" i="154"/>
  <c r="C309" i="154"/>
  <c r="I310" i="154"/>
  <c r="D310" i="154"/>
  <c r="J310" i="154"/>
  <c r="E310" i="154"/>
  <c r="K310" i="154"/>
  <c r="G310" i="154"/>
  <c r="C310" i="154"/>
  <c r="I311" i="154"/>
  <c r="D311" i="154"/>
  <c r="J311" i="154"/>
  <c r="E311" i="154"/>
  <c r="K311" i="154"/>
  <c r="G311" i="154"/>
  <c r="C311" i="154"/>
  <c r="I312" i="154"/>
  <c r="D312" i="154"/>
  <c r="J312" i="154"/>
  <c r="E312" i="154"/>
  <c r="K312" i="154"/>
  <c r="G312" i="154"/>
  <c r="C312" i="154"/>
  <c r="I313" i="154"/>
  <c r="D313" i="154"/>
  <c r="J313" i="154"/>
  <c r="E313" i="154"/>
  <c r="K313" i="154"/>
  <c r="G313" i="154"/>
  <c r="C313" i="154"/>
  <c r="I314" i="154"/>
  <c r="D314" i="154"/>
  <c r="J314" i="154"/>
  <c r="E314" i="154"/>
  <c r="K314" i="154"/>
  <c r="G314" i="154"/>
  <c r="C314" i="154"/>
  <c r="I315" i="154"/>
  <c r="D315" i="154"/>
  <c r="J315" i="154"/>
  <c r="E315" i="154"/>
  <c r="K315" i="154"/>
  <c r="G315" i="154"/>
  <c r="C315" i="154"/>
  <c r="I316" i="154"/>
  <c r="D316" i="154"/>
  <c r="J316" i="154"/>
  <c r="E316" i="154"/>
  <c r="K316" i="154"/>
  <c r="G316" i="154"/>
  <c r="C316" i="154"/>
  <c r="I317" i="154"/>
  <c r="D317" i="154"/>
  <c r="J317" i="154"/>
  <c r="E317" i="154"/>
  <c r="K317" i="154"/>
  <c r="G317" i="154"/>
  <c r="C317" i="154"/>
  <c r="I318" i="154"/>
  <c r="D318" i="154"/>
  <c r="J318" i="154"/>
  <c r="E318" i="154"/>
  <c r="K318" i="154"/>
  <c r="G318" i="154"/>
  <c r="C318" i="154"/>
  <c r="I319" i="154"/>
  <c r="D319" i="154"/>
  <c r="J319" i="154"/>
  <c r="E319" i="154"/>
  <c r="K319" i="154"/>
  <c r="G319" i="154"/>
  <c r="C319" i="154"/>
  <c r="I320" i="154"/>
  <c r="D320" i="154"/>
  <c r="J320" i="154"/>
  <c r="E320" i="154"/>
  <c r="K320" i="154"/>
  <c r="G320" i="154"/>
  <c r="C320" i="154"/>
  <c r="I321" i="154"/>
  <c r="D321" i="154"/>
  <c r="J321" i="154"/>
  <c r="E321" i="154"/>
  <c r="K321" i="154"/>
  <c r="G321" i="154"/>
  <c r="C321" i="154"/>
  <c r="I322" i="154"/>
  <c r="D322" i="154"/>
  <c r="J322" i="154"/>
  <c r="E322" i="154"/>
  <c r="K322" i="154"/>
  <c r="G322" i="154"/>
  <c r="C322" i="154"/>
  <c r="I323" i="154"/>
  <c r="D323" i="154"/>
  <c r="J323" i="154"/>
  <c r="E323" i="154"/>
  <c r="K323" i="154"/>
  <c r="G323" i="154"/>
  <c r="C323" i="154"/>
  <c r="I324" i="154"/>
  <c r="D324" i="154"/>
  <c r="J324" i="154"/>
  <c r="E324" i="154"/>
  <c r="K324" i="154"/>
  <c r="G324" i="154"/>
  <c r="C324" i="154"/>
  <c r="F7" i="153"/>
  <c r="E7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1" i="153"/>
  <c r="B21" i="153"/>
  <c r="F5" i="153"/>
  <c r="E5" i="153"/>
  <c r="E29" i="153"/>
  <c r="B29" i="153"/>
  <c r="F8" i="153"/>
  <c r="E8" i="153"/>
  <c r="E36" i="153"/>
  <c r="B36" i="153"/>
  <c r="F6" i="153"/>
  <c r="E6" i="153"/>
  <c r="E44" i="153"/>
  <c r="B44" i="153"/>
  <c r="E49" i="153"/>
  <c r="F49" i="153"/>
  <c r="E35" i="153"/>
  <c r="B35" i="153"/>
  <c r="E37" i="153"/>
  <c r="E38" i="153"/>
  <c r="B38" i="153"/>
  <c r="B37" i="153"/>
  <c r="E34" i="153"/>
  <c r="B34" i="153"/>
  <c r="E39" i="153"/>
  <c r="B39" i="153"/>
  <c r="B32" i="153"/>
  <c r="E33" i="153"/>
  <c r="B33" i="153"/>
  <c r="E40" i="153"/>
  <c r="B40" i="153"/>
  <c r="E41" i="153"/>
  <c r="B41" i="153"/>
  <c r="E42" i="153"/>
  <c r="B42" i="153"/>
  <c r="E43" i="153"/>
  <c r="B43" i="153"/>
  <c r="C49" i="153"/>
  <c r="E28" i="153"/>
  <c r="B28" i="153"/>
  <c r="E27" i="153"/>
  <c r="E26" i="153"/>
  <c r="B26" i="153"/>
  <c r="E25" i="153"/>
  <c r="B25" i="153"/>
  <c r="E24" i="153"/>
  <c r="B24" i="153"/>
  <c r="E23" i="153"/>
  <c r="B23" i="153"/>
  <c r="E22" i="153"/>
  <c r="B22" i="153"/>
  <c r="E20" i="153"/>
  <c r="E19" i="153"/>
  <c r="B19" i="153"/>
  <c r="B17" i="153"/>
  <c r="E18" i="153"/>
  <c r="B18" i="153"/>
  <c r="E49" i="158"/>
  <c r="F49" i="158"/>
  <c r="I2" i="159"/>
  <c r="D2" i="159"/>
  <c r="J2" i="159"/>
  <c r="E2" i="159"/>
  <c r="K2" i="159"/>
  <c r="G2" i="159"/>
  <c r="C2" i="159"/>
  <c r="I3" i="159"/>
  <c r="D3" i="159"/>
  <c r="J3" i="159"/>
  <c r="E3" i="159"/>
  <c r="K3" i="159"/>
  <c r="G3" i="159"/>
  <c r="C3" i="159"/>
  <c r="I4" i="159"/>
  <c r="D4" i="159"/>
  <c r="J4" i="159"/>
  <c r="E4" i="159"/>
  <c r="K4" i="159"/>
  <c r="G4" i="159"/>
  <c r="C4" i="159"/>
  <c r="I5" i="159"/>
  <c r="D5" i="159"/>
  <c r="J5" i="159"/>
  <c r="E5" i="159"/>
  <c r="K5" i="159"/>
  <c r="G5" i="159"/>
  <c r="C5" i="159"/>
  <c r="I6" i="159"/>
  <c r="D6" i="159"/>
  <c r="J6" i="159"/>
  <c r="E6" i="159"/>
  <c r="K6" i="159"/>
  <c r="G6" i="159"/>
  <c r="C6" i="159"/>
  <c r="I7" i="159"/>
  <c r="D7" i="159"/>
  <c r="J7" i="159"/>
  <c r="E7" i="159"/>
  <c r="K7" i="159"/>
  <c r="G7" i="159"/>
  <c r="C7" i="159"/>
  <c r="I8" i="159"/>
  <c r="D8" i="159"/>
  <c r="J8" i="159"/>
  <c r="E8" i="159"/>
  <c r="K8" i="159"/>
  <c r="G8" i="159"/>
  <c r="C8" i="159"/>
  <c r="I9" i="159"/>
  <c r="D9" i="159"/>
  <c r="J9" i="159"/>
  <c r="E9" i="159"/>
  <c r="K9" i="159"/>
  <c r="G9" i="159"/>
  <c r="C9" i="159"/>
  <c r="I10" i="159"/>
  <c r="D10" i="159"/>
  <c r="J10" i="159"/>
  <c r="E10" i="159"/>
  <c r="K10" i="159"/>
  <c r="G10" i="159"/>
  <c r="C10" i="159"/>
  <c r="I11" i="159"/>
  <c r="D11" i="159"/>
  <c r="J11" i="159"/>
  <c r="E11" i="159"/>
  <c r="K11" i="159"/>
  <c r="G11" i="159"/>
  <c r="C11" i="159"/>
  <c r="I12" i="159"/>
  <c r="D12" i="159"/>
  <c r="J12" i="159"/>
  <c r="E12" i="159"/>
  <c r="K12" i="159"/>
  <c r="G12" i="159"/>
  <c r="C12" i="159"/>
  <c r="I13" i="159"/>
  <c r="D13" i="159"/>
  <c r="J13" i="159"/>
  <c r="E13" i="159"/>
  <c r="K13" i="159"/>
  <c r="G13" i="159"/>
  <c r="C13" i="159"/>
  <c r="I14" i="159"/>
  <c r="D14" i="159"/>
  <c r="J14" i="159"/>
  <c r="E14" i="159"/>
  <c r="K14" i="159"/>
  <c r="G14" i="159"/>
  <c r="C14" i="159"/>
  <c r="I15" i="159"/>
  <c r="D15" i="159"/>
  <c r="J15" i="159"/>
  <c r="E15" i="159"/>
  <c r="K15" i="159"/>
  <c r="G15" i="159"/>
  <c r="C15" i="159"/>
  <c r="I16" i="159"/>
  <c r="D16" i="159"/>
  <c r="J16" i="159"/>
  <c r="E16" i="159"/>
  <c r="K16" i="159"/>
  <c r="G16" i="159"/>
  <c r="C16" i="159"/>
  <c r="I17" i="159"/>
  <c r="D17" i="159"/>
  <c r="J17" i="159"/>
  <c r="E17" i="159"/>
  <c r="K17" i="159"/>
  <c r="G17" i="159"/>
  <c r="C17" i="159"/>
  <c r="I18" i="159"/>
  <c r="D18" i="159"/>
  <c r="J18" i="159"/>
  <c r="E18" i="159"/>
  <c r="K18" i="159"/>
  <c r="G18" i="159"/>
  <c r="C18" i="159"/>
  <c r="I19" i="159"/>
  <c r="D19" i="159"/>
  <c r="J19" i="159"/>
  <c r="E19" i="159"/>
  <c r="K19" i="159"/>
  <c r="G19" i="159"/>
  <c r="C19" i="159"/>
  <c r="I20" i="159"/>
  <c r="D20" i="159"/>
  <c r="J20" i="159"/>
  <c r="E20" i="159"/>
  <c r="K20" i="159"/>
  <c r="G20" i="159"/>
  <c r="C20" i="159"/>
  <c r="I21" i="159"/>
  <c r="D21" i="159"/>
  <c r="J21" i="159"/>
  <c r="E21" i="159"/>
  <c r="K21" i="159"/>
  <c r="G21" i="159"/>
  <c r="C21" i="159"/>
  <c r="I22" i="159"/>
  <c r="D22" i="159"/>
  <c r="J22" i="159"/>
  <c r="E22" i="159"/>
  <c r="K22" i="159"/>
  <c r="G22" i="159"/>
  <c r="C22" i="159"/>
  <c r="I23" i="159"/>
  <c r="D23" i="159"/>
  <c r="J23" i="159"/>
  <c r="E23" i="159"/>
  <c r="K23" i="159"/>
  <c r="G23" i="159"/>
  <c r="C23" i="159"/>
  <c r="I24" i="159"/>
  <c r="D24" i="159"/>
  <c r="J24" i="159"/>
  <c r="E24" i="159"/>
  <c r="K24" i="159"/>
  <c r="G24" i="159"/>
  <c r="C24" i="159"/>
  <c r="I25" i="159"/>
  <c r="D25" i="159"/>
  <c r="J25" i="159"/>
  <c r="E25" i="159"/>
  <c r="K25" i="159"/>
  <c r="G25" i="159"/>
  <c r="C25" i="159"/>
  <c r="I26" i="159"/>
  <c r="D26" i="159"/>
  <c r="J26" i="159"/>
  <c r="E26" i="159"/>
  <c r="K26" i="159"/>
  <c r="G26" i="159"/>
  <c r="C26" i="159"/>
  <c r="I27" i="159"/>
  <c r="D27" i="159"/>
  <c r="J27" i="159"/>
  <c r="E27" i="159"/>
  <c r="K27" i="159"/>
  <c r="G27" i="159"/>
  <c r="C27" i="159"/>
  <c r="I28" i="159"/>
  <c r="D28" i="159"/>
  <c r="J28" i="159"/>
  <c r="E28" i="159"/>
  <c r="K28" i="159"/>
  <c r="G28" i="159"/>
  <c r="C28" i="159"/>
  <c r="I29" i="159"/>
  <c r="D29" i="159"/>
  <c r="J29" i="159"/>
  <c r="E29" i="159"/>
  <c r="K29" i="159"/>
  <c r="G29" i="159"/>
  <c r="C29" i="159"/>
  <c r="I30" i="159"/>
  <c r="D30" i="159"/>
  <c r="J30" i="159"/>
  <c r="E30" i="159"/>
  <c r="K30" i="159"/>
  <c r="G30" i="159"/>
  <c r="C30" i="159"/>
  <c r="I31" i="159"/>
  <c r="D31" i="159"/>
  <c r="J31" i="159"/>
  <c r="E31" i="159"/>
  <c r="K31" i="159"/>
  <c r="G31" i="159"/>
  <c r="C31" i="159"/>
  <c r="I32" i="159"/>
  <c r="D32" i="159"/>
  <c r="J32" i="159"/>
  <c r="E32" i="159"/>
  <c r="K32" i="159"/>
  <c r="G32" i="159"/>
  <c r="C32" i="159"/>
  <c r="I33" i="159"/>
  <c r="D33" i="159"/>
  <c r="J33" i="159"/>
  <c r="E33" i="159"/>
  <c r="K33" i="159"/>
  <c r="G33" i="159"/>
  <c r="C33" i="159"/>
  <c r="I34" i="159"/>
  <c r="D34" i="159"/>
  <c r="J34" i="159"/>
  <c r="E34" i="159"/>
  <c r="K34" i="159"/>
  <c r="G34" i="159"/>
  <c r="C34" i="159"/>
  <c r="I35" i="159"/>
  <c r="D35" i="159"/>
  <c r="J35" i="159"/>
  <c r="E35" i="159"/>
  <c r="K35" i="159"/>
  <c r="G35" i="159"/>
  <c r="C35" i="159"/>
  <c r="I36" i="159"/>
  <c r="D36" i="159"/>
  <c r="J36" i="159"/>
  <c r="E36" i="159"/>
  <c r="K36" i="159"/>
  <c r="G36" i="159"/>
  <c r="C36" i="159"/>
  <c r="I37" i="159"/>
  <c r="D37" i="159"/>
  <c r="J37" i="159"/>
  <c r="E37" i="159"/>
  <c r="K37" i="159"/>
  <c r="G37" i="159"/>
  <c r="C37" i="159"/>
  <c r="I38" i="159"/>
  <c r="D38" i="159"/>
  <c r="J38" i="159"/>
  <c r="E38" i="159"/>
  <c r="K38" i="159"/>
  <c r="G38" i="159"/>
  <c r="C38" i="159"/>
  <c r="I39" i="159"/>
  <c r="D39" i="159"/>
  <c r="J39" i="159"/>
  <c r="E39" i="159"/>
  <c r="K39" i="159"/>
  <c r="G39" i="159"/>
  <c r="C39" i="159"/>
  <c r="I40" i="159"/>
  <c r="D40" i="159"/>
  <c r="J40" i="159"/>
  <c r="E40" i="159"/>
  <c r="K40" i="159"/>
  <c r="G40" i="159"/>
  <c r="C40" i="159"/>
  <c r="I41" i="159"/>
  <c r="D41" i="159"/>
  <c r="J41" i="159"/>
  <c r="E41" i="159"/>
  <c r="K41" i="159"/>
  <c r="G41" i="159"/>
  <c r="C41" i="159"/>
  <c r="I42" i="159"/>
  <c r="D42" i="159"/>
  <c r="J42" i="159"/>
  <c r="E42" i="159"/>
  <c r="K42" i="159"/>
  <c r="G42" i="159"/>
  <c r="C42" i="159"/>
  <c r="I43" i="159"/>
  <c r="D43" i="159"/>
  <c r="J43" i="159"/>
  <c r="E43" i="159"/>
  <c r="K43" i="159"/>
  <c r="G43" i="159"/>
  <c r="C43" i="159"/>
  <c r="I44" i="159"/>
  <c r="D44" i="159"/>
  <c r="J44" i="159"/>
  <c r="E44" i="159"/>
  <c r="K44" i="159"/>
  <c r="G44" i="159"/>
  <c r="C44" i="159"/>
  <c r="I45" i="159"/>
  <c r="D45" i="159"/>
  <c r="J45" i="159"/>
  <c r="E45" i="159"/>
  <c r="K45" i="159"/>
  <c r="G45" i="159"/>
  <c r="C45" i="159"/>
  <c r="I46" i="159"/>
  <c r="D46" i="159"/>
  <c r="J46" i="159"/>
  <c r="E46" i="159"/>
  <c r="K46" i="159"/>
  <c r="G46" i="159"/>
  <c r="C46" i="159"/>
  <c r="I47" i="159"/>
  <c r="D47" i="159"/>
  <c r="J47" i="159"/>
  <c r="E47" i="159"/>
  <c r="K47" i="159"/>
  <c r="G47" i="159"/>
  <c r="C47" i="159"/>
  <c r="I48" i="159"/>
  <c r="D48" i="159"/>
  <c r="J48" i="159"/>
  <c r="E48" i="159"/>
  <c r="K48" i="159"/>
  <c r="G48" i="159"/>
  <c r="C48" i="159"/>
  <c r="I49" i="159"/>
  <c r="D49" i="159"/>
  <c r="J49" i="159"/>
  <c r="E49" i="159"/>
  <c r="K49" i="159"/>
  <c r="G49" i="159"/>
  <c r="C49" i="159"/>
  <c r="I50" i="159"/>
  <c r="D50" i="159"/>
  <c r="J50" i="159"/>
  <c r="E50" i="159"/>
  <c r="K50" i="159"/>
  <c r="G50" i="159"/>
  <c r="C50" i="159"/>
  <c r="I51" i="159"/>
  <c r="D51" i="159"/>
  <c r="J51" i="159"/>
  <c r="E51" i="159"/>
  <c r="K51" i="159"/>
  <c r="G51" i="159"/>
  <c r="C51" i="159"/>
  <c r="I52" i="159"/>
  <c r="D52" i="159"/>
  <c r="J52" i="159"/>
  <c r="E52" i="159"/>
  <c r="K52" i="159"/>
  <c r="G52" i="159"/>
  <c r="C52" i="159"/>
  <c r="I53" i="159"/>
  <c r="D53" i="159"/>
  <c r="J53" i="159"/>
  <c r="E53" i="159"/>
  <c r="K53" i="159"/>
  <c r="G53" i="159"/>
  <c r="C53" i="159"/>
  <c r="I54" i="159"/>
  <c r="D54" i="159"/>
  <c r="J54" i="159"/>
  <c r="E54" i="159"/>
  <c r="K54" i="159"/>
  <c r="G54" i="159"/>
  <c r="C54" i="159"/>
  <c r="I55" i="159"/>
  <c r="D55" i="159"/>
  <c r="J55" i="159"/>
  <c r="E55" i="159"/>
  <c r="K55" i="159"/>
  <c r="G55" i="159"/>
  <c r="C55" i="159"/>
  <c r="I56" i="159"/>
  <c r="D56" i="159"/>
  <c r="J56" i="159"/>
  <c r="E56" i="159"/>
  <c r="K56" i="159"/>
  <c r="G56" i="159"/>
  <c r="C56" i="159"/>
  <c r="I57" i="159"/>
  <c r="D57" i="159"/>
  <c r="J57" i="159"/>
  <c r="E57" i="159"/>
  <c r="K57" i="159"/>
  <c r="G57" i="159"/>
  <c r="C57" i="159"/>
  <c r="I58" i="159"/>
  <c r="D58" i="159"/>
  <c r="J58" i="159"/>
  <c r="E58" i="159"/>
  <c r="K58" i="159"/>
  <c r="G58" i="159"/>
  <c r="C58" i="159"/>
  <c r="I59" i="159"/>
  <c r="D59" i="159"/>
  <c r="J59" i="159"/>
  <c r="E59" i="159"/>
  <c r="K59" i="159"/>
  <c r="G59" i="159"/>
  <c r="C59" i="159"/>
  <c r="I60" i="159"/>
  <c r="D60" i="159"/>
  <c r="J60" i="159"/>
  <c r="E60" i="159"/>
  <c r="K60" i="159"/>
  <c r="G60" i="159"/>
  <c r="C60" i="159"/>
  <c r="I61" i="159"/>
  <c r="D61" i="159"/>
  <c r="J61" i="159"/>
  <c r="E61" i="159"/>
  <c r="K61" i="159"/>
  <c r="G61" i="159"/>
  <c r="C61" i="159"/>
  <c r="I62" i="159"/>
  <c r="D62" i="159"/>
  <c r="J62" i="159"/>
  <c r="E62" i="159"/>
  <c r="K62" i="159"/>
  <c r="G62" i="159"/>
  <c r="C62" i="159"/>
  <c r="I63" i="159"/>
  <c r="D63" i="159"/>
  <c r="J63" i="159"/>
  <c r="E63" i="159"/>
  <c r="K63" i="159"/>
  <c r="G63" i="159"/>
  <c r="C63" i="159"/>
  <c r="I64" i="159"/>
  <c r="D64" i="159"/>
  <c r="J64" i="159"/>
  <c r="E64" i="159"/>
  <c r="K64" i="159"/>
  <c r="G64" i="159"/>
  <c r="C64" i="159"/>
  <c r="I65" i="159"/>
  <c r="D65" i="159"/>
  <c r="J65" i="159"/>
  <c r="E65" i="159"/>
  <c r="K65" i="159"/>
  <c r="G65" i="159"/>
  <c r="C65" i="159"/>
  <c r="I66" i="159"/>
  <c r="D66" i="159"/>
  <c r="J66" i="159"/>
  <c r="E66" i="159"/>
  <c r="K66" i="159"/>
  <c r="G66" i="159"/>
  <c r="C66" i="159"/>
  <c r="I67" i="159"/>
  <c r="D67" i="159"/>
  <c r="J67" i="159"/>
  <c r="E67" i="159"/>
  <c r="K67" i="159"/>
  <c r="G67" i="159"/>
  <c r="C67" i="159"/>
  <c r="I68" i="159"/>
  <c r="D68" i="159"/>
  <c r="J68" i="159"/>
  <c r="E68" i="159"/>
  <c r="K68" i="159"/>
  <c r="G68" i="159"/>
  <c r="C68" i="159"/>
  <c r="I69" i="159"/>
  <c r="D69" i="159"/>
  <c r="J69" i="159"/>
  <c r="E69" i="159"/>
  <c r="K69" i="159"/>
  <c r="G69" i="159"/>
  <c r="C69" i="159"/>
  <c r="I70" i="159"/>
  <c r="D70" i="159"/>
  <c r="J70" i="159"/>
  <c r="E70" i="159"/>
  <c r="K70" i="159"/>
  <c r="G70" i="159"/>
  <c r="C70" i="159"/>
  <c r="I71" i="159"/>
  <c r="D71" i="159"/>
  <c r="J71" i="159"/>
  <c r="E71" i="159"/>
  <c r="K71" i="159"/>
  <c r="G71" i="159"/>
  <c r="C71" i="159"/>
  <c r="I72" i="159"/>
  <c r="D72" i="159"/>
  <c r="J72" i="159"/>
  <c r="E72" i="159"/>
  <c r="K72" i="159"/>
  <c r="G72" i="159"/>
  <c r="C72" i="159"/>
  <c r="I73" i="159"/>
  <c r="D73" i="159"/>
  <c r="J73" i="159"/>
  <c r="E73" i="159"/>
  <c r="K73" i="159"/>
  <c r="G73" i="159"/>
  <c r="C73" i="159"/>
  <c r="I74" i="159"/>
  <c r="D74" i="159"/>
  <c r="J74" i="159"/>
  <c r="E74" i="159"/>
  <c r="K74" i="159"/>
  <c r="G74" i="159"/>
  <c r="C74" i="159"/>
  <c r="I75" i="159"/>
  <c r="D75" i="159"/>
  <c r="J75" i="159"/>
  <c r="E75" i="159"/>
  <c r="K75" i="159"/>
  <c r="G75" i="159"/>
  <c r="C75" i="159"/>
  <c r="I76" i="159"/>
  <c r="D76" i="159"/>
  <c r="J76" i="159"/>
  <c r="E76" i="159"/>
  <c r="K76" i="159"/>
  <c r="G76" i="159"/>
  <c r="C76" i="159"/>
  <c r="I77" i="159"/>
  <c r="D77" i="159"/>
  <c r="J77" i="159"/>
  <c r="E77" i="159"/>
  <c r="K77" i="159"/>
  <c r="G77" i="159"/>
  <c r="C77" i="159"/>
  <c r="I78" i="159"/>
  <c r="D78" i="159"/>
  <c r="J78" i="159"/>
  <c r="E78" i="159"/>
  <c r="K78" i="159"/>
  <c r="G78" i="159"/>
  <c r="C78" i="159"/>
  <c r="I79" i="159"/>
  <c r="D79" i="159"/>
  <c r="J79" i="159"/>
  <c r="E79" i="159"/>
  <c r="K79" i="159"/>
  <c r="G79" i="159"/>
  <c r="C79" i="159"/>
  <c r="I80" i="159"/>
  <c r="D80" i="159"/>
  <c r="J80" i="159"/>
  <c r="E80" i="159"/>
  <c r="K80" i="159"/>
  <c r="G80" i="159"/>
  <c r="C80" i="159"/>
  <c r="I81" i="159"/>
  <c r="D81" i="159"/>
  <c r="J81" i="159"/>
  <c r="E81" i="159"/>
  <c r="K81" i="159"/>
  <c r="G81" i="159"/>
  <c r="C81" i="159"/>
  <c r="I82" i="159"/>
  <c r="D82" i="159"/>
  <c r="J82" i="159"/>
  <c r="E82" i="159"/>
  <c r="K82" i="159"/>
  <c r="G82" i="159"/>
  <c r="C82" i="159"/>
  <c r="I83" i="159"/>
  <c r="D83" i="159"/>
  <c r="J83" i="159"/>
  <c r="E83" i="159"/>
  <c r="K83" i="159"/>
  <c r="G83" i="159"/>
  <c r="C83" i="159"/>
  <c r="I84" i="159"/>
  <c r="D84" i="159"/>
  <c r="J84" i="159"/>
  <c r="E84" i="159"/>
  <c r="K84" i="159"/>
  <c r="G84" i="159"/>
  <c r="C84" i="159"/>
  <c r="I85" i="159"/>
  <c r="D85" i="159"/>
  <c r="J85" i="159"/>
  <c r="E85" i="159"/>
  <c r="K85" i="159"/>
  <c r="G85" i="159"/>
  <c r="C85" i="159"/>
  <c r="I86" i="159"/>
  <c r="D86" i="159"/>
  <c r="J86" i="159"/>
  <c r="E86" i="159"/>
  <c r="K86" i="159"/>
  <c r="G86" i="159"/>
  <c r="C86" i="159"/>
  <c r="I87" i="159"/>
  <c r="D87" i="159"/>
  <c r="J87" i="159"/>
  <c r="E87" i="159"/>
  <c r="K87" i="159"/>
  <c r="G87" i="159"/>
  <c r="C87" i="159"/>
  <c r="I88" i="159"/>
  <c r="D88" i="159"/>
  <c r="J88" i="159"/>
  <c r="E88" i="159"/>
  <c r="K88" i="159"/>
  <c r="G88" i="159"/>
  <c r="C88" i="159"/>
  <c r="I89" i="159"/>
  <c r="D89" i="159"/>
  <c r="J89" i="159"/>
  <c r="E89" i="159"/>
  <c r="K89" i="159"/>
  <c r="G89" i="159"/>
  <c r="C89" i="159"/>
  <c r="I90" i="159"/>
  <c r="D90" i="159"/>
  <c r="J90" i="159"/>
  <c r="E90" i="159"/>
  <c r="K90" i="159"/>
  <c r="G90" i="159"/>
  <c r="C90" i="159"/>
  <c r="I91" i="159"/>
  <c r="D91" i="159"/>
  <c r="J91" i="159"/>
  <c r="E91" i="159"/>
  <c r="K91" i="159"/>
  <c r="G91" i="159"/>
  <c r="C91" i="159"/>
  <c r="I92" i="159"/>
  <c r="D92" i="159"/>
  <c r="J92" i="159"/>
  <c r="E92" i="159"/>
  <c r="K92" i="159"/>
  <c r="G92" i="159"/>
  <c r="C92" i="159"/>
  <c r="I93" i="159"/>
  <c r="D93" i="159"/>
  <c r="J93" i="159"/>
  <c r="E93" i="159"/>
  <c r="K93" i="159"/>
  <c r="G93" i="159"/>
  <c r="C93" i="159"/>
  <c r="I94" i="159"/>
  <c r="D94" i="159"/>
  <c r="J94" i="159"/>
  <c r="E94" i="159"/>
  <c r="K94" i="159"/>
  <c r="G94" i="159"/>
  <c r="C94" i="159"/>
  <c r="I95" i="159"/>
  <c r="D95" i="159"/>
  <c r="J95" i="159"/>
  <c r="E95" i="159"/>
  <c r="K95" i="159"/>
  <c r="G95" i="159"/>
  <c r="C95" i="159"/>
  <c r="I96" i="159"/>
  <c r="D96" i="159"/>
  <c r="J96" i="159"/>
  <c r="E96" i="159"/>
  <c r="K96" i="159"/>
  <c r="G96" i="159"/>
  <c r="C96" i="159"/>
  <c r="I97" i="159"/>
  <c r="D97" i="159"/>
  <c r="J97" i="159"/>
  <c r="E97" i="159"/>
  <c r="K97" i="159"/>
  <c r="G97" i="159"/>
  <c r="C97" i="159"/>
  <c r="I98" i="159"/>
  <c r="D98" i="159"/>
  <c r="J98" i="159"/>
  <c r="E98" i="159"/>
  <c r="K98" i="159"/>
  <c r="G98" i="159"/>
  <c r="C98" i="159"/>
  <c r="I99" i="159"/>
  <c r="D99" i="159"/>
  <c r="J99" i="159"/>
  <c r="E99" i="159"/>
  <c r="K99" i="159"/>
  <c r="G99" i="159"/>
  <c r="C99" i="159"/>
  <c r="I100" i="159"/>
  <c r="D100" i="159"/>
  <c r="J100" i="159"/>
  <c r="E100" i="159"/>
  <c r="K100" i="159"/>
  <c r="G100" i="159"/>
  <c r="C100" i="159"/>
  <c r="I101" i="159"/>
  <c r="D101" i="159"/>
  <c r="J101" i="159"/>
  <c r="E101" i="159"/>
  <c r="K101" i="159"/>
  <c r="G101" i="159"/>
  <c r="C101" i="159"/>
  <c r="I102" i="159"/>
  <c r="D102" i="159"/>
  <c r="J102" i="159"/>
  <c r="E102" i="159"/>
  <c r="K102" i="159"/>
  <c r="G102" i="159"/>
  <c r="C102" i="159"/>
  <c r="I103" i="159"/>
  <c r="D103" i="159"/>
  <c r="J103" i="159"/>
  <c r="E103" i="159"/>
  <c r="K103" i="159"/>
  <c r="G103" i="159"/>
  <c r="C103" i="159"/>
  <c r="I104" i="159"/>
  <c r="D104" i="159"/>
  <c r="J104" i="159"/>
  <c r="E104" i="159"/>
  <c r="K104" i="159"/>
  <c r="G104" i="159"/>
  <c r="C104" i="159"/>
  <c r="I105" i="159"/>
  <c r="D105" i="159"/>
  <c r="J105" i="159"/>
  <c r="E105" i="159"/>
  <c r="K105" i="159"/>
  <c r="G105" i="159"/>
  <c r="C105" i="159"/>
  <c r="I106" i="159"/>
  <c r="D106" i="159"/>
  <c r="J106" i="159"/>
  <c r="E106" i="159"/>
  <c r="K106" i="159"/>
  <c r="G106" i="159"/>
  <c r="C106" i="159"/>
  <c r="I107" i="159"/>
  <c r="D107" i="159"/>
  <c r="J107" i="159"/>
  <c r="E107" i="159"/>
  <c r="K107" i="159"/>
  <c r="G107" i="159"/>
  <c r="C107" i="159"/>
  <c r="I108" i="159"/>
  <c r="D108" i="159"/>
  <c r="J108" i="159"/>
  <c r="E108" i="159"/>
  <c r="K108" i="159"/>
  <c r="G108" i="159"/>
  <c r="C108" i="159"/>
  <c r="I109" i="159"/>
  <c r="D109" i="159"/>
  <c r="J109" i="159"/>
  <c r="E109" i="159"/>
  <c r="K109" i="159"/>
  <c r="G109" i="159"/>
  <c r="C109" i="159"/>
  <c r="I110" i="159"/>
  <c r="D110" i="159"/>
  <c r="J110" i="159"/>
  <c r="E110" i="159"/>
  <c r="K110" i="159"/>
  <c r="G110" i="159"/>
  <c r="C110" i="159"/>
  <c r="I111" i="159"/>
  <c r="D111" i="159"/>
  <c r="J111" i="159"/>
  <c r="E111" i="159"/>
  <c r="K111" i="159"/>
  <c r="G111" i="159"/>
  <c r="C111" i="159"/>
  <c r="I112" i="159"/>
  <c r="D112" i="159"/>
  <c r="J112" i="159"/>
  <c r="E112" i="159"/>
  <c r="K112" i="159"/>
  <c r="G112" i="159"/>
  <c r="C112" i="159"/>
  <c r="I113" i="159"/>
  <c r="D113" i="159"/>
  <c r="J113" i="159"/>
  <c r="E113" i="159"/>
  <c r="K113" i="159"/>
  <c r="G113" i="159"/>
  <c r="C113" i="159"/>
  <c r="I114" i="159"/>
  <c r="D114" i="159"/>
  <c r="J114" i="159"/>
  <c r="E114" i="159"/>
  <c r="K114" i="159"/>
  <c r="G114" i="159"/>
  <c r="C114" i="159"/>
  <c r="I115" i="159"/>
  <c r="D115" i="159"/>
  <c r="J115" i="159"/>
  <c r="E115" i="159"/>
  <c r="K115" i="159"/>
  <c r="G115" i="159"/>
  <c r="C115" i="159"/>
  <c r="I116" i="159"/>
  <c r="D116" i="159"/>
  <c r="J116" i="159"/>
  <c r="E116" i="159"/>
  <c r="K116" i="159"/>
  <c r="G116" i="159"/>
  <c r="C116" i="159"/>
  <c r="I117" i="159"/>
  <c r="D117" i="159"/>
  <c r="J117" i="159"/>
  <c r="E117" i="159"/>
  <c r="K117" i="159"/>
  <c r="G117" i="159"/>
  <c r="C117" i="159"/>
  <c r="I118" i="159"/>
  <c r="D118" i="159"/>
  <c r="J118" i="159"/>
  <c r="E118" i="159"/>
  <c r="K118" i="159"/>
  <c r="G118" i="159"/>
  <c r="C118" i="159"/>
  <c r="I119" i="159"/>
  <c r="D119" i="159"/>
  <c r="J119" i="159"/>
  <c r="E119" i="159"/>
  <c r="K119" i="159"/>
  <c r="G119" i="159"/>
  <c r="C119" i="159"/>
  <c r="I120" i="159"/>
  <c r="D120" i="159"/>
  <c r="J120" i="159"/>
  <c r="E120" i="159"/>
  <c r="K120" i="159"/>
  <c r="G120" i="159"/>
  <c r="C120" i="159"/>
  <c r="I121" i="159"/>
  <c r="D121" i="159"/>
  <c r="J121" i="159"/>
  <c r="E121" i="159"/>
  <c r="K121" i="159"/>
  <c r="G121" i="159"/>
  <c r="C121" i="159"/>
  <c r="I122" i="159"/>
  <c r="D122" i="159"/>
  <c r="J122" i="159"/>
  <c r="E122" i="159"/>
  <c r="K122" i="159"/>
  <c r="G122" i="159"/>
  <c r="C122" i="159"/>
  <c r="I123" i="159"/>
  <c r="D123" i="159"/>
  <c r="J123" i="159"/>
  <c r="E123" i="159"/>
  <c r="K123" i="159"/>
  <c r="G123" i="159"/>
  <c r="C123" i="159"/>
  <c r="I124" i="159"/>
  <c r="D124" i="159"/>
  <c r="J124" i="159"/>
  <c r="E124" i="159"/>
  <c r="K124" i="159"/>
  <c r="G124" i="159"/>
  <c r="C124" i="159"/>
  <c r="I125" i="159"/>
  <c r="D125" i="159"/>
  <c r="J125" i="159"/>
  <c r="E125" i="159"/>
  <c r="K125" i="159"/>
  <c r="G125" i="159"/>
  <c r="C125" i="159"/>
  <c r="I126" i="159"/>
  <c r="D126" i="159"/>
  <c r="J126" i="159"/>
  <c r="E126" i="159"/>
  <c r="K126" i="159"/>
  <c r="G126" i="159"/>
  <c r="C126" i="159"/>
  <c r="I127" i="159"/>
  <c r="D127" i="159"/>
  <c r="J127" i="159"/>
  <c r="E127" i="159"/>
  <c r="K127" i="159"/>
  <c r="G127" i="159"/>
  <c r="C127" i="159"/>
  <c r="I128" i="159"/>
  <c r="D128" i="159"/>
  <c r="J128" i="159"/>
  <c r="E128" i="159"/>
  <c r="K128" i="159"/>
  <c r="G128" i="159"/>
  <c r="C128" i="159"/>
  <c r="I129" i="159"/>
  <c r="D129" i="159"/>
  <c r="J129" i="159"/>
  <c r="E129" i="159"/>
  <c r="K129" i="159"/>
  <c r="G129" i="159"/>
  <c r="C129" i="159"/>
  <c r="I130" i="159"/>
  <c r="D130" i="159"/>
  <c r="J130" i="159"/>
  <c r="E130" i="159"/>
  <c r="K130" i="159"/>
  <c r="G130" i="159"/>
  <c r="C130" i="159"/>
  <c r="I131" i="159"/>
  <c r="D131" i="159"/>
  <c r="J131" i="159"/>
  <c r="E131" i="159"/>
  <c r="K131" i="159"/>
  <c r="G131" i="159"/>
  <c r="C131" i="159"/>
  <c r="I132" i="159"/>
  <c r="D132" i="159"/>
  <c r="J132" i="159"/>
  <c r="E132" i="159"/>
  <c r="K132" i="159"/>
  <c r="G132" i="159"/>
  <c r="C132" i="159"/>
  <c r="I133" i="159"/>
  <c r="D133" i="159"/>
  <c r="J133" i="159"/>
  <c r="E133" i="159"/>
  <c r="K133" i="159"/>
  <c r="G133" i="159"/>
  <c r="C133" i="159"/>
  <c r="I134" i="159"/>
  <c r="D134" i="159"/>
  <c r="J134" i="159"/>
  <c r="E134" i="159"/>
  <c r="K134" i="159"/>
  <c r="G134" i="159"/>
  <c r="C134" i="159"/>
  <c r="I135" i="159"/>
  <c r="D135" i="159"/>
  <c r="J135" i="159"/>
  <c r="E135" i="159"/>
  <c r="K135" i="159"/>
  <c r="G135" i="159"/>
  <c r="C135" i="159"/>
  <c r="I136" i="159"/>
  <c r="D136" i="159"/>
  <c r="J136" i="159"/>
  <c r="E136" i="159"/>
  <c r="K136" i="159"/>
  <c r="G136" i="159"/>
  <c r="C136" i="159"/>
  <c r="I137" i="159"/>
  <c r="D137" i="159"/>
  <c r="J137" i="159"/>
  <c r="E137" i="159"/>
  <c r="K137" i="159"/>
  <c r="G137" i="159"/>
  <c r="C137" i="159"/>
  <c r="I138" i="159"/>
  <c r="D138" i="159"/>
  <c r="J138" i="159"/>
  <c r="E138" i="159"/>
  <c r="K138" i="159"/>
  <c r="G138" i="159"/>
  <c r="C138" i="159"/>
  <c r="I139" i="159"/>
  <c r="D139" i="159"/>
  <c r="J139" i="159"/>
  <c r="E139" i="159"/>
  <c r="K139" i="159"/>
  <c r="G139" i="159"/>
  <c r="C139" i="159"/>
  <c r="I140" i="159"/>
  <c r="D140" i="159"/>
  <c r="J140" i="159"/>
  <c r="E140" i="159"/>
  <c r="K140" i="159"/>
  <c r="G140" i="159"/>
  <c r="C140" i="159"/>
  <c r="I141" i="159"/>
  <c r="D141" i="159"/>
  <c r="J141" i="159"/>
  <c r="E141" i="159"/>
  <c r="K141" i="159"/>
  <c r="G141" i="159"/>
  <c r="C141" i="159"/>
  <c r="I142" i="159"/>
  <c r="D142" i="159"/>
  <c r="J142" i="159"/>
  <c r="E142" i="159"/>
  <c r="K142" i="159"/>
  <c r="G142" i="159"/>
  <c r="C142" i="159"/>
  <c r="I143" i="159"/>
  <c r="D143" i="159"/>
  <c r="J143" i="159"/>
  <c r="E143" i="159"/>
  <c r="K143" i="159"/>
  <c r="G143" i="159"/>
  <c r="C143" i="159"/>
  <c r="I144" i="159"/>
  <c r="D144" i="159"/>
  <c r="J144" i="159"/>
  <c r="E144" i="159"/>
  <c r="K144" i="159"/>
  <c r="G144" i="159"/>
  <c r="C144" i="159"/>
  <c r="I145" i="159"/>
  <c r="D145" i="159"/>
  <c r="J145" i="159"/>
  <c r="E145" i="159"/>
  <c r="K145" i="159"/>
  <c r="G145" i="159"/>
  <c r="C145" i="159"/>
  <c r="I146" i="159"/>
  <c r="D146" i="159"/>
  <c r="J146" i="159"/>
  <c r="E146" i="159"/>
  <c r="K146" i="159"/>
  <c r="G146" i="159"/>
  <c r="C146" i="159"/>
  <c r="I147" i="159"/>
  <c r="D147" i="159"/>
  <c r="J147" i="159"/>
  <c r="E147" i="159"/>
  <c r="K147" i="159"/>
  <c r="G147" i="159"/>
  <c r="C147" i="159"/>
  <c r="I148" i="159"/>
  <c r="D148" i="159"/>
  <c r="J148" i="159"/>
  <c r="E148" i="159"/>
  <c r="K148" i="159"/>
  <c r="G148" i="159"/>
  <c r="C148" i="159"/>
  <c r="I149" i="159"/>
  <c r="D149" i="159"/>
  <c r="J149" i="159"/>
  <c r="E149" i="159"/>
  <c r="K149" i="159"/>
  <c r="G149" i="159"/>
  <c r="C149" i="159"/>
  <c r="I150" i="159"/>
  <c r="D150" i="159"/>
  <c r="J150" i="159"/>
  <c r="E150" i="159"/>
  <c r="K150" i="159"/>
  <c r="G150" i="159"/>
  <c r="C150" i="159"/>
  <c r="I151" i="159"/>
  <c r="D151" i="159"/>
  <c r="J151" i="159"/>
  <c r="E151" i="159"/>
  <c r="K151" i="159"/>
  <c r="G151" i="159"/>
  <c r="C151" i="159"/>
  <c r="I152" i="159"/>
  <c r="D152" i="159"/>
  <c r="J152" i="159"/>
  <c r="E152" i="159"/>
  <c r="K152" i="159"/>
  <c r="G152" i="159"/>
  <c r="C152" i="159"/>
  <c r="I153" i="159"/>
  <c r="D153" i="159"/>
  <c r="J153" i="159"/>
  <c r="E153" i="159"/>
  <c r="K153" i="159"/>
  <c r="G153" i="159"/>
  <c r="C153" i="159"/>
  <c r="I154" i="159"/>
  <c r="D154" i="159"/>
  <c r="J154" i="159"/>
  <c r="E154" i="159"/>
  <c r="K154" i="159"/>
  <c r="G154" i="159"/>
  <c r="C154" i="159"/>
  <c r="I155" i="159"/>
  <c r="D155" i="159"/>
  <c r="J155" i="159"/>
  <c r="E155" i="159"/>
  <c r="K155" i="159"/>
  <c r="G155" i="159"/>
  <c r="C155" i="159"/>
  <c r="I156" i="159"/>
  <c r="D156" i="159"/>
  <c r="J156" i="159"/>
  <c r="E156" i="159"/>
  <c r="K156" i="159"/>
  <c r="G156" i="159"/>
  <c r="C156" i="159"/>
  <c r="I157" i="159"/>
  <c r="D157" i="159"/>
  <c r="J157" i="159"/>
  <c r="E157" i="159"/>
  <c r="K157" i="159"/>
  <c r="G157" i="159"/>
  <c r="C157" i="159"/>
  <c r="I158" i="159"/>
  <c r="D158" i="159"/>
  <c r="J158" i="159"/>
  <c r="E158" i="159"/>
  <c r="K158" i="159"/>
  <c r="G158" i="159"/>
  <c r="C158" i="159"/>
  <c r="I159" i="159"/>
  <c r="D159" i="159"/>
  <c r="J159" i="159"/>
  <c r="E159" i="159"/>
  <c r="K159" i="159"/>
  <c r="G159" i="159"/>
  <c r="C159" i="159"/>
  <c r="I160" i="159"/>
  <c r="D160" i="159"/>
  <c r="J160" i="159"/>
  <c r="E160" i="159"/>
  <c r="K160" i="159"/>
  <c r="G160" i="159"/>
  <c r="C160" i="159"/>
  <c r="I161" i="159"/>
  <c r="D161" i="159"/>
  <c r="J161" i="159"/>
  <c r="E161" i="159"/>
  <c r="K161" i="159"/>
  <c r="G161" i="159"/>
  <c r="C161" i="159"/>
  <c r="I162" i="159"/>
  <c r="D162" i="159"/>
  <c r="J162" i="159"/>
  <c r="E162" i="159"/>
  <c r="K162" i="159"/>
  <c r="G162" i="159"/>
  <c r="C162" i="159"/>
  <c r="I163" i="159"/>
  <c r="D163" i="159"/>
  <c r="J163" i="159"/>
  <c r="E163" i="159"/>
  <c r="K163" i="159"/>
  <c r="G163" i="159"/>
  <c r="C163" i="159"/>
  <c r="I164" i="159"/>
  <c r="D164" i="159"/>
  <c r="J164" i="159"/>
  <c r="E164" i="159"/>
  <c r="K164" i="159"/>
  <c r="G164" i="159"/>
  <c r="C164" i="159"/>
  <c r="I165" i="159"/>
  <c r="D165" i="159"/>
  <c r="J165" i="159"/>
  <c r="E165" i="159"/>
  <c r="K165" i="159"/>
  <c r="G165" i="159"/>
  <c r="C165" i="159"/>
  <c r="I166" i="159"/>
  <c r="D166" i="159"/>
  <c r="J166" i="159"/>
  <c r="E166" i="159"/>
  <c r="K166" i="159"/>
  <c r="G166" i="159"/>
  <c r="C166" i="159"/>
  <c r="I167" i="159"/>
  <c r="D167" i="159"/>
  <c r="J167" i="159"/>
  <c r="E167" i="159"/>
  <c r="K167" i="159"/>
  <c r="G167" i="159"/>
  <c r="C167" i="159"/>
  <c r="I168" i="159"/>
  <c r="D168" i="159"/>
  <c r="J168" i="159"/>
  <c r="E168" i="159"/>
  <c r="K168" i="159"/>
  <c r="G168" i="159"/>
  <c r="C168" i="159"/>
  <c r="I169" i="159"/>
  <c r="D169" i="159"/>
  <c r="J169" i="159"/>
  <c r="E169" i="159"/>
  <c r="K169" i="159"/>
  <c r="G169" i="159"/>
  <c r="C169" i="159"/>
  <c r="I170" i="159"/>
  <c r="D170" i="159"/>
  <c r="J170" i="159"/>
  <c r="E170" i="159"/>
  <c r="K170" i="159"/>
  <c r="G170" i="159"/>
  <c r="C170" i="159"/>
  <c r="I171" i="159"/>
  <c r="D171" i="159"/>
  <c r="J171" i="159"/>
  <c r="E171" i="159"/>
  <c r="K171" i="159"/>
  <c r="G171" i="159"/>
  <c r="C171" i="159"/>
  <c r="I172" i="159"/>
  <c r="D172" i="159"/>
  <c r="J172" i="159"/>
  <c r="E172" i="159"/>
  <c r="K172" i="159"/>
  <c r="G172" i="159"/>
  <c r="C172" i="159"/>
  <c r="I173" i="159"/>
  <c r="D173" i="159"/>
  <c r="J173" i="159"/>
  <c r="E173" i="159"/>
  <c r="K173" i="159"/>
  <c r="G173" i="159"/>
  <c r="C173" i="159"/>
  <c r="I174" i="159"/>
  <c r="D174" i="159"/>
  <c r="J174" i="159"/>
  <c r="E174" i="159"/>
  <c r="K174" i="159"/>
  <c r="G174" i="159"/>
  <c r="C174" i="159"/>
  <c r="I175" i="159"/>
  <c r="D175" i="159"/>
  <c r="J175" i="159"/>
  <c r="E175" i="159"/>
  <c r="K175" i="159"/>
  <c r="G175" i="159"/>
  <c r="C175" i="159"/>
  <c r="I176" i="159"/>
  <c r="D176" i="159"/>
  <c r="J176" i="159"/>
  <c r="E176" i="159"/>
  <c r="K176" i="159"/>
  <c r="G176" i="159"/>
  <c r="C176" i="159"/>
  <c r="I177" i="159"/>
  <c r="D177" i="159"/>
  <c r="J177" i="159"/>
  <c r="E177" i="159"/>
  <c r="K177" i="159"/>
  <c r="G177" i="159"/>
  <c r="C177" i="159"/>
  <c r="I178" i="159"/>
  <c r="D178" i="159"/>
  <c r="J178" i="159"/>
  <c r="E178" i="159"/>
  <c r="K178" i="159"/>
  <c r="G178" i="159"/>
  <c r="C178" i="159"/>
  <c r="I179" i="159"/>
  <c r="D179" i="159"/>
  <c r="J179" i="159"/>
  <c r="E179" i="159"/>
  <c r="K179" i="159"/>
  <c r="G179" i="159"/>
  <c r="C179" i="159"/>
  <c r="I180" i="159"/>
  <c r="D180" i="159"/>
  <c r="J180" i="159"/>
  <c r="E180" i="159"/>
  <c r="K180" i="159"/>
  <c r="G180" i="159"/>
  <c r="C180" i="159"/>
  <c r="I181" i="159"/>
  <c r="D181" i="159"/>
  <c r="J181" i="159"/>
  <c r="E181" i="159"/>
  <c r="K181" i="159"/>
  <c r="G181" i="159"/>
  <c r="C181" i="159"/>
  <c r="I182" i="159"/>
  <c r="D182" i="159"/>
  <c r="J182" i="159"/>
  <c r="E182" i="159"/>
  <c r="K182" i="159"/>
  <c r="G182" i="159"/>
  <c r="C182" i="159"/>
  <c r="I183" i="159"/>
  <c r="D183" i="159"/>
  <c r="J183" i="159"/>
  <c r="E183" i="159"/>
  <c r="K183" i="159"/>
  <c r="G183" i="159"/>
  <c r="C183" i="159"/>
  <c r="I184" i="159"/>
  <c r="D184" i="159"/>
  <c r="J184" i="159"/>
  <c r="E184" i="159"/>
  <c r="K184" i="159"/>
  <c r="G184" i="159"/>
  <c r="C184" i="159"/>
  <c r="I185" i="159"/>
  <c r="D185" i="159"/>
  <c r="J185" i="159"/>
  <c r="E185" i="159"/>
  <c r="K185" i="159"/>
  <c r="G185" i="159"/>
  <c r="C185" i="159"/>
  <c r="I186" i="159"/>
  <c r="D186" i="159"/>
  <c r="J186" i="159"/>
  <c r="E186" i="159"/>
  <c r="K186" i="159"/>
  <c r="G186" i="159"/>
  <c r="C186" i="159"/>
  <c r="I187" i="159"/>
  <c r="D187" i="159"/>
  <c r="J187" i="159"/>
  <c r="E187" i="159"/>
  <c r="K187" i="159"/>
  <c r="G187" i="159"/>
  <c r="C187" i="159"/>
  <c r="I188" i="159"/>
  <c r="D188" i="159"/>
  <c r="J188" i="159"/>
  <c r="E188" i="159"/>
  <c r="K188" i="159"/>
  <c r="G188" i="159"/>
  <c r="C188" i="159"/>
  <c r="I189" i="159"/>
  <c r="D189" i="159"/>
  <c r="J189" i="159"/>
  <c r="E189" i="159"/>
  <c r="K189" i="159"/>
  <c r="G189" i="159"/>
  <c r="C189" i="159"/>
  <c r="I190" i="159"/>
  <c r="D190" i="159"/>
  <c r="J190" i="159"/>
  <c r="E190" i="159"/>
  <c r="K190" i="159"/>
  <c r="G190" i="159"/>
  <c r="C190" i="159"/>
  <c r="I191" i="159"/>
  <c r="D191" i="159"/>
  <c r="J191" i="159"/>
  <c r="E191" i="159"/>
  <c r="K191" i="159"/>
  <c r="G191" i="159"/>
  <c r="C191" i="159"/>
  <c r="I192" i="159"/>
  <c r="D192" i="159"/>
  <c r="J192" i="159"/>
  <c r="E192" i="159"/>
  <c r="K192" i="159"/>
  <c r="G192" i="159"/>
  <c r="C192" i="159"/>
  <c r="I193" i="159"/>
  <c r="D193" i="159"/>
  <c r="J193" i="159"/>
  <c r="E193" i="159"/>
  <c r="K193" i="159"/>
  <c r="G193" i="159"/>
  <c r="C193" i="159"/>
  <c r="I194" i="159"/>
  <c r="D194" i="159"/>
  <c r="J194" i="159"/>
  <c r="E194" i="159"/>
  <c r="K194" i="159"/>
  <c r="G194" i="159"/>
  <c r="C194" i="159"/>
  <c r="I195" i="159"/>
  <c r="D195" i="159"/>
  <c r="J195" i="159"/>
  <c r="E195" i="159"/>
  <c r="K195" i="159"/>
  <c r="G195" i="159"/>
  <c r="C195" i="159"/>
  <c r="I196" i="159"/>
  <c r="D196" i="159"/>
  <c r="J196" i="159"/>
  <c r="E196" i="159"/>
  <c r="K196" i="159"/>
  <c r="G196" i="159"/>
  <c r="C196" i="159"/>
  <c r="I197" i="159"/>
  <c r="D197" i="159"/>
  <c r="J197" i="159"/>
  <c r="E197" i="159"/>
  <c r="K197" i="159"/>
  <c r="G197" i="159"/>
  <c r="C197" i="159"/>
  <c r="I198" i="159"/>
  <c r="D198" i="159"/>
  <c r="J198" i="159"/>
  <c r="E198" i="159"/>
  <c r="K198" i="159"/>
  <c r="G198" i="159"/>
  <c r="C198" i="159"/>
  <c r="I199" i="159"/>
  <c r="D199" i="159"/>
  <c r="J199" i="159"/>
  <c r="E199" i="159"/>
  <c r="K199" i="159"/>
  <c r="G199" i="159"/>
  <c r="C199" i="159"/>
  <c r="I200" i="159"/>
  <c r="D200" i="159"/>
  <c r="J200" i="159"/>
  <c r="E200" i="159"/>
  <c r="K200" i="159"/>
  <c r="G200" i="159"/>
  <c r="C200" i="159"/>
  <c r="I201" i="159"/>
  <c r="D201" i="159"/>
  <c r="J201" i="159"/>
  <c r="E201" i="159"/>
  <c r="K201" i="159"/>
  <c r="G201" i="159"/>
  <c r="C201" i="159"/>
  <c r="I202" i="159"/>
  <c r="D202" i="159"/>
  <c r="J202" i="159"/>
  <c r="E202" i="159"/>
  <c r="K202" i="159"/>
  <c r="G202" i="159"/>
  <c r="C202" i="159"/>
  <c r="I203" i="159"/>
  <c r="D203" i="159"/>
  <c r="J203" i="159"/>
  <c r="E203" i="159"/>
  <c r="K203" i="159"/>
  <c r="G203" i="159"/>
  <c r="C203" i="159"/>
  <c r="I204" i="159"/>
  <c r="D204" i="159"/>
  <c r="J204" i="159"/>
  <c r="E204" i="159"/>
  <c r="K204" i="159"/>
  <c r="G204" i="159"/>
  <c r="C204" i="159"/>
  <c r="I205" i="159"/>
  <c r="D205" i="159"/>
  <c r="J205" i="159"/>
  <c r="E205" i="159"/>
  <c r="K205" i="159"/>
  <c r="G205" i="159"/>
  <c r="C205" i="159"/>
  <c r="I206" i="159"/>
  <c r="D206" i="159"/>
  <c r="J206" i="159"/>
  <c r="E206" i="159"/>
  <c r="K206" i="159"/>
  <c r="G206" i="159"/>
  <c r="C206" i="159"/>
  <c r="I207" i="159"/>
  <c r="D207" i="159"/>
  <c r="J207" i="159"/>
  <c r="E207" i="159"/>
  <c r="K207" i="159"/>
  <c r="G207" i="159"/>
  <c r="C207" i="159"/>
  <c r="I208" i="159"/>
  <c r="D208" i="159"/>
  <c r="J208" i="159"/>
  <c r="E208" i="159"/>
  <c r="K208" i="159"/>
  <c r="G208" i="159"/>
  <c r="C208" i="159"/>
  <c r="I209" i="159"/>
  <c r="D209" i="159"/>
  <c r="J209" i="159"/>
  <c r="E209" i="159"/>
  <c r="K209" i="159"/>
  <c r="G209" i="159"/>
  <c r="C209" i="159"/>
  <c r="I210" i="159"/>
  <c r="D210" i="159"/>
  <c r="J210" i="159"/>
  <c r="E210" i="159"/>
  <c r="K210" i="159"/>
  <c r="G210" i="159"/>
  <c r="C210" i="159"/>
  <c r="I211" i="159"/>
  <c r="D211" i="159"/>
  <c r="J211" i="159"/>
  <c r="E211" i="159"/>
  <c r="K211" i="159"/>
  <c r="G211" i="159"/>
  <c r="C211" i="159"/>
  <c r="I212" i="159"/>
  <c r="D212" i="159"/>
  <c r="J212" i="159"/>
  <c r="E212" i="159"/>
  <c r="K212" i="159"/>
  <c r="G212" i="159"/>
  <c r="C212" i="159"/>
  <c r="I213" i="159"/>
  <c r="D213" i="159"/>
  <c r="J213" i="159"/>
  <c r="E213" i="159"/>
  <c r="K213" i="159"/>
  <c r="G213" i="159"/>
  <c r="C213" i="159"/>
  <c r="I214" i="159"/>
  <c r="D214" i="159"/>
  <c r="J214" i="159"/>
  <c r="E214" i="159"/>
  <c r="K214" i="159"/>
  <c r="G214" i="159"/>
  <c r="C214" i="159"/>
  <c r="I215" i="159"/>
  <c r="D215" i="159"/>
  <c r="J215" i="159"/>
  <c r="E215" i="159"/>
  <c r="K215" i="159"/>
  <c r="G215" i="159"/>
  <c r="C215" i="159"/>
  <c r="I216" i="159"/>
  <c r="D216" i="159"/>
  <c r="J216" i="159"/>
  <c r="E216" i="159"/>
  <c r="K216" i="159"/>
  <c r="G216" i="159"/>
  <c r="C216" i="159"/>
  <c r="I217" i="159"/>
  <c r="D217" i="159"/>
  <c r="J217" i="159"/>
  <c r="E217" i="159"/>
  <c r="K217" i="159"/>
  <c r="G217" i="159"/>
  <c r="C217" i="159"/>
  <c r="I218" i="159"/>
  <c r="D218" i="159"/>
  <c r="J218" i="159"/>
  <c r="E218" i="159"/>
  <c r="K218" i="159"/>
  <c r="G218" i="159"/>
  <c r="C218" i="159"/>
  <c r="I219" i="159"/>
  <c r="D219" i="159"/>
  <c r="J219" i="159"/>
  <c r="E219" i="159"/>
  <c r="K219" i="159"/>
  <c r="G219" i="159"/>
  <c r="C219" i="159"/>
  <c r="I220" i="159"/>
  <c r="D220" i="159"/>
  <c r="J220" i="159"/>
  <c r="E220" i="159"/>
  <c r="K220" i="159"/>
  <c r="G220" i="159"/>
  <c r="C220" i="159"/>
  <c r="I221" i="159"/>
  <c r="D221" i="159"/>
  <c r="J221" i="159"/>
  <c r="E221" i="159"/>
  <c r="K221" i="159"/>
  <c r="G221" i="159"/>
  <c r="C221" i="159"/>
  <c r="I222" i="159"/>
  <c r="D222" i="159"/>
  <c r="J222" i="159"/>
  <c r="E222" i="159"/>
  <c r="K222" i="159"/>
  <c r="G222" i="159"/>
  <c r="C222" i="159"/>
  <c r="I223" i="159"/>
  <c r="D223" i="159"/>
  <c r="J223" i="159"/>
  <c r="E223" i="159"/>
  <c r="K223" i="159"/>
  <c r="G223" i="159"/>
  <c r="C223" i="159"/>
  <c r="I224" i="159"/>
  <c r="D224" i="159"/>
  <c r="J224" i="159"/>
  <c r="E224" i="159"/>
  <c r="K224" i="159"/>
  <c r="G224" i="159"/>
  <c r="C224" i="159"/>
  <c r="I225" i="159"/>
  <c r="D225" i="159"/>
  <c r="J225" i="159"/>
  <c r="E225" i="159"/>
  <c r="K225" i="159"/>
  <c r="G225" i="159"/>
  <c r="C225" i="159"/>
  <c r="I226" i="159"/>
  <c r="D226" i="159"/>
  <c r="J226" i="159"/>
  <c r="E226" i="159"/>
  <c r="K226" i="159"/>
  <c r="G226" i="159"/>
  <c r="C226" i="159"/>
  <c r="I227" i="159"/>
  <c r="D227" i="159"/>
  <c r="J227" i="159"/>
  <c r="E227" i="159"/>
  <c r="K227" i="159"/>
  <c r="G227" i="159"/>
  <c r="C227" i="159"/>
  <c r="I228" i="159"/>
  <c r="D228" i="159"/>
  <c r="J228" i="159"/>
  <c r="E228" i="159"/>
  <c r="K228" i="159"/>
  <c r="G228" i="159"/>
  <c r="C228" i="159"/>
  <c r="I229" i="159"/>
  <c r="D229" i="159"/>
  <c r="J229" i="159"/>
  <c r="E229" i="159"/>
  <c r="K229" i="159"/>
  <c r="G229" i="159"/>
  <c r="C229" i="159"/>
  <c r="I230" i="159"/>
  <c r="D230" i="159"/>
  <c r="J230" i="159"/>
  <c r="E230" i="159"/>
  <c r="K230" i="159"/>
  <c r="G230" i="159"/>
  <c r="C230" i="159"/>
  <c r="I231" i="159"/>
  <c r="D231" i="159"/>
  <c r="J231" i="159"/>
  <c r="E231" i="159"/>
  <c r="K231" i="159"/>
  <c r="G231" i="159"/>
  <c r="C231" i="159"/>
  <c r="I232" i="159"/>
  <c r="D232" i="159"/>
  <c r="J232" i="159"/>
  <c r="E232" i="159"/>
  <c r="K232" i="159"/>
  <c r="G232" i="159"/>
  <c r="C232" i="159"/>
  <c r="I233" i="159"/>
  <c r="D233" i="159"/>
  <c r="J233" i="159"/>
  <c r="E233" i="159"/>
  <c r="K233" i="159"/>
  <c r="G233" i="159"/>
  <c r="C233" i="159"/>
  <c r="I234" i="159"/>
  <c r="D234" i="159"/>
  <c r="J234" i="159"/>
  <c r="E234" i="159"/>
  <c r="K234" i="159"/>
  <c r="G234" i="159"/>
  <c r="C234" i="159"/>
  <c r="I235" i="159"/>
  <c r="D235" i="159"/>
  <c r="J235" i="159"/>
  <c r="E235" i="159"/>
  <c r="K235" i="159"/>
  <c r="G235" i="159"/>
  <c r="C235" i="159"/>
  <c r="I236" i="159"/>
  <c r="D236" i="159"/>
  <c r="J236" i="159"/>
  <c r="E236" i="159"/>
  <c r="K236" i="159"/>
  <c r="G236" i="159"/>
  <c r="C236" i="159"/>
  <c r="I237" i="159"/>
  <c r="D237" i="159"/>
  <c r="J237" i="159"/>
  <c r="E237" i="159"/>
  <c r="K237" i="159"/>
  <c r="G237" i="159"/>
  <c r="C237" i="159"/>
  <c r="I238" i="159"/>
  <c r="D238" i="159"/>
  <c r="J238" i="159"/>
  <c r="E238" i="159"/>
  <c r="K238" i="159"/>
  <c r="G238" i="159"/>
  <c r="C238" i="159"/>
  <c r="I239" i="159"/>
  <c r="D239" i="159"/>
  <c r="J239" i="159"/>
  <c r="E239" i="159"/>
  <c r="K239" i="159"/>
  <c r="G239" i="159"/>
  <c r="C239" i="159"/>
  <c r="I240" i="159"/>
  <c r="D240" i="159"/>
  <c r="J240" i="159"/>
  <c r="E240" i="159"/>
  <c r="K240" i="159"/>
  <c r="G240" i="159"/>
  <c r="C240" i="159"/>
  <c r="I241" i="159"/>
  <c r="D241" i="159"/>
  <c r="J241" i="159"/>
  <c r="E241" i="159"/>
  <c r="K241" i="159"/>
  <c r="G241" i="159"/>
  <c r="C241" i="159"/>
  <c r="I242" i="159"/>
  <c r="D242" i="159"/>
  <c r="J242" i="159"/>
  <c r="E242" i="159"/>
  <c r="K242" i="159"/>
  <c r="G242" i="159"/>
  <c r="C242" i="159"/>
  <c r="I243" i="159"/>
  <c r="D243" i="159"/>
  <c r="J243" i="159"/>
  <c r="E243" i="159"/>
  <c r="K243" i="159"/>
  <c r="G243" i="159"/>
  <c r="C243" i="159"/>
  <c r="I244" i="159"/>
  <c r="D244" i="159"/>
  <c r="J244" i="159"/>
  <c r="E244" i="159"/>
  <c r="K244" i="159"/>
  <c r="G244" i="159"/>
  <c r="C244" i="159"/>
  <c r="I245" i="159"/>
  <c r="D245" i="159"/>
  <c r="J245" i="159"/>
  <c r="E245" i="159"/>
  <c r="K245" i="159"/>
  <c r="G245" i="159"/>
  <c r="C245" i="159"/>
  <c r="I246" i="159"/>
  <c r="D246" i="159"/>
  <c r="J246" i="159"/>
  <c r="E246" i="159"/>
  <c r="K246" i="159"/>
  <c r="G246" i="159"/>
  <c r="C246" i="159"/>
  <c r="I247" i="159"/>
  <c r="D247" i="159"/>
  <c r="J247" i="159"/>
  <c r="E247" i="159"/>
  <c r="K247" i="159"/>
  <c r="G247" i="159"/>
  <c r="C247" i="159"/>
  <c r="I248" i="159"/>
  <c r="D248" i="159"/>
  <c r="J248" i="159"/>
  <c r="E248" i="159"/>
  <c r="K248" i="159"/>
  <c r="G248" i="159"/>
  <c r="C248" i="159"/>
  <c r="I249" i="159"/>
  <c r="D249" i="159"/>
  <c r="J249" i="159"/>
  <c r="E249" i="159"/>
  <c r="K249" i="159"/>
  <c r="G249" i="159"/>
  <c r="C249" i="159"/>
  <c r="I250" i="159"/>
  <c r="D250" i="159"/>
  <c r="J250" i="159"/>
  <c r="E250" i="159"/>
  <c r="K250" i="159"/>
  <c r="G250" i="159"/>
  <c r="C250" i="159"/>
  <c r="I251" i="159"/>
  <c r="D251" i="159"/>
  <c r="J251" i="159"/>
  <c r="E251" i="159"/>
  <c r="K251" i="159"/>
  <c r="G251" i="159"/>
  <c r="C251" i="159"/>
  <c r="I252" i="159"/>
  <c r="D252" i="159"/>
  <c r="J252" i="159"/>
  <c r="E252" i="159"/>
  <c r="K252" i="159"/>
  <c r="G252" i="159"/>
  <c r="C252" i="159"/>
  <c r="I253" i="159"/>
  <c r="D253" i="159"/>
  <c r="J253" i="159"/>
  <c r="E253" i="159"/>
  <c r="K253" i="159"/>
  <c r="G253" i="159"/>
  <c r="C253" i="159"/>
  <c r="I254" i="159"/>
  <c r="D254" i="159"/>
  <c r="J254" i="159"/>
  <c r="E254" i="159"/>
  <c r="K254" i="159"/>
  <c r="G254" i="159"/>
  <c r="C254" i="159"/>
  <c r="I255" i="159"/>
  <c r="D255" i="159"/>
  <c r="J255" i="159"/>
  <c r="E255" i="159"/>
  <c r="K255" i="159"/>
  <c r="G255" i="159"/>
  <c r="C255" i="159"/>
  <c r="I256" i="159"/>
  <c r="D256" i="159"/>
  <c r="J256" i="159"/>
  <c r="E256" i="159"/>
  <c r="K256" i="159"/>
  <c r="G256" i="159"/>
  <c r="C256" i="159"/>
  <c r="I257" i="159"/>
  <c r="D257" i="159"/>
  <c r="J257" i="159"/>
  <c r="E257" i="159"/>
  <c r="K257" i="159"/>
  <c r="G257" i="159"/>
  <c r="C257" i="159"/>
  <c r="I258" i="159"/>
  <c r="D258" i="159"/>
  <c r="J258" i="159"/>
  <c r="E258" i="159"/>
  <c r="K258" i="159"/>
  <c r="G258" i="159"/>
  <c r="C258" i="159"/>
  <c r="I259" i="159"/>
  <c r="D259" i="159"/>
  <c r="J259" i="159"/>
  <c r="E259" i="159"/>
  <c r="K259" i="159"/>
  <c r="G259" i="159"/>
  <c r="C259" i="159"/>
  <c r="I260" i="159"/>
  <c r="D260" i="159"/>
  <c r="J260" i="159"/>
  <c r="E260" i="159"/>
  <c r="K260" i="159"/>
  <c r="G260" i="159"/>
  <c r="C260" i="159"/>
  <c r="I261" i="159"/>
  <c r="D261" i="159"/>
  <c r="J261" i="159"/>
  <c r="E261" i="159"/>
  <c r="K261" i="159"/>
  <c r="G261" i="159"/>
  <c r="C261" i="159"/>
  <c r="I262" i="159"/>
  <c r="D262" i="159"/>
  <c r="J262" i="159"/>
  <c r="E262" i="159"/>
  <c r="K262" i="159"/>
  <c r="G262" i="159"/>
  <c r="C262" i="159"/>
  <c r="I263" i="159"/>
  <c r="D263" i="159"/>
  <c r="J263" i="159"/>
  <c r="E263" i="159"/>
  <c r="K263" i="159"/>
  <c r="G263" i="159"/>
  <c r="C263" i="159"/>
  <c r="I264" i="159"/>
  <c r="D264" i="159"/>
  <c r="J264" i="159"/>
  <c r="E264" i="159"/>
  <c r="K264" i="159"/>
  <c r="G264" i="159"/>
  <c r="C264" i="159"/>
  <c r="I265" i="159"/>
  <c r="D265" i="159"/>
  <c r="J265" i="159"/>
  <c r="E265" i="159"/>
  <c r="K265" i="159"/>
  <c r="G265" i="159"/>
  <c r="C265" i="159"/>
  <c r="I266" i="159"/>
  <c r="D266" i="159"/>
  <c r="J266" i="159"/>
  <c r="E266" i="159"/>
  <c r="K266" i="159"/>
  <c r="G266" i="159"/>
  <c r="C266" i="159"/>
  <c r="I267" i="159"/>
  <c r="D267" i="159"/>
  <c r="J267" i="159"/>
  <c r="E267" i="159"/>
  <c r="K267" i="159"/>
  <c r="G267" i="159"/>
  <c r="C267" i="159"/>
  <c r="I268" i="159"/>
  <c r="D268" i="159"/>
  <c r="J268" i="159"/>
  <c r="E268" i="159"/>
  <c r="K268" i="159"/>
  <c r="G268" i="159"/>
  <c r="C268" i="159"/>
  <c r="I269" i="159"/>
  <c r="D269" i="159"/>
  <c r="J269" i="159"/>
  <c r="E269" i="159"/>
  <c r="K269" i="159"/>
  <c r="G269" i="159"/>
  <c r="C269" i="159"/>
  <c r="I270" i="159"/>
  <c r="D270" i="159"/>
  <c r="J270" i="159"/>
  <c r="E270" i="159"/>
  <c r="K270" i="159"/>
  <c r="G270" i="159"/>
  <c r="C270" i="159"/>
  <c r="I271" i="159"/>
  <c r="D271" i="159"/>
  <c r="J271" i="159"/>
  <c r="E271" i="159"/>
  <c r="K271" i="159"/>
  <c r="G271" i="159"/>
  <c r="C271" i="159"/>
  <c r="I272" i="159"/>
  <c r="D272" i="159"/>
  <c r="J272" i="159"/>
  <c r="E272" i="159"/>
  <c r="K272" i="159"/>
  <c r="G272" i="159"/>
  <c r="C272" i="159"/>
  <c r="I273" i="159"/>
  <c r="D273" i="159"/>
  <c r="J273" i="159"/>
  <c r="E273" i="159"/>
  <c r="K273" i="159"/>
  <c r="G273" i="159"/>
  <c r="C273" i="159"/>
  <c r="I274" i="159"/>
  <c r="D274" i="159"/>
  <c r="J274" i="159"/>
  <c r="E274" i="159"/>
  <c r="K274" i="159"/>
  <c r="G274" i="159"/>
  <c r="C274" i="159"/>
  <c r="I275" i="159"/>
  <c r="D275" i="159"/>
  <c r="J275" i="159"/>
  <c r="E275" i="159"/>
  <c r="K275" i="159"/>
  <c r="G275" i="159"/>
  <c r="C275" i="159"/>
  <c r="I276" i="159"/>
  <c r="D276" i="159"/>
  <c r="J276" i="159"/>
  <c r="E276" i="159"/>
  <c r="K276" i="159"/>
  <c r="G276" i="159"/>
  <c r="C276" i="159"/>
  <c r="I277" i="159"/>
  <c r="D277" i="159"/>
  <c r="J277" i="159"/>
  <c r="E277" i="159"/>
  <c r="K277" i="159"/>
  <c r="G277" i="159"/>
  <c r="C277" i="159"/>
  <c r="I278" i="159"/>
  <c r="D278" i="159"/>
  <c r="J278" i="159"/>
  <c r="E278" i="159"/>
  <c r="K278" i="159"/>
  <c r="G278" i="159"/>
  <c r="C278" i="159"/>
  <c r="I279" i="159"/>
  <c r="D279" i="159"/>
  <c r="J279" i="159"/>
  <c r="E279" i="159"/>
  <c r="K279" i="159"/>
  <c r="G279" i="159"/>
  <c r="C279" i="159"/>
  <c r="I280" i="159"/>
  <c r="D280" i="159"/>
  <c r="J280" i="159"/>
  <c r="E280" i="159"/>
  <c r="K280" i="159"/>
  <c r="G280" i="159"/>
  <c r="C280" i="159"/>
  <c r="I281" i="159"/>
  <c r="D281" i="159"/>
  <c r="J281" i="159"/>
  <c r="E281" i="159"/>
  <c r="K281" i="159"/>
  <c r="G281" i="159"/>
  <c r="C281" i="159"/>
  <c r="I282" i="159"/>
  <c r="D282" i="159"/>
  <c r="J282" i="159"/>
  <c r="E282" i="159"/>
  <c r="K282" i="159"/>
  <c r="G282" i="159"/>
  <c r="C282" i="159"/>
  <c r="I283" i="159"/>
  <c r="D283" i="159"/>
  <c r="J283" i="159"/>
  <c r="E283" i="159"/>
  <c r="K283" i="159"/>
  <c r="G283" i="159"/>
  <c r="C283" i="159"/>
  <c r="I284" i="159"/>
  <c r="D284" i="159"/>
  <c r="J284" i="159"/>
  <c r="E284" i="159"/>
  <c r="K284" i="159"/>
  <c r="G284" i="159"/>
  <c r="C284" i="159"/>
  <c r="I285" i="159"/>
  <c r="D285" i="159"/>
  <c r="J285" i="159"/>
  <c r="E285" i="159"/>
  <c r="K285" i="159"/>
  <c r="G285" i="159"/>
  <c r="C285" i="159"/>
  <c r="I286" i="159"/>
  <c r="D286" i="159"/>
  <c r="J286" i="159"/>
  <c r="E286" i="159"/>
  <c r="K286" i="159"/>
  <c r="G286" i="159"/>
  <c r="C286" i="159"/>
  <c r="I287" i="159"/>
  <c r="D287" i="159"/>
  <c r="J287" i="159"/>
  <c r="E287" i="159"/>
  <c r="K287" i="159"/>
  <c r="G287" i="159"/>
  <c r="C287" i="159"/>
  <c r="I288" i="159"/>
  <c r="D288" i="159"/>
  <c r="J288" i="159"/>
  <c r="E288" i="159"/>
  <c r="K288" i="159"/>
  <c r="G288" i="159"/>
  <c r="C288" i="159"/>
  <c r="I289" i="159"/>
  <c r="D289" i="159"/>
  <c r="J289" i="159"/>
  <c r="E289" i="159"/>
  <c r="K289" i="159"/>
  <c r="G289" i="159"/>
  <c r="C289" i="159"/>
  <c r="I290" i="159"/>
  <c r="D290" i="159"/>
  <c r="J290" i="159"/>
  <c r="E290" i="159"/>
  <c r="K290" i="159"/>
  <c r="G290" i="159"/>
  <c r="C290" i="159"/>
  <c r="I291" i="159"/>
  <c r="D291" i="159"/>
  <c r="J291" i="159"/>
  <c r="E291" i="159"/>
  <c r="K291" i="159"/>
  <c r="G291" i="159"/>
  <c r="C291" i="159"/>
  <c r="I292" i="159"/>
  <c r="D292" i="159"/>
  <c r="J292" i="159"/>
  <c r="E292" i="159"/>
  <c r="K292" i="159"/>
  <c r="G292" i="159"/>
  <c r="C292" i="159"/>
  <c r="I293" i="159"/>
  <c r="D293" i="159"/>
  <c r="J293" i="159"/>
  <c r="E293" i="159"/>
  <c r="K293" i="159"/>
  <c r="G293" i="159"/>
  <c r="C293" i="159"/>
  <c r="I294" i="159"/>
  <c r="D294" i="159"/>
  <c r="J294" i="159"/>
  <c r="E294" i="159"/>
  <c r="K294" i="159"/>
  <c r="G294" i="159"/>
  <c r="C294" i="159"/>
  <c r="I295" i="159"/>
  <c r="D295" i="159"/>
  <c r="J295" i="159"/>
  <c r="E295" i="159"/>
  <c r="K295" i="159"/>
  <c r="G295" i="159"/>
  <c r="C295" i="159"/>
  <c r="I296" i="159"/>
  <c r="D296" i="159"/>
  <c r="J296" i="159"/>
  <c r="E296" i="159"/>
  <c r="K296" i="159"/>
  <c r="G296" i="159"/>
  <c r="C296" i="159"/>
  <c r="I297" i="159"/>
  <c r="D297" i="159"/>
  <c r="J297" i="159"/>
  <c r="E297" i="159"/>
  <c r="K297" i="159"/>
  <c r="G297" i="159"/>
  <c r="C297" i="159"/>
  <c r="I298" i="159"/>
  <c r="D298" i="159"/>
  <c r="J298" i="159"/>
  <c r="E298" i="159"/>
  <c r="K298" i="159"/>
  <c r="G298" i="159"/>
  <c r="C298" i="159"/>
  <c r="I299" i="159"/>
  <c r="D299" i="159"/>
  <c r="J299" i="159"/>
  <c r="E299" i="159"/>
  <c r="K299" i="159"/>
  <c r="G299" i="159"/>
  <c r="C299" i="159"/>
  <c r="I300" i="159"/>
  <c r="D300" i="159"/>
  <c r="J300" i="159"/>
  <c r="E300" i="159"/>
  <c r="K300" i="159"/>
  <c r="G300" i="159"/>
  <c r="C300" i="159"/>
  <c r="I301" i="159"/>
  <c r="D301" i="159"/>
  <c r="J301" i="159"/>
  <c r="E301" i="159"/>
  <c r="K301" i="159"/>
  <c r="G301" i="159"/>
  <c r="C301" i="159"/>
  <c r="I302" i="159"/>
  <c r="D302" i="159"/>
  <c r="J302" i="159"/>
  <c r="E302" i="159"/>
  <c r="K302" i="159"/>
  <c r="G302" i="159"/>
  <c r="C302" i="159"/>
  <c r="I303" i="159"/>
  <c r="D303" i="159"/>
  <c r="J303" i="159"/>
  <c r="E303" i="159"/>
  <c r="K303" i="159"/>
  <c r="G303" i="159"/>
  <c r="C303" i="159"/>
  <c r="I304" i="159"/>
  <c r="D304" i="159"/>
  <c r="J304" i="159"/>
  <c r="E304" i="159"/>
  <c r="K304" i="159"/>
  <c r="G304" i="159"/>
  <c r="C304" i="159"/>
  <c r="I305" i="159"/>
  <c r="D305" i="159"/>
  <c r="J305" i="159"/>
  <c r="E305" i="159"/>
  <c r="K305" i="159"/>
  <c r="G305" i="159"/>
  <c r="C305" i="159"/>
  <c r="I306" i="159"/>
  <c r="D306" i="159"/>
  <c r="J306" i="159"/>
  <c r="E306" i="159"/>
  <c r="K306" i="159"/>
  <c r="G306" i="159"/>
  <c r="C306" i="159"/>
  <c r="I307" i="159"/>
  <c r="D307" i="159"/>
  <c r="J307" i="159"/>
  <c r="E307" i="159"/>
  <c r="K307" i="159"/>
  <c r="G307" i="159"/>
  <c r="C307" i="159"/>
  <c r="I308" i="159"/>
  <c r="D308" i="159"/>
  <c r="J308" i="159"/>
  <c r="E308" i="159"/>
  <c r="K308" i="159"/>
  <c r="G308" i="159"/>
  <c r="C308" i="159"/>
  <c r="I309" i="159"/>
  <c r="D309" i="159"/>
  <c r="J309" i="159"/>
  <c r="E309" i="159"/>
  <c r="K309" i="159"/>
  <c r="G309" i="159"/>
  <c r="C309" i="159"/>
  <c r="I310" i="159"/>
  <c r="D310" i="159"/>
  <c r="J310" i="159"/>
  <c r="E310" i="159"/>
  <c r="K310" i="159"/>
  <c r="G310" i="159"/>
  <c r="C310" i="159"/>
  <c r="I311" i="159"/>
  <c r="D311" i="159"/>
  <c r="J311" i="159"/>
  <c r="E311" i="159"/>
  <c r="K311" i="159"/>
  <c r="G311" i="159"/>
  <c r="C311" i="159"/>
  <c r="I312" i="159"/>
  <c r="D312" i="159"/>
  <c r="J312" i="159"/>
  <c r="E312" i="159"/>
  <c r="K312" i="159"/>
  <c r="G312" i="159"/>
  <c r="C312" i="159"/>
  <c r="I313" i="159"/>
  <c r="D313" i="159"/>
  <c r="J313" i="159"/>
  <c r="E313" i="159"/>
  <c r="K313" i="159"/>
  <c r="G313" i="159"/>
  <c r="C313" i="159"/>
  <c r="I314" i="159"/>
  <c r="D314" i="159"/>
  <c r="J314" i="159"/>
  <c r="E314" i="159"/>
  <c r="K314" i="159"/>
  <c r="G314" i="159"/>
  <c r="C314" i="159"/>
  <c r="I315" i="159"/>
  <c r="D315" i="159"/>
  <c r="J315" i="159"/>
  <c r="E315" i="159"/>
  <c r="K315" i="159"/>
  <c r="G315" i="159"/>
  <c r="C315" i="159"/>
  <c r="I316" i="159"/>
  <c r="D316" i="159"/>
  <c r="J316" i="159"/>
  <c r="E316" i="159"/>
  <c r="K316" i="159"/>
  <c r="G316" i="159"/>
  <c r="C316" i="159"/>
  <c r="I317" i="159"/>
  <c r="D317" i="159"/>
  <c r="J317" i="159"/>
  <c r="E317" i="159"/>
  <c r="K317" i="159"/>
  <c r="G317" i="159"/>
  <c r="C317" i="159"/>
  <c r="I318" i="159"/>
  <c r="D318" i="159"/>
  <c r="J318" i="159"/>
  <c r="E318" i="159"/>
  <c r="K318" i="159"/>
  <c r="G318" i="159"/>
  <c r="C318" i="159"/>
  <c r="I319" i="159"/>
  <c r="D319" i="159"/>
  <c r="J319" i="159"/>
  <c r="E319" i="159"/>
  <c r="K319" i="159"/>
  <c r="G319" i="159"/>
  <c r="C319" i="159"/>
  <c r="I320" i="159"/>
  <c r="D320" i="159"/>
  <c r="J320" i="159"/>
  <c r="E320" i="159"/>
  <c r="K320" i="159"/>
  <c r="G320" i="159"/>
  <c r="C320" i="159"/>
  <c r="I321" i="159"/>
  <c r="D321" i="159"/>
  <c r="J321" i="159"/>
  <c r="E321" i="159"/>
  <c r="K321" i="159"/>
  <c r="G321" i="159"/>
  <c r="C321" i="159"/>
  <c r="I322" i="159"/>
  <c r="D322" i="159"/>
  <c r="J322" i="159"/>
  <c r="E322" i="159"/>
  <c r="K322" i="159"/>
  <c r="G322" i="159"/>
  <c r="C322" i="159"/>
  <c r="I323" i="159"/>
  <c r="D323" i="159"/>
  <c r="J323" i="159"/>
  <c r="E323" i="159"/>
  <c r="K323" i="159"/>
  <c r="G323" i="159"/>
  <c r="C323" i="159"/>
  <c r="I324" i="159"/>
  <c r="D324" i="159"/>
  <c r="J324" i="159"/>
  <c r="E324" i="159"/>
  <c r="K324" i="159"/>
  <c r="G324" i="159"/>
  <c r="C324" i="159"/>
  <c r="F8" i="158"/>
  <c r="E8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35" i="158"/>
  <c r="B35" i="158"/>
  <c r="E36" i="158"/>
  <c r="B36" i="158"/>
  <c r="E37" i="158"/>
  <c r="E38" i="158"/>
  <c r="B38" i="158"/>
  <c r="B37" i="158"/>
  <c r="E34" i="158"/>
  <c r="B34" i="158"/>
  <c r="E39" i="158"/>
  <c r="B39" i="158"/>
  <c r="B32" i="158"/>
  <c r="E33" i="158"/>
  <c r="B33" i="158"/>
  <c r="E40" i="158"/>
  <c r="B40" i="158"/>
  <c r="E41" i="158"/>
  <c r="B41" i="158"/>
  <c r="F6" i="158"/>
  <c r="E6" i="158"/>
  <c r="E42" i="158"/>
  <c r="B42" i="158"/>
  <c r="E43" i="158"/>
  <c r="B43" i="158"/>
  <c r="E44" i="158"/>
  <c r="B44" i="158"/>
  <c r="C49" i="158"/>
  <c r="F5" i="158"/>
  <c r="E5" i="158"/>
  <c r="E29" i="158"/>
  <c r="B29" i="158"/>
  <c r="E28" i="158"/>
  <c r="B28" i="158"/>
  <c r="E27" i="158"/>
  <c r="B27" i="158"/>
  <c r="F7" i="158"/>
  <c r="E7" i="158"/>
  <c r="E26" i="158"/>
  <c r="B26" i="158"/>
  <c r="E25" i="158"/>
  <c r="B25" i="158"/>
  <c r="E24" i="158"/>
  <c r="B24" i="158"/>
  <c r="E23" i="158"/>
  <c r="B23" i="158"/>
  <c r="E22" i="158"/>
  <c r="B22" i="158"/>
  <c r="E21" i="158"/>
  <c r="B21" i="158"/>
  <c r="E20" i="158"/>
  <c r="B20" i="158"/>
  <c r="E19" i="158"/>
  <c r="B19" i="158"/>
  <c r="B17" i="158"/>
  <c r="E18" i="158"/>
  <c r="B18" i="158"/>
  <c r="G49" i="149"/>
  <c r="A2" i="149"/>
  <c r="I43" i="150"/>
  <c r="D43" i="150"/>
  <c r="J43" i="150"/>
  <c r="E43" i="150"/>
  <c r="K43" i="150"/>
  <c r="G43" i="150"/>
  <c r="C43" i="150"/>
  <c r="I2" i="150"/>
  <c r="D2" i="150"/>
  <c r="J2" i="150"/>
  <c r="E2" i="150"/>
  <c r="K2" i="150"/>
  <c r="G2" i="150"/>
  <c r="C2" i="150"/>
  <c r="I3" i="150"/>
  <c r="D3" i="150"/>
  <c r="J3" i="150"/>
  <c r="E3" i="150"/>
  <c r="K3" i="150"/>
  <c r="G3" i="150"/>
  <c r="C3" i="150"/>
  <c r="I4" i="150"/>
  <c r="D4" i="150"/>
  <c r="J4" i="150"/>
  <c r="E4" i="150"/>
  <c r="K4" i="150"/>
  <c r="G4" i="150"/>
  <c r="C4" i="150"/>
  <c r="I5" i="150"/>
  <c r="D5" i="150"/>
  <c r="J5" i="150"/>
  <c r="E5" i="150"/>
  <c r="K5" i="150"/>
  <c r="G5" i="150"/>
  <c r="C5" i="150"/>
  <c r="I6" i="150"/>
  <c r="D6" i="150"/>
  <c r="J6" i="150"/>
  <c r="E6" i="150"/>
  <c r="K6" i="150"/>
  <c r="G6" i="150"/>
  <c r="C6" i="150"/>
  <c r="I7" i="150"/>
  <c r="D7" i="150"/>
  <c r="J7" i="150"/>
  <c r="E7" i="150"/>
  <c r="K7" i="150"/>
  <c r="G7" i="150"/>
  <c r="C7" i="150"/>
  <c r="I8" i="150"/>
  <c r="D8" i="150"/>
  <c r="J8" i="150"/>
  <c r="E8" i="150"/>
  <c r="K8" i="150"/>
  <c r="G8" i="150"/>
  <c r="C8" i="150"/>
  <c r="I9" i="150"/>
  <c r="D9" i="150"/>
  <c r="J9" i="150"/>
  <c r="E9" i="150"/>
  <c r="K9" i="150"/>
  <c r="G9" i="150"/>
  <c r="C9" i="150"/>
  <c r="I10" i="150"/>
  <c r="D10" i="150"/>
  <c r="J10" i="150"/>
  <c r="E10" i="150"/>
  <c r="K10" i="150"/>
  <c r="G10" i="150"/>
  <c r="C10" i="150"/>
  <c r="I11" i="150"/>
  <c r="D11" i="150"/>
  <c r="J11" i="150"/>
  <c r="E11" i="150"/>
  <c r="K11" i="150"/>
  <c r="G11" i="150"/>
  <c r="C11" i="150"/>
  <c r="I12" i="150"/>
  <c r="D12" i="150"/>
  <c r="J12" i="150"/>
  <c r="E12" i="150"/>
  <c r="K12" i="150"/>
  <c r="G12" i="150"/>
  <c r="C12" i="150"/>
  <c r="I13" i="150"/>
  <c r="D13" i="150"/>
  <c r="J13" i="150"/>
  <c r="E13" i="150"/>
  <c r="K13" i="150"/>
  <c r="G13" i="150"/>
  <c r="C13" i="150"/>
  <c r="I14" i="150"/>
  <c r="D14" i="150"/>
  <c r="J14" i="150"/>
  <c r="E14" i="150"/>
  <c r="K14" i="150"/>
  <c r="G14" i="150"/>
  <c r="C14" i="150"/>
  <c r="I15" i="150"/>
  <c r="D15" i="150"/>
  <c r="J15" i="150"/>
  <c r="E15" i="150"/>
  <c r="K15" i="150"/>
  <c r="G15" i="150"/>
  <c r="C15" i="150"/>
  <c r="I16" i="150"/>
  <c r="D16" i="150"/>
  <c r="J16" i="150"/>
  <c r="E16" i="150"/>
  <c r="K16" i="150"/>
  <c r="G16" i="150"/>
  <c r="C16" i="150"/>
  <c r="I17" i="150"/>
  <c r="D17" i="150"/>
  <c r="J17" i="150"/>
  <c r="E17" i="150"/>
  <c r="K17" i="150"/>
  <c r="G17" i="150"/>
  <c r="C17" i="150"/>
  <c r="I18" i="150"/>
  <c r="D18" i="150"/>
  <c r="J18" i="150"/>
  <c r="E18" i="150"/>
  <c r="K18" i="150"/>
  <c r="G18" i="150"/>
  <c r="C18" i="150"/>
  <c r="I19" i="150"/>
  <c r="D19" i="150"/>
  <c r="J19" i="150"/>
  <c r="E19" i="150"/>
  <c r="K19" i="150"/>
  <c r="G19" i="150"/>
  <c r="C19" i="150"/>
  <c r="I20" i="150"/>
  <c r="D20" i="150"/>
  <c r="J20" i="150"/>
  <c r="E20" i="150"/>
  <c r="K20" i="150"/>
  <c r="G20" i="150"/>
  <c r="C20" i="150"/>
  <c r="I21" i="150"/>
  <c r="D21" i="150"/>
  <c r="J21" i="150"/>
  <c r="E21" i="150"/>
  <c r="K21" i="150"/>
  <c r="G21" i="150"/>
  <c r="C21" i="150"/>
  <c r="I22" i="150"/>
  <c r="D22" i="150"/>
  <c r="J22" i="150"/>
  <c r="E22" i="150"/>
  <c r="K22" i="150"/>
  <c r="G22" i="150"/>
  <c r="C22" i="150"/>
  <c r="I23" i="150"/>
  <c r="D23" i="150"/>
  <c r="J23" i="150"/>
  <c r="E23" i="150"/>
  <c r="K23" i="150"/>
  <c r="G23" i="150"/>
  <c r="C23" i="150"/>
  <c r="I24" i="150"/>
  <c r="D24" i="150"/>
  <c r="J24" i="150"/>
  <c r="E24" i="150"/>
  <c r="K24" i="150"/>
  <c r="G24" i="150"/>
  <c r="C24" i="150"/>
  <c r="I25" i="150"/>
  <c r="D25" i="150"/>
  <c r="J25" i="150"/>
  <c r="E25" i="150"/>
  <c r="K25" i="150"/>
  <c r="G25" i="150"/>
  <c r="C25" i="150"/>
  <c r="I26" i="150"/>
  <c r="D26" i="150"/>
  <c r="J26" i="150"/>
  <c r="E26" i="150"/>
  <c r="K26" i="150"/>
  <c r="G26" i="150"/>
  <c r="C26" i="150"/>
  <c r="I27" i="150"/>
  <c r="D27" i="150"/>
  <c r="J27" i="150"/>
  <c r="E27" i="150"/>
  <c r="K27" i="150"/>
  <c r="G27" i="150"/>
  <c r="C27" i="150"/>
  <c r="I28" i="150"/>
  <c r="D28" i="150"/>
  <c r="J28" i="150"/>
  <c r="E28" i="150"/>
  <c r="K28" i="150"/>
  <c r="G28" i="150"/>
  <c r="C28" i="150"/>
  <c r="I29" i="150"/>
  <c r="D29" i="150"/>
  <c r="J29" i="150"/>
  <c r="E29" i="150"/>
  <c r="K29" i="150"/>
  <c r="G29" i="150"/>
  <c r="C29" i="150"/>
  <c r="I30" i="150"/>
  <c r="D30" i="150"/>
  <c r="J30" i="150"/>
  <c r="E30" i="150"/>
  <c r="K30" i="150"/>
  <c r="G30" i="150"/>
  <c r="C30" i="150"/>
  <c r="I31" i="150"/>
  <c r="D31" i="150"/>
  <c r="J31" i="150"/>
  <c r="E31" i="150"/>
  <c r="K31" i="150"/>
  <c r="G31" i="150"/>
  <c r="C31" i="150"/>
  <c r="I32" i="150"/>
  <c r="D32" i="150"/>
  <c r="J32" i="150"/>
  <c r="E32" i="150"/>
  <c r="K32" i="150"/>
  <c r="G32" i="150"/>
  <c r="C32" i="150"/>
  <c r="I33" i="150"/>
  <c r="D33" i="150"/>
  <c r="J33" i="150"/>
  <c r="E33" i="150"/>
  <c r="K33" i="150"/>
  <c r="G33" i="150"/>
  <c r="C33" i="150"/>
  <c r="I34" i="150"/>
  <c r="D34" i="150"/>
  <c r="J34" i="150"/>
  <c r="E34" i="150"/>
  <c r="K34" i="150"/>
  <c r="G34" i="150"/>
  <c r="C34" i="150"/>
  <c r="I35" i="150"/>
  <c r="D35" i="150"/>
  <c r="J35" i="150"/>
  <c r="E35" i="150"/>
  <c r="K35" i="150"/>
  <c r="G35" i="150"/>
  <c r="C35" i="150"/>
  <c r="I36" i="150"/>
  <c r="D36" i="150"/>
  <c r="J36" i="150"/>
  <c r="E36" i="150"/>
  <c r="K36" i="150"/>
  <c r="G36" i="150"/>
  <c r="C36" i="150"/>
  <c r="I37" i="150"/>
  <c r="D37" i="150"/>
  <c r="J37" i="150"/>
  <c r="E37" i="150"/>
  <c r="K37" i="150"/>
  <c r="G37" i="150"/>
  <c r="C37" i="150"/>
  <c r="I38" i="150"/>
  <c r="D38" i="150"/>
  <c r="J38" i="150"/>
  <c r="E38" i="150"/>
  <c r="K38" i="150"/>
  <c r="G38" i="150"/>
  <c r="C38" i="150"/>
  <c r="I39" i="150"/>
  <c r="D39" i="150"/>
  <c r="J39" i="150"/>
  <c r="E39" i="150"/>
  <c r="K39" i="150"/>
  <c r="G39" i="150"/>
  <c r="C39" i="150"/>
  <c r="I40" i="150"/>
  <c r="D40" i="150"/>
  <c r="J40" i="150"/>
  <c r="E40" i="150"/>
  <c r="K40" i="150"/>
  <c r="G40" i="150"/>
  <c r="C40" i="150"/>
  <c r="I41" i="150"/>
  <c r="D41" i="150"/>
  <c r="J41" i="150"/>
  <c r="E41" i="150"/>
  <c r="K41" i="150"/>
  <c r="G41" i="150"/>
  <c r="C41" i="150"/>
  <c r="I42" i="150"/>
  <c r="D42" i="150"/>
  <c r="J42" i="150"/>
  <c r="E42" i="150"/>
  <c r="K42" i="150"/>
  <c r="G42" i="150"/>
  <c r="C42" i="150"/>
  <c r="I44" i="150"/>
  <c r="D44" i="150"/>
  <c r="J44" i="150"/>
  <c r="E44" i="150"/>
  <c r="K44" i="150"/>
  <c r="G44" i="150"/>
  <c r="C44" i="150"/>
  <c r="I45" i="150"/>
  <c r="D45" i="150"/>
  <c r="J45" i="150"/>
  <c r="E45" i="150"/>
  <c r="K45" i="150"/>
  <c r="G45" i="150"/>
  <c r="C45" i="150"/>
  <c r="I46" i="150"/>
  <c r="D46" i="150"/>
  <c r="J46" i="150"/>
  <c r="E46" i="150"/>
  <c r="K46" i="150"/>
  <c r="G46" i="150"/>
  <c r="C46" i="150"/>
  <c r="I47" i="150"/>
  <c r="D47" i="150"/>
  <c r="J47" i="150"/>
  <c r="E47" i="150"/>
  <c r="K47" i="150"/>
  <c r="G47" i="150"/>
  <c r="C47" i="150"/>
  <c r="I48" i="150"/>
  <c r="D48" i="150"/>
  <c r="J48" i="150"/>
  <c r="E48" i="150"/>
  <c r="K48" i="150"/>
  <c r="G48" i="150"/>
  <c r="C48" i="150"/>
  <c r="I49" i="150"/>
  <c r="D49" i="150"/>
  <c r="J49" i="150"/>
  <c r="E49" i="150"/>
  <c r="K49" i="150"/>
  <c r="G49" i="150"/>
  <c r="C49" i="150"/>
  <c r="I50" i="150"/>
  <c r="D50" i="150"/>
  <c r="J50" i="150"/>
  <c r="E50" i="150"/>
  <c r="K50" i="150"/>
  <c r="G50" i="150"/>
  <c r="C50" i="150"/>
  <c r="I51" i="150"/>
  <c r="D51" i="150"/>
  <c r="J51" i="150"/>
  <c r="E51" i="150"/>
  <c r="K51" i="150"/>
  <c r="G51" i="150"/>
  <c r="C51" i="150"/>
  <c r="I52" i="150"/>
  <c r="D52" i="150"/>
  <c r="J52" i="150"/>
  <c r="E52" i="150"/>
  <c r="K52" i="150"/>
  <c r="G52" i="150"/>
  <c r="C52" i="150"/>
  <c r="I53" i="150"/>
  <c r="D53" i="150"/>
  <c r="J53" i="150"/>
  <c r="E53" i="150"/>
  <c r="K53" i="150"/>
  <c r="G53" i="150"/>
  <c r="C53" i="150"/>
  <c r="I54" i="150"/>
  <c r="D54" i="150"/>
  <c r="J54" i="150"/>
  <c r="E54" i="150"/>
  <c r="K54" i="150"/>
  <c r="G54" i="150"/>
  <c r="C54" i="150"/>
  <c r="I55" i="150"/>
  <c r="D55" i="150"/>
  <c r="J55" i="150"/>
  <c r="E55" i="150"/>
  <c r="K55" i="150"/>
  <c r="G55" i="150"/>
  <c r="C55" i="150"/>
  <c r="I56" i="150"/>
  <c r="D56" i="150"/>
  <c r="J56" i="150"/>
  <c r="E56" i="150"/>
  <c r="K56" i="150"/>
  <c r="G56" i="150"/>
  <c r="C56" i="150"/>
  <c r="I57" i="150"/>
  <c r="D57" i="150"/>
  <c r="J57" i="150"/>
  <c r="E57" i="150"/>
  <c r="K57" i="150"/>
  <c r="G57" i="150"/>
  <c r="C57" i="150"/>
  <c r="I58" i="150"/>
  <c r="D58" i="150"/>
  <c r="J58" i="150"/>
  <c r="E58" i="150"/>
  <c r="K58" i="150"/>
  <c r="G58" i="150"/>
  <c r="C58" i="150"/>
  <c r="I59" i="150"/>
  <c r="D59" i="150"/>
  <c r="J59" i="150"/>
  <c r="E59" i="150"/>
  <c r="K59" i="150"/>
  <c r="G59" i="150"/>
  <c r="C59" i="150"/>
  <c r="I60" i="150"/>
  <c r="D60" i="150"/>
  <c r="J60" i="150"/>
  <c r="E60" i="150"/>
  <c r="K60" i="150"/>
  <c r="G60" i="150"/>
  <c r="C60" i="150"/>
  <c r="I61" i="150"/>
  <c r="D61" i="150"/>
  <c r="J61" i="150"/>
  <c r="E61" i="150"/>
  <c r="K61" i="150"/>
  <c r="G61" i="150"/>
  <c r="C61" i="150"/>
  <c r="I62" i="150"/>
  <c r="D62" i="150"/>
  <c r="J62" i="150"/>
  <c r="E62" i="150"/>
  <c r="K62" i="150"/>
  <c r="G62" i="150"/>
  <c r="C62" i="150"/>
  <c r="I63" i="150"/>
  <c r="D63" i="150"/>
  <c r="J63" i="150"/>
  <c r="E63" i="150"/>
  <c r="K63" i="150"/>
  <c r="G63" i="150"/>
  <c r="C63" i="150"/>
  <c r="I64" i="150"/>
  <c r="D64" i="150"/>
  <c r="J64" i="150"/>
  <c r="E64" i="150"/>
  <c r="K64" i="150"/>
  <c r="G64" i="150"/>
  <c r="C64" i="150"/>
  <c r="I65" i="150"/>
  <c r="D65" i="150"/>
  <c r="J65" i="150"/>
  <c r="E65" i="150"/>
  <c r="K65" i="150"/>
  <c r="G65" i="150"/>
  <c r="C65" i="150"/>
  <c r="I66" i="150"/>
  <c r="D66" i="150"/>
  <c r="J66" i="150"/>
  <c r="E66" i="150"/>
  <c r="K66" i="150"/>
  <c r="G66" i="150"/>
  <c r="C66" i="150"/>
  <c r="I67" i="150"/>
  <c r="D67" i="150"/>
  <c r="J67" i="150"/>
  <c r="E67" i="150"/>
  <c r="K67" i="150"/>
  <c r="G67" i="150"/>
  <c r="C67" i="150"/>
  <c r="I68" i="150"/>
  <c r="D68" i="150"/>
  <c r="J68" i="150"/>
  <c r="E68" i="150"/>
  <c r="K68" i="150"/>
  <c r="G68" i="150"/>
  <c r="C68" i="150"/>
  <c r="I69" i="150"/>
  <c r="D69" i="150"/>
  <c r="J69" i="150"/>
  <c r="E69" i="150"/>
  <c r="K69" i="150"/>
  <c r="G69" i="150"/>
  <c r="C69" i="150"/>
  <c r="I70" i="150"/>
  <c r="D70" i="150"/>
  <c r="J70" i="150"/>
  <c r="E70" i="150"/>
  <c r="K70" i="150"/>
  <c r="G70" i="150"/>
  <c r="C70" i="150"/>
  <c r="I71" i="150"/>
  <c r="D71" i="150"/>
  <c r="J71" i="150"/>
  <c r="E71" i="150"/>
  <c r="K71" i="150"/>
  <c r="G71" i="150"/>
  <c r="C71" i="150"/>
  <c r="I72" i="150"/>
  <c r="D72" i="150"/>
  <c r="J72" i="150"/>
  <c r="E72" i="150"/>
  <c r="K72" i="150"/>
  <c r="G72" i="150"/>
  <c r="C72" i="150"/>
  <c r="I73" i="150"/>
  <c r="D73" i="150"/>
  <c r="J73" i="150"/>
  <c r="E73" i="150"/>
  <c r="K73" i="150"/>
  <c r="G73" i="150"/>
  <c r="C73" i="150"/>
  <c r="I74" i="150"/>
  <c r="D74" i="150"/>
  <c r="J74" i="150"/>
  <c r="E74" i="150"/>
  <c r="K74" i="150"/>
  <c r="G74" i="150"/>
  <c r="C74" i="150"/>
  <c r="I75" i="150"/>
  <c r="D75" i="150"/>
  <c r="J75" i="150"/>
  <c r="E75" i="150"/>
  <c r="K75" i="150"/>
  <c r="G75" i="150"/>
  <c r="C75" i="150"/>
  <c r="I76" i="150"/>
  <c r="D76" i="150"/>
  <c r="J76" i="150"/>
  <c r="E76" i="150"/>
  <c r="K76" i="150"/>
  <c r="G76" i="150"/>
  <c r="C76" i="150"/>
  <c r="I77" i="150"/>
  <c r="D77" i="150"/>
  <c r="J77" i="150"/>
  <c r="E77" i="150"/>
  <c r="K77" i="150"/>
  <c r="G77" i="150"/>
  <c r="C77" i="150"/>
  <c r="I78" i="150"/>
  <c r="D78" i="150"/>
  <c r="J78" i="150"/>
  <c r="E78" i="150"/>
  <c r="K78" i="150"/>
  <c r="G78" i="150"/>
  <c r="C78" i="150"/>
  <c r="I79" i="150"/>
  <c r="D79" i="150"/>
  <c r="J79" i="150"/>
  <c r="E79" i="150"/>
  <c r="K79" i="150"/>
  <c r="G79" i="150"/>
  <c r="C79" i="150"/>
  <c r="I80" i="150"/>
  <c r="D80" i="150"/>
  <c r="J80" i="150"/>
  <c r="E80" i="150"/>
  <c r="K80" i="150"/>
  <c r="G80" i="150"/>
  <c r="C80" i="150"/>
  <c r="I81" i="150"/>
  <c r="D81" i="150"/>
  <c r="J81" i="150"/>
  <c r="E81" i="150"/>
  <c r="K81" i="150"/>
  <c r="G81" i="150"/>
  <c r="C81" i="150"/>
  <c r="I82" i="150"/>
  <c r="D82" i="150"/>
  <c r="J82" i="150"/>
  <c r="E82" i="150"/>
  <c r="K82" i="150"/>
  <c r="G82" i="150"/>
  <c r="C82" i="150"/>
  <c r="I83" i="150"/>
  <c r="D83" i="150"/>
  <c r="J83" i="150"/>
  <c r="E83" i="150"/>
  <c r="K83" i="150"/>
  <c r="G83" i="150"/>
  <c r="C83" i="150"/>
  <c r="I84" i="150"/>
  <c r="D84" i="150"/>
  <c r="J84" i="150"/>
  <c r="E84" i="150"/>
  <c r="K84" i="150"/>
  <c r="G84" i="150"/>
  <c r="C84" i="150"/>
  <c r="I85" i="150"/>
  <c r="D85" i="150"/>
  <c r="J85" i="150"/>
  <c r="E85" i="150"/>
  <c r="K85" i="150"/>
  <c r="G85" i="150"/>
  <c r="C85" i="150"/>
  <c r="I86" i="150"/>
  <c r="D86" i="150"/>
  <c r="J86" i="150"/>
  <c r="E86" i="150"/>
  <c r="K86" i="150"/>
  <c r="G86" i="150"/>
  <c r="C86" i="150"/>
  <c r="I87" i="150"/>
  <c r="D87" i="150"/>
  <c r="J87" i="150"/>
  <c r="E87" i="150"/>
  <c r="K87" i="150"/>
  <c r="G87" i="150"/>
  <c r="C87" i="150"/>
  <c r="I88" i="150"/>
  <c r="D88" i="150"/>
  <c r="J88" i="150"/>
  <c r="E88" i="150"/>
  <c r="K88" i="150"/>
  <c r="G88" i="150"/>
  <c r="C88" i="150"/>
  <c r="I89" i="150"/>
  <c r="D89" i="150"/>
  <c r="J89" i="150"/>
  <c r="E89" i="150"/>
  <c r="K89" i="150"/>
  <c r="G89" i="150"/>
  <c r="C89" i="150"/>
  <c r="I90" i="150"/>
  <c r="D90" i="150"/>
  <c r="J90" i="150"/>
  <c r="E90" i="150"/>
  <c r="K90" i="150"/>
  <c r="G90" i="150"/>
  <c r="C90" i="150"/>
  <c r="I91" i="150"/>
  <c r="D91" i="150"/>
  <c r="J91" i="150"/>
  <c r="E91" i="150"/>
  <c r="K91" i="150"/>
  <c r="G91" i="150"/>
  <c r="C91" i="150"/>
  <c r="I92" i="150"/>
  <c r="D92" i="150"/>
  <c r="J92" i="150"/>
  <c r="E92" i="150"/>
  <c r="K92" i="150"/>
  <c r="G92" i="150"/>
  <c r="C92" i="150"/>
  <c r="I93" i="150"/>
  <c r="D93" i="150"/>
  <c r="J93" i="150"/>
  <c r="E93" i="150"/>
  <c r="K93" i="150"/>
  <c r="G93" i="150"/>
  <c r="C93" i="150"/>
  <c r="I94" i="150"/>
  <c r="D94" i="150"/>
  <c r="J94" i="150"/>
  <c r="E94" i="150"/>
  <c r="K94" i="150"/>
  <c r="G94" i="150"/>
  <c r="C94" i="150"/>
  <c r="I95" i="150"/>
  <c r="D95" i="150"/>
  <c r="J95" i="150"/>
  <c r="E95" i="150"/>
  <c r="K95" i="150"/>
  <c r="G95" i="150"/>
  <c r="C95" i="150"/>
  <c r="I96" i="150"/>
  <c r="D96" i="150"/>
  <c r="J96" i="150"/>
  <c r="E96" i="150"/>
  <c r="K96" i="150"/>
  <c r="G96" i="150"/>
  <c r="C96" i="150"/>
  <c r="I97" i="150"/>
  <c r="D97" i="150"/>
  <c r="J97" i="150"/>
  <c r="E97" i="150"/>
  <c r="K97" i="150"/>
  <c r="G97" i="150"/>
  <c r="C97" i="150"/>
  <c r="I98" i="150"/>
  <c r="D98" i="150"/>
  <c r="J98" i="150"/>
  <c r="E98" i="150"/>
  <c r="K98" i="150"/>
  <c r="G98" i="150"/>
  <c r="C98" i="150"/>
  <c r="I99" i="150"/>
  <c r="D99" i="150"/>
  <c r="J99" i="150"/>
  <c r="E99" i="150"/>
  <c r="K99" i="150"/>
  <c r="G99" i="150"/>
  <c r="C99" i="150"/>
  <c r="I100" i="150"/>
  <c r="D100" i="150"/>
  <c r="J100" i="150"/>
  <c r="E100" i="150"/>
  <c r="K100" i="150"/>
  <c r="G100" i="150"/>
  <c r="C100" i="150"/>
  <c r="I101" i="150"/>
  <c r="D101" i="150"/>
  <c r="J101" i="150"/>
  <c r="E101" i="150"/>
  <c r="K101" i="150"/>
  <c r="G101" i="150"/>
  <c r="C101" i="150"/>
  <c r="I102" i="150"/>
  <c r="D102" i="150"/>
  <c r="J102" i="150"/>
  <c r="E102" i="150"/>
  <c r="K102" i="150"/>
  <c r="G102" i="150"/>
  <c r="C102" i="150"/>
  <c r="I103" i="150"/>
  <c r="D103" i="150"/>
  <c r="J103" i="150"/>
  <c r="E103" i="150"/>
  <c r="K103" i="150"/>
  <c r="G103" i="150"/>
  <c r="C103" i="150"/>
  <c r="I104" i="150"/>
  <c r="D104" i="150"/>
  <c r="J104" i="150"/>
  <c r="E104" i="150"/>
  <c r="K104" i="150"/>
  <c r="G104" i="150"/>
  <c r="C104" i="150"/>
  <c r="I105" i="150"/>
  <c r="D105" i="150"/>
  <c r="J105" i="150"/>
  <c r="E105" i="150"/>
  <c r="K105" i="150"/>
  <c r="G105" i="150"/>
  <c r="C105" i="150"/>
  <c r="I106" i="150"/>
  <c r="D106" i="150"/>
  <c r="J106" i="150"/>
  <c r="E106" i="150"/>
  <c r="K106" i="150"/>
  <c r="G106" i="150"/>
  <c r="C106" i="150"/>
  <c r="I107" i="150"/>
  <c r="D107" i="150"/>
  <c r="J107" i="150"/>
  <c r="E107" i="150"/>
  <c r="K107" i="150"/>
  <c r="G107" i="150"/>
  <c r="C107" i="150"/>
  <c r="I108" i="150"/>
  <c r="D108" i="150"/>
  <c r="J108" i="150"/>
  <c r="E108" i="150"/>
  <c r="K108" i="150"/>
  <c r="G108" i="150"/>
  <c r="C108" i="150"/>
  <c r="I109" i="150"/>
  <c r="D109" i="150"/>
  <c r="J109" i="150"/>
  <c r="E109" i="150"/>
  <c r="K109" i="150"/>
  <c r="G109" i="150"/>
  <c r="C109" i="150"/>
  <c r="I110" i="150"/>
  <c r="D110" i="150"/>
  <c r="J110" i="150"/>
  <c r="E110" i="150"/>
  <c r="K110" i="150"/>
  <c r="G110" i="150"/>
  <c r="C110" i="150"/>
  <c r="I111" i="150"/>
  <c r="D111" i="150"/>
  <c r="J111" i="150"/>
  <c r="E111" i="150"/>
  <c r="K111" i="150"/>
  <c r="G111" i="150"/>
  <c r="C111" i="150"/>
  <c r="I112" i="150"/>
  <c r="D112" i="150"/>
  <c r="J112" i="150"/>
  <c r="E112" i="150"/>
  <c r="K112" i="150"/>
  <c r="G112" i="150"/>
  <c r="C112" i="150"/>
  <c r="I113" i="150"/>
  <c r="D113" i="150"/>
  <c r="J113" i="150"/>
  <c r="E113" i="150"/>
  <c r="K113" i="150"/>
  <c r="G113" i="150"/>
  <c r="C113" i="150"/>
  <c r="I114" i="150"/>
  <c r="D114" i="150"/>
  <c r="J114" i="150"/>
  <c r="E114" i="150"/>
  <c r="K114" i="150"/>
  <c r="G114" i="150"/>
  <c r="C114" i="150"/>
  <c r="I115" i="150"/>
  <c r="D115" i="150"/>
  <c r="J115" i="150"/>
  <c r="E115" i="150"/>
  <c r="K115" i="150"/>
  <c r="G115" i="150"/>
  <c r="C115" i="150"/>
  <c r="I116" i="150"/>
  <c r="D116" i="150"/>
  <c r="J116" i="150"/>
  <c r="E116" i="150"/>
  <c r="K116" i="150"/>
  <c r="G116" i="150"/>
  <c r="C116" i="150"/>
  <c r="I117" i="150"/>
  <c r="D117" i="150"/>
  <c r="J117" i="150"/>
  <c r="E117" i="150"/>
  <c r="K117" i="150"/>
  <c r="G117" i="150"/>
  <c r="C117" i="150"/>
  <c r="I118" i="150"/>
  <c r="D118" i="150"/>
  <c r="J118" i="150"/>
  <c r="E118" i="150"/>
  <c r="K118" i="150"/>
  <c r="G118" i="150"/>
  <c r="C118" i="150"/>
  <c r="I119" i="150"/>
  <c r="D119" i="150"/>
  <c r="J119" i="150"/>
  <c r="E119" i="150"/>
  <c r="K119" i="150"/>
  <c r="G119" i="150"/>
  <c r="C119" i="150"/>
  <c r="I120" i="150"/>
  <c r="D120" i="150"/>
  <c r="J120" i="150"/>
  <c r="E120" i="150"/>
  <c r="K120" i="150"/>
  <c r="G120" i="150"/>
  <c r="C120" i="150"/>
  <c r="I121" i="150"/>
  <c r="D121" i="150"/>
  <c r="J121" i="150"/>
  <c r="E121" i="150"/>
  <c r="K121" i="150"/>
  <c r="G121" i="150"/>
  <c r="C121" i="150"/>
  <c r="I122" i="150"/>
  <c r="D122" i="150"/>
  <c r="J122" i="150"/>
  <c r="E122" i="150"/>
  <c r="K122" i="150"/>
  <c r="G122" i="150"/>
  <c r="C122" i="150"/>
  <c r="I123" i="150"/>
  <c r="D123" i="150"/>
  <c r="J123" i="150"/>
  <c r="E123" i="150"/>
  <c r="K123" i="150"/>
  <c r="G123" i="150"/>
  <c r="C123" i="150"/>
  <c r="I124" i="150"/>
  <c r="D124" i="150"/>
  <c r="J124" i="150"/>
  <c r="E124" i="150"/>
  <c r="K124" i="150"/>
  <c r="G124" i="150"/>
  <c r="C124" i="150"/>
  <c r="I125" i="150"/>
  <c r="D125" i="150"/>
  <c r="J125" i="150"/>
  <c r="E125" i="150"/>
  <c r="K125" i="150"/>
  <c r="G125" i="150"/>
  <c r="C125" i="150"/>
  <c r="I126" i="150"/>
  <c r="D126" i="150"/>
  <c r="J126" i="150"/>
  <c r="E126" i="150"/>
  <c r="K126" i="150"/>
  <c r="G126" i="150"/>
  <c r="C126" i="150"/>
  <c r="I127" i="150"/>
  <c r="D127" i="150"/>
  <c r="J127" i="150"/>
  <c r="E127" i="150"/>
  <c r="K127" i="150"/>
  <c r="G127" i="150"/>
  <c r="C127" i="150"/>
  <c r="I128" i="150"/>
  <c r="D128" i="150"/>
  <c r="J128" i="150"/>
  <c r="E128" i="150"/>
  <c r="K128" i="150"/>
  <c r="G128" i="150"/>
  <c r="C128" i="150"/>
  <c r="I129" i="150"/>
  <c r="D129" i="150"/>
  <c r="J129" i="150"/>
  <c r="E129" i="150"/>
  <c r="K129" i="150"/>
  <c r="G129" i="150"/>
  <c r="C129" i="150"/>
  <c r="I130" i="150"/>
  <c r="D130" i="150"/>
  <c r="J130" i="150"/>
  <c r="E130" i="150"/>
  <c r="K130" i="150"/>
  <c r="G130" i="150"/>
  <c r="C130" i="150"/>
  <c r="I131" i="150"/>
  <c r="D131" i="150"/>
  <c r="J131" i="150"/>
  <c r="E131" i="150"/>
  <c r="K131" i="150"/>
  <c r="G131" i="150"/>
  <c r="C131" i="150"/>
  <c r="I132" i="150"/>
  <c r="D132" i="150"/>
  <c r="J132" i="150"/>
  <c r="E132" i="150"/>
  <c r="K132" i="150"/>
  <c r="G132" i="150"/>
  <c r="C132" i="150"/>
  <c r="I133" i="150"/>
  <c r="D133" i="150"/>
  <c r="J133" i="150"/>
  <c r="E133" i="150"/>
  <c r="K133" i="150"/>
  <c r="G133" i="150"/>
  <c r="C133" i="150"/>
  <c r="I134" i="150"/>
  <c r="D134" i="150"/>
  <c r="J134" i="150"/>
  <c r="E134" i="150"/>
  <c r="K134" i="150"/>
  <c r="G134" i="150"/>
  <c r="C134" i="150"/>
  <c r="I135" i="150"/>
  <c r="D135" i="150"/>
  <c r="J135" i="150"/>
  <c r="E135" i="150"/>
  <c r="K135" i="150"/>
  <c r="G135" i="150"/>
  <c r="C135" i="150"/>
  <c r="I136" i="150"/>
  <c r="D136" i="150"/>
  <c r="J136" i="150"/>
  <c r="E136" i="150"/>
  <c r="K136" i="150"/>
  <c r="G136" i="150"/>
  <c r="C136" i="150"/>
  <c r="I137" i="150"/>
  <c r="D137" i="150"/>
  <c r="J137" i="150"/>
  <c r="E137" i="150"/>
  <c r="K137" i="150"/>
  <c r="G137" i="150"/>
  <c r="C137" i="150"/>
  <c r="I138" i="150"/>
  <c r="D138" i="150"/>
  <c r="J138" i="150"/>
  <c r="E138" i="150"/>
  <c r="K138" i="150"/>
  <c r="G138" i="150"/>
  <c r="C138" i="150"/>
  <c r="I139" i="150"/>
  <c r="D139" i="150"/>
  <c r="J139" i="150"/>
  <c r="E139" i="150"/>
  <c r="K139" i="150"/>
  <c r="G139" i="150"/>
  <c r="C139" i="150"/>
  <c r="I140" i="150"/>
  <c r="D140" i="150"/>
  <c r="J140" i="150"/>
  <c r="E140" i="150"/>
  <c r="K140" i="150"/>
  <c r="G140" i="150"/>
  <c r="C140" i="150"/>
  <c r="I141" i="150"/>
  <c r="D141" i="150"/>
  <c r="J141" i="150"/>
  <c r="E141" i="150"/>
  <c r="K141" i="150"/>
  <c r="G141" i="150"/>
  <c r="C141" i="150"/>
  <c r="I142" i="150"/>
  <c r="D142" i="150"/>
  <c r="J142" i="150"/>
  <c r="E142" i="150"/>
  <c r="K142" i="150"/>
  <c r="G142" i="150"/>
  <c r="C142" i="150"/>
  <c r="I143" i="150"/>
  <c r="D143" i="150"/>
  <c r="J143" i="150"/>
  <c r="E143" i="150"/>
  <c r="K143" i="150"/>
  <c r="G143" i="150"/>
  <c r="C143" i="150"/>
  <c r="I144" i="150"/>
  <c r="D144" i="150"/>
  <c r="J144" i="150"/>
  <c r="E144" i="150"/>
  <c r="K144" i="150"/>
  <c r="G144" i="150"/>
  <c r="C144" i="150"/>
  <c r="I145" i="150"/>
  <c r="D145" i="150"/>
  <c r="J145" i="150"/>
  <c r="E145" i="150"/>
  <c r="K145" i="150"/>
  <c r="G145" i="150"/>
  <c r="C145" i="150"/>
  <c r="I146" i="150"/>
  <c r="D146" i="150"/>
  <c r="J146" i="150"/>
  <c r="E146" i="150"/>
  <c r="K146" i="150"/>
  <c r="G146" i="150"/>
  <c r="C146" i="150"/>
  <c r="I147" i="150"/>
  <c r="D147" i="150"/>
  <c r="J147" i="150"/>
  <c r="E147" i="150"/>
  <c r="K147" i="150"/>
  <c r="G147" i="150"/>
  <c r="C147" i="150"/>
  <c r="I148" i="150"/>
  <c r="D148" i="150"/>
  <c r="J148" i="150"/>
  <c r="E148" i="150"/>
  <c r="K148" i="150"/>
  <c r="G148" i="150"/>
  <c r="C148" i="150"/>
  <c r="I149" i="150"/>
  <c r="D149" i="150"/>
  <c r="J149" i="150"/>
  <c r="E149" i="150"/>
  <c r="K149" i="150"/>
  <c r="G149" i="150"/>
  <c r="C149" i="150"/>
  <c r="I150" i="150"/>
  <c r="D150" i="150"/>
  <c r="J150" i="150"/>
  <c r="E150" i="150"/>
  <c r="K150" i="150"/>
  <c r="G150" i="150"/>
  <c r="C150" i="150"/>
  <c r="I151" i="150"/>
  <c r="D151" i="150"/>
  <c r="J151" i="150"/>
  <c r="E151" i="150"/>
  <c r="K151" i="150"/>
  <c r="G151" i="150"/>
  <c r="C151" i="150"/>
  <c r="I152" i="150"/>
  <c r="D152" i="150"/>
  <c r="J152" i="150"/>
  <c r="E152" i="150"/>
  <c r="K152" i="150"/>
  <c r="G152" i="150"/>
  <c r="C152" i="150"/>
  <c r="I153" i="150"/>
  <c r="D153" i="150"/>
  <c r="J153" i="150"/>
  <c r="E153" i="150"/>
  <c r="K153" i="150"/>
  <c r="G153" i="150"/>
  <c r="C153" i="150"/>
  <c r="I154" i="150"/>
  <c r="D154" i="150"/>
  <c r="J154" i="150"/>
  <c r="E154" i="150"/>
  <c r="K154" i="150"/>
  <c r="G154" i="150"/>
  <c r="C154" i="150"/>
  <c r="I155" i="150"/>
  <c r="D155" i="150"/>
  <c r="J155" i="150"/>
  <c r="E155" i="150"/>
  <c r="K155" i="150"/>
  <c r="G155" i="150"/>
  <c r="C155" i="150"/>
  <c r="I156" i="150"/>
  <c r="D156" i="150"/>
  <c r="J156" i="150"/>
  <c r="E156" i="150"/>
  <c r="K156" i="150"/>
  <c r="G156" i="150"/>
  <c r="C156" i="150"/>
  <c r="I157" i="150"/>
  <c r="D157" i="150"/>
  <c r="J157" i="150"/>
  <c r="E157" i="150"/>
  <c r="K157" i="150"/>
  <c r="G157" i="150"/>
  <c r="C157" i="150"/>
  <c r="I158" i="150"/>
  <c r="D158" i="150"/>
  <c r="J158" i="150"/>
  <c r="E158" i="150"/>
  <c r="K158" i="150"/>
  <c r="G158" i="150"/>
  <c r="C158" i="150"/>
  <c r="I159" i="150"/>
  <c r="D159" i="150"/>
  <c r="J159" i="150"/>
  <c r="E159" i="150"/>
  <c r="K159" i="150"/>
  <c r="G159" i="150"/>
  <c r="C159" i="150"/>
  <c r="I160" i="150"/>
  <c r="D160" i="150"/>
  <c r="J160" i="150"/>
  <c r="E160" i="150"/>
  <c r="K160" i="150"/>
  <c r="G160" i="150"/>
  <c r="C160" i="150"/>
  <c r="I161" i="150"/>
  <c r="D161" i="150"/>
  <c r="J161" i="150"/>
  <c r="E161" i="150"/>
  <c r="K161" i="150"/>
  <c r="G161" i="150"/>
  <c r="C161" i="150"/>
  <c r="I162" i="150"/>
  <c r="D162" i="150"/>
  <c r="J162" i="150"/>
  <c r="E162" i="150"/>
  <c r="K162" i="150"/>
  <c r="G162" i="150"/>
  <c r="C162" i="150"/>
  <c r="I163" i="150"/>
  <c r="D163" i="150"/>
  <c r="J163" i="150"/>
  <c r="E163" i="150"/>
  <c r="K163" i="150"/>
  <c r="G163" i="150"/>
  <c r="C163" i="150"/>
  <c r="I164" i="150"/>
  <c r="D164" i="150"/>
  <c r="J164" i="150"/>
  <c r="E164" i="150"/>
  <c r="K164" i="150"/>
  <c r="G164" i="150"/>
  <c r="C164" i="150"/>
  <c r="I165" i="150"/>
  <c r="D165" i="150"/>
  <c r="J165" i="150"/>
  <c r="E165" i="150"/>
  <c r="K165" i="150"/>
  <c r="G165" i="150"/>
  <c r="C165" i="150"/>
  <c r="I166" i="150"/>
  <c r="D166" i="150"/>
  <c r="J166" i="150"/>
  <c r="E166" i="150"/>
  <c r="K166" i="150"/>
  <c r="G166" i="150"/>
  <c r="C166" i="150"/>
  <c r="I167" i="150"/>
  <c r="D167" i="150"/>
  <c r="J167" i="150"/>
  <c r="E167" i="150"/>
  <c r="K167" i="150"/>
  <c r="G167" i="150"/>
  <c r="C167" i="150"/>
  <c r="I168" i="150"/>
  <c r="D168" i="150"/>
  <c r="J168" i="150"/>
  <c r="E168" i="150"/>
  <c r="K168" i="150"/>
  <c r="G168" i="150"/>
  <c r="C168" i="150"/>
  <c r="I169" i="150"/>
  <c r="D169" i="150"/>
  <c r="J169" i="150"/>
  <c r="E169" i="150"/>
  <c r="K169" i="150"/>
  <c r="G169" i="150"/>
  <c r="C169" i="150"/>
  <c r="I170" i="150"/>
  <c r="D170" i="150"/>
  <c r="J170" i="150"/>
  <c r="E170" i="150"/>
  <c r="K170" i="150"/>
  <c r="G170" i="150"/>
  <c r="C170" i="150"/>
  <c r="I171" i="150"/>
  <c r="D171" i="150"/>
  <c r="J171" i="150"/>
  <c r="E171" i="150"/>
  <c r="K171" i="150"/>
  <c r="G171" i="150"/>
  <c r="C171" i="150"/>
  <c r="I172" i="150"/>
  <c r="D172" i="150"/>
  <c r="J172" i="150"/>
  <c r="E172" i="150"/>
  <c r="K172" i="150"/>
  <c r="G172" i="150"/>
  <c r="C172" i="150"/>
  <c r="I173" i="150"/>
  <c r="D173" i="150"/>
  <c r="J173" i="150"/>
  <c r="E173" i="150"/>
  <c r="K173" i="150"/>
  <c r="G173" i="150"/>
  <c r="C173" i="150"/>
  <c r="I174" i="150"/>
  <c r="D174" i="150"/>
  <c r="J174" i="150"/>
  <c r="E174" i="150"/>
  <c r="K174" i="150"/>
  <c r="G174" i="150"/>
  <c r="C174" i="150"/>
  <c r="I175" i="150"/>
  <c r="D175" i="150"/>
  <c r="J175" i="150"/>
  <c r="E175" i="150"/>
  <c r="K175" i="150"/>
  <c r="G175" i="150"/>
  <c r="C175" i="150"/>
  <c r="I176" i="150"/>
  <c r="D176" i="150"/>
  <c r="J176" i="150"/>
  <c r="E176" i="150"/>
  <c r="K176" i="150"/>
  <c r="G176" i="150"/>
  <c r="C176" i="150"/>
  <c r="I177" i="150"/>
  <c r="D177" i="150"/>
  <c r="J177" i="150"/>
  <c r="E177" i="150"/>
  <c r="K177" i="150"/>
  <c r="G177" i="150"/>
  <c r="C177" i="150"/>
  <c r="I178" i="150"/>
  <c r="D178" i="150"/>
  <c r="J178" i="150"/>
  <c r="E178" i="150"/>
  <c r="K178" i="150"/>
  <c r="G178" i="150"/>
  <c r="C178" i="150"/>
  <c r="I179" i="150"/>
  <c r="D179" i="150"/>
  <c r="J179" i="150"/>
  <c r="E179" i="150"/>
  <c r="K179" i="150"/>
  <c r="G179" i="150"/>
  <c r="C179" i="150"/>
  <c r="I180" i="150"/>
  <c r="D180" i="150"/>
  <c r="J180" i="150"/>
  <c r="E180" i="150"/>
  <c r="K180" i="150"/>
  <c r="G180" i="150"/>
  <c r="C180" i="150"/>
  <c r="I181" i="150"/>
  <c r="D181" i="150"/>
  <c r="J181" i="150"/>
  <c r="E181" i="150"/>
  <c r="K181" i="150"/>
  <c r="G181" i="150"/>
  <c r="C181" i="150"/>
  <c r="I182" i="150"/>
  <c r="D182" i="150"/>
  <c r="J182" i="150"/>
  <c r="E182" i="150"/>
  <c r="K182" i="150"/>
  <c r="G182" i="150"/>
  <c r="C182" i="150"/>
  <c r="I183" i="150"/>
  <c r="D183" i="150"/>
  <c r="J183" i="150"/>
  <c r="E183" i="150"/>
  <c r="K183" i="150"/>
  <c r="G183" i="150"/>
  <c r="C183" i="150"/>
  <c r="I184" i="150"/>
  <c r="D184" i="150"/>
  <c r="J184" i="150"/>
  <c r="E184" i="150"/>
  <c r="K184" i="150"/>
  <c r="G184" i="150"/>
  <c r="C184" i="150"/>
  <c r="I185" i="150"/>
  <c r="D185" i="150"/>
  <c r="J185" i="150"/>
  <c r="E185" i="150"/>
  <c r="K185" i="150"/>
  <c r="G185" i="150"/>
  <c r="C185" i="150"/>
  <c r="I186" i="150"/>
  <c r="D186" i="150"/>
  <c r="J186" i="150"/>
  <c r="E186" i="150"/>
  <c r="K186" i="150"/>
  <c r="G186" i="150"/>
  <c r="C186" i="150"/>
  <c r="I187" i="150"/>
  <c r="D187" i="150"/>
  <c r="J187" i="150"/>
  <c r="E187" i="150"/>
  <c r="K187" i="150"/>
  <c r="G187" i="150"/>
  <c r="C187" i="150"/>
  <c r="I188" i="150"/>
  <c r="D188" i="150"/>
  <c r="J188" i="150"/>
  <c r="E188" i="150"/>
  <c r="K188" i="150"/>
  <c r="G188" i="150"/>
  <c r="C188" i="150"/>
  <c r="I189" i="150"/>
  <c r="D189" i="150"/>
  <c r="J189" i="150"/>
  <c r="E189" i="150"/>
  <c r="K189" i="150"/>
  <c r="G189" i="150"/>
  <c r="C189" i="150"/>
  <c r="I190" i="150"/>
  <c r="D190" i="150"/>
  <c r="J190" i="150"/>
  <c r="E190" i="150"/>
  <c r="K190" i="150"/>
  <c r="G190" i="150"/>
  <c r="C190" i="150"/>
  <c r="I191" i="150"/>
  <c r="D191" i="150"/>
  <c r="J191" i="150"/>
  <c r="E191" i="150"/>
  <c r="K191" i="150"/>
  <c r="G191" i="150"/>
  <c r="C191" i="150"/>
  <c r="I192" i="150"/>
  <c r="D192" i="150"/>
  <c r="J192" i="150"/>
  <c r="E192" i="150"/>
  <c r="K192" i="150"/>
  <c r="G192" i="150"/>
  <c r="C192" i="150"/>
  <c r="I193" i="150"/>
  <c r="D193" i="150"/>
  <c r="J193" i="150"/>
  <c r="E193" i="150"/>
  <c r="K193" i="150"/>
  <c r="G193" i="150"/>
  <c r="C193" i="150"/>
  <c r="I194" i="150"/>
  <c r="D194" i="150"/>
  <c r="J194" i="150"/>
  <c r="E194" i="150"/>
  <c r="K194" i="150"/>
  <c r="G194" i="150"/>
  <c r="C194" i="150"/>
  <c r="I195" i="150"/>
  <c r="D195" i="150"/>
  <c r="J195" i="150"/>
  <c r="E195" i="150"/>
  <c r="K195" i="150"/>
  <c r="G195" i="150"/>
  <c r="C195" i="150"/>
  <c r="I196" i="150"/>
  <c r="D196" i="150"/>
  <c r="J196" i="150"/>
  <c r="E196" i="150"/>
  <c r="K196" i="150"/>
  <c r="G196" i="150"/>
  <c r="C196" i="150"/>
  <c r="I197" i="150"/>
  <c r="D197" i="150"/>
  <c r="J197" i="150"/>
  <c r="E197" i="150"/>
  <c r="K197" i="150"/>
  <c r="G197" i="150"/>
  <c r="C197" i="150"/>
  <c r="I198" i="150"/>
  <c r="D198" i="150"/>
  <c r="J198" i="150"/>
  <c r="E198" i="150"/>
  <c r="K198" i="150"/>
  <c r="G198" i="150"/>
  <c r="C198" i="150"/>
  <c r="I199" i="150"/>
  <c r="D199" i="150"/>
  <c r="J199" i="150"/>
  <c r="E199" i="150"/>
  <c r="K199" i="150"/>
  <c r="G199" i="150"/>
  <c r="C199" i="150"/>
  <c r="I200" i="150"/>
  <c r="D200" i="150"/>
  <c r="J200" i="150"/>
  <c r="E200" i="150"/>
  <c r="K200" i="150"/>
  <c r="G200" i="150"/>
  <c r="C200" i="150"/>
  <c r="I201" i="150"/>
  <c r="D201" i="150"/>
  <c r="J201" i="150"/>
  <c r="E201" i="150"/>
  <c r="K201" i="150"/>
  <c r="G201" i="150"/>
  <c r="C201" i="150"/>
  <c r="I202" i="150"/>
  <c r="D202" i="150"/>
  <c r="J202" i="150"/>
  <c r="E202" i="150"/>
  <c r="K202" i="150"/>
  <c r="G202" i="150"/>
  <c r="C202" i="150"/>
  <c r="I203" i="150"/>
  <c r="D203" i="150"/>
  <c r="J203" i="150"/>
  <c r="E203" i="150"/>
  <c r="K203" i="150"/>
  <c r="G203" i="150"/>
  <c r="C203" i="150"/>
  <c r="I204" i="150"/>
  <c r="D204" i="150"/>
  <c r="J204" i="150"/>
  <c r="E204" i="150"/>
  <c r="K204" i="150"/>
  <c r="G204" i="150"/>
  <c r="C204" i="150"/>
  <c r="I205" i="150"/>
  <c r="D205" i="150"/>
  <c r="J205" i="150"/>
  <c r="E205" i="150"/>
  <c r="K205" i="150"/>
  <c r="G205" i="150"/>
  <c r="C205" i="150"/>
  <c r="I206" i="150"/>
  <c r="D206" i="150"/>
  <c r="J206" i="150"/>
  <c r="E206" i="150"/>
  <c r="K206" i="150"/>
  <c r="G206" i="150"/>
  <c r="C206" i="150"/>
  <c r="I207" i="150"/>
  <c r="D207" i="150"/>
  <c r="J207" i="150"/>
  <c r="E207" i="150"/>
  <c r="K207" i="150"/>
  <c r="G207" i="150"/>
  <c r="C207" i="150"/>
  <c r="I208" i="150"/>
  <c r="D208" i="150"/>
  <c r="J208" i="150"/>
  <c r="E208" i="150"/>
  <c r="K208" i="150"/>
  <c r="G208" i="150"/>
  <c r="C208" i="150"/>
  <c r="I209" i="150"/>
  <c r="D209" i="150"/>
  <c r="J209" i="150"/>
  <c r="E209" i="150"/>
  <c r="K209" i="150"/>
  <c r="G209" i="150"/>
  <c r="C209" i="150"/>
  <c r="I210" i="150"/>
  <c r="D210" i="150"/>
  <c r="J210" i="150"/>
  <c r="E210" i="150"/>
  <c r="K210" i="150"/>
  <c r="G210" i="150"/>
  <c r="C210" i="150"/>
  <c r="I211" i="150"/>
  <c r="D211" i="150"/>
  <c r="J211" i="150"/>
  <c r="E211" i="150"/>
  <c r="K211" i="150"/>
  <c r="G211" i="150"/>
  <c r="C211" i="150"/>
  <c r="I212" i="150"/>
  <c r="D212" i="150"/>
  <c r="J212" i="150"/>
  <c r="E212" i="150"/>
  <c r="K212" i="150"/>
  <c r="G212" i="150"/>
  <c r="C212" i="150"/>
  <c r="I213" i="150"/>
  <c r="D213" i="150"/>
  <c r="J213" i="150"/>
  <c r="E213" i="150"/>
  <c r="K213" i="150"/>
  <c r="G213" i="150"/>
  <c r="C213" i="150"/>
  <c r="I214" i="150"/>
  <c r="D214" i="150"/>
  <c r="J214" i="150"/>
  <c r="E214" i="150"/>
  <c r="K214" i="150"/>
  <c r="G214" i="150"/>
  <c r="C214" i="150"/>
  <c r="I215" i="150"/>
  <c r="D215" i="150"/>
  <c r="J215" i="150"/>
  <c r="E215" i="150"/>
  <c r="K215" i="150"/>
  <c r="G215" i="150"/>
  <c r="C215" i="150"/>
  <c r="I216" i="150"/>
  <c r="D216" i="150"/>
  <c r="J216" i="150"/>
  <c r="E216" i="150"/>
  <c r="K216" i="150"/>
  <c r="G216" i="150"/>
  <c r="C216" i="150"/>
  <c r="I217" i="150"/>
  <c r="D217" i="150"/>
  <c r="J217" i="150"/>
  <c r="E217" i="150"/>
  <c r="K217" i="150"/>
  <c r="G217" i="150"/>
  <c r="C217" i="150"/>
  <c r="I218" i="150"/>
  <c r="D218" i="150"/>
  <c r="J218" i="150"/>
  <c r="E218" i="150"/>
  <c r="K218" i="150"/>
  <c r="G218" i="150"/>
  <c r="C218" i="150"/>
  <c r="I219" i="150"/>
  <c r="D219" i="150"/>
  <c r="J219" i="150"/>
  <c r="E219" i="150"/>
  <c r="K219" i="150"/>
  <c r="G219" i="150"/>
  <c r="C219" i="150"/>
  <c r="I220" i="150"/>
  <c r="D220" i="150"/>
  <c r="J220" i="150"/>
  <c r="E220" i="150"/>
  <c r="K220" i="150"/>
  <c r="G220" i="150"/>
  <c r="C220" i="150"/>
  <c r="I221" i="150"/>
  <c r="D221" i="150"/>
  <c r="J221" i="150"/>
  <c r="E221" i="150"/>
  <c r="K221" i="150"/>
  <c r="G221" i="150"/>
  <c r="C221" i="150"/>
  <c r="I222" i="150"/>
  <c r="D222" i="150"/>
  <c r="J222" i="150"/>
  <c r="E222" i="150"/>
  <c r="K222" i="150"/>
  <c r="G222" i="150"/>
  <c r="C222" i="150"/>
  <c r="I223" i="150"/>
  <c r="D223" i="150"/>
  <c r="J223" i="150"/>
  <c r="E223" i="150"/>
  <c r="K223" i="150"/>
  <c r="G223" i="150"/>
  <c r="C223" i="150"/>
  <c r="I224" i="150"/>
  <c r="D224" i="150"/>
  <c r="J224" i="150"/>
  <c r="E224" i="150"/>
  <c r="K224" i="150"/>
  <c r="G224" i="150"/>
  <c r="C224" i="150"/>
  <c r="I225" i="150"/>
  <c r="D225" i="150"/>
  <c r="J225" i="150"/>
  <c r="E225" i="150"/>
  <c r="K225" i="150"/>
  <c r="G225" i="150"/>
  <c r="C225" i="150"/>
  <c r="I226" i="150"/>
  <c r="D226" i="150"/>
  <c r="J226" i="150"/>
  <c r="E226" i="150"/>
  <c r="K226" i="150"/>
  <c r="G226" i="150"/>
  <c r="C226" i="150"/>
  <c r="I227" i="150"/>
  <c r="D227" i="150"/>
  <c r="J227" i="150"/>
  <c r="E227" i="150"/>
  <c r="K227" i="150"/>
  <c r="G227" i="150"/>
  <c r="C227" i="150"/>
  <c r="I228" i="150"/>
  <c r="D228" i="150"/>
  <c r="J228" i="150"/>
  <c r="E228" i="150"/>
  <c r="K228" i="150"/>
  <c r="G228" i="150"/>
  <c r="C228" i="150"/>
  <c r="I229" i="150"/>
  <c r="D229" i="150"/>
  <c r="J229" i="150"/>
  <c r="E229" i="150"/>
  <c r="K229" i="150"/>
  <c r="G229" i="150"/>
  <c r="C229" i="150"/>
  <c r="I230" i="150"/>
  <c r="D230" i="150"/>
  <c r="J230" i="150"/>
  <c r="E230" i="150"/>
  <c r="K230" i="150"/>
  <c r="G230" i="150"/>
  <c r="C230" i="150"/>
  <c r="I231" i="150"/>
  <c r="D231" i="150"/>
  <c r="J231" i="150"/>
  <c r="E231" i="150"/>
  <c r="K231" i="150"/>
  <c r="G231" i="150"/>
  <c r="C231" i="150"/>
  <c r="I232" i="150"/>
  <c r="D232" i="150"/>
  <c r="J232" i="150"/>
  <c r="E232" i="150"/>
  <c r="K232" i="150"/>
  <c r="G232" i="150"/>
  <c r="C232" i="150"/>
  <c r="I233" i="150"/>
  <c r="D233" i="150"/>
  <c r="J233" i="150"/>
  <c r="E233" i="150"/>
  <c r="K233" i="150"/>
  <c r="G233" i="150"/>
  <c r="C233" i="150"/>
  <c r="I234" i="150"/>
  <c r="D234" i="150"/>
  <c r="J234" i="150"/>
  <c r="E234" i="150"/>
  <c r="K234" i="150"/>
  <c r="G234" i="150"/>
  <c r="C234" i="150"/>
  <c r="I235" i="150"/>
  <c r="D235" i="150"/>
  <c r="J235" i="150"/>
  <c r="E235" i="150"/>
  <c r="K235" i="150"/>
  <c r="G235" i="150"/>
  <c r="C235" i="150"/>
  <c r="I236" i="150"/>
  <c r="D236" i="150"/>
  <c r="J236" i="150"/>
  <c r="E236" i="150"/>
  <c r="K236" i="150"/>
  <c r="G236" i="150"/>
  <c r="C236" i="150"/>
  <c r="I237" i="150"/>
  <c r="D237" i="150"/>
  <c r="J237" i="150"/>
  <c r="E237" i="150"/>
  <c r="K237" i="150"/>
  <c r="G237" i="150"/>
  <c r="C237" i="150"/>
  <c r="I238" i="150"/>
  <c r="D238" i="150"/>
  <c r="J238" i="150"/>
  <c r="E238" i="150"/>
  <c r="K238" i="150"/>
  <c r="G238" i="150"/>
  <c r="C238" i="150"/>
  <c r="I239" i="150"/>
  <c r="D239" i="150"/>
  <c r="J239" i="150"/>
  <c r="E239" i="150"/>
  <c r="K239" i="150"/>
  <c r="G239" i="150"/>
  <c r="C239" i="150"/>
  <c r="I240" i="150"/>
  <c r="D240" i="150"/>
  <c r="J240" i="150"/>
  <c r="E240" i="150"/>
  <c r="K240" i="150"/>
  <c r="G240" i="150"/>
  <c r="C240" i="150"/>
  <c r="I241" i="150"/>
  <c r="D241" i="150"/>
  <c r="J241" i="150"/>
  <c r="E241" i="150"/>
  <c r="K241" i="150"/>
  <c r="G241" i="150"/>
  <c r="C241" i="150"/>
  <c r="I242" i="150"/>
  <c r="D242" i="150"/>
  <c r="J242" i="150"/>
  <c r="E242" i="150"/>
  <c r="K242" i="150"/>
  <c r="G242" i="150"/>
  <c r="C242" i="150"/>
  <c r="I243" i="150"/>
  <c r="D243" i="150"/>
  <c r="J243" i="150"/>
  <c r="E243" i="150"/>
  <c r="K243" i="150"/>
  <c r="G243" i="150"/>
  <c r="C243" i="150"/>
  <c r="I244" i="150"/>
  <c r="D244" i="150"/>
  <c r="J244" i="150"/>
  <c r="E244" i="150"/>
  <c r="K244" i="150"/>
  <c r="G244" i="150"/>
  <c r="C244" i="150"/>
  <c r="I245" i="150"/>
  <c r="D245" i="150"/>
  <c r="J245" i="150"/>
  <c r="E245" i="150"/>
  <c r="K245" i="150"/>
  <c r="G245" i="150"/>
  <c r="C245" i="150"/>
  <c r="I246" i="150"/>
  <c r="D246" i="150"/>
  <c r="J246" i="150"/>
  <c r="E246" i="150"/>
  <c r="K246" i="150"/>
  <c r="G246" i="150"/>
  <c r="C246" i="150"/>
  <c r="I247" i="150"/>
  <c r="D247" i="150"/>
  <c r="J247" i="150"/>
  <c r="E247" i="150"/>
  <c r="K247" i="150"/>
  <c r="G247" i="150"/>
  <c r="C247" i="150"/>
  <c r="I248" i="150"/>
  <c r="D248" i="150"/>
  <c r="J248" i="150"/>
  <c r="E248" i="150"/>
  <c r="K248" i="150"/>
  <c r="G248" i="150"/>
  <c r="C248" i="150"/>
  <c r="I249" i="150"/>
  <c r="D249" i="150"/>
  <c r="J249" i="150"/>
  <c r="E249" i="150"/>
  <c r="K249" i="150"/>
  <c r="G249" i="150"/>
  <c r="C249" i="150"/>
  <c r="I250" i="150"/>
  <c r="D250" i="150"/>
  <c r="J250" i="150"/>
  <c r="E250" i="150"/>
  <c r="K250" i="150"/>
  <c r="G250" i="150"/>
  <c r="C250" i="150"/>
  <c r="I251" i="150"/>
  <c r="D251" i="150"/>
  <c r="J251" i="150"/>
  <c r="E251" i="150"/>
  <c r="K251" i="150"/>
  <c r="G251" i="150"/>
  <c r="C251" i="150"/>
  <c r="I252" i="150"/>
  <c r="D252" i="150"/>
  <c r="J252" i="150"/>
  <c r="E252" i="150"/>
  <c r="K252" i="150"/>
  <c r="G252" i="150"/>
  <c r="C252" i="150"/>
  <c r="I253" i="150"/>
  <c r="D253" i="150"/>
  <c r="J253" i="150"/>
  <c r="E253" i="150"/>
  <c r="K253" i="150"/>
  <c r="G253" i="150"/>
  <c r="C253" i="150"/>
  <c r="I254" i="150"/>
  <c r="D254" i="150"/>
  <c r="J254" i="150"/>
  <c r="E254" i="150"/>
  <c r="K254" i="150"/>
  <c r="G254" i="150"/>
  <c r="C254" i="150"/>
  <c r="I255" i="150"/>
  <c r="D255" i="150"/>
  <c r="J255" i="150"/>
  <c r="E255" i="150"/>
  <c r="K255" i="150"/>
  <c r="G255" i="150"/>
  <c r="C255" i="150"/>
  <c r="I256" i="150"/>
  <c r="D256" i="150"/>
  <c r="J256" i="150"/>
  <c r="E256" i="150"/>
  <c r="K256" i="150"/>
  <c r="G256" i="150"/>
  <c r="C256" i="150"/>
  <c r="I257" i="150"/>
  <c r="D257" i="150"/>
  <c r="J257" i="150"/>
  <c r="E257" i="150"/>
  <c r="K257" i="150"/>
  <c r="G257" i="150"/>
  <c r="C257" i="150"/>
  <c r="I258" i="150"/>
  <c r="D258" i="150"/>
  <c r="J258" i="150"/>
  <c r="E258" i="150"/>
  <c r="K258" i="150"/>
  <c r="G258" i="150"/>
  <c r="C258" i="150"/>
  <c r="I259" i="150"/>
  <c r="D259" i="150"/>
  <c r="J259" i="150"/>
  <c r="E259" i="150"/>
  <c r="K259" i="150"/>
  <c r="G259" i="150"/>
  <c r="C259" i="150"/>
  <c r="I260" i="150"/>
  <c r="D260" i="150"/>
  <c r="J260" i="150"/>
  <c r="E260" i="150"/>
  <c r="K260" i="150"/>
  <c r="G260" i="150"/>
  <c r="C260" i="150"/>
  <c r="I261" i="150"/>
  <c r="D261" i="150"/>
  <c r="J261" i="150"/>
  <c r="E261" i="150"/>
  <c r="K261" i="150"/>
  <c r="G261" i="150"/>
  <c r="C261" i="150"/>
  <c r="I262" i="150"/>
  <c r="D262" i="150"/>
  <c r="J262" i="150"/>
  <c r="E262" i="150"/>
  <c r="K262" i="150"/>
  <c r="G262" i="150"/>
  <c r="C262" i="150"/>
  <c r="I263" i="150"/>
  <c r="D263" i="150"/>
  <c r="J263" i="150"/>
  <c r="E263" i="150"/>
  <c r="K263" i="150"/>
  <c r="G263" i="150"/>
  <c r="C263" i="150"/>
  <c r="I264" i="150"/>
  <c r="D264" i="150"/>
  <c r="J264" i="150"/>
  <c r="E264" i="150"/>
  <c r="K264" i="150"/>
  <c r="G264" i="150"/>
  <c r="C264" i="150"/>
  <c r="I265" i="150"/>
  <c r="D265" i="150"/>
  <c r="J265" i="150"/>
  <c r="E265" i="150"/>
  <c r="K265" i="150"/>
  <c r="G265" i="150"/>
  <c r="C265" i="150"/>
  <c r="I266" i="150"/>
  <c r="D266" i="150"/>
  <c r="J266" i="150"/>
  <c r="E266" i="150"/>
  <c r="K266" i="150"/>
  <c r="G266" i="150"/>
  <c r="C266" i="150"/>
  <c r="I267" i="150"/>
  <c r="D267" i="150"/>
  <c r="J267" i="150"/>
  <c r="E267" i="150"/>
  <c r="K267" i="150"/>
  <c r="G267" i="150"/>
  <c r="C267" i="150"/>
  <c r="I268" i="150"/>
  <c r="D268" i="150"/>
  <c r="J268" i="150"/>
  <c r="E268" i="150"/>
  <c r="K268" i="150"/>
  <c r="G268" i="150"/>
  <c r="C268" i="150"/>
  <c r="I269" i="150"/>
  <c r="D269" i="150"/>
  <c r="J269" i="150"/>
  <c r="E269" i="150"/>
  <c r="K269" i="150"/>
  <c r="G269" i="150"/>
  <c r="C269" i="150"/>
  <c r="I270" i="150"/>
  <c r="D270" i="150"/>
  <c r="J270" i="150"/>
  <c r="E270" i="150"/>
  <c r="K270" i="150"/>
  <c r="G270" i="150"/>
  <c r="C270" i="150"/>
  <c r="I271" i="150"/>
  <c r="D271" i="150"/>
  <c r="J271" i="150"/>
  <c r="E271" i="150"/>
  <c r="K271" i="150"/>
  <c r="G271" i="150"/>
  <c r="C271" i="150"/>
  <c r="I272" i="150"/>
  <c r="D272" i="150"/>
  <c r="J272" i="150"/>
  <c r="E272" i="150"/>
  <c r="K272" i="150"/>
  <c r="G272" i="150"/>
  <c r="C272" i="150"/>
  <c r="I273" i="150"/>
  <c r="D273" i="150"/>
  <c r="J273" i="150"/>
  <c r="E273" i="150"/>
  <c r="K273" i="150"/>
  <c r="G273" i="150"/>
  <c r="C273" i="150"/>
  <c r="I274" i="150"/>
  <c r="D274" i="150"/>
  <c r="J274" i="150"/>
  <c r="E274" i="150"/>
  <c r="K274" i="150"/>
  <c r="G274" i="150"/>
  <c r="C274" i="150"/>
  <c r="I275" i="150"/>
  <c r="D275" i="150"/>
  <c r="J275" i="150"/>
  <c r="E275" i="150"/>
  <c r="K275" i="150"/>
  <c r="G275" i="150"/>
  <c r="C275" i="150"/>
  <c r="I276" i="150"/>
  <c r="D276" i="150"/>
  <c r="J276" i="150"/>
  <c r="E276" i="150"/>
  <c r="K276" i="150"/>
  <c r="G276" i="150"/>
  <c r="C276" i="150"/>
  <c r="I277" i="150"/>
  <c r="D277" i="150"/>
  <c r="J277" i="150"/>
  <c r="E277" i="150"/>
  <c r="K277" i="150"/>
  <c r="G277" i="150"/>
  <c r="C277" i="150"/>
  <c r="I278" i="150"/>
  <c r="D278" i="150"/>
  <c r="J278" i="150"/>
  <c r="E278" i="150"/>
  <c r="K278" i="150"/>
  <c r="G278" i="150"/>
  <c r="C278" i="150"/>
  <c r="I279" i="150"/>
  <c r="D279" i="150"/>
  <c r="J279" i="150"/>
  <c r="E279" i="150"/>
  <c r="K279" i="150"/>
  <c r="G279" i="150"/>
  <c r="C279" i="150"/>
  <c r="I280" i="150"/>
  <c r="D280" i="150"/>
  <c r="J280" i="150"/>
  <c r="E280" i="150"/>
  <c r="K280" i="150"/>
  <c r="G280" i="150"/>
  <c r="C280" i="150"/>
  <c r="I281" i="150"/>
  <c r="D281" i="150"/>
  <c r="J281" i="150"/>
  <c r="E281" i="150"/>
  <c r="K281" i="150"/>
  <c r="G281" i="150"/>
  <c r="C281" i="150"/>
  <c r="I282" i="150"/>
  <c r="D282" i="150"/>
  <c r="J282" i="150"/>
  <c r="E282" i="150"/>
  <c r="K282" i="150"/>
  <c r="G282" i="150"/>
  <c r="C282" i="150"/>
  <c r="I283" i="150"/>
  <c r="D283" i="150"/>
  <c r="J283" i="150"/>
  <c r="E283" i="150"/>
  <c r="K283" i="150"/>
  <c r="G283" i="150"/>
  <c r="C283" i="150"/>
  <c r="I284" i="150"/>
  <c r="D284" i="150"/>
  <c r="J284" i="150"/>
  <c r="E284" i="150"/>
  <c r="K284" i="150"/>
  <c r="G284" i="150"/>
  <c r="C284" i="150"/>
  <c r="I285" i="150"/>
  <c r="D285" i="150"/>
  <c r="J285" i="150"/>
  <c r="E285" i="150"/>
  <c r="K285" i="150"/>
  <c r="G285" i="150"/>
  <c r="C285" i="150"/>
  <c r="I286" i="150"/>
  <c r="D286" i="150"/>
  <c r="J286" i="150"/>
  <c r="E286" i="150"/>
  <c r="K286" i="150"/>
  <c r="G286" i="150"/>
  <c r="C286" i="150"/>
  <c r="I287" i="150"/>
  <c r="D287" i="150"/>
  <c r="J287" i="150"/>
  <c r="E287" i="150"/>
  <c r="K287" i="150"/>
  <c r="G287" i="150"/>
  <c r="C287" i="150"/>
  <c r="I288" i="150"/>
  <c r="D288" i="150"/>
  <c r="J288" i="150"/>
  <c r="E288" i="150"/>
  <c r="K288" i="150"/>
  <c r="G288" i="150"/>
  <c r="C288" i="150"/>
  <c r="I289" i="150"/>
  <c r="D289" i="150"/>
  <c r="J289" i="150"/>
  <c r="E289" i="150"/>
  <c r="K289" i="150"/>
  <c r="G289" i="150"/>
  <c r="C289" i="150"/>
  <c r="I290" i="150"/>
  <c r="D290" i="150"/>
  <c r="J290" i="150"/>
  <c r="E290" i="150"/>
  <c r="K290" i="150"/>
  <c r="G290" i="150"/>
  <c r="C290" i="150"/>
  <c r="I291" i="150"/>
  <c r="D291" i="150"/>
  <c r="J291" i="150"/>
  <c r="E291" i="150"/>
  <c r="K291" i="150"/>
  <c r="G291" i="150"/>
  <c r="C291" i="150"/>
  <c r="I292" i="150"/>
  <c r="D292" i="150"/>
  <c r="J292" i="150"/>
  <c r="E292" i="150"/>
  <c r="K292" i="150"/>
  <c r="G292" i="150"/>
  <c r="C292" i="150"/>
  <c r="I293" i="150"/>
  <c r="D293" i="150"/>
  <c r="J293" i="150"/>
  <c r="E293" i="150"/>
  <c r="K293" i="150"/>
  <c r="G293" i="150"/>
  <c r="C293" i="150"/>
  <c r="I294" i="150"/>
  <c r="D294" i="150"/>
  <c r="J294" i="150"/>
  <c r="E294" i="150"/>
  <c r="K294" i="150"/>
  <c r="G294" i="150"/>
  <c r="C294" i="150"/>
  <c r="I295" i="150"/>
  <c r="D295" i="150"/>
  <c r="J295" i="150"/>
  <c r="E295" i="150"/>
  <c r="K295" i="150"/>
  <c r="G295" i="150"/>
  <c r="C295" i="150"/>
  <c r="I296" i="150"/>
  <c r="D296" i="150"/>
  <c r="J296" i="150"/>
  <c r="E296" i="150"/>
  <c r="K296" i="150"/>
  <c r="G296" i="150"/>
  <c r="C296" i="150"/>
  <c r="I297" i="150"/>
  <c r="D297" i="150"/>
  <c r="J297" i="150"/>
  <c r="E297" i="150"/>
  <c r="K297" i="150"/>
  <c r="G297" i="150"/>
  <c r="C297" i="150"/>
  <c r="I298" i="150"/>
  <c r="D298" i="150"/>
  <c r="J298" i="150"/>
  <c r="E298" i="150"/>
  <c r="K298" i="150"/>
  <c r="G298" i="150"/>
  <c r="C298" i="150"/>
  <c r="I299" i="150"/>
  <c r="D299" i="150"/>
  <c r="J299" i="150"/>
  <c r="E299" i="150"/>
  <c r="K299" i="150"/>
  <c r="G299" i="150"/>
  <c r="C299" i="150"/>
  <c r="I300" i="150"/>
  <c r="D300" i="150"/>
  <c r="J300" i="150"/>
  <c r="E300" i="150"/>
  <c r="K300" i="150"/>
  <c r="G300" i="150"/>
  <c r="C300" i="150"/>
  <c r="I301" i="150"/>
  <c r="D301" i="150"/>
  <c r="J301" i="150"/>
  <c r="E301" i="150"/>
  <c r="K301" i="150"/>
  <c r="G301" i="150"/>
  <c r="C301" i="150"/>
  <c r="I302" i="150"/>
  <c r="D302" i="150"/>
  <c r="J302" i="150"/>
  <c r="E302" i="150"/>
  <c r="K302" i="150"/>
  <c r="G302" i="150"/>
  <c r="C302" i="150"/>
  <c r="I303" i="150"/>
  <c r="D303" i="150"/>
  <c r="J303" i="150"/>
  <c r="E303" i="150"/>
  <c r="K303" i="150"/>
  <c r="G303" i="150"/>
  <c r="C303" i="150"/>
  <c r="I304" i="150"/>
  <c r="D304" i="150"/>
  <c r="J304" i="150"/>
  <c r="E304" i="150"/>
  <c r="K304" i="150"/>
  <c r="G304" i="150"/>
  <c r="C304" i="150"/>
  <c r="I305" i="150"/>
  <c r="D305" i="150"/>
  <c r="J305" i="150"/>
  <c r="E305" i="150"/>
  <c r="K305" i="150"/>
  <c r="G305" i="150"/>
  <c r="C305" i="150"/>
  <c r="I306" i="150"/>
  <c r="D306" i="150"/>
  <c r="J306" i="150"/>
  <c r="E306" i="150"/>
  <c r="K306" i="150"/>
  <c r="G306" i="150"/>
  <c r="C306" i="150"/>
  <c r="I307" i="150"/>
  <c r="D307" i="150"/>
  <c r="J307" i="150"/>
  <c r="E307" i="150"/>
  <c r="K307" i="150"/>
  <c r="G307" i="150"/>
  <c r="C307" i="150"/>
  <c r="I308" i="150"/>
  <c r="D308" i="150"/>
  <c r="J308" i="150"/>
  <c r="E308" i="150"/>
  <c r="K308" i="150"/>
  <c r="G308" i="150"/>
  <c r="C308" i="150"/>
  <c r="I309" i="150"/>
  <c r="D309" i="150"/>
  <c r="J309" i="150"/>
  <c r="E309" i="150"/>
  <c r="K309" i="150"/>
  <c r="G309" i="150"/>
  <c r="C309" i="150"/>
  <c r="I310" i="150"/>
  <c r="D310" i="150"/>
  <c r="J310" i="150"/>
  <c r="E310" i="150"/>
  <c r="K310" i="150"/>
  <c r="G310" i="150"/>
  <c r="C310" i="150"/>
  <c r="I311" i="150"/>
  <c r="D311" i="150"/>
  <c r="J311" i="150"/>
  <c r="E311" i="150"/>
  <c r="K311" i="150"/>
  <c r="G311" i="150"/>
  <c r="C311" i="150"/>
  <c r="I312" i="150"/>
  <c r="D312" i="150"/>
  <c r="J312" i="150"/>
  <c r="E312" i="150"/>
  <c r="K312" i="150"/>
  <c r="G312" i="150"/>
  <c r="C312" i="150"/>
  <c r="I313" i="150"/>
  <c r="D313" i="150"/>
  <c r="J313" i="150"/>
  <c r="E313" i="150"/>
  <c r="K313" i="150"/>
  <c r="G313" i="150"/>
  <c r="C313" i="150"/>
  <c r="I314" i="150"/>
  <c r="D314" i="150"/>
  <c r="J314" i="150"/>
  <c r="E314" i="150"/>
  <c r="K314" i="150"/>
  <c r="G314" i="150"/>
  <c r="C314" i="150"/>
  <c r="I315" i="150"/>
  <c r="D315" i="150"/>
  <c r="J315" i="150"/>
  <c r="E315" i="150"/>
  <c r="K315" i="150"/>
  <c r="G315" i="150"/>
  <c r="C315" i="150"/>
  <c r="I316" i="150"/>
  <c r="D316" i="150"/>
  <c r="J316" i="150"/>
  <c r="E316" i="150"/>
  <c r="K316" i="150"/>
  <c r="G316" i="150"/>
  <c r="C316" i="150"/>
  <c r="I317" i="150"/>
  <c r="D317" i="150"/>
  <c r="J317" i="150"/>
  <c r="E317" i="150"/>
  <c r="K317" i="150"/>
  <c r="G317" i="150"/>
  <c r="C317" i="150"/>
  <c r="I318" i="150"/>
  <c r="D318" i="150"/>
  <c r="J318" i="150"/>
  <c r="E318" i="150"/>
  <c r="K318" i="150"/>
  <c r="G318" i="150"/>
  <c r="C318" i="150"/>
  <c r="I319" i="150"/>
  <c r="D319" i="150"/>
  <c r="J319" i="150"/>
  <c r="E319" i="150"/>
  <c r="K319" i="150"/>
  <c r="G319" i="150"/>
  <c r="C319" i="150"/>
  <c r="I320" i="150"/>
  <c r="D320" i="150"/>
  <c r="J320" i="150"/>
  <c r="E320" i="150"/>
  <c r="K320" i="150"/>
  <c r="G320" i="150"/>
  <c r="C320" i="150"/>
  <c r="I321" i="150"/>
  <c r="D321" i="150"/>
  <c r="J321" i="150"/>
  <c r="E321" i="150"/>
  <c r="K321" i="150"/>
  <c r="G321" i="150"/>
  <c r="C321" i="150"/>
  <c r="I322" i="150"/>
  <c r="D322" i="150"/>
  <c r="J322" i="150"/>
  <c r="E322" i="150"/>
  <c r="K322" i="150"/>
  <c r="G322" i="150"/>
  <c r="C322" i="150"/>
  <c r="I323" i="150"/>
  <c r="D323" i="150"/>
  <c r="J323" i="150"/>
  <c r="E323" i="150"/>
  <c r="K323" i="150"/>
  <c r="G323" i="150"/>
  <c r="C323" i="150"/>
  <c r="I324" i="150"/>
  <c r="D324" i="150"/>
  <c r="J324" i="150"/>
  <c r="E324" i="150"/>
  <c r="K324" i="150"/>
  <c r="G324" i="150"/>
  <c r="C324" i="150"/>
  <c r="F5" i="149"/>
  <c r="F7" i="149"/>
  <c r="A51" i="149"/>
  <c r="F8" i="149"/>
  <c r="E8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41" i="149"/>
  <c r="B41" i="149"/>
  <c r="G41" i="149"/>
  <c r="H41" i="149"/>
  <c r="O43" i="150"/>
  <c r="E7" i="149"/>
  <c r="E26" i="149"/>
  <c r="B26" i="149"/>
  <c r="G26" i="149"/>
  <c r="H26" i="149"/>
  <c r="O46" i="150"/>
  <c r="O49" i="150"/>
  <c r="F6" i="149"/>
  <c r="E6" i="149"/>
  <c r="E44" i="149"/>
  <c r="B44" i="149"/>
  <c r="E43" i="149"/>
  <c r="B43" i="149"/>
  <c r="E42" i="149"/>
  <c r="B42" i="149"/>
  <c r="E40" i="149"/>
  <c r="B40" i="149"/>
  <c r="E39" i="149"/>
  <c r="B39" i="149"/>
  <c r="E38" i="149"/>
  <c r="B38" i="149"/>
  <c r="E37" i="149"/>
  <c r="B37" i="149"/>
  <c r="E34" i="149"/>
  <c r="B34" i="149"/>
  <c r="B32" i="149"/>
  <c r="E33" i="149"/>
  <c r="B33" i="149"/>
  <c r="E5" i="149"/>
  <c r="E29" i="149"/>
  <c r="B29" i="149"/>
  <c r="E28" i="149"/>
  <c r="B28" i="149"/>
  <c r="E27" i="149"/>
  <c r="B27" i="149"/>
  <c r="E25" i="149"/>
  <c r="B25" i="149"/>
  <c r="E24" i="149"/>
  <c r="B24" i="149"/>
  <c r="E23" i="149"/>
  <c r="B23" i="149"/>
  <c r="E22" i="149"/>
  <c r="B22" i="149"/>
  <c r="E19" i="149"/>
  <c r="B19" i="149"/>
  <c r="B17" i="149"/>
  <c r="E18" i="149"/>
  <c r="B18" i="149"/>
  <c r="H57" i="153"/>
  <c r="H56" i="153"/>
  <c r="H55" i="153"/>
  <c r="H57" i="158"/>
  <c r="H56" i="158"/>
  <c r="H55" i="158"/>
  <c r="H55" i="149"/>
  <c r="I2" i="148"/>
  <c r="D2" i="148"/>
  <c r="J2" i="148"/>
  <c r="E2" i="148"/>
  <c r="K2" i="148"/>
  <c r="G2" i="148"/>
  <c r="C2" i="148"/>
  <c r="I3" i="148"/>
  <c r="D3" i="148"/>
  <c r="J3" i="148"/>
  <c r="E3" i="148"/>
  <c r="K3" i="148"/>
  <c r="G3" i="148"/>
  <c r="C3" i="148"/>
  <c r="I4" i="148"/>
  <c r="D4" i="148"/>
  <c r="J4" i="148"/>
  <c r="E4" i="148"/>
  <c r="K4" i="148"/>
  <c r="G4" i="148"/>
  <c r="C4" i="148"/>
  <c r="I5" i="148"/>
  <c r="D5" i="148"/>
  <c r="J5" i="148"/>
  <c r="E5" i="148"/>
  <c r="K5" i="148"/>
  <c r="G5" i="148"/>
  <c r="C5" i="148"/>
  <c r="I6" i="148"/>
  <c r="D6" i="148"/>
  <c r="J6" i="148"/>
  <c r="E6" i="148"/>
  <c r="K6" i="148"/>
  <c r="G6" i="148"/>
  <c r="C6" i="148"/>
  <c r="I7" i="148"/>
  <c r="D7" i="148"/>
  <c r="J7" i="148"/>
  <c r="E7" i="148"/>
  <c r="K7" i="148"/>
  <c r="G7" i="148"/>
  <c r="C7" i="148"/>
  <c r="I8" i="148"/>
  <c r="D8" i="148"/>
  <c r="J8" i="148"/>
  <c r="E8" i="148"/>
  <c r="K8" i="148"/>
  <c r="G8" i="148"/>
  <c r="C8" i="148"/>
  <c r="I9" i="148"/>
  <c r="D9" i="148"/>
  <c r="J9" i="148"/>
  <c r="E9" i="148"/>
  <c r="K9" i="148"/>
  <c r="G9" i="148"/>
  <c r="C9" i="148"/>
  <c r="I10" i="148"/>
  <c r="D10" i="148"/>
  <c r="J10" i="148"/>
  <c r="E10" i="148"/>
  <c r="K10" i="148"/>
  <c r="G10" i="148"/>
  <c r="C10" i="148"/>
  <c r="I11" i="148"/>
  <c r="D11" i="148"/>
  <c r="J11" i="148"/>
  <c r="E11" i="148"/>
  <c r="K11" i="148"/>
  <c r="G11" i="148"/>
  <c r="C11" i="148"/>
  <c r="I12" i="148"/>
  <c r="D12" i="148"/>
  <c r="J12" i="148"/>
  <c r="E12" i="148"/>
  <c r="K12" i="148"/>
  <c r="G12" i="148"/>
  <c r="C12" i="148"/>
  <c r="I13" i="148"/>
  <c r="D13" i="148"/>
  <c r="J13" i="148"/>
  <c r="E13" i="148"/>
  <c r="K13" i="148"/>
  <c r="G13" i="148"/>
  <c r="C13" i="148"/>
  <c r="I14" i="148"/>
  <c r="D14" i="148"/>
  <c r="J14" i="148"/>
  <c r="E14" i="148"/>
  <c r="K14" i="148"/>
  <c r="G14" i="148"/>
  <c r="C14" i="148"/>
  <c r="I15" i="148"/>
  <c r="D15" i="148"/>
  <c r="J15" i="148"/>
  <c r="E15" i="148"/>
  <c r="K15" i="148"/>
  <c r="G15" i="148"/>
  <c r="C15" i="148"/>
  <c r="I16" i="148"/>
  <c r="D16" i="148"/>
  <c r="J16" i="148"/>
  <c r="E16" i="148"/>
  <c r="K16" i="148"/>
  <c r="G16" i="148"/>
  <c r="C16" i="148"/>
  <c r="I17" i="148"/>
  <c r="D17" i="148"/>
  <c r="J17" i="148"/>
  <c r="E17" i="148"/>
  <c r="K17" i="148"/>
  <c r="G17" i="148"/>
  <c r="C17" i="148"/>
  <c r="I18" i="148"/>
  <c r="D18" i="148"/>
  <c r="J18" i="148"/>
  <c r="E18" i="148"/>
  <c r="K18" i="148"/>
  <c r="G18" i="148"/>
  <c r="C18" i="148"/>
  <c r="I19" i="148"/>
  <c r="D19" i="148"/>
  <c r="J19" i="148"/>
  <c r="E19" i="148"/>
  <c r="K19" i="148"/>
  <c r="G19" i="148"/>
  <c r="C19" i="148"/>
  <c r="I20" i="148"/>
  <c r="D20" i="148"/>
  <c r="J20" i="148"/>
  <c r="E20" i="148"/>
  <c r="K20" i="148"/>
  <c r="G20" i="148"/>
  <c r="C20" i="148"/>
  <c r="I21" i="148"/>
  <c r="D21" i="148"/>
  <c r="J21" i="148"/>
  <c r="E21" i="148"/>
  <c r="K21" i="148"/>
  <c r="G21" i="148"/>
  <c r="C21" i="148"/>
  <c r="I22" i="148"/>
  <c r="D22" i="148"/>
  <c r="J22" i="148"/>
  <c r="E22" i="148"/>
  <c r="K22" i="148"/>
  <c r="G22" i="148"/>
  <c r="C22" i="148"/>
  <c r="I23" i="148"/>
  <c r="D23" i="148"/>
  <c r="J23" i="148"/>
  <c r="E23" i="148"/>
  <c r="K23" i="148"/>
  <c r="G23" i="148"/>
  <c r="C23" i="148"/>
  <c r="I24" i="148"/>
  <c r="D24" i="148"/>
  <c r="J24" i="148"/>
  <c r="E24" i="148"/>
  <c r="K24" i="148"/>
  <c r="G24" i="148"/>
  <c r="C24" i="148"/>
  <c r="I25" i="148"/>
  <c r="D25" i="148"/>
  <c r="J25" i="148"/>
  <c r="E25" i="148"/>
  <c r="K25" i="148"/>
  <c r="G25" i="148"/>
  <c r="C25" i="148"/>
  <c r="I26" i="148"/>
  <c r="D26" i="148"/>
  <c r="J26" i="148"/>
  <c r="E26" i="148"/>
  <c r="K26" i="148"/>
  <c r="G26" i="148"/>
  <c r="C26" i="148"/>
  <c r="I27" i="148"/>
  <c r="D27" i="148"/>
  <c r="J27" i="148"/>
  <c r="E27" i="148"/>
  <c r="K27" i="148"/>
  <c r="G27" i="148"/>
  <c r="C27" i="148"/>
  <c r="I28" i="148"/>
  <c r="D28" i="148"/>
  <c r="J28" i="148"/>
  <c r="E28" i="148"/>
  <c r="K28" i="148"/>
  <c r="G28" i="148"/>
  <c r="C28" i="148"/>
  <c r="I29" i="148"/>
  <c r="D29" i="148"/>
  <c r="J29" i="148"/>
  <c r="E29" i="148"/>
  <c r="K29" i="148"/>
  <c r="G29" i="148"/>
  <c r="C29" i="148"/>
  <c r="I30" i="148"/>
  <c r="D30" i="148"/>
  <c r="J30" i="148"/>
  <c r="E30" i="148"/>
  <c r="K30" i="148"/>
  <c r="G30" i="148"/>
  <c r="C30" i="148"/>
  <c r="I31" i="148"/>
  <c r="D31" i="148"/>
  <c r="J31" i="148"/>
  <c r="E31" i="148"/>
  <c r="K31" i="148"/>
  <c r="G31" i="148"/>
  <c r="C31" i="148"/>
  <c r="I32" i="148"/>
  <c r="D32" i="148"/>
  <c r="J32" i="148"/>
  <c r="E32" i="148"/>
  <c r="K32" i="148"/>
  <c r="G32" i="148"/>
  <c r="C32" i="148"/>
  <c r="I33" i="148"/>
  <c r="D33" i="148"/>
  <c r="J33" i="148"/>
  <c r="E33" i="148"/>
  <c r="K33" i="148"/>
  <c r="G33" i="148"/>
  <c r="C33" i="148"/>
  <c r="I34" i="148"/>
  <c r="D34" i="148"/>
  <c r="J34" i="148"/>
  <c r="E34" i="148"/>
  <c r="K34" i="148"/>
  <c r="G34" i="148"/>
  <c r="C34" i="148"/>
  <c r="I35" i="148"/>
  <c r="D35" i="148"/>
  <c r="J35" i="148"/>
  <c r="E35" i="148"/>
  <c r="K35" i="148"/>
  <c r="G35" i="148"/>
  <c r="C35" i="148"/>
  <c r="I36" i="148"/>
  <c r="D36" i="148"/>
  <c r="J36" i="148"/>
  <c r="E36" i="148"/>
  <c r="K36" i="148"/>
  <c r="G36" i="148"/>
  <c r="C36" i="148"/>
  <c r="I37" i="148"/>
  <c r="D37" i="148"/>
  <c r="J37" i="148"/>
  <c r="E37" i="148"/>
  <c r="K37" i="148"/>
  <c r="G37" i="148"/>
  <c r="C37" i="148"/>
  <c r="I38" i="148"/>
  <c r="D38" i="148"/>
  <c r="J38" i="148"/>
  <c r="E38" i="148"/>
  <c r="K38" i="148"/>
  <c r="G38" i="148"/>
  <c r="C38" i="148"/>
  <c r="I39" i="148"/>
  <c r="D39" i="148"/>
  <c r="J39" i="148"/>
  <c r="E39" i="148"/>
  <c r="K39" i="148"/>
  <c r="G39" i="148"/>
  <c r="C39" i="148"/>
  <c r="I40" i="148"/>
  <c r="D40" i="148"/>
  <c r="J40" i="148"/>
  <c r="E40" i="148"/>
  <c r="K40" i="148"/>
  <c r="G40" i="148"/>
  <c r="C40" i="148"/>
  <c r="I41" i="148"/>
  <c r="D41" i="148"/>
  <c r="J41" i="148"/>
  <c r="E41" i="148"/>
  <c r="K41" i="148"/>
  <c r="G41" i="148"/>
  <c r="C41" i="148"/>
  <c r="I42" i="148"/>
  <c r="D42" i="148"/>
  <c r="J42" i="148"/>
  <c r="E42" i="148"/>
  <c r="K42" i="148"/>
  <c r="G42" i="148"/>
  <c r="C42" i="148"/>
  <c r="I43" i="148"/>
  <c r="D43" i="148"/>
  <c r="J43" i="148"/>
  <c r="E43" i="148"/>
  <c r="K43" i="148"/>
  <c r="G43" i="148"/>
  <c r="C43" i="148"/>
  <c r="I44" i="148"/>
  <c r="D44" i="148"/>
  <c r="J44" i="148"/>
  <c r="E44" i="148"/>
  <c r="K44" i="148"/>
  <c r="G44" i="148"/>
  <c r="C44" i="148"/>
  <c r="I45" i="148"/>
  <c r="D45" i="148"/>
  <c r="J45" i="148"/>
  <c r="E45" i="148"/>
  <c r="K45" i="148"/>
  <c r="G45" i="148"/>
  <c r="C45" i="148"/>
  <c r="I46" i="148"/>
  <c r="D46" i="148"/>
  <c r="J46" i="148"/>
  <c r="E46" i="148"/>
  <c r="K46" i="148"/>
  <c r="G46" i="148"/>
  <c r="C46" i="148"/>
  <c r="I47" i="148"/>
  <c r="D47" i="148"/>
  <c r="J47" i="148"/>
  <c r="E47" i="148"/>
  <c r="K47" i="148"/>
  <c r="G47" i="148"/>
  <c r="C47" i="148"/>
  <c r="I48" i="148"/>
  <c r="D48" i="148"/>
  <c r="J48" i="148"/>
  <c r="E48" i="148"/>
  <c r="K48" i="148"/>
  <c r="G48" i="148"/>
  <c r="C48" i="148"/>
  <c r="I49" i="148"/>
  <c r="D49" i="148"/>
  <c r="J49" i="148"/>
  <c r="E49" i="148"/>
  <c r="K49" i="148"/>
  <c r="G49" i="148"/>
  <c r="C49" i="148"/>
  <c r="I50" i="148"/>
  <c r="D50" i="148"/>
  <c r="J50" i="148"/>
  <c r="E50" i="148"/>
  <c r="K50" i="148"/>
  <c r="G50" i="148"/>
  <c r="C50" i="148"/>
  <c r="I51" i="148"/>
  <c r="D51" i="148"/>
  <c r="J51" i="148"/>
  <c r="E51" i="148"/>
  <c r="K51" i="148"/>
  <c r="G51" i="148"/>
  <c r="C51" i="148"/>
  <c r="I52" i="148"/>
  <c r="D52" i="148"/>
  <c r="J52" i="148"/>
  <c r="E52" i="148"/>
  <c r="K52" i="148"/>
  <c r="G52" i="148"/>
  <c r="C52" i="148"/>
  <c r="I53" i="148"/>
  <c r="D53" i="148"/>
  <c r="J53" i="148"/>
  <c r="E53" i="148"/>
  <c r="K53" i="148"/>
  <c r="G53" i="148"/>
  <c r="C53" i="148"/>
  <c r="I54" i="148"/>
  <c r="D54" i="148"/>
  <c r="J54" i="148"/>
  <c r="E54" i="148"/>
  <c r="K54" i="148"/>
  <c r="G54" i="148"/>
  <c r="C54" i="148"/>
  <c r="I55" i="148"/>
  <c r="D55" i="148"/>
  <c r="J55" i="148"/>
  <c r="E55" i="148"/>
  <c r="K55" i="148"/>
  <c r="G55" i="148"/>
  <c r="C55" i="148"/>
  <c r="I56" i="148"/>
  <c r="D56" i="148"/>
  <c r="J56" i="148"/>
  <c r="E56" i="148"/>
  <c r="K56" i="148"/>
  <c r="G56" i="148"/>
  <c r="C56" i="148"/>
  <c r="I57" i="148"/>
  <c r="D57" i="148"/>
  <c r="J57" i="148"/>
  <c r="E57" i="148"/>
  <c r="K57" i="148"/>
  <c r="G57" i="148"/>
  <c r="C57" i="148"/>
  <c r="I58" i="148"/>
  <c r="D58" i="148"/>
  <c r="J58" i="148"/>
  <c r="E58" i="148"/>
  <c r="K58" i="148"/>
  <c r="G58" i="148"/>
  <c r="C58" i="148"/>
  <c r="I59" i="148"/>
  <c r="D59" i="148"/>
  <c r="J59" i="148"/>
  <c r="E59" i="148"/>
  <c r="K59" i="148"/>
  <c r="G59" i="148"/>
  <c r="C59" i="148"/>
  <c r="I60" i="148"/>
  <c r="D60" i="148"/>
  <c r="J60" i="148"/>
  <c r="E60" i="148"/>
  <c r="K60" i="148"/>
  <c r="G60" i="148"/>
  <c r="C60" i="148"/>
  <c r="I61" i="148"/>
  <c r="D61" i="148"/>
  <c r="J61" i="148"/>
  <c r="E61" i="148"/>
  <c r="K61" i="148"/>
  <c r="G61" i="148"/>
  <c r="C61" i="148"/>
  <c r="I62" i="148"/>
  <c r="D62" i="148"/>
  <c r="J62" i="148"/>
  <c r="E62" i="148"/>
  <c r="K62" i="148"/>
  <c r="G62" i="148"/>
  <c r="C62" i="148"/>
  <c r="I63" i="148"/>
  <c r="D63" i="148"/>
  <c r="J63" i="148"/>
  <c r="E63" i="148"/>
  <c r="K63" i="148"/>
  <c r="G63" i="148"/>
  <c r="C63" i="148"/>
  <c r="I64" i="148"/>
  <c r="D64" i="148"/>
  <c r="J64" i="148"/>
  <c r="E64" i="148"/>
  <c r="K64" i="148"/>
  <c r="G64" i="148"/>
  <c r="C64" i="148"/>
  <c r="I65" i="148"/>
  <c r="D65" i="148"/>
  <c r="J65" i="148"/>
  <c r="E65" i="148"/>
  <c r="K65" i="148"/>
  <c r="G65" i="148"/>
  <c r="C65" i="148"/>
  <c r="I66" i="148"/>
  <c r="D66" i="148"/>
  <c r="J66" i="148"/>
  <c r="E66" i="148"/>
  <c r="K66" i="148"/>
  <c r="G66" i="148"/>
  <c r="C66" i="148"/>
  <c r="I67" i="148"/>
  <c r="D67" i="148"/>
  <c r="J67" i="148"/>
  <c r="E67" i="148"/>
  <c r="K67" i="148"/>
  <c r="G67" i="148"/>
  <c r="C67" i="148"/>
  <c r="I68" i="148"/>
  <c r="D68" i="148"/>
  <c r="J68" i="148"/>
  <c r="E68" i="148"/>
  <c r="K68" i="148"/>
  <c r="G68" i="148"/>
  <c r="C68" i="148"/>
  <c r="I69" i="148"/>
  <c r="D69" i="148"/>
  <c r="J69" i="148"/>
  <c r="E69" i="148"/>
  <c r="K69" i="148"/>
  <c r="G69" i="148"/>
  <c r="C69" i="148"/>
  <c r="I70" i="148"/>
  <c r="D70" i="148"/>
  <c r="J70" i="148"/>
  <c r="E70" i="148"/>
  <c r="K70" i="148"/>
  <c r="G70" i="148"/>
  <c r="C70" i="148"/>
  <c r="I71" i="148"/>
  <c r="D71" i="148"/>
  <c r="J71" i="148"/>
  <c r="E71" i="148"/>
  <c r="K71" i="148"/>
  <c r="G71" i="148"/>
  <c r="C71" i="148"/>
  <c r="I72" i="148"/>
  <c r="D72" i="148"/>
  <c r="J72" i="148"/>
  <c r="E72" i="148"/>
  <c r="K72" i="148"/>
  <c r="G72" i="148"/>
  <c r="C72" i="148"/>
  <c r="I73" i="148"/>
  <c r="D73" i="148"/>
  <c r="J73" i="148"/>
  <c r="E73" i="148"/>
  <c r="K73" i="148"/>
  <c r="G73" i="148"/>
  <c r="C73" i="148"/>
  <c r="I74" i="148"/>
  <c r="D74" i="148"/>
  <c r="J74" i="148"/>
  <c r="E74" i="148"/>
  <c r="K74" i="148"/>
  <c r="G74" i="148"/>
  <c r="C74" i="148"/>
  <c r="I75" i="148"/>
  <c r="D75" i="148"/>
  <c r="J75" i="148"/>
  <c r="E75" i="148"/>
  <c r="K75" i="148"/>
  <c r="G75" i="148"/>
  <c r="C75" i="148"/>
  <c r="I76" i="148"/>
  <c r="D76" i="148"/>
  <c r="J76" i="148"/>
  <c r="E76" i="148"/>
  <c r="K76" i="148"/>
  <c r="G76" i="148"/>
  <c r="C76" i="148"/>
  <c r="I77" i="148"/>
  <c r="D77" i="148"/>
  <c r="J77" i="148"/>
  <c r="E77" i="148"/>
  <c r="K77" i="148"/>
  <c r="G77" i="148"/>
  <c r="C77" i="148"/>
  <c r="I78" i="148"/>
  <c r="D78" i="148"/>
  <c r="J78" i="148"/>
  <c r="E78" i="148"/>
  <c r="K78" i="148"/>
  <c r="G78" i="148"/>
  <c r="C78" i="148"/>
  <c r="I79" i="148"/>
  <c r="D79" i="148"/>
  <c r="J79" i="148"/>
  <c r="E79" i="148"/>
  <c r="K79" i="148"/>
  <c r="G79" i="148"/>
  <c r="C79" i="148"/>
  <c r="I80" i="148"/>
  <c r="D80" i="148"/>
  <c r="J80" i="148"/>
  <c r="E80" i="148"/>
  <c r="K80" i="148"/>
  <c r="G80" i="148"/>
  <c r="C80" i="148"/>
  <c r="I81" i="148"/>
  <c r="D81" i="148"/>
  <c r="J81" i="148"/>
  <c r="E81" i="148"/>
  <c r="K81" i="148"/>
  <c r="G81" i="148"/>
  <c r="C81" i="148"/>
  <c r="I82" i="148"/>
  <c r="D82" i="148"/>
  <c r="J82" i="148"/>
  <c r="E82" i="148"/>
  <c r="K82" i="148"/>
  <c r="G82" i="148"/>
  <c r="C82" i="148"/>
  <c r="I83" i="148"/>
  <c r="D83" i="148"/>
  <c r="J83" i="148"/>
  <c r="E83" i="148"/>
  <c r="K83" i="148"/>
  <c r="G83" i="148"/>
  <c r="C83" i="148"/>
  <c r="I84" i="148"/>
  <c r="D84" i="148"/>
  <c r="J84" i="148"/>
  <c r="E84" i="148"/>
  <c r="K84" i="148"/>
  <c r="G84" i="148"/>
  <c r="C84" i="148"/>
  <c r="I85" i="148"/>
  <c r="D85" i="148"/>
  <c r="J85" i="148"/>
  <c r="E85" i="148"/>
  <c r="K85" i="148"/>
  <c r="G85" i="148"/>
  <c r="C85" i="148"/>
  <c r="I86" i="148"/>
  <c r="D86" i="148"/>
  <c r="J86" i="148"/>
  <c r="E86" i="148"/>
  <c r="K86" i="148"/>
  <c r="G86" i="148"/>
  <c r="C86" i="148"/>
  <c r="I87" i="148"/>
  <c r="D87" i="148"/>
  <c r="J87" i="148"/>
  <c r="E87" i="148"/>
  <c r="K87" i="148"/>
  <c r="G87" i="148"/>
  <c r="C87" i="148"/>
  <c r="I88" i="148"/>
  <c r="D88" i="148"/>
  <c r="J88" i="148"/>
  <c r="E88" i="148"/>
  <c r="K88" i="148"/>
  <c r="G88" i="148"/>
  <c r="C88" i="148"/>
  <c r="I89" i="148"/>
  <c r="D89" i="148"/>
  <c r="J89" i="148"/>
  <c r="E89" i="148"/>
  <c r="K89" i="148"/>
  <c r="G89" i="148"/>
  <c r="C89" i="148"/>
  <c r="I90" i="148"/>
  <c r="D90" i="148"/>
  <c r="J90" i="148"/>
  <c r="E90" i="148"/>
  <c r="K90" i="148"/>
  <c r="G90" i="148"/>
  <c r="C90" i="148"/>
  <c r="I91" i="148"/>
  <c r="D91" i="148"/>
  <c r="J91" i="148"/>
  <c r="E91" i="148"/>
  <c r="K91" i="148"/>
  <c r="G91" i="148"/>
  <c r="C91" i="148"/>
  <c r="I92" i="148"/>
  <c r="D92" i="148"/>
  <c r="J92" i="148"/>
  <c r="E92" i="148"/>
  <c r="K92" i="148"/>
  <c r="G92" i="148"/>
  <c r="C92" i="148"/>
  <c r="I93" i="148"/>
  <c r="D93" i="148"/>
  <c r="J93" i="148"/>
  <c r="E93" i="148"/>
  <c r="K93" i="148"/>
  <c r="G93" i="148"/>
  <c r="C93" i="148"/>
  <c r="I94" i="148"/>
  <c r="D94" i="148"/>
  <c r="J94" i="148"/>
  <c r="E94" i="148"/>
  <c r="K94" i="148"/>
  <c r="G94" i="148"/>
  <c r="C94" i="148"/>
  <c r="I95" i="148"/>
  <c r="D95" i="148"/>
  <c r="J95" i="148"/>
  <c r="E95" i="148"/>
  <c r="K95" i="148"/>
  <c r="G95" i="148"/>
  <c r="C95" i="148"/>
  <c r="I96" i="148"/>
  <c r="D96" i="148"/>
  <c r="J96" i="148"/>
  <c r="E96" i="148"/>
  <c r="K96" i="148"/>
  <c r="G96" i="148"/>
  <c r="C96" i="148"/>
  <c r="I97" i="148"/>
  <c r="D97" i="148"/>
  <c r="J97" i="148"/>
  <c r="E97" i="148"/>
  <c r="K97" i="148"/>
  <c r="G97" i="148"/>
  <c r="C97" i="148"/>
  <c r="I98" i="148"/>
  <c r="D98" i="148"/>
  <c r="J98" i="148"/>
  <c r="E98" i="148"/>
  <c r="K98" i="148"/>
  <c r="G98" i="148"/>
  <c r="C98" i="148"/>
  <c r="I99" i="148"/>
  <c r="D99" i="148"/>
  <c r="J99" i="148"/>
  <c r="E99" i="148"/>
  <c r="K99" i="148"/>
  <c r="G99" i="148"/>
  <c r="C99" i="148"/>
  <c r="I100" i="148"/>
  <c r="D100" i="148"/>
  <c r="J100" i="148"/>
  <c r="E100" i="148"/>
  <c r="K100" i="148"/>
  <c r="G100" i="148"/>
  <c r="C100" i="148"/>
  <c r="I101" i="148"/>
  <c r="D101" i="148"/>
  <c r="J101" i="148"/>
  <c r="E101" i="148"/>
  <c r="K101" i="148"/>
  <c r="G101" i="148"/>
  <c r="C101" i="148"/>
  <c r="I102" i="148"/>
  <c r="D102" i="148"/>
  <c r="J102" i="148"/>
  <c r="E102" i="148"/>
  <c r="K102" i="148"/>
  <c r="G102" i="148"/>
  <c r="C102" i="148"/>
  <c r="I103" i="148"/>
  <c r="D103" i="148"/>
  <c r="J103" i="148"/>
  <c r="E103" i="148"/>
  <c r="K103" i="148"/>
  <c r="G103" i="148"/>
  <c r="C103" i="148"/>
  <c r="I104" i="148"/>
  <c r="D104" i="148"/>
  <c r="J104" i="148"/>
  <c r="E104" i="148"/>
  <c r="K104" i="148"/>
  <c r="G104" i="148"/>
  <c r="C104" i="148"/>
  <c r="I105" i="148"/>
  <c r="D105" i="148"/>
  <c r="J105" i="148"/>
  <c r="E105" i="148"/>
  <c r="K105" i="148"/>
  <c r="G105" i="148"/>
  <c r="C105" i="148"/>
  <c r="I106" i="148"/>
  <c r="D106" i="148"/>
  <c r="J106" i="148"/>
  <c r="E106" i="148"/>
  <c r="K106" i="148"/>
  <c r="G106" i="148"/>
  <c r="C106" i="148"/>
  <c r="I107" i="148"/>
  <c r="D107" i="148"/>
  <c r="J107" i="148"/>
  <c r="E107" i="148"/>
  <c r="K107" i="148"/>
  <c r="G107" i="148"/>
  <c r="C107" i="148"/>
  <c r="I108" i="148"/>
  <c r="D108" i="148"/>
  <c r="J108" i="148"/>
  <c r="E108" i="148"/>
  <c r="K108" i="148"/>
  <c r="G108" i="148"/>
  <c r="C108" i="148"/>
  <c r="I109" i="148"/>
  <c r="D109" i="148"/>
  <c r="J109" i="148"/>
  <c r="E109" i="148"/>
  <c r="K109" i="148"/>
  <c r="G109" i="148"/>
  <c r="C109" i="148"/>
  <c r="I110" i="148"/>
  <c r="D110" i="148"/>
  <c r="J110" i="148"/>
  <c r="E110" i="148"/>
  <c r="K110" i="148"/>
  <c r="G110" i="148"/>
  <c r="C110" i="148"/>
  <c r="I111" i="148"/>
  <c r="D111" i="148"/>
  <c r="J111" i="148"/>
  <c r="E111" i="148"/>
  <c r="K111" i="148"/>
  <c r="G111" i="148"/>
  <c r="C111" i="148"/>
  <c r="I112" i="148"/>
  <c r="D112" i="148"/>
  <c r="J112" i="148"/>
  <c r="E112" i="148"/>
  <c r="K112" i="148"/>
  <c r="G112" i="148"/>
  <c r="C112" i="148"/>
  <c r="I113" i="148"/>
  <c r="D113" i="148"/>
  <c r="J113" i="148"/>
  <c r="E113" i="148"/>
  <c r="K113" i="148"/>
  <c r="G113" i="148"/>
  <c r="C113" i="148"/>
  <c r="I114" i="148"/>
  <c r="D114" i="148"/>
  <c r="J114" i="148"/>
  <c r="E114" i="148"/>
  <c r="K114" i="148"/>
  <c r="G114" i="148"/>
  <c r="C114" i="148"/>
  <c r="I115" i="148"/>
  <c r="D115" i="148"/>
  <c r="J115" i="148"/>
  <c r="E115" i="148"/>
  <c r="K115" i="148"/>
  <c r="G115" i="148"/>
  <c r="C115" i="148"/>
  <c r="I116" i="148"/>
  <c r="D116" i="148"/>
  <c r="J116" i="148"/>
  <c r="E116" i="148"/>
  <c r="K116" i="148"/>
  <c r="G116" i="148"/>
  <c r="C116" i="148"/>
  <c r="I117" i="148"/>
  <c r="D117" i="148"/>
  <c r="J117" i="148"/>
  <c r="E117" i="148"/>
  <c r="K117" i="148"/>
  <c r="G117" i="148"/>
  <c r="C117" i="148"/>
  <c r="I118" i="148"/>
  <c r="D118" i="148"/>
  <c r="J118" i="148"/>
  <c r="E118" i="148"/>
  <c r="K118" i="148"/>
  <c r="G118" i="148"/>
  <c r="C118" i="148"/>
  <c r="I119" i="148"/>
  <c r="D119" i="148"/>
  <c r="J119" i="148"/>
  <c r="E119" i="148"/>
  <c r="K119" i="148"/>
  <c r="G119" i="148"/>
  <c r="C119" i="148"/>
  <c r="I120" i="148"/>
  <c r="D120" i="148"/>
  <c r="J120" i="148"/>
  <c r="E120" i="148"/>
  <c r="K120" i="148"/>
  <c r="G120" i="148"/>
  <c r="C120" i="148"/>
  <c r="I121" i="148"/>
  <c r="D121" i="148"/>
  <c r="J121" i="148"/>
  <c r="E121" i="148"/>
  <c r="K121" i="148"/>
  <c r="G121" i="148"/>
  <c r="C121" i="148"/>
  <c r="I122" i="148"/>
  <c r="D122" i="148"/>
  <c r="J122" i="148"/>
  <c r="E122" i="148"/>
  <c r="K122" i="148"/>
  <c r="G122" i="148"/>
  <c r="C122" i="148"/>
  <c r="I123" i="148"/>
  <c r="D123" i="148"/>
  <c r="J123" i="148"/>
  <c r="E123" i="148"/>
  <c r="K123" i="148"/>
  <c r="G123" i="148"/>
  <c r="C123" i="148"/>
  <c r="I124" i="148"/>
  <c r="D124" i="148"/>
  <c r="J124" i="148"/>
  <c r="E124" i="148"/>
  <c r="K124" i="148"/>
  <c r="G124" i="148"/>
  <c r="C124" i="148"/>
  <c r="I125" i="148"/>
  <c r="D125" i="148"/>
  <c r="J125" i="148"/>
  <c r="E125" i="148"/>
  <c r="K125" i="148"/>
  <c r="G125" i="148"/>
  <c r="C125" i="148"/>
  <c r="I126" i="148"/>
  <c r="D126" i="148"/>
  <c r="J126" i="148"/>
  <c r="E126" i="148"/>
  <c r="K126" i="148"/>
  <c r="G126" i="148"/>
  <c r="C126" i="148"/>
  <c r="I127" i="148"/>
  <c r="D127" i="148"/>
  <c r="J127" i="148"/>
  <c r="E127" i="148"/>
  <c r="K127" i="148"/>
  <c r="G127" i="148"/>
  <c r="C127" i="148"/>
  <c r="I128" i="148"/>
  <c r="D128" i="148"/>
  <c r="J128" i="148"/>
  <c r="E128" i="148"/>
  <c r="K128" i="148"/>
  <c r="G128" i="148"/>
  <c r="C128" i="148"/>
  <c r="I129" i="148"/>
  <c r="D129" i="148"/>
  <c r="J129" i="148"/>
  <c r="E129" i="148"/>
  <c r="K129" i="148"/>
  <c r="G129" i="148"/>
  <c r="C129" i="148"/>
  <c r="I130" i="148"/>
  <c r="D130" i="148"/>
  <c r="J130" i="148"/>
  <c r="E130" i="148"/>
  <c r="K130" i="148"/>
  <c r="G130" i="148"/>
  <c r="C130" i="148"/>
  <c r="I131" i="148"/>
  <c r="D131" i="148"/>
  <c r="J131" i="148"/>
  <c r="E131" i="148"/>
  <c r="K131" i="148"/>
  <c r="G131" i="148"/>
  <c r="C131" i="148"/>
  <c r="I132" i="148"/>
  <c r="D132" i="148"/>
  <c r="J132" i="148"/>
  <c r="E132" i="148"/>
  <c r="K132" i="148"/>
  <c r="G132" i="148"/>
  <c r="C132" i="148"/>
  <c r="I133" i="148"/>
  <c r="D133" i="148"/>
  <c r="J133" i="148"/>
  <c r="E133" i="148"/>
  <c r="K133" i="148"/>
  <c r="G133" i="148"/>
  <c r="C133" i="148"/>
  <c r="I134" i="148"/>
  <c r="D134" i="148"/>
  <c r="J134" i="148"/>
  <c r="E134" i="148"/>
  <c r="K134" i="148"/>
  <c r="G134" i="148"/>
  <c r="C134" i="148"/>
  <c r="I135" i="148"/>
  <c r="D135" i="148"/>
  <c r="J135" i="148"/>
  <c r="E135" i="148"/>
  <c r="K135" i="148"/>
  <c r="G135" i="148"/>
  <c r="C135" i="148"/>
  <c r="I136" i="148"/>
  <c r="D136" i="148"/>
  <c r="J136" i="148"/>
  <c r="E136" i="148"/>
  <c r="K136" i="148"/>
  <c r="G136" i="148"/>
  <c r="C136" i="148"/>
  <c r="I137" i="148"/>
  <c r="D137" i="148"/>
  <c r="J137" i="148"/>
  <c r="E137" i="148"/>
  <c r="K137" i="148"/>
  <c r="G137" i="148"/>
  <c r="C137" i="148"/>
  <c r="I138" i="148"/>
  <c r="D138" i="148"/>
  <c r="J138" i="148"/>
  <c r="E138" i="148"/>
  <c r="K138" i="148"/>
  <c r="G138" i="148"/>
  <c r="C138" i="148"/>
  <c r="I139" i="148"/>
  <c r="D139" i="148"/>
  <c r="J139" i="148"/>
  <c r="E139" i="148"/>
  <c r="K139" i="148"/>
  <c r="G139" i="148"/>
  <c r="C139" i="148"/>
  <c r="I140" i="148"/>
  <c r="D140" i="148"/>
  <c r="J140" i="148"/>
  <c r="E140" i="148"/>
  <c r="K140" i="148"/>
  <c r="G140" i="148"/>
  <c r="C140" i="148"/>
  <c r="I141" i="148"/>
  <c r="D141" i="148"/>
  <c r="J141" i="148"/>
  <c r="E141" i="148"/>
  <c r="K141" i="148"/>
  <c r="G141" i="148"/>
  <c r="C141" i="148"/>
  <c r="I142" i="148"/>
  <c r="D142" i="148"/>
  <c r="J142" i="148"/>
  <c r="E142" i="148"/>
  <c r="K142" i="148"/>
  <c r="G142" i="148"/>
  <c r="C142" i="148"/>
  <c r="I143" i="148"/>
  <c r="D143" i="148"/>
  <c r="J143" i="148"/>
  <c r="E143" i="148"/>
  <c r="K143" i="148"/>
  <c r="G143" i="148"/>
  <c r="C143" i="148"/>
  <c r="I144" i="148"/>
  <c r="D144" i="148"/>
  <c r="J144" i="148"/>
  <c r="E144" i="148"/>
  <c r="K144" i="148"/>
  <c r="G144" i="148"/>
  <c r="C144" i="148"/>
  <c r="I145" i="148"/>
  <c r="D145" i="148"/>
  <c r="J145" i="148"/>
  <c r="E145" i="148"/>
  <c r="K145" i="148"/>
  <c r="G145" i="148"/>
  <c r="C145" i="148"/>
  <c r="I146" i="148"/>
  <c r="D146" i="148"/>
  <c r="J146" i="148"/>
  <c r="E146" i="148"/>
  <c r="K146" i="148"/>
  <c r="G146" i="148"/>
  <c r="C146" i="148"/>
  <c r="I147" i="148"/>
  <c r="D147" i="148"/>
  <c r="J147" i="148"/>
  <c r="E147" i="148"/>
  <c r="K147" i="148"/>
  <c r="G147" i="148"/>
  <c r="C147" i="148"/>
  <c r="I148" i="148"/>
  <c r="D148" i="148"/>
  <c r="J148" i="148"/>
  <c r="E148" i="148"/>
  <c r="K148" i="148"/>
  <c r="G148" i="148"/>
  <c r="C148" i="148"/>
  <c r="I149" i="148"/>
  <c r="D149" i="148"/>
  <c r="J149" i="148"/>
  <c r="E149" i="148"/>
  <c r="K149" i="148"/>
  <c r="G149" i="148"/>
  <c r="C149" i="148"/>
  <c r="I150" i="148"/>
  <c r="D150" i="148"/>
  <c r="J150" i="148"/>
  <c r="E150" i="148"/>
  <c r="K150" i="148"/>
  <c r="G150" i="148"/>
  <c r="C150" i="148"/>
  <c r="I151" i="148"/>
  <c r="D151" i="148"/>
  <c r="J151" i="148"/>
  <c r="E151" i="148"/>
  <c r="K151" i="148"/>
  <c r="G151" i="148"/>
  <c r="C151" i="148"/>
  <c r="I152" i="148"/>
  <c r="D152" i="148"/>
  <c r="J152" i="148"/>
  <c r="E152" i="148"/>
  <c r="K152" i="148"/>
  <c r="G152" i="148"/>
  <c r="C152" i="148"/>
  <c r="I153" i="148"/>
  <c r="D153" i="148"/>
  <c r="J153" i="148"/>
  <c r="E153" i="148"/>
  <c r="K153" i="148"/>
  <c r="G153" i="148"/>
  <c r="C153" i="148"/>
  <c r="I154" i="148"/>
  <c r="D154" i="148"/>
  <c r="J154" i="148"/>
  <c r="E154" i="148"/>
  <c r="K154" i="148"/>
  <c r="G154" i="148"/>
  <c r="C154" i="148"/>
  <c r="I155" i="148"/>
  <c r="D155" i="148"/>
  <c r="J155" i="148"/>
  <c r="E155" i="148"/>
  <c r="K155" i="148"/>
  <c r="G155" i="148"/>
  <c r="C155" i="148"/>
  <c r="I156" i="148"/>
  <c r="D156" i="148"/>
  <c r="J156" i="148"/>
  <c r="E156" i="148"/>
  <c r="K156" i="148"/>
  <c r="G156" i="148"/>
  <c r="C156" i="148"/>
  <c r="I157" i="148"/>
  <c r="D157" i="148"/>
  <c r="J157" i="148"/>
  <c r="E157" i="148"/>
  <c r="K157" i="148"/>
  <c r="G157" i="148"/>
  <c r="C157" i="148"/>
  <c r="I158" i="148"/>
  <c r="D158" i="148"/>
  <c r="J158" i="148"/>
  <c r="E158" i="148"/>
  <c r="K158" i="148"/>
  <c r="G158" i="148"/>
  <c r="C158" i="148"/>
  <c r="I159" i="148"/>
  <c r="D159" i="148"/>
  <c r="J159" i="148"/>
  <c r="E159" i="148"/>
  <c r="K159" i="148"/>
  <c r="G159" i="148"/>
  <c r="C159" i="148"/>
  <c r="I160" i="148"/>
  <c r="D160" i="148"/>
  <c r="J160" i="148"/>
  <c r="E160" i="148"/>
  <c r="K160" i="148"/>
  <c r="G160" i="148"/>
  <c r="C160" i="148"/>
  <c r="I161" i="148"/>
  <c r="D161" i="148"/>
  <c r="J161" i="148"/>
  <c r="E161" i="148"/>
  <c r="K161" i="148"/>
  <c r="G161" i="148"/>
  <c r="C161" i="148"/>
  <c r="I162" i="148"/>
  <c r="D162" i="148"/>
  <c r="J162" i="148"/>
  <c r="E162" i="148"/>
  <c r="K162" i="148"/>
  <c r="G162" i="148"/>
  <c r="C162" i="148"/>
  <c r="I163" i="148"/>
  <c r="D163" i="148"/>
  <c r="J163" i="148"/>
  <c r="E163" i="148"/>
  <c r="K163" i="148"/>
  <c r="G163" i="148"/>
  <c r="C163" i="148"/>
  <c r="I164" i="148"/>
  <c r="D164" i="148"/>
  <c r="J164" i="148"/>
  <c r="E164" i="148"/>
  <c r="K164" i="148"/>
  <c r="G164" i="148"/>
  <c r="C164" i="148"/>
  <c r="I165" i="148"/>
  <c r="D165" i="148"/>
  <c r="J165" i="148"/>
  <c r="E165" i="148"/>
  <c r="K165" i="148"/>
  <c r="G165" i="148"/>
  <c r="C165" i="148"/>
  <c r="I166" i="148"/>
  <c r="D166" i="148"/>
  <c r="J166" i="148"/>
  <c r="E166" i="148"/>
  <c r="K166" i="148"/>
  <c r="G166" i="148"/>
  <c r="C166" i="148"/>
  <c r="I167" i="148"/>
  <c r="D167" i="148"/>
  <c r="J167" i="148"/>
  <c r="E167" i="148"/>
  <c r="K167" i="148"/>
  <c r="G167" i="148"/>
  <c r="C167" i="148"/>
  <c r="I168" i="148"/>
  <c r="D168" i="148"/>
  <c r="J168" i="148"/>
  <c r="E168" i="148"/>
  <c r="K168" i="148"/>
  <c r="G168" i="148"/>
  <c r="C168" i="148"/>
  <c r="I169" i="148"/>
  <c r="D169" i="148"/>
  <c r="J169" i="148"/>
  <c r="E169" i="148"/>
  <c r="K169" i="148"/>
  <c r="G169" i="148"/>
  <c r="C169" i="148"/>
  <c r="I170" i="148"/>
  <c r="D170" i="148"/>
  <c r="J170" i="148"/>
  <c r="E170" i="148"/>
  <c r="K170" i="148"/>
  <c r="G170" i="148"/>
  <c r="C170" i="148"/>
  <c r="I171" i="148"/>
  <c r="D171" i="148"/>
  <c r="J171" i="148"/>
  <c r="E171" i="148"/>
  <c r="K171" i="148"/>
  <c r="G171" i="148"/>
  <c r="C171" i="148"/>
  <c r="I172" i="148"/>
  <c r="D172" i="148"/>
  <c r="J172" i="148"/>
  <c r="E172" i="148"/>
  <c r="K172" i="148"/>
  <c r="G172" i="148"/>
  <c r="C172" i="148"/>
  <c r="I173" i="148"/>
  <c r="D173" i="148"/>
  <c r="J173" i="148"/>
  <c r="E173" i="148"/>
  <c r="K173" i="148"/>
  <c r="G173" i="148"/>
  <c r="C173" i="148"/>
  <c r="I174" i="148"/>
  <c r="D174" i="148"/>
  <c r="J174" i="148"/>
  <c r="E174" i="148"/>
  <c r="K174" i="148"/>
  <c r="G174" i="148"/>
  <c r="C174" i="148"/>
  <c r="I175" i="148"/>
  <c r="D175" i="148"/>
  <c r="J175" i="148"/>
  <c r="E175" i="148"/>
  <c r="K175" i="148"/>
  <c r="G175" i="148"/>
  <c r="C175" i="148"/>
  <c r="I176" i="148"/>
  <c r="D176" i="148"/>
  <c r="J176" i="148"/>
  <c r="E176" i="148"/>
  <c r="K176" i="148"/>
  <c r="G176" i="148"/>
  <c r="C176" i="148"/>
  <c r="I177" i="148"/>
  <c r="D177" i="148"/>
  <c r="J177" i="148"/>
  <c r="E177" i="148"/>
  <c r="K177" i="148"/>
  <c r="G177" i="148"/>
  <c r="C177" i="148"/>
  <c r="I178" i="148"/>
  <c r="D178" i="148"/>
  <c r="J178" i="148"/>
  <c r="E178" i="148"/>
  <c r="K178" i="148"/>
  <c r="G178" i="148"/>
  <c r="C178" i="148"/>
  <c r="I179" i="148"/>
  <c r="D179" i="148"/>
  <c r="J179" i="148"/>
  <c r="E179" i="148"/>
  <c r="K179" i="148"/>
  <c r="G179" i="148"/>
  <c r="C179" i="148"/>
  <c r="I180" i="148"/>
  <c r="D180" i="148"/>
  <c r="J180" i="148"/>
  <c r="E180" i="148"/>
  <c r="K180" i="148"/>
  <c r="G180" i="148"/>
  <c r="C180" i="148"/>
  <c r="I181" i="148"/>
  <c r="D181" i="148"/>
  <c r="J181" i="148"/>
  <c r="E181" i="148"/>
  <c r="K181" i="148"/>
  <c r="G181" i="148"/>
  <c r="C181" i="148"/>
  <c r="I182" i="148"/>
  <c r="D182" i="148"/>
  <c r="J182" i="148"/>
  <c r="E182" i="148"/>
  <c r="K182" i="148"/>
  <c r="G182" i="148"/>
  <c r="C182" i="148"/>
  <c r="I183" i="148"/>
  <c r="D183" i="148"/>
  <c r="J183" i="148"/>
  <c r="E183" i="148"/>
  <c r="K183" i="148"/>
  <c r="G183" i="148"/>
  <c r="C183" i="148"/>
  <c r="I184" i="148"/>
  <c r="D184" i="148"/>
  <c r="J184" i="148"/>
  <c r="E184" i="148"/>
  <c r="K184" i="148"/>
  <c r="G184" i="148"/>
  <c r="C184" i="148"/>
  <c r="I185" i="148"/>
  <c r="D185" i="148"/>
  <c r="J185" i="148"/>
  <c r="E185" i="148"/>
  <c r="K185" i="148"/>
  <c r="G185" i="148"/>
  <c r="C185" i="148"/>
  <c r="I186" i="148"/>
  <c r="D186" i="148"/>
  <c r="J186" i="148"/>
  <c r="E186" i="148"/>
  <c r="K186" i="148"/>
  <c r="G186" i="148"/>
  <c r="C186" i="148"/>
  <c r="I187" i="148"/>
  <c r="D187" i="148"/>
  <c r="J187" i="148"/>
  <c r="E187" i="148"/>
  <c r="K187" i="148"/>
  <c r="G187" i="148"/>
  <c r="C187" i="148"/>
  <c r="I188" i="148"/>
  <c r="D188" i="148"/>
  <c r="J188" i="148"/>
  <c r="E188" i="148"/>
  <c r="K188" i="148"/>
  <c r="G188" i="148"/>
  <c r="C188" i="148"/>
  <c r="I189" i="148"/>
  <c r="D189" i="148"/>
  <c r="J189" i="148"/>
  <c r="E189" i="148"/>
  <c r="K189" i="148"/>
  <c r="G189" i="148"/>
  <c r="C189" i="148"/>
  <c r="I190" i="148"/>
  <c r="D190" i="148"/>
  <c r="J190" i="148"/>
  <c r="E190" i="148"/>
  <c r="K190" i="148"/>
  <c r="G190" i="148"/>
  <c r="C190" i="148"/>
  <c r="I191" i="148"/>
  <c r="D191" i="148"/>
  <c r="J191" i="148"/>
  <c r="E191" i="148"/>
  <c r="K191" i="148"/>
  <c r="G191" i="148"/>
  <c r="C191" i="148"/>
  <c r="I192" i="148"/>
  <c r="D192" i="148"/>
  <c r="J192" i="148"/>
  <c r="E192" i="148"/>
  <c r="K192" i="148"/>
  <c r="G192" i="148"/>
  <c r="C192" i="148"/>
  <c r="I193" i="148"/>
  <c r="D193" i="148"/>
  <c r="J193" i="148"/>
  <c r="E193" i="148"/>
  <c r="K193" i="148"/>
  <c r="G193" i="148"/>
  <c r="C193" i="148"/>
  <c r="I194" i="148"/>
  <c r="D194" i="148"/>
  <c r="J194" i="148"/>
  <c r="E194" i="148"/>
  <c r="K194" i="148"/>
  <c r="G194" i="148"/>
  <c r="C194" i="148"/>
  <c r="I195" i="148"/>
  <c r="D195" i="148"/>
  <c r="J195" i="148"/>
  <c r="E195" i="148"/>
  <c r="K195" i="148"/>
  <c r="G195" i="148"/>
  <c r="C195" i="148"/>
  <c r="I196" i="148"/>
  <c r="D196" i="148"/>
  <c r="J196" i="148"/>
  <c r="E196" i="148"/>
  <c r="K196" i="148"/>
  <c r="G196" i="148"/>
  <c r="C196" i="148"/>
  <c r="I197" i="148"/>
  <c r="D197" i="148"/>
  <c r="J197" i="148"/>
  <c r="E197" i="148"/>
  <c r="K197" i="148"/>
  <c r="G197" i="148"/>
  <c r="C197" i="148"/>
  <c r="I198" i="148"/>
  <c r="D198" i="148"/>
  <c r="J198" i="148"/>
  <c r="E198" i="148"/>
  <c r="K198" i="148"/>
  <c r="G198" i="148"/>
  <c r="C198" i="148"/>
  <c r="I199" i="148"/>
  <c r="D199" i="148"/>
  <c r="J199" i="148"/>
  <c r="E199" i="148"/>
  <c r="K199" i="148"/>
  <c r="G199" i="148"/>
  <c r="C199" i="148"/>
  <c r="I200" i="148"/>
  <c r="D200" i="148"/>
  <c r="J200" i="148"/>
  <c r="E200" i="148"/>
  <c r="K200" i="148"/>
  <c r="G200" i="148"/>
  <c r="C200" i="148"/>
  <c r="I201" i="148"/>
  <c r="D201" i="148"/>
  <c r="J201" i="148"/>
  <c r="E201" i="148"/>
  <c r="K201" i="148"/>
  <c r="G201" i="148"/>
  <c r="C201" i="148"/>
  <c r="I202" i="148"/>
  <c r="D202" i="148"/>
  <c r="J202" i="148"/>
  <c r="E202" i="148"/>
  <c r="K202" i="148"/>
  <c r="G202" i="148"/>
  <c r="C202" i="148"/>
  <c r="I203" i="148"/>
  <c r="D203" i="148"/>
  <c r="J203" i="148"/>
  <c r="E203" i="148"/>
  <c r="K203" i="148"/>
  <c r="G203" i="148"/>
  <c r="C203" i="148"/>
  <c r="I204" i="148"/>
  <c r="D204" i="148"/>
  <c r="J204" i="148"/>
  <c r="E204" i="148"/>
  <c r="K204" i="148"/>
  <c r="G204" i="148"/>
  <c r="C204" i="148"/>
  <c r="I205" i="148"/>
  <c r="D205" i="148"/>
  <c r="J205" i="148"/>
  <c r="E205" i="148"/>
  <c r="K205" i="148"/>
  <c r="G205" i="148"/>
  <c r="C205" i="148"/>
  <c r="I206" i="148"/>
  <c r="D206" i="148"/>
  <c r="J206" i="148"/>
  <c r="E206" i="148"/>
  <c r="K206" i="148"/>
  <c r="G206" i="148"/>
  <c r="C206" i="148"/>
  <c r="I207" i="148"/>
  <c r="D207" i="148"/>
  <c r="J207" i="148"/>
  <c r="E207" i="148"/>
  <c r="K207" i="148"/>
  <c r="G207" i="148"/>
  <c r="C207" i="148"/>
  <c r="I208" i="148"/>
  <c r="D208" i="148"/>
  <c r="J208" i="148"/>
  <c r="E208" i="148"/>
  <c r="K208" i="148"/>
  <c r="G208" i="148"/>
  <c r="C208" i="148"/>
  <c r="I209" i="148"/>
  <c r="D209" i="148"/>
  <c r="J209" i="148"/>
  <c r="E209" i="148"/>
  <c r="K209" i="148"/>
  <c r="G209" i="148"/>
  <c r="C209" i="148"/>
  <c r="I210" i="148"/>
  <c r="D210" i="148"/>
  <c r="J210" i="148"/>
  <c r="E210" i="148"/>
  <c r="K210" i="148"/>
  <c r="G210" i="148"/>
  <c r="C210" i="148"/>
  <c r="I211" i="148"/>
  <c r="D211" i="148"/>
  <c r="J211" i="148"/>
  <c r="E211" i="148"/>
  <c r="K211" i="148"/>
  <c r="G211" i="148"/>
  <c r="C211" i="148"/>
  <c r="I212" i="148"/>
  <c r="D212" i="148"/>
  <c r="J212" i="148"/>
  <c r="E212" i="148"/>
  <c r="K212" i="148"/>
  <c r="G212" i="148"/>
  <c r="C212" i="148"/>
  <c r="I213" i="148"/>
  <c r="D213" i="148"/>
  <c r="J213" i="148"/>
  <c r="E213" i="148"/>
  <c r="K213" i="148"/>
  <c r="G213" i="148"/>
  <c r="C213" i="148"/>
  <c r="I214" i="148"/>
  <c r="D214" i="148"/>
  <c r="J214" i="148"/>
  <c r="E214" i="148"/>
  <c r="K214" i="148"/>
  <c r="G214" i="148"/>
  <c r="C214" i="148"/>
  <c r="I215" i="148"/>
  <c r="D215" i="148"/>
  <c r="J215" i="148"/>
  <c r="E215" i="148"/>
  <c r="K215" i="148"/>
  <c r="G215" i="148"/>
  <c r="C215" i="148"/>
  <c r="I216" i="148"/>
  <c r="D216" i="148"/>
  <c r="J216" i="148"/>
  <c r="E216" i="148"/>
  <c r="K216" i="148"/>
  <c r="G216" i="148"/>
  <c r="C216" i="148"/>
  <c r="I217" i="148"/>
  <c r="D217" i="148"/>
  <c r="J217" i="148"/>
  <c r="E217" i="148"/>
  <c r="K217" i="148"/>
  <c r="G217" i="148"/>
  <c r="C217" i="148"/>
  <c r="I218" i="148"/>
  <c r="D218" i="148"/>
  <c r="J218" i="148"/>
  <c r="E218" i="148"/>
  <c r="K218" i="148"/>
  <c r="G218" i="148"/>
  <c r="C218" i="148"/>
  <c r="I219" i="148"/>
  <c r="D219" i="148"/>
  <c r="J219" i="148"/>
  <c r="E219" i="148"/>
  <c r="K219" i="148"/>
  <c r="G219" i="148"/>
  <c r="C219" i="148"/>
  <c r="I220" i="148"/>
  <c r="D220" i="148"/>
  <c r="J220" i="148"/>
  <c r="E220" i="148"/>
  <c r="K220" i="148"/>
  <c r="G220" i="148"/>
  <c r="C220" i="148"/>
  <c r="I221" i="148"/>
  <c r="D221" i="148"/>
  <c r="J221" i="148"/>
  <c r="E221" i="148"/>
  <c r="K221" i="148"/>
  <c r="G221" i="148"/>
  <c r="C221" i="148"/>
  <c r="I222" i="148"/>
  <c r="D222" i="148"/>
  <c r="J222" i="148"/>
  <c r="E222" i="148"/>
  <c r="K222" i="148"/>
  <c r="G222" i="148"/>
  <c r="C222" i="148"/>
  <c r="I223" i="148"/>
  <c r="D223" i="148"/>
  <c r="J223" i="148"/>
  <c r="E223" i="148"/>
  <c r="K223" i="148"/>
  <c r="G223" i="148"/>
  <c r="C223" i="148"/>
  <c r="I224" i="148"/>
  <c r="D224" i="148"/>
  <c r="J224" i="148"/>
  <c r="E224" i="148"/>
  <c r="K224" i="148"/>
  <c r="G224" i="148"/>
  <c r="C224" i="148"/>
  <c r="I225" i="148"/>
  <c r="D225" i="148"/>
  <c r="J225" i="148"/>
  <c r="E225" i="148"/>
  <c r="K225" i="148"/>
  <c r="G225" i="148"/>
  <c r="C225" i="148"/>
  <c r="I226" i="148"/>
  <c r="D226" i="148"/>
  <c r="J226" i="148"/>
  <c r="E226" i="148"/>
  <c r="K226" i="148"/>
  <c r="G226" i="148"/>
  <c r="C226" i="148"/>
  <c r="I227" i="148"/>
  <c r="D227" i="148"/>
  <c r="J227" i="148"/>
  <c r="E227" i="148"/>
  <c r="K227" i="148"/>
  <c r="G227" i="148"/>
  <c r="C227" i="148"/>
  <c r="I228" i="148"/>
  <c r="D228" i="148"/>
  <c r="J228" i="148"/>
  <c r="E228" i="148"/>
  <c r="K228" i="148"/>
  <c r="G228" i="148"/>
  <c r="C228" i="148"/>
  <c r="I229" i="148"/>
  <c r="D229" i="148"/>
  <c r="J229" i="148"/>
  <c r="E229" i="148"/>
  <c r="K229" i="148"/>
  <c r="G229" i="148"/>
  <c r="C229" i="148"/>
  <c r="I230" i="148"/>
  <c r="D230" i="148"/>
  <c r="J230" i="148"/>
  <c r="E230" i="148"/>
  <c r="K230" i="148"/>
  <c r="G230" i="148"/>
  <c r="C230" i="148"/>
  <c r="I231" i="148"/>
  <c r="D231" i="148"/>
  <c r="J231" i="148"/>
  <c r="E231" i="148"/>
  <c r="K231" i="148"/>
  <c r="G231" i="148"/>
  <c r="C231" i="148"/>
  <c r="I232" i="148"/>
  <c r="D232" i="148"/>
  <c r="J232" i="148"/>
  <c r="E232" i="148"/>
  <c r="K232" i="148"/>
  <c r="G232" i="148"/>
  <c r="C232" i="148"/>
  <c r="I233" i="148"/>
  <c r="D233" i="148"/>
  <c r="J233" i="148"/>
  <c r="E233" i="148"/>
  <c r="K233" i="148"/>
  <c r="G233" i="148"/>
  <c r="C233" i="148"/>
  <c r="I234" i="148"/>
  <c r="D234" i="148"/>
  <c r="J234" i="148"/>
  <c r="E234" i="148"/>
  <c r="K234" i="148"/>
  <c r="G234" i="148"/>
  <c r="C234" i="148"/>
  <c r="I235" i="148"/>
  <c r="D235" i="148"/>
  <c r="J235" i="148"/>
  <c r="E235" i="148"/>
  <c r="K235" i="148"/>
  <c r="G235" i="148"/>
  <c r="C235" i="148"/>
  <c r="I236" i="148"/>
  <c r="D236" i="148"/>
  <c r="J236" i="148"/>
  <c r="E236" i="148"/>
  <c r="K236" i="148"/>
  <c r="G236" i="148"/>
  <c r="C236" i="148"/>
  <c r="I237" i="148"/>
  <c r="D237" i="148"/>
  <c r="J237" i="148"/>
  <c r="E237" i="148"/>
  <c r="K237" i="148"/>
  <c r="G237" i="148"/>
  <c r="C237" i="148"/>
  <c r="I238" i="148"/>
  <c r="D238" i="148"/>
  <c r="J238" i="148"/>
  <c r="E238" i="148"/>
  <c r="K238" i="148"/>
  <c r="G238" i="148"/>
  <c r="C238" i="148"/>
  <c r="I239" i="148"/>
  <c r="D239" i="148"/>
  <c r="J239" i="148"/>
  <c r="E239" i="148"/>
  <c r="K239" i="148"/>
  <c r="G239" i="148"/>
  <c r="C239" i="148"/>
  <c r="I240" i="148"/>
  <c r="D240" i="148"/>
  <c r="J240" i="148"/>
  <c r="E240" i="148"/>
  <c r="K240" i="148"/>
  <c r="G240" i="148"/>
  <c r="C240" i="148"/>
  <c r="I241" i="148"/>
  <c r="D241" i="148"/>
  <c r="J241" i="148"/>
  <c r="E241" i="148"/>
  <c r="K241" i="148"/>
  <c r="G241" i="148"/>
  <c r="C241" i="148"/>
  <c r="I242" i="148"/>
  <c r="D242" i="148"/>
  <c r="J242" i="148"/>
  <c r="E242" i="148"/>
  <c r="K242" i="148"/>
  <c r="G242" i="148"/>
  <c r="C242" i="148"/>
  <c r="I243" i="148"/>
  <c r="D243" i="148"/>
  <c r="J243" i="148"/>
  <c r="E243" i="148"/>
  <c r="K243" i="148"/>
  <c r="G243" i="148"/>
  <c r="C243" i="148"/>
  <c r="I244" i="148"/>
  <c r="D244" i="148"/>
  <c r="J244" i="148"/>
  <c r="E244" i="148"/>
  <c r="K244" i="148"/>
  <c r="G244" i="148"/>
  <c r="C244" i="148"/>
  <c r="I245" i="148"/>
  <c r="D245" i="148"/>
  <c r="J245" i="148"/>
  <c r="E245" i="148"/>
  <c r="K245" i="148"/>
  <c r="G245" i="148"/>
  <c r="C245" i="148"/>
  <c r="I246" i="148"/>
  <c r="D246" i="148"/>
  <c r="J246" i="148"/>
  <c r="E246" i="148"/>
  <c r="K246" i="148"/>
  <c r="G246" i="148"/>
  <c r="C246" i="148"/>
  <c r="I247" i="148"/>
  <c r="D247" i="148"/>
  <c r="J247" i="148"/>
  <c r="E247" i="148"/>
  <c r="K247" i="148"/>
  <c r="G247" i="148"/>
  <c r="C247" i="148"/>
  <c r="I248" i="148"/>
  <c r="D248" i="148"/>
  <c r="J248" i="148"/>
  <c r="E248" i="148"/>
  <c r="K248" i="148"/>
  <c r="G248" i="148"/>
  <c r="C248" i="148"/>
  <c r="I249" i="148"/>
  <c r="D249" i="148"/>
  <c r="J249" i="148"/>
  <c r="E249" i="148"/>
  <c r="K249" i="148"/>
  <c r="G249" i="148"/>
  <c r="C249" i="148"/>
  <c r="I250" i="148"/>
  <c r="D250" i="148"/>
  <c r="J250" i="148"/>
  <c r="E250" i="148"/>
  <c r="K250" i="148"/>
  <c r="G250" i="148"/>
  <c r="C250" i="148"/>
  <c r="I251" i="148"/>
  <c r="D251" i="148"/>
  <c r="J251" i="148"/>
  <c r="E251" i="148"/>
  <c r="K251" i="148"/>
  <c r="G251" i="148"/>
  <c r="C251" i="148"/>
  <c r="I252" i="148"/>
  <c r="D252" i="148"/>
  <c r="J252" i="148"/>
  <c r="E252" i="148"/>
  <c r="K252" i="148"/>
  <c r="G252" i="148"/>
  <c r="C252" i="148"/>
  <c r="I253" i="148"/>
  <c r="D253" i="148"/>
  <c r="J253" i="148"/>
  <c r="E253" i="148"/>
  <c r="K253" i="148"/>
  <c r="G253" i="148"/>
  <c r="C253" i="148"/>
  <c r="I254" i="148"/>
  <c r="D254" i="148"/>
  <c r="J254" i="148"/>
  <c r="E254" i="148"/>
  <c r="K254" i="148"/>
  <c r="G254" i="148"/>
  <c r="C254" i="148"/>
  <c r="I255" i="148"/>
  <c r="D255" i="148"/>
  <c r="J255" i="148"/>
  <c r="E255" i="148"/>
  <c r="K255" i="148"/>
  <c r="G255" i="148"/>
  <c r="C255" i="148"/>
  <c r="I256" i="148"/>
  <c r="D256" i="148"/>
  <c r="J256" i="148"/>
  <c r="E256" i="148"/>
  <c r="K256" i="148"/>
  <c r="G256" i="148"/>
  <c r="C256" i="148"/>
  <c r="I257" i="148"/>
  <c r="D257" i="148"/>
  <c r="J257" i="148"/>
  <c r="E257" i="148"/>
  <c r="K257" i="148"/>
  <c r="G257" i="148"/>
  <c r="C257" i="148"/>
  <c r="I258" i="148"/>
  <c r="D258" i="148"/>
  <c r="J258" i="148"/>
  <c r="E258" i="148"/>
  <c r="K258" i="148"/>
  <c r="G258" i="148"/>
  <c r="C258" i="148"/>
  <c r="I259" i="148"/>
  <c r="D259" i="148"/>
  <c r="J259" i="148"/>
  <c r="E259" i="148"/>
  <c r="K259" i="148"/>
  <c r="G259" i="148"/>
  <c r="C259" i="148"/>
  <c r="I260" i="148"/>
  <c r="D260" i="148"/>
  <c r="J260" i="148"/>
  <c r="E260" i="148"/>
  <c r="K260" i="148"/>
  <c r="G260" i="148"/>
  <c r="C260" i="148"/>
  <c r="I261" i="148"/>
  <c r="D261" i="148"/>
  <c r="J261" i="148"/>
  <c r="E261" i="148"/>
  <c r="K261" i="148"/>
  <c r="G261" i="148"/>
  <c r="C261" i="148"/>
  <c r="I262" i="148"/>
  <c r="D262" i="148"/>
  <c r="J262" i="148"/>
  <c r="E262" i="148"/>
  <c r="K262" i="148"/>
  <c r="G262" i="148"/>
  <c r="C262" i="148"/>
  <c r="I263" i="148"/>
  <c r="D263" i="148"/>
  <c r="J263" i="148"/>
  <c r="E263" i="148"/>
  <c r="K263" i="148"/>
  <c r="G263" i="148"/>
  <c r="C263" i="148"/>
  <c r="I264" i="148"/>
  <c r="D264" i="148"/>
  <c r="J264" i="148"/>
  <c r="E264" i="148"/>
  <c r="K264" i="148"/>
  <c r="G264" i="148"/>
  <c r="C264" i="148"/>
  <c r="I265" i="148"/>
  <c r="D265" i="148"/>
  <c r="J265" i="148"/>
  <c r="E265" i="148"/>
  <c r="K265" i="148"/>
  <c r="G265" i="148"/>
  <c r="C265" i="148"/>
  <c r="I266" i="148"/>
  <c r="D266" i="148"/>
  <c r="J266" i="148"/>
  <c r="E266" i="148"/>
  <c r="K266" i="148"/>
  <c r="G266" i="148"/>
  <c r="C266" i="148"/>
  <c r="I267" i="148"/>
  <c r="D267" i="148"/>
  <c r="J267" i="148"/>
  <c r="E267" i="148"/>
  <c r="K267" i="148"/>
  <c r="G267" i="148"/>
  <c r="C267" i="148"/>
  <c r="I268" i="148"/>
  <c r="D268" i="148"/>
  <c r="J268" i="148"/>
  <c r="E268" i="148"/>
  <c r="K268" i="148"/>
  <c r="G268" i="148"/>
  <c r="C268" i="148"/>
  <c r="I269" i="148"/>
  <c r="D269" i="148"/>
  <c r="J269" i="148"/>
  <c r="E269" i="148"/>
  <c r="K269" i="148"/>
  <c r="G269" i="148"/>
  <c r="C269" i="148"/>
  <c r="I270" i="148"/>
  <c r="D270" i="148"/>
  <c r="J270" i="148"/>
  <c r="E270" i="148"/>
  <c r="K270" i="148"/>
  <c r="G270" i="148"/>
  <c r="C270" i="148"/>
  <c r="I271" i="148"/>
  <c r="D271" i="148"/>
  <c r="J271" i="148"/>
  <c r="E271" i="148"/>
  <c r="K271" i="148"/>
  <c r="G271" i="148"/>
  <c r="C271" i="148"/>
  <c r="I272" i="148"/>
  <c r="D272" i="148"/>
  <c r="J272" i="148"/>
  <c r="E272" i="148"/>
  <c r="K272" i="148"/>
  <c r="G272" i="148"/>
  <c r="C272" i="148"/>
  <c r="I273" i="148"/>
  <c r="D273" i="148"/>
  <c r="J273" i="148"/>
  <c r="E273" i="148"/>
  <c r="K273" i="148"/>
  <c r="G273" i="148"/>
  <c r="C273" i="148"/>
  <c r="I274" i="148"/>
  <c r="D274" i="148"/>
  <c r="J274" i="148"/>
  <c r="E274" i="148"/>
  <c r="K274" i="148"/>
  <c r="G274" i="148"/>
  <c r="C274" i="148"/>
  <c r="I275" i="148"/>
  <c r="D275" i="148"/>
  <c r="J275" i="148"/>
  <c r="E275" i="148"/>
  <c r="K275" i="148"/>
  <c r="G275" i="148"/>
  <c r="C275" i="148"/>
  <c r="I276" i="148"/>
  <c r="D276" i="148"/>
  <c r="J276" i="148"/>
  <c r="E276" i="148"/>
  <c r="K276" i="148"/>
  <c r="G276" i="148"/>
  <c r="C276" i="148"/>
  <c r="I277" i="148"/>
  <c r="D277" i="148"/>
  <c r="J277" i="148"/>
  <c r="E277" i="148"/>
  <c r="K277" i="148"/>
  <c r="G277" i="148"/>
  <c r="C277" i="148"/>
  <c r="I278" i="148"/>
  <c r="D278" i="148"/>
  <c r="J278" i="148"/>
  <c r="E278" i="148"/>
  <c r="K278" i="148"/>
  <c r="G278" i="148"/>
  <c r="C278" i="148"/>
  <c r="I279" i="148"/>
  <c r="D279" i="148"/>
  <c r="J279" i="148"/>
  <c r="E279" i="148"/>
  <c r="K279" i="148"/>
  <c r="G279" i="148"/>
  <c r="C279" i="148"/>
  <c r="I280" i="148"/>
  <c r="D280" i="148"/>
  <c r="J280" i="148"/>
  <c r="E280" i="148"/>
  <c r="K280" i="148"/>
  <c r="G280" i="148"/>
  <c r="C280" i="148"/>
  <c r="I281" i="148"/>
  <c r="D281" i="148"/>
  <c r="J281" i="148"/>
  <c r="E281" i="148"/>
  <c r="K281" i="148"/>
  <c r="G281" i="148"/>
  <c r="C281" i="148"/>
  <c r="I282" i="148"/>
  <c r="D282" i="148"/>
  <c r="J282" i="148"/>
  <c r="E282" i="148"/>
  <c r="K282" i="148"/>
  <c r="G282" i="148"/>
  <c r="C282" i="148"/>
  <c r="I283" i="148"/>
  <c r="D283" i="148"/>
  <c r="J283" i="148"/>
  <c r="E283" i="148"/>
  <c r="K283" i="148"/>
  <c r="G283" i="148"/>
  <c r="C283" i="148"/>
  <c r="I284" i="148"/>
  <c r="D284" i="148"/>
  <c r="J284" i="148"/>
  <c r="E284" i="148"/>
  <c r="K284" i="148"/>
  <c r="G284" i="148"/>
  <c r="C284" i="148"/>
  <c r="I285" i="148"/>
  <c r="D285" i="148"/>
  <c r="J285" i="148"/>
  <c r="E285" i="148"/>
  <c r="K285" i="148"/>
  <c r="G285" i="148"/>
  <c r="C285" i="148"/>
  <c r="I286" i="148"/>
  <c r="D286" i="148"/>
  <c r="J286" i="148"/>
  <c r="E286" i="148"/>
  <c r="K286" i="148"/>
  <c r="G286" i="148"/>
  <c r="C286" i="148"/>
  <c r="I287" i="148"/>
  <c r="D287" i="148"/>
  <c r="J287" i="148"/>
  <c r="E287" i="148"/>
  <c r="K287" i="148"/>
  <c r="G287" i="148"/>
  <c r="C287" i="148"/>
  <c r="I288" i="148"/>
  <c r="D288" i="148"/>
  <c r="J288" i="148"/>
  <c r="E288" i="148"/>
  <c r="K288" i="148"/>
  <c r="G288" i="148"/>
  <c r="C288" i="148"/>
  <c r="I289" i="148"/>
  <c r="D289" i="148"/>
  <c r="J289" i="148"/>
  <c r="E289" i="148"/>
  <c r="K289" i="148"/>
  <c r="G289" i="148"/>
  <c r="C289" i="148"/>
  <c r="I290" i="148"/>
  <c r="D290" i="148"/>
  <c r="J290" i="148"/>
  <c r="E290" i="148"/>
  <c r="K290" i="148"/>
  <c r="G290" i="148"/>
  <c r="C290" i="148"/>
  <c r="I291" i="148"/>
  <c r="D291" i="148"/>
  <c r="J291" i="148"/>
  <c r="E291" i="148"/>
  <c r="K291" i="148"/>
  <c r="G291" i="148"/>
  <c r="C291" i="148"/>
  <c r="I292" i="148"/>
  <c r="D292" i="148"/>
  <c r="J292" i="148"/>
  <c r="E292" i="148"/>
  <c r="K292" i="148"/>
  <c r="G292" i="148"/>
  <c r="C292" i="148"/>
  <c r="I293" i="148"/>
  <c r="D293" i="148"/>
  <c r="J293" i="148"/>
  <c r="E293" i="148"/>
  <c r="K293" i="148"/>
  <c r="G293" i="148"/>
  <c r="C293" i="148"/>
  <c r="I294" i="148"/>
  <c r="D294" i="148"/>
  <c r="J294" i="148"/>
  <c r="E294" i="148"/>
  <c r="K294" i="148"/>
  <c r="G294" i="148"/>
  <c r="C294" i="148"/>
  <c r="I295" i="148"/>
  <c r="D295" i="148"/>
  <c r="J295" i="148"/>
  <c r="E295" i="148"/>
  <c r="K295" i="148"/>
  <c r="G295" i="148"/>
  <c r="C295" i="148"/>
  <c r="I296" i="148"/>
  <c r="D296" i="148"/>
  <c r="J296" i="148"/>
  <c r="E296" i="148"/>
  <c r="K296" i="148"/>
  <c r="G296" i="148"/>
  <c r="C296" i="148"/>
  <c r="I297" i="148"/>
  <c r="D297" i="148"/>
  <c r="J297" i="148"/>
  <c r="E297" i="148"/>
  <c r="K297" i="148"/>
  <c r="G297" i="148"/>
  <c r="C297" i="148"/>
  <c r="I298" i="148"/>
  <c r="D298" i="148"/>
  <c r="J298" i="148"/>
  <c r="E298" i="148"/>
  <c r="K298" i="148"/>
  <c r="G298" i="148"/>
  <c r="C298" i="148"/>
  <c r="I299" i="148"/>
  <c r="D299" i="148"/>
  <c r="J299" i="148"/>
  <c r="E299" i="148"/>
  <c r="K299" i="148"/>
  <c r="G299" i="148"/>
  <c r="C299" i="148"/>
  <c r="I300" i="148"/>
  <c r="D300" i="148"/>
  <c r="J300" i="148"/>
  <c r="E300" i="148"/>
  <c r="K300" i="148"/>
  <c r="G300" i="148"/>
  <c r="C300" i="148"/>
  <c r="I301" i="148"/>
  <c r="D301" i="148"/>
  <c r="J301" i="148"/>
  <c r="E301" i="148"/>
  <c r="K301" i="148"/>
  <c r="G301" i="148"/>
  <c r="C301" i="148"/>
  <c r="I302" i="148"/>
  <c r="D302" i="148"/>
  <c r="J302" i="148"/>
  <c r="E302" i="148"/>
  <c r="K302" i="148"/>
  <c r="G302" i="148"/>
  <c r="C302" i="148"/>
  <c r="I303" i="148"/>
  <c r="D303" i="148"/>
  <c r="J303" i="148"/>
  <c r="E303" i="148"/>
  <c r="K303" i="148"/>
  <c r="G303" i="148"/>
  <c r="C303" i="148"/>
  <c r="I304" i="148"/>
  <c r="D304" i="148"/>
  <c r="J304" i="148"/>
  <c r="E304" i="148"/>
  <c r="K304" i="148"/>
  <c r="G304" i="148"/>
  <c r="C304" i="148"/>
  <c r="I305" i="148"/>
  <c r="D305" i="148"/>
  <c r="J305" i="148"/>
  <c r="E305" i="148"/>
  <c r="K305" i="148"/>
  <c r="G305" i="148"/>
  <c r="C305" i="148"/>
  <c r="I306" i="148"/>
  <c r="D306" i="148"/>
  <c r="J306" i="148"/>
  <c r="E306" i="148"/>
  <c r="K306" i="148"/>
  <c r="G306" i="148"/>
  <c r="C306" i="148"/>
  <c r="I307" i="148"/>
  <c r="D307" i="148"/>
  <c r="J307" i="148"/>
  <c r="E307" i="148"/>
  <c r="K307" i="148"/>
  <c r="G307" i="148"/>
  <c r="C307" i="148"/>
  <c r="I308" i="148"/>
  <c r="D308" i="148"/>
  <c r="J308" i="148"/>
  <c r="E308" i="148"/>
  <c r="K308" i="148"/>
  <c r="G308" i="148"/>
  <c r="C308" i="148"/>
  <c r="I309" i="148"/>
  <c r="D309" i="148"/>
  <c r="J309" i="148"/>
  <c r="E309" i="148"/>
  <c r="K309" i="148"/>
  <c r="G309" i="148"/>
  <c r="C309" i="148"/>
  <c r="I310" i="148"/>
  <c r="D310" i="148"/>
  <c r="J310" i="148"/>
  <c r="E310" i="148"/>
  <c r="K310" i="148"/>
  <c r="G310" i="148"/>
  <c r="C310" i="148"/>
  <c r="I311" i="148"/>
  <c r="D311" i="148"/>
  <c r="J311" i="148"/>
  <c r="E311" i="148"/>
  <c r="K311" i="148"/>
  <c r="G311" i="148"/>
  <c r="C311" i="148"/>
  <c r="I312" i="148"/>
  <c r="D312" i="148"/>
  <c r="J312" i="148"/>
  <c r="E312" i="148"/>
  <c r="K312" i="148"/>
  <c r="G312" i="148"/>
  <c r="C312" i="148"/>
  <c r="I313" i="148"/>
  <c r="D313" i="148"/>
  <c r="J313" i="148"/>
  <c r="E313" i="148"/>
  <c r="K313" i="148"/>
  <c r="G313" i="148"/>
  <c r="C313" i="148"/>
  <c r="I314" i="148"/>
  <c r="D314" i="148"/>
  <c r="J314" i="148"/>
  <c r="E314" i="148"/>
  <c r="K314" i="148"/>
  <c r="G314" i="148"/>
  <c r="C314" i="148"/>
  <c r="I315" i="148"/>
  <c r="D315" i="148"/>
  <c r="J315" i="148"/>
  <c r="E315" i="148"/>
  <c r="K315" i="148"/>
  <c r="G315" i="148"/>
  <c r="C315" i="148"/>
  <c r="I316" i="148"/>
  <c r="D316" i="148"/>
  <c r="J316" i="148"/>
  <c r="E316" i="148"/>
  <c r="K316" i="148"/>
  <c r="G316" i="148"/>
  <c r="C316" i="148"/>
  <c r="I317" i="148"/>
  <c r="D317" i="148"/>
  <c r="J317" i="148"/>
  <c r="E317" i="148"/>
  <c r="K317" i="148"/>
  <c r="G317" i="148"/>
  <c r="C317" i="148"/>
  <c r="I318" i="148"/>
  <c r="D318" i="148"/>
  <c r="J318" i="148"/>
  <c r="E318" i="148"/>
  <c r="K318" i="148"/>
  <c r="G318" i="148"/>
  <c r="C318" i="148"/>
  <c r="I319" i="148"/>
  <c r="D319" i="148"/>
  <c r="J319" i="148"/>
  <c r="E319" i="148"/>
  <c r="K319" i="148"/>
  <c r="G319" i="148"/>
  <c r="C319" i="148"/>
  <c r="I320" i="148"/>
  <c r="D320" i="148"/>
  <c r="J320" i="148"/>
  <c r="E320" i="148"/>
  <c r="K320" i="148"/>
  <c r="G320" i="148"/>
  <c r="C320" i="148"/>
  <c r="I321" i="148"/>
  <c r="D321" i="148"/>
  <c r="J321" i="148"/>
  <c r="E321" i="148"/>
  <c r="K321" i="148"/>
  <c r="G321" i="148"/>
  <c r="C321" i="148"/>
  <c r="I322" i="148"/>
  <c r="D322" i="148"/>
  <c r="J322" i="148"/>
  <c r="E322" i="148"/>
  <c r="K322" i="148"/>
  <c r="G322" i="148"/>
  <c r="C322" i="148"/>
  <c r="I323" i="148"/>
  <c r="D323" i="148"/>
  <c r="J323" i="148"/>
  <c r="E323" i="148"/>
  <c r="K323" i="148"/>
  <c r="G323" i="148"/>
  <c r="C323" i="148"/>
  <c r="I324" i="148"/>
  <c r="D324" i="148"/>
  <c r="J324" i="148"/>
  <c r="E324" i="148"/>
  <c r="K324" i="148"/>
  <c r="G324" i="148"/>
  <c r="C324" i="148"/>
  <c r="F7" i="147"/>
  <c r="E7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21" i="147"/>
  <c r="B21" i="147"/>
  <c r="E23" i="147"/>
  <c r="B23" i="147"/>
  <c r="E26" i="147"/>
  <c r="B26" i="147"/>
  <c r="F5" i="147"/>
  <c r="E5" i="147"/>
  <c r="E28" i="147"/>
  <c r="B28" i="147"/>
  <c r="E29" i="147"/>
  <c r="B29" i="147"/>
  <c r="F8" i="147"/>
  <c r="E8" i="147"/>
  <c r="E36" i="147"/>
  <c r="B36" i="147"/>
  <c r="E38" i="147"/>
  <c r="B38" i="147"/>
  <c r="E41" i="147"/>
  <c r="B41" i="147"/>
  <c r="F6" i="147"/>
  <c r="E6" i="147"/>
  <c r="E43" i="147"/>
  <c r="B43" i="147"/>
  <c r="E44" i="147"/>
  <c r="B44" i="147"/>
  <c r="H57" i="147"/>
  <c r="E18" i="147"/>
  <c r="E19" i="147"/>
  <c r="B19" i="147"/>
  <c r="E24" i="147"/>
  <c r="B24" i="147"/>
  <c r="B17" i="147"/>
  <c r="B18" i="147"/>
  <c r="E20" i="147"/>
  <c r="B20" i="147"/>
  <c r="E22" i="147"/>
  <c r="B22" i="147"/>
  <c r="E25" i="147"/>
  <c r="B25" i="147"/>
  <c r="E27" i="147"/>
  <c r="B27" i="147"/>
  <c r="E33" i="147"/>
  <c r="E34" i="147"/>
  <c r="B34" i="147"/>
  <c r="E39" i="147"/>
  <c r="B39" i="147"/>
  <c r="B32" i="147"/>
  <c r="B33" i="147"/>
  <c r="E35" i="147"/>
  <c r="B35" i="147"/>
  <c r="E37" i="147"/>
  <c r="B37" i="147"/>
  <c r="E40" i="147"/>
  <c r="B40" i="147"/>
  <c r="E42" i="147"/>
  <c r="B42" i="147"/>
  <c r="H56" i="147"/>
  <c r="H55" i="147"/>
  <c r="B46" i="149"/>
  <c r="E49" i="147"/>
  <c r="F49" i="147"/>
  <c r="C49" i="147"/>
  <c r="B46" i="147"/>
  <c r="F49" i="106"/>
  <c r="E49" i="106"/>
  <c r="H57" i="106"/>
  <c r="B46" i="106"/>
  <c r="F320" i="154"/>
  <c r="H320" i="154"/>
  <c r="L320" i="154"/>
  <c r="M320" i="154"/>
  <c r="N320" i="154"/>
  <c r="F321" i="154"/>
  <c r="F322" i="154"/>
  <c r="F323" i="154"/>
  <c r="F324" i="154"/>
  <c r="A51" i="153"/>
  <c r="G29" i="153"/>
  <c r="H29" i="153"/>
  <c r="G33" i="153"/>
  <c r="H33" i="153"/>
  <c r="G17" i="153"/>
  <c r="E17" i="153"/>
  <c r="H17" i="153"/>
  <c r="G18" i="153"/>
  <c r="H18" i="153"/>
  <c r="G32" i="153"/>
  <c r="E32" i="153"/>
  <c r="H32" i="153"/>
  <c r="G39" i="153"/>
  <c r="H39" i="153"/>
  <c r="G40" i="153"/>
  <c r="H40" i="153"/>
  <c r="G41" i="153"/>
  <c r="H41" i="153"/>
  <c r="G24" i="153"/>
  <c r="H24" i="153"/>
  <c r="G25" i="153"/>
  <c r="H25" i="153"/>
  <c r="G26" i="153"/>
  <c r="H26" i="153"/>
  <c r="G19" i="153"/>
  <c r="H19" i="153"/>
  <c r="G21" i="153"/>
  <c r="H21" i="153"/>
  <c r="G34" i="153"/>
  <c r="H34" i="153"/>
  <c r="G35" i="153"/>
  <c r="H35" i="153"/>
  <c r="G36" i="153"/>
  <c r="H36" i="153"/>
  <c r="G42" i="153"/>
  <c r="H42" i="153"/>
  <c r="G43" i="153"/>
  <c r="H43" i="153"/>
  <c r="G28" i="153"/>
  <c r="H28" i="153"/>
  <c r="G37" i="153"/>
  <c r="H37" i="153"/>
  <c r="G38" i="153"/>
  <c r="H38" i="153"/>
  <c r="G22" i="153"/>
  <c r="H22" i="153"/>
  <c r="G23" i="153"/>
  <c r="H23" i="153"/>
  <c r="G44" i="153"/>
  <c r="H44" i="153"/>
  <c r="G46" i="153"/>
  <c r="E46" i="153"/>
  <c r="H46" i="153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A324" i="154"/>
  <c r="F320" i="159"/>
  <c r="H320" i="159"/>
  <c r="L320" i="159"/>
  <c r="M320" i="159"/>
  <c r="N320" i="159"/>
  <c r="A2" i="158"/>
  <c r="F321" i="159"/>
  <c r="F322" i="159"/>
  <c r="F323" i="159"/>
  <c r="F324" i="159"/>
  <c r="A51" i="158"/>
  <c r="G29" i="158"/>
  <c r="H29" i="158"/>
  <c r="O320" i="159"/>
  <c r="G18" i="158"/>
  <c r="H18" i="158"/>
  <c r="G33" i="158"/>
  <c r="H33" i="158"/>
  <c r="O2" i="159"/>
  <c r="G17" i="158"/>
  <c r="E17" i="158"/>
  <c r="H17" i="158"/>
  <c r="O3" i="159"/>
  <c r="O4" i="159"/>
  <c r="O5" i="159"/>
  <c r="O6" i="159"/>
  <c r="G32" i="158"/>
  <c r="E32" i="158"/>
  <c r="H32" i="158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G24" i="158"/>
  <c r="H24" i="158"/>
  <c r="G39" i="158"/>
  <c r="H39" i="158"/>
  <c r="O41" i="159"/>
  <c r="G25" i="158"/>
  <c r="H25" i="158"/>
  <c r="G40" i="158"/>
  <c r="H40" i="158"/>
  <c r="O42" i="159"/>
  <c r="G26" i="158"/>
  <c r="H26" i="158"/>
  <c r="G41" i="158"/>
  <c r="H41" i="158"/>
  <c r="O43" i="159"/>
  <c r="O44" i="159"/>
  <c r="O45" i="159"/>
  <c r="O46" i="159"/>
  <c r="O47" i="159"/>
  <c r="O48" i="159"/>
  <c r="O49" i="159"/>
  <c r="G34" i="158"/>
  <c r="H34" i="158"/>
  <c r="G19" i="158"/>
  <c r="H19" i="158"/>
  <c r="O50" i="159"/>
  <c r="G35" i="158"/>
  <c r="H35" i="158"/>
  <c r="G20" i="158"/>
  <c r="H20" i="158"/>
  <c r="O51" i="159"/>
  <c r="G36" i="158"/>
  <c r="H36" i="158"/>
  <c r="G21" i="158"/>
  <c r="H21" i="158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G27" i="158"/>
  <c r="H27" i="158"/>
  <c r="G42" i="158"/>
  <c r="H42" i="158"/>
  <c r="O137" i="159"/>
  <c r="G28" i="158"/>
  <c r="H28" i="158"/>
  <c r="G43" i="158"/>
  <c r="H43" i="158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O215" i="159"/>
  <c r="O216" i="159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G22" i="158"/>
  <c r="H22" i="158"/>
  <c r="G37" i="158"/>
  <c r="H37" i="158"/>
  <c r="O255" i="159"/>
  <c r="G23" i="158"/>
  <c r="H23" i="158"/>
  <c r="G38" i="158"/>
  <c r="H38" i="158"/>
  <c r="O256" i="159"/>
  <c r="O257" i="159"/>
  <c r="O258" i="159"/>
  <c r="O259" i="159"/>
  <c r="G44" i="158"/>
  <c r="H44" i="158"/>
  <c r="O260" i="159"/>
  <c r="O261" i="159"/>
  <c r="O262" i="159"/>
  <c r="O263" i="159"/>
  <c r="O264" i="159"/>
  <c r="O265" i="159"/>
  <c r="O266" i="159"/>
  <c r="O267" i="159"/>
  <c r="O268" i="159"/>
  <c r="O269" i="159"/>
  <c r="O270" i="159"/>
  <c r="O271" i="159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O319" i="159"/>
  <c r="O321" i="159"/>
  <c r="O322" i="159"/>
  <c r="O323" i="159"/>
  <c r="G31" i="158"/>
  <c r="E31" i="158"/>
  <c r="H31" i="158"/>
  <c r="G46" i="158"/>
  <c r="E46" i="158"/>
  <c r="H46" i="158"/>
  <c r="O324" i="159"/>
  <c r="P320" i="159"/>
  <c r="H321" i="159"/>
  <c r="L321" i="159"/>
  <c r="M321" i="159"/>
  <c r="N321" i="159"/>
  <c r="P321" i="159"/>
  <c r="H322" i="159"/>
  <c r="L322" i="159"/>
  <c r="M322" i="159"/>
  <c r="N322" i="159"/>
  <c r="P322" i="159"/>
  <c r="H323" i="159"/>
  <c r="L323" i="159"/>
  <c r="M323" i="159"/>
  <c r="N323" i="159"/>
  <c r="P323" i="159"/>
  <c r="H324" i="159"/>
  <c r="L324" i="159"/>
  <c r="M324" i="159"/>
  <c r="N324" i="159"/>
  <c r="P324" i="159"/>
  <c r="A320" i="159"/>
  <c r="A321" i="159"/>
  <c r="A322" i="159"/>
  <c r="A323" i="159"/>
  <c r="A324" i="159"/>
  <c r="F320" i="150"/>
  <c r="H320" i="150"/>
  <c r="L320" i="150"/>
  <c r="M320" i="150"/>
  <c r="N320" i="150"/>
  <c r="F321" i="150"/>
  <c r="F322" i="150"/>
  <c r="F323" i="150"/>
  <c r="F324" i="150"/>
  <c r="G29" i="149"/>
  <c r="H29" i="149"/>
  <c r="O320" i="150"/>
  <c r="G33" i="149"/>
  <c r="H33" i="149"/>
  <c r="O2" i="150"/>
  <c r="G17" i="149"/>
  <c r="E17" i="149"/>
  <c r="H17" i="149"/>
  <c r="O3" i="150"/>
  <c r="G18" i="149"/>
  <c r="H18" i="149"/>
  <c r="O4" i="150"/>
  <c r="O5" i="150"/>
  <c r="O6" i="150"/>
  <c r="O7" i="150"/>
  <c r="O8" i="150"/>
  <c r="G32" i="149"/>
  <c r="E32" i="149"/>
  <c r="H32" i="149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G39" i="149"/>
  <c r="H39" i="149"/>
  <c r="O41" i="150"/>
  <c r="G40" i="149"/>
  <c r="H40" i="149"/>
  <c r="O42" i="150"/>
  <c r="G24" i="149"/>
  <c r="H24" i="149"/>
  <c r="O44" i="150"/>
  <c r="G25" i="149"/>
  <c r="H25" i="149"/>
  <c r="O45" i="150"/>
  <c r="O47" i="150"/>
  <c r="O48" i="150"/>
  <c r="G19" i="149"/>
  <c r="H19" i="149"/>
  <c r="O50" i="150"/>
  <c r="E20" i="149"/>
  <c r="E21" i="149"/>
  <c r="G34" i="149"/>
  <c r="H34" i="149"/>
  <c r="O53" i="150"/>
  <c r="E35" i="149"/>
  <c r="E36" i="149"/>
  <c r="O56" i="150"/>
  <c r="O59" i="150"/>
  <c r="O62" i="150"/>
  <c r="O65" i="150"/>
  <c r="O68" i="150"/>
  <c r="O71" i="150"/>
  <c r="O74" i="150"/>
  <c r="O77" i="150"/>
  <c r="O80" i="150"/>
  <c r="O83" i="150"/>
  <c r="O86" i="150"/>
  <c r="O89" i="150"/>
  <c r="O92" i="150"/>
  <c r="O95" i="150"/>
  <c r="O98" i="150"/>
  <c r="O101" i="150"/>
  <c r="O104" i="150"/>
  <c r="O107" i="150"/>
  <c r="O110" i="150"/>
  <c r="O111" i="150"/>
  <c r="O112" i="150"/>
  <c r="O113" i="150"/>
  <c r="O116" i="150"/>
  <c r="O119" i="150"/>
  <c r="O122" i="150"/>
  <c r="O125" i="150"/>
  <c r="O128" i="150"/>
  <c r="O131" i="150"/>
  <c r="O134" i="150"/>
  <c r="G42" i="149"/>
  <c r="H42" i="149"/>
  <c r="O137" i="150"/>
  <c r="G43" i="149"/>
  <c r="H43" i="149"/>
  <c r="O138" i="150"/>
  <c r="G27" i="149"/>
  <c r="H27" i="149"/>
  <c r="O139" i="150"/>
  <c r="G28" i="149"/>
  <c r="H28" i="149"/>
  <c r="O140" i="150"/>
  <c r="O141" i="150"/>
  <c r="O142" i="150"/>
  <c r="O143" i="150"/>
  <c r="O144" i="150"/>
  <c r="O145" i="150"/>
  <c r="O148" i="150"/>
  <c r="O149" i="150"/>
  <c r="O150" i="150"/>
  <c r="O151" i="150"/>
  <c r="O152" i="150"/>
  <c r="O155" i="150"/>
  <c r="O156" i="150"/>
  <c r="O157" i="150"/>
  <c r="O160" i="150"/>
  <c r="O163" i="150"/>
  <c r="O164" i="150"/>
  <c r="O165" i="150"/>
  <c r="O168" i="150"/>
  <c r="O169" i="150"/>
  <c r="O170" i="150"/>
  <c r="O173" i="150"/>
  <c r="O174" i="150"/>
  <c r="O175" i="150"/>
  <c r="O176" i="150"/>
  <c r="O177" i="150"/>
  <c r="O180" i="150"/>
  <c r="O183" i="150"/>
  <c r="O184" i="150"/>
  <c r="O185" i="150"/>
  <c r="O188" i="150"/>
  <c r="O189" i="150"/>
  <c r="O190" i="150"/>
  <c r="O191" i="150"/>
  <c r="O192" i="150"/>
  <c r="O195" i="150"/>
  <c r="O196" i="150"/>
  <c r="O197" i="150"/>
  <c r="O200" i="150"/>
  <c r="O201" i="150"/>
  <c r="O202" i="150"/>
  <c r="O205" i="150"/>
  <c r="O206" i="150"/>
  <c r="O207" i="150"/>
  <c r="O208" i="150"/>
  <c r="O209" i="150"/>
  <c r="O212" i="150"/>
  <c r="O213" i="150"/>
  <c r="O214" i="150"/>
  <c r="O215" i="150"/>
  <c r="O216" i="150"/>
  <c r="O219" i="150"/>
  <c r="O222" i="150"/>
  <c r="O223" i="150"/>
  <c r="O224" i="150"/>
  <c r="O227" i="150"/>
  <c r="O230" i="150"/>
  <c r="O231" i="150"/>
  <c r="O232" i="150"/>
  <c r="O235" i="150"/>
  <c r="O236" i="150"/>
  <c r="O237" i="150"/>
  <c r="O238" i="150"/>
  <c r="O239" i="150"/>
  <c r="O242" i="150"/>
  <c r="O245" i="150"/>
  <c r="O248" i="150"/>
  <c r="O251" i="150"/>
  <c r="O252" i="150"/>
  <c r="O253" i="150"/>
  <c r="O254" i="150"/>
  <c r="G37" i="149"/>
  <c r="H37" i="149"/>
  <c r="O255" i="150"/>
  <c r="G38" i="149"/>
  <c r="H38" i="149"/>
  <c r="O256" i="150"/>
  <c r="G22" i="149"/>
  <c r="H22" i="149"/>
  <c r="O257" i="150"/>
  <c r="G23" i="149"/>
  <c r="H23" i="149"/>
  <c r="O258" i="150"/>
  <c r="O259" i="150"/>
  <c r="O260" i="150"/>
  <c r="O261" i="150"/>
  <c r="O262" i="150"/>
  <c r="O263" i="150"/>
  <c r="O264" i="150"/>
  <c r="O265" i="150"/>
  <c r="O268" i="150"/>
  <c r="G44" i="149"/>
  <c r="H44" i="149"/>
  <c r="O271" i="150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O319" i="150"/>
  <c r="O321" i="150"/>
  <c r="O322" i="150"/>
  <c r="O323" i="150"/>
  <c r="G46" i="149"/>
  <c r="E46" i="149"/>
  <c r="H46" i="149"/>
  <c r="O324" i="150"/>
  <c r="H321" i="150"/>
  <c r="L321" i="150"/>
  <c r="M321" i="150"/>
  <c r="N321" i="150"/>
  <c r="H322" i="150"/>
  <c r="L322" i="150"/>
  <c r="M322" i="150"/>
  <c r="N322" i="150"/>
  <c r="H323" i="150"/>
  <c r="L323" i="150"/>
  <c r="M323" i="150"/>
  <c r="N323" i="150"/>
  <c r="H324" i="150"/>
  <c r="L324" i="150"/>
  <c r="M324" i="150"/>
  <c r="N324" i="150"/>
  <c r="A320" i="150"/>
  <c r="A321" i="150"/>
  <c r="A322" i="150"/>
  <c r="A323" i="150"/>
  <c r="A324" i="150"/>
  <c r="P34" i="157"/>
  <c r="P33" i="157"/>
  <c r="I34" i="157"/>
  <c r="D34" i="157"/>
  <c r="J34" i="157"/>
  <c r="E34" i="157"/>
  <c r="F34" i="157"/>
  <c r="K34" i="157"/>
  <c r="G34" i="157"/>
  <c r="C34" i="157"/>
  <c r="H34" i="157"/>
  <c r="L34" i="157"/>
  <c r="M34" i="157"/>
  <c r="N34" i="157"/>
  <c r="F319" i="148"/>
  <c r="H319" i="148"/>
  <c r="L319" i="148"/>
  <c r="M319" i="148"/>
  <c r="N319" i="148"/>
  <c r="A2" i="147"/>
  <c r="F320" i="148"/>
  <c r="F321" i="148"/>
  <c r="F322" i="148"/>
  <c r="F323" i="148"/>
  <c r="F324" i="148"/>
  <c r="A51" i="147"/>
  <c r="G29" i="147"/>
  <c r="H29" i="147"/>
  <c r="O319" i="148"/>
  <c r="G33" i="147"/>
  <c r="H33" i="147"/>
  <c r="O2" i="148"/>
  <c r="G17" i="147"/>
  <c r="E17" i="147"/>
  <c r="H17" i="147"/>
  <c r="O3" i="148"/>
  <c r="G18" i="147"/>
  <c r="H18" i="147"/>
  <c r="O4" i="148"/>
  <c r="O5" i="148"/>
  <c r="O6" i="148"/>
  <c r="O7" i="148"/>
  <c r="O8" i="148"/>
  <c r="G32" i="147"/>
  <c r="E32" i="147"/>
  <c r="H32" i="147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G39" i="147"/>
  <c r="H39" i="147"/>
  <c r="O41" i="148"/>
  <c r="G40" i="147"/>
  <c r="H40" i="147"/>
  <c r="O42" i="148"/>
  <c r="G41" i="147"/>
  <c r="H41" i="147"/>
  <c r="O43" i="148"/>
  <c r="G24" i="147"/>
  <c r="H24" i="147"/>
  <c r="O44" i="148"/>
  <c r="G25" i="147"/>
  <c r="H25" i="147"/>
  <c r="O45" i="148"/>
  <c r="G26" i="147"/>
  <c r="H26" i="147"/>
  <c r="O46" i="148"/>
  <c r="O47" i="148"/>
  <c r="O48" i="148"/>
  <c r="O49" i="148"/>
  <c r="G19" i="147"/>
  <c r="H19" i="147"/>
  <c r="O50" i="148"/>
  <c r="G20" i="147"/>
  <c r="H20" i="147"/>
  <c r="O51" i="148"/>
  <c r="G21" i="147"/>
  <c r="H21" i="147"/>
  <c r="O52" i="148"/>
  <c r="G34" i="147"/>
  <c r="H34" i="147"/>
  <c r="O53" i="148"/>
  <c r="G35" i="147"/>
  <c r="H35" i="147"/>
  <c r="O54" i="148"/>
  <c r="G36" i="147"/>
  <c r="H36" i="147"/>
  <c r="O55" i="148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G42" i="147"/>
  <c r="H42" i="147"/>
  <c r="O137" i="148"/>
  <c r="G43" i="147"/>
  <c r="H43" i="147"/>
  <c r="O138" i="148"/>
  <c r="G27" i="147"/>
  <c r="H27" i="147"/>
  <c r="O139" i="148"/>
  <c r="G28" i="147"/>
  <c r="H28" i="147"/>
  <c r="O140" i="148"/>
  <c r="O141" i="148"/>
  <c r="O142" i="148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G37" i="147"/>
  <c r="H37" i="147"/>
  <c r="O255" i="148"/>
  <c r="G38" i="147"/>
  <c r="H38" i="147"/>
  <c r="O256" i="148"/>
  <c r="G22" i="147"/>
  <c r="H22" i="147"/>
  <c r="O257" i="148"/>
  <c r="G23" i="147"/>
  <c r="H23" i="147"/>
  <c r="O258" i="148"/>
  <c r="O259" i="148"/>
  <c r="O260" i="148"/>
  <c r="O261" i="148"/>
  <c r="O262" i="148"/>
  <c r="O263" i="148"/>
  <c r="O264" i="148"/>
  <c r="O265" i="148"/>
  <c r="O266" i="148"/>
  <c r="O267" i="148"/>
  <c r="O268" i="148"/>
  <c r="O269" i="148"/>
  <c r="O270" i="148"/>
  <c r="G44" i="147"/>
  <c r="H44" i="147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O320" i="148"/>
  <c r="O321" i="148"/>
  <c r="O322" i="148"/>
  <c r="O323" i="148"/>
  <c r="G46" i="147"/>
  <c r="E46" i="147"/>
  <c r="H46" i="147"/>
  <c r="O324" i="148"/>
  <c r="P319" i="148"/>
  <c r="H320" i="148"/>
  <c r="L320" i="148"/>
  <c r="M320" i="148"/>
  <c r="N320" i="148"/>
  <c r="P320" i="148"/>
  <c r="H321" i="148"/>
  <c r="L321" i="148"/>
  <c r="M321" i="148"/>
  <c r="N321" i="148"/>
  <c r="P321" i="148"/>
  <c r="H322" i="148"/>
  <c r="L322" i="148"/>
  <c r="M322" i="148"/>
  <c r="N322" i="148"/>
  <c r="P322" i="148"/>
  <c r="H323" i="148"/>
  <c r="L323" i="148"/>
  <c r="M323" i="148"/>
  <c r="N323" i="148"/>
  <c r="P323" i="148"/>
  <c r="H324" i="148"/>
  <c r="L324" i="148"/>
  <c r="M324" i="148"/>
  <c r="N324" i="148"/>
  <c r="P324" i="148"/>
  <c r="A319" i="148"/>
  <c r="A320" i="148"/>
  <c r="A321" i="148"/>
  <c r="A322" i="148"/>
  <c r="A323" i="148"/>
  <c r="A324" i="148"/>
  <c r="F324" i="82"/>
  <c r="H324" i="82"/>
  <c r="L324" i="82"/>
  <c r="M324" i="82"/>
  <c r="N324" i="82"/>
  <c r="A324" i="82"/>
  <c r="F319" i="82"/>
  <c r="H319" i="82"/>
  <c r="L319" i="82"/>
  <c r="M319" i="82"/>
  <c r="N319" i="82"/>
  <c r="F320" i="82"/>
  <c r="F321" i="82"/>
  <c r="F322" i="82"/>
  <c r="F323" i="82"/>
  <c r="H320" i="82"/>
  <c r="L320" i="82"/>
  <c r="M320" i="82"/>
  <c r="N320" i="82"/>
  <c r="H321" i="82"/>
  <c r="L321" i="82"/>
  <c r="M321" i="82"/>
  <c r="N321" i="82"/>
  <c r="H322" i="82"/>
  <c r="L322" i="82"/>
  <c r="M322" i="82"/>
  <c r="N322" i="82"/>
  <c r="H323" i="82"/>
  <c r="L323" i="82"/>
  <c r="M323" i="82"/>
  <c r="N323" i="82"/>
  <c r="A319" i="82"/>
  <c r="A320" i="82"/>
  <c r="A321" i="82"/>
  <c r="A322" i="82"/>
  <c r="A323" i="82"/>
  <c r="F319" i="154"/>
  <c r="G31" i="153"/>
  <c r="E31" i="153"/>
  <c r="H31" i="153"/>
  <c r="F56" i="153"/>
  <c r="G56" i="153"/>
  <c r="F311" i="154"/>
  <c r="H311" i="154"/>
  <c r="L311" i="154"/>
  <c r="M311" i="154"/>
  <c r="N311" i="154"/>
  <c r="F312" i="154"/>
  <c r="F313" i="154"/>
  <c r="F314" i="154"/>
  <c r="F315" i="154"/>
  <c r="F316" i="154"/>
  <c r="F317" i="154"/>
  <c r="F318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1" i="154"/>
  <c r="A312" i="154"/>
  <c r="A313" i="154"/>
  <c r="A314" i="154"/>
  <c r="A315" i="154"/>
  <c r="A316" i="154"/>
  <c r="A317" i="154"/>
  <c r="A318" i="154"/>
  <c r="A319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65" i="153"/>
  <c r="B46" i="153"/>
  <c r="B11" i="153"/>
  <c r="F319" i="159"/>
  <c r="F56" i="158"/>
  <c r="G56" i="158"/>
  <c r="B11" i="158"/>
  <c r="B10" i="158"/>
  <c r="P137" i="159"/>
  <c r="P138" i="159"/>
  <c r="P139" i="159"/>
  <c r="P140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41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F64" i="158"/>
  <c r="F65" i="158"/>
  <c r="B46" i="158"/>
  <c r="F311" i="159"/>
  <c r="H311" i="159"/>
  <c r="L311" i="159"/>
  <c r="M311" i="159"/>
  <c r="N311" i="159"/>
  <c r="F312" i="159"/>
  <c r="F313" i="159"/>
  <c r="F314" i="159"/>
  <c r="F315" i="159"/>
  <c r="F316" i="159"/>
  <c r="F317" i="159"/>
  <c r="F318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F319" i="150"/>
  <c r="G31" i="149"/>
  <c r="E31" i="149"/>
  <c r="H31" i="149"/>
  <c r="F311" i="150"/>
  <c r="H311" i="150"/>
  <c r="L311" i="150"/>
  <c r="M311" i="150"/>
  <c r="N311" i="150"/>
  <c r="F312" i="150"/>
  <c r="F313" i="150"/>
  <c r="F314" i="150"/>
  <c r="F315" i="150"/>
  <c r="F316" i="150"/>
  <c r="F317" i="150"/>
  <c r="F318" i="150"/>
  <c r="H312" i="150"/>
  <c r="L312" i="150"/>
  <c r="M312" i="150"/>
  <c r="N312" i="150"/>
  <c r="H313" i="150"/>
  <c r="L313" i="150"/>
  <c r="M313" i="150"/>
  <c r="N313" i="150"/>
  <c r="H314" i="150"/>
  <c r="L314" i="150"/>
  <c r="M314" i="150"/>
  <c r="N314" i="150"/>
  <c r="H315" i="150"/>
  <c r="L315" i="150"/>
  <c r="M315" i="150"/>
  <c r="N315" i="150"/>
  <c r="H316" i="150"/>
  <c r="L316" i="150"/>
  <c r="M316" i="150"/>
  <c r="N316" i="150"/>
  <c r="H317" i="150"/>
  <c r="L317" i="150"/>
  <c r="M317" i="150"/>
  <c r="N317" i="150"/>
  <c r="H318" i="150"/>
  <c r="L318" i="150"/>
  <c r="M318" i="150"/>
  <c r="N318" i="150"/>
  <c r="H319" i="150"/>
  <c r="L319" i="150"/>
  <c r="M319" i="150"/>
  <c r="N319" i="150"/>
  <c r="A311" i="150"/>
  <c r="A312" i="150"/>
  <c r="A313" i="150"/>
  <c r="A314" i="150"/>
  <c r="A315" i="150"/>
  <c r="A316" i="150"/>
  <c r="A317" i="150"/>
  <c r="A318" i="150"/>
  <c r="A319" i="150"/>
  <c r="F3" i="150"/>
  <c r="F2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9" i="150"/>
  <c r="F30" i="150"/>
  <c r="F31" i="150"/>
  <c r="F32" i="150"/>
  <c r="F33" i="150"/>
  <c r="F34" i="150"/>
  <c r="F35" i="150"/>
  <c r="F36" i="150"/>
  <c r="F37" i="150"/>
  <c r="F38" i="150"/>
  <c r="F39" i="150"/>
  <c r="F40" i="150"/>
  <c r="F41" i="150"/>
  <c r="F42" i="150"/>
  <c r="F43" i="150"/>
  <c r="F44" i="150"/>
  <c r="F45" i="150"/>
  <c r="F46" i="150"/>
  <c r="F47" i="150"/>
  <c r="F48" i="150"/>
  <c r="F49" i="150"/>
  <c r="F50" i="150"/>
  <c r="F51" i="150"/>
  <c r="F52" i="150"/>
  <c r="F53" i="150"/>
  <c r="F54" i="150"/>
  <c r="F55" i="150"/>
  <c r="F56" i="150"/>
  <c r="F57" i="150"/>
  <c r="F58" i="150"/>
  <c r="F59" i="150"/>
  <c r="F60" i="150"/>
  <c r="F61" i="150"/>
  <c r="F62" i="150"/>
  <c r="F63" i="150"/>
  <c r="F64" i="150"/>
  <c r="F65" i="150"/>
  <c r="F66" i="150"/>
  <c r="F67" i="150"/>
  <c r="F68" i="150"/>
  <c r="F69" i="150"/>
  <c r="F70" i="150"/>
  <c r="F71" i="150"/>
  <c r="F72" i="150"/>
  <c r="F73" i="150"/>
  <c r="F74" i="150"/>
  <c r="F75" i="150"/>
  <c r="F76" i="150"/>
  <c r="F77" i="150"/>
  <c r="F78" i="150"/>
  <c r="F79" i="150"/>
  <c r="F80" i="150"/>
  <c r="F81" i="150"/>
  <c r="F82" i="150"/>
  <c r="F83" i="150"/>
  <c r="F84" i="150"/>
  <c r="F85" i="150"/>
  <c r="F86" i="150"/>
  <c r="F87" i="150"/>
  <c r="F88" i="150"/>
  <c r="F89" i="150"/>
  <c r="F90" i="150"/>
  <c r="F91" i="150"/>
  <c r="F92" i="150"/>
  <c r="F93" i="150"/>
  <c r="F94" i="150"/>
  <c r="F95" i="150"/>
  <c r="F96" i="150"/>
  <c r="F97" i="150"/>
  <c r="F98" i="150"/>
  <c r="F99" i="150"/>
  <c r="F100" i="150"/>
  <c r="F101" i="150"/>
  <c r="F102" i="150"/>
  <c r="F103" i="150"/>
  <c r="F104" i="150"/>
  <c r="F105" i="150"/>
  <c r="F106" i="150"/>
  <c r="F107" i="150"/>
  <c r="F108" i="150"/>
  <c r="F109" i="150"/>
  <c r="F110" i="150"/>
  <c r="F111" i="150"/>
  <c r="F112" i="150"/>
  <c r="F113" i="150"/>
  <c r="F114" i="150"/>
  <c r="F115" i="150"/>
  <c r="F116" i="150"/>
  <c r="F117" i="150"/>
  <c r="F118" i="150"/>
  <c r="F119" i="150"/>
  <c r="F120" i="150"/>
  <c r="F121" i="150"/>
  <c r="F122" i="150"/>
  <c r="F123" i="150"/>
  <c r="F124" i="150"/>
  <c r="F125" i="150"/>
  <c r="F126" i="150"/>
  <c r="F127" i="150"/>
  <c r="F128" i="150"/>
  <c r="F129" i="150"/>
  <c r="F130" i="150"/>
  <c r="F131" i="150"/>
  <c r="F132" i="150"/>
  <c r="F133" i="150"/>
  <c r="F134" i="150"/>
  <c r="F135" i="150"/>
  <c r="F136" i="150"/>
  <c r="F137" i="150"/>
  <c r="F138" i="150"/>
  <c r="F139" i="150"/>
  <c r="F140" i="150"/>
  <c r="F141" i="150"/>
  <c r="F142" i="150"/>
  <c r="F143" i="150"/>
  <c r="F144" i="150"/>
  <c r="F145" i="150"/>
  <c r="F146" i="150"/>
  <c r="F147" i="150"/>
  <c r="F148" i="150"/>
  <c r="F149" i="150"/>
  <c r="F150" i="150"/>
  <c r="F151" i="150"/>
  <c r="F152" i="150"/>
  <c r="F153" i="150"/>
  <c r="F154" i="150"/>
  <c r="F155" i="150"/>
  <c r="F156" i="150"/>
  <c r="F157" i="150"/>
  <c r="F158" i="150"/>
  <c r="F159" i="150"/>
  <c r="F160" i="150"/>
  <c r="F161" i="150"/>
  <c r="F162" i="150"/>
  <c r="F163" i="150"/>
  <c r="F164" i="150"/>
  <c r="F165" i="150"/>
  <c r="F166" i="150"/>
  <c r="F167" i="150"/>
  <c r="F168" i="150"/>
  <c r="F169" i="150"/>
  <c r="F170" i="150"/>
  <c r="F171" i="150"/>
  <c r="F172" i="150"/>
  <c r="F173" i="150"/>
  <c r="F174" i="150"/>
  <c r="F175" i="150"/>
  <c r="F176" i="150"/>
  <c r="F177" i="150"/>
  <c r="F178" i="150"/>
  <c r="F179" i="150"/>
  <c r="F180" i="150"/>
  <c r="F181" i="150"/>
  <c r="F182" i="150"/>
  <c r="F183" i="150"/>
  <c r="F184" i="150"/>
  <c r="F185" i="150"/>
  <c r="F186" i="150"/>
  <c r="F187" i="150"/>
  <c r="F188" i="150"/>
  <c r="F189" i="150"/>
  <c r="F190" i="150"/>
  <c r="F191" i="150"/>
  <c r="F192" i="150"/>
  <c r="F193" i="150"/>
  <c r="F194" i="150"/>
  <c r="F195" i="150"/>
  <c r="F196" i="150"/>
  <c r="F197" i="150"/>
  <c r="F198" i="150"/>
  <c r="F199" i="150"/>
  <c r="F200" i="150"/>
  <c r="F201" i="150"/>
  <c r="F202" i="150"/>
  <c r="F203" i="150"/>
  <c r="F204" i="150"/>
  <c r="F205" i="150"/>
  <c r="F206" i="150"/>
  <c r="F207" i="150"/>
  <c r="F208" i="150"/>
  <c r="F209" i="150"/>
  <c r="F210" i="150"/>
  <c r="F211" i="150"/>
  <c r="F212" i="150"/>
  <c r="F213" i="150"/>
  <c r="F214" i="150"/>
  <c r="F215" i="150"/>
  <c r="F216" i="150"/>
  <c r="F217" i="150"/>
  <c r="F218" i="150"/>
  <c r="F219" i="150"/>
  <c r="F220" i="150"/>
  <c r="F221" i="150"/>
  <c r="F222" i="150"/>
  <c r="F223" i="150"/>
  <c r="F224" i="150"/>
  <c r="F225" i="150"/>
  <c r="F226" i="150"/>
  <c r="F227" i="150"/>
  <c r="F228" i="150"/>
  <c r="F229" i="150"/>
  <c r="F230" i="150"/>
  <c r="F231" i="150"/>
  <c r="F232" i="150"/>
  <c r="F233" i="150"/>
  <c r="F234" i="150"/>
  <c r="F235" i="150"/>
  <c r="F236" i="150"/>
  <c r="F237" i="150"/>
  <c r="F238" i="150"/>
  <c r="F239" i="150"/>
  <c r="F240" i="150"/>
  <c r="F241" i="150"/>
  <c r="F242" i="150"/>
  <c r="F243" i="150"/>
  <c r="F244" i="150"/>
  <c r="F245" i="150"/>
  <c r="F246" i="150"/>
  <c r="F247" i="150"/>
  <c r="F248" i="150"/>
  <c r="F249" i="150"/>
  <c r="F250" i="150"/>
  <c r="F251" i="150"/>
  <c r="F252" i="150"/>
  <c r="F253" i="150"/>
  <c r="F254" i="150"/>
  <c r="F255" i="150"/>
  <c r="F256" i="150"/>
  <c r="F257" i="150"/>
  <c r="F258" i="150"/>
  <c r="F259" i="150"/>
  <c r="F260" i="150"/>
  <c r="F261" i="150"/>
  <c r="F262" i="150"/>
  <c r="F263" i="150"/>
  <c r="F264" i="150"/>
  <c r="F265" i="150"/>
  <c r="F266" i="150"/>
  <c r="F267" i="150"/>
  <c r="F268" i="150"/>
  <c r="F269" i="150"/>
  <c r="F270" i="150"/>
  <c r="F271" i="150"/>
  <c r="F272" i="150"/>
  <c r="F273" i="150"/>
  <c r="F274" i="150"/>
  <c r="F275" i="150"/>
  <c r="F276" i="150"/>
  <c r="F277" i="150"/>
  <c r="F278" i="150"/>
  <c r="F279" i="150"/>
  <c r="F280" i="150"/>
  <c r="F281" i="150"/>
  <c r="F282" i="150"/>
  <c r="F283" i="150"/>
  <c r="F284" i="150"/>
  <c r="F285" i="150"/>
  <c r="F286" i="150"/>
  <c r="F287" i="150"/>
  <c r="F288" i="150"/>
  <c r="F289" i="150"/>
  <c r="F290" i="150"/>
  <c r="F291" i="150"/>
  <c r="F292" i="150"/>
  <c r="F293" i="150"/>
  <c r="F294" i="150"/>
  <c r="F295" i="150"/>
  <c r="F296" i="150"/>
  <c r="F297" i="150"/>
  <c r="F298" i="150"/>
  <c r="F299" i="150"/>
  <c r="F300" i="150"/>
  <c r="F301" i="150"/>
  <c r="F302" i="150"/>
  <c r="F303" i="150"/>
  <c r="F304" i="150"/>
  <c r="F305" i="150"/>
  <c r="F306" i="150"/>
  <c r="F307" i="150"/>
  <c r="F308" i="150"/>
  <c r="F309" i="150"/>
  <c r="F310" i="150"/>
  <c r="B11" i="149"/>
  <c r="B10" i="149"/>
  <c r="P3" i="157"/>
  <c r="P4" i="157"/>
  <c r="P5" i="157"/>
  <c r="P6" i="157"/>
  <c r="P7" i="157"/>
  <c r="P8" i="157"/>
  <c r="P9" i="157"/>
  <c r="P10" i="157"/>
  <c r="P11" i="157"/>
  <c r="P12" i="157"/>
  <c r="P13" i="157"/>
  <c r="P14" i="157"/>
  <c r="P15" i="157"/>
  <c r="P16" i="157"/>
  <c r="P17" i="157"/>
  <c r="P18" i="157"/>
  <c r="P19" i="157"/>
  <c r="P20" i="157"/>
  <c r="P21" i="157"/>
  <c r="P22" i="157"/>
  <c r="P23" i="157"/>
  <c r="P24" i="157"/>
  <c r="P25" i="157"/>
  <c r="P26" i="157"/>
  <c r="P27" i="157"/>
  <c r="P28" i="157"/>
  <c r="P29" i="157"/>
  <c r="P30" i="157"/>
  <c r="P31" i="157"/>
  <c r="P32" i="157"/>
  <c r="I32" i="157"/>
  <c r="D32" i="157"/>
  <c r="J32" i="157"/>
  <c r="E32" i="157"/>
  <c r="F32" i="157"/>
  <c r="K32" i="157"/>
  <c r="G32" i="157"/>
  <c r="C32" i="157"/>
  <c r="H32" i="157"/>
  <c r="L32" i="157"/>
  <c r="M32" i="157"/>
  <c r="N32" i="157"/>
  <c r="I33" i="157"/>
  <c r="D33" i="157"/>
  <c r="J33" i="157"/>
  <c r="E33" i="157"/>
  <c r="F33" i="157"/>
  <c r="K33" i="157"/>
  <c r="G33" i="157"/>
  <c r="C33" i="157"/>
  <c r="H33" i="157"/>
  <c r="L33" i="157"/>
  <c r="M33" i="157"/>
  <c r="N33" i="157"/>
  <c r="K3" i="157"/>
  <c r="G3" i="157"/>
  <c r="K4" i="157"/>
  <c r="G4" i="157"/>
  <c r="K5" i="157"/>
  <c r="G5" i="157"/>
  <c r="K6" i="157"/>
  <c r="G6" i="157"/>
  <c r="K7" i="157"/>
  <c r="G7" i="157"/>
  <c r="K8" i="157"/>
  <c r="G8" i="157"/>
  <c r="K9" i="157"/>
  <c r="G9" i="157"/>
  <c r="K10" i="157"/>
  <c r="G10" i="157"/>
  <c r="K11" i="157"/>
  <c r="G11" i="157"/>
  <c r="K12" i="157"/>
  <c r="G12" i="157"/>
  <c r="K13" i="157"/>
  <c r="G13" i="157"/>
  <c r="K14" i="157"/>
  <c r="G14" i="157"/>
  <c r="K15" i="157"/>
  <c r="G15" i="157"/>
  <c r="K16" i="157"/>
  <c r="G16" i="157"/>
  <c r="K17" i="157"/>
  <c r="G17" i="157"/>
  <c r="K18" i="157"/>
  <c r="G18" i="157"/>
  <c r="K19" i="157"/>
  <c r="G19" i="157"/>
  <c r="K20" i="157"/>
  <c r="G20" i="157"/>
  <c r="K21" i="157"/>
  <c r="G21" i="157"/>
  <c r="K22" i="157"/>
  <c r="G22" i="157"/>
  <c r="K23" i="157"/>
  <c r="G23" i="157"/>
  <c r="K24" i="157"/>
  <c r="G24" i="157"/>
  <c r="K25" i="157"/>
  <c r="G25" i="157"/>
  <c r="K26" i="157"/>
  <c r="G26" i="157"/>
  <c r="K27" i="157"/>
  <c r="G27" i="157"/>
  <c r="K28" i="157"/>
  <c r="G28" i="157"/>
  <c r="K29" i="157"/>
  <c r="G29" i="157"/>
  <c r="K30" i="157"/>
  <c r="G30" i="157"/>
  <c r="K31" i="157"/>
  <c r="G31" i="157"/>
  <c r="K2" i="157"/>
  <c r="G2" i="157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F285" i="148"/>
  <c r="F286" i="148"/>
  <c r="F287" i="148"/>
  <c r="F288" i="148"/>
  <c r="F289" i="148"/>
  <c r="F290" i="148"/>
  <c r="F291" i="148"/>
  <c r="F292" i="148"/>
  <c r="F293" i="148"/>
  <c r="F294" i="148"/>
  <c r="F295" i="148"/>
  <c r="F296" i="148"/>
  <c r="F297" i="148"/>
  <c r="F298" i="148"/>
  <c r="F299" i="148"/>
  <c r="F300" i="148"/>
  <c r="F301" i="148"/>
  <c r="F302" i="148"/>
  <c r="F303" i="148"/>
  <c r="F304" i="148"/>
  <c r="F305" i="148"/>
  <c r="F306" i="148"/>
  <c r="F307" i="148"/>
  <c r="F308" i="148"/>
  <c r="F309" i="148"/>
  <c r="F310" i="148"/>
  <c r="F311" i="148"/>
  <c r="F312" i="148"/>
  <c r="F313" i="148"/>
  <c r="F314" i="148"/>
  <c r="F315" i="148"/>
  <c r="F316" i="148"/>
  <c r="F317" i="148"/>
  <c r="F318" i="148"/>
  <c r="G31" i="147"/>
  <c r="E31" i="147"/>
  <c r="H31" i="147"/>
  <c r="H311" i="148"/>
  <c r="L311" i="148"/>
  <c r="M311" i="148"/>
  <c r="N311" i="148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A311" i="148"/>
  <c r="A312" i="148"/>
  <c r="A313" i="148"/>
  <c r="A314" i="148"/>
  <c r="A315" i="148"/>
  <c r="A316" i="148"/>
  <c r="A317" i="148"/>
  <c r="A318" i="148"/>
  <c r="F307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84" i="82"/>
  <c r="F285" i="82"/>
  <c r="F286" i="82"/>
  <c r="F287" i="82"/>
  <c r="F288" i="82"/>
  <c r="F289" i="82"/>
  <c r="F290" i="82"/>
  <c r="F291" i="82"/>
  <c r="F292" i="82"/>
  <c r="F293" i="82"/>
  <c r="F294" i="82"/>
  <c r="F295" i="82"/>
  <c r="F296" i="82"/>
  <c r="F297" i="82"/>
  <c r="F298" i="82"/>
  <c r="F299" i="82"/>
  <c r="F300" i="82"/>
  <c r="F301" i="82"/>
  <c r="F302" i="82"/>
  <c r="F303" i="82"/>
  <c r="F304" i="82"/>
  <c r="F305" i="82"/>
  <c r="F306" i="82"/>
  <c r="F308" i="82"/>
  <c r="F309" i="82"/>
  <c r="F310" i="82"/>
  <c r="F311" i="82"/>
  <c r="F312" i="82"/>
  <c r="F313" i="82"/>
  <c r="F314" i="82"/>
  <c r="F315" i="82"/>
  <c r="F316" i="82"/>
  <c r="F317" i="82"/>
  <c r="F318" i="82"/>
  <c r="B11" i="106"/>
  <c r="B10" i="106"/>
  <c r="B5" i="106"/>
  <c r="G31" i="106"/>
  <c r="E31" i="106"/>
  <c r="H31" i="106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B10" i="153"/>
  <c r="B10" i="147"/>
  <c r="F2" i="159"/>
  <c r="F3" i="159"/>
  <c r="F4" i="159"/>
  <c r="F5" i="159"/>
  <c r="F6" i="159"/>
  <c r="F7" i="159"/>
  <c r="F8" i="159"/>
  <c r="F9" i="159"/>
  <c r="F10" i="159"/>
  <c r="F11" i="159"/>
  <c r="F12" i="159"/>
  <c r="F13" i="159"/>
  <c r="F14" i="159"/>
  <c r="F15" i="159"/>
  <c r="F16" i="159"/>
  <c r="F17" i="159"/>
  <c r="F18" i="159"/>
  <c r="F19" i="159"/>
  <c r="F20" i="159"/>
  <c r="F21" i="159"/>
  <c r="F22" i="159"/>
  <c r="F23" i="159"/>
  <c r="F24" i="159"/>
  <c r="F25" i="159"/>
  <c r="F26" i="159"/>
  <c r="F27" i="159"/>
  <c r="F28" i="159"/>
  <c r="F29" i="159"/>
  <c r="F30" i="159"/>
  <c r="F31" i="159"/>
  <c r="F32" i="159"/>
  <c r="F33" i="159"/>
  <c r="F34" i="159"/>
  <c r="F35" i="159"/>
  <c r="F36" i="159"/>
  <c r="F37" i="159"/>
  <c r="F38" i="159"/>
  <c r="F39" i="159"/>
  <c r="F40" i="159"/>
  <c r="F41" i="159"/>
  <c r="F42" i="159"/>
  <c r="F43" i="159"/>
  <c r="F44" i="159"/>
  <c r="F45" i="159"/>
  <c r="F46" i="159"/>
  <c r="F47" i="159"/>
  <c r="F48" i="159"/>
  <c r="F49" i="159"/>
  <c r="F50" i="159"/>
  <c r="F51" i="159"/>
  <c r="F52" i="159"/>
  <c r="F53" i="159"/>
  <c r="F54" i="159"/>
  <c r="F55" i="159"/>
  <c r="F56" i="159"/>
  <c r="F57" i="159"/>
  <c r="F58" i="159"/>
  <c r="F59" i="159"/>
  <c r="F60" i="159"/>
  <c r="F61" i="159"/>
  <c r="F62" i="159"/>
  <c r="F63" i="159"/>
  <c r="F64" i="159"/>
  <c r="F65" i="159"/>
  <c r="F66" i="159"/>
  <c r="F67" i="159"/>
  <c r="F68" i="159"/>
  <c r="F69" i="159"/>
  <c r="F70" i="159"/>
  <c r="F71" i="159"/>
  <c r="F72" i="159"/>
  <c r="F73" i="159"/>
  <c r="F74" i="159"/>
  <c r="F75" i="159"/>
  <c r="F76" i="159"/>
  <c r="F77" i="159"/>
  <c r="F78" i="159"/>
  <c r="F79" i="159"/>
  <c r="F80" i="159"/>
  <c r="F81" i="159"/>
  <c r="F82" i="159"/>
  <c r="F83" i="159"/>
  <c r="F84" i="159"/>
  <c r="F85" i="159"/>
  <c r="F86" i="159"/>
  <c r="F87" i="159"/>
  <c r="F88" i="159"/>
  <c r="F89" i="159"/>
  <c r="F90" i="159"/>
  <c r="F91" i="159"/>
  <c r="F92" i="159"/>
  <c r="F93" i="159"/>
  <c r="F94" i="159"/>
  <c r="F95" i="159"/>
  <c r="F96" i="159"/>
  <c r="F97" i="159"/>
  <c r="F98" i="159"/>
  <c r="F99" i="159"/>
  <c r="F100" i="159"/>
  <c r="F101" i="159"/>
  <c r="F102" i="159"/>
  <c r="F103" i="159"/>
  <c r="F104" i="159"/>
  <c r="F105" i="159"/>
  <c r="F106" i="159"/>
  <c r="F107" i="159"/>
  <c r="F108" i="159"/>
  <c r="F109" i="159"/>
  <c r="F110" i="159"/>
  <c r="F111" i="159"/>
  <c r="F112" i="159"/>
  <c r="F113" i="159"/>
  <c r="F114" i="159"/>
  <c r="F115" i="159"/>
  <c r="F116" i="159"/>
  <c r="F117" i="159"/>
  <c r="F118" i="159"/>
  <c r="F119" i="159"/>
  <c r="F120" i="159"/>
  <c r="F121" i="159"/>
  <c r="F122" i="159"/>
  <c r="F123" i="159"/>
  <c r="F124" i="159"/>
  <c r="F125" i="159"/>
  <c r="F126" i="159"/>
  <c r="F127" i="159"/>
  <c r="F128" i="159"/>
  <c r="F129" i="159"/>
  <c r="F130" i="159"/>
  <c r="F131" i="159"/>
  <c r="F132" i="159"/>
  <c r="F133" i="159"/>
  <c r="F134" i="159"/>
  <c r="F135" i="159"/>
  <c r="F136" i="159"/>
  <c r="F137" i="159"/>
  <c r="F138" i="159"/>
  <c r="F139" i="159"/>
  <c r="F140" i="159"/>
  <c r="F141" i="159"/>
  <c r="F142" i="159"/>
  <c r="F143" i="159"/>
  <c r="F144" i="159"/>
  <c r="F145" i="159"/>
  <c r="F146" i="159"/>
  <c r="F147" i="159"/>
  <c r="F148" i="159"/>
  <c r="F149" i="159"/>
  <c r="F150" i="159"/>
  <c r="F151" i="159"/>
  <c r="F152" i="159"/>
  <c r="F153" i="159"/>
  <c r="F154" i="159"/>
  <c r="F155" i="159"/>
  <c r="F156" i="159"/>
  <c r="F157" i="159"/>
  <c r="F158" i="159"/>
  <c r="F159" i="159"/>
  <c r="F160" i="159"/>
  <c r="F161" i="159"/>
  <c r="F162" i="159"/>
  <c r="F163" i="159"/>
  <c r="F164" i="159"/>
  <c r="F165" i="159"/>
  <c r="F166" i="159"/>
  <c r="F167" i="159"/>
  <c r="F168" i="159"/>
  <c r="F169" i="159"/>
  <c r="F170" i="159"/>
  <c r="F171" i="159"/>
  <c r="F172" i="159"/>
  <c r="F173" i="159"/>
  <c r="F174" i="159"/>
  <c r="F175" i="159"/>
  <c r="F176" i="159"/>
  <c r="F177" i="159"/>
  <c r="F178" i="159"/>
  <c r="F179" i="159"/>
  <c r="F180" i="159"/>
  <c r="F181" i="159"/>
  <c r="F182" i="159"/>
  <c r="F183" i="159"/>
  <c r="F184" i="159"/>
  <c r="F185" i="159"/>
  <c r="F186" i="159"/>
  <c r="F187" i="159"/>
  <c r="F188" i="159"/>
  <c r="F189" i="159"/>
  <c r="F190" i="159"/>
  <c r="F191" i="159"/>
  <c r="F192" i="159"/>
  <c r="F193" i="159"/>
  <c r="F194" i="159"/>
  <c r="F195" i="159"/>
  <c r="F196" i="159"/>
  <c r="F197" i="159"/>
  <c r="F198" i="159"/>
  <c r="F199" i="159"/>
  <c r="F200" i="159"/>
  <c r="F201" i="159"/>
  <c r="F202" i="159"/>
  <c r="F203" i="159"/>
  <c r="F204" i="159"/>
  <c r="F205" i="159"/>
  <c r="F206" i="159"/>
  <c r="F207" i="159"/>
  <c r="F208" i="159"/>
  <c r="F209" i="159"/>
  <c r="F210" i="159"/>
  <c r="F211" i="159"/>
  <c r="F212" i="159"/>
  <c r="F213" i="159"/>
  <c r="F214" i="159"/>
  <c r="F215" i="159"/>
  <c r="F216" i="159"/>
  <c r="F217" i="159"/>
  <c r="F218" i="159"/>
  <c r="F219" i="159"/>
  <c r="F220" i="159"/>
  <c r="F221" i="159"/>
  <c r="F222" i="159"/>
  <c r="F223" i="159"/>
  <c r="F224" i="159"/>
  <c r="F225" i="159"/>
  <c r="F226" i="159"/>
  <c r="F227" i="159"/>
  <c r="F228" i="159"/>
  <c r="F229" i="159"/>
  <c r="F230" i="159"/>
  <c r="F231" i="159"/>
  <c r="F232" i="159"/>
  <c r="F233" i="159"/>
  <c r="F234" i="159"/>
  <c r="F235" i="159"/>
  <c r="F236" i="159"/>
  <c r="F237" i="159"/>
  <c r="F238" i="159"/>
  <c r="F239" i="159"/>
  <c r="F240" i="159"/>
  <c r="F241" i="159"/>
  <c r="F242" i="159"/>
  <c r="F243" i="159"/>
  <c r="F244" i="159"/>
  <c r="F245" i="159"/>
  <c r="F246" i="159"/>
  <c r="F247" i="159"/>
  <c r="F248" i="159"/>
  <c r="F249" i="159"/>
  <c r="F250" i="159"/>
  <c r="F251" i="159"/>
  <c r="F252" i="159"/>
  <c r="F253" i="159"/>
  <c r="F254" i="159"/>
  <c r="F255" i="159"/>
  <c r="F256" i="159"/>
  <c r="F257" i="159"/>
  <c r="F258" i="159"/>
  <c r="F259" i="159"/>
  <c r="F260" i="159"/>
  <c r="F261" i="159"/>
  <c r="F262" i="159"/>
  <c r="F263" i="159"/>
  <c r="F264" i="159"/>
  <c r="F265" i="159"/>
  <c r="F266" i="159"/>
  <c r="F267" i="159"/>
  <c r="F268" i="159"/>
  <c r="F269" i="159"/>
  <c r="F270" i="159"/>
  <c r="F271" i="159"/>
  <c r="F272" i="159"/>
  <c r="F273" i="159"/>
  <c r="F274" i="159"/>
  <c r="F275" i="159"/>
  <c r="F276" i="159"/>
  <c r="F277" i="159"/>
  <c r="F278" i="159"/>
  <c r="F279" i="159"/>
  <c r="F280" i="159"/>
  <c r="F281" i="159"/>
  <c r="F282" i="159"/>
  <c r="F283" i="159"/>
  <c r="F284" i="159"/>
  <c r="F285" i="159"/>
  <c r="F286" i="159"/>
  <c r="F287" i="159"/>
  <c r="F288" i="159"/>
  <c r="F289" i="159"/>
  <c r="F290" i="159"/>
  <c r="F291" i="159"/>
  <c r="F292" i="159"/>
  <c r="F293" i="159"/>
  <c r="F294" i="159"/>
  <c r="F295" i="159"/>
  <c r="F296" i="159"/>
  <c r="F297" i="159"/>
  <c r="F298" i="159"/>
  <c r="F299" i="159"/>
  <c r="F300" i="159"/>
  <c r="F301" i="159"/>
  <c r="F302" i="159"/>
  <c r="F303" i="159"/>
  <c r="F304" i="159"/>
  <c r="F305" i="159"/>
  <c r="F306" i="159"/>
  <c r="F307" i="159"/>
  <c r="F308" i="159"/>
  <c r="F309" i="159"/>
  <c r="F310" i="159"/>
  <c r="F57" i="158"/>
  <c r="G57" i="158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I30" i="157"/>
  <c r="D30" i="157"/>
  <c r="J30" i="157"/>
  <c r="E30" i="157"/>
  <c r="F30" i="157"/>
  <c r="C30" i="157"/>
  <c r="H30" i="157"/>
  <c r="L30" i="157"/>
  <c r="M30" i="157"/>
  <c r="N30" i="157"/>
  <c r="I31" i="157"/>
  <c r="D31" i="157"/>
  <c r="J31" i="157"/>
  <c r="E31" i="157"/>
  <c r="F31" i="157"/>
  <c r="C31" i="157"/>
  <c r="H31" i="157"/>
  <c r="L31" i="157"/>
  <c r="M31" i="157"/>
  <c r="N31" i="157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I3" i="157"/>
  <c r="D3" i="157"/>
  <c r="E3" i="157"/>
  <c r="I4" i="157"/>
  <c r="D4" i="157"/>
  <c r="E4" i="157"/>
  <c r="I5" i="157"/>
  <c r="D5" i="157"/>
  <c r="E5" i="157"/>
  <c r="I6" i="157"/>
  <c r="D6" i="157"/>
  <c r="E6" i="157"/>
  <c r="I7" i="157"/>
  <c r="D7" i="157"/>
  <c r="E7" i="157"/>
  <c r="I8" i="157"/>
  <c r="D8" i="157"/>
  <c r="E8" i="157"/>
  <c r="I9" i="157"/>
  <c r="D9" i="157"/>
  <c r="E9" i="157"/>
  <c r="I10" i="157"/>
  <c r="D10" i="157"/>
  <c r="E10" i="157"/>
  <c r="I11" i="157"/>
  <c r="D11" i="157"/>
  <c r="E11" i="157"/>
  <c r="I12" i="157"/>
  <c r="D12" i="157"/>
  <c r="E12" i="157"/>
  <c r="I13" i="157"/>
  <c r="D13" i="157"/>
  <c r="E13" i="157"/>
  <c r="I14" i="157"/>
  <c r="D14" i="157"/>
  <c r="E14" i="157"/>
  <c r="I15" i="157"/>
  <c r="D15" i="157"/>
  <c r="E15" i="157"/>
  <c r="I16" i="157"/>
  <c r="D16" i="157"/>
  <c r="E16" i="157"/>
  <c r="I17" i="157"/>
  <c r="D17" i="157"/>
  <c r="E17" i="157"/>
  <c r="I18" i="157"/>
  <c r="D18" i="157"/>
  <c r="E18" i="157"/>
  <c r="I19" i="157"/>
  <c r="D19" i="157"/>
  <c r="E19" i="157"/>
  <c r="I20" i="157"/>
  <c r="D20" i="157"/>
  <c r="E20" i="157"/>
  <c r="I21" i="157"/>
  <c r="D21" i="157"/>
  <c r="E21" i="157"/>
  <c r="I22" i="157"/>
  <c r="D22" i="157"/>
  <c r="E22" i="157"/>
  <c r="I23" i="157"/>
  <c r="D23" i="157"/>
  <c r="E23" i="157"/>
  <c r="I24" i="157"/>
  <c r="D24" i="157"/>
  <c r="E24" i="157"/>
  <c r="I25" i="157"/>
  <c r="D25" i="157"/>
  <c r="E25" i="157"/>
  <c r="I26" i="157"/>
  <c r="D26" i="157"/>
  <c r="E26" i="157"/>
  <c r="I27" i="157"/>
  <c r="D27" i="157"/>
  <c r="E27" i="157"/>
  <c r="I28" i="157"/>
  <c r="D28" i="157"/>
  <c r="E28" i="157"/>
  <c r="I29" i="157"/>
  <c r="D29" i="157"/>
  <c r="E29" i="157"/>
  <c r="E2" i="157"/>
  <c r="I2" i="157"/>
  <c r="D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J9" i="157"/>
  <c r="F9" i="157"/>
  <c r="C9" i="157"/>
  <c r="H9" i="157"/>
  <c r="L9" i="157"/>
  <c r="M9" i="157"/>
  <c r="N9" i="157"/>
  <c r="J10" i="157"/>
  <c r="F10" i="157"/>
  <c r="C10" i="157"/>
  <c r="H10" i="157"/>
  <c r="L10" i="157"/>
  <c r="M10" i="157"/>
  <c r="N10" i="157"/>
  <c r="J11" i="157"/>
  <c r="F11" i="157"/>
  <c r="C11" i="157"/>
  <c r="H11" i="157"/>
  <c r="L11" i="157"/>
  <c r="M11" i="157"/>
  <c r="N11" i="157"/>
  <c r="J12" i="157"/>
  <c r="F12" i="157"/>
  <c r="C12" i="157"/>
  <c r="H12" i="157"/>
  <c r="L12" i="157"/>
  <c r="M12" i="157"/>
  <c r="N12" i="157"/>
  <c r="J13" i="157"/>
  <c r="F13" i="157"/>
  <c r="C13" i="157"/>
  <c r="H13" i="157"/>
  <c r="L13" i="157"/>
  <c r="M13" i="157"/>
  <c r="N13" i="157"/>
  <c r="J14" i="157"/>
  <c r="F14" i="157"/>
  <c r="C14" i="157"/>
  <c r="H14" i="157"/>
  <c r="L14" i="157"/>
  <c r="M14" i="157"/>
  <c r="N14" i="157"/>
  <c r="J15" i="157"/>
  <c r="F15" i="157"/>
  <c r="C15" i="157"/>
  <c r="H15" i="157"/>
  <c r="L15" i="157"/>
  <c r="M15" i="157"/>
  <c r="N15" i="157"/>
  <c r="J16" i="157"/>
  <c r="F16" i="157"/>
  <c r="C16" i="157"/>
  <c r="H16" i="157"/>
  <c r="L16" i="157"/>
  <c r="M16" i="157"/>
  <c r="N16" i="157"/>
  <c r="J17" i="157"/>
  <c r="F17" i="157"/>
  <c r="C17" i="157"/>
  <c r="H17" i="157"/>
  <c r="L17" i="157"/>
  <c r="M17" i="157"/>
  <c r="N17" i="157"/>
  <c r="J18" i="157"/>
  <c r="F18" i="157"/>
  <c r="C18" i="157"/>
  <c r="H18" i="157"/>
  <c r="L18" i="157"/>
  <c r="M18" i="157"/>
  <c r="N18" i="157"/>
  <c r="J19" i="157"/>
  <c r="F19" i="157"/>
  <c r="C19" i="157"/>
  <c r="H19" i="157"/>
  <c r="L19" i="157"/>
  <c r="M19" i="157"/>
  <c r="N19" i="157"/>
  <c r="J20" i="157"/>
  <c r="F20" i="157"/>
  <c r="C20" i="157"/>
  <c r="H20" i="157"/>
  <c r="L20" i="157"/>
  <c r="M20" i="157"/>
  <c r="N20" i="157"/>
  <c r="J21" i="157"/>
  <c r="F21" i="157"/>
  <c r="C21" i="157"/>
  <c r="H21" i="157"/>
  <c r="L21" i="157"/>
  <c r="M21" i="157"/>
  <c r="N21" i="157"/>
  <c r="J22" i="157"/>
  <c r="F22" i="157"/>
  <c r="C22" i="157"/>
  <c r="H22" i="157"/>
  <c r="L22" i="157"/>
  <c r="M22" i="157"/>
  <c r="N22" i="157"/>
  <c r="J23" i="157"/>
  <c r="F23" i="157"/>
  <c r="C23" i="157"/>
  <c r="H23" i="157"/>
  <c r="L23" i="157"/>
  <c r="M23" i="157"/>
  <c r="N23" i="157"/>
  <c r="J24" i="157"/>
  <c r="F24" i="157"/>
  <c r="C24" i="157"/>
  <c r="H24" i="157"/>
  <c r="L24" i="157"/>
  <c r="M24" i="157"/>
  <c r="N24" i="157"/>
  <c r="J25" i="157"/>
  <c r="F25" i="157"/>
  <c r="C25" i="157"/>
  <c r="H25" i="157"/>
  <c r="L25" i="157"/>
  <c r="M25" i="157"/>
  <c r="N25" i="157"/>
  <c r="J26" i="157"/>
  <c r="F26" i="157"/>
  <c r="C26" i="157"/>
  <c r="H26" i="157"/>
  <c r="L26" i="157"/>
  <c r="M26" i="157"/>
  <c r="N26" i="157"/>
  <c r="J27" i="157"/>
  <c r="F27" i="157"/>
  <c r="C27" i="157"/>
  <c r="H27" i="157"/>
  <c r="L27" i="157"/>
  <c r="M27" i="157"/>
  <c r="N27" i="157"/>
  <c r="J28" i="157"/>
  <c r="F28" i="157"/>
  <c r="C28" i="157"/>
  <c r="H28" i="157"/>
  <c r="L28" i="157"/>
  <c r="M28" i="157"/>
  <c r="N28" i="157"/>
  <c r="J29" i="157"/>
  <c r="F29" i="157"/>
  <c r="C29" i="157"/>
  <c r="H29" i="157"/>
  <c r="L29" i="157"/>
  <c r="M29" i="157"/>
  <c r="N29" i="157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J4" i="157"/>
  <c r="F4" i="157"/>
  <c r="C4" i="157"/>
  <c r="H4" i="157"/>
  <c r="L4" i="157"/>
  <c r="M4" i="157"/>
  <c r="N4" i="157"/>
  <c r="J5" i="157"/>
  <c r="F5" i="157"/>
  <c r="C5" i="157"/>
  <c r="H5" i="157"/>
  <c r="L5" i="157"/>
  <c r="M5" i="157"/>
  <c r="N5" i="157"/>
  <c r="J6" i="157"/>
  <c r="F6" i="157"/>
  <c r="C6" i="157"/>
  <c r="H6" i="157"/>
  <c r="L6" i="157"/>
  <c r="M6" i="157"/>
  <c r="N6" i="157"/>
  <c r="J7" i="157"/>
  <c r="F7" i="157"/>
  <c r="C7" i="157"/>
  <c r="H7" i="157"/>
  <c r="L7" i="157"/>
  <c r="M7" i="157"/>
  <c r="N7" i="157"/>
  <c r="J8" i="157"/>
  <c r="F8" i="157"/>
  <c r="C8" i="157"/>
  <c r="H8" i="157"/>
  <c r="L8" i="157"/>
  <c r="M8" i="157"/>
  <c r="N8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47" i="158"/>
  <c r="I46" i="158"/>
  <c r="J46" i="158"/>
  <c r="F46" i="158"/>
  <c r="C46" i="158"/>
  <c r="D46" i="158"/>
  <c r="G45" i="158"/>
  <c r="E45" i="158"/>
  <c r="H45" i="158"/>
  <c r="I45" i="158"/>
  <c r="J45" i="158"/>
  <c r="F45" i="158"/>
  <c r="C45" i="158"/>
  <c r="D45" i="158"/>
  <c r="I44" i="158"/>
  <c r="J44" i="158"/>
  <c r="F44" i="158"/>
  <c r="C44" i="158"/>
  <c r="D44" i="158"/>
  <c r="I43" i="158"/>
  <c r="J43" i="158"/>
  <c r="F43" i="158"/>
  <c r="C43" i="158"/>
  <c r="D43" i="158"/>
  <c r="I42" i="158"/>
  <c r="J42" i="158"/>
  <c r="F42" i="158"/>
  <c r="C42" i="158"/>
  <c r="D42" i="158"/>
  <c r="I41" i="158"/>
  <c r="J41" i="158"/>
  <c r="F41" i="158"/>
  <c r="C41" i="158"/>
  <c r="D41" i="158"/>
  <c r="I40" i="158"/>
  <c r="J40" i="158"/>
  <c r="F40" i="158"/>
  <c r="C40" i="158"/>
  <c r="D40" i="158"/>
  <c r="I39" i="158"/>
  <c r="J39" i="158"/>
  <c r="F39" i="158"/>
  <c r="C39" i="158"/>
  <c r="D39" i="158"/>
  <c r="I38" i="158"/>
  <c r="J38" i="158"/>
  <c r="F38" i="158"/>
  <c r="C38" i="158"/>
  <c r="D38" i="158"/>
  <c r="I37" i="158"/>
  <c r="J37" i="158"/>
  <c r="F37" i="158"/>
  <c r="C37" i="158"/>
  <c r="D37" i="158"/>
  <c r="I36" i="158"/>
  <c r="J36" i="158"/>
  <c r="F36" i="158"/>
  <c r="C36" i="158"/>
  <c r="D36" i="158"/>
  <c r="C35" i="158"/>
  <c r="I34" i="158"/>
  <c r="J34" i="158"/>
  <c r="F34" i="158"/>
  <c r="C34" i="158"/>
  <c r="D34" i="158"/>
  <c r="I33" i="158"/>
  <c r="J33" i="158"/>
  <c r="F33" i="158"/>
  <c r="C33" i="158"/>
  <c r="D33" i="158"/>
  <c r="I32" i="158"/>
  <c r="J32" i="158"/>
  <c r="F32" i="158"/>
  <c r="C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C18" i="158"/>
  <c r="D18" i="158"/>
  <c r="R17" i="158"/>
  <c r="P17" i="158"/>
  <c r="O17" i="158"/>
  <c r="M17" i="158"/>
  <c r="I17" i="158"/>
  <c r="J17" i="158"/>
  <c r="F17" i="158"/>
  <c r="C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R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C5" i="103"/>
  <c r="E5" i="103"/>
  <c r="C6" i="103"/>
  <c r="E6" i="103"/>
  <c r="C2" i="103"/>
  <c r="E2" i="103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C36" i="153"/>
  <c r="C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C36" i="149"/>
  <c r="C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C36" i="147"/>
  <c r="C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A284" i="82"/>
  <c r="H284" i="82"/>
  <c r="L284" i="82"/>
  <c r="M284" i="82"/>
  <c r="N284" i="82"/>
  <c r="E30" i="106"/>
  <c r="E45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C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C36" i="106"/>
  <c r="C35" i="106"/>
  <c r="C34" i="106"/>
  <c r="C33" i="106"/>
  <c r="C32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R3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17" i="106"/>
  <c r="C18" i="106"/>
  <c r="D24" i="106"/>
  <c r="D25" i="106"/>
  <c r="D26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22" i="106"/>
  <c r="F23" i="106"/>
  <c r="F24" i="106"/>
  <c r="F25" i="106"/>
  <c r="F26" i="106"/>
  <c r="F28" i="106"/>
  <c r="F29" i="106"/>
  <c r="F30" i="106"/>
  <c r="F31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8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3" i="103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3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B47" i="153"/>
  <c r="D47" i="153"/>
  <c r="I36" i="153"/>
  <c r="J36" i="153"/>
  <c r="F36" i="153"/>
  <c r="D36" i="153"/>
  <c r="F35" i="153"/>
  <c r="D35" i="153"/>
  <c r="F57" i="153"/>
  <c r="G57" i="153"/>
  <c r="D35" i="106"/>
  <c r="F35" i="106"/>
  <c r="I35" i="106"/>
  <c r="J35" i="106"/>
  <c r="F27" i="106"/>
  <c r="D27" i="106"/>
  <c r="I27" i="106"/>
  <c r="J27" i="106"/>
  <c r="B57" i="106"/>
  <c r="D20" i="106"/>
  <c r="F20" i="106"/>
  <c r="I20" i="106"/>
  <c r="J20" i="106"/>
  <c r="B56" i="106"/>
  <c r="D42" i="106"/>
  <c r="F42" i="106"/>
  <c r="I42" i="106"/>
  <c r="J42" i="106"/>
  <c r="D35" i="147"/>
  <c r="F35" i="147"/>
  <c r="I35" i="147"/>
  <c r="J35" i="147"/>
  <c r="B56" i="147"/>
  <c r="I20" i="147"/>
  <c r="J20" i="147"/>
  <c r="F20" i="147"/>
  <c r="D20" i="147"/>
  <c r="F56" i="147"/>
  <c r="G56" i="147"/>
  <c r="D21" i="147"/>
  <c r="F21" i="147"/>
  <c r="I21" i="147"/>
  <c r="J21" i="147"/>
  <c r="D36" i="147"/>
  <c r="F36" i="147"/>
  <c r="I36" i="147"/>
  <c r="J36" i="147"/>
  <c r="B47" i="147"/>
  <c r="D47" i="147"/>
  <c r="F57" i="147"/>
  <c r="G57" i="147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38" i="148"/>
  <c r="P139" i="148"/>
  <c r="P140" i="148"/>
  <c r="P141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3" i="147"/>
  <c r="F65" i="147"/>
  <c r="F64" i="147"/>
  <c r="P2" i="157"/>
  <c r="B59" i="106"/>
  <c r="I36" i="106"/>
  <c r="J36" i="106"/>
  <c r="F36" i="106"/>
  <c r="D36" i="106"/>
  <c r="I21" i="106"/>
  <c r="J21" i="106"/>
  <c r="F21" i="106"/>
  <c r="D21" i="106"/>
  <c r="D34" i="106"/>
  <c r="F34" i="106"/>
  <c r="I34" i="106"/>
  <c r="J34" i="106"/>
  <c r="F18" i="106"/>
  <c r="D17" i="106"/>
  <c r="D18" i="106"/>
  <c r="D19" i="106"/>
  <c r="F19" i="106"/>
  <c r="F17" i="106"/>
  <c r="I17" i="106"/>
  <c r="J17" i="106"/>
  <c r="I18" i="106"/>
  <c r="J18" i="106"/>
  <c r="I19" i="106"/>
  <c r="J19" i="106"/>
  <c r="B55" i="106"/>
  <c r="B62" i="106"/>
  <c r="C55" i="106"/>
  <c r="C56" i="106"/>
  <c r="C57" i="106"/>
  <c r="C58" i="106"/>
  <c r="C59" i="106"/>
  <c r="C60" i="106"/>
  <c r="C61" i="106"/>
  <c r="C62" i="106"/>
  <c r="H55" i="106"/>
  <c r="F33" i="106"/>
  <c r="I33" i="106"/>
  <c r="J33" i="106"/>
  <c r="D33" i="106"/>
  <c r="I32" i="106"/>
  <c r="J32" i="106"/>
  <c r="F32" i="106"/>
  <c r="D32" i="106"/>
  <c r="H56" i="106"/>
  <c r="P137" i="82"/>
  <c r="P138" i="82"/>
  <c r="P139" i="82"/>
  <c r="P140" i="82"/>
  <c r="P2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7" i="82"/>
  <c r="P308" i="82"/>
  <c r="P309" i="82"/>
  <c r="P310" i="82"/>
  <c r="P311" i="82"/>
  <c r="P312" i="82"/>
  <c r="P313" i="82"/>
  <c r="P314" i="82"/>
  <c r="P315" i="82"/>
  <c r="P316" i="82"/>
  <c r="P317" i="82"/>
  <c r="P318" i="82"/>
  <c r="P319" i="82"/>
  <c r="P320" i="82"/>
  <c r="P321" i="82"/>
  <c r="P322" i="82"/>
  <c r="P323" i="82"/>
  <c r="P324" i="82"/>
  <c r="F63" i="106"/>
  <c r="F65" i="106"/>
  <c r="F61" i="106"/>
  <c r="F62" i="106"/>
  <c r="F60" i="106"/>
  <c r="B47" i="106"/>
  <c r="D47" i="106"/>
  <c r="F64" i="106"/>
  <c r="C49" i="106"/>
  <c r="E49" i="149"/>
  <c r="F49" i="149"/>
  <c r="B21" i="149"/>
  <c r="B36" i="149"/>
  <c r="H57" i="149"/>
  <c r="B35" i="149"/>
  <c r="C49" i="149"/>
  <c r="B20" i="149"/>
  <c r="H56" i="149"/>
  <c r="G20" i="149"/>
  <c r="H20" i="149"/>
  <c r="O51" i="150"/>
  <c r="G21" i="149"/>
  <c r="H21" i="149"/>
  <c r="O52" i="150"/>
  <c r="G35" i="149"/>
  <c r="H35" i="149"/>
  <c r="O54" i="150"/>
  <c r="G36" i="149"/>
  <c r="H36" i="149"/>
  <c r="O55" i="150"/>
  <c r="O57" i="150"/>
  <c r="O58" i="150"/>
  <c r="O60" i="150"/>
  <c r="O61" i="150"/>
  <c r="O63" i="150"/>
  <c r="O64" i="150"/>
  <c r="O66" i="150"/>
  <c r="O67" i="150"/>
  <c r="O69" i="150"/>
  <c r="O70" i="150"/>
  <c r="O72" i="150"/>
  <c r="O73" i="150"/>
  <c r="O75" i="150"/>
  <c r="O76" i="150"/>
  <c r="O78" i="150"/>
  <c r="O79" i="150"/>
  <c r="O81" i="150"/>
  <c r="O82" i="150"/>
  <c r="O84" i="150"/>
  <c r="O85" i="150"/>
  <c r="O87" i="150"/>
  <c r="O88" i="150"/>
  <c r="O90" i="150"/>
  <c r="O91" i="150"/>
  <c r="O93" i="150"/>
  <c r="O94" i="150"/>
  <c r="O96" i="150"/>
  <c r="O97" i="150"/>
  <c r="O99" i="150"/>
  <c r="O100" i="150"/>
  <c r="O102" i="150"/>
  <c r="O103" i="150"/>
  <c r="O105" i="150"/>
  <c r="O106" i="150"/>
  <c r="O108" i="150"/>
  <c r="O109" i="150"/>
  <c r="O114" i="150"/>
  <c r="O115" i="150"/>
  <c r="O117" i="150"/>
  <c r="O118" i="150"/>
  <c r="O120" i="150"/>
  <c r="O121" i="150"/>
  <c r="O123" i="150"/>
  <c r="O124" i="150"/>
  <c r="O126" i="150"/>
  <c r="O127" i="150"/>
  <c r="O129" i="150"/>
  <c r="O130" i="150"/>
  <c r="O132" i="150"/>
  <c r="O133" i="150"/>
  <c r="O135" i="150"/>
  <c r="O136" i="150"/>
  <c r="O146" i="150"/>
  <c r="O147" i="150"/>
  <c r="O153" i="150"/>
  <c r="O154" i="150"/>
  <c r="O158" i="150"/>
  <c r="O159" i="150"/>
  <c r="O161" i="150"/>
  <c r="O162" i="150"/>
  <c r="O166" i="150"/>
  <c r="O167" i="150"/>
  <c r="O171" i="150"/>
  <c r="O172" i="150"/>
  <c r="O178" i="150"/>
  <c r="O179" i="150"/>
  <c r="O181" i="150"/>
  <c r="O182" i="150"/>
  <c r="O186" i="150"/>
  <c r="O187" i="150"/>
  <c r="O193" i="150"/>
  <c r="O194" i="150"/>
  <c r="O198" i="150"/>
  <c r="O199" i="150"/>
  <c r="O203" i="150"/>
  <c r="O204" i="150"/>
  <c r="O210" i="150"/>
  <c r="O211" i="150"/>
  <c r="O217" i="150"/>
  <c r="O218" i="150"/>
  <c r="O220" i="150"/>
  <c r="O221" i="150"/>
  <c r="O225" i="150"/>
  <c r="O226" i="150"/>
  <c r="O228" i="150"/>
  <c r="O229" i="150"/>
  <c r="O233" i="150"/>
  <c r="O234" i="150"/>
  <c r="O240" i="150"/>
  <c r="O241" i="150"/>
  <c r="O243" i="150"/>
  <c r="O244" i="150"/>
  <c r="O246" i="150"/>
  <c r="O247" i="150"/>
  <c r="O249" i="150"/>
  <c r="O250" i="150"/>
  <c r="O266" i="150"/>
  <c r="O267" i="150"/>
  <c r="O269" i="150"/>
  <c r="O270" i="150"/>
  <c r="P320" i="150"/>
  <c r="P321" i="150"/>
  <c r="P322" i="150"/>
  <c r="P323" i="150"/>
  <c r="F56" i="149"/>
  <c r="G56" i="149"/>
  <c r="P311" i="150"/>
  <c r="P312" i="150"/>
  <c r="P313" i="150"/>
  <c r="P314" i="150"/>
  <c r="P315" i="150"/>
  <c r="P316" i="150"/>
  <c r="P317" i="150"/>
  <c r="P318" i="150"/>
  <c r="P319" i="150"/>
  <c r="P308" i="150"/>
  <c r="P307" i="150"/>
  <c r="F64" i="149"/>
  <c r="P310" i="150"/>
  <c r="P324" i="150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6" i="149"/>
  <c r="C57" i="149"/>
  <c r="C58" i="149"/>
  <c r="C59" i="149"/>
  <c r="C60" i="149"/>
  <c r="C61" i="149"/>
  <c r="C55" i="149"/>
  <c r="C62" i="149"/>
  <c r="B47" i="149"/>
  <c r="D47" i="149"/>
  <c r="I36" i="149"/>
  <c r="J36" i="149"/>
  <c r="F36" i="149"/>
  <c r="D36" i="149"/>
  <c r="F35" i="149"/>
  <c r="D35" i="149"/>
  <c r="I35" i="149"/>
  <c r="J35" i="149"/>
  <c r="P138" i="150"/>
  <c r="P139" i="150"/>
  <c r="P140" i="150"/>
  <c r="P141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9" i="150"/>
  <c r="P137" i="150"/>
  <c r="F63" i="149"/>
  <c r="P101" i="150"/>
  <c r="F62" i="149"/>
  <c r="P41" i="150"/>
  <c r="F61" i="149"/>
  <c r="F57" i="149"/>
  <c r="G57" i="149"/>
  <c r="P2" i="150"/>
  <c r="F60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<sst xmlns="http://schemas.openxmlformats.org/spreadsheetml/2006/main" count="991" uniqueCount="297">
  <si>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</si>
  <si>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</si>
  <si>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</si>
  <si>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</si>
  <si>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</si>
  <si>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</si>
  <si>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</si>
  <si>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</si>
  <si>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</si>
  <si>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</si>
  <si>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</si>
  <si>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</si>
  <si>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</si>
  <si>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</si>
  <si>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</si>
  <si>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</si>
  <si>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</si>
  <si>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</si>
  <si>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</si>
  <si>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</si>
  <si>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</si>
  <si>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</si>
  <si>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</si>
  <si>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</si>
  <si>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</si>
  <si>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</si>
  <si>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</si>
  <si>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</si>
  <si>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</si>
  <si>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</si>
  <si>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</si>
  <si>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</si>
  <si>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</si>
  <si>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</si>
  <si>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</si>
  <si>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</si>
  <si>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</si>
  <si>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</si>
  <si>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</si>
  <si>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</si>
  <si>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</si>
  <si>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</si>
  <si>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</si>
  <si>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</si>
  <si>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</si>
  <si>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</si>
  <si>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</si>
  <si>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</si>
  <si>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</si>
  <si>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</si>
  <si>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</si>
  <si>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</si>
  <si>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</si>
  <si>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</si>
  <si>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</si>
  <si>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</si>
  <si>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</si>
  <si>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</si>
  <si>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</si>
  <si>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</si>
  <si>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</si>
  <si>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</si>
  <si>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</si>
  <si>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</si>
  <si>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</si>
  <si>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</si>
  <si>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</si>
  <si>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</si>
  <si>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</si>
  <si>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</si>
  <si>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</si>
  <si>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</si>
  <si>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</si>
  <si>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</si>
  <si>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</si>
  <si>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</si>
  <si>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</si>
  <si>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</si>
  <si>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</si>
  <si>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</si>
  <si>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</si>
  <si>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</si>
  <si>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</si>
  <si>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</si>
  <si>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</si>
  <si>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</si>
  <si>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</si>
  <si>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</si>
  <si>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</si>
  <si>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</si>
  <si>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</si>
  <si>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</si>
  <si>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</si>
  <si>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</si>
  <si>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</si>
  <si>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</si>
  <si>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</si>
  <si>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</si>
  <si>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</si>
  <si>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</si>
  <si>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</si>
  <si>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</si>
  <si>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</si>
  <si>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</si>
  <si>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</si>
  <si>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</si>
  <si>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</si>
  <si>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</si>
  <si>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</si>
  <si>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</si>
  <si>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</si>
  <si>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</si>
  <si>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</si>
  <si>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</si>
  <si>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</si>
  <si>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</si>
  <si>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</si>
  <si>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</si>
  <si>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</si>
  <si>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</si>
  <si>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</si>
  <si>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</si>
  <si>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</si>
  <si>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</si>
  <si>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</si>
  <si>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</si>
  <si>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</si>
  <si>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</si>
  <si>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</si>
  <si>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</si>
  <si>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</si>
  <si>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</si>
  <si>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</si>
  <si>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</si>
  <si>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</si>
  <si>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</si>
  <si>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</si>
  <si>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</si>
  <si>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</si>
  <si>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</si>
  <si>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</si>
  <si>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</si>
  <si>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</si>
  <si>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</si>
  <si>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</si>
  <si>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</si>
  <si>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</si>
  <si>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</si>
  <si>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</si>
  <si>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</si>
  <si>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</si>
  <si>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</si>
  <si>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</si>
  <si>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</si>
  <si>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</si>
  <si>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</si>
  <si>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</si>
  <si>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</si>
  <si>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</si>
  <si>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</si>
  <si>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</si>
  <si>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</si>
  <si>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</si>
  <si>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</si>
  <si>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</si>
  <si>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</si>
  <si>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</si>
  <si>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</si>
  <si>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</si>
  <si>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</si>
  <si>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</si>
  <si>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</si>
  <si>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</si>
  <si>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</si>
  <si>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</si>
  <si>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</si>
  <si>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</si>
  <si>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</si>
  <si>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</si>
  <si>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</si>
  <si>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</si>
  <si>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</si>
  <si>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</si>
  <si>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</si>
  <si>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</si>
  <si>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</si>
  <si>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</si>
  <si>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</si>
  <si>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</si>
  <si>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</si>
  <si>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</si>
  <si>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</si>
  <si>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</si>
  <si>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</si>
  <si>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</si>
  <si>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</si>
  <si>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</si>
  <si>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</si>
  <si>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</si>
  <si>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</si>
  <si>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</si>
  <si>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</si>
  <si>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</si>
  <si>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</si>
  <si>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</si>
  <si>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</si>
  <si>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</si>
  <si>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</si>
  <si>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</si>
  <si>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</si>
  <si>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</si>
  <si>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</si>
  <si>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</si>
  <si>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</si>
  <si>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</si>
  <si>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</si>
  <si>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</si>
  <si>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</si>
  <si>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</si>
  <si>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</si>
  <si>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</si>
  <si>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</si>
  <si>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</si>
  <si>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</si>
  <si>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</si>
  <si>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</si>
  <si>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</si>
  <si>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</si>
  <si>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</si>
  <si>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</si>
  <si>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</si>
  <si>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</si>
  <si>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</si>
  <si>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</si>
  <si>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</si>
  <si>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</si>
  <si>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</si>
  <si>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</si>
  <si>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</si>
  <si>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</si>
  <si>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</si>
  <si>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</si>
  <si>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</si>
  <si>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</si>
  <si>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</si>
  <si>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</si>
  <si>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</si>
  <si>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</si>
  <si>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</si>
  <si>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Xcolor</t>
    <phoneticPr fontId="19"/>
  </si>
  <si>
    <t>Ycolor</t>
    <phoneticPr fontId="19"/>
  </si>
  <si>
    <t>Premium4color</t>
    <phoneticPr fontId="19"/>
  </si>
  <si>
    <t>PremiumW3color</t>
    <phoneticPr fontId="19"/>
  </si>
  <si>
    <t>PremiumW4color</t>
    <phoneticPr fontId="19"/>
  </si>
  <si>
    <t>Premium3color</t>
    <phoneticPr fontId="19"/>
  </si>
  <si>
    <t>Premium5color</t>
    <phoneticPr fontId="19"/>
  </si>
  <si>
    <t>Premium4R3lesscolor</t>
    <phoneticPr fontId="19"/>
  </si>
  <si>
    <t>Premium5R3lesscolor</t>
    <phoneticPr fontId="19"/>
  </si>
  <si>
    <t>Premium3R6releasecolor</t>
    <phoneticPr fontId="19"/>
  </si>
  <si>
    <t>Premium4R6releasecolor</t>
    <phoneticPr fontId="19"/>
  </si>
  <si>
    <t>Premium5R6releasecolor</t>
    <phoneticPr fontId="19"/>
  </si>
  <si>
    <t>PremiumSS4color</t>
    <phoneticPr fontId="19"/>
  </si>
  <si>
    <t>PremiumSS5color</t>
    <phoneticPr fontId="19"/>
  </si>
  <si>
    <t>PremiumSS5R5onlycolor</t>
    <phoneticPr fontId="19"/>
  </si>
  <si>
    <t>PremiumSSS4R3lesscolor</t>
    <phoneticPr fontId="19"/>
  </si>
  <si>
    <t>PremiumSSS5R3lesscolor</t>
    <phoneticPr fontId="19"/>
  </si>
  <si>
    <t>PremiumSSS4R3less</t>
    <phoneticPr fontId="19"/>
  </si>
  <si>
    <t>PremiumSSS5R3less</t>
    <phoneticPr fontId="19"/>
  </si>
  <si>
    <t>unit</t>
    <phoneticPr fontId="19"/>
  </si>
  <si>
    <t>秘術の果実x3</t>
    <phoneticPr fontId="19"/>
  </si>
  <si>
    <t>秘術の果実</t>
    <phoneticPr fontId="19"/>
  </si>
  <si>
    <t>ランキング対抗ガチャ特典</t>
    <rPh sb="10" eb="12">
      <t>トクテン</t>
    </rPh>
    <phoneticPr fontId="19"/>
  </si>
  <si>
    <t>STEP4特典として
秘術の果実1体をプレゼント！</t>
    <phoneticPr fontId="19"/>
  </si>
  <si>
    <t>STEP5特典として
秘術の果実3体をプレゼント！</t>
    <phoneticPr fontId="19"/>
  </si>
  <si>
    <t>通常確率</t>
    <phoneticPr fontId="19"/>
  </si>
  <si>
    <t>通常確率</t>
    <phoneticPr fontId="19"/>
  </si>
  <si>
    <t>通常確率</t>
    <phoneticPr fontId="19"/>
  </si>
  <si>
    <t>old</t>
    <phoneticPr fontId="19"/>
  </si>
  <si>
    <t>PremiumSSS</t>
    <phoneticPr fontId="19"/>
  </si>
  <si>
    <t>PremiumSSw</t>
    <phoneticPr fontId="19"/>
  </si>
  <si>
    <t>PremiumSS5R5only</t>
    <phoneticPr fontId="19"/>
  </si>
  <si>
    <t>PremiumSSS</t>
    <phoneticPr fontId="19"/>
  </si>
  <si>
    <t>PremiumSSw</t>
    <phoneticPr fontId="19"/>
  </si>
  <si>
    <t>PremiumSSw</t>
    <phoneticPr fontId="19"/>
  </si>
  <si>
    <t>PremiumSSS</t>
    <phoneticPr fontId="19"/>
  </si>
  <si>
    <t>PremiumSSS</t>
    <phoneticPr fontId="19"/>
  </si>
  <si>
    <t>433104</t>
    <phoneticPr fontId="19"/>
  </si>
  <si>
    <t>433105</t>
    <phoneticPr fontId="19"/>
  </si>
  <si>
    <t>4331041</t>
    <phoneticPr fontId="19"/>
  </si>
  <si>
    <t>4331051</t>
    <phoneticPr fontId="19"/>
  </si>
  <si>
    <t>tables_433101</t>
  </si>
  <si>
    <t>tables_433103</t>
  </si>
  <si>
    <t>tables_settle_433103</t>
  </si>
  <si>
    <t>tables_433104</t>
  </si>
  <si>
    <t>tables_433105</t>
  </si>
  <si>
    <t>tables_433100</t>
  </si>
  <si>
    <t>↓これが正しい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</si>
</sst>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  <numFmt numFmtId="187" formatCode="0.0000000000000000_ "/>
    <numFmt numFmtId="188" formatCode="0.000_);[Red]\(0.000\)"/>
    <numFmt numFmtId="189" formatCode="0.00000_);[Red]\(0.00000\)"/>
    <numFmt numFmtId="190" formatCode="0.000000000_);[Red]\(0.000000000\)"/>
    <numFmt numFmtId="191" formatCode="0.000000000_ 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name val="Arial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66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109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51" fillId="4" borderId="1" xfId="0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176" fontId="56" fillId="32" borderId="1" xfId="0" applyNumberFormat="1" applyFont="1" applyFill="1" applyBorder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0" fontId="24" fillId="0" borderId="17" xfId="2" applyFont="1" applyBorder="1" applyAlignment="1">
      <alignment vertical="center"/>
    </xf>
    <xf numFmtId="0" fontId="24" fillId="3" borderId="18" xfId="2" applyFont="1" applyFill="1" applyBorder="1" applyAlignment="1">
      <alignment vertical="center"/>
    </xf>
    <xf numFmtId="0" fontId="57" fillId="0" borderId="1" xfId="0" applyFont="1" applyBorder="1"/>
    <xf numFmtId="187" fontId="0" fillId="0" borderId="0" xfId="0" applyNumberFormat="1"/>
    <xf numFmtId="189" fontId="0" fillId="0" borderId="0" xfId="3575" applyNumberFormat="1" applyFont="1"/>
    <xf numFmtId="0" fontId="0" fillId="0" borderId="0" xfId="0" applyAlignment="1">
      <alignment horizontal="center"/>
    </xf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</cellXfs>
  <cellStyles count="3666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</v>
          </cell>
          <cell r="K1160" t="str">
            <v>attack</v>
          </cell>
          <cell r="L1160" t="str">
            <v>攻撃タイプ</v>
          </cell>
          <cell r="M1160" t="str">
            <v>god</v>
          </cell>
        </row>
        <row r="1161">
          <cell r="A1161">
            <v>1160</v>
          </cell>
          <cell r="B1161" t="str">
            <v>ja</v>
          </cell>
          <cell r="C1161" t="str">
            <v>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</v>
          </cell>
          <cell r="K1161" t="str">
            <v>attack</v>
          </cell>
          <cell r="L1161" t="str">
            <v>攻撃タイプ</v>
          </cell>
          <cell r="M1161" t="str">
            <v>god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</v>
          </cell>
          <cell r="K1162" t="str">
            <v>attack</v>
          </cell>
          <cell r="L1162" t="str">
            <v>攻撃タイプ</v>
          </cell>
          <cell r="M1162" t="str">
            <v>god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</v>
          </cell>
          <cell r="K1163" t="str">
            <v>attack</v>
          </cell>
          <cell r="L1163" t="str">
            <v>攻撃タイプ</v>
          </cell>
          <cell r="M1163" t="str">
            <v>god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</v>
          </cell>
          <cell r="K1164" t="str">
            <v>attack</v>
          </cell>
          <cell r="L1164" t="str">
            <v>攻撃タイプ</v>
          </cell>
          <cell r="M1164" t="str">
            <v>god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PremiumSS</v>
          </cell>
          <cell r="K1179" t="str">
            <v>attack</v>
          </cell>
          <cell r="L1179" t="str">
            <v>攻撃タイプ</v>
          </cell>
          <cell r="M1179" t="str">
            <v>god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attack</v>
          </cell>
          <cell r="L1188" t="str">
            <v>攻撃タイプ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balance</v>
          </cell>
          <cell r="L1198" t="str">
            <v>バランスタイプ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attack</v>
          </cell>
          <cell r="L1199" t="str">
            <v>攻撃タイプ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L1219" t="str">
            <v>攻撃タイプ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L1220" t="str">
            <v>攻撃タイプ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L1221" t="str">
            <v>攻撃タイプ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L1222" t="str">
            <v>攻撃タイプ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L1223" t="str">
            <v>攻撃タイプ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L1224" t="str">
            <v>攻撃タイプ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attack</v>
          </cell>
          <cell r="L1231" t="str">
            <v>攻撃タイプ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attack</v>
          </cell>
          <cell r="L1232" t="str">
            <v>攻撃タイプ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6001</v>
          </cell>
          <cell r="B1296" t="str">
            <v>ja</v>
          </cell>
          <cell r="C1296" t="str">
            <v>ジェリー</v>
          </cell>
          <cell r="D1296" t="str">
            <v>ノーマルクエスト</v>
          </cell>
          <cell r="E1296" t="str">
            <v>QoH</v>
          </cell>
          <cell r="F1296" t="str">
            <v>世界観</v>
          </cell>
          <cell r="G1296" t="str">
            <v>不明</v>
          </cell>
          <cell r="H1296" t="str">
            <v>red</v>
          </cell>
          <cell r="I1296">
            <v>1</v>
          </cell>
          <cell r="J1296" t="str">
            <v>Drop1T</v>
          </cell>
          <cell r="K1296" t="str">
            <v>ra</v>
          </cell>
          <cell r="L1296" t="str">
            <v>ラグランジュチャレンジ</v>
          </cell>
          <cell r="M1296" t="str">
            <v>unknown</v>
          </cell>
        </row>
        <row r="1297">
          <cell r="A1297">
            <v>6002</v>
          </cell>
          <cell r="B1297" t="str">
            <v>ja</v>
          </cell>
          <cell r="C1297" t="str">
            <v>ヨシタカ</v>
          </cell>
          <cell r="D1297" t="str">
            <v>ノーマルクエスト</v>
          </cell>
          <cell r="E1297" t="str">
            <v>アバター</v>
          </cell>
          <cell r="F1297" t="str">
            <v>世界観</v>
          </cell>
          <cell r="G1297" t="str">
            <v>男性</v>
          </cell>
          <cell r="H1297" t="str">
            <v>red</v>
          </cell>
          <cell r="I1297">
            <v>2</v>
          </cell>
          <cell r="J1297" t="str">
            <v>Drop1N</v>
          </cell>
          <cell r="K1297" t="str">
            <v>ra</v>
          </cell>
          <cell r="L1297" t="str">
            <v>ラグランジュチャレンジ</v>
          </cell>
          <cell r="M1297" t="str">
            <v>human</v>
          </cell>
        </row>
        <row r="1298">
          <cell r="A1298">
            <v>6003</v>
          </cell>
          <cell r="B1298" t="str">
            <v>ja</v>
          </cell>
          <cell r="C1298" t="str">
            <v>朱雀</v>
          </cell>
          <cell r="D1298" t="str">
            <v>リンクガチャ:4神</v>
          </cell>
          <cell r="E1298" t="str">
            <v>守護神</v>
          </cell>
          <cell r="F1298" t="str">
            <v>格好いい</v>
          </cell>
          <cell r="G1298" t="str">
            <v>不明</v>
          </cell>
          <cell r="H1298" t="str">
            <v>red</v>
          </cell>
          <cell r="I1298">
            <v>3</v>
          </cell>
          <cell r="J1298" t="str">
            <v>Drop2N</v>
          </cell>
          <cell r="K1298" t="str">
            <v>ra</v>
          </cell>
          <cell r="L1298" t="str">
            <v>ラグランジュチャレンジ</v>
          </cell>
          <cell r="M1298" t="str">
            <v>animal</v>
          </cell>
        </row>
        <row r="1299">
          <cell r="A1299">
            <v>6004</v>
          </cell>
          <cell r="B1299" t="str">
            <v>ja</v>
          </cell>
          <cell r="C1299" t="str">
            <v>ブレット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不明</v>
          </cell>
          <cell r="H1299" t="str">
            <v>red</v>
          </cell>
          <cell r="I1299">
            <v>1</v>
          </cell>
          <cell r="J1299" t="str">
            <v>Drop1W</v>
          </cell>
          <cell r="K1299" t="str">
            <v>ra</v>
          </cell>
          <cell r="L1299" t="str">
            <v>ラグランジュチャレンジ</v>
          </cell>
          <cell r="M1299" t="str">
            <v>animal</v>
          </cell>
        </row>
        <row r="1300">
          <cell r="A1300">
            <v>6005</v>
          </cell>
          <cell r="B1300" t="str">
            <v>ja</v>
          </cell>
          <cell r="C1300" t="str">
            <v>孤神 テティス</v>
          </cell>
          <cell r="D1300" t="str">
            <v>初期ガチャ</v>
          </cell>
          <cell r="E1300" t="str">
            <v>管理者</v>
          </cell>
          <cell r="F1300" t="str">
            <v>美しい</v>
          </cell>
          <cell r="G1300" t="str">
            <v>女性</v>
          </cell>
          <cell r="H1300" t="str">
            <v>blue</v>
          </cell>
          <cell r="I1300">
            <v>4</v>
          </cell>
          <cell r="J1300" t="str">
            <v>PremiumN</v>
          </cell>
          <cell r="K1300" t="str">
            <v>ra</v>
          </cell>
          <cell r="L1300" t="str">
            <v>ラグランジュチャレンジ</v>
          </cell>
          <cell r="M1300" t="str">
            <v>god</v>
          </cell>
        </row>
        <row r="1301">
          <cell r="A1301">
            <v>6006</v>
          </cell>
          <cell r="B1301" t="str">
            <v>ja</v>
          </cell>
          <cell r="C1301" t="str">
            <v>海底の孤高神 テティス</v>
          </cell>
          <cell r="D1301" t="str">
            <v>初期ガチャ</v>
          </cell>
          <cell r="E1301" t="str">
            <v>管理者</v>
          </cell>
          <cell r="F1301" t="str">
            <v>美しい</v>
          </cell>
          <cell r="G1301" t="str">
            <v>女性</v>
          </cell>
          <cell r="H1301" t="str">
            <v>blue</v>
          </cell>
          <cell r="I1301">
            <v>5</v>
          </cell>
          <cell r="J1301" t="str">
            <v>PremiumN</v>
          </cell>
          <cell r="K1301" t="str">
            <v>ra</v>
          </cell>
          <cell r="L1301" t="str">
            <v>ラグランジュチャレンジ</v>
          </cell>
          <cell r="M1301" t="str">
            <v>god</v>
          </cell>
        </row>
        <row r="1302">
          <cell r="A1302">
            <v>6007</v>
          </cell>
          <cell r="B1302" t="str">
            <v>ja</v>
          </cell>
          <cell r="C1302" t="str">
            <v>番犬 ケルベロス</v>
          </cell>
          <cell r="D1302" t="str">
            <v>初期ガチャ</v>
          </cell>
          <cell r="E1302" t="str">
            <v>破界者</v>
          </cell>
          <cell r="F1302" t="str">
            <v>可愛い</v>
          </cell>
          <cell r="G1302" t="str">
            <v>女性</v>
          </cell>
          <cell r="H1302" t="str">
            <v>red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6008</v>
          </cell>
          <cell r="B1303" t="str">
            <v>ja</v>
          </cell>
          <cell r="C1303" t="str">
            <v>焔神 プロメテウス</v>
          </cell>
          <cell r="D1303" t="str">
            <v>初期ガチャ</v>
          </cell>
          <cell r="E1303" t="str">
            <v>管理者</v>
          </cell>
          <cell r="F1303" t="str">
            <v>格好いい</v>
          </cell>
          <cell r="G1303" t="str">
            <v>男性</v>
          </cell>
          <cell r="H1303" t="str">
            <v>red</v>
          </cell>
          <cell r="I1303">
            <v>4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6009</v>
          </cell>
          <cell r="B1304" t="str">
            <v>ja</v>
          </cell>
          <cell r="C1304" t="str">
            <v>超越自我 ラグランジュ</v>
          </cell>
          <cell r="D1304" t="str">
            <v>ガチャ:フィーバーフェス02</v>
          </cell>
          <cell r="E1304" t="str">
            <v>執行者</v>
          </cell>
          <cell r="F1304" t="str">
            <v>格好いい</v>
          </cell>
          <cell r="G1304" t="str">
            <v>女性</v>
          </cell>
          <cell r="H1304" t="str">
            <v>red</v>
          </cell>
          <cell r="I1304">
            <v>5</v>
          </cell>
          <cell r="J1304" t="str">
            <v>PremiumSSS</v>
          </cell>
          <cell r="K1304" t="str">
            <v>ra</v>
          </cell>
          <cell r="L1304" t="str">
            <v>ラグランジュチャレンジ</v>
          </cell>
          <cell r="M1304" t="str">
            <v>human</v>
          </cell>
        </row>
        <row r="1305">
          <cell r="A1305">
            <v>6010</v>
          </cell>
          <cell r="B1305" t="str">
            <v>ja</v>
          </cell>
          <cell r="C1305" t="str">
            <v>超越凌駕 ラグランジュ</v>
          </cell>
          <cell r="D1305" t="str">
            <v>ガチャ:フィーバーフェス02</v>
          </cell>
          <cell r="E1305" t="str">
            <v>執行者</v>
          </cell>
          <cell r="F1305" t="str">
            <v>格好いい</v>
          </cell>
          <cell r="G1305" t="str">
            <v>女性</v>
          </cell>
          <cell r="H1305" t="str">
            <v>red</v>
          </cell>
          <cell r="I1305">
            <v>6</v>
          </cell>
          <cell r="J1305" t="str">
            <v>PremiumSSS</v>
          </cell>
          <cell r="K1305" t="str">
            <v>ra</v>
          </cell>
          <cell r="L1305" t="str">
            <v>ラグランジュチャレンジ</v>
          </cell>
          <cell r="M1305" t="str">
            <v>human</v>
          </cell>
        </row>
        <row r="1306">
          <cell r="A1306">
            <v>6011</v>
          </cell>
          <cell r="B1306" t="str">
            <v>ja</v>
          </cell>
          <cell r="C1306" t="str">
            <v>パトドッグリーダー ポチ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男性</v>
          </cell>
          <cell r="H1306" t="str">
            <v>blue</v>
          </cell>
          <cell r="I1306">
            <v>2</v>
          </cell>
          <cell r="J1306" t="str">
            <v>Drop1T</v>
          </cell>
          <cell r="K1306" t="str">
            <v>ra002</v>
          </cell>
          <cell r="L1306" t="str">
            <v>ユークリッドチャレンジ</v>
          </cell>
          <cell r="M1306" t="str">
            <v>unknown</v>
          </cell>
        </row>
        <row r="1307">
          <cell r="A1307">
            <v>6012</v>
          </cell>
          <cell r="B1307" t="str">
            <v>ja</v>
          </cell>
          <cell r="C1307" t="str">
            <v>ミミ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男性</v>
          </cell>
          <cell r="H1307" t="str">
            <v>yellow</v>
          </cell>
          <cell r="I1307">
            <v>1</v>
          </cell>
          <cell r="J1307" t="str">
            <v>Drop1W</v>
          </cell>
          <cell r="K1307" t="str">
            <v>ra002</v>
          </cell>
          <cell r="L1307" t="str">
            <v>ユークリッドチャレンジ</v>
          </cell>
          <cell r="M1307" t="str">
            <v>animal</v>
          </cell>
        </row>
        <row r="1308">
          <cell r="A1308">
            <v>6013</v>
          </cell>
          <cell r="B1308" t="str">
            <v>ja</v>
          </cell>
          <cell r="C1308" t="str">
            <v>護衛機人 スケアクロウ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Drop1N</v>
          </cell>
          <cell r="K1308" t="str">
            <v>ra002</v>
          </cell>
          <cell r="L1308" t="str">
            <v>ユークリッドチャレンジ</v>
          </cell>
          <cell r="M1308" t="str">
            <v>machine</v>
          </cell>
        </row>
        <row r="1309">
          <cell r="A1309">
            <v>6014</v>
          </cell>
          <cell r="B1309" t="str">
            <v>ja</v>
          </cell>
          <cell r="C1309" t="str">
            <v>月下の人狼 ローレンス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blue</v>
          </cell>
          <cell r="I1309">
            <v>4</v>
          </cell>
          <cell r="J1309" t="str">
            <v>PremiumW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6015</v>
          </cell>
          <cell r="B1310" t="str">
            <v>ja</v>
          </cell>
          <cell r="C1310" t="str">
            <v>フレイヤ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4</v>
          </cell>
          <cell r="J1310" t="str">
            <v>PremiumSS</v>
          </cell>
          <cell r="K1310" t="str">
            <v>ra002</v>
          </cell>
          <cell r="L1310" t="str">
            <v>ユークリッドチャレンジ</v>
          </cell>
          <cell r="M1310" t="str">
            <v>animal</v>
          </cell>
        </row>
        <row r="1311">
          <cell r="A1311">
            <v>6016</v>
          </cell>
          <cell r="B1311" t="str">
            <v>ja</v>
          </cell>
          <cell r="C1311" t="str">
            <v>根原論理 ユークリッド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5</v>
          </cell>
          <cell r="J1311" t="str">
            <v>PremiumSSS</v>
          </cell>
          <cell r="K1311" t="str">
            <v>ra002</v>
          </cell>
          <cell r="L1311" t="str">
            <v>ユークリッドチャレンジ</v>
          </cell>
          <cell r="M1311" t="str">
            <v>human</v>
          </cell>
        </row>
        <row r="1312">
          <cell r="A1312">
            <v>6017</v>
          </cell>
          <cell r="B1312" t="str">
            <v>ja</v>
          </cell>
          <cell r="C1312" t="str">
            <v>不朽の極論 ユークリッド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6</v>
          </cell>
          <cell r="J1312" t="str">
            <v>PremiumSSS</v>
          </cell>
          <cell r="K1312" t="str">
            <v>ra002</v>
          </cell>
          <cell r="L1312" t="str">
            <v>ユークリッドチャレンジ</v>
          </cell>
          <cell r="M1312" t="str">
            <v>human</v>
          </cell>
        </row>
        <row r="1313">
          <cell r="A1313">
            <v>6018</v>
          </cell>
          <cell r="B1313" t="str">
            <v>ja</v>
          </cell>
          <cell r="C1313" t="str">
            <v>ハヅル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red</v>
          </cell>
          <cell r="I1313">
            <v>4</v>
          </cell>
          <cell r="J1313" t="str">
            <v>PremiumSS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6019</v>
          </cell>
          <cell r="B1314" t="str">
            <v>ja</v>
          </cell>
          <cell r="C1314" t="str">
            <v>天織羽鶴 ハヅル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red</v>
          </cell>
          <cell r="I1314">
            <v>5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6020</v>
          </cell>
          <cell r="B1315" t="str">
            <v>ja</v>
          </cell>
          <cell r="C1315" t="str">
            <v>ミズチ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PremiumS</v>
          </cell>
          <cell r="K1315" t="str">
            <v>ra002</v>
          </cell>
          <cell r="L1315" t="str">
            <v>ユークリッドチャレンジ</v>
          </cell>
          <cell r="M1315" t="str">
            <v>dragon</v>
          </cell>
        </row>
        <row r="1316">
          <cell r="A1316">
            <v>8001</v>
          </cell>
          <cell r="B1316" t="str">
            <v>ja</v>
          </cell>
          <cell r="C1316" t="str">
            <v>媽祖</v>
          </cell>
          <cell r="D1316" t="str">
            <v>イベント:ミクコラボ01</v>
          </cell>
          <cell r="E1316" t="str">
            <v>執行者</v>
          </cell>
          <cell r="F1316" t="str">
            <v>格好いい</v>
          </cell>
          <cell r="G1316" t="str">
            <v>女性</v>
          </cell>
          <cell r="H1316" t="str">
            <v>yellow</v>
          </cell>
          <cell r="I1316">
            <v>5</v>
          </cell>
          <cell r="J1316" t="str">
            <v>PremiumSS</v>
          </cell>
          <cell r="K1316" t="str">
            <v>attack</v>
          </cell>
          <cell r="L1316" t="str">
            <v>攻撃タイプ</v>
          </cell>
          <cell r="M1316" t="str">
            <v>god</v>
          </cell>
        </row>
        <row r="1317">
          <cell r="A1317">
            <v>8002</v>
          </cell>
          <cell r="B1317" t="str">
            <v>ja</v>
          </cell>
          <cell r="C1317" t="str">
            <v>天后 媽祖</v>
          </cell>
          <cell r="D1317" t="str">
            <v>イベント:ミクコラボ01</v>
          </cell>
          <cell r="E1317" t="str">
            <v>執行者</v>
          </cell>
          <cell r="F1317" t="str">
            <v>格好いい</v>
          </cell>
          <cell r="G1317" t="str">
            <v>女性</v>
          </cell>
          <cell r="H1317" t="str">
            <v>yellow</v>
          </cell>
          <cell r="I1317">
            <v>6</v>
          </cell>
          <cell r="J1317" t="str">
            <v>PremiumSS</v>
          </cell>
          <cell r="K1317" t="str">
            <v>attack</v>
          </cell>
          <cell r="L1317" t="str">
            <v>攻撃タイプ</v>
          </cell>
          <cell r="M1317" t="str">
            <v>god</v>
          </cell>
        </row>
        <row r="1318">
          <cell r="A1318">
            <v>8003</v>
          </cell>
          <cell r="B1318" t="str">
            <v>ja</v>
          </cell>
          <cell r="C1318" t="str">
            <v>蛟龍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不明</v>
          </cell>
          <cell r="H1318" t="str">
            <v>blue</v>
          </cell>
          <cell r="I1318">
            <v>5</v>
          </cell>
          <cell r="J1318" t="str">
            <v>DropWizS</v>
          </cell>
          <cell r="K1318" t="str">
            <v>hp</v>
          </cell>
          <cell r="L1318" t="str">
            <v>体力タイプ</v>
          </cell>
          <cell r="M1318" t="str">
            <v>dragon</v>
          </cell>
        </row>
        <row r="1319">
          <cell r="A1319">
            <v>8004</v>
          </cell>
          <cell r="B1319" t="str">
            <v>ja</v>
          </cell>
          <cell r="C1319" t="str">
            <v>深海蛟龍怪‧晏公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不明</v>
          </cell>
          <cell r="H1319" t="str">
            <v>blue</v>
          </cell>
          <cell r="I1319">
            <v>6</v>
          </cell>
          <cell r="J1319" t="str">
            <v>DropWizS</v>
          </cell>
          <cell r="K1319" t="str">
            <v>hp</v>
          </cell>
          <cell r="L1319" t="str">
            <v>体力タイプ</v>
          </cell>
          <cell r="M1319" t="str">
            <v>dragon</v>
          </cell>
        </row>
        <row r="1320">
          <cell r="A1320">
            <v>8005</v>
          </cell>
          <cell r="B1320" t="str">
            <v>ja</v>
          </cell>
          <cell r="C1320" t="str">
            <v>三蔵法師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PremiumSS</v>
          </cell>
          <cell r="K1320" t="str">
            <v>balance</v>
          </cell>
          <cell r="L1320" t="str">
            <v>バランスタイプ</v>
          </cell>
          <cell r="M1320" t="str">
            <v>human</v>
          </cell>
        </row>
        <row r="1321">
          <cell r="A1321">
            <v>8006</v>
          </cell>
          <cell r="B1321" t="str">
            <v>ja</v>
          </cell>
          <cell r="C1321" t="str">
            <v>三蔵法師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human</v>
          </cell>
        </row>
        <row r="1322">
          <cell r="A1322">
            <v>8007</v>
          </cell>
          <cell r="B1322" t="str">
            <v>ja</v>
          </cell>
          <cell r="C1322" t="str">
            <v>孫悟空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red</v>
          </cell>
          <cell r="I1322">
            <v>5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animal</v>
          </cell>
        </row>
        <row r="1323">
          <cell r="A1323">
            <v>8008</v>
          </cell>
          <cell r="B1323" t="str">
            <v>ja</v>
          </cell>
          <cell r="C1323" t="str">
            <v>孫悟空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red</v>
          </cell>
          <cell r="I1323">
            <v>6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animal</v>
          </cell>
        </row>
        <row r="1324">
          <cell r="A1324">
            <v>8009</v>
          </cell>
          <cell r="B1324" t="str">
            <v>ja</v>
          </cell>
          <cell r="C1324" t="str">
            <v>西王娘娘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green</v>
          </cell>
          <cell r="I1324">
            <v>5</v>
          </cell>
          <cell r="J1324" t="str">
            <v>PremiumSS</v>
          </cell>
          <cell r="K1324" t="str">
            <v>attack</v>
          </cell>
          <cell r="L1324" t="str">
            <v>攻撃タイプ</v>
          </cell>
          <cell r="M1324" t="str">
            <v>god</v>
          </cell>
        </row>
        <row r="1325">
          <cell r="A1325">
            <v>8010</v>
          </cell>
          <cell r="B1325" t="str">
            <v>ja</v>
          </cell>
          <cell r="C1325" t="str">
            <v>西王娘娘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green</v>
          </cell>
          <cell r="I1325">
            <v>6</v>
          </cell>
          <cell r="J1325" t="str">
            <v>PremiumSS</v>
          </cell>
          <cell r="K1325" t="str">
            <v>attack</v>
          </cell>
          <cell r="L1325" t="str">
            <v>攻撃タイプ</v>
          </cell>
          <cell r="M1325" t="str">
            <v>god</v>
          </cell>
        </row>
        <row r="1326">
          <cell r="A1326">
            <v>8011</v>
          </cell>
          <cell r="B1326" t="str">
            <v>ja</v>
          </cell>
          <cell r="C1326" t="str">
            <v>月下老人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女性</v>
          </cell>
          <cell r="H1326" t="str">
            <v>yellow</v>
          </cell>
          <cell r="I1326">
            <v>5</v>
          </cell>
          <cell r="J1326" t="str">
            <v>DropWizS</v>
          </cell>
          <cell r="K1326" t="str">
            <v>balance</v>
          </cell>
          <cell r="L1326" t="str">
            <v>バランスタイプ</v>
          </cell>
          <cell r="M1326" t="str">
            <v>god</v>
          </cell>
        </row>
        <row r="1327">
          <cell r="A1327">
            <v>8012</v>
          </cell>
          <cell r="B1327" t="str">
            <v>ja</v>
          </cell>
          <cell r="C1327" t="str">
            <v>良緣祈福 月下老人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女性</v>
          </cell>
          <cell r="H1327" t="str">
            <v>yellow</v>
          </cell>
          <cell r="I1327">
            <v>6</v>
          </cell>
          <cell r="J1327" t="str">
            <v>DropWizS</v>
          </cell>
          <cell r="K1327" t="str">
            <v>balance</v>
          </cell>
          <cell r="L1327" t="str">
            <v>バランスタイプ</v>
          </cell>
          <cell r="M1327" t="str">
            <v>god</v>
          </cell>
        </row>
        <row r="1328">
          <cell r="A1328">
            <v>8013</v>
          </cell>
          <cell r="B1328" t="str">
            <v>ja</v>
          </cell>
          <cell r="C1328" t="str">
            <v>初音ミクV3</v>
          </cell>
          <cell r="D1328" t="str">
            <v>初音ミクV3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4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unknown</v>
          </cell>
        </row>
        <row r="1329">
          <cell r="A1329">
            <v>8014</v>
          </cell>
          <cell r="B1329" t="str">
            <v>ja</v>
          </cell>
          <cell r="C1329" t="str">
            <v>初音ミクV3</v>
          </cell>
          <cell r="D1329" t="str">
            <v>初音ミクV3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5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unknown</v>
          </cell>
        </row>
        <row r="1330">
          <cell r="A1330">
            <v>8015</v>
          </cell>
          <cell r="B1330" t="str">
            <v>ja</v>
          </cell>
          <cell r="C1330" t="str">
            <v>初音ミク・アペンド</v>
          </cell>
          <cell r="D1330" t="str">
            <v>初音ミク・アペンド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green</v>
          </cell>
          <cell r="I1330">
            <v>4</v>
          </cell>
          <cell r="J1330" t="str">
            <v>PremiumSSS</v>
          </cell>
          <cell r="K1330" t="str">
            <v>technical</v>
          </cell>
          <cell r="L1330" t="str">
            <v>テクニカルタイプ</v>
          </cell>
          <cell r="M1330" t="str">
            <v>unknown</v>
          </cell>
        </row>
        <row r="1331">
          <cell r="A1331">
            <v>8016</v>
          </cell>
          <cell r="B1331" t="str">
            <v>ja</v>
          </cell>
          <cell r="C1331" t="str">
            <v>初音ミク・アペンド</v>
          </cell>
          <cell r="D1331" t="str">
            <v>初音ミク・アペンド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green</v>
          </cell>
          <cell r="I1331">
            <v>5</v>
          </cell>
          <cell r="J1331" t="str">
            <v>PremiumSSS</v>
          </cell>
          <cell r="K1331" t="str">
            <v>technical</v>
          </cell>
          <cell r="L1331" t="str">
            <v>テクニカルタイプ</v>
          </cell>
          <cell r="M1331" t="str">
            <v>unknown</v>
          </cell>
        </row>
        <row r="1332">
          <cell r="A1332">
            <v>8017</v>
          </cell>
          <cell r="B1332" t="str">
            <v>ja</v>
          </cell>
          <cell r="C1332" t="str">
            <v>初音ミク</v>
          </cell>
          <cell r="D1332" t="str">
            <v>初音ミク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8018</v>
          </cell>
          <cell r="B1333" t="str">
            <v>ja</v>
          </cell>
          <cell r="C1333" t="str">
            <v>初音ミク</v>
          </cell>
          <cell r="D1333" t="str">
            <v>初音ミク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8019</v>
          </cell>
          <cell r="B1334" t="str">
            <v>ja</v>
          </cell>
          <cell r="C1334" t="str">
            <v>鏡音リン</v>
          </cell>
          <cell r="D1334" t="str">
            <v>鏡音リン</v>
          </cell>
          <cell r="E1334" t="str">
            <v>執行者</v>
          </cell>
          <cell r="F1334" t="str">
            <v>格好いい</v>
          </cell>
          <cell r="G1334" t="str">
            <v>男性</v>
          </cell>
          <cell r="H1334" t="str">
            <v>yellow</v>
          </cell>
          <cell r="I1334">
            <v>4</v>
          </cell>
          <cell r="J1334" t="str">
            <v>PremiumSS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8020</v>
          </cell>
          <cell r="B1335" t="str">
            <v>ja</v>
          </cell>
          <cell r="C1335" t="str">
            <v>鏡音リン</v>
          </cell>
          <cell r="D1335" t="str">
            <v>鏡音リン</v>
          </cell>
          <cell r="E1335" t="str">
            <v>執行者</v>
          </cell>
          <cell r="F1335" t="str">
            <v>格好いい</v>
          </cell>
          <cell r="G1335" t="str">
            <v>男性</v>
          </cell>
          <cell r="H1335" t="str">
            <v>yellow</v>
          </cell>
          <cell r="I1335">
            <v>5</v>
          </cell>
          <cell r="J1335" t="str">
            <v>PremiumSS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8021</v>
          </cell>
          <cell r="B1336" t="str">
            <v>ja</v>
          </cell>
          <cell r="C1336" t="str">
            <v>鏡音レン</v>
          </cell>
          <cell r="D1336" t="str">
            <v>鏡音レン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heal</v>
          </cell>
          <cell r="L1336" t="str">
            <v>回復タイプ</v>
          </cell>
          <cell r="M1336" t="str">
            <v>unknown</v>
          </cell>
        </row>
        <row r="1337">
          <cell r="A1337">
            <v>8022</v>
          </cell>
          <cell r="B1337" t="str">
            <v>ja</v>
          </cell>
          <cell r="C1337" t="str">
            <v>鏡音レン</v>
          </cell>
          <cell r="D1337" t="str">
            <v>鏡音レン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heal</v>
          </cell>
          <cell r="L1337" t="str">
            <v>回復タイプ</v>
          </cell>
          <cell r="M1337" t="str">
            <v>unknown</v>
          </cell>
        </row>
        <row r="1338">
          <cell r="A1338">
            <v>8023</v>
          </cell>
          <cell r="B1338" t="str">
            <v>ja</v>
          </cell>
          <cell r="C1338" t="str">
            <v>巡音ルカ</v>
          </cell>
          <cell r="D1338" t="str">
            <v>巡音ルカ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red</v>
          </cell>
          <cell r="I1338">
            <v>3</v>
          </cell>
          <cell r="J1338" t="str">
            <v>PremiumS</v>
          </cell>
          <cell r="K1338" t="str">
            <v>attack</v>
          </cell>
          <cell r="L1338" t="str">
            <v>攻撃タイプ</v>
          </cell>
          <cell r="M1338" t="str">
            <v>unknown</v>
          </cell>
        </row>
        <row r="1339">
          <cell r="A1339">
            <v>8024</v>
          </cell>
          <cell r="B1339" t="str">
            <v>ja</v>
          </cell>
          <cell r="C1339" t="str">
            <v>巡音ルカ</v>
          </cell>
          <cell r="D1339" t="str">
            <v>巡音ルカ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red</v>
          </cell>
          <cell r="I1339">
            <v>4</v>
          </cell>
          <cell r="J1339" t="str">
            <v>PremiumS</v>
          </cell>
          <cell r="K1339" t="str">
            <v>attack</v>
          </cell>
          <cell r="L1339" t="str">
            <v>攻撃タイプ</v>
          </cell>
          <cell r="M1339" t="str">
            <v>unknown</v>
          </cell>
        </row>
        <row r="1340">
          <cell r="A1340">
            <v>8025</v>
          </cell>
          <cell r="B1340" t="str">
            <v>ja</v>
          </cell>
          <cell r="C1340" t="str">
            <v>MEIKO</v>
          </cell>
          <cell r="D1340" t="str">
            <v>MEIKO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hp</v>
          </cell>
          <cell r="L1340" t="str">
            <v>体力タイプ</v>
          </cell>
          <cell r="M1340" t="str">
            <v>unknown</v>
          </cell>
        </row>
        <row r="1341">
          <cell r="A1341">
            <v>8026</v>
          </cell>
          <cell r="B1341" t="str">
            <v>ja</v>
          </cell>
          <cell r="C1341" t="str">
            <v>MEIKO</v>
          </cell>
          <cell r="D1341" t="str">
            <v>MEIKO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hp</v>
          </cell>
          <cell r="L1341" t="str">
            <v>体力タイプ</v>
          </cell>
          <cell r="M1341" t="str">
            <v>unknown</v>
          </cell>
        </row>
        <row r="1342">
          <cell r="A1342">
            <v>8027</v>
          </cell>
          <cell r="B1342" t="str">
            <v>ja</v>
          </cell>
          <cell r="C1342" t="str">
            <v>KAITO</v>
          </cell>
          <cell r="D1342" t="str">
            <v>KAITO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blue</v>
          </cell>
          <cell r="I1342">
            <v>3</v>
          </cell>
          <cell r="J1342" t="str">
            <v>PremiumS</v>
          </cell>
          <cell r="K1342" t="str">
            <v>technical</v>
          </cell>
          <cell r="L1342" t="str">
            <v>テクニカルタイプ</v>
          </cell>
          <cell r="M1342" t="str">
            <v>unknown</v>
          </cell>
        </row>
        <row r="1343">
          <cell r="A1343">
            <v>8028</v>
          </cell>
          <cell r="B1343" t="str">
            <v>ja</v>
          </cell>
          <cell r="C1343" t="str">
            <v>KAITO</v>
          </cell>
          <cell r="D1343" t="str">
            <v>KAITO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blue</v>
          </cell>
          <cell r="I1343">
            <v>4</v>
          </cell>
          <cell r="J1343" t="str">
            <v>PremiumS</v>
          </cell>
          <cell r="K1343" t="str">
            <v>technical</v>
          </cell>
          <cell r="L1343" t="str">
            <v>テクニカルタイプ</v>
          </cell>
          <cell r="M1343" t="str">
            <v>unknown</v>
          </cell>
        </row>
        <row r="1344">
          <cell r="A1344">
            <v>8029</v>
          </cell>
          <cell r="B1344" t="str">
            <v>ja</v>
          </cell>
          <cell r="C1344" t="str">
            <v>Expoミク</v>
          </cell>
          <cell r="D1344" t="str">
            <v>Expoミク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4</v>
          </cell>
          <cell r="J1344" t="str">
            <v>Drop2N</v>
          </cell>
          <cell r="K1344" t="str">
            <v>heal</v>
          </cell>
          <cell r="L1344" t="str">
            <v>回復タイプ</v>
          </cell>
          <cell r="M1344" t="str">
            <v>unknown</v>
          </cell>
        </row>
        <row r="1345">
          <cell r="A1345">
            <v>8030</v>
          </cell>
          <cell r="B1345" t="str">
            <v>ja</v>
          </cell>
          <cell r="C1345" t="str">
            <v>Expoミク</v>
          </cell>
          <cell r="D1345" t="str">
            <v>Expoミク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Drop2N</v>
          </cell>
          <cell r="K1345" t="str">
            <v>heal</v>
          </cell>
          <cell r="L1345" t="str">
            <v>回復タイプ</v>
          </cell>
          <cell r="M1345" t="str">
            <v>unknown</v>
          </cell>
        </row>
        <row r="1346">
          <cell r="A1346">
            <v>8031</v>
          </cell>
          <cell r="B1346" t="str">
            <v>ja</v>
          </cell>
          <cell r="C1346" t="str">
            <v>閻羅王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red</v>
          </cell>
          <cell r="I1346">
            <v>5</v>
          </cell>
          <cell r="J1346" t="str">
            <v>PremiumSS</v>
          </cell>
          <cell r="K1346" t="str">
            <v>balance</v>
          </cell>
          <cell r="L1346" t="str">
            <v>バランスタイプ</v>
          </cell>
          <cell r="M1346" t="str">
            <v>god</v>
          </cell>
        </row>
        <row r="1347">
          <cell r="A1347">
            <v>8032</v>
          </cell>
          <cell r="B1347" t="str">
            <v>ja</v>
          </cell>
          <cell r="C1347" t="str">
            <v>十殿閻羅王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red</v>
          </cell>
          <cell r="I1347">
            <v>6</v>
          </cell>
          <cell r="J1347" t="str">
            <v>PremiumSS</v>
          </cell>
          <cell r="K1347" t="str">
            <v>balance</v>
          </cell>
          <cell r="L1347" t="str">
            <v>バランスタイプ</v>
          </cell>
          <cell r="M1347" t="str">
            <v>god</v>
          </cell>
        </row>
        <row r="1348">
          <cell r="A1348">
            <v>8033</v>
          </cell>
          <cell r="B1348" t="str">
            <v>ja</v>
          </cell>
          <cell r="C1348" t="str">
            <v>牛頭馬面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green</v>
          </cell>
          <cell r="I1348">
            <v>5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god</v>
          </cell>
        </row>
        <row r="1349">
          <cell r="A1349">
            <v>8034</v>
          </cell>
          <cell r="B1349" t="str">
            <v>ja</v>
          </cell>
          <cell r="C1349" t="str">
            <v>牛頭馬面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green</v>
          </cell>
          <cell r="I1349">
            <v>6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god</v>
          </cell>
        </row>
        <row r="1350">
          <cell r="A1350">
            <v>8035</v>
          </cell>
          <cell r="B1350" t="str">
            <v>ja</v>
          </cell>
          <cell r="C1350" t="str">
            <v>嫦娥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8036</v>
          </cell>
          <cell r="B1351" t="str">
            <v>ja</v>
          </cell>
          <cell r="C1351" t="str">
            <v>嫦娥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8037</v>
          </cell>
          <cell r="B1352" t="str">
            <v>ja</v>
          </cell>
          <cell r="C1352" t="str">
            <v>后羿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8038</v>
          </cell>
          <cell r="B1353" t="str">
            <v>ja</v>
          </cell>
          <cell r="C1353" t="str">
            <v>后羿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8039</v>
          </cell>
          <cell r="B1354" t="str">
            <v>ja</v>
          </cell>
          <cell r="C1354" t="str">
            <v>何仙姑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8040</v>
          </cell>
          <cell r="B1355" t="str">
            <v>ja</v>
          </cell>
          <cell r="C1355" t="str">
            <v>何仙姑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8041</v>
          </cell>
          <cell r="B1356" t="str">
            <v>ja</v>
          </cell>
          <cell r="C1356" t="str">
            <v>藍采和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8042</v>
          </cell>
          <cell r="B1357" t="str">
            <v>ja</v>
          </cell>
          <cell r="C1357" t="str">
            <v>藍采和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8043</v>
          </cell>
          <cell r="B1358" t="str">
            <v>ja</v>
          </cell>
          <cell r="C1358" t="str">
            <v>サンリオキャラ大集合+アザゼル</v>
          </cell>
          <cell r="D1358" t="str">
            <v>サンリオキャラ大集合+アザゼル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green</v>
          </cell>
          <cell r="I1358">
            <v>5</v>
          </cell>
          <cell r="J1358" t="str">
            <v>DropWizS</v>
          </cell>
          <cell r="K1358" t="str">
            <v>technical</v>
          </cell>
          <cell r="L1358" t="str">
            <v>テクニカルタイプ</v>
          </cell>
          <cell r="M1358" t="str">
            <v>ss</v>
          </cell>
        </row>
        <row r="1359">
          <cell r="A1359">
            <v>8044</v>
          </cell>
          <cell r="B1359" t="str">
            <v>ja</v>
          </cell>
          <cell r="C1359" t="str">
            <v>サンリオキャラ大集合+アザゼル</v>
          </cell>
          <cell r="D1359" t="str">
            <v>サンリオキャラ大集合+アザゼル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green</v>
          </cell>
          <cell r="I1359">
            <v>6</v>
          </cell>
          <cell r="J1359" t="str">
            <v>DropWizS</v>
          </cell>
          <cell r="K1359" t="str">
            <v>technical</v>
          </cell>
          <cell r="L1359" t="str">
            <v>テクニカルタイプ</v>
          </cell>
          <cell r="M1359" t="str">
            <v>ss</v>
          </cell>
        </row>
        <row r="1360">
          <cell r="A1360">
            <v>8045</v>
          </cell>
          <cell r="B1360" t="str">
            <v>ja</v>
          </cell>
          <cell r="C1360" t="str">
            <v>ニムダ_サンリオキャラ混じり</v>
          </cell>
          <cell r="D1360" t="str">
            <v>ニムダ_サンリオキャラ混じり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yellow</v>
          </cell>
          <cell r="I1360">
            <v>4</v>
          </cell>
          <cell r="J1360" t="str">
            <v>Drop2N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8046</v>
          </cell>
          <cell r="B1361" t="str">
            <v>ja</v>
          </cell>
          <cell r="C1361" t="str">
            <v>ニムダ_サンリオキャラ混じり</v>
          </cell>
          <cell r="D1361" t="str">
            <v>ニムダ_サンリオキャラ混じり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yellow</v>
          </cell>
          <cell r="I1361">
            <v>5</v>
          </cell>
          <cell r="J1361" t="str">
            <v>Drop2N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8047</v>
          </cell>
          <cell r="B1362" t="str">
            <v>ja</v>
          </cell>
          <cell r="C1362" t="str">
            <v>ハローキティ</v>
          </cell>
          <cell r="D1362" t="str">
            <v>ハローキティ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red</v>
          </cell>
          <cell r="I1362">
            <v>4</v>
          </cell>
          <cell r="J1362" t="str">
            <v>Drop2N</v>
          </cell>
          <cell r="K1362" t="str">
            <v>balance</v>
          </cell>
          <cell r="L1362" t="str">
            <v>バランスタイプ</v>
          </cell>
          <cell r="M1362" t="str">
            <v>ss</v>
          </cell>
        </row>
        <row r="1363">
          <cell r="A1363">
            <v>8048</v>
          </cell>
          <cell r="B1363" t="str">
            <v>ja</v>
          </cell>
          <cell r="C1363" t="str">
            <v>ハローキティ</v>
          </cell>
          <cell r="D1363" t="str">
            <v>ハローキティ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red</v>
          </cell>
          <cell r="I1363">
            <v>5</v>
          </cell>
          <cell r="J1363" t="str">
            <v>Drop2N</v>
          </cell>
          <cell r="K1363" t="str">
            <v>balance</v>
          </cell>
          <cell r="L1363" t="str">
            <v>バランスタイプ</v>
          </cell>
          <cell r="M1363" t="str">
            <v>ss</v>
          </cell>
        </row>
        <row r="1364">
          <cell r="A1364">
            <v>8049</v>
          </cell>
          <cell r="B1364" t="str">
            <v>ja</v>
          </cell>
          <cell r="C1364" t="str">
            <v>KIRIMIちゃん</v>
          </cell>
          <cell r="D1364" t="str">
            <v>KIRIMIちゃん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hp</v>
          </cell>
          <cell r="L1364" t="str">
            <v>体力タイプ</v>
          </cell>
          <cell r="M1364" t="str">
            <v>ss</v>
          </cell>
        </row>
        <row r="1365">
          <cell r="A1365">
            <v>8050</v>
          </cell>
          <cell r="B1365" t="str">
            <v>ja</v>
          </cell>
          <cell r="C1365" t="str">
            <v>KIRIMIちゃん</v>
          </cell>
          <cell r="D1365" t="str">
            <v>KIRIMIちゃん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hp</v>
          </cell>
          <cell r="L1365" t="str">
            <v>体力タイプ</v>
          </cell>
          <cell r="M1365" t="str">
            <v>ss</v>
          </cell>
        </row>
        <row r="1366">
          <cell r="A1366">
            <v>8051</v>
          </cell>
          <cell r="B1366" t="str">
            <v>ja</v>
          </cell>
          <cell r="C1366" t="str">
            <v>ハローキティのリボン</v>
          </cell>
          <cell r="D1366" t="str">
            <v>ハローキティのリボン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5</v>
          </cell>
          <cell r="J1366" t="str">
            <v>Drop2N</v>
          </cell>
          <cell r="K1366" t="str">
            <v>evolution</v>
          </cell>
          <cell r="L1366" t="str">
            <v>覚醒素材タイプ</v>
          </cell>
          <cell r="M1366" t="str">
            <v>ss</v>
          </cell>
        </row>
        <row r="1367">
          <cell r="A1367">
            <v>8052</v>
          </cell>
          <cell r="B1367" t="str">
            <v>ja</v>
          </cell>
          <cell r="C1367" t="str">
            <v>ママの作ったアップルパイ</v>
          </cell>
          <cell r="D1367" t="str">
            <v>ママの作ったアップルパイ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4</v>
          </cell>
          <cell r="J1367" t="str">
            <v>Drop2N</v>
          </cell>
          <cell r="K1367" t="str">
            <v>evolution</v>
          </cell>
          <cell r="L1367" t="str">
            <v>覚醒素材タイプ</v>
          </cell>
          <cell r="M1367" t="str">
            <v>ss</v>
          </cell>
        </row>
        <row r="1368">
          <cell r="A1368">
            <v>8053</v>
          </cell>
          <cell r="B1368" t="str">
            <v>ja</v>
          </cell>
          <cell r="C1368" t="str">
            <v>D.R.T.H__キティコスプレ</v>
          </cell>
          <cell r="D1368" t="str">
            <v>D.R.T.H__キティコスプレ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PremiumSS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8054</v>
          </cell>
          <cell r="B1369" t="str">
            <v>ja</v>
          </cell>
          <cell r="C1369" t="str">
            <v>D.R.T.H__キティコスプレ</v>
          </cell>
          <cell r="D1369" t="str">
            <v>D.R.T.H__キティコスプレ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6</v>
          </cell>
          <cell r="J1369" t="str">
            <v>PremiumSS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8055</v>
          </cell>
          <cell r="B1370" t="str">
            <v>ja</v>
          </cell>
          <cell r="C1370" t="str">
            <v>マイメロディ</v>
          </cell>
          <cell r="D1370" t="str">
            <v>マイメロディ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PremiumS</v>
          </cell>
          <cell r="K1370" t="str">
            <v>attack</v>
          </cell>
          <cell r="L1370" t="str">
            <v>攻撃タイプ</v>
          </cell>
          <cell r="M1370" t="str">
            <v>ss</v>
          </cell>
        </row>
        <row r="1371">
          <cell r="A1371">
            <v>8056</v>
          </cell>
          <cell r="B1371" t="str">
            <v>ja</v>
          </cell>
          <cell r="C1371" t="str">
            <v>マイメロディ</v>
          </cell>
          <cell r="D1371" t="str">
            <v>マイメロディ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PremiumS</v>
          </cell>
          <cell r="K1371" t="str">
            <v>attack</v>
          </cell>
          <cell r="L1371" t="str">
            <v>攻撃タイプ</v>
          </cell>
          <cell r="M1371" t="str">
            <v>ss</v>
          </cell>
        </row>
        <row r="1372">
          <cell r="A1372">
            <v>8057</v>
          </cell>
          <cell r="B1372" t="str">
            <v>ja</v>
          </cell>
          <cell r="C1372" t="str">
            <v>ニーベルゲン_シナモロールコスプレ</v>
          </cell>
          <cell r="D1372" t="str">
            <v>ニーベルゲン_シナモロールコスプレ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green</v>
          </cell>
          <cell r="I1372">
            <v>4</v>
          </cell>
          <cell r="J1372" t="str">
            <v>PremiumS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8058</v>
          </cell>
          <cell r="B1373" t="str">
            <v>ja</v>
          </cell>
          <cell r="C1373" t="str">
            <v>ニーベルゲン_シナモロールコスプレ</v>
          </cell>
          <cell r="D1373" t="str">
            <v>ニーベルゲン_シナモロールコスプレ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green</v>
          </cell>
          <cell r="I1373">
            <v>5</v>
          </cell>
          <cell r="J1373" t="str">
            <v>PremiumS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8059</v>
          </cell>
          <cell r="B1374" t="str">
            <v>ja</v>
          </cell>
          <cell r="C1374" t="str">
            <v>カカシ_マイメロディコスプレ</v>
          </cell>
          <cell r="D1374" t="str">
            <v>カカシ_マイメロディコスプレ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technical</v>
          </cell>
          <cell r="L1374" t="str">
            <v>テクニカルタイプ</v>
          </cell>
          <cell r="M1374" t="str">
            <v>ss</v>
          </cell>
        </row>
        <row r="1375">
          <cell r="A1375">
            <v>8060</v>
          </cell>
          <cell r="B1375" t="str">
            <v>ja</v>
          </cell>
          <cell r="C1375" t="str">
            <v>カカシ_マイメロディコスプレ</v>
          </cell>
          <cell r="D1375" t="str">
            <v>カカシ_マイメロディコスプレ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technical</v>
          </cell>
          <cell r="L1375" t="str">
            <v>テクニカルタイプ</v>
          </cell>
          <cell r="M1375" t="str">
            <v>ss</v>
          </cell>
        </row>
        <row r="1376">
          <cell r="A1376">
            <v>8061</v>
          </cell>
          <cell r="B1376" t="str">
            <v>ja</v>
          </cell>
          <cell r="C1376" t="str">
            <v>ケロケロけろっぴ</v>
          </cell>
          <cell r="D1376" t="str">
            <v>ケロケロけろっぴ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3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8062</v>
          </cell>
          <cell r="B1377" t="str">
            <v>ja</v>
          </cell>
          <cell r="C1377" t="str">
            <v>ケロケロけろっぴ</v>
          </cell>
          <cell r="D1377" t="str">
            <v>ケロケロけろっぴ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4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8063</v>
          </cell>
          <cell r="B1378" t="str">
            <v>ja</v>
          </cell>
          <cell r="C1378" t="str">
            <v>モルドレッド_ポムポムプリンコスプレ</v>
          </cell>
          <cell r="D1378" t="str">
            <v>モルドレッド_ポムポムプリンコスプレ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blue</v>
          </cell>
          <cell r="I1378">
            <v>5</v>
          </cell>
          <cell r="J1378" t="str">
            <v>PremiumSS</v>
          </cell>
          <cell r="K1378" t="str">
            <v>heal</v>
          </cell>
          <cell r="L1378" t="str">
            <v>回復タイプ</v>
          </cell>
          <cell r="M1378" t="str">
            <v>ss</v>
          </cell>
        </row>
        <row r="1379">
          <cell r="A1379">
            <v>8064</v>
          </cell>
          <cell r="B1379" t="str">
            <v>ja</v>
          </cell>
          <cell r="C1379" t="str">
            <v>モルドレッド_ポムポムプリンコスプレ</v>
          </cell>
          <cell r="D1379" t="str">
            <v>モルドレッド_ポムポムプリンコスプレ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blue</v>
          </cell>
          <cell r="I1379">
            <v>6</v>
          </cell>
          <cell r="J1379" t="str">
            <v>PremiumSS</v>
          </cell>
          <cell r="K1379" t="str">
            <v>heal</v>
          </cell>
          <cell r="L1379" t="str">
            <v>回復タイプ</v>
          </cell>
          <cell r="M1379" t="str">
            <v>ss</v>
          </cell>
        </row>
        <row r="1380">
          <cell r="A1380">
            <v>8065</v>
          </cell>
          <cell r="B1380" t="str">
            <v>ja</v>
          </cell>
          <cell r="C1380" t="str">
            <v>クロミ</v>
          </cell>
          <cell r="D1380" t="str">
            <v>クロミ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3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8066</v>
          </cell>
          <cell r="B1381" t="str">
            <v>ja</v>
          </cell>
          <cell r="C1381" t="str">
            <v>クロミ</v>
          </cell>
          <cell r="D1381" t="str">
            <v>クロミ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4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8067</v>
          </cell>
          <cell r="B1382" t="str">
            <v>ja</v>
          </cell>
          <cell r="C1382" t="str">
            <v>バッドばつ丸</v>
          </cell>
          <cell r="D1382" t="str">
            <v>バッドばつ丸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attack</v>
          </cell>
          <cell r="L1382" t="str">
            <v>攻撃タイプ</v>
          </cell>
          <cell r="M1382" t="str">
            <v>ss</v>
          </cell>
        </row>
        <row r="1383">
          <cell r="A1383">
            <v>8068</v>
          </cell>
          <cell r="B1383" t="str">
            <v>ja</v>
          </cell>
          <cell r="C1383" t="str">
            <v>バッドばつ丸</v>
          </cell>
          <cell r="D1383" t="str">
            <v>バッドばつ丸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attack</v>
          </cell>
          <cell r="L1383" t="str">
            <v>攻撃タイプ</v>
          </cell>
          <cell r="M1383" t="str">
            <v>ss</v>
          </cell>
        </row>
        <row r="1384">
          <cell r="A1384">
            <v>8069</v>
          </cell>
          <cell r="B1384" t="str">
            <v>ja</v>
          </cell>
          <cell r="C1384" t="str">
            <v>シナモロール</v>
          </cell>
          <cell r="D1384" t="str">
            <v>シナモロール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yellow</v>
          </cell>
          <cell r="I1384">
            <v>4</v>
          </cell>
          <cell r="J1384" t="str">
            <v>PremiumS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8070</v>
          </cell>
          <cell r="B1385" t="str">
            <v>ja</v>
          </cell>
          <cell r="C1385" t="str">
            <v>シナモロール</v>
          </cell>
          <cell r="D1385" t="str">
            <v>シナモロール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yellow</v>
          </cell>
          <cell r="I1385">
            <v>5</v>
          </cell>
          <cell r="J1385" t="str">
            <v>PremiumS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8071</v>
          </cell>
          <cell r="B1386" t="str">
            <v>ja</v>
          </cell>
          <cell r="C1386" t="str">
            <v>ポムポムプリン</v>
          </cell>
          <cell r="D1386" t="str">
            <v>ポムポムプリン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3</v>
          </cell>
          <cell r="J1386" t="str">
            <v>PremiumS</v>
          </cell>
          <cell r="K1386" t="str">
            <v>hp</v>
          </cell>
          <cell r="L1386" t="str">
            <v>体力タイプ</v>
          </cell>
          <cell r="M1386" t="str">
            <v>ss</v>
          </cell>
        </row>
        <row r="1387">
          <cell r="A1387">
            <v>8072</v>
          </cell>
          <cell r="B1387" t="str">
            <v>ja</v>
          </cell>
          <cell r="C1387" t="str">
            <v>ポムポムプリン</v>
          </cell>
          <cell r="D1387" t="str">
            <v>ポムポムプリン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4</v>
          </cell>
          <cell r="J1387" t="str">
            <v>PremiumS</v>
          </cell>
          <cell r="K1387" t="str">
            <v>hp</v>
          </cell>
          <cell r="L1387" t="str">
            <v>体力タイプ</v>
          </cell>
          <cell r="M1387" t="str">
            <v>ss</v>
          </cell>
        </row>
        <row r="1388">
          <cell r="A1388">
            <v>8077</v>
          </cell>
          <cell r="B1388" t="str">
            <v>ja</v>
          </cell>
          <cell r="C1388" t="str">
            <v>鄭成功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5</v>
          </cell>
          <cell r="J1388" t="str">
            <v>PremiumSS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8078</v>
          </cell>
          <cell r="B1389" t="str">
            <v>ja</v>
          </cell>
          <cell r="C1389" t="str">
            <v>レア６鄭成功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6</v>
          </cell>
          <cell r="J1389" t="str">
            <v>PremiumSS</v>
          </cell>
          <cell r="K1389" t="str">
            <v>attack</v>
          </cell>
          <cell r="L1389" t="str">
            <v>攻撃タイプ</v>
          </cell>
          <cell r="M1389" t="str">
            <v>human</v>
          </cell>
        </row>
        <row r="1390">
          <cell r="A1390">
            <v>8079</v>
          </cell>
          <cell r="B1390" t="str">
            <v>ja</v>
          </cell>
          <cell r="C1390" t="str">
            <v>赤鬼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5</v>
          </cell>
          <cell r="J1390" t="str">
            <v>DropWizS</v>
          </cell>
          <cell r="K1390" t="str">
            <v>hp</v>
          </cell>
          <cell r="L1390" t="str">
            <v>体力タイプ</v>
          </cell>
          <cell r="M1390" t="str">
            <v>dragon</v>
          </cell>
        </row>
        <row r="1391">
          <cell r="A1391">
            <v>8080</v>
          </cell>
          <cell r="B1391" t="str">
            <v>ja</v>
          </cell>
          <cell r="C1391" t="str">
            <v>レア６赤鬼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red</v>
          </cell>
          <cell r="I1391">
            <v>6</v>
          </cell>
          <cell r="J1391" t="str">
            <v>DropWizS</v>
          </cell>
          <cell r="K1391" t="str">
            <v>hp</v>
          </cell>
          <cell r="L1391" t="str">
            <v>体力タイプ</v>
          </cell>
          <cell r="M139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4" t="s">
        <v>222</v>
      </c>
      <c r="K40" s="84" t="s">
        <v>196</v>
      </c>
      <c r="M40" s="84" t="s">
        <v>247</v>
      </c>
    </row>
    <row r="41" spans="1:13" x14ac:dyDescent="0.15">
      <c r="J41" s="84" t="s">
        <v>223</v>
      </c>
      <c r="K41" s="84" t="s">
        <v>224</v>
      </c>
      <c r="M41" s="66" t="s">
        <v>191</v>
      </c>
    </row>
    <row r="42" spans="1:13" x14ac:dyDescent="0.15">
      <c r="J42" s="84" t="s">
        <v>225</v>
      </c>
      <c r="K42" s="84" t="s">
        <v>226</v>
      </c>
    </row>
    <row r="43" spans="1:13" x14ac:dyDescent="0.15">
      <c r="J43" s="84" t="s">
        <v>227</v>
      </c>
      <c r="K43" s="84" t="s">
        <v>228</v>
      </c>
    </row>
    <row r="44" spans="1:13" x14ac:dyDescent="0.15">
      <c r="J44" s="84" t="s">
        <v>229</v>
      </c>
      <c r="K44" s="84" t="s">
        <v>230</v>
      </c>
    </row>
    <row r="45" spans="1:13" x14ac:dyDescent="0.15">
      <c r="J45" s="84" t="s">
        <v>231</v>
      </c>
      <c r="K45" s="84" t="s">
        <v>232</v>
      </c>
    </row>
    <row r="46" spans="1:13" x14ac:dyDescent="0.15">
      <c r="J46" s="84" t="s">
        <v>233</v>
      </c>
      <c r="K46" s="84" t="s">
        <v>234</v>
      </c>
    </row>
    <row r="47" spans="1:13" x14ac:dyDescent="0.15">
      <c r="J47" s="84" t="s">
        <v>235</v>
      </c>
      <c r="K47" s="84" t="s">
        <v>239</v>
      </c>
    </row>
    <row r="48" spans="1:13" x14ac:dyDescent="0.15">
      <c r="J48" s="84" t="s">
        <v>236</v>
      </c>
      <c r="K48" s="84" t="s">
        <v>240</v>
      </c>
    </row>
    <row r="49" spans="10:11" x14ac:dyDescent="0.15">
      <c r="J49" s="84" t="s">
        <v>237</v>
      </c>
      <c r="K49" s="84" t="s">
        <v>241</v>
      </c>
    </row>
    <row r="50" spans="10:11" x14ac:dyDescent="0.15">
      <c r="J50" s="84" t="s">
        <v>238</v>
      </c>
      <c r="K50" s="84" t="s">
        <v>242</v>
      </c>
    </row>
    <row r="51" spans="10:11" x14ac:dyDescent="0.15">
      <c r="J51" s="84" t="s">
        <v>244</v>
      </c>
      <c r="K51" s="84" t="s">
        <v>243</v>
      </c>
    </row>
    <row r="52" spans="10:11" x14ac:dyDescent="0.15">
      <c r="J52" s="84" t="s">
        <v>245</v>
      </c>
      <c r="K52" s="84" t="s">
        <v>246</v>
      </c>
    </row>
    <row r="53" spans="10:11" x14ac:dyDescent="0.15">
      <c r="J53" s="84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23" sqref="F2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277</v>
      </c>
      <c r="B2" s="61" t="s">
        <v>116</v>
      </c>
      <c r="C2" s="50" t="str">
        <f t="shared" ref="C2" si="0">RIGHT(F2,6)</f>
        <v>433101</v>
      </c>
      <c r="D2" s="19" t="s">
        <v>46</v>
      </c>
      <c r="E2" s="17" t="str">
        <f t="shared" ref="E2" si="1">B2&amp;C2&amp;D2</f>
        <v>gacha_select_tables_433101.tmp</v>
      </c>
      <c r="F2" s="90" t="s">
        <v>290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9" t="s">
        <v>277</v>
      </c>
      <c r="B3" s="61" t="s">
        <v>116</v>
      </c>
      <c r="C3" s="50" t="str">
        <f t="shared" ref="C3:C7" si="2">RIGHT(F3,6)</f>
        <v>433103</v>
      </c>
      <c r="D3" s="19" t="s">
        <v>46</v>
      </c>
      <c r="E3" s="17" t="str">
        <f t="shared" ref="E3:E10" si="3">B3&amp;C3&amp;D3</f>
        <v>gacha_select_tables_433103.tmp</v>
      </c>
      <c r="F3" s="90" t="s">
        <v>291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9" t="s">
        <v>277</v>
      </c>
      <c r="B4" s="78" t="s">
        <v>220</v>
      </c>
      <c r="C4" s="50" t="str">
        <f t="shared" si="2"/>
        <v>433103</v>
      </c>
      <c r="D4" s="19" t="s">
        <v>46</v>
      </c>
      <c r="E4" s="17" t="str">
        <f t="shared" ref="E4:E7" si="4">B4&amp;C4&amp;D4</f>
        <v>gacha_settle_tables_433103.tmp</v>
      </c>
      <c r="F4" s="90" t="s">
        <v>292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277</v>
      </c>
      <c r="B5" s="61" t="s">
        <v>116</v>
      </c>
      <c r="C5" s="50" t="str">
        <f t="shared" si="2"/>
        <v>433104</v>
      </c>
      <c r="D5" s="19" t="s">
        <v>46</v>
      </c>
      <c r="E5" s="17" t="str">
        <f t="shared" si="4"/>
        <v>gacha_select_tables_433104.tmp</v>
      </c>
      <c r="F5" s="90" t="s">
        <v>293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277</v>
      </c>
      <c r="B6" s="61" t="s">
        <v>116</v>
      </c>
      <c r="C6" s="50" t="str">
        <f t="shared" ref="C6" si="5">RIGHT(F6,6)</f>
        <v>433105</v>
      </c>
      <c r="D6" s="19" t="s">
        <v>46</v>
      </c>
      <c r="E6" s="17" t="str">
        <f t="shared" ref="E6" si="6">B6&amp;C6&amp;D6</f>
        <v>gacha_select_tables_433105.tmp</v>
      </c>
      <c r="F6" s="90" t="s">
        <v>294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277</v>
      </c>
      <c r="B7" s="61" t="s">
        <v>116</v>
      </c>
      <c r="C7" s="50" t="str">
        <f t="shared" si="2"/>
        <v>433100</v>
      </c>
      <c r="D7" s="19" t="s">
        <v>46</v>
      </c>
      <c r="E7" s="17" t="str">
        <f t="shared" si="4"/>
        <v>gacha_select_tables_433100.tmp</v>
      </c>
      <c r="F7" s="90" t="s">
        <v>295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277</v>
      </c>
      <c r="B8" s="27" t="s">
        <v>51</v>
      </c>
      <c r="C8" s="32">
        <v>433</v>
      </c>
      <c r="D8" s="19" t="s">
        <v>47</v>
      </c>
      <c r="E8" s="17" t="str">
        <f t="shared" si="3"/>
        <v>gacha_bonus_tables_433.tmp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277</v>
      </c>
      <c r="B9" s="19" t="s">
        <v>49</v>
      </c>
      <c r="C9" s="32">
        <v>433</v>
      </c>
      <c r="D9" s="19" t="s">
        <v>47</v>
      </c>
      <c r="E9" s="17" t="str">
        <f t="shared" si="3"/>
        <v>gifts_tmp_433.tmp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89" t="s">
        <v>277</v>
      </c>
      <c r="B10" s="19" t="s">
        <v>50</v>
      </c>
      <c r="C10" s="32">
        <v>433</v>
      </c>
      <c r="D10" s="19" t="s">
        <v>47</v>
      </c>
      <c r="E10" s="17" t="str">
        <f t="shared" si="3"/>
        <v>gifts_i18n_433.tmp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topLeftCell="A19" workbookViewId="0">
      <selection activeCell="D54" sqref="D54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2.796875" bestFit="1" customWidth="1"/>
    <col min="6" max="6" width="21.796875" bestFit="1" customWidth="1"/>
    <col min="7" max="7" width="20.796875" bestFit="1" customWidth="1"/>
    <col min="8" max="8" width="19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433101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VLOOKUP(L3,tables_433101!B:C,2,FALSE)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VLOOKUP(L4,tables_433101!B:C,2,FALSE)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(B11-H5)*0.4/(F5-I5)</f>
        <v>4.6511627906976752E-4</v>
      </c>
      <c r="F5">
        <f>(COUNTIF(tables_433101!C:C,input_433101!A28)+COUNTIF(tables_433101!C:C,input_433101!A29))</f>
        <v>43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VLOOKUP(L5,tables_433101!B:C,2,FALSE)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249</v>
      </c>
      <c r="E6" s="77">
        <f>(B11-H5)*0.6/(F6-I5)</f>
        <v>2.142857142857143E-3</v>
      </c>
      <c r="F6">
        <f>(COUNTIF(tables_433101!C:C,input_433101!A43)+COUNTIF(tables_433101!C:C,input_433101!A44))</f>
        <v>14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VLOOKUP(L6,tables_433101!B:C,2,FALSE)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5.5647058823529412E-3</v>
      </c>
      <c r="F7">
        <f>(COUNTIF(tables_433101!C:C,input_433101!A25)+COUNTIF(tables_433101!C:C,input_433101!A18)+COUNTIF(tables_433101!C:C,input_433101!A20)+COUNTIF(tables_433101!C:C,input_433101!A22))</f>
        <v>68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VLOOKUP(L7,tables_433101!B:C,2,FALSE)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2.4678260869565215E-2</v>
      </c>
      <c r="F8">
        <f>(COUNTIF(tables_433101!C:C,input_433101!A40)+COUNTIF(tables_433101!C:C,input_433101!A33)+COUNTIF(tables_433101!C:C,input_433101!A35)+COUNTIF(tables_433101!C:C,input_433101!A37))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VLOOKUP(L8,tables_433101!B:C,2,FALSE)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VLOOKUP(L9,tables_433101!B:C,2,FALSE)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VLOOKUP(L10,tables_433101!B:C,2,FALSE)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VLOOKUP(L11,tables_433101!B:C,2,FALSE)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VLOOKUP(L12,tables_433101!B:C,2,FALSE)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VLOOKUP(L13,tables_433101!B:C,2,FALSE)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VLOOKUP(L14,tables_433101!B:C,2,FALSE)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VLOOKUP(L15,tables_433101!B:C,2,FALSE)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VLOOKUP(L16,tables_433101!B:C,2,FALSE)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3">
        <f>B$5*0.4-B19-B24</f>
        <v>8.0358823529411774E-2</v>
      </c>
      <c r="C17" s="86">
        <f t="shared" ref="C17:C46" si="2">SUMIF(Q:Q,A17,N:N)</f>
        <v>0</v>
      </c>
      <c r="D17" s="75">
        <f t="shared" ref="D17:D26" si="3">B17-C17</f>
        <v>8.0358823529411774E-2</v>
      </c>
      <c r="E17">
        <f>COUNTIF(tables_433101!C:C,input_433101!A17)-COUNTIF(Q:Q,A17)</f>
        <v>15</v>
      </c>
      <c r="F17" s="43">
        <f>IFERROR(B17/E17,0)</f>
        <v>5.3572549019607852E-3</v>
      </c>
      <c r="G17">
        <f t="shared" ref="G17:G46" si="4">A$51*B17</f>
        <v>939876.80000000016</v>
      </c>
      <c r="H17">
        <f t="shared" ref="H17:H26" si="5">IFERROR(ROUND(G17/E17,5),0)</f>
        <v>62658.453329999997</v>
      </c>
      <c r="I17">
        <f t="shared" ref="I17:I31" si="6">MOD(H17,1)</f>
        <v>0.45332999999664025</v>
      </c>
      <c r="J17">
        <f t="shared" ref="J17:J26" si="7">IFERROR(1/I17,1)</f>
        <v>2.2058985727999718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VLOOKUP(L17,tables_433101!B:C,2,FALSE)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3.1117647058823417E-3</v>
      </c>
      <c r="C18" s="86">
        <f t="shared" si="2"/>
        <v>0</v>
      </c>
      <c r="D18" s="75">
        <f t="shared" si="3"/>
        <v>3.1117647058823417E-3</v>
      </c>
      <c r="E18">
        <f>COUNTIF(tables_433101!C:C,input_433101!A18)-COUNTIF(Q:Q,A18)</f>
        <v>15</v>
      </c>
      <c r="F18" s="43">
        <f>IFERROR(B18/E18,0)</f>
        <v>2.074509803921561E-4</v>
      </c>
      <c r="G18">
        <f t="shared" si="4"/>
        <v>36395.199999999866</v>
      </c>
      <c r="H18">
        <f t="shared" si="5"/>
        <v>2426.3466699999999</v>
      </c>
      <c r="I18">
        <f t="shared" si="6"/>
        <v>0.34666999999990367</v>
      </c>
      <c r="J18">
        <f t="shared" si="7"/>
        <v>2.8845876481964918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VLOOKUP(L18,tables_433101!B:C,2,FALSE)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0.11129411764705882</v>
      </c>
      <c r="C19" s="86">
        <f t="shared" si="2"/>
        <v>0</v>
      </c>
      <c r="D19" s="75">
        <f t="shared" si="3"/>
        <v>0.11129411764705882</v>
      </c>
      <c r="E19">
        <f>COUNTIF(tables_433101!C:C,input_433101!A19)-COUNTIF(Q:Q,A19)</f>
        <v>40</v>
      </c>
      <c r="F19" s="43">
        <f t="shared" ref="F19:F31" si="8">IFERROR(B19/E19,0)</f>
        <v>2.7823529411764706E-3</v>
      </c>
      <c r="G19">
        <f t="shared" si="4"/>
        <v>1301696</v>
      </c>
      <c r="H19">
        <f t="shared" si="5"/>
        <v>32542.400000000001</v>
      </c>
      <c r="I19">
        <f t="shared" si="6"/>
        <v>0.40000000000145519</v>
      </c>
      <c r="J19">
        <f t="shared" si="7"/>
        <v>2.4999999999909051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VLOOKUP(L19,tables_433101!B:C,2,FALSE)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3">
        <f>E$7*E20*B$6+F49-0.02</f>
        <v>8.6498298595474588E-2</v>
      </c>
      <c r="C20" s="86">
        <f t="shared" si="2"/>
        <v>0</v>
      </c>
      <c r="D20" s="75">
        <f t="shared" si="3"/>
        <v>8.6498298595474588E-2</v>
      </c>
      <c r="E20">
        <f>COUNTIF(tables_433101!C:C,input_433101!A20)-COUNTIF(Q:Q,A20)</f>
        <v>40</v>
      </c>
      <c r="F20" s="43">
        <f t="shared" si="8"/>
        <v>2.1624574648868647E-3</v>
      </c>
      <c r="G20">
        <f t="shared" si="4"/>
        <v>1011684.1003726708</v>
      </c>
      <c r="H20">
        <f t="shared" si="5"/>
        <v>25292.102510000001</v>
      </c>
      <c r="I20">
        <f t="shared" si="6"/>
        <v>0.10251000000062049</v>
      </c>
      <c r="J20">
        <f t="shared" si="7"/>
        <v>9.7551458393712522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VLOOKUP(L20,tables_433101!B:C,2,FALSE)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E$7*E21*B$7-F49</f>
        <v>4.7958190515842332E-3</v>
      </c>
      <c r="C21" s="86">
        <f t="shared" si="2"/>
        <v>0</v>
      </c>
      <c r="D21" s="75">
        <f t="shared" si="3"/>
        <v>4.7958190515842332E-3</v>
      </c>
      <c r="E21">
        <f>COUNTIF(tables_433101!C:C,input_433101!A21)-COUNTIF(Q:Q,A21)</f>
        <v>40</v>
      </c>
      <c r="F21" s="43">
        <f t="shared" si="8"/>
        <v>1.1989547628960584E-4</v>
      </c>
      <c r="G21">
        <f t="shared" si="4"/>
        <v>56091.899627329192</v>
      </c>
      <c r="H21">
        <f t="shared" si="5"/>
        <v>1402.2974899999999</v>
      </c>
      <c r="I21">
        <f t="shared" si="6"/>
        <v>0.2974899999999252</v>
      </c>
      <c r="J21">
        <f t="shared" si="7"/>
        <v>3.361457527984979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7.4464705882353002E-2</v>
      </c>
      <c r="C22" s="86">
        <f t="shared" si="2"/>
        <v>0</v>
      </c>
      <c r="D22" s="75">
        <f t="shared" si="3"/>
        <v>7.4464705882353002E-2</v>
      </c>
      <c r="E22">
        <f>COUNTIF(tables_433101!C:C,input_433101!A22)-COUNTIF(Q:Q,A22)</f>
        <v>10</v>
      </c>
      <c r="F22" s="43">
        <f t="shared" si="8"/>
        <v>7.4464705882353001E-3</v>
      </c>
      <c r="G22">
        <f t="shared" si="4"/>
        <v>870939.20000000077</v>
      </c>
      <c r="H22">
        <f t="shared" si="5"/>
        <v>87093.92</v>
      </c>
      <c r="I22">
        <f t="shared" si="6"/>
        <v>0.91999999999825377</v>
      </c>
      <c r="J22">
        <f t="shared" si="7"/>
        <v>1.0869565217411936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2.7823529411764706E-3</v>
      </c>
      <c r="C23" s="86">
        <f t="shared" si="2"/>
        <v>0</v>
      </c>
      <c r="D23" s="75">
        <f t="shared" si="3"/>
        <v>2.7823529411764706E-3</v>
      </c>
      <c r="E23">
        <f>COUNTIF(tables_433101!C:C,input_433101!A23)-COUNTIF(Q:Q,A23)</f>
        <v>10</v>
      </c>
      <c r="F23" s="43">
        <f t="shared" si="8"/>
        <v>2.7823529411764706E-4</v>
      </c>
      <c r="G23">
        <f t="shared" si="4"/>
        <v>32542.400000000001</v>
      </c>
      <c r="H23">
        <f t="shared" si="5"/>
        <v>3254.24</v>
      </c>
      <c r="I23">
        <f t="shared" si="6"/>
        <v>0.23999999999978172</v>
      </c>
      <c r="J23">
        <f t="shared" si="7"/>
        <v>4.1666666666704559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8.3470588235294123E-3</v>
      </c>
      <c r="C24" s="86">
        <f t="shared" si="2"/>
        <v>0</v>
      </c>
      <c r="D24" s="75">
        <f t="shared" si="3"/>
        <v>8.3470588235294123E-3</v>
      </c>
      <c r="E24">
        <f>COUNTIF(tables_433101!C:C,input_433101!A24)-COUNTIF(Q:Q,A24)</f>
        <v>3</v>
      </c>
      <c r="F24" s="43">
        <f t="shared" si="8"/>
        <v>2.7823529411764706E-3</v>
      </c>
      <c r="G24">
        <f t="shared" si="4"/>
        <v>97627.200000000012</v>
      </c>
      <c r="H24">
        <f t="shared" si="5"/>
        <v>32542.400000000001</v>
      </c>
      <c r="I24">
        <f t="shared" si="6"/>
        <v>0.40000000000145519</v>
      </c>
      <c r="J24">
        <f t="shared" si="7"/>
        <v>2.4999999999909051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7.5123529411764717E-3</v>
      </c>
      <c r="C25" s="86">
        <f t="shared" si="2"/>
        <v>0</v>
      </c>
      <c r="D25" s="75">
        <f t="shared" si="3"/>
        <v>7.5123529411764717E-3</v>
      </c>
      <c r="E25">
        <f>COUNTIF(tables_433101!C:C,input_433101!A25)-COUNTIF(Q:Q,A25)</f>
        <v>3</v>
      </c>
      <c r="F25" s="43">
        <f t="shared" si="8"/>
        <v>2.5041176470588238E-3</v>
      </c>
      <c r="G25">
        <f t="shared" si="4"/>
        <v>87864.48000000001</v>
      </c>
      <c r="H25">
        <f t="shared" si="5"/>
        <v>29288.16</v>
      </c>
      <c r="I25">
        <f t="shared" si="6"/>
        <v>0.15999999999985448</v>
      </c>
      <c r="J25">
        <f t="shared" si="7"/>
        <v>6.2500000000056843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57" t="s">
        <v>201</v>
      </c>
      <c r="B26" s="56">
        <f>E$7*B$7*E26</f>
        <v>8.3470588235294118E-4</v>
      </c>
      <c r="C26" s="86">
        <f t="shared" si="2"/>
        <v>0</v>
      </c>
      <c r="D26" s="75">
        <f t="shared" si="3"/>
        <v>8.3470588235294118E-4</v>
      </c>
      <c r="E26">
        <f>COUNTIF(tables_433101!C:C,input_433101!A26)-COUNTIF(Q:Q,A26)</f>
        <v>3</v>
      </c>
      <c r="F26" s="43">
        <f t="shared" si="8"/>
        <v>2.7823529411764706E-4</v>
      </c>
      <c r="G26">
        <f t="shared" si="4"/>
        <v>9762.7199999999993</v>
      </c>
      <c r="H26">
        <f t="shared" si="5"/>
        <v>3254.24</v>
      </c>
      <c r="I26">
        <f t="shared" si="6"/>
        <v>0.23999999999978172</v>
      </c>
      <c r="J26">
        <f t="shared" si="7"/>
        <v>4.1666666666704559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57" t="s">
        <v>109</v>
      </c>
      <c r="B27" s="56">
        <f>E$5*E27*(B$5+B$6)</f>
        <v>8.8372093023255834E-3</v>
      </c>
      <c r="C27" s="86">
        <f t="shared" si="2"/>
        <v>0</v>
      </c>
      <c r="D27" s="75">
        <f t="shared" ref="D27:D29" si="9">B27-C27</f>
        <v>8.8372093023255834E-3</v>
      </c>
      <c r="E27">
        <f>COUNTIF(tables_433101!C:C,input_433101!A27)-COUNTIF(Q:Q,A27)</f>
        <v>20</v>
      </c>
      <c r="F27" s="43">
        <f>IFERROR(B27/E27,0)</f>
        <v>4.4186046511627918E-4</v>
      </c>
      <c r="G27">
        <f t="shared" si="4"/>
        <v>103360.00000000003</v>
      </c>
      <c r="H27">
        <f t="shared" ref="H27:H29" si="10">IFERROR(ROUND(G27/E27,5),0)</f>
        <v>5168</v>
      </c>
      <c r="I27">
        <f t="shared" si="6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57" t="s">
        <v>110</v>
      </c>
      <c r="B28" s="56">
        <f>E$5*E28*B$7</f>
        <v>4.6511627906976752E-4</v>
      </c>
      <c r="C28" s="86">
        <f t="shared" si="2"/>
        <v>0</v>
      </c>
      <c r="D28" s="75">
        <f t="shared" si="9"/>
        <v>4.6511627906976752E-4</v>
      </c>
      <c r="E28">
        <f>COUNTIF(tables_433101!C:C,input_433101!A28)-COUNTIF(Q:Q,A28)</f>
        <v>20</v>
      </c>
      <c r="F28" s="43">
        <f t="shared" si="8"/>
        <v>2.3255813953488377E-5</v>
      </c>
      <c r="G28">
        <f t="shared" si="4"/>
        <v>5440.0000000000009</v>
      </c>
      <c r="H28">
        <f t="shared" si="10"/>
        <v>272</v>
      </c>
      <c r="I28">
        <f t="shared" si="6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57" t="s">
        <v>280</v>
      </c>
      <c r="B29" s="56">
        <f>E$5*E29</f>
        <v>1.0697674418604653E-2</v>
      </c>
      <c r="C29" s="86">
        <f t="shared" si="2"/>
        <v>0</v>
      </c>
      <c r="D29" s="75">
        <f t="shared" si="9"/>
        <v>1.0697674418604653E-2</v>
      </c>
      <c r="E29">
        <f>COUNTIF(tables_433101!C:C,input_433101!A29)-COUNTIF(Q:Q,A29)</f>
        <v>23</v>
      </c>
      <c r="F29" s="43">
        <f t="shared" si="8"/>
        <v>4.6511627906976752E-4</v>
      </c>
      <c r="G29">
        <f t="shared" si="4"/>
        <v>125120.00000000003</v>
      </c>
      <c r="H29">
        <f t="shared" si="10"/>
        <v>5440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57" t="s">
        <v>266</v>
      </c>
      <c r="B30" s="56">
        <v>0</v>
      </c>
      <c r="C30" s="86">
        <f t="shared" si="2"/>
        <v>0</v>
      </c>
      <c r="D30" s="75">
        <f t="shared" ref="D30:D44" si="12">B30-C30</f>
        <v>0</v>
      </c>
      <c r="E30">
        <f>COUNTIF(tables_433101!C:C,input_433101!A30)-COUNTIF(Q:Q,A30)</f>
        <v>0</v>
      </c>
      <c r="F30" s="43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57" t="s">
        <v>267</v>
      </c>
      <c r="B31" s="56">
        <v>0</v>
      </c>
      <c r="C31" s="86">
        <f t="shared" si="2"/>
        <v>0</v>
      </c>
      <c r="D31" s="75">
        <f t="shared" si="12"/>
        <v>0</v>
      </c>
      <c r="E31">
        <f>COUNTIF(tables_433101!C:C,input_433101!A31)-COUNTIF(Q:Q,A31)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57" t="s">
        <v>252</v>
      </c>
      <c r="B32" s="93">
        <f>B$5*0.6-B34-B39</f>
        <v>0.1395913043478261</v>
      </c>
      <c r="C32" s="86">
        <f t="shared" si="2"/>
        <v>0</v>
      </c>
      <c r="D32" s="75">
        <f t="shared" si="12"/>
        <v>0.1395913043478261</v>
      </c>
      <c r="E32">
        <f>COUNTIF(tables_433101!C:C,input_433101!A32)-COUNTIF(Q:Q,A32)</f>
        <v>4</v>
      </c>
      <c r="F32" s="43">
        <f>IFERROR(B32/E32,0)</f>
        <v>3.4897826086956525E-2</v>
      </c>
      <c r="G32">
        <f t="shared" si="4"/>
        <v>1632659.895652174</v>
      </c>
      <c r="H32">
        <f t="shared" si="13"/>
        <v>408164.97391</v>
      </c>
      <c r="I32">
        <f t="shared" ref="I32:I46" si="15">MOD(H32,1)</f>
        <v>0.97391000000061467</v>
      </c>
      <c r="J32">
        <f t="shared" si="14"/>
        <v>1.0267889230004505</v>
      </c>
      <c r="M32" s="37"/>
      <c r="N32" s="63"/>
      <c r="O32" s="37"/>
      <c r="P32" s="37"/>
      <c r="Q32" s="37"/>
      <c r="R32" s="62"/>
    </row>
    <row r="33" spans="1:18" x14ac:dyDescent="0.15">
      <c r="A33" s="57" t="s">
        <v>253</v>
      </c>
      <c r="B33" s="56">
        <f>E$8*E33-B32+0.02</f>
        <v>3.7999999999999805E-3</v>
      </c>
      <c r="C33" s="86">
        <f t="shared" si="2"/>
        <v>0</v>
      </c>
      <c r="D33" s="75">
        <f t="shared" si="12"/>
        <v>3.7999999999999805E-3</v>
      </c>
      <c r="E33">
        <f>COUNTIF(tables_433101!C:C,input_433101!A33)-COUNTIF(Q:Q,A33)</f>
        <v>5</v>
      </c>
      <c r="F33" s="43">
        <f>IFERROR(B33/E33,0)</f>
        <v>7.5999999999999614E-4</v>
      </c>
      <c r="G33">
        <f t="shared" si="4"/>
        <v>44444.79999999977</v>
      </c>
      <c r="H33">
        <f t="shared" si="13"/>
        <v>8888.9599999999991</v>
      </c>
      <c r="I33">
        <f t="shared" si="15"/>
        <v>0.95999999999912689</v>
      </c>
      <c r="J33">
        <f t="shared" si="14"/>
        <v>1.041666666667614</v>
      </c>
      <c r="M33" s="37"/>
      <c r="N33" s="63"/>
      <c r="O33" s="37"/>
      <c r="P33" s="37"/>
      <c r="Q33" s="37"/>
      <c r="R33" s="62"/>
    </row>
    <row r="34" spans="1:18" x14ac:dyDescent="0.15">
      <c r="A34" s="57" t="s">
        <v>254</v>
      </c>
      <c r="B34" s="83">
        <f>E$8*E34*B$5</f>
        <v>0.14806956521739129</v>
      </c>
      <c r="C34" s="86">
        <f t="shared" si="2"/>
        <v>0</v>
      </c>
      <c r="D34" s="75">
        <f t="shared" si="12"/>
        <v>0.14806956521739129</v>
      </c>
      <c r="E34">
        <f>COUNTIF(tables_433101!C:C,input_433101!A34)-COUNTIF(Q:Q,A34)</f>
        <v>12</v>
      </c>
      <c r="F34" s="43">
        <f t="shared" ref="F34:F41" si="16">IFERROR(B34/E34,0)</f>
        <v>1.2339130434782608E-2</v>
      </c>
      <c r="G34">
        <f t="shared" si="4"/>
        <v>1731821.6347826084</v>
      </c>
      <c r="H34">
        <f t="shared" si="13"/>
        <v>144318.46956999999</v>
      </c>
      <c r="I34">
        <f t="shared" si="15"/>
        <v>0.46956999998656102</v>
      </c>
      <c r="J34">
        <f t="shared" si="14"/>
        <v>2.1296079392393463</v>
      </c>
      <c r="M34" s="37"/>
      <c r="N34" s="63"/>
      <c r="O34" s="37"/>
      <c r="P34" s="37"/>
      <c r="Q34" s="37"/>
      <c r="R34" s="62"/>
    </row>
    <row r="35" spans="1:18" x14ac:dyDescent="0.15">
      <c r="A35" s="57" t="s">
        <v>251</v>
      </c>
      <c r="B35" s="56">
        <f>E$8*E35*B$6+E49</f>
        <v>0.14276299776533463</v>
      </c>
      <c r="C35" s="86">
        <f t="shared" si="2"/>
        <v>0</v>
      </c>
      <c r="D35" s="75">
        <f t="shared" si="12"/>
        <v>0.14276299776533463</v>
      </c>
      <c r="E35">
        <f>COUNTIF(tables_433101!C:C,input_433101!A35)-COUNTIF(Q:Q,A35)</f>
        <v>12</v>
      </c>
      <c r="F35" s="43">
        <f t="shared" si="16"/>
        <v>1.1896916480444553E-2</v>
      </c>
      <c r="G35">
        <f t="shared" si="4"/>
        <v>1669756.0218633539</v>
      </c>
      <c r="H35">
        <f t="shared" si="13"/>
        <v>139146.33515999999</v>
      </c>
      <c r="I35">
        <f t="shared" si="15"/>
        <v>0.33515999998780899</v>
      </c>
      <c r="J35">
        <f t="shared" si="14"/>
        <v>2.9836496002994801</v>
      </c>
      <c r="M35" s="37"/>
      <c r="N35" s="63"/>
      <c r="O35" s="37"/>
      <c r="P35" s="37"/>
      <c r="Q35" s="37"/>
      <c r="R35" s="62"/>
    </row>
    <row r="36" spans="1:18" x14ac:dyDescent="0.15">
      <c r="A36" s="57" t="s">
        <v>255</v>
      </c>
      <c r="B36" s="56">
        <f>E$8*E36*B$7-E49</f>
        <v>5.3065674520566541E-3</v>
      </c>
      <c r="C36" s="86">
        <f t="shared" si="2"/>
        <v>0</v>
      </c>
      <c r="D36" s="75">
        <f t="shared" si="12"/>
        <v>5.3065674520566541E-3</v>
      </c>
      <c r="E36">
        <f>COUNTIF(tables_433101!C:C,input_433101!A36)-COUNTIF(Q:Q,A36)</f>
        <v>12</v>
      </c>
      <c r="F36" s="43">
        <f t="shared" si="16"/>
        <v>4.4221395433805449E-4</v>
      </c>
      <c r="G36">
        <f t="shared" si="4"/>
        <v>62065.612919254629</v>
      </c>
      <c r="H36">
        <f t="shared" si="13"/>
        <v>5172.1344099999997</v>
      </c>
      <c r="I36">
        <f t="shared" si="15"/>
        <v>0.13440999999966152</v>
      </c>
      <c r="J36">
        <f t="shared" si="14"/>
        <v>7.4399226248234376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57" t="s">
        <v>256</v>
      </c>
      <c r="B37" s="76">
        <f>E$8*E37-B38-C50</f>
        <v>9.5621739130434716E-2</v>
      </c>
      <c r="C37" s="86">
        <f t="shared" si="2"/>
        <v>0</v>
      </c>
      <c r="D37" s="75">
        <f t="shared" si="12"/>
        <v>9.5621739130434716E-2</v>
      </c>
      <c r="E37">
        <f>COUNTIF(tables_433101!C:C,input_433101!A37)-COUNTIF(Q:Q,A37)</f>
        <v>5</v>
      </c>
      <c r="F37" s="43">
        <f t="shared" si="16"/>
        <v>1.9124347826086942E-2</v>
      </c>
      <c r="G37">
        <f t="shared" si="4"/>
        <v>1118391.8608695643</v>
      </c>
      <c r="H37">
        <f t="shared" si="13"/>
        <v>223678.37216999999</v>
      </c>
      <c r="I37">
        <f t="shared" si="15"/>
        <v>0.3721699999878183</v>
      </c>
      <c r="J37">
        <f t="shared" si="14"/>
        <v>2.6869441385193098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57" t="s">
        <v>257</v>
      </c>
      <c r="B38" s="70">
        <f>E38*E8*B7</f>
        <v>6.1695652173913047E-3</v>
      </c>
      <c r="C38" s="86">
        <f t="shared" si="2"/>
        <v>0</v>
      </c>
      <c r="D38" s="75">
        <f t="shared" si="12"/>
        <v>6.1695652173913047E-3</v>
      </c>
      <c r="E38">
        <f>COUNTIF(tables_433101!C:C,input_433101!A38)-COUNTIF(Q:Q,A38)</f>
        <v>5</v>
      </c>
      <c r="F38" s="43">
        <f t="shared" si="16"/>
        <v>1.233913043478261E-3</v>
      </c>
      <c r="G38">
        <f t="shared" si="4"/>
        <v>72159.234782608706</v>
      </c>
      <c r="H38">
        <f t="shared" si="13"/>
        <v>14431.846960000001</v>
      </c>
      <c r="I38">
        <f t="shared" si="15"/>
        <v>0.8469600000007631</v>
      </c>
      <c r="J38">
        <f t="shared" si="14"/>
        <v>1.180693303106521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57" t="s">
        <v>258</v>
      </c>
      <c r="B39" s="56">
        <f>E$8*E39*B$5</f>
        <v>1.2339130434782608E-2</v>
      </c>
      <c r="C39" s="86">
        <f t="shared" si="2"/>
        <v>0</v>
      </c>
      <c r="D39" s="75">
        <f t="shared" si="12"/>
        <v>1.2339130434782608E-2</v>
      </c>
      <c r="E39">
        <f>COUNTIF(tables_433101!C:C,input_433101!A39)-COUNTIF(Q:Q,A39)</f>
        <v>1</v>
      </c>
      <c r="F39" s="43">
        <f t="shared" si="16"/>
        <v>1.2339130434782608E-2</v>
      </c>
      <c r="G39">
        <f t="shared" si="4"/>
        <v>144318.46956521738</v>
      </c>
      <c r="H39">
        <f t="shared" si="13"/>
        <v>144318.46956999999</v>
      </c>
      <c r="I39">
        <f t="shared" si="15"/>
        <v>0.46956999998656102</v>
      </c>
      <c r="J39">
        <f t="shared" si="14"/>
        <v>2.1296079392393463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57" t="s">
        <v>259</v>
      </c>
      <c r="B40" s="56">
        <f>E$8*B$6*E40</f>
        <v>1.1105217391304347E-2</v>
      </c>
      <c r="C40" s="86">
        <f t="shared" si="2"/>
        <v>0</v>
      </c>
      <c r="D40" s="75">
        <f t="shared" si="12"/>
        <v>1.1105217391304347E-2</v>
      </c>
      <c r="E40">
        <f>COUNTIF(tables_433101!C:C,input_433101!A40)-COUNTIF(Q:Q,A40)</f>
        <v>1</v>
      </c>
      <c r="F40" s="43">
        <f t="shared" si="16"/>
        <v>1.1105217391304347E-2</v>
      </c>
      <c r="G40">
        <f t="shared" si="4"/>
        <v>129886.62260869564</v>
      </c>
      <c r="H40">
        <f t="shared" si="13"/>
        <v>129886.62261000001</v>
      </c>
      <c r="I40">
        <f t="shared" si="15"/>
        <v>0.6226100000058068</v>
      </c>
      <c r="J40">
        <f t="shared" si="14"/>
        <v>1.6061418865592803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57" t="s">
        <v>260</v>
      </c>
      <c r="B41" s="56">
        <f>E$8*B$7*E41</f>
        <v>1.2339130434782608E-3</v>
      </c>
      <c r="C41" s="86">
        <f t="shared" si="2"/>
        <v>0</v>
      </c>
      <c r="D41" s="75">
        <f t="shared" si="12"/>
        <v>1.2339130434782608E-3</v>
      </c>
      <c r="E41">
        <f>COUNTIF(tables_433101!C:C,input_433101!A41)-COUNTIF(Q:Q,A41)</f>
        <v>1</v>
      </c>
      <c r="F41" s="43">
        <f t="shared" si="16"/>
        <v>1.2339130434782608E-3</v>
      </c>
      <c r="G41">
        <f t="shared" si="4"/>
        <v>14431.846956521738</v>
      </c>
      <c r="H41">
        <f t="shared" si="13"/>
        <v>14431.846960000001</v>
      </c>
      <c r="I41">
        <f t="shared" si="15"/>
        <v>0.8469600000007631</v>
      </c>
      <c r="J41">
        <f t="shared" si="14"/>
        <v>1.180693303106521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57" t="s">
        <v>261</v>
      </c>
      <c r="B42" s="56">
        <f>E$6*E42*(B$5+B$6)</f>
        <v>1.6285714285714285E-2</v>
      </c>
      <c r="C42" s="86">
        <f t="shared" si="2"/>
        <v>0</v>
      </c>
      <c r="D42" s="75">
        <f t="shared" si="12"/>
        <v>1.6285714285714285E-2</v>
      </c>
      <c r="E42">
        <f>COUNTIF(tables_433101!C:C,input_433101!A42)-COUNTIF(Q:Q,A42)</f>
        <v>8</v>
      </c>
      <c r="F42" s="43">
        <f>IFERROR(B42/E42,0)</f>
        <v>2.0357142857142857E-3</v>
      </c>
      <c r="G42">
        <f t="shared" si="4"/>
        <v>190477.71428571429</v>
      </c>
      <c r="H42">
        <f t="shared" si="13"/>
        <v>23809.71429</v>
      </c>
      <c r="I42">
        <f t="shared" si="15"/>
        <v>0.71428999999989173</v>
      </c>
      <c r="J42">
        <f t="shared" si="14"/>
        <v>1.3999916000506119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57" t="s">
        <v>262</v>
      </c>
      <c r="B43" s="56">
        <f>E$6*E43*B$7</f>
        <v>8.5714285714285721E-4</v>
      </c>
      <c r="C43" s="86">
        <f t="shared" si="2"/>
        <v>0</v>
      </c>
      <c r="D43" s="75">
        <f t="shared" si="12"/>
        <v>8.5714285714285721E-4</v>
      </c>
      <c r="E43">
        <f>COUNTIF(tables_433101!C:C,input_433101!A43)-COUNTIF(Q:Q,A43)</f>
        <v>8</v>
      </c>
      <c r="F43" s="43">
        <f t="shared" ref="F43:F46" si="17">IFERROR(B43/E43,0)</f>
        <v>1.0714285714285715E-4</v>
      </c>
      <c r="G43">
        <f t="shared" si="4"/>
        <v>10025.142857142859</v>
      </c>
      <c r="H43">
        <f t="shared" si="13"/>
        <v>1253.1428599999999</v>
      </c>
      <c r="I43">
        <f t="shared" si="15"/>
        <v>0.14285999999992782</v>
      </c>
      <c r="J43">
        <f t="shared" si="14"/>
        <v>6.999860002803481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57" t="s">
        <v>263</v>
      </c>
      <c r="B44" s="56">
        <f>E$6*E44</f>
        <v>1.2857142857142859E-2</v>
      </c>
      <c r="C44" s="86">
        <f t="shared" si="2"/>
        <v>0</v>
      </c>
      <c r="D44" s="75">
        <f t="shared" si="12"/>
        <v>1.2857142857142859E-2</v>
      </c>
      <c r="E44">
        <f>COUNTIF(tables_433101!C:C,input_433101!A44)-COUNTIF(Q:Q,A44)</f>
        <v>6</v>
      </c>
      <c r="F44" s="43">
        <f t="shared" si="17"/>
        <v>2.142857142857143E-3</v>
      </c>
      <c r="G44">
        <f t="shared" si="4"/>
        <v>150377.14285714287</v>
      </c>
      <c r="H44">
        <f t="shared" si="13"/>
        <v>25062.85714</v>
      </c>
      <c r="I44">
        <f t="shared" si="15"/>
        <v>0.85714000000007218</v>
      </c>
      <c r="J44">
        <f t="shared" si="14"/>
        <v>1.1666705555684203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57" t="s">
        <v>264</v>
      </c>
      <c r="B45" s="56">
        <v>0</v>
      </c>
      <c r="C45" s="86">
        <f t="shared" si="2"/>
        <v>0</v>
      </c>
      <c r="D45" s="75">
        <f t="shared" ref="D45:D46" si="18">B45-C45</f>
        <v>0</v>
      </c>
      <c r="E45">
        <f>COUNTIF(tables_433101!C:C,input_433101!A45)-COUNTIF(Q:Q,A45)</f>
        <v>0</v>
      </c>
      <c r="F45" s="43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6">
        <f t="shared" si="2"/>
        <v>0</v>
      </c>
      <c r="D46" s="75">
        <f t="shared" si="18"/>
        <v>4.0000000000000001E-3</v>
      </c>
      <c r="E46">
        <f>COUNTIF(tables_433101!C:C,input_433101!A46)-COUNTIF(Q:Q,A46)</f>
        <v>1</v>
      </c>
      <c r="F46" s="43">
        <f t="shared" si="17"/>
        <v>4.0000000000000001E-3</v>
      </c>
      <c r="G46">
        <f t="shared" si="4"/>
        <v>46784</v>
      </c>
      <c r="H46">
        <f t="shared" si="19"/>
        <v>46784</v>
      </c>
      <c r="I46">
        <f t="shared" si="15"/>
        <v>0</v>
      </c>
      <c r="J46">
        <f t="shared" si="20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ref="D47" si="21">B47-C47</f>
        <v>1</v>
      </c>
      <c r="L47" s="57"/>
      <c r="M47" s="57"/>
      <c r="N47" s="57"/>
      <c r="O47" s="57"/>
      <c r="P47" s="57"/>
      <c r="Q47" s="57"/>
      <c r="R47" s="59"/>
    </row>
    <row r="48" spans="1:18" x14ac:dyDescent="0.15">
      <c r="E48" s="97"/>
      <c r="F48" s="105"/>
      <c r="G48" s="107"/>
    </row>
    <row r="49" spans="1:8" x14ac:dyDescent="0.15">
      <c r="B49" t="s">
        <v>53</v>
      </c>
      <c r="C49" s="92">
        <f>SUM(B32:B46)</f>
        <v>0.6</v>
      </c>
      <c r="E49" s="97">
        <f>G49*0.6</f>
        <v>9.5003890696824748E-3</v>
      </c>
      <c r="F49" s="107">
        <f>G49-E49</f>
        <v>6.3335927131216493E-3</v>
      </c>
      <c r="G49" s="108">
        <v>1.5833981782804124E-2</v>
      </c>
    </row>
    <row r="50" spans="1:8" x14ac:dyDescent="0.15">
      <c r="A50" t="s">
        <v>74</v>
      </c>
      <c r="C50" s="92">
        <v>2.1600000000000064E-2</v>
      </c>
      <c r="D50" s="96"/>
      <c r="E50" s="97"/>
      <c r="F50" s="105"/>
      <c r="G50" s="108"/>
      <c r="H50" s="103"/>
    </row>
    <row r="51" spans="1:8" x14ac:dyDescent="0.15">
      <c r="A51" s="31">
        <f>LCM(F5-I5,F7-I6)*1000*2*2</f>
        <v>11696000</v>
      </c>
      <c r="C51" s="92"/>
      <c r="D51" s="94"/>
      <c r="E51" s="97"/>
      <c r="F51" s="97"/>
      <c r="G51" s="102"/>
      <c r="H51" s="103"/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214</v>
      </c>
      <c r="G54" t="s">
        <v>64</v>
      </c>
      <c r="H54" s="104" t="s">
        <v>296</v>
      </c>
    </row>
    <row r="55" spans="1:8" x14ac:dyDescent="0.15">
      <c r="A55" s="33" t="s">
        <v>106</v>
      </c>
      <c r="B55">
        <f ca="1">SUMIF(tables_433101!C:C,input_433101!A55,tables_433101!O:O)</f>
        <v>1301695.9999999998</v>
      </c>
      <c r="C55" s="54">
        <f t="shared" ref="C55:C61" ca="1" si="22">B55/B$62</f>
        <v>0.52524339539808373</v>
      </c>
      <c r="E55">
        <v>3</v>
      </c>
      <c r="F55">
        <f ca="1">SUMIF(tables_433101!J:J,input_433101!E55,tables_433101!O:O)</f>
        <v>5848000.0000000065</v>
      </c>
      <c r="G55" s="95">
        <f ca="1">F55/A51</f>
        <v>0.50000000000000056</v>
      </c>
      <c r="H55" s="55">
        <f>B17+B19+B24+B32+B34+B39</f>
        <v>0.5</v>
      </c>
    </row>
    <row r="56" spans="1:8" x14ac:dyDescent="0.15">
      <c r="A56" s="33" t="s">
        <v>107</v>
      </c>
      <c r="B56">
        <f ca="1">SUMIF(tables_433101!C:C,input_433101!A56,tables_433101!O:O)</f>
        <v>1011684.1004</v>
      </c>
      <c r="C56" s="54">
        <f t="shared" ca="1" si="22"/>
        <v>0.40822157551713451</v>
      </c>
      <c r="E56">
        <v>4</v>
      </c>
      <c r="F56">
        <f ca="1">SUMIF(tables_433101!J:J,input_433101!E56,tables_433101!O:O)</f>
        <v>5263200.0001500025</v>
      </c>
      <c r="G56" s="95">
        <f ca="1">F56/A51</f>
        <v>0.45000000001282514</v>
      </c>
      <c r="H56" s="55">
        <f>B18+B20+B22+B25+B27+B30+B33+B35+B37+B40+B42+B45</f>
        <v>0.4499999999999999</v>
      </c>
    </row>
    <row r="57" spans="1:8" x14ac:dyDescent="0.15">
      <c r="A57" s="33" t="s">
        <v>112</v>
      </c>
      <c r="B57">
        <f ca="1">SUMIF(tables_433101!C:C,input_433101!A57,tables_433101!O:O)</f>
        <v>103360</v>
      </c>
      <c r="C57" s="54">
        <f t="shared" ca="1" si="22"/>
        <v>4.1706479353355884E-2</v>
      </c>
      <c r="E57">
        <v>5</v>
      </c>
      <c r="F57">
        <f ca="1">SUMIF(tables_433101!J:J,input_433101!E57,tables_433101!O:O)</f>
        <v>584799.99999999965</v>
      </c>
      <c r="G57" s="95">
        <f ca="1">F57/A51</f>
        <v>4.9999999999999968E-2</v>
      </c>
      <c r="H57" s="55">
        <f>B21+B23+B26+B28+B29+B31+B36+B38+B41+B43+B44+B46</f>
        <v>0.05</v>
      </c>
    </row>
    <row r="58" spans="1:8" x14ac:dyDescent="0.15">
      <c r="A58" s="33" t="s">
        <v>113</v>
      </c>
      <c r="B58">
        <f>SUMIF(tables_433101!C:C,input_433101!A58,tables_433101!O:O)</f>
        <v>0</v>
      </c>
      <c r="C58" s="54">
        <f t="shared" ca="1" si="22"/>
        <v>0</v>
      </c>
      <c r="F58" s="55"/>
    </row>
    <row r="59" spans="1:8" x14ac:dyDescent="0.15">
      <c r="A59" s="33" t="s">
        <v>108</v>
      </c>
      <c r="B59">
        <f ca="1">SUMIF(tables_433101!C:C,input_433101!A59,tables_433101!O:O)</f>
        <v>56091.899599999968</v>
      </c>
      <c r="C59" s="54">
        <f t="shared" ca="1" si="22"/>
        <v>2.2633471870722812E-2</v>
      </c>
      <c r="E59" t="s">
        <v>104</v>
      </c>
      <c r="F59" s="55"/>
    </row>
    <row r="60" spans="1:8" x14ac:dyDescent="0.15">
      <c r="A60" s="33" t="s">
        <v>114</v>
      </c>
      <c r="B60">
        <f ca="1">SUMIF(tables_433101!C:C,input_433101!A60,tables_433101!O:O)</f>
        <v>5440</v>
      </c>
      <c r="C60" s="54">
        <f t="shared" ca="1" si="22"/>
        <v>2.1950778607029413E-3</v>
      </c>
      <c r="E60" t="s">
        <v>210</v>
      </c>
      <c r="F60" s="55">
        <f ca="1">SUMIF(tables_433101!I:I,input_433101!E60,tables_433101!P:P)</f>
        <v>0.22686189257916961</v>
      </c>
    </row>
    <row r="61" spans="1:8" x14ac:dyDescent="0.15">
      <c r="A61" s="33" t="s">
        <v>115</v>
      </c>
      <c r="B61">
        <f>SUMIF(tables_433101!C:C,input_433101!A61,tables_433101!O:O)</f>
        <v>0</v>
      </c>
      <c r="C61" s="54">
        <f t="shared" ca="1" si="22"/>
        <v>0</v>
      </c>
      <c r="E61" t="s">
        <v>211</v>
      </c>
      <c r="F61" s="55">
        <f ca="1">SUMIF(tables_433101!I:I,input_433101!E61,tables_433101!P:P)</f>
        <v>0.20036189258463963</v>
      </c>
    </row>
    <row r="62" spans="1:8" x14ac:dyDescent="0.15">
      <c r="A62" s="39" t="s">
        <v>60</v>
      </c>
      <c r="B62">
        <f ca="1">SUM(B55:B61)</f>
        <v>2478272</v>
      </c>
      <c r="C62" s="55">
        <f ca="1">SUM(C55:C61)</f>
        <v>1</v>
      </c>
      <c r="E62" t="s">
        <v>212</v>
      </c>
      <c r="F62" s="55">
        <f ca="1">SUMIF(tables_433101!I:I,input_433101!E62,tables_433101!P:P)</f>
        <v>0.5187762148334627</v>
      </c>
    </row>
    <row r="63" spans="1:8" x14ac:dyDescent="0.15">
      <c r="E63" t="s">
        <v>213</v>
      </c>
      <c r="F63" s="98">
        <f ca="1">SUMIF(tables_433101!I:I,input_433101!E63,tables_433101!P:P)</f>
        <v>4.6461794023001907E-2</v>
      </c>
    </row>
    <row r="64" spans="1:8" x14ac:dyDescent="0.15">
      <c r="E64" t="s">
        <v>279</v>
      </c>
      <c r="F64" s="98">
        <f ca="1">SUMIF(tables_433101!I:I,input_433101!E64,tables_433101!P:P)</f>
        <v>3.5382059797767823E-3</v>
      </c>
    </row>
    <row r="65" spans="5:6" x14ac:dyDescent="0.15">
      <c r="E65" t="s">
        <v>278</v>
      </c>
      <c r="F65" s="98">
        <f ca="1">SUMIF(tables_433101!I:I,input_433101!E65,tables_433101!P:P)</f>
        <v>3.9999999999486982E-3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15" activePane="bottomLeft" state="frozen"/>
      <selection activeCell="H10" sqref="H10"/>
      <selection pane="bottomLeft" activeCell="O46" sqref="O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input_433101!A$2</f>
        <v>433101</v>
      </c>
      <c r="B2" s="6">
        <v>127</v>
      </c>
      <c r="C2" s="7" t="str">
        <f t="shared" ref="C2:C65" si="0">D2&amp;J2&amp;E2&amp;F2&amp;G2</f>
        <v>PremiumW4color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IFERROR(VLOOKUP(B2,input_433101!L:R,7,FALSE),VLOOKUP(tables_433101!C2,input_433101!A:H,8,FALSE))</f>
        <v>8888.9599999999991</v>
      </c>
      <c r="P2" s="46">
        <f t="shared" ref="P2:P65" ca="1" si="1">O2/SUM(O:O)</f>
        <v>7.5999999999025263E-4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input_433101!A$2</f>
        <v>433101</v>
      </c>
      <c r="B3" s="6">
        <v>128</v>
      </c>
      <c r="C3" s="7" t="str">
        <f t="shared" si="0"/>
        <v>PremiumW3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/>
      </c>
      <c r="H3" s="7" t="str">
        <f>VLOOKUP(B3,[1]characters!$A:$C,3,FALSE)</f>
        <v>野生児 アマラ</v>
      </c>
      <c r="I3" s="7" t="str">
        <f>VLOOKUP(B3,[1]characters!$A:$J,10,FALSE)</f>
        <v>PremiumW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IFERROR(VLOOKUP(B3,input_433101!L:R,7,FALSE),VLOOKUP(tables_433101!C3,input_433101!A:H,8,FALSE))</f>
        <v>62658.453329999997</v>
      </c>
      <c r="P3" s="46">
        <f t="shared" ca="1" si="1"/>
        <v>5.3572549016070769E-3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input_433101!A$2</f>
        <v>433101</v>
      </c>
      <c r="B4" s="6">
        <v>129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孤高の狼憑き アマラ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IFERROR(VLOOKUP(B4,input_433101!L:R,7,FALSE),VLOOKUP(tables_433101!C4,input_433101!A:H,8,FALSE))</f>
        <v>2426.3466699999999</v>
      </c>
      <c r="P4" s="46">
        <f t="shared" ca="1" si="1"/>
        <v>2.0745098067449392E-4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input_433101!A$2</f>
        <v>433101</v>
      </c>
      <c r="B5" s="6">
        <v>130</v>
      </c>
      <c r="C5" s="7" t="str">
        <f t="shared" si="0"/>
        <v>PremiumW3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狼男 ローレンス</v>
      </c>
      <c r="I5" s="7" t="str">
        <f>VLOOKUP(B5,[1]characters!$A:$J,10,FALSE)</f>
        <v>PremiumW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f ca="1">IFERROR(VLOOKUP(B5,input_433101!L:R,7,FALSE),VLOOKUP(tables_433101!C5,input_433101!A:H,8,FALSE))</f>
        <v>62658.453329999997</v>
      </c>
      <c r="P5" s="46">
        <f t="shared" ca="1" si="1"/>
        <v>5.3572549016070769E-3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input_433101!A$2</f>
        <v>433101</v>
      </c>
      <c r="B6" s="6">
        <v>131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月下の人狼 ローレンス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IFERROR(VLOOKUP(B6,input_433101!L:R,7,FALSE),VLOOKUP(tables_433101!C6,input_433101!A:H,8,FALSE))</f>
        <v>2426.3466699999999</v>
      </c>
      <c r="P6" s="46">
        <f t="shared" ca="1" si="1"/>
        <v>2.0745098067449392E-4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input_433101!A$2</f>
        <v>433101</v>
      </c>
      <c r="B7" s="6">
        <v>132</v>
      </c>
      <c r="C7" s="7" t="str">
        <f t="shared" si="0"/>
        <v>PremiumW3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鳥人ハヤト</v>
      </c>
      <c r="I7" s="7" t="str">
        <f>VLOOKUP(B7,[1]characters!$A:$J,10,FALSE)</f>
        <v>PremiumW</v>
      </c>
      <c r="J7" s="7">
        <f>VLOOKUP(B7,[1]characters!$A:$I,9,FALSE)</f>
        <v>3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f ca="1">IFERROR(VLOOKUP(B7,input_433101!L:R,7,FALSE),VLOOKUP(tables_433101!C7,input_433101!A:H,8,FALSE))</f>
        <v>62658.453329999997</v>
      </c>
      <c r="P7" s="46">
        <f t="shared" ca="1" si="1"/>
        <v>5.3572549016070769E-3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input_433101!A$2</f>
        <v>433101</v>
      </c>
      <c r="B8" s="6">
        <v>133</v>
      </c>
      <c r="C8" s="7" t="str">
        <f t="shared" si="0"/>
        <v>PremiumW4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迅雷の刀剣 ハヤト</v>
      </c>
      <c r="I8" s="7" t="str">
        <f>VLOOKUP(B8,[1]characters!$A:$J,10,FALSE)</f>
        <v>PremiumW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IFERROR(VLOOKUP(B8,input_433101!L:R,7,FALSE),VLOOKUP(tables_433101!C8,input_433101!A:H,8,FALSE))</f>
        <v>2426.3466699999999</v>
      </c>
      <c r="P8" s="46">
        <f t="shared" ca="1" si="1"/>
        <v>2.0745098067449392E-4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input_433101!A$2</f>
        <v>433101</v>
      </c>
      <c r="B9" s="6">
        <v>134</v>
      </c>
      <c r="C9" s="7" t="str">
        <f t="shared" si="0"/>
        <v>PremiumW3color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妖炎の夕霧</v>
      </c>
      <c r="I9" s="7" t="str">
        <f>VLOOKUP(B9,[1]characters!$A:$J,10,FALSE)</f>
        <v>PremiumW</v>
      </c>
      <c r="J9" s="7">
        <f>VLOOKUP(B9,[1]characters!$A:$I,9,FALSE)</f>
        <v>3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ca="1">IFERROR(VLOOKUP(B9,input_433101!L:R,7,FALSE),VLOOKUP(tables_433101!C9,input_433101!A:H,8,FALSE))</f>
        <v>408164.97391</v>
      </c>
      <c r="P9" s="46">
        <f t="shared" ca="1" si="1"/>
        <v>3.4897826086248723E-2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input_433101!A$2</f>
        <v>433101</v>
      </c>
      <c r="B10" s="6">
        <v>135</v>
      </c>
      <c r="C10" s="7" t="str">
        <f t="shared" si="0"/>
        <v>PremiumW4color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京の炎華夕霧</v>
      </c>
      <c r="I10" s="7" t="str">
        <f>VLOOKUP(B10,[1]characters!$A:$J,10,FALSE)</f>
        <v>PremiumW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IFERROR(VLOOKUP(B10,input_433101!L:R,7,FALSE),VLOOKUP(tables_433101!C10,input_433101!A:H,8,FALSE))</f>
        <v>8888.9599999999991</v>
      </c>
      <c r="P10" s="46">
        <f t="shared" ca="1" si="1"/>
        <v>7.5999999999025263E-4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input_433101!A$2</f>
        <v>433101</v>
      </c>
      <c r="B11" s="8">
        <v>136</v>
      </c>
      <c r="C11" s="7" t="str">
        <f t="shared" si="0"/>
        <v>PremiumW3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お針子チハヤ</v>
      </c>
      <c r="I11" s="7" t="str">
        <f>VLOOKUP(B11,[1]characters!$A:$J,10,FALSE)</f>
        <v>PremiumW</v>
      </c>
      <c r="J11" s="7">
        <f>VLOOKUP(B11,[1]characters!$A:$I,9,FALSE)</f>
        <v>3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IFERROR(VLOOKUP(B11,input_433101!L:R,7,FALSE),VLOOKUP(tables_433101!C11,input_433101!A:H,8,FALSE))</f>
        <v>62658.453329999997</v>
      </c>
      <c r="P11" s="46">
        <f t="shared" ca="1" si="1"/>
        <v>5.3572549016070769E-3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input_433101!A$2</f>
        <v>433101</v>
      </c>
      <c r="B12" s="8">
        <v>137</v>
      </c>
      <c r="C12" s="7" t="str">
        <f t="shared" si="0"/>
        <v>PremiumW4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清福の仕立屋 チハヤ</v>
      </c>
      <c r="I12" s="7" t="str">
        <f>VLOOKUP(B12,[1]characters!$A:$J,10,FALSE)</f>
        <v>PremiumW</v>
      </c>
      <c r="J12" s="7">
        <f>VLOOKUP(B12,[1]characters!$A:$I,9,FALSE)</f>
        <v>4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IFERROR(VLOOKUP(B12,input_433101!L:R,7,FALSE),VLOOKUP(tables_433101!C12,input_433101!A:H,8,FALSE))</f>
        <v>2426.3466699999999</v>
      </c>
      <c r="P12" s="46">
        <f t="shared" ca="1" si="1"/>
        <v>2.0745098067449392E-4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input_433101!A$2</f>
        <v>433101</v>
      </c>
      <c r="B13" s="6">
        <v>138</v>
      </c>
      <c r="C13" s="7" t="str">
        <f t="shared" si="0"/>
        <v>PremiumW3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蒼薙のトモエ</v>
      </c>
      <c r="I13" s="7" t="str">
        <f>VLOOKUP(B13,[1]characters!$A:$J,10,FALSE)</f>
        <v>PremiumW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IFERROR(VLOOKUP(B13,input_433101!L:R,7,FALSE),VLOOKUP(tables_433101!C13,input_433101!A:H,8,FALSE))</f>
        <v>62658.453329999997</v>
      </c>
      <c r="P13" s="46">
        <f t="shared" ca="1" si="1"/>
        <v>5.3572549016070769E-3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input_433101!A$2</f>
        <v>433101</v>
      </c>
      <c r="B14" s="6">
        <v>139</v>
      </c>
      <c r="C14" s="7" t="str">
        <f t="shared" si="0"/>
        <v>PremiumW4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蒼昇刃姫 トモエ</v>
      </c>
      <c r="I14" s="7" t="str">
        <f>VLOOKUP(B14,[1]characters!$A:$J,10,FALSE)</f>
        <v>PremiumW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IFERROR(VLOOKUP(B14,input_433101!L:R,7,FALSE),VLOOKUP(tables_433101!C14,input_433101!A:H,8,FALSE))</f>
        <v>2426.3466699999999</v>
      </c>
      <c r="P14" s="46">
        <f t="shared" ca="1" si="1"/>
        <v>2.0745098067449392E-4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input_433101!A$2</f>
        <v>433101</v>
      </c>
      <c r="B15" s="10">
        <v>140</v>
      </c>
      <c r="C15" s="7" t="str">
        <f t="shared" si="0"/>
        <v>PremiumW3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秋祭のタマモ</v>
      </c>
      <c r="I15" s="7" t="str">
        <f>VLOOKUP(B15,[1]characters!$A:$J,10,FALSE)</f>
        <v>PremiumW</v>
      </c>
      <c r="J15" s="7">
        <f>VLOOKUP(B15,[1]characters!$A:$I,9,FALSE)</f>
        <v>3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ca="1">IFERROR(VLOOKUP(B15,input_433101!L:R,7,FALSE),VLOOKUP(tables_433101!C15,input_433101!A:H,8,FALSE))</f>
        <v>62658.453329999997</v>
      </c>
      <c r="P15" s="46">
        <f t="shared" ca="1" si="1"/>
        <v>5.3572549016070769E-3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input_433101!A$2</f>
        <v>433101</v>
      </c>
      <c r="B16" s="11">
        <v>141</v>
      </c>
      <c r="C16" s="7" t="str">
        <f t="shared" si="0"/>
        <v>PremiumW4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妖狐演舞 タマモ</v>
      </c>
      <c r="I16" s="7" t="str">
        <f>VLOOKUP(B16,[1]characters!$A:$J,10,FALSE)</f>
        <v>PremiumW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IFERROR(VLOOKUP(B16,input_433101!L:R,7,FALSE),VLOOKUP(tables_433101!C16,input_433101!A:H,8,FALSE))</f>
        <v>2426.3466699999999</v>
      </c>
      <c r="P16" s="46">
        <f t="shared" ca="1" si="1"/>
        <v>2.0745098067449392E-4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input_433101!A$2</f>
        <v>433101</v>
      </c>
      <c r="B17" s="6">
        <v>142</v>
      </c>
      <c r="C17" s="7" t="str">
        <f t="shared" si="0"/>
        <v>PremiumW3color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赤ずきん</v>
      </c>
      <c r="I17" s="7" t="str">
        <f>VLOOKUP(B17,[1]characters!$A:$J,10,FALSE)</f>
        <v>PremiumW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IFERROR(VLOOKUP(B17,input_433101!L:R,7,FALSE),VLOOKUP(tables_433101!C17,input_433101!A:H,8,FALSE))</f>
        <v>408164.97391</v>
      </c>
      <c r="P17" s="46">
        <f t="shared" ca="1" si="1"/>
        <v>3.4897826086248723E-2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input_433101!A$2</f>
        <v>433101</v>
      </c>
      <c r="B18" s="6">
        <v>143</v>
      </c>
      <c r="C18" s="7" t="str">
        <f t="shared" si="0"/>
        <v>PremiumW4color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深紅の死神 赤ずきん</v>
      </c>
      <c r="I18" s="7" t="str">
        <f>VLOOKUP(B18,[1]characters!$A:$J,10,FALSE)</f>
        <v>PremiumW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IFERROR(VLOOKUP(B18,input_433101!L:R,7,FALSE),VLOOKUP(tables_433101!C18,input_433101!A:H,8,FALSE))</f>
        <v>8888.9599999999991</v>
      </c>
      <c r="P18" s="46">
        <f t="shared" ca="1" si="1"/>
        <v>7.5999999999025263E-4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input_433101!A$2</f>
        <v>433101</v>
      </c>
      <c r="B19" s="10">
        <v>144</v>
      </c>
      <c r="C19" s="7" t="str">
        <f t="shared" si="0"/>
        <v>PremiumW3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かぐや</v>
      </c>
      <c r="I19" s="7" t="str">
        <f>VLOOKUP(B19,[1]characters!$A:$J,10,FALSE)</f>
        <v>PremiumW</v>
      </c>
      <c r="J19" s="7">
        <f>VLOOKUP(B19,[1]characters!$A:$I,9,FALSE)</f>
        <v>3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IFERROR(VLOOKUP(B19,input_433101!L:R,7,FALSE),VLOOKUP(tables_433101!C19,input_433101!A:H,8,FALSE))</f>
        <v>62658.453329999997</v>
      </c>
      <c r="P19" s="46">
        <f t="shared" ca="1" si="1"/>
        <v>5.3572549016070769E-3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input_433101!A$2</f>
        <v>433101</v>
      </c>
      <c r="B20" s="6">
        <v>145</v>
      </c>
      <c r="C20" s="7" t="str">
        <f t="shared" si="0"/>
        <v>PremiumW4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魔性妖艶 かぐや</v>
      </c>
      <c r="I20" s="7" t="str">
        <f>VLOOKUP(B20,[1]characters!$A:$J,10,FALSE)</f>
        <v>PremiumW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IFERROR(VLOOKUP(B20,input_433101!L:R,7,FALSE),VLOOKUP(tables_433101!C20,input_433101!A:H,8,FALSE))</f>
        <v>2426.3466699999999</v>
      </c>
      <c r="P20" s="46">
        <f t="shared" ca="1" si="1"/>
        <v>2.0745098067449392E-4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input_433101!A$2</f>
        <v>433101</v>
      </c>
      <c r="B21" s="6">
        <v>146</v>
      </c>
      <c r="C21" s="7" t="str">
        <f t="shared" si="0"/>
        <v>PremiumW3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マーメイド</v>
      </c>
      <c r="I21" s="7" t="str">
        <f>VLOOKUP(B21,[1]characters!$A:$J,10,FALSE)</f>
        <v>PremiumW</v>
      </c>
      <c r="J21" s="7">
        <f>VLOOKUP(B21,[1]characters!$A:$I,9,FALSE)</f>
        <v>3</v>
      </c>
      <c r="K21" s="7" t="str">
        <f>VLOOKUP(B21,[1]characters!$A:$H,8,FALSE)</f>
        <v>blue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IFERROR(VLOOKUP(B21,input_433101!L:R,7,FALSE),VLOOKUP(tables_433101!C21,input_433101!A:H,8,FALSE))</f>
        <v>62658.453329999997</v>
      </c>
      <c r="P21" s="46">
        <f t="shared" ca="1" si="1"/>
        <v>5.3572549016070769E-3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input_433101!A$2</f>
        <v>433101</v>
      </c>
      <c r="B22" s="6">
        <v>147</v>
      </c>
      <c r="C22" s="7" t="str">
        <f t="shared" si="0"/>
        <v>PremiumW4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蒼き閃光 元マーメイド</v>
      </c>
      <c r="I22" s="7" t="str">
        <f>VLOOKUP(B22,[1]characters!$A:$J,10,FALSE)</f>
        <v>PremiumW</v>
      </c>
      <c r="J22" s="7">
        <f>VLOOKUP(B22,[1]characters!$A:$I,9,FALSE)</f>
        <v>4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IFERROR(VLOOKUP(B22,input_433101!L:R,7,FALSE),VLOOKUP(tables_433101!C22,input_433101!A:H,8,FALSE))</f>
        <v>2426.3466699999999</v>
      </c>
      <c r="P22" s="46">
        <f t="shared" ca="1" si="1"/>
        <v>2.0745098067449392E-4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input_433101!A$2</f>
        <v>433101</v>
      </c>
      <c r="B23" s="6">
        <v>148</v>
      </c>
      <c r="C23" s="7" t="str">
        <f t="shared" si="0"/>
        <v>PremiumW3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シンデレラ</v>
      </c>
      <c r="I23" s="7" t="str">
        <f>VLOOKUP(B23,[1]characters!$A:$J,10,FALSE)</f>
        <v>PremiumW</v>
      </c>
      <c r="J23" s="7">
        <f>VLOOKUP(B23,[1]characters!$A:$I,9,FALSE)</f>
        <v>3</v>
      </c>
      <c r="K23" s="7" t="str">
        <f>VLOOKUP(B23,[1]characters!$A:$H,8,FALSE)</f>
        <v>yellow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IFERROR(VLOOKUP(B23,input_433101!L:R,7,FALSE),VLOOKUP(tables_433101!C23,input_433101!A:H,8,FALSE))</f>
        <v>62658.453329999997</v>
      </c>
      <c r="P23" s="46">
        <f t="shared" ca="1" si="1"/>
        <v>5.3572549016070769E-3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input_433101!A$2</f>
        <v>433101</v>
      </c>
      <c r="B24" s="6">
        <v>149</v>
      </c>
      <c r="C24" s="7" t="str">
        <f t="shared" si="0"/>
        <v>PremiumW4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雷撃蹴技を極めし者 シンデレラ</v>
      </c>
      <c r="I24" s="7" t="str">
        <f>VLOOKUP(B24,[1]characters!$A:$J,10,FALSE)</f>
        <v>PremiumW</v>
      </c>
      <c r="J24" s="7">
        <f>VLOOKUP(B24,[1]characters!$A:$I,9,FALSE)</f>
        <v>4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IFERROR(VLOOKUP(B24,input_433101!L:R,7,FALSE),VLOOKUP(tables_433101!C24,input_433101!A:H,8,FALSE))</f>
        <v>2426.3466699999999</v>
      </c>
      <c r="P24" s="46">
        <f t="shared" ca="1" si="1"/>
        <v>2.0745098067449392E-4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input_433101!A$2</f>
        <v>433101</v>
      </c>
      <c r="B25" s="6">
        <v>150</v>
      </c>
      <c r="C25" s="7" t="str">
        <f t="shared" si="0"/>
        <v>PremiumW3color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ポイズンマスターサキ</v>
      </c>
      <c r="I25" s="7" t="str">
        <f>VLOOKUP(B25,[1]characters!$A:$J,10,FALSE)</f>
        <v>PremiumW</v>
      </c>
      <c r="J25" s="7">
        <f>VLOOKUP(B25,[1]characters!$A:$I,9,FALSE)</f>
        <v>3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IFERROR(VLOOKUP(B25,input_433101!L:R,7,FALSE),VLOOKUP(tables_433101!C25,input_433101!A:H,8,FALSE))</f>
        <v>408164.97391</v>
      </c>
      <c r="P25" s="46">
        <f t="shared" ca="1" si="1"/>
        <v>3.4897826086248723E-2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input_433101!A$2</f>
        <v>433101</v>
      </c>
      <c r="B26" s="6">
        <v>151</v>
      </c>
      <c r="C26" s="7" t="str">
        <f t="shared" si="0"/>
        <v>PremiumW4color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毒煙の処刑人サキ</v>
      </c>
      <c r="I26" s="7" t="str">
        <f>VLOOKUP(B26,[1]characters!$A:$J,10,FALSE)</f>
        <v>PremiumW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IFERROR(VLOOKUP(B26,input_433101!L:R,7,FALSE),VLOOKUP(tables_433101!C26,input_433101!A:H,8,FALSE))</f>
        <v>8888.9599999999991</v>
      </c>
      <c r="P26" s="46">
        <f t="shared" ca="1" si="1"/>
        <v>7.5999999999025263E-4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input_433101!A$2</f>
        <v>433101</v>
      </c>
      <c r="B27" s="6">
        <v>152</v>
      </c>
      <c r="C27" s="7" t="str">
        <f t="shared" si="0"/>
        <v>PremiumW3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功夫少女ランラン</v>
      </c>
      <c r="I27" s="7" t="str">
        <f>VLOOKUP(B27,[1]characters!$A:$J,10,FALSE)</f>
        <v>PremiumW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IFERROR(VLOOKUP(B27,input_433101!L:R,7,FALSE),VLOOKUP(tables_433101!C27,input_433101!A:H,8,FALSE))</f>
        <v>62658.453329999997</v>
      </c>
      <c r="P27" s="46">
        <f t="shared" ca="1" si="1"/>
        <v>5.3572549016070769E-3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input_433101!A$2</f>
        <v>433101</v>
      </c>
      <c r="B28" s="6">
        <v>153</v>
      </c>
      <c r="C28" s="7" t="str">
        <f t="shared" si="0"/>
        <v>PremiumW4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拳聖ランラン</v>
      </c>
      <c r="I28" s="7" t="str">
        <f>VLOOKUP(B28,[1]characters!$A:$J,10,FALSE)</f>
        <v>PremiumW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IFERROR(VLOOKUP(B28,input_433101!L:R,7,FALSE),VLOOKUP(tables_433101!C28,input_433101!A:H,8,FALSE))</f>
        <v>2426.3466699999999</v>
      </c>
      <c r="P28" s="46">
        <f t="shared" ca="1" si="1"/>
        <v>2.0745098067449392E-4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input_433101!A$2</f>
        <v>433101</v>
      </c>
      <c r="B29" s="6">
        <v>154</v>
      </c>
      <c r="C29" s="7" t="str">
        <f t="shared" si="0"/>
        <v>PremiumW3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始末屋 ハンナ</v>
      </c>
      <c r="I29" s="7" t="str">
        <f>VLOOKUP(B29,[1]characters!$A:$J,10,FALSE)</f>
        <v>PremiumW</v>
      </c>
      <c r="J29" s="7">
        <f>VLOOKUP(B29,[1]characters!$A:$I,9,FALSE)</f>
        <v>3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IFERROR(VLOOKUP(B29,input_433101!L:R,7,FALSE),VLOOKUP(tables_433101!C29,input_433101!A:H,8,FALSE))</f>
        <v>62658.453329999997</v>
      </c>
      <c r="P29" s="46">
        <f t="shared" ca="1" si="1"/>
        <v>5.3572549016070769E-3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input_433101!A$2</f>
        <v>433101</v>
      </c>
      <c r="B30" s="6">
        <v>155</v>
      </c>
      <c r="C30" s="7" t="str">
        <f t="shared" si="0"/>
        <v>PremiumW4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隻眼の掃除屋 ハンナ</v>
      </c>
      <c r="I30" s="7" t="str">
        <f>VLOOKUP(B30,[1]characters!$A:$J,10,FALSE)</f>
        <v>PremiumW</v>
      </c>
      <c r="J30" s="7">
        <f>VLOOKUP(B30,[1]characters!$A:$I,9,FALSE)</f>
        <v>4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IFERROR(VLOOKUP(B30,input_433101!L:R,7,FALSE),VLOOKUP(tables_433101!C30,input_433101!A:H,8,FALSE))</f>
        <v>2426.3466699999999</v>
      </c>
      <c r="P30" s="46">
        <f t="shared" ca="1" si="1"/>
        <v>2.0745098067449392E-4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input_433101!A$2</f>
        <v>433101</v>
      </c>
      <c r="B31" s="6">
        <v>156</v>
      </c>
      <c r="C31" s="7" t="str">
        <f t="shared" si="0"/>
        <v>PremiumW3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踊り子 エレナ</v>
      </c>
      <c r="I31" s="7" t="str">
        <f>VLOOKUP(B31,[1]characters!$A:$J,10,FALSE)</f>
        <v>PremiumW</v>
      </c>
      <c r="J31" s="7">
        <f>VLOOKUP(B31,[1]characters!$A:$I,9,FALSE)</f>
        <v>3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IFERROR(VLOOKUP(B31,input_433101!L:R,7,FALSE),VLOOKUP(tables_433101!C31,input_433101!A:H,8,FALSE))</f>
        <v>62658.453329999997</v>
      </c>
      <c r="P31" s="46">
        <f t="shared" ca="1" si="1"/>
        <v>5.3572549016070769E-3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input_433101!A$2</f>
        <v>433101</v>
      </c>
      <c r="B32" s="6">
        <v>157</v>
      </c>
      <c r="C32" s="7" t="str">
        <f t="shared" si="0"/>
        <v>PremiumW4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雷光舞姫 エレナ</v>
      </c>
      <c r="I32" s="7" t="str">
        <f>VLOOKUP(B32,[1]characters!$A:$J,10,FALSE)</f>
        <v>PremiumW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IFERROR(VLOOKUP(B32,input_433101!L:R,7,FALSE),VLOOKUP(tables_433101!C32,input_433101!A:H,8,FALSE))</f>
        <v>2426.3466699999999</v>
      </c>
      <c r="P32" s="46">
        <f t="shared" ca="1" si="1"/>
        <v>2.0745098067449392E-4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input_433101!A$2</f>
        <v>433101</v>
      </c>
      <c r="B33" s="6">
        <v>158</v>
      </c>
      <c r="C33" s="7" t="str">
        <f t="shared" si="0"/>
        <v>PremiumW3color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>color</v>
      </c>
      <c r="H33" s="7" t="str">
        <f>VLOOKUP(B33,[1]characters!$A:$C,3,FALSE)</f>
        <v>シスター シャルロッテ</v>
      </c>
      <c r="I33" s="7" t="str">
        <f>VLOOKUP(B33,[1]characters!$A:$J,10,FALSE)</f>
        <v>PremiumW</v>
      </c>
      <c r="J33" s="7">
        <f>VLOOKUP(B33,[1]characters!$A:$I,9,FALSE)</f>
        <v>3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IFERROR(VLOOKUP(B33,input_433101!L:R,7,FALSE),VLOOKUP(tables_433101!C33,input_433101!A:H,8,FALSE))</f>
        <v>408164.97391</v>
      </c>
      <c r="P33" s="46">
        <f t="shared" ca="1" si="1"/>
        <v>3.4897826086248723E-2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input_433101!A$2</f>
        <v>433101</v>
      </c>
      <c r="B34" s="6">
        <v>159</v>
      </c>
      <c r="C34" s="7" t="str">
        <f t="shared" si="0"/>
        <v>PremiumW4color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邪を狩りし者 シャルロッテ</v>
      </c>
      <c r="I34" s="7" t="str">
        <f>VLOOKUP(B34,[1]characters!$A:$J,10,FALSE)</f>
        <v>PremiumW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IFERROR(VLOOKUP(B34,input_433101!L:R,7,FALSE),VLOOKUP(tables_433101!C34,input_433101!A:H,8,FALSE))</f>
        <v>8888.9599999999991</v>
      </c>
      <c r="P34" s="46">
        <f t="shared" ca="1" si="1"/>
        <v>7.5999999999025263E-4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input_433101!A$2</f>
        <v>433101</v>
      </c>
      <c r="B35" s="6">
        <v>160</v>
      </c>
      <c r="C35" s="7" t="str">
        <f t="shared" si="0"/>
        <v>PremiumW3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反逆者 クリエ</v>
      </c>
      <c r="I35" s="7" t="str">
        <f>VLOOKUP(B35,[1]characters!$A:$J,10,FALSE)</f>
        <v>PremiumW</v>
      </c>
      <c r="J35" s="7">
        <f>VLOOKUP(B35,[1]characters!$A:$I,9,FALSE)</f>
        <v>3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IFERROR(VLOOKUP(B35,input_433101!L:R,7,FALSE),VLOOKUP(tables_433101!C35,input_433101!A:H,8,FALSE))</f>
        <v>62658.453329999997</v>
      </c>
      <c r="P35" s="46">
        <f t="shared" ca="1" si="1"/>
        <v>5.3572549016070769E-3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input_433101!A$2</f>
        <v>433101</v>
      </c>
      <c r="B36" s="6">
        <v>161</v>
      </c>
      <c r="C36" s="7" t="str">
        <f t="shared" si="0"/>
        <v>PremiumW4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咆哮の先導者 クリエ</v>
      </c>
      <c r="I36" s="7" t="str">
        <f>VLOOKUP(B36,[1]characters!$A:$J,10,FALSE)</f>
        <v>PremiumW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IFERROR(VLOOKUP(B36,input_433101!L:R,7,FALSE),VLOOKUP(tables_433101!C36,input_433101!A:H,8,FALSE))</f>
        <v>2426.3466699999999</v>
      </c>
      <c r="P36" s="46">
        <f t="shared" ca="1" si="1"/>
        <v>2.0745098067449392E-4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input_433101!A$2</f>
        <v>433101</v>
      </c>
      <c r="B37" s="6">
        <v>162</v>
      </c>
      <c r="C37" s="7" t="str">
        <f t="shared" si="0"/>
        <v>PremiumW3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狂女 クララ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IFERROR(VLOOKUP(B37,input_433101!L:R,7,FALSE),VLOOKUP(tables_433101!C37,input_433101!A:H,8,FALSE))</f>
        <v>62658.453329999997</v>
      </c>
      <c r="P37" s="46">
        <f t="shared" ca="1" si="1"/>
        <v>5.3572549016070769E-3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input_433101!A$2</f>
        <v>433101</v>
      </c>
      <c r="B38" s="6">
        <v>163</v>
      </c>
      <c r="C38" s="7" t="str">
        <f t="shared" si="0"/>
        <v>PremiumW4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冷酷な狂嬢 クララ</v>
      </c>
      <c r="I38" s="7" t="str">
        <f>VLOOKUP(B38,[1]characters!$A:$J,10,FALSE)</f>
        <v>PremiumW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IFERROR(VLOOKUP(B38,input_433101!L:R,7,FALSE),VLOOKUP(tables_433101!C38,input_433101!A:H,8,FALSE))</f>
        <v>2426.3466699999999</v>
      </c>
      <c r="P38" s="46">
        <f t="shared" ca="1" si="1"/>
        <v>2.0745098067449392E-4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input_433101!A$2</f>
        <v>433101</v>
      </c>
      <c r="B39" s="6">
        <v>164</v>
      </c>
      <c r="C39" s="7" t="str">
        <f t="shared" si="0"/>
        <v>PremiumW3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イブとトモダチ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yellow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IFERROR(VLOOKUP(B39,input_433101!L:R,7,FALSE),VLOOKUP(tables_433101!C39,input_433101!A:H,8,FALSE))</f>
        <v>62658.453329999997</v>
      </c>
      <c r="P39" s="46">
        <f t="shared" ca="1" si="1"/>
        <v>5.3572549016070769E-3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input_433101!A$2</f>
        <v>433101</v>
      </c>
      <c r="B40" s="6">
        <v>165</v>
      </c>
      <c r="C40" s="7" t="str">
        <f t="shared" si="0"/>
        <v>PremiumW4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イブとたったひとりのトモダチ</v>
      </c>
      <c r="I40" s="7" t="str">
        <f>VLOOKUP(B40,[1]characters!$A:$J,10,FALSE)</f>
        <v>PremiumW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IFERROR(VLOOKUP(B40,input_433101!L:R,7,FALSE),VLOOKUP(tables_433101!C40,input_433101!A:H,8,FALSE))</f>
        <v>2426.3466699999999</v>
      </c>
      <c r="P40" s="46">
        <f t="shared" ca="1" si="1"/>
        <v>2.0745098067449392E-4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input_433101!A$2</f>
        <v>433101</v>
      </c>
      <c r="B41" s="6">
        <v>166</v>
      </c>
      <c r="C41" s="7" t="str">
        <f t="shared" si="0"/>
        <v>Premium3R6releasecolor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>R6release</v>
      </c>
      <c r="G41" s="7" t="str">
        <f t="shared" si="3"/>
        <v>color</v>
      </c>
      <c r="H41" s="7" t="str">
        <f>VLOOKUP(B41,[1]characters!$A:$C,3,FALSE)</f>
        <v>ベリアル</v>
      </c>
      <c r="I41" s="7" t="str">
        <f>VLOOKUP(B41,[1]characters!$A:$J,10,FALSE)</f>
        <v>PremiumN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ca="1">IFERROR(VLOOKUP(B41,input_433101!L:R,7,FALSE),VLOOKUP(tables_433101!C41,input_433101!A:H,8,FALSE))</f>
        <v>144318.46956999999</v>
      </c>
      <c r="P41" s="46">
        <f t="shared" ca="1" si="1"/>
        <v>1.2339130435033263E-2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input_433101!A$2</f>
        <v>433101</v>
      </c>
      <c r="B42" s="6">
        <v>167</v>
      </c>
      <c r="C42" s="7" t="str">
        <f t="shared" si="0"/>
        <v>Premium4R6releasecolor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逆徒 ベリアル</v>
      </c>
      <c r="I42" s="7" t="str">
        <f>VLOOKUP(B42,[1]characters!$A:$J,10,FALSE)</f>
        <v>PremiumN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IFERROR(VLOOKUP(B42,input_433101!L:R,7,FALSE),VLOOKUP(tables_433101!C42,input_433101!A:H,8,FALSE))</f>
        <v>129886.62261000001</v>
      </c>
      <c r="P42" s="46">
        <f t="shared" ca="1" si="1"/>
        <v>1.110521739127344E-2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input_433101!A$2</f>
        <v>433101</v>
      </c>
      <c r="B43" s="6">
        <v>168</v>
      </c>
      <c r="C43" s="7" t="str">
        <f t="shared" si="0"/>
        <v>Premium5R6releasecolor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猛進の大逆者 ベリアル</v>
      </c>
      <c r="I43" s="7" t="str">
        <f>VLOOKUP(B43,[1]characters!$A:$J,10,FALSE)</f>
        <v>PremiumN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IFERROR(VLOOKUP(B43,input_433101!L:R,7,FALSE),VLOOKUP(tables_433101!C43,input_433101!A:H,8,FALSE))</f>
        <v>14431.846960000001</v>
      </c>
      <c r="P43" s="46">
        <f t="shared" ca="1" si="1"/>
        <v>1.2339130437598244E-3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input_433101!A$2</f>
        <v>433101</v>
      </c>
      <c r="B44" s="6">
        <v>169</v>
      </c>
      <c r="C44" s="7" t="str">
        <f t="shared" si="0"/>
        <v>Premium3R6release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オセ</v>
      </c>
      <c r="I44" s="7" t="str">
        <f>VLOOKUP(B44,[1]characters!$A:$J,10,FALSE)</f>
        <v>PremiumN</v>
      </c>
      <c r="J44" s="7">
        <f>VLOOKUP(B44,[1]characters!$A:$I,9,FALSE)</f>
        <v>3</v>
      </c>
      <c r="K44" s="7" t="str">
        <f>VLOOKUP(B44,[1]characters!$A:$H,8,FALSE)</f>
        <v>green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f ca="1">IFERROR(VLOOKUP(B44,input_433101!L:R,7,FALSE),VLOOKUP(tables_433101!C44,input_433101!A:H,8,FALSE))</f>
        <v>32542.400000000001</v>
      </c>
      <c r="P44" s="46">
        <f t="shared" ca="1" si="1"/>
        <v>2.7823529411407856E-3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input_433101!A$2</f>
        <v>433101</v>
      </c>
      <c r="B45" s="6">
        <v>170</v>
      </c>
      <c r="C45" s="7" t="str">
        <f t="shared" si="0"/>
        <v>Premium4R6release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識徒 オセ</v>
      </c>
      <c r="I45" s="7" t="str">
        <f>VLOOKUP(B45,[1]characters!$A:$J,10,FALSE)</f>
        <v>PremiumN</v>
      </c>
      <c r="J45" s="7">
        <f>VLOOKUP(B45,[1]characters!$A:$I,9,FALSE)</f>
        <v>4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IFERROR(VLOOKUP(B45,input_433101!L:R,7,FALSE),VLOOKUP(tables_433101!C45,input_433101!A:H,8,FALSE))</f>
        <v>29288.16</v>
      </c>
      <c r="P45" s="46">
        <f t="shared" ca="1" si="1"/>
        <v>2.5041176470267071E-3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input_433101!A$2</f>
        <v>433101</v>
      </c>
      <c r="B46" s="6">
        <v>171</v>
      </c>
      <c r="C46" s="7" t="str">
        <f t="shared" si="0"/>
        <v>Premium5R6release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精解の預知者 オセ</v>
      </c>
      <c r="I46" s="7" t="str">
        <f>VLOOKUP(B46,[1]characters!$A:$J,10,FALSE)</f>
        <v>PremiumN</v>
      </c>
      <c r="J46" s="7">
        <f>VLOOKUP(B46,[1]characters!$A:$I,9,FALSE)</f>
        <v>5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IFERROR(VLOOKUP(B46,input_433101!L:R,7,FALSE),VLOOKUP(tables_433101!C46,input_433101!A:H,8,FALSE))</f>
        <v>3254.24</v>
      </c>
      <c r="P46" s="46">
        <f t="shared" ca="1" si="1"/>
        <v>2.7823529411407857E-4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input_433101!A$2</f>
        <v>433101</v>
      </c>
      <c r="B47" s="6">
        <v>172</v>
      </c>
      <c r="C47" s="7" t="str">
        <f t="shared" si="0"/>
        <v>Premium3R6release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フォルネウス</v>
      </c>
      <c r="I47" s="7" t="str">
        <f>VLOOKUP(B47,[1]characters!$A:$J,10,FALSE)</f>
        <v>PremiumN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IFERROR(VLOOKUP(B47,input_433101!L:R,7,FALSE),VLOOKUP(tables_433101!C47,input_433101!A:H,8,FALSE))</f>
        <v>32542.400000000001</v>
      </c>
      <c r="P47" s="46">
        <f t="shared" ca="1" si="1"/>
        <v>2.7823529411407856E-3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input_433101!A$2</f>
        <v>433101</v>
      </c>
      <c r="B48" s="6">
        <v>173</v>
      </c>
      <c r="C48" s="7" t="str">
        <f t="shared" si="0"/>
        <v>Premium4R6release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公爵 フォルネウス</v>
      </c>
      <c r="I48" s="7" t="str">
        <f>VLOOKUP(B48,[1]characters!$A:$J,10,FALSE)</f>
        <v>PremiumN</v>
      </c>
      <c r="J48" s="7">
        <f>VLOOKUP(B48,[1]characters!$A:$I,9,FALSE)</f>
        <v>4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IFERROR(VLOOKUP(B48,input_433101!L:R,7,FALSE),VLOOKUP(tables_433101!C48,input_433101!A:H,8,FALSE))</f>
        <v>29288.16</v>
      </c>
      <c r="P48" s="46">
        <f t="shared" ca="1" si="1"/>
        <v>2.5041176470267071E-3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input_433101!A$2</f>
        <v>433101</v>
      </c>
      <c r="B49" s="6">
        <v>174</v>
      </c>
      <c r="C49" s="7" t="str">
        <f t="shared" si="0"/>
        <v>Premium5R6release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偽愛の大公爵 フォルネウス</v>
      </c>
      <c r="I49" s="7" t="str">
        <f>VLOOKUP(B49,[1]characters!$A:$J,10,FALSE)</f>
        <v>PremiumN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IFERROR(VLOOKUP(B49,input_433101!L:R,7,FALSE),VLOOKUP(tables_433101!C49,input_433101!A:H,8,FALSE))</f>
        <v>3254.24</v>
      </c>
      <c r="P49" s="46">
        <f t="shared" ca="1" si="1"/>
        <v>2.7823529411407857E-4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input_433101!A$2</f>
        <v>433101</v>
      </c>
      <c r="B50" s="6">
        <v>175</v>
      </c>
      <c r="C50" s="7" t="str">
        <f t="shared" si="0"/>
        <v>Premium3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 t="str">
        <f t="shared" si="3"/>
        <v/>
      </c>
      <c r="H50" s="7" t="str">
        <f>VLOOKUP(B50,[1]characters!$A:$C,3,FALSE)</f>
        <v>バフォメット</v>
      </c>
      <c r="I50" s="7" t="str">
        <f>VLOOKUP(B50,[1]characters!$A:$J,10,FALSE)</f>
        <v>PremiumN</v>
      </c>
      <c r="J50" s="7">
        <f>VLOOKUP(B50,[1]characters!$A:$I,9,FALSE)</f>
        <v>3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IFERROR(VLOOKUP(B50,input_433101!L:R,7,FALSE),VLOOKUP(tables_433101!C50,input_433101!A:H,8,FALSE))</f>
        <v>32542.400000000001</v>
      </c>
      <c r="P50" s="46">
        <f t="shared" ca="1" si="1"/>
        <v>2.7823529411407856E-3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input_433101!A$2</f>
        <v>433101</v>
      </c>
      <c r="B51" s="6">
        <v>176</v>
      </c>
      <c r="C51" s="7" t="str">
        <f t="shared" si="0"/>
        <v>Premium4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異教徒 バフォメット</v>
      </c>
      <c r="I51" s="7" t="str">
        <f>VLOOKUP(B51,[1]characters!$A:$J,10,FALSE)</f>
        <v>PremiumN</v>
      </c>
      <c r="J51" s="7">
        <f>VLOOKUP(B51,[1]characters!$A:$I,9,FALSE)</f>
        <v>4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IFERROR(VLOOKUP(B51,input_433101!L:R,7,FALSE),VLOOKUP(tables_433101!C51,input_433101!A:H,8,FALSE))</f>
        <v>25292.102510000001</v>
      </c>
      <c r="P51" s="46">
        <f t="shared" ca="1" si="1"/>
        <v>2.1624574649175459E-3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input_433101!A$2</f>
        <v>433101</v>
      </c>
      <c r="B52" s="6">
        <v>177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黒魔の異端師 バフォメット</v>
      </c>
      <c r="I52" s="7" t="str">
        <f>VLOOKUP(B52,[1]characters!$A:$J,10,FALSE)</f>
        <v>PremiumN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IFERROR(VLOOKUP(B52,input_433101!L:R,7,FALSE),VLOOKUP(tables_433101!C52,input_433101!A:H,8,FALSE))</f>
        <v>1402.2974899999999</v>
      </c>
      <c r="P52" s="46">
        <f t="shared" ca="1" si="1"/>
        <v>1.1989547622965244E-4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input_433101!A$2</f>
        <v>433101</v>
      </c>
      <c r="B53" s="6">
        <v>178</v>
      </c>
      <c r="C53" s="7" t="str">
        <f t="shared" si="0"/>
        <v>Premium3color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>color</v>
      </c>
      <c r="H53" s="7" t="str">
        <f>VLOOKUP(B53,[1]characters!$A:$C,3,FALSE)</f>
        <v>ケルベロス</v>
      </c>
      <c r="I53" s="7" t="str">
        <f>VLOOKUP(B53,[1]characters!$A:$J,10,FALSE)</f>
        <v>PremiumN</v>
      </c>
      <c r="J53" s="7">
        <f>VLOOKUP(B53,[1]characters!$A:$I,9,FALSE)</f>
        <v>3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f ca="1">IFERROR(VLOOKUP(B53,input_433101!L:R,7,FALSE),VLOOKUP(tables_433101!C53,input_433101!A:H,8,FALSE))</f>
        <v>144318.46956999999</v>
      </c>
      <c r="P53" s="46">
        <f t="shared" ca="1" si="1"/>
        <v>1.2339130435033263E-2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input_433101!A$2</f>
        <v>433101</v>
      </c>
      <c r="B54" s="6">
        <v>179</v>
      </c>
      <c r="C54" s="7" t="str">
        <f t="shared" si="0"/>
        <v>Premium4color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番犬 ケルベロス</v>
      </c>
      <c r="I54" s="7" t="str">
        <f>VLOOKUP(B54,[1]characters!$A:$J,10,FALSE)</f>
        <v>PremiumN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IFERROR(VLOOKUP(B54,input_433101!L:R,7,FALSE),VLOOKUP(tables_433101!C54,input_433101!A:H,8,FALSE))</f>
        <v>139146.33515999999</v>
      </c>
      <c r="P54" s="46">
        <f t="shared" ca="1" si="1"/>
        <v>1.1896916480695569E-2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input_433101!A$2</f>
        <v>433101</v>
      </c>
      <c r="B55" s="6">
        <v>180</v>
      </c>
      <c r="C55" s="7" t="str">
        <f t="shared" si="0"/>
        <v>Premium5color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地獄の大門番 ケルベロス</v>
      </c>
      <c r="I55" s="7" t="str">
        <f>VLOOKUP(B55,[1]characters!$A:$J,10,FALSE)</f>
        <v>PremiumN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IFERROR(VLOOKUP(B55,input_433101!L:R,7,FALSE),VLOOKUP(tables_433101!C55,input_433101!A:H,8,FALSE))</f>
        <v>5172.1344099999997</v>
      </c>
      <c r="P55" s="46">
        <f t="shared" ca="1" si="1"/>
        <v>4.4221395433769362E-4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input_433101!A$2</f>
        <v>433101</v>
      </c>
      <c r="B56" s="6">
        <v>181</v>
      </c>
      <c r="C56" s="7" t="str">
        <f t="shared" si="0"/>
        <v>Premium3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ベヒモス</v>
      </c>
      <c r="I56" s="7" t="str">
        <f>VLOOKUP(B56,[1]characters!$A:$J,10,FALSE)</f>
        <v>PremiumN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IFERROR(VLOOKUP(B56,input_433101!L:R,7,FALSE),VLOOKUP(tables_433101!C56,input_433101!A:H,8,FALSE))</f>
        <v>32542.400000000001</v>
      </c>
      <c r="P56" s="46">
        <f t="shared" ca="1" si="1"/>
        <v>2.7823529411407856E-3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input_433101!A$2</f>
        <v>433101</v>
      </c>
      <c r="B57" s="6">
        <v>182</v>
      </c>
      <c r="C57" s="7" t="str">
        <f t="shared" si="0"/>
        <v>Premium4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放蕩者 ベヒモス</v>
      </c>
      <c r="I57" s="7" t="str">
        <f>VLOOKUP(B57,[1]characters!$A:$J,10,FALSE)</f>
        <v>PremiumN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IFERROR(VLOOKUP(B57,input_433101!L:R,7,FALSE),VLOOKUP(tables_433101!C57,input_433101!A:H,8,FALSE))</f>
        <v>25292.102510000001</v>
      </c>
      <c r="P57" s="46">
        <f t="shared" ca="1" si="1"/>
        <v>2.1624574649175459E-3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input_433101!A$2</f>
        <v>433101</v>
      </c>
      <c r="B58" s="6">
        <v>183</v>
      </c>
      <c r="C58" s="7" t="str">
        <f t="shared" si="0"/>
        <v>Premium5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鈍重な彷徨者 ベヒモス</v>
      </c>
      <c r="I58" s="7" t="str">
        <f>VLOOKUP(B58,[1]characters!$A:$J,10,FALSE)</f>
        <v>PremiumN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IFERROR(VLOOKUP(B58,input_433101!L:R,7,FALSE),VLOOKUP(tables_433101!C58,input_433101!A:H,8,FALSE))</f>
        <v>1402.2974899999999</v>
      </c>
      <c r="P58" s="46">
        <f t="shared" ca="1" si="1"/>
        <v>1.1989547622965244E-4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input_433101!A$2</f>
        <v>433101</v>
      </c>
      <c r="B59" s="6">
        <v>184</v>
      </c>
      <c r="C59" s="7" t="str">
        <f t="shared" si="0"/>
        <v>Premium3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クラーケン</v>
      </c>
      <c r="I59" s="7" t="str">
        <f>VLOOKUP(B59,[1]characters!$A:$J,10,FALSE)</f>
        <v>PremiumN</v>
      </c>
      <c r="J59" s="7">
        <f>VLOOKUP(B59,[1]characters!$A:$I,9,FALSE)</f>
        <v>3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IFERROR(VLOOKUP(B59,input_433101!L:R,7,FALSE),VLOOKUP(tables_433101!C59,input_433101!A:H,8,FALSE))</f>
        <v>32542.400000000001</v>
      </c>
      <c r="P59" s="46">
        <f t="shared" ca="1" si="1"/>
        <v>2.7823529411407856E-3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input_433101!A$2</f>
        <v>433101</v>
      </c>
      <c r="B60" s="6">
        <v>185</v>
      </c>
      <c r="C60" s="7" t="str">
        <f t="shared" si="0"/>
        <v>Premium4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海姫 クラーケン</v>
      </c>
      <c r="I60" s="7" t="str">
        <f>VLOOKUP(B60,[1]characters!$A:$J,10,FALSE)</f>
        <v>PremiumN</v>
      </c>
      <c r="J60" s="7">
        <f>VLOOKUP(B60,[1]characters!$A:$I,9,FALSE)</f>
        <v>4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IFERROR(VLOOKUP(B60,input_433101!L:R,7,FALSE),VLOOKUP(tables_433101!C60,input_433101!A:H,8,FALSE))</f>
        <v>25292.102510000001</v>
      </c>
      <c r="P60" s="46">
        <f t="shared" ca="1" si="1"/>
        <v>2.1624574649175459E-3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input_433101!A$2</f>
        <v>433101</v>
      </c>
      <c r="B61" s="8">
        <v>186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誇り高き多触姫・クラーケン</v>
      </c>
      <c r="I61" s="7" t="str">
        <f>VLOOKUP(B61,[1]characters!$A:$J,10,FALSE)</f>
        <v>PremiumN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IFERROR(VLOOKUP(B61,input_433101!L:R,7,FALSE),VLOOKUP(tables_433101!C61,input_433101!A:H,8,FALSE))</f>
        <v>1402.2974899999999</v>
      </c>
      <c r="P61" s="46">
        <f t="shared" ca="1" si="1"/>
        <v>1.1989547622965244E-4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input_433101!A$2</f>
        <v>433101</v>
      </c>
      <c r="B62" s="8">
        <v>187</v>
      </c>
      <c r="C62" s="7" t="str">
        <f t="shared" si="0"/>
        <v>Premium3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ホルス</v>
      </c>
      <c r="I62" s="7" t="str">
        <f>VLOOKUP(B62,[1]characters!$A:$J,10,FALSE)</f>
        <v>PremiumN</v>
      </c>
      <c r="J62" s="7">
        <f>VLOOKUP(B62,[1]characters!$A:$I,9,FALSE)</f>
        <v>3</v>
      </c>
      <c r="K62" s="7" t="str">
        <f>VLOOKUP(B62,[1]characters!$A:$H,8,FALSE)</f>
        <v>yellow</v>
      </c>
      <c r="L62" s="7" t="str">
        <f>VLOOKUP(B62,[1]characters!$A:$K,11,FALSE)</f>
        <v>attack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IFERROR(VLOOKUP(B62,input_433101!L:R,7,FALSE),VLOOKUP(tables_433101!C62,input_433101!A:H,8,FALSE))</f>
        <v>32542.400000000001</v>
      </c>
      <c r="P62" s="46">
        <f t="shared" ca="1" si="1"/>
        <v>2.7823529411407856E-3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input_433101!A$2</f>
        <v>433101</v>
      </c>
      <c r="B63" s="8">
        <v>188</v>
      </c>
      <c r="C63" s="7" t="str">
        <f t="shared" si="0"/>
        <v>Premium4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猛禽 ホルス</v>
      </c>
      <c r="I63" s="7" t="str">
        <f>VLOOKUP(B63,[1]characters!$A:$J,10,FALSE)</f>
        <v>PremiumN</v>
      </c>
      <c r="J63" s="7">
        <f>VLOOKUP(B63,[1]characters!$A:$I,9,FALSE)</f>
        <v>4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IFERROR(VLOOKUP(B63,input_433101!L:R,7,FALSE),VLOOKUP(tables_433101!C63,input_433101!A:H,8,FALSE))</f>
        <v>25292.102510000001</v>
      </c>
      <c r="P63" s="46">
        <f t="shared" ca="1" si="1"/>
        <v>2.1624574649175459E-3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input_433101!A$2</f>
        <v>433101</v>
      </c>
      <c r="B64" s="8">
        <v>189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迅雷の王禽 ホルス</v>
      </c>
      <c r="I64" s="7" t="str">
        <f>VLOOKUP(B64,[1]characters!$A:$J,10,FALSE)</f>
        <v>PremiumN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IFERROR(VLOOKUP(B64,input_433101!L:R,7,FALSE),VLOOKUP(tables_433101!C64,input_433101!A:H,8,FALSE))</f>
        <v>1402.2974899999999</v>
      </c>
      <c r="P64" s="46">
        <f t="shared" ca="1" si="1"/>
        <v>1.1989547622965244E-4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input_433101!A$2</f>
        <v>433101</v>
      </c>
      <c r="B65" s="6">
        <v>190</v>
      </c>
      <c r="C65" s="7" t="str">
        <f t="shared" si="0"/>
        <v>Premium3color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>color</v>
      </c>
      <c r="H65" s="7" t="str">
        <f>VLOOKUP(B65,[1]characters!$A:$C,3,FALSE)</f>
        <v>卑弥呼</v>
      </c>
      <c r="I65" s="7" t="str">
        <f>VLOOKUP(B65,[1]characters!$A:$J,10,FALSE)</f>
        <v>PremiumN</v>
      </c>
      <c r="J65" s="7">
        <f>VLOOKUP(B65,[1]characters!$A:$I,9,FALSE)</f>
        <v>3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IFERROR(VLOOKUP(B65,input_433101!L:R,7,FALSE),VLOOKUP(tables_433101!C65,input_433101!A:H,8,FALSE))</f>
        <v>144318.46956999999</v>
      </c>
      <c r="P65" s="46">
        <f t="shared" ca="1" si="1"/>
        <v>1.2339130435033263E-2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input_433101!A$2</f>
        <v>433101</v>
      </c>
      <c r="B66" s="6">
        <v>191</v>
      </c>
      <c r="C66" s="7" t="str">
        <f t="shared" ref="C66:C129" si="4">D66&amp;J66&amp;E66&amp;F66&amp;G66</f>
        <v>Premium4color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始祖 卑弥呼</v>
      </c>
      <c r="I66" s="7" t="str">
        <f>VLOOKUP(B66,[1]characters!$A:$J,10,FALSE)</f>
        <v>PremiumN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IFERROR(VLOOKUP(B66,input_433101!L:R,7,FALSE),VLOOKUP(tables_433101!C66,input_433101!A:H,8,FALSE))</f>
        <v>139146.33515999999</v>
      </c>
      <c r="P66" s="46">
        <f t="shared" ref="P66:P129" ca="1" si="5">O66/SUM(O:O)</f>
        <v>1.1896916480695569E-2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input_433101!A$2</f>
        <v>433101</v>
      </c>
      <c r="B67" s="6">
        <v>192</v>
      </c>
      <c r="C67" s="7" t="str">
        <f t="shared" si="4"/>
        <v>Premium5color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荘厳なる始祖帝 卑弥呼</v>
      </c>
      <c r="I67" s="7" t="str">
        <f>VLOOKUP(B67,[1]characters!$A:$J,10,FALSE)</f>
        <v>PremiumN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IFERROR(VLOOKUP(B67,input_433101!L:R,7,FALSE),VLOOKUP(tables_433101!C67,input_433101!A:H,8,FALSE))</f>
        <v>5172.1344099999997</v>
      </c>
      <c r="P67" s="46">
        <f t="shared" ca="1" si="5"/>
        <v>4.4221395433769362E-4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input_433101!A$2</f>
        <v>433101</v>
      </c>
      <c r="B68" s="6">
        <v>193</v>
      </c>
      <c r="C68" s="7" t="str">
        <f t="shared" si="4"/>
        <v>Premium3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ロビンフッド</v>
      </c>
      <c r="I68" s="7" t="str">
        <f>VLOOKUP(B68,[1]characters!$A:$J,10,FALSE)</f>
        <v>PremiumN</v>
      </c>
      <c r="J68" s="7">
        <f>VLOOKUP(B68,[1]characters!$A:$I,9,FALSE)</f>
        <v>3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IFERROR(VLOOKUP(B68,input_433101!L:R,7,FALSE),VLOOKUP(tables_433101!C68,input_433101!A:H,8,FALSE))</f>
        <v>32542.400000000001</v>
      </c>
      <c r="P68" s="46">
        <f t="shared" ca="1" si="5"/>
        <v>2.7823529411407856E-3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input_433101!A$2</f>
        <v>433101</v>
      </c>
      <c r="B69" s="10">
        <v>194</v>
      </c>
      <c r="C69" s="7" t="str">
        <f t="shared" si="4"/>
        <v>Premium4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スナイパー ロビンフッド</v>
      </c>
      <c r="I69" s="7" t="str">
        <f>VLOOKUP(B69,[1]characters!$A:$J,10,FALSE)</f>
        <v>PremiumN</v>
      </c>
      <c r="J69" s="7">
        <f>VLOOKUP(B69,[1]characters!$A:$I,9,FALSE)</f>
        <v>4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IFERROR(VLOOKUP(B69,input_433101!L:R,7,FALSE),VLOOKUP(tables_433101!C69,input_433101!A:H,8,FALSE))</f>
        <v>25292.102510000001</v>
      </c>
      <c r="P69" s="46">
        <f t="shared" ca="1" si="5"/>
        <v>2.1624574649175459E-3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input_433101!A$2</f>
        <v>433101</v>
      </c>
      <c r="B70" s="6">
        <v>195</v>
      </c>
      <c r="C70" s="7" t="str">
        <f t="shared" si="4"/>
        <v>Premium5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グランドハンター ロビンフッド</v>
      </c>
      <c r="I70" s="7" t="str">
        <f>VLOOKUP(B70,[1]characters!$A:$J,10,FALSE)</f>
        <v>PremiumN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IFERROR(VLOOKUP(B70,input_433101!L:R,7,FALSE),VLOOKUP(tables_433101!C70,input_433101!A:H,8,FALSE))</f>
        <v>1402.2974899999999</v>
      </c>
      <c r="P70" s="46">
        <f t="shared" ca="1" si="5"/>
        <v>1.1989547622965244E-4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input_433101!A$2</f>
        <v>433101</v>
      </c>
      <c r="B71" s="10">
        <v>196</v>
      </c>
      <c r="C71" s="7" t="str">
        <f t="shared" si="4"/>
        <v>Premium3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アキレス</v>
      </c>
      <c r="I71" s="7" t="str">
        <f>VLOOKUP(B71,[1]characters!$A:$J,10,FALSE)</f>
        <v>PremiumN</v>
      </c>
      <c r="J71" s="7">
        <f>VLOOKUP(B71,[1]characters!$A:$I,9,FALSE)</f>
        <v>3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IFERROR(VLOOKUP(B71,input_433101!L:R,7,FALSE),VLOOKUP(tables_433101!C71,input_433101!A:H,8,FALSE))</f>
        <v>32542.400000000001</v>
      </c>
      <c r="P71" s="46">
        <f t="shared" ca="1" si="5"/>
        <v>2.7823529411407856E-3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input_433101!A$2</f>
        <v>433101</v>
      </c>
      <c r="B72" s="11">
        <v>197</v>
      </c>
      <c r="C72" s="7" t="str">
        <f t="shared" si="4"/>
        <v>Premium4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鉄腕 アキレス</v>
      </c>
      <c r="I72" s="7" t="str">
        <f>VLOOKUP(B72,[1]characters!$A:$J,10,FALSE)</f>
        <v>PremiumN</v>
      </c>
      <c r="J72" s="7">
        <f>VLOOKUP(B72,[1]characters!$A:$I,9,FALSE)</f>
        <v>4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IFERROR(VLOOKUP(B72,input_433101!L:R,7,FALSE),VLOOKUP(tables_433101!C72,input_433101!A:H,8,FALSE))</f>
        <v>25292.102510000001</v>
      </c>
      <c r="P72" s="46">
        <f t="shared" ca="1" si="5"/>
        <v>2.1624574649175459E-3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input_433101!A$2</f>
        <v>433101</v>
      </c>
      <c r="B73" s="6">
        <v>198</v>
      </c>
      <c r="C73" s="7" t="str">
        <f t="shared" si="4"/>
        <v>Premium5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砕骨の剛腕 アキレス</v>
      </c>
      <c r="I73" s="7" t="str">
        <f>VLOOKUP(B73,[1]characters!$A:$J,10,FALSE)</f>
        <v>PremiumN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IFERROR(VLOOKUP(B73,input_433101!L:R,7,FALSE),VLOOKUP(tables_433101!C73,input_433101!A:H,8,FALSE))</f>
        <v>1402.2974899999999</v>
      </c>
      <c r="P73" s="46">
        <f t="shared" ca="1" si="5"/>
        <v>1.1989547622965244E-4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input_433101!A$2</f>
        <v>433101</v>
      </c>
      <c r="B74" s="6">
        <v>199</v>
      </c>
      <c r="C74" s="7" t="str">
        <f t="shared" si="4"/>
        <v>Premium3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ジークフリート</v>
      </c>
      <c r="I74" s="7" t="str">
        <f>VLOOKUP(B74,[1]characters!$A:$J,10,FALSE)</f>
        <v>PremiumN</v>
      </c>
      <c r="J74" s="7">
        <f>VLOOKUP(B74,[1]characters!$A:$I,9,FALSE)</f>
        <v>3</v>
      </c>
      <c r="K74" s="7" t="str">
        <f>VLOOKUP(B74,[1]characters!$A:$H,8,FALSE)</f>
        <v>blue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男性</v>
      </c>
      <c r="O74" s="45">
        <f ca="1">IFERROR(VLOOKUP(B74,input_433101!L:R,7,FALSE),VLOOKUP(tables_433101!C74,input_433101!A:H,8,FALSE))</f>
        <v>32542.400000000001</v>
      </c>
      <c r="P74" s="46">
        <f t="shared" ca="1" si="5"/>
        <v>2.7823529411407856E-3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input_433101!A$2</f>
        <v>433101</v>
      </c>
      <c r="B75" s="6">
        <v>200</v>
      </c>
      <c r="C75" s="7" t="str">
        <f t="shared" si="4"/>
        <v>Premium4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大剣士 ジークフリート</v>
      </c>
      <c r="I75" s="7" t="str">
        <f>VLOOKUP(B75,[1]characters!$A:$J,10,FALSE)</f>
        <v>PremiumN</v>
      </c>
      <c r="J75" s="7">
        <f>VLOOKUP(B75,[1]characters!$A:$I,9,FALSE)</f>
        <v>4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IFERROR(VLOOKUP(B75,input_433101!L:R,7,FALSE),VLOOKUP(tables_433101!C75,input_433101!A:H,8,FALSE))</f>
        <v>25292.102510000001</v>
      </c>
      <c r="P75" s="46">
        <f t="shared" ca="1" si="5"/>
        <v>2.1624574649175459E-3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input_433101!A$2</f>
        <v>433101</v>
      </c>
      <c r="B76" s="5">
        <v>201</v>
      </c>
      <c r="C76" s="7" t="str">
        <f t="shared" si="4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斬空の大破剣 ジークフリート</v>
      </c>
      <c r="I76" s="7" t="str">
        <f>VLOOKUP(B76,[1]characters!$A:$J,10,FALSE)</f>
        <v>PremiumN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IFERROR(VLOOKUP(B76,input_433101!L:R,7,FALSE),VLOOKUP(tables_433101!C76,input_433101!A:H,8,FALSE))</f>
        <v>1402.2974899999999</v>
      </c>
      <c r="P76" s="46">
        <f t="shared" ca="1" si="5"/>
        <v>1.1989547622965244E-4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input_433101!A$2</f>
        <v>433101</v>
      </c>
      <c r="B77" s="5">
        <v>202</v>
      </c>
      <c r="C77" s="7" t="str">
        <f t="shared" si="4"/>
        <v>Premium3color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プロメテウス</v>
      </c>
      <c r="I77" s="7" t="str">
        <f>VLOOKUP(B77,[1]characters!$A:$J,10,FALSE)</f>
        <v>PremiumN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5">
        <f ca="1">IFERROR(VLOOKUP(B77,input_433101!L:R,7,FALSE),VLOOKUP(tables_433101!C77,input_433101!A:H,8,FALSE))</f>
        <v>144318.46956999999</v>
      </c>
      <c r="P77" s="46">
        <f t="shared" ca="1" si="5"/>
        <v>1.2339130435033263E-2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input_433101!A$2</f>
        <v>433101</v>
      </c>
      <c r="B78" s="5">
        <v>203</v>
      </c>
      <c r="C78" s="7" t="str">
        <f t="shared" si="4"/>
        <v>Premium4color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焔神 プロメテウス</v>
      </c>
      <c r="I78" s="7" t="str">
        <f>VLOOKUP(B78,[1]characters!$A:$J,10,FALSE)</f>
        <v>PremiumN</v>
      </c>
      <c r="J78" s="7">
        <f>VLOOKUP(B78,[1]characters!$A:$I,9,FALSE)</f>
        <v>4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IFERROR(VLOOKUP(B78,input_433101!L:R,7,FALSE),VLOOKUP(tables_433101!C78,input_433101!A:H,8,FALSE))</f>
        <v>139146.33515999999</v>
      </c>
      <c r="P78" s="46">
        <f t="shared" ca="1" si="5"/>
        <v>1.1896916480695569E-2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input_433101!A$2</f>
        <v>433101</v>
      </c>
      <c r="B79" s="5">
        <v>204</v>
      </c>
      <c r="C79" s="7" t="str">
        <f t="shared" si="4"/>
        <v>Premium5color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慟哭の巨焔 プロメテウス</v>
      </c>
      <c r="I79" s="7" t="str">
        <f>VLOOKUP(B79,[1]characters!$A:$J,10,FALSE)</f>
        <v>PremiumN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IFERROR(VLOOKUP(B79,input_433101!L:R,7,FALSE),VLOOKUP(tables_433101!C79,input_433101!A:H,8,FALSE))</f>
        <v>5172.1344099999997</v>
      </c>
      <c r="P79" s="46">
        <f t="shared" ca="1" si="5"/>
        <v>4.4221395433769362E-4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input_433101!A$2</f>
        <v>433101</v>
      </c>
      <c r="B80" s="5">
        <v>205</v>
      </c>
      <c r="C80" s="7" t="str">
        <f t="shared" si="4"/>
        <v>Premium3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アフロディーテ</v>
      </c>
      <c r="I80" s="7" t="str">
        <f>VLOOKUP(B80,[1]characters!$A:$J,10,FALSE)</f>
        <v>PremiumN</v>
      </c>
      <c r="J80" s="7">
        <f>VLOOKUP(B80,[1]characters!$A:$I,9,FALSE)</f>
        <v>3</v>
      </c>
      <c r="K80" s="7" t="str">
        <f>VLOOKUP(B80,[1]characters!$A:$H,8,FALSE)</f>
        <v>green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ca="1">IFERROR(VLOOKUP(B80,input_433101!L:R,7,FALSE),VLOOKUP(tables_433101!C80,input_433101!A:H,8,FALSE))</f>
        <v>32542.400000000001</v>
      </c>
      <c r="P80" s="46">
        <f t="shared" ca="1" si="5"/>
        <v>2.7823529411407856E-3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input_433101!A$2</f>
        <v>433101</v>
      </c>
      <c r="B81" s="5">
        <v>206</v>
      </c>
      <c r="C81" s="7" t="str">
        <f t="shared" si="4"/>
        <v>Premium4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美神 アフロディーテ</v>
      </c>
      <c r="I81" s="7" t="str">
        <f>VLOOKUP(B81,[1]characters!$A:$J,10,FALSE)</f>
        <v>PremiumN</v>
      </c>
      <c r="J81" s="7">
        <f>VLOOKUP(B81,[1]characters!$A:$I,9,FALSE)</f>
        <v>4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IFERROR(VLOOKUP(B81,input_433101!L:R,7,FALSE),VLOOKUP(tables_433101!C81,input_433101!A:H,8,FALSE))</f>
        <v>25292.102510000001</v>
      </c>
      <c r="P81" s="46">
        <f t="shared" ca="1" si="5"/>
        <v>2.1624574649175459E-3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input_433101!A$2</f>
        <v>433101</v>
      </c>
      <c r="B82" s="5">
        <v>207</v>
      </c>
      <c r="C82" s="7" t="str">
        <f t="shared" si="4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豊穣の麗神・アフロディーテ</v>
      </c>
      <c r="I82" s="7" t="str">
        <f>VLOOKUP(B82,[1]characters!$A:$J,10,FALSE)</f>
        <v>PremiumN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IFERROR(VLOOKUP(B82,input_433101!L:R,7,FALSE),VLOOKUP(tables_433101!C82,input_433101!A:H,8,FALSE))</f>
        <v>1402.2974899999999</v>
      </c>
      <c r="P82" s="46">
        <f t="shared" ca="1" si="5"/>
        <v>1.1989547622965244E-4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input_433101!A$2</f>
        <v>433101</v>
      </c>
      <c r="B83" s="5">
        <v>208</v>
      </c>
      <c r="C83" s="7" t="str">
        <f t="shared" si="4"/>
        <v>Premium3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テティス</v>
      </c>
      <c r="I83" s="7" t="str">
        <f>VLOOKUP(B83,[1]characters!$A:$J,10,FALSE)</f>
        <v>PremiumN</v>
      </c>
      <c r="J83" s="7">
        <f>VLOOKUP(B83,[1]characters!$A:$I,9,FALSE)</f>
        <v>3</v>
      </c>
      <c r="K83" s="7" t="str">
        <f>VLOOKUP(B83,[1]characters!$A:$H,8,FALSE)</f>
        <v>blue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IFERROR(VLOOKUP(B83,input_433101!L:R,7,FALSE),VLOOKUP(tables_433101!C83,input_433101!A:H,8,FALSE))</f>
        <v>32542.400000000001</v>
      </c>
      <c r="P83" s="46">
        <f t="shared" ca="1" si="5"/>
        <v>2.7823529411407856E-3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input_433101!A$2</f>
        <v>433101</v>
      </c>
      <c r="B84" s="5">
        <v>209</v>
      </c>
      <c r="C84" s="7" t="str">
        <f t="shared" si="4"/>
        <v>Premium4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孤神 テティス</v>
      </c>
      <c r="I84" s="7" t="str">
        <f>VLOOKUP(B84,[1]characters!$A:$J,10,FALSE)</f>
        <v>PremiumN</v>
      </c>
      <c r="J84" s="7">
        <f>VLOOKUP(B84,[1]characters!$A:$I,9,FALSE)</f>
        <v>4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IFERROR(VLOOKUP(B84,input_433101!L:R,7,FALSE),VLOOKUP(tables_433101!C84,input_433101!A:H,8,FALSE))</f>
        <v>25292.102510000001</v>
      </c>
      <c r="P84" s="46">
        <f t="shared" ca="1" si="5"/>
        <v>2.1624574649175459E-3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input_433101!A$2</f>
        <v>433101</v>
      </c>
      <c r="B85" s="5">
        <v>210</v>
      </c>
      <c r="C85" s="7" t="str">
        <f t="shared" si="4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海底の孤高神 テティス</v>
      </c>
      <c r="I85" s="7" t="str">
        <f>VLOOKUP(B85,[1]characters!$A:$J,10,FALSE)</f>
        <v>PremiumN</v>
      </c>
      <c r="J85" s="7">
        <f>VLOOKUP(B85,[1]characters!$A:$I,9,FALSE)</f>
        <v>5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IFERROR(VLOOKUP(B85,input_433101!L:R,7,FALSE),VLOOKUP(tables_433101!C85,input_433101!A:H,8,FALSE))</f>
        <v>1402.2974899999999</v>
      </c>
      <c r="P85" s="46">
        <f t="shared" ca="1" si="5"/>
        <v>1.1989547622965244E-4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input_433101!A$2</f>
        <v>433101</v>
      </c>
      <c r="B86" s="5">
        <v>211</v>
      </c>
      <c r="C86" s="7" t="str">
        <f t="shared" si="4"/>
        <v>Premium3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アストライアー</v>
      </c>
      <c r="I86" s="7" t="str">
        <f>VLOOKUP(B86,[1]characters!$A:$J,10,FALSE)</f>
        <v>PremiumN</v>
      </c>
      <c r="J86" s="7">
        <f>VLOOKUP(B86,[1]characters!$A:$I,9,FALSE)</f>
        <v>3</v>
      </c>
      <c r="K86" s="7" t="str">
        <f>VLOOKUP(B86,[1]characters!$A:$H,8,FALSE)</f>
        <v>yellow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IFERROR(VLOOKUP(B86,input_433101!L:R,7,FALSE),VLOOKUP(tables_433101!C86,input_433101!A:H,8,FALSE))</f>
        <v>32542.400000000001</v>
      </c>
      <c r="P86" s="46">
        <f t="shared" ca="1" si="5"/>
        <v>2.7823529411407856E-3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input_433101!A$2</f>
        <v>433101</v>
      </c>
      <c r="B87" s="5">
        <v>212</v>
      </c>
      <c r="C87" s="7" t="str">
        <f t="shared" si="4"/>
        <v>Premium4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星神 アストライアー</v>
      </c>
      <c r="I87" s="7" t="str">
        <f>VLOOKUP(B87,[1]characters!$A:$J,10,FALSE)</f>
        <v>PremiumN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IFERROR(VLOOKUP(B87,input_433101!L:R,7,FALSE),VLOOKUP(tables_433101!C87,input_433101!A:H,8,FALSE))</f>
        <v>25292.102510000001</v>
      </c>
      <c r="P87" s="46">
        <f t="shared" ca="1" si="5"/>
        <v>2.1624574649175459E-3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input_433101!A$2</f>
        <v>433101</v>
      </c>
      <c r="B88" s="5">
        <v>213</v>
      </c>
      <c r="C88" s="7" t="str">
        <f t="shared" si="4"/>
        <v>Premium5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満天の星降神 アストライアー</v>
      </c>
      <c r="I88" s="7" t="str">
        <f>VLOOKUP(B88,[1]characters!$A:$J,10,FALSE)</f>
        <v>PremiumN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IFERROR(VLOOKUP(B88,input_433101!L:R,7,FALSE),VLOOKUP(tables_433101!C88,input_433101!A:H,8,FALSE))</f>
        <v>1402.2974899999999</v>
      </c>
      <c r="P88" s="46">
        <f t="shared" ca="1" si="5"/>
        <v>1.1989547622965244E-4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input_433101!A$2</f>
        <v>433101</v>
      </c>
      <c r="B89" s="5">
        <v>214</v>
      </c>
      <c r="C89" s="7" t="str">
        <f t="shared" si="4"/>
        <v>Premium3color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>color</v>
      </c>
      <c r="H89" s="7" t="str">
        <f>VLOOKUP(B89,[1]characters!$A:$C,3,FALSE)</f>
        <v>アズラエル</v>
      </c>
      <c r="I89" s="7" t="str">
        <f>VLOOKUP(B89,[1]characters!$A:$J,10,FALSE)</f>
        <v>PremiumN</v>
      </c>
      <c r="J89" s="7">
        <f>VLOOKUP(B89,[1]characters!$A:$I,9,FALSE)</f>
        <v>3</v>
      </c>
      <c r="K89" s="7" t="str">
        <f>VLOOKUP(B89,[1]characters!$A:$H,8,FALSE)</f>
        <v>red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IFERROR(VLOOKUP(B89,input_433101!L:R,7,FALSE),VLOOKUP(tables_433101!C89,input_433101!A:H,8,FALSE))</f>
        <v>144318.46956999999</v>
      </c>
      <c r="P89" s="46">
        <f t="shared" ca="1" si="5"/>
        <v>1.2339130435033263E-2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input_433101!A$2</f>
        <v>433101</v>
      </c>
      <c r="B90" s="5">
        <v>215</v>
      </c>
      <c r="C90" s="7" t="str">
        <f t="shared" si="4"/>
        <v>Premium4color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死導者 アズラエル</v>
      </c>
      <c r="I90" s="7" t="str">
        <f>VLOOKUP(B90,[1]characters!$A:$J,10,FALSE)</f>
        <v>PremiumN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IFERROR(VLOOKUP(B90,input_433101!L:R,7,FALSE),VLOOKUP(tables_433101!C90,input_433101!A:H,8,FALSE))</f>
        <v>139146.33515999999</v>
      </c>
      <c r="P90" s="46">
        <f t="shared" ca="1" si="5"/>
        <v>1.1896916480695569E-2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input_433101!A$2</f>
        <v>433101</v>
      </c>
      <c r="B91" s="5">
        <v>216</v>
      </c>
      <c r="C91" s="7" t="str">
        <f t="shared" si="4"/>
        <v>Premium5color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百読の死導司書 アズラエル</v>
      </c>
      <c r="I91" s="7" t="str">
        <f>VLOOKUP(B91,[1]characters!$A:$J,10,FALSE)</f>
        <v>PremiumN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IFERROR(VLOOKUP(B91,input_433101!L:R,7,FALSE),VLOOKUP(tables_433101!C91,input_433101!A:H,8,FALSE))</f>
        <v>5172.1344099999997</v>
      </c>
      <c r="P91" s="46">
        <f t="shared" ca="1" si="5"/>
        <v>4.4221395433769362E-4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input_433101!A$2</f>
        <v>433101</v>
      </c>
      <c r="B92" s="5">
        <v>217</v>
      </c>
      <c r="C92" s="7" t="str">
        <f t="shared" si="4"/>
        <v>Premium3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ケツァクアトル</v>
      </c>
      <c r="I92" s="7" t="str">
        <f>VLOOKUP(B92,[1]characters!$A:$J,10,FALSE)</f>
        <v>PremiumN</v>
      </c>
      <c r="J92" s="7">
        <f>VLOOKUP(B92,[1]characters!$A:$I,9,FALSE)</f>
        <v>3</v>
      </c>
      <c r="K92" s="7" t="str">
        <f>VLOOKUP(B92,[1]characters!$A:$H,8,FALSE)</f>
        <v>green</v>
      </c>
      <c r="L92" s="7" t="str">
        <f>VLOOKUP(B92,[1]characters!$A:$K,11,FALSE)</f>
        <v>hp</v>
      </c>
      <c r="M92" s="7" t="str">
        <f>VLOOKUP(B92,[1]characters!$A:$M,13,FALSE)</f>
        <v>dragon</v>
      </c>
      <c r="N92" s="7" t="str">
        <f>VLOOKUP(B92,[1]characters!$A:$G,7,FALSE)</f>
        <v>女性</v>
      </c>
      <c r="O92" s="45">
        <f ca="1">IFERROR(VLOOKUP(B92,input_433101!L:R,7,FALSE),VLOOKUP(tables_433101!C92,input_433101!A:H,8,FALSE))</f>
        <v>32542.400000000001</v>
      </c>
      <c r="P92" s="46">
        <f t="shared" ca="1" si="5"/>
        <v>2.7823529411407856E-3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input_433101!A$2</f>
        <v>433101</v>
      </c>
      <c r="B93" s="5">
        <v>218</v>
      </c>
      <c r="C93" s="7" t="str">
        <f t="shared" si="4"/>
        <v>Premium4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聖蛇 ケツァクアトル</v>
      </c>
      <c r="I93" s="7" t="str">
        <f>VLOOKUP(B93,[1]characters!$A:$J,10,FALSE)</f>
        <v>PremiumN</v>
      </c>
      <c r="J93" s="7">
        <f>VLOOKUP(B93,[1]characters!$A:$I,9,FALSE)</f>
        <v>4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IFERROR(VLOOKUP(B93,input_433101!L:R,7,FALSE),VLOOKUP(tables_433101!C93,input_433101!A:H,8,FALSE))</f>
        <v>25292.102510000001</v>
      </c>
      <c r="P93" s="46">
        <f t="shared" ca="1" si="5"/>
        <v>2.1624574649175459E-3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input_433101!A$2</f>
        <v>433101</v>
      </c>
      <c r="B94" s="5">
        <v>219</v>
      </c>
      <c r="C94" s="7" t="str">
        <f t="shared" si="4"/>
        <v>Premium5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覇翼の聖蛇竜 ケツァクアトル</v>
      </c>
      <c r="I94" s="7" t="str">
        <f>VLOOKUP(B94,[1]characters!$A:$J,10,FALSE)</f>
        <v>PremiumN</v>
      </c>
      <c r="J94" s="7">
        <f>VLOOKUP(B94,[1]characters!$A:$I,9,FALSE)</f>
        <v>5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IFERROR(VLOOKUP(B94,input_433101!L:R,7,FALSE),VLOOKUP(tables_433101!C94,input_433101!A:H,8,FALSE))</f>
        <v>1402.2974899999999</v>
      </c>
      <c r="P94" s="46">
        <f t="shared" ca="1" si="5"/>
        <v>1.1989547622965244E-4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input_433101!A$2</f>
        <v>433101</v>
      </c>
      <c r="B95" s="5">
        <v>220</v>
      </c>
      <c r="C95" s="7" t="str">
        <f t="shared" si="4"/>
        <v>Premium3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ルキフグス</v>
      </c>
      <c r="I95" s="7" t="str">
        <f>VLOOKUP(B95,[1]characters!$A:$J,10,FALSE)</f>
        <v>PremiumN</v>
      </c>
      <c r="J95" s="7">
        <f>VLOOKUP(B95,[1]characters!$A:$I,9,FALSE)</f>
        <v>3</v>
      </c>
      <c r="K95" s="7" t="str">
        <f>VLOOKUP(B95,[1]characters!$A:$H,8,FALSE)</f>
        <v>blue</v>
      </c>
      <c r="L95" s="7" t="str">
        <f>VLOOKUP(B95,[1]characters!$A:$K,11,FALSE)</f>
        <v>balance</v>
      </c>
      <c r="M95" s="7" t="str">
        <f>VLOOKUP(B95,[1]characters!$A:$M,13,FALSE)</f>
        <v>god</v>
      </c>
      <c r="N95" s="7" t="str">
        <f>VLOOKUP(B95,[1]characters!$A:$G,7,FALSE)</f>
        <v>女性</v>
      </c>
      <c r="O95" s="45">
        <f ca="1">IFERROR(VLOOKUP(B95,input_433101!L:R,7,FALSE),VLOOKUP(tables_433101!C95,input_433101!A:H,8,FALSE))</f>
        <v>32542.400000000001</v>
      </c>
      <c r="P95" s="46">
        <f t="shared" ca="1" si="5"/>
        <v>2.7823529411407856E-3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input_433101!A$2</f>
        <v>433101</v>
      </c>
      <c r="B96" s="5">
        <v>221</v>
      </c>
      <c r="C96" s="7" t="str">
        <f t="shared" si="4"/>
        <v>Premium4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宰相 ルキフグス</v>
      </c>
      <c r="I96" s="7" t="str">
        <f>VLOOKUP(B96,[1]characters!$A:$J,10,FALSE)</f>
        <v>PremiumN</v>
      </c>
      <c r="J96" s="7">
        <f>VLOOKUP(B96,[1]characters!$A:$I,9,FALSE)</f>
        <v>4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IFERROR(VLOOKUP(B96,input_433101!L:R,7,FALSE),VLOOKUP(tables_433101!C96,input_433101!A:H,8,FALSE))</f>
        <v>25292.102510000001</v>
      </c>
      <c r="P96" s="46">
        <f t="shared" ca="1" si="5"/>
        <v>2.1624574649175459E-3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input_433101!A$2</f>
        <v>433101</v>
      </c>
      <c r="B97" s="5">
        <v>222</v>
      </c>
      <c r="C97" s="7" t="str">
        <f t="shared" si="4"/>
        <v>Premium5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避光の鉄鎖宰相 ルキフグス</v>
      </c>
      <c r="I97" s="7" t="str">
        <f>VLOOKUP(B97,[1]characters!$A:$J,10,FALSE)</f>
        <v>PremiumN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IFERROR(VLOOKUP(B97,input_433101!L:R,7,FALSE),VLOOKUP(tables_433101!C97,input_433101!A:H,8,FALSE))</f>
        <v>1402.2974899999999</v>
      </c>
      <c r="P97" s="46">
        <f t="shared" ca="1" si="5"/>
        <v>1.1989547622965244E-4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input_433101!A$2</f>
        <v>433101</v>
      </c>
      <c r="B98" s="5">
        <v>223</v>
      </c>
      <c r="C98" s="7" t="str">
        <f t="shared" si="4"/>
        <v>Premium3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ヘラクレス</v>
      </c>
      <c r="I98" s="7" t="str">
        <f>VLOOKUP(B98,[1]characters!$A:$J,10,FALSE)</f>
        <v>PremiumN</v>
      </c>
      <c r="J98" s="7">
        <f>VLOOKUP(B98,[1]characters!$A:$I,9,FALSE)</f>
        <v>3</v>
      </c>
      <c r="K98" s="7" t="str">
        <f>VLOOKUP(B98,[1]characters!$A:$H,8,FALSE)</f>
        <v>yellow</v>
      </c>
      <c r="L98" s="7" t="str">
        <f>VLOOKUP(B98,[1]characters!$A:$K,11,FALSE)</f>
        <v>balance</v>
      </c>
      <c r="M98" s="7" t="str">
        <f>VLOOKUP(B98,[1]characters!$A:$M,13,FALSE)</f>
        <v>human</v>
      </c>
      <c r="N98" s="7" t="str">
        <f>VLOOKUP(B98,[1]characters!$A:$G,7,FALSE)</f>
        <v>男性</v>
      </c>
      <c r="O98" s="45">
        <f ca="1">IFERROR(VLOOKUP(B98,input_433101!L:R,7,FALSE),VLOOKUP(tables_433101!C98,input_433101!A:H,8,FALSE))</f>
        <v>32542.400000000001</v>
      </c>
      <c r="P98" s="46">
        <f t="shared" ca="1" si="5"/>
        <v>2.7823529411407856E-3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input_433101!A$2</f>
        <v>433101</v>
      </c>
      <c r="B99" s="5">
        <v>224</v>
      </c>
      <c r="C99" s="7" t="str">
        <f t="shared" si="4"/>
        <v>Premium4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巨腕 ヘラクレス</v>
      </c>
      <c r="I99" s="7" t="str">
        <f>VLOOKUP(B99,[1]characters!$A:$J,10,FALSE)</f>
        <v>PremiumN</v>
      </c>
      <c r="J99" s="7">
        <f>VLOOKUP(B99,[1]characters!$A:$I,9,FALSE)</f>
        <v>4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IFERROR(VLOOKUP(B99,input_433101!L:R,7,FALSE),VLOOKUP(tables_433101!C99,input_433101!A:H,8,FALSE))</f>
        <v>25292.102510000001</v>
      </c>
      <c r="P99" s="46">
        <f t="shared" ca="1" si="5"/>
        <v>2.1624574649175459E-3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input_433101!A$2</f>
        <v>433101</v>
      </c>
      <c r="B100" s="5">
        <v>225</v>
      </c>
      <c r="C100" s="7" t="str">
        <f t="shared" si="4"/>
        <v>Premium5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咆哮の巨獅腕 ヘラクレス</v>
      </c>
      <c r="I100" s="7" t="str">
        <f>VLOOKUP(B100,[1]characters!$A:$J,10,FALSE)</f>
        <v>PremiumN</v>
      </c>
      <c r="J100" s="7">
        <f>VLOOKUP(B100,[1]characters!$A:$I,9,FALSE)</f>
        <v>5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IFERROR(VLOOKUP(B100,input_433101!L:R,7,FALSE),VLOOKUP(tables_433101!C100,input_433101!A:H,8,FALSE))</f>
        <v>1402.2974899999999</v>
      </c>
      <c r="P100" s="46">
        <f t="shared" ca="1" si="5"/>
        <v>1.1989547622965244E-4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input_433101!A$2</f>
        <v>433101</v>
      </c>
      <c r="B101" s="5">
        <v>226</v>
      </c>
      <c r="C101" s="7" t="str">
        <f t="shared" si="4"/>
        <v>Premium3color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>color</v>
      </c>
      <c r="H101" s="7" t="str">
        <f>VLOOKUP(B101,[1]characters!$A:$C,3,FALSE)</f>
        <v>アレス</v>
      </c>
      <c r="I101" s="7" t="str">
        <f>VLOOKUP(B101,[1]characters!$A:$J,10,FALSE)</f>
        <v>PremiumS</v>
      </c>
      <c r="J101" s="7">
        <f>VLOOKUP(B101,[1]characters!$A:$I,9,FALSE)</f>
        <v>3</v>
      </c>
      <c r="K101" s="7" t="str">
        <f>VLOOKUP(B101,[1]characters!$A:$H,8,FALSE)</f>
        <v>red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ca="1">IFERROR(VLOOKUP(B101,input_433101!L:R,7,FALSE),VLOOKUP(tables_433101!C101,input_433101!A:H,8,FALSE))</f>
        <v>144318.46956999999</v>
      </c>
      <c r="P101" s="46">
        <f t="shared" ca="1" si="5"/>
        <v>1.2339130435033263E-2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input_433101!A$2</f>
        <v>433101</v>
      </c>
      <c r="B102" s="5">
        <v>227</v>
      </c>
      <c r="C102" s="7" t="str">
        <f t="shared" si="4"/>
        <v>Premium4color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滅弾 アレス</v>
      </c>
      <c r="I102" s="7" t="str">
        <f>VLOOKUP(B102,[1]characters!$A:$J,10,FALSE)</f>
        <v>PremiumS</v>
      </c>
      <c r="J102" s="7">
        <f>VLOOKUP(B102,[1]characters!$A:$I,9,FALSE)</f>
        <v>4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IFERROR(VLOOKUP(B102,input_433101!L:R,7,FALSE),VLOOKUP(tables_433101!C102,input_433101!A:H,8,FALSE))</f>
        <v>139146.33515999999</v>
      </c>
      <c r="P102" s="46">
        <f t="shared" ca="1" si="5"/>
        <v>1.1896916480695569E-2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input_433101!A$2</f>
        <v>433101</v>
      </c>
      <c r="B103" s="5">
        <v>228</v>
      </c>
      <c r="C103" s="7" t="str">
        <f t="shared" si="4"/>
        <v>Premium5color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殲滅の掃射砲 アレス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IFERROR(VLOOKUP(B103,input_433101!L:R,7,FALSE),VLOOKUP(tables_433101!C103,input_433101!A:H,8,FALSE))</f>
        <v>5172.1344099999997</v>
      </c>
      <c r="P103" s="46">
        <f t="shared" ca="1" si="5"/>
        <v>4.4221395433769362E-4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input_433101!A$2</f>
        <v>433101</v>
      </c>
      <c r="B104" s="5">
        <v>229</v>
      </c>
      <c r="C104" s="7" t="str">
        <f t="shared" si="4"/>
        <v>Premium3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ヨルムンガンド</v>
      </c>
      <c r="I104" s="7" t="str">
        <f>VLOOKUP(B104,[1]characters!$A:$J,10,FALSE)</f>
        <v>PremiumS</v>
      </c>
      <c r="J104" s="7">
        <f>VLOOKUP(B104,[1]characters!$A:$I,9,FALSE)</f>
        <v>3</v>
      </c>
      <c r="K104" s="7" t="str">
        <f>VLOOKUP(B104,[1]characters!$A:$H,8,FALSE)</f>
        <v>green</v>
      </c>
      <c r="L104" s="7" t="str">
        <f>VLOOKUP(B104,[1]characters!$A:$K,11,FALSE)</f>
        <v>technical</v>
      </c>
      <c r="M104" s="7" t="str">
        <f>VLOOKUP(B104,[1]characters!$A:$M,13,FALSE)</f>
        <v>dragon</v>
      </c>
      <c r="N104" s="7" t="str">
        <f>VLOOKUP(B104,[1]characters!$A:$G,7,FALSE)</f>
        <v>女性</v>
      </c>
      <c r="O104" s="45">
        <f ca="1">IFERROR(VLOOKUP(B104,input_433101!L:R,7,FALSE),VLOOKUP(tables_433101!C104,input_433101!A:H,8,FALSE))</f>
        <v>32542.400000000001</v>
      </c>
      <c r="P104" s="46">
        <f t="shared" ca="1" si="5"/>
        <v>2.7823529411407856E-3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input_433101!A$2</f>
        <v>433101</v>
      </c>
      <c r="B105" s="5">
        <v>230</v>
      </c>
      <c r="C105" s="7" t="str">
        <f t="shared" si="4"/>
        <v>Premium4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毒銃 ヨルムンガンド</v>
      </c>
      <c r="I105" s="7" t="str">
        <f>VLOOKUP(B105,[1]characters!$A:$J,10,FALSE)</f>
        <v>PremiumS</v>
      </c>
      <c r="J105" s="7">
        <f>VLOOKUP(B105,[1]characters!$A:$I,9,FALSE)</f>
        <v>4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IFERROR(VLOOKUP(B105,input_433101!L:R,7,FALSE),VLOOKUP(tables_433101!C105,input_433101!A:H,8,FALSE))</f>
        <v>25292.102510000001</v>
      </c>
      <c r="P105" s="46">
        <f t="shared" ca="1" si="5"/>
        <v>2.1624574649175459E-3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input_433101!A$2</f>
        <v>433101</v>
      </c>
      <c r="B106" s="5">
        <v>231</v>
      </c>
      <c r="C106" s="7" t="str">
        <f t="shared" si="4"/>
        <v>Premium5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必中の咬銃 ヨルムンガンド</v>
      </c>
      <c r="I106" s="7" t="str">
        <f>VLOOKUP(B106,[1]characters!$A:$J,10,FALSE)</f>
        <v>PremiumS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IFERROR(VLOOKUP(B106,input_433101!L:R,7,FALSE),VLOOKUP(tables_433101!C106,input_433101!A:H,8,FALSE))</f>
        <v>1402.2974899999999</v>
      </c>
      <c r="P106" s="46">
        <f t="shared" ca="1" si="5"/>
        <v>1.1989547622965244E-4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input_433101!A$2</f>
        <v>433101</v>
      </c>
      <c r="B107" s="5">
        <v>232</v>
      </c>
      <c r="C107" s="7" t="str">
        <f t="shared" si="4"/>
        <v>Premium3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パーシヴァル</v>
      </c>
      <c r="I107" s="7" t="str">
        <f>VLOOKUP(B107,[1]characters!$A:$J,10,FALSE)</f>
        <v>PremiumS</v>
      </c>
      <c r="J107" s="7">
        <f>VLOOKUP(B107,[1]characters!$A:$I,9,FALSE)</f>
        <v>3</v>
      </c>
      <c r="K107" s="7" t="str">
        <f>VLOOKUP(B107,[1]characters!$A:$H,8,FALSE)</f>
        <v>blue</v>
      </c>
      <c r="L107" s="7" t="str">
        <f>VLOOKUP(B107,[1]characters!$A:$K,11,FALSE)</f>
        <v>technical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ca="1">IFERROR(VLOOKUP(B107,input_433101!L:R,7,FALSE),VLOOKUP(tables_433101!C107,input_433101!A:H,8,FALSE))</f>
        <v>32542.400000000001</v>
      </c>
      <c r="P107" s="46">
        <f t="shared" ca="1" si="5"/>
        <v>2.7823529411407856E-3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input_433101!A$2</f>
        <v>433101</v>
      </c>
      <c r="B108" s="5">
        <v>233</v>
      </c>
      <c r="C108" s="7" t="str">
        <f t="shared" si="4"/>
        <v>Premium4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遂行 パーシヴァル</v>
      </c>
      <c r="I108" s="7" t="str">
        <f>VLOOKUP(B108,[1]characters!$A:$J,10,FALSE)</f>
        <v>PremiumS</v>
      </c>
      <c r="J108" s="7">
        <f>VLOOKUP(B108,[1]characters!$A:$I,9,FALSE)</f>
        <v>4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IFERROR(VLOOKUP(B108,input_433101!L:R,7,FALSE),VLOOKUP(tables_433101!C108,input_433101!A:H,8,FALSE))</f>
        <v>25292.102510000001</v>
      </c>
      <c r="P108" s="46">
        <f t="shared" ca="1" si="5"/>
        <v>2.1624574649175459E-3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input_433101!A$2</f>
        <v>433101</v>
      </c>
      <c r="B109" s="5">
        <v>234</v>
      </c>
      <c r="C109" s="7" t="str">
        <f t="shared" si="4"/>
        <v>Premium5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精密なる照準 パーシヴァル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IFERROR(VLOOKUP(B109,input_433101!L:R,7,FALSE),VLOOKUP(tables_433101!C109,input_433101!A:H,8,FALSE))</f>
        <v>1402.2974899999999</v>
      </c>
      <c r="P109" s="46">
        <f t="shared" ca="1" si="5"/>
        <v>1.1989547622965244E-4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input_433101!A$2</f>
        <v>433101</v>
      </c>
      <c r="B110" s="5">
        <v>235</v>
      </c>
      <c r="C110" s="7" t="str">
        <f t="shared" si="4"/>
        <v>Premium3R6release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>R6release</v>
      </c>
      <c r="G110" s="7" t="str">
        <f t="shared" si="7"/>
        <v/>
      </c>
      <c r="H110" s="7" t="str">
        <f>VLOOKUP(B110,[1]characters!$A:$C,3,FALSE)</f>
        <v>イザナミ</v>
      </c>
      <c r="I110" s="7" t="str">
        <f>VLOOKUP(B110,[1]characters!$A:$J,10,FALSE)</f>
        <v>PremiumS</v>
      </c>
      <c r="J110" s="7">
        <f>VLOOKUP(B110,[1]characters!$A:$I,9,FALSE)</f>
        <v>3</v>
      </c>
      <c r="K110" s="7" t="str">
        <f>VLOOKUP(B110,[1]characters!$A:$H,8,FALSE)</f>
        <v>yellow</v>
      </c>
      <c r="L110" s="7" t="str">
        <f>VLOOKUP(B110,[1]characters!$A:$K,11,FALSE)</f>
        <v>attack</v>
      </c>
      <c r="M110" s="7" t="str">
        <f>VLOOKUP(B110,[1]characters!$A:$M,13,FALSE)</f>
        <v>god</v>
      </c>
      <c r="N110" s="7" t="str">
        <f>VLOOKUP(B110,[1]characters!$A:$G,7,FALSE)</f>
        <v>女性</v>
      </c>
      <c r="O110" s="45">
        <f ca="1">IFERROR(VLOOKUP(B110,input_433101!L:R,7,FALSE),VLOOKUP(tables_433101!C110,input_433101!A:H,8,FALSE))</f>
        <v>32542.400000000001</v>
      </c>
      <c r="P110" s="46">
        <f t="shared" ca="1" si="5"/>
        <v>2.7823529411407856E-3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input_433101!A$2</f>
        <v>433101</v>
      </c>
      <c r="B111" s="5">
        <v>236</v>
      </c>
      <c r="C111" s="7" t="str">
        <f t="shared" si="4"/>
        <v>Premium4R6release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神産 イザナミ</v>
      </c>
      <c r="I111" s="7" t="str">
        <f>VLOOKUP(B111,[1]characters!$A:$J,10,FALSE)</f>
        <v>PremiumS</v>
      </c>
      <c r="J111" s="7">
        <f>VLOOKUP(B111,[1]characters!$A:$I,9,FALSE)</f>
        <v>4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IFERROR(VLOOKUP(B111,input_433101!L:R,7,FALSE),VLOOKUP(tables_433101!C111,input_433101!A:H,8,FALSE))</f>
        <v>29288.16</v>
      </c>
      <c r="P111" s="46">
        <f t="shared" ca="1" si="5"/>
        <v>2.5041176470267071E-3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input_433101!A$2</f>
        <v>433101</v>
      </c>
      <c r="B112" s="5">
        <v>237</v>
      </c>
      <c r="C112" s="7" t="str">
        <f t="shared" si="4"/>
        <v>Premium5R6release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森羅万象の神母 イザナミ</v>
      </c>
      <c r="I112" s="7" t="str">
        <f>VLOOKUP(B112,[1]characters!$A:$J,10,FALSE)</f>
        <v>PremiumS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IFERROR(VLOOKUP(B112,input_433101!L:R,7,FALSE),VLOOKUP(tables_433101!C112,input_433101!A:H,8,FALSE))</f>
        <v>3254.24</v>
      </c>
      <c r="P112" s="46">
        <f t="shared" ca="1" si="5"/>
        <v>2.7823529411407857E-4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input_433101!A$2</f>
        <v>433101</v>
      </c>
      <c r="B113" s="5">
        <v>238</v>
      </c>
      <c r="C113" s="7" t="str">
        <f t="shared" si="4"/>
        <v>Premium3color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 t="str">
        <f t="shared" si="7"/>
        <v>color</v>
      </c>
      <c r="H113" s="7" t="str">
        <f>VLOOKUP(B113,[1]characters!$A:$C,3,FALSE)</f>
        <v>ウリエル</v>
      </c>
      <c r="I113" s="7" t="str">
        <f>VLOOKUP(B113,[1]characters!$A:$J,10,FALSE)</f>
        <v>PremiumS</v>
      </c>
      <c r="J113" s="7">
        <f>VLOOKUP(B113,[1]characters!$A:$I,9,FALSE)</f>
        <v>3</v>
      </c>
      <c r="K113" s="7" t="str">
        <f>VLOOKUP(B113,[1]characters!$A:$H,8,FALSE)</f>
        <v>red</v>
      </c>
      <c r="L113" s="7" t="str">
        <f>VLOOKUP(B113,[1]characters!$A:$K,11,FALSE)</f>
        <v>hp</v>
      </c>
      <c r="M113" s="7" t="str">
        <f>VLOOKUP(B113,[1]characters!$A:$M,13,FALSE)</f>
        <v>machine</v>
      </c>
      <c r="N113" s="7" t="str">
        <f>VLOOKUP(B113,[1]characters!$A:$G,7,FALSE)</f>
        <v>女性</v>
      </c>
      <c r="O113" s="45">
        <f ca="1">IFERROR(VLOOKUP(B113,input_433101!L:R,7,FALSE),VLOOKUP(tables_433101!C113,input_433101!A:H,8,FALSE))</f>
        <v>144318.46956999999</v>
      </c>
      <c r="P113" s="46">
        <f t="shared" ca="1" si="5"/>
        <v>1.2339130435033263E-2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input_433101!A$2</f>
        <v>433101</v>
      </c>
      <c r="B114" s="5">
        <v>239</v>
      </c>
      <c r="C114" s="7" t="str">
        <f t="shared" si="4"/>
        <v>Premium4color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豪炎の天使 ウリエル</v>
      </c>
      <c r="I114" s="7" t="str">
        <f>VLOOKUP(B114,[1]characters!$A:$J,10,FALSE)</f>
        <v>PremiumS</v>
      </c>
      <c r="J114" s="7">
        <f>VLOOKUP(B114,[1]characters!$A:$I,9,FALSE)</f>
        <v>4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IFERROR(VLOOKUP(B114,input_433101!L:R,7,FALSE),VLOOKUP(tables_433101!C114,input_433101!A:H,8,FALSE))</f>
        <v>139146.33515999999</v>
      </c>
      <c r="P114" s="46">
        <f t="shared" ca="1" si="5"/>
        <v>1.1896916480695569E-2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input_433101!A$2</f>
        <v>433101</v>
      </c>
      <c r="B115" s="5">
        <v>240</v>
      </c>
      <c r="C115" s="7" t="str">
        <f t="shared" si="4"/>
        <v>Premium5color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轟炎の天使 ウリエル・スレイヤー</v>
      </c>
      <c r="I115" s="7" t="str">
        <f>VLOOKUP(B115,[1]characters!$A:$J,10,FALSE)</f>
        <v>PremiumS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IFERROR(VLOOKUP(B115,input_433101!L:R,7,FALSE),VLOOKUP(tables_433101!C115,input_433101!A:H,8,FALSE))</f>
        <v>5172.1344099999997</v>
      </c>
      <c r="P115" s="46">
        <f t="shared" ca="1" si="5"/>
        <v>4.4221395433769362E-4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input_433101!A$2</f>
        <v>433101</v>
      </c>
      <c r="B116" s="5">
        <v>241</v>
      </c>
      <c r="C116" s="7" t="str">
        <f t="shared" si="4"/>
        <v>Premium3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ガブリエル</v>
      </c>
      <c r="I116" s="7" t="str">
        <f>VLOOKUP(B116,[1]characters!$A:$J,10,FALSE)</f>
        <v>PremiumS</v>
      </c>
      <c r="J116" s="7">
        <f>VLOOKUP(B116,[1]characters!$A:$I,9,FALSE)</f>
        <v>3</v>
      </c>
      <c r="K116" s="7" t="str">
        <f>VLOOKUP(B116,[1]characters!$A:$H,8,FALSE)</f>
        <v>green</v>
      </c>
      <c r="L116" s="7" t="str">
        <f>VLOOKUP(B116,[1]characters!$A:$K,11,FALSE)</f>
        <v>balance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IFERROR(VLOOKUP(B116,input_433101!L:R,7,FALSE),VLOOKUP(tables_433101!C116,input_433101!A:H,8,FALSE))</f>
        <v>32542.400000000001</v>
      </c>
      <c r="P116" s="46">
        <f t="shared" ca="1" si="5"/>
        <v>2.7823529411407856E-3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input_433101!A$2</f>
        <v>433101</v>
      </c>
      <c r="B117" s="5">
        <v>242</v>
      </c>
      <c r="C117" s="7" t="str">
        <f t="shared" si="4"/>
        <v>Premium4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百花の天使 ガブリエル</v>
      </c>
      <c r="I117" s="7" t="str">
        <f>VLOOKUP(B117,[1]characters!$A:$J,10,FALSE)</f>
        <v>PremiumS</v>
      </c>
      <c r="J117" s="7">
        <f>VLOOKUP(B117,[1]characters!$A:$I,9,FALSE)</f>
        <v>4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IFERROR(VLOOKUP(B117,input_433101!L:R,7,FALSE),VLOOKUP(tables_433101!C117,input_433101!A:H,8,FALSE))</f>
        <v>25292.102510000001</v>
      </c>
      <c r="P117" s="46">
        <f t="shared" ca="1" si="5"/>
        <v>2.1624574649175459E-3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input_433101!A$2</f>
        <v>433101</v>
      </c>
      <c r="B118" s="5">
        <v>243</v>
      </c>
      <c r="C118" s="7" t="str">
        <f t="shared" si="4"/>
        <v>Premium5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万花の天使 ガブリエル・ブルーム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IFERROR(VLOOKUP(B118,input_433101!L:R,7,FALSE),VLOOKUP(tables_433101!C118,input_433101!A:H,8,FALSE))</f>
        <v>1402.2974899999999</v>
      </c>
      <c r="P118" s="46">
        <f t="shared" ca="1" si="5"/>
        <v>1.1989547622965244E-4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input_433101!A$2</f>
        <v>433101</v>
      </c>
      <c r="B119" s="5">
        <v>244</v>
      </c>
      <c r="C119" s="7" t="str">
        <f t="shared" si="4"/>
        <v>Premium3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ラファエル</v>
      </c>
      <c r="I119" s="7" t="str">
        <f>VLOOKUP(B119,[1]characters!$A:$J,10,FALSE)</f>
        <v>PremiumS</v>
      </c>
      <c r="J119" s="7">
        <f>VLOOKUP(B119,[1]characters!$A:$I,9,FALSE)</f>
        <v>3</v>
      </c>
      <c r="K119" s="7" t="str">
        <f>VLOOKUP(B119,[1]characters!$A:$H,8,FALSE)</f>
        <v>blue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IFERROR(VLOOKUP(B119,input_433101!L:R,7,FALSE),VLOOKUP(tables_433101!C119,input_433101!A:H,8,FALSE))</f>
        <v>32542.400000000001</v>
      </c>
      <c r="P119" s="46">
        <f t="shared" ca="1" si="5"/>
        <v>2.7823529411407856E-3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input_433101!A$2</f>
        <v>433101</v>
      </c>
      <c r="B120" s="5">
        <v>245</v>
      </c>
      <c r="C120" s="7" t="str">
        <f t="shared" si="4"/>
        <v>Premium4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鎮癒の天使 ラファエル</v>
      </c>
      <c r="I120" s="7" t="str">
        <f>VLOOKUP(B120,[1]characters!$A:$J,10,FALSE)</f>
        <v>PremiumS</v>
      </c>
      <c r="J120" s="7">
        <f>VLOOKUP(B120,[1]characters!$A:$I,9,FALSE)</f>
        <v>4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IFERROR(VLOOKUP(B120,input_433101!L:R,7,FALSE),VLOOKUP(tables_433101!C120,input_433101!A:H,8,FALSE))</f>
        <v>25292.102510000001</v>
      </c>
      <c r="P120" s="46">
        <f t="shared" ca="1" si="5"/>
        <v>2.1624574649175459E-3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input_433101!A$2</f>
        <v>433101</v>
      </c>
      <c r="B121" s="5">
        <v>246</v>
      </c>
      <c r="C121" s="7" t="str">
        <f t="shared" si="4"/>
        <v>Premium5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真癒の天使 ラファエル・メディカ</v>
      </c>
      <c r="I121" s="7" t="str">
        <f>VLOOKUP(B121,[1]characters!$A:$J,10,FALSE)</f>
        <v>PremiumS</v>
      </c>
      <c r="J121" s="7">
        <f>VLOOKUP(B121,[1]characters!$A:$I,9,FALSE)</f>
        <v>5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IFERROR(VLOOKUP(B121,input_433101!L:R,7,FALSE),VLOOKUP(tables_433101!C121,input_433101!A:H,8,FALSE))</f>
        <v>1402.2974899999999</v>
      </c>
      <c r="P121" s="46">
        <f t="shared" ca="1" si="5"/>
        <v>1.1989547622965244E-4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input_433101!A$2</f>
        <v>433101</v>
      </c>
      <c r="B122" s="5">
        <v>247</v>
      </c>
      <c r="C122" s="7" t="str">
        <f t="shared" si="4"/>
        <v>Premium3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ミカエル</v>
      </c>
      <c r="I122" s="7" t="str">
        <f>VLOOKUP(B122,[1]characters!$A:$J,10,FALSE)</f>
        <v>PremiumS</v>
      </c>
      <c r="J122" s="7">
        <f>VLOOKUP(B122,[1]characters!$A:$I,9,FALSE)</f>
        <v>3</v>
      </c>
      <c r="K122" s="7" t="str">
        <f>VLOOKUP(B122,[1]characters!$A:$H,8,FALSE)</f>
        <v>yellow</v>
      </c>
      <c r="L122" s="7" t="str">
        <f>VLOOKUP(B122,[1]characters!$A:$K,11,FALSE)</f>
        <v>attack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IFERROR(VLOOKUP(B122,input_433101!L:R,7,FALSE),VLOOKUP(tables_433101!C122,input_433101!A:H,8,FALSE))</f>
        <v>32542.400000000001</v>
      </c>
      <c r="P122" s="46">
        <f t="shared" ca="1" si="5"/>
        <v>2.7823529411407856E-3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input_433101!A$2</f>
        <v>433101</v>
      </c>
      <c r="B123" s="5">
        <v>248</v>
      </c>
      <c r="C123" s="7" t="str">
        <f t="shared" si="4"/>
        <v>Premium4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彩電の天使 ミカエル</v>
      </c>
      <c r="I123" s="7" t="str">
        <f>VLOOKUP(B123,[1]characters!$A:$J,10,FALSE)</f>
        <v>PremiumS</v>
      </c>
      <c r="J123" s="7">
        <f>VLOOKUP(B123,[1]characters!$A:$I,9,FALSE)</f>
        <v>4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IFERROR(VLOOKUP(B123,input_433101!L:R,7,FALSE),VLOOKUP(tables_433101!C123,input_433101!A:H,8,FALSE))</f>
        <v>25292.102510000001</v>
      </c>
      <c r="P123" s="46">
        <f t="shared" ca="1" si="5"/>
        <v>2.1624574649175459E-3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input_433101!A$2</f>
        <v>433101</v>
      </c>
      <c r="B124" s="6">
        <v>249</v>
      </c>
      <c r="C124" s="7" t="str">
        <f t="shared" si="4"/>
        <v>Premium5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雷電の天使 ミカエル・ゲイナー</v>
      </c>
      <c r="I124" s="7" t="str">
        <f>VLOOKUP(B124,[1]characters!$A:$J,10,FALSE)</f>
        <v>PremiumS</v>
      </c>
      <c r="J124" s="7">
        <f>VLOOKUP(B124,[1]characters!$A:$I,9,FALSE)</f>
        <v>5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IFERROR(VLOOKUP(B124,input_433101!L:R,7,FALSE),VLOOKUP(tables_433101!C124,input_433101!A:H,8,FALSE))</f>
        <v>1402.2974899999999</v>
      </c>
      <c r="P124" s="46">
        <f t="shared" ca="1" si="5"/>
        <v>1.1989547622965244E-4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input_433101!A$2</f>
        <v>433101</v>
      </c>
      <c r="B125" s="6">
        <v>250</v>
      </c>
      <c r="C125" s="7" t="str">
        <f t="shared" si="4"/>
        <v>Premium3color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>color</v>
      </c>
      <c r="H125" s="7" t="str">
        <f>VLOOKUP(B125,[1]characters!$A:$C,3,FALSE)</f>
        <v>マンモン</v>
      </c>
      <c r="I125" s="7" t="str">
        <f>VLOOKUP(B125,[1]characters!$A:$J,10,FALSE)</f>
        <v>PremiumS</v>
      </c>
      <c r="J125" s="7">
        <f>VLOOKUP(B125,[1]characters!$A:$I,9,FALSE)</f>
        <v>3</v>
      </c>
      <c r="K125" s="7" t="str">
        <f>VLOOKUP(B125,[1]characters!$A:$H,8,FALSE)</f>
        <v>red</v>
      </c>
      <c r="L125" s="7" t="str">
        <f>VLOOKUP(B125,[1]characters!$A:$K,11,FALSE)</f>
        <v>balance</v>
      </c>
      <c r="M125" s="7" t="str">
        <f>VLOOKUP(B125,[1]characters!$A:$M,13,FALSE)</f>
        <v>god</v>
      </c>
      <c r="N125" s="7" t="str">
        <f>VLOOKUP(B125,[1]characters!$A:$G,7,FALSE)</f>
        <v>女性</v>
      </c>
      <c r="O125" s="45">
        <f ca="1">IFERROR(VLOOKUP(B125,input_433101!L:R,7,FALSE),VLOOKUP(tables_433101!C125,input_433101!A:H,8,FALSE))</f>
        <v>144318.46956999999</v>
      </c>
      <c r="P125" s="46">
        <f t="shared" ca="1" si="5"/>
        <v>1.2339130435033263E-2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input_433101!A$2</f>
        <v>433101</v>
      </c>
      <c r="B126" s="6">
        <v>251</v>
      </c>
      <c r="C126" s="7" t="str">
        <f t="shared" si="4"/>
        <v>Premium4color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強欲 マンモン</v>
      </c>
      <c r="I126" s="7" t="str">
        <f>VLOOKUP(B126,[1]characters!$A:$J,10,FALSE)</f>
        <v>PremiumS</v>
      </c>
      <c r="J126" s="7">
        <f>VLOOKUP(B126,[1]characters!$A:$I,9,FALSE)</f>
        <v>4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IFERROR(VLOOKUP(B126,input_433101!L:R,7,FALSE),VLOOKUP(tables_433101!C126,input_433101!A:H,8,FALSE))</f>
        <v>139146.33515999999</v>
      </c>
      <c r="P126" s="46">
        <f t="shared" ca="1" si="5"/>
        <v>1.1896916480695569E-2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input_433101!A$2</f>
        <v>433101</v>
      </c>
      <c r="B127" s="6">
        <v>252</v>
      </c>
      <c r="C127" s="7" t="str">
        <f t="shared" si="4"/>
        <v>Premium5color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強欲の沸騰 マンモン</v>
      </c>
      <c r="I127" s="7" t="str">
        <f>VLOOKUP(B127,[1]characters!$A:$J,10,FALSE)</f>
        <v>PremiumS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IFERROR(VLOOKUP(B127,input_433101!L:R,7,FALSE),VLOOKUP(tables_433101!C127,input_433101!A:H,8,FALSE))</f>
        <v>5172.1344099999997</v>
      </c>
      <c r="P127" s="46">
        <f t="shared" ca="1" si="5"/>
        <v>4.4221395433769362E-4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input_433101!A$2</f>
        <v>433101</v>
      </c>
      <c r="B128" s="6">
        <v>253</v>
      </c>
      <c r="C128" s="7" t="str">
        <f t="shared" si="4"/>
        <v>Premium3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ベルフェゴール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green</v>
      </c>
      <c r="L128" s="7" t="str">
        <f>VLOOKUP(B128,[1]characters!$A:$K,11,FALSE)</f>
        <v>technical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IFERROR(VLOOKUP(B128,input_433101!L:R,7,FALSE),VLOOKUP(tables_433101!C128,input_433101!A:H,8,FALSE))</f>
        <v>32542.400000000001</v>
      </c>
      <c r="P128" s="46">
        <f t="shared" ca="1" si="5"/>
        <v>2.7823529411407856E-3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input_433101!A$2</f>
        <v>433101</v>
      </c>
      <c r="B129" s="6">
        <v>254</v>
      </c>
      <c r="C129" s="7" t="str">
        <f t="shared" si="4"/>
        <v>Premium4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怠惰 ベルフェゴール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IFERROR(VLOOKUP(B129,input_433101!L:R,7,FALSE),VLOOKUP(tables_433101!C129,input_433101!A:H,8,FALSE))</f>
        <v>25292.102510000001</v>
      </c>
      <c r="P129" s="46">
        <f t="shared" ca="1" si="5"/>
        <v>2.1624574649175459E-3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input_433101!A$2</f>
        <v>433101</v>
      </c>
      <c r="B130" s="6">
        <v>255</v>
      </c>
      <c r="C130" s="7" t="str">
        <f t="shared" ref="C130:C193" si="8">D130&amp;J130&amp;E130&amp;F130&amp;G130</f>
        <v>Premium5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怠惰の頂点 ベルフェゴール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IFERROR(VLOOKUP(B130,input_433101!L:R,7,FALSE),VLOOKUP(tables_433101!C130,input_433101!A:H,8,FALSE))</f>
        <v>1402.2974899999999</v>
      </c>
      <c r="P130" s="46">
        <f t="shared" ref="P130:P193" ca="1" si="9">O130/SUM(O:O)</f>
        <v>1.1989547622965244E-4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input_433101!A$2</f>
        <v>433101</v>
      </c>
      <c r="B131" s="6">
        <v>256</v>
      </c>
      <c r="C131" s="7" t="str">
        <f t="shared" si="8"/>
        <v>Premium3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アスモデウス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blue</v>
      </c>
      <c r="L131" s="7" t="str">
        <f>VLOOKUP(B131,[1]characters!$A:$K,11,FALSE)</f>
        <v>attack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IFERROR(VLOOKUP(B131,input_433101!L:R,7,FALSE),VLOOKUP(tables_433101!C131,input_433101!A:H,8,FALSE))</f>
        <v>32542.400000000001</v>
      </c>
      <c r="P131" s="46">
        <f t="shared" ca="1" si="9"/>
        <v>2.7823529411407856E-3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input_433101!A$2</f>
        <v>433101</v>
      </c>
      <c r="B132" s="6">
        <v>257</v>
      </c>
      <c r="C132" s="7" t="str">
        <f t="shared" si="8"/>
        <v>Premium4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色欲 アスモデウス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IFERROR(VLOOKUP(B132,input_433101!L:R,7,FALSE),VLOOKUP(tables_433101!C132,input_433101!A:H,8,FALSE))</f>
        <v>25292.102510000001</v>
      </c>
      <c r="P132" s="46">
        <f t="shared" ca="1" si="9"/>
        <v>2.1624574649175459E-3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input_433101!A$2</f>
        <v>433101</v>
      </c>
      <c r="B133" s="6">
        <v>258</v>
      </c>
      <c r="C133" s="7" t="str">
        <f t="shared" si="8"/>
        <v>Premium5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色欲の源流 アスモデウス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IFERROR(VLOOKUP(B133,input_433101!L:R,7,FALSE),VLOOKUP(tables_433101!C133,input_433101!A:H,8,FALSE))</f>
        <v>1402.2974899999999</v>
      </c>
      <c r="P133" s="46">
        <f t="shared" ca="1" si="9"/>
        <v>1.1989547622965244E-4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input_433101!A$2</f>
        <v>433101</v>
      </c>
      <c r="B134" s="6">
        <v>259</v>
      </c>
      <c r="C134" s="7" t="str">
        <f t="shared" si="8"/>
        <v>Premium3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ウロボロス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yellow</v>
      </c>
      <c r="L134" s="7" t="str">
        <f>VLOOKUP(B134,[1]characters!$A:$K,11,FALSE)</f>
        <v>balance</v>
      </c>
      <c r="M134" s="7" t="str">
        <f>VLOOKUP(B134,[1]characters!$A:$M,13,FALSE)</f>
        <v>dragon</v>
      </c>
      <c r="N134" s="7" t="str">
        <f>VLOOKUP(B134,[1]characters!$A:$G,7,FALSE)</f>
        <v>女性</v>
      </c>
      <c r="O134" s="45">
        <f ca="1">IFERROR(VLOOKUP(B134,input_433101!L:R,7,FALSE),VLOOKUP(tables_433101!C134,input_433101!A:H,8,FALSE))</f>
        <v>32542.400000000001</v>
      </c>
      <c r="P134" s="46">
        <f t="shared" ca="1" si="9"/>
        <v>2.7823529411407856E-3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input_433101!A$2</f>
        <v>433101</v>
      </c>
      <c r="B135" s="8">
        <v>260</v>
      </c>
      <c r="C135" s="7" t="str">
        <f t="shared" si="8"/>
        <v>Premium4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輪廻 ウロボロス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IFERROR(VLOOKUP(B135,input_433101!L:R,7,FALSE),VLOOKUP(tables_433101!C135,input_433101!A:H,8,FALSE))</f>
        <v>25292.102510000001</v>
      </c>
      <c r="P135" s="46">
        <f t="shared" ca="1" si="9"/>
        <v>2.1624574649175459E-3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input_433101!A$2</f>
        <v>433101</v>
      </c>
      <c r="B136" s="8">
        <v>261</v>
      </c>
      <c r="C136" s="7" t="str">
        <f t="shared" si="8"/>
        <v>Premium5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輪廻の蛇龍 ウロボロス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IFERROR(VLOOKUP(B136,input_433101!L:R,7,FALSE),VLOOKUP(tables_433101!C136,input_433101!A:H,8,FALSE))</f>
        <v>1402.2974899999999</v>
      </c>
      <c r="P136" s="46">
        <f t="shared" ca="1" si="9"/>
        <v>1.1989547622965244E-4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input_433101!A$2</f>
        <v>433101</v>
      </c>
      <c r="B137" s="6">
        <v>320</v>
      </c>
      <c r="C137" s="7" t="str">
        <f t="shared" si="8"/>
        <v>PremiumSS4color</v>
      </c>
      <c r="D137" s="7" t="str">
        <f t="shared" si="10"/>
        <v>PremiumSS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>color</v>
      </c>
      <c r="H137" s="7" t="str">
        <f>VLOOKUP(B137,[1]characters!$A:$C,3,FALSE)</f>
        <v>烈志士 近藤勇</v>
      </c>
      <c r="I137" s="7" t="str">
        <f>VLOOKUP(B137,[1]characters!$A:$J,10,FALSE)</f>
        <v>PremiumSS</v>
      </c>
      <c r="J137" s="7">
        <f>VLOOKUP(B137,[1]characters!$A:$I,9,FALSE)</f>
        <v>4</v>
      </c>
      <c r="K137" s="7" t="str">
        <f>VLOOKUP(B137,[1]characters!$A:$H,8,FALSE)</f>
        <v>red</v>
      </c>
      <c r="L137" s="7" t="str">
        <f>VLOOKUP(B137,[1]characters!$A:$K,11,FALSE)</f>
        <v>hp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45">
        <f ca="1">IFERROR(VLOOKUP(B137,input_433101!L:R,7,FALSE),VLOOKUP(tables_433101!C137,input_433101!A:H,8,FALSE))</f>
        <v>23809.71429</v>
      </c>
      <c r="P137" s="46">
        <f t="shared" ca="1" si="9"/>
        <v>2.0357142860546024E-3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input_433101!A$2</f>
        <v>433101</v>
      </c>
      <c r="B138" s="6">
        <v>321</v>
      </c>
      <c r="C138" s="7" t="str">
        <f t="shared" si="8"/>
        <v>PremiumSS5color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巌鉄の烈志士 近藤勇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IFERROR(VLOOKUP(B138,input_433101!L:R,7,FALSE),VLOOKUP(tables_433101!C138,input_433101!A:H,8,FALSE))</f>
        <v>1253.1428599999999</v>
      </c>
      <c r="P138" s="46">
        <f t="shared" ca="1" si="9"/>
        <v>1.0714285738576674E-4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input_433101!A$2</f>
        <v>433101</v>
      </c>
      <c r="B139" s="6">
        <v>322</v>
      </c>
      <c r="C139" s="7" t="str">
        <f t="shared" si="8"/>
        <v>PremiumSS4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愛志士 土方歳三</v>
      </c>
      <c r="I139" s="7" t="str">
        <f>VLOOKUP(B139,[1]characters!$A:$J,10,FALSE)</f>
        <v>PremiumSS</v>
      </c>
      <c r="J139" s="7">
        <f>VLOOKUP(B139,[1]characters!$A:$I,9,FALSE)</f>
        <v>4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human</v>
      </c>
      <c r="N139" s="7" t="str">
        <f>VLOOKUP(B139,[1]characters!$A:$G,7,FALSE)</f>
        <v>女性</v>
      </c>
      <c r="O139" s="45">
        <f ca="1">IFERROR(VLOOKUP(B139,input_433101!L:R,7,FALSE),VLOOKUP(tables_433101!C139,input_433101!A:H,8,FALSE))</f>
        <v>5168</v>
      </c>
      <c r="P139" s="46">
        <f t="shared" ca="1" si="9"/>
        <v>4.41860465110612E-4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input_433101!A$2</f>
        <v>433101</v>
      </c>
      <c r="B140" s="6">
        <v>323</v>
      </c>
      <c r="C140" s="7" t="str">
        <f t="shared" si="8"/>
        <v>PremiumSS5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流麗の愛志士 土方歳三</v>
      </c>
      <c r="I140" s="7" t="str">
        <f>VLOOKUP(B140,[1]characters!$A:$J,10,FALSE)</f>
        <v>PremiumSS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IFERROR(VLOOKUP(B140,input_433101!L:R,7,FALSE),VLOOKUP(tables_433101!C140,input_433101!A:H,8,FALSE))</f>
        <v>272</v>
      </c>
      <c r="P140" s="46">
        <f t="shared" ca="1" si="9"/>
        <v>2.3255813953190107E-5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input_433101!A$2</f>
        <v>433101</v>
      </c>
      <c r="B141" s="6">
        <v>324</v>
      </c>
      <c r="C141" s="7" t="str">
        <f t="shared" si="8"/>
        <v>PremiumSS4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凛志士 沖田総司</v>
      </c>
      <c r="I141" s="7" t="str">
        <f>VLOOKUP(B141,[1]characters!$A:$J,10,FALSE)</f>
        <v>PremiumSS</v>
      </c>
      <c r="J141" s="7">
        <f>VLOOKUP(B141,[1]characters!$A:$I,9,FALSE)</f>
        <v>4</v>
      </c>
      <c r="K141" s="7" t="str">
        <f>VLOOKUP(B141,[1]characters!$A:$H,8,FALSE)</f>
        <v>blue</v>
      </c>
      <c r="L141" s="7" t="str">
        <f>VLOOKUP(B141,[1]characters!$A:$K,11,FALSE)</f>
        <v>balance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IFERROR(VLOOKUP(B141,input_433101!L:R,7,FALSE),VLOOKUP(tables_433101!C141,input_433101!A:H,8,FALSE))</f>
        <v>5168</v>
      </c>
      <c r="P141" s="46">
        <f t="shared" ca="1" si="9"/>
        <v>4.41860465110612E-4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input_433101!A$2</f>
        <v>433101</v>
      </c>
      <c r="B142" s="6">
        <v>325</v>
      </c>
      <c r="C142" s="7" t="str">
        <f t="shared" si="8"/>
        <v>PremiumSS5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天賦の凛志士 沖田総司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IFERROR(VLOOKUP(B142,input_433101!L:R,7,FALSE),VLOOKUP(tables_433101!C142,input_433101!A:H,8,FALSE))</f>
        <v>272</v>
      </c>
      <c r="P142" s="46">
        <f t="shared" ca="1" si="9"/>
        <v>2.3255813953190107E-5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input_433101!A$2</f>
        <v>433101</v>
      </c>
      <c r="B143" s="6">
        <v>326</v>
      </c>
      <c r="C143" s="7" t="str">
        <f t="shared" si="8"/>
        <v>PremiumSS4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妖志士 斎藤一</v>
      </c>
      <c r="I143" s="7" t="str">
        <f>VLOOKUP(B143,[1]characters!$A:$J,10,FALSE)</f>
        <v>PremiumSS</v>
      </c>
      <c r="J143" s="7">
        <f>VLOOKUP(B143,[1]characters!$A:$I,9,FALSE)</f>
        <v>4</v>
      </c>
      <c r="K143" s="7" t="str">
        <f>VLOOKUP(B143,[1]characters!$A:$H,8,FALSE)</f>
        <v>yellow</v>
      </c>
      <c r="L143" s="7" t="str">
        <f>VLOOKUP(B143,[1]characters!$A:$K,11,FALSE)</f>
        <v>technical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IFERROR(VLOOKUP(B143,input_433101!L:R,7,FALSE),VLOOKUP(tables_433101!C143,input_433101!A:H,8,FALSE))</f>
        <v>5168</v>
      </c>
      <c r="P143" s="46">
        <f t="shared" ca="1" si="9"/>
        <v>4.41860465110612E-4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input_433101!A$2</f>
        <v>433101</v>
      </c>
      <c r="B144" s="6">
        <v>327</v>
      </c>
      <c r="C144" s="7" t="str">
        <f t="shared" si="8"/>
        <v>PremiumSS5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千殺の妖志士 斎藤一</v>
      </c>
      <c r="I144" s="7" t="str">
        <f>VLOOKUP(B144,[1]characters!$A:$J,10,FALSE)</f>
        <v>PremiumSS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IFERROR(VLOOKUP(B144,input_433101!L:R,7,FALSE),VLOOKUP(tables_433101!C144,input_433101!A:H,8,FALSE))</f>
        <v>272</v>
      </c>
      <c r="P144" s="46">
        <f t="shared" ca="1" si="9"/>
        <v>2.3255813953190107E-5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input_433101!A$2</f>
        <v>433101</v>
      </c>
      <c r="B145" s="6">
        <v>380</v>
      </c>
      <c r="C145" s="7" t="str">
        <f t="shared" si="8"/>
        <v>Premium3color</v>
      </c>
      <c r="D145" s="7" t="str">
        <f t="shared" si="10"/>
        <v>Premium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>color</v>
      </c>
      <c r="H145" s="7" t="str">
        <f>VLOOKUP(B145,[1]characters!$A:$C,3,FALSE)</f>
        <v>バハムート</v>
      </c>
      <c r="I145" s="7" t="str">
        <f>VLOOKUP(B145,[1]characters!$A:$J,10,FALSE)</f>
        <v>PremiumS</v>
      </c>
      <c r="J145" s="7">
        <f>VLOOKUP(B145,[1]characters!$A:$I,9,FALSE)</f>
        <v>3</v>
      </c>
      <c r="K145" s="7" t="str">
        <f>VLOOKUP(B145,[1]characters!$A:$H,8,FALSE)</f>
        <v>red</v>
      </c>
      <c r="L145" s="7" t="str">
        <f>VLOOKUP(B145,[1]characters!$A:$K,11,FALSE)</f>
        <v>technical</v>
      </c>
      <c r="M145" s="7" t="str">
        <f>VLOOKUP(B145,[1]characters!$A:$M,13,FALSE)</f>
        <v>dragon</v>
      </c>
      <c r="N145" s="7" t="str">
        <f>VLOOKUP(B145,[1]characters!$A:$G,7,FALSE)</f>
        <v>女性</v>
      </c>
      <c r="O145" s="45">
        <f ca="1">IFERROR(VLOOKUP(B145,input_433101!L:R,7,FALSE),VLOOKUP(tables_433101!C145,input_433101!A:H,8,FALSE))</f>
        <v>144318.46956999999</v>
      </c>
      <c r="P145" s="46">
        <f t="shared" ca="1" si="9"/>
        <v>1.2339130435033263E-2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input_433101!A$2</f>
        <v>433101</v>
      </c>
      <c r="B146" s="6">
        <v>381</v>
      </c>
      <c r="C146" s="7" t="str">
        <f t="shared" si="8"/>
        <v>Premium4color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肉食の恋火 バハムート</v>
      </c>
      <c r="I146" s="7" t="str">
        <f>VLOOKUP(B146,[1]characters!$A:$J,10,FALSE)</f>
        <v>PremiumS</v>
      </c>
      <c r="J146" s="7">
        <f>VLOOKUP(B146,[1]characters!$A:$I,9,FALSE)</f>
        <v>4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IFERROR(VLOOKUP(B146,input_433101!L:R,7,FALSE),VLOOKUP(tables_433101!C146,input_433101!A:H,8,FALSE))</f>
        <v>139146.33515999999</v>
      </c>
      <c r="P146" s="46">
        <f t="shared" ca="1" si="9"/>
        <v>1.1896916480695569E-2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input_433101!A$2</f>
        <v>433101</v>
      </c>
      <c r="B147" s="6">
        <v>382</v>
      </c>
      <c r="C147" s="7" t="str">
        <f t="shared" si="8"/>
        <v>Premium5color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激情の愛炎 バハムート</v>
      </c>
      <c r="I147" s="7" t="str">
        <f>VLOOKUP(B147,[1]characters!$A:$J,10,FALSE)</f>
        <v>PremiumS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IFERROR(VLOOKUP(B147,input_433101!L:R,7,FALSE),VLOOKUP(tables_433101!C147,input_433101!A:H,8,FALSE))</f>
        <v>5172.1344099999997</v>
      </c>
      <c r="P147" s="46">
        <f t="shared" ca="1" si="9"/>
        <v>4.4221395433769362E-4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input_433101!A$2</f>
        <v>433101</v>
      </c>
      <c r="B148" s="6">
        <v>383</v>
      </c>
      <c r="C148" s="7" t="str">
        <f t="shared" si="8"/>
        <v>PremiumSS4</v>
      </c>
      <c r="D148" s="7" t="str">
        <f t="shared" si="10"/>
        <v>PremiumSS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酒宴の蟒蛇 ヤマタノオロチ</v>
      </c>
      <c r="I148" s="7" t="str">
        <f>VLOOKUP(B148,[1]characters!$A:$J,10,FALSE)</f>
        <v>PremiumSS</v>
      </c>
      <c r="J148" s="7">
        <f>VLOOKUP(B148,[1]characters!$A:$I,9,FALSE)</f>
        <v>4</v>
      </c>
      <c r="K148" s="7" t="str">
        <f>VLOOKUP(B148,[1]characters!$A:$H,8,FALSE)</f>
        <v>green</v>
      </c>
      <c r="L148" s="7" t="str">
        <f>VLOOKUP(B148,[1]characters!$A:$K,11,FALSE)</f>
        <v>hp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IFERROR(VLOOKUP(B148,input_433101!L:R,7,FALSE),VLOOKUP(tables_433101!C148,input_433101!A:H,8,FALSE))</f>
        <v>5168</v>
      </c>
      <c r="P148" s="46">
        <f t="shared" ca="1" si="9"/>
        <v>4.41860465110612E-4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input_433101!A$2</f>
        <v>433101</v>
      </c>
      <c r="B149" s="6">
        <v>384</v>
      </c>
      <c r="C149" s="7" t="str">
        <f t="shared" si="8"/>
        <v>PremiumSS5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破国の呑龍 ヤマタノオロチ</v>
      </c>
      <c r="I149" s="7" t="str">
        <f>VLOOKUP(B149,[1]characters!$A:$J,10,FALSE)</f>
        <v>PremiumSS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IFERROR(VLOOKUP(B149,input_433101!L:R,7,FALSE),VLOOKUP(tables_433101!C149,input_433101!A:H,8,FALSE))</f>
        <v>272</v>
      </c>
      <c r="P149" s="46">
        <f t="shared" ca="1" si="9"/>
        <v>2.3255813953190107E-5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input_433101!A$2</f>
        <v>433101</v>
      </c>
      <c r="B150" s="6">
        <v>385</v>
      </c>
      <c r="C150" s="7" t="str">
        <f t="shared" si="8"/>
        <v>PremiumSS4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波烈の出奔 リヴァイアサン</v>
      </c>
      <c r="I150" s="7" t="str">
        <f>VLOOKUP(B150,[1]characters!$A:$J,10,FALSE)</f>
        <v>PremiumSS</v>
      </c>
      <c r="J150" s="7">
        <f>VLOOKUP(B150,[1]characters!$A:$I,9,FALSE)</f>
        <v>4</v>
      </c>
      <c r="K150" s="7" t="str">
        <f>VLOOKUP(B150,[1]characters!$A:$H,8,FALSE)</f>
        <v>blue</v>
      </c>
      <c r="L150" s="7" t="str">
        <f>VLOOKUP(B150,[1]characters!$A:$K,11,FALSE)</f>
        <v>balance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IFERROR(VLOOKUP(B150,input_433101!L:R,7,FALSE),VLOOKUP(tables_433101!C150,input_433101!A:H,8,FALSE))</f>
        <v>5168</v>
      </c>
      <c r="P150" s="46">
        <f t="shared" ca="1" si="9"/>
        <v>4.41860465110612E-4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input_433101!A$2</f>
        <v>433101</v>
      </c>
      <c r="B151" s="6">
        <v>386</v>
      </c>
      <c r="C151" s="7" t="str">
        <f t="shared" si="8"/>
        <v>PremiumSS5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氾乱の海龍 リヴァイアサン</v>
      </c>
      <c r="I151" s="7" t="str">
        <f>VLOOKUP(B151,[1]characters!$A:$J,10,FALSE)</f>
        <v>PremiumSS</v>
      </c>
      <c r="J151" s="7">
        <f>VLOOKUP(B151,[1]characters!$A:$I,9,FALSE)</f>
        <v>5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IFERROR(VLOOKUP(B151,input_433101!L:R,7,FALSE),VLOOKUP(tables_433101!C151,input_433101!A:H,8,FALSE))</f>
        <v>272</v>
      </c>
      <c r="P151" s="46">
        <f t="shared" ca="1" si="9"/>
        <v>2.3255813953190107E-5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input_433101!A$2</f>
        <v>433101</v>
      </c>
      <c r="B152" s="6">
        <v>387</v>
      </c>
      <c r="C152" s="7" t="str">
        <f t="shared" si="8"/>
        <v>Premium3</v>
      </c>
      <c r="D152" s="7" t="str">
        <f t="shared" si="10"/>
        <v>Premium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スフィンクス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yellow</v>
      </c>
      <c r="L152" s="7" t="str">
        <f>VLOOKUP(B152,[1]characters!$A:$K,11,FALSE)</f>
        <v>heal</v>
      </c>
      <c r="M152" s="7" t="str">
        <f>VLOOKUP(B152,[1]characters!$A:$M,13,FALSE)</f>
        <v>animal</v>
      </c>
      <c r="N152" s="7" t="str">
        <f>VLOOKUP(B152,[1]characters!$A:$G,7,FALSE)</f>
        <v>女性</v>
      </c>
      <c r="O152" s="45">
        <f ca="1">IFERROR(VLOOKUP(B152,input_433101!L:R,7,FALSE),VLOOKUP(tables_433101!C152,input_433101!A:H,8,FALSE))</f>
        <v>32542.400000000001</v>
      </c>
      <c r="P152" s="46">
        <f t="shared" ca="1" si="9"/>
        <v>2.7823529411407856E-3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input_433101!A$2</f>
        <v>433101</v>
      </c>
      <c r="B153" s="6">
        <v>388</v>
      </c>
      <c r="C153" s="7" t="str">
        <f t="shared" si="8"/>
        <v>Premium4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神円の恋姫 スフィンクス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IFERROR(VLOOKUP(B153,input_433101!L:R,7,FALSE),VLOOKUP(tables_433101!C153,input_433101!A:H,8,FALSE))</f>
        <v>25292.102510000001</v>
      </c>
      <c r="P153" s="46">
        <f t="shared" ca="1" si="9"/>
        <v>2.1624574649175459E-3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input_433101!A$2</f>
        <v>433101</v>
      </c>
      <c r="B154" s="6">
        <v>389</v>
      </c>
      <c r="C154" s="7" t="str">
        <f t="shared" si="8"/>
        <v>Premium5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操神の愛姫 スフィンクス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IFERROR(VLOOKUP(B154,input_433101!L:R,7,FALSE),VLOOKUP(tables_433101!C154,input_433101!A:H,8,FALSE))</f>
        <v>1402.2974899999999</v>
      </c>
      <c r="P154" s="46">
        <f t="shared" ca="1" si="9"/>
        <v>1.1989547622965244E-4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input_433101!A$2</f>
        <v>433101</v>
      </c>
      <c r="B155" s="6">
        <v>390</v>
      </c>
      <c r="C155" s="7" t="str">
        <f t="shared" si="8"/>
        <v>PremiumSS4color</v>
      </c>
      <c r="D155" s="7" t="str">
        <f t="shared" si="10"/>
        <v>PremiumSS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>color</v>
      </c>
      <c r="H155" s="7" t="str">
        <f>VLOOKUP(B155,[1]characters!$A:$C,3,FALSE)</f>
        <v>華環の旅客 親指姫</v>
      </c>
      <c r="I155" s="7" t="str">
        <f>VLOOKUP(B155,[1]characters!$A:$J,10,FALSE)</f>
        <v>PremiumSS</v>
      </c>
      <c r="J155" s="7">
        <f>VLOOKUP(B155,[1]characters!$A:$I,9,FALSE)</f>
        <v>4</v>
      </c>
      <c r="K155" s="7" t="str">
        <f>VLOOKUP(B155,[1]characters!$A:$H,8,FALSE)</f>
        <v>red</v>
      </c>
      <c r="L155" s="7" t="str">
        <f>VLOOKUP(B155,[1]characters!$A:$K,11,FALSE)</f>
        <v>heal</v>
      </c>
      <c r="M155" s="7" t="str">
        <f>VLOOKUP(B155,[1]characters!$A:$M,13,FALSE)</f>
        <v>human</v>
      </c>
      <c r="N155" s="7" t="str">
        <f>VLOOKUP(B155,[1]characters!$A:$G,7,FALSE)</f>
        <v>女性</v>
      </c>
      <c r="O155" s="45">
        <f ca="1">IFERROR(VLOOKUP(B155,input_433101!L:R,7,FALSE),VLOOKUP(tables_433101!C155,input_433101!A:H,8,FALSE))</f>
        <v>23809.71429</v>
      </c>
      <c r="P155" s="46">
        <f t="shared" ca="1" si="9"/>
        <v>2.0357142860546024E-3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input_433101!A$2</f>
        <v>433101</v>
      </c>
      <c r="B156" s="6">
        <v>391</v>
      </c>
      <c r="C156" s="7" t="str">
        <f t="shared" si="8"/>
        <v>PremiumSS5color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燕翼の旅人 親指姫</v>
      </c>
      <c r="I156" s="7" t="str">
        <f>VLOOKUP(B156,[1]characters!$A:$J,10,FALSE)</f>
        <v>PremiumSS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IFERROR(VLOOKUP(B156,input_433101!L:R,7,FALSE),VLOOKUP(tables_433101!C156,input_433101!A:H,8,FALSE))</f>
        <v>1253.1428599999999</v>
      </c>
      <c r="P156" s="46">
        <f t="shared" ca="1" si="9"/>
        <v>1.0714285738576674E-4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input_433101!A$2</f>
        <v>433101</v>
      </c>
      <c r="B157" s="6">
        <v>392</v>
      </c>
      <c r="C157" s="7" t="str">
        <f t="shared" si="8"/>
        <v>Premium3</v>
      </c>
      <c r="D157" s="7" t="str">
        <f t="shared" si="10"/>
        <v>Premium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ピーターパン</v>
      </c>
      <c r="I157" s="7" t="str">
        <f>VLOOKUP(B157,[1]characters!$A:$J,10,FALSE)</f>
        <v>PremiumS</v>
      </c>
      <c r="J157" s="7">
        <f>VLOOKUP(B157,[1]characters!$A:$I,9,FALSE)</f>
        <v>3</v>
      </c>
      <c r="K157" s="7" t="str">
        <f>VLOOKUP(B157,[1]characters!$A:$H,8,FALSE)</f>
        <v>green</v>
      </c>
      <c r="L157" s="7" t="str">
        <f>VLOOKUP(B157,[1]characters!$A:$K,11,FALSE)</f>
        <v>attack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ca="1">IFERROR(VLOOKUP(B157,input_433101!L:R,7,FALSE),VLOOKUP(tables_433101!C157,input_433101!A:H,8,FALSE))</f>
        <v>32542.400000000001</v>
      </c>
      <c r="P157" s="46">
        <f t="shared" ca="1" si="9"/>
        <v>2.7823529411407856E-3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input_433101!A$2</f>
        <v>433101</v>
      </c>
      <c r="B158" s="6">
        <v>393</v>
      </c>
      <c r="C158" s="7" t="str">
        <f t="shared" si="8"/>
        <v>Premium4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影縫い ピーターパン</v>
      </c>
      <c r="I158" s="7" t="str">
        <f>VLOOKUP(B158,[1]characters!$A:$J,10,FALSE)</f>
        <v>PremiumS</v>
      </c>
      <c r="J158" s="7">
        <f>VLOOKUP(B158,[1]characters!$A:$I,9,FALSE)</f>
        <v>4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IFERROR(VLOOKUP(B158,input_433101!L:R,7,FALSE),VLOOKUP(tables_433101!C158,input_433101!A:H,8,FALSE))</f>
        <v>25292.102510000001</v>
      </c>
      <c r="P158" s="46">
        <f t="shared" ca="1" si="9"/>
        <v>2.1624574649175459E-3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input_433101!A$2</f>
        <v>433101</v>
      </c>
      <c r="B159" s="6">
        <v>394</v>
      </c>
      <c r="C159" s="7" t="str">
        <f t="shared" si="8"/>
        <v>Premium5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影求の悪童 ピーターパン</v>
      </c>
      <c r="I159" s="7" t="str">
        <f>VLOOKUP(B159,[1]characters!$A:$J,10,FALSE)</f>
        <v>PremiumS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IFERROR(VLOOKUP(B159,input_433101!L:R,7,FALSE),VLOOKUP(tables_433101!C159,input_433101!A:H,8,FALSE))</f>
        <v>1402.2974899999999</v>
      </c>
      <c r="P159" s="46">
        <f t="shared" ca="1" si="9"/>
        <v>1.1989547622965244E-4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input_433101!A$2</f>
        <v>433101</v>
      </c>
      <c r="B160" s="6">
        <v>395</v>
      </c>
      <c r="C160" s="7" t="str">
        <f t="shared" si="8"/>
        <v>Premium3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乙姫</v>
      </c>
      <c r="I160" s="7" t="str">
        <f>VLOOKUP(B160,[1]characters!$A:$J,10,FALSE)</f>
        <v>PremiumS</v>
      </c>
      <c r="J160" s="7">
        <f>VLOOKUP(B160,[1]characters!$A:$I,9,FALSE)</f>
        <v>3</v>
      </c>
      <c r="K160" s="7" t="str">
        <f>VLOOKUP(B160,[1]characters!$A:$H,8,FALSE)</f>
        <v>blue</v>
      </c>
      <c r="L160" s="7" t="str">
        <f>VLOOKUP(B160,[1]characters!$A:$K,11,FALSE)</f>
        <v>hp</v>
      </c>
      <c r="M160" s="7" t="str">
        <f>VLOOKUP(B160,[1]characters!$A:$M,13,FALSE)</f>
        <v>human</v>
      </c>
      <c r="N160" s="7" t="str">
        <f>VLOOKUP(B160,[1]characters!$A:$G,7,FALSE)</f>
        <v>女性</v>
      </c>
      <c r="O160" s="45">
        <f ca="1">IFERROR(VLOOKUP(B160,input_433101!L:R,7,FALSE),VLOOKUP(tables_433101!C160,input_433101!A:H,8,FALSE))</f>
        <v>32542.400000000001</v>
      </c>
      <c r="P160" s="46">
        <f t="shared" ca="1" si="9"/>
        <v>2.7823529411407856E-3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input_433101!A$2</f>
        <v>433101</v>
      </c>
      <c r="B161" s="6">
        <v>396</v>
      </c>
      <c r="C161" s="7" t="str">
        <f t="shared" si="8"/>
        <v>Premium4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竜宮の水雷 乙姫</v>
      </c>
      <c r="I161" s="7" t="str">
        <f>VLOOKUP(B161,[1]characters!$A:$J,10,FALSE)</f>
        <v>PremiumS</v>
      </c>
      <c r="J161" s="7">
        <f>VLOOKUP(B161,[1]characters!$A:$I,9,FALSE)</f>
        <v>4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IFERROR(VLOOKUP(B161,input_433101!L:R,7,FALSE),VLOOKUP(tables_433101!C161,input_433101!A:H,8,FALSE))</f>
        <v>25292.102510000001</v>
      </c>
      <c r="P161" s="46">
        <f t="shared" ca="1" si="9"/>
        <v>2.1624574649175459E-3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input_433101!A$2</f>
        <v>433101</v>
      </c>
      <c r="B162" s="6">
        <v>397</v>
      </c>
      <c r="C162" s="7" t="str">
        <f t="shared" si="8"/>
        <v>Premium5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禁断の追箱 乙姫</v>
      </c>
      <c r="I162" s="7" t="str">
        <f>VLOOKUP(B162,[1]characters!$A:$J,10,FALSE)</f>
        <v>PremiumS</v>
      </c>
      <c r="J162" s="7">
        <f>VLOOKUP(B162,[1]characters!$A:$I,9,FALSE)</f>
        <v>5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IFERROR(VLOOKUP(B162,input_433101!L:R,7,FALSE),VLOOKUP(tables_433101!C162,input_433101!A:H,8,FALSE))</f>
        <v>1402.2974899999999</v>
      </c>
      <c r="P162" s="46">
        <f t="shared" ca="1" si="9"/>
        <v>1.1989547622965244E-4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input_433101!A$2</f>
        <v>433101</v>
      </c>
      <c r="B163" s="6">
        <v>398</v>
      </c>
      <c r="C163" s="7" t="str">
        <f t="shared" si="8"/>
        <v>PremiumSS4</v>
      </c>
      <c r="D163" s="7" t="str">
        <f t="shared" si="10"/>
        <v>PremiumSS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ヘンゼル＆グレーテル</v>
      </c>
      <c r="I163" s="7" t="str">
        <f>VLOOKUP(B163,[1]characters!$A:$J,10,FALSE)</f>
        <v>PremiumSS</v>
      </c>
      <c r="J163" s="7">
        <f>VLOOKUP(B163,[1]characters!$A:$I,9,FALSE)</f>
        <v>4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IFERROR(VLOOKUP(B163,input_433101!L:R,7,FALSE),VLOOKUP(tables_433101!C163,input_433101!A:H,8,FALSE))</f>
        <v>5168</v>
      </c>
      <c r="P163" s="46">
        <f t="shared" ca="1" si="9"/>
        <v>4.41860465110612E-4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input_433101!A$2</f>
        <v>433101</v>
      </c>
      <c r="B164" s="6">
        <v>399</v>
      </c>
      <c r="C164" s="7" t="str">
        <f t="shared" si="8"/>
        <v>PremiumSS5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信愛の兄妹 ヘンゼル＆グレーテル</v>
      </c>
      <c r="I164" s="7" t="str">
        <f>VLOOKUP(B164,[1]characters!$A:$J,10,FALSE)</f>
        <v>PremiumSS</v>
      </c>
      <c r="J164" s="7">
        <f>VLOOKUP(B164,[1]characters!$A:$I,9,FALSE)</f>
        <v>5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IFERROR(VLOOKUP(B164,input_433101!L:R,7,FALSE),VLOOKUP(tables_433101!C164,input_433101!A:H,8,FALSE))</f>
        <v>272</v>
      </c>
      <c r="P164" s="46">
        <f t="shared" ca="1" si="9"/>
        <v>2.3255813953190107E-5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input_433101!A$2</f>
        <v>433101</v>
      </c>
      <c r="B165" s="6">
        <v>400</v>
      </c>
      <c r="C165" s="7" t="str">
        <f t="shared" si="8"/>
        <v>Premium3color</v>
      </c>
      <c r="D165" s="7" t="str">
        <f t="shared" si="10"/>
        <v>Premium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>color</v>
      </c>
      <c r="H165" s="7" t="str">
        <f>VLOOKUP(B165,[1]characters!$A:$C,3,FALSE)</f>
        <v>フェンリル</v>
      </c>
      <c r="I165" s="7" t="str">
        <f>VLOOKUP(B165,[1]characters!$A:$J,10,FALSE)</f>
        <v>PremiumS</v>
      </c>
      <c r="J165" s="7">
        <f>VLOOKUP(B165,[1]characters!$A:$I,9,FALSE)</f>
        <v>3</v>
      </c>
      <c r="K165" s="7" t="str">
        <f>VLOOKUP(B165,[1]characters!$A:$H,8,FALSE)</f>
        <v>red</v>
      </c>
      <c r="L165" s="7" t="str">
        <f>VLOOKUP(B165,[1]characters!$A:$K,11,FALSE)</f>
        <v>attack</v>
      </c>
      <c r="M165" s="7" t="str">
        <f>VLOOKUP(B165,[1]characters!$A:$M,13,FALSE)</f>
        <v>animal</v>
      </c>
      <c r="N165" s="7" t="str">
        <f>VLOOKUP(B165,[1]characters!$A:$G,7,FALSE)</f>
        <v>女性</v>
      </c>
      <c r="O165" s="45">
        <f ca="1">IFERROR(VLOOKUP(B165,input_433101!L:R,7,FALSE),VLOOKUP(tables_433101!C165,input_433101!A:H,8,FALSE))</f>
        <v>144318.46956999999</v>
      </c>
      <c r="P165" s="46">
        <f t="shared" ca="1" si="9"/>
        <v>1.2339130435033263E-2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input_433101!A$2</f>
        <v>433101</v>
      </c>
      <c r="B166" s="6">
        <v>401</v>
      </c>
      <c r="C166" s="7" t="str">
        <f t="shared" si="8"/>
        <v>Premium4color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紅銀の孤狼 フェンリル</v>
      </c>
      <c r="I166" s="7" t="str">
        <f>VLOOKUP(B166,[1]characters!$A:$J,10,FALSE)</f>
        <v>PremiumS</v>
      </c>
      <c r="J166" s="7">
        <f>VLOOKUP(B166,[1]characters!$A:$I,9,FALSE)</f>
        <v>4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IFERROR(VLOOKUP(B166,input_433101!L:R,7,FALSE),VLOOKUP(tables_433101!C166,input_433101!A:H,8,FALSE))</f>
        <v>139146.33515999999</v>
      </c>
      <c r="P166" s="46">
        <f t="shared" ca="1" si="9"/>
        <v>1.1896916480695569E-2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input_433101!A$2</f>
        <v>433101</v>
      </c>
      <c r="B167" s="6">
        <v>402</v>
      </c>
      <c r="C167" s="7" t="str">
        <f t="shared" si="8"/>
        <v>Premium5color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天災の神狼 フェンリル</v>
      </c>
      <c r="I167" s="7" t="str">
        <f>VLOOKUP(B167,[1]characters!$A:$J,10,FALSE)</f>
        <v>PremiumS</v>
      </c>
      <c r="J167" s="7">
        <f>VLOOKUP(B167,[1]characters!$A:$I,9,FALSE)</f>
        <v>5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IFERROR(VLOOKUP(B167,input_433101!L:R,7,FALSE),VLOOKUP(tables_433101!C167,input_433101!A:H,8,FALSE))</f>
        <v>5172.1344099999997</v>
      </c>
      <c r="P167" s="46">
        <f t="shared" ca="1" si="9"/>
        <v>4.4221395433769362E-4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input_433101!A$2</f>
        <v>433101</v>
      </c>
      <c r="B168" s="6">
        <v>403</v>
      </c>
      <c r="C168" s="7" t="str">
        <f t="shared" si="8"/>
        <v>PremiumSS4</v>
      </c>
      <c r="D168" s="7" t="str">
        <f t="shared" si="10"/>
        <v>PremiumSS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静撃の翠眼 八咫烏</v>
      </c>
      <c r="I168" s="7" t="str">
        <f>VLOOKUP(B168,[1]characters!$A:$J,10,FALSE)</f>
        <v>PremiumSS</v>
      </c>
      <c r="J168" s="7">
        <f>VLOOKUP(B168,[1]characters!$A:$I,9,FALSE)</f>
        <v>4</v>
      </c>
      <c r="K168" s="7" t="str">
        <f>VLOOKUP(B168,[1]characters!$A:$H,8,FALSE)</f>
        <v>green</v>
      </c>
      <c r="L168" s="7" t="str">
        <f>VLOOKUP(B168,[1]characters!$A:$K,11,FALSE)</f>
        <v>balance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IFERROR(VLOOKUP(B168,input_433101!L:R,7,FALSE),VLOOKUP(tables_433101!C168,input_433101!A:H,8,FALSE))</f>
        <v>5168</v>
      </c>
      <c r="P168" s="46">
        <f t="shared" ca="1" si="9"/>
        <v>4.41860465110612E-4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input_433101!A$2</f>
        <v>433101</v>
      </c>
      <c r="B169" s="6">
        <v>404</v>
      </c>
      <c r="C169" s="7" t="str">
        <f t="shared" si="8"/>
        <v>PremiumSS5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空襲の神眼 八咫烏</v>
      </c>
      <c r="I169" s="7" t="str">
        <f>VLOOKUP(B169,[1]characters!$A:$J,10,FALSE)</f>
        <v>PremiumSS</v>
      </c>
      <c r="J169" s="7">
        <f>VLOOKUP(B169,[1]characters!$A:$I,9,FALSE)</f>
        <v>5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IFERROR(VLOOKUP(B169,input_433101!L:R,7,FALSE),VLOOKUP(tables_433101!C169,input_433101!A:H,8,FALSE))</f>
        <v>272</v>
      </c>
      <c r="P169" s="46">
        <f t="shared" ca="1" si="9"/>
        <v>2.3255813953190107E-5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input_433101!A$2</f>
        <v>433101</v>
      </c>
      <c r="B170" s="6">
        <v>405</v>
      </c>
      <c r="C170" s="7" t="str">
        <f t="shared" si="8"/>
        <v>Premium3</v>
      </c>
      <c r="D170" s="7" t="str">
        <f t="shared" si="10"/>
        <v>Premium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エキドナ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blue</v>
      </c>
      <c r="L170" s="7" t="str">
        <f>VLOOKUP(B170,[1]characters!$A:$K,11,FALSE)</f>
        <v>technical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IFERROR(VLOOKUP(B170,input_433101!L:R,7,FALSE),VLOOKUP(tables_433101!C170,input_433101!A:H,8,FALSE))</f>
        <v>32542.400000000001</v>
      </c>
      <c r="P170" s="46">
        <f t="shared" ca="1" si="9"/>
        <v>2.7823529411407856E-3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input_433101!A$2</f>
        <v>433101</v>
      </c>
      <c r="B171" s="6">
        <v>406</v>
      </c>
      <c r="C171" s="7" t="str">
        <f t="shared" si="8"/>
        <v>Premium4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美笑の蒼蛇 エキドナ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IFERROR(VLOOKUP(B171,input_433101!L:R,7,FALSE),VLOOKUP(tables_433101!C171,input_433101!A:H,8,FALSE))</f>
        <v>25292.102510000001</v>
      </c>
      <c r="P171" s="46">
        <f t="shared" ca="1" si="9"/>
        <v>2.1624574649175459E-3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input_433101!A$2</f>
        <v>433101</v>
      </c>
      <c r="B172" s="6">
        <v>407</v>
      </c>
      <c r="C172" s="7" t="str">
        <f t="shared" si="8"/>
        <v>Premium5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蠱惑の飛刀 エキドナ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IFERROR(VLOOKUP(B172,input_433101!L:R,7,FALSE),VLOOKUP(tables_433101!C172,input_433101!A:H,8,FALSE))</f>
        <v>1402.2974899999999</v>
      </c>
      <c r="P172" s="46">
        <f t="shared" ca="1" si="9"/>
        <v>1.1989547622965244E-4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input_433101!A$2</f>
        <v>433101</v>
      </c>
      <c r="B173" s="6">
        <v>408</v>
      </c>
      <c r="C173" s="7" t="str">
        <f t="shared" si="8"/>
        <v>PremiumSS4</v>
      </c>
      <c r="D173" s="7" t="str">
        <f t="shared" si="10"/>
        <v>PremiumSS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皇魔 アスタロト</v>
      </c>
      <c r="I173" s="7" t="str">
        <f>VLOOKUP(B173,[1]characters!$A:$J,10,FALSE)</f>
        <v>PremiumSS</v>
      </c>
      <c r="J173" s="7">
        <f>VLOOKUP(B173,[1]characters!$A:$I,9,FALSE)</f>
        <v>4</v>
      </c>
      <c r="K173" s="7" t="str">
        <f>VLOOKUP(B173,[1]characters!$A:$H,8,FALSE)</f>
        <v>yellow</v>
      </c>
      <c r="L173" s="7" t="str">
        <f>VLOOKUP(B173,[1]characters!$A:$K,11,FALSE)</f>
        <v>attack</v>
      </c>
      <c r="M173" s="7" t="str">
        <f>VLOOKUP(B173,[1]characters!$A:$M,13,FALSE)</f>
        <v>god</v>
      </c>
      <c r="N173" s="7" t="str">
        <f>VLOOKUP(B173,[1]characters!$A:$G,7,FALSE)</f>
        <v>男性</v>
      </c>
      <c r="O173" s="45">
        <f ca="1">IFERROR(VLOOKUP(B173,input_433101!L:R,7,FALSE),VLOOKUP(tables_433101!C173,input_433101!A:H,8,FALSE))</f>
        <v>5168</v>
      </c>
      <c r="P173" s="46">
        <f t="shared" ca="1" si="9"/>
        <v>4.41860465110612E-4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input_433101!A$2</f>
        <v>433101</v>
      </c>
      <c r="B174" s="6">
        <v>409</v>
      </c>
      <c r="C174" s="7" t="str">
        <f t="shared" si="8"/>
        <v>PremiumSS5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天眼の皇貴魔 アスタロト</v>
      </c>
      <c r="I174" s="7" t="str">
        <f>VLOOKUP(B174,[1]characters!$A:$J,10,FALSE)</f>
        <v>PremiumSS</v>
      </c>
      <c r="J174" s="7">
        <f>VLOOKUP(B174,[1]characters!$A:$I,9,FALSE)</f>
        <v>5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IFERROR(VLOOKUP(B174,input_433101!L:R,7,FALSE),VLOOKUP(tables_433101!C174,input_433101!A:H,8,FALSE))</f>
        <v>272</v>
      </c>
      <c r="P174" s="46">
        <f t="shared" ca="1" si="9"/>
        <v>2.3255813953190107E-5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input_433101!A$2</f>
        <v>433101</v>
      </c>
      <c r="B175" s="6">
        <v>434</v>
      </c>
      <c r="C175" s="7" t="str">
        <f t="shared" si="8"/>
        <v>PremiumSS4color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>color</v>
      </c>
      <c r="H175" s="7" t="str">
        <f>VLOOKUP(B175,[1]characters!$A:$C,3,FALSE)</f>
        <v>D.R.T.H.</v>
      </c>
      <c r="I175" s="7" t="str">
        <f>VLOOKUP(B175,[1]characters!$A:$J,10,FALSE)</f>
        <v>PremiumSS</v>
      </c>
      <c r="J175" s="7">
        <f>VLOOKUP(B175,[1]characters!$A:$I,9,FALSE)</f>
        <v>4</v>
      </c>
      <c r="K175" s="7" t="str">
        <f>VLOOKUP(B175,[1]characters!$A:$H,8,FALSE)</f>
        <v>red</v>
      </c>
      <c r="L175" s="7" t="str">
        <f>VLOOKUP(B175,[1]characters!$A:$K,11,FALSE)</f>
        <v>balance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IFERROR(VLOOKUP(B175,input_433101!L:R,7,FALSE),VLOOKUP(tables_433101!C175,input_433101!A:H,8,FALSE))</f>
        <v>23809.71429</v>
      </c>
      <c r="P175" s="46">
        <f t="shared" ca="1" si="9"/>
        <v>2.0357142860546024E-3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input_433101!A$2</f>
        <v>433101</v>
      </c>
      <c r="B176" s="6">
        <v>435</v>
      </c>
      <c r="C176" s="7" t="str">
        <f t="shared" si="8"/>
        <v>PremiumSS5color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曝弾の密偵 D.R.T.H.</v>
      </c>
      <c r="I176" s="7" t="str">
        <f>VLOOKUP(B176,[1]characters!$A:$J,10,FALSE)</f>
        <v>PremiumSS</v>
      </c>
      <c r="J176" s="7">
        <f>VLOOKUP(B176,[1]characters!$A:$I,9,FALSE)</f>
        <v>5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IFERROR(VLOOKUP(B176,input_433101!L:R,7,FALSE),VLOOKUP(tables_433101!C176,input_433101!A:H,8,FALSE))</f>
        <v>1253.1428599999999</v>
      </c>
      <c r="P176" s="46">
        <f t="shared" ca="1" si="9"/>
        <v>1.0714285738576674E-4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input_433101!A$2</f>
        <v>433101</v>
      </c>
      <c r="B177" s="6">
        <v>436</v>
      </c>
      <c r="C177" s="7" t="str">
        <f t="shared" si="8"/>
        <v>Premium3</v>
      </c>
      <c r="D177" s="7" t="str">
        <f t="shared" si="10"/>
        <v>Premium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カカシ</v>
      </c>
      <c r="I177" s="7" t="str">
        <f>VLOOKUP(B177,[1]characters!$A:$J,10,FALSE)</f>
        <v>PremiumS</v>
      </c>
      <c r="J177" s="7">
        <f>VLOOKUP(B177,[1]characters!$A:$I,9,FALSE)</f>
        <v>3</v>
      </c>
      <c r="K177" s="7" t="str">
        <f>VLOOKUP(B177,[1]characters!$A:$H,8,FALSE)</f>
        <v>green</v>
      </c>
      <c r="L177" s="7" t="str">
        <f>VLOOKUP(B177,[1]characters!$A:$K,11,FALSE)</f>
        <v>technical</v>
      </c>
      <c r="M177" s="7" t="str">
        <f>VLOOKUP(B177,[1]characters!$A:$M,13,FALSE)</f>
        <v>human</v>
      </c>
      <c r="N177" s="7" t="str">
        <f>VLOOKUP(B177,[1]characters!$A:$G,7,FALSE)</f>
        <v>男性</v>
      </c>
      <c r="O177" s="45">
        <f ca="1">IFERROR(VLOOKUP(B177,input_433101!L:R,7,FALSE),VLOOKUP(tables_433101!C177,input_433101!A:H,8,FALSE))</f>
        <v>32542.400000000001</v>
      </c>
      <c r="P177" s="46">
        <f t="shared" ca="1" si="9"/>
        <v>2.7823529411407856E-3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input_433101!A$2</f>
        <v>433101</v>
      </c>
      <c r="B178" s="6">
        <v>437</v>
      </c>
      <c r="C178" s="7" t="str">
        <f t="shared" si="8"/>
        <v>Premium4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忘却者 カカシ</v>
      </c>
      <c r="I178" s="7" t="str">
        <f>VLOOKUP(B178,[1]characters!$A:$J,10,FALSE)</f>
        <v>PremiumS</v>
      </c>
      <c r="J178" s="7">
        <f>VLOOKUP(B178,[1]characters!$A:$I,9,FALSE)</f>
        <v>4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IFERROR(VLOOKUP(B178,input_433101!L:R,7,FALSE),VLOOKUP(tables_433101!C178,input_433101!A:H,8,FALSE))</f>
        <v>25292.102510000001</v>
      </c>
      <c r="P178" s="46">
        <f t="shared" ca="1" si="9"/>
        <v>2.1624574649175459E-3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input_433101!A$2</f>
        <v>433101</v>
      </c>
      <c r="B179" s="6">
        <v>438</v>
      </c>
      <c r="C179" s="7" t="str">
        <f t="shared" si="8"/>
        <v>Premium5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記憶の奪還 カカシ</v>
      </c>
      <c r="I179" s="7" t="str">
        <f>VLOOKUP(B179,[1]characters!$A:$J,10,FALSE)</f>
        <v>PremiumS</v>
      </c>
      <c r="J179" s="7">
        <f>VLOOKUP(B179,[1]characters!$A:$I,9,FALSE)</f>
        <v>5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IFERROR(VLOOKUP(B179,input_433101!L:R,7,FALSE),VLOOKUP(tables_433101!C179,input_433101!A:H,8,FALSE))</f>
        <v>1402.2974899999999</v>
      </c>
      <c r="P179" s="46">
        <f t="shared" ca="1" si="9"/>
        <v>1.1989547622965244E-4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input_433101!A$2</f>
        <v>433101</v>
      </c>
      <c r="B180" s="6">
        <v>439</v>
      </c>
      <c r="C180" s="7" t="str">
        <f t="shared" si="8"/>
        <v>Premium3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ブリキロガー</v>
      </c>
      <c r="I180" s="7" t="str">
        <f>VLOOKUP(B180,[1]characters!$A:$J,10,FALSE)</f>
        <v>PremiumS</v>
      </c>
      <c r="J180" s="7">
        <f>VLOOKUP(B180,[1]characters!$A:$I,9,FALSE)</f>
        <v>3</v>
      </c>
      <c r="K180" s="7" t="str">
        <f>VLOOKUP(B180,[1]characters!$A:$H,8,FALSE)</f>
        <v>blue</v>
      </c>
      <c r="L180" s="7" t="str">
        <f>VLOOKUP(B180,[1]characters!$A:$K,11,FALSE)</f>
        <v>attack</v>
      </c>
      <c r="M180" s="7" t="str">
        <f>VLOOKUP(B180,[1]characters!$A:$M,13,FALSE)</f>
        <v>machine</v>
      </c>
      <c r="N180" s="7" t="str">
        <f>VLOOKUP(B180,[1]characters!$A:$G,7,FALSE)</f>
        <v>不明</v>
      </c>
      <c r="O180" s="45">
        <f ca="1">IFERROR(VLOOKUP(B180,input_433101!L:R,7,FALSE),VLOOKUP(tables_433101!C180,input_433101!A:H,8,FALSE))</f>
        <v>32542.400000000001</v>
      </c>
      <c r="P180" s="46">
        <f t="shared" ca="1" si="9"/>
        <v>2.7823529411407856E-3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input_433101!A$2</f>
        <v>433101</v>
      </c>
      <c r="B181" s="6">
        <v>440</v>
      </c>
      <c r="C181" s="7" t="str">
        <f t="shared" si="8"/>
        <v>Premium4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改良型 ブリキロガー</v>
      </c>
      <c r="I181" s="7" t="str">
        <f>VLOOKUP(B181,[1]characters!$A:$J,10,FALSE)</f>
        <v>PremiumS</v>
      </c>
      <c r="J181" s="7">
        <f>VLOOKUP(B181,[1]characters!$A:$I,9,FALSE)</f>
        <v>4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IFERROR(VLOOKUP(B181,input_433101!L:R,7,FALSE),VLOOKUP(tables_433101!C181,input_433101!A:H,8,FALSE))</f>
        <v>25292.102510000001</v>
      </c>
      <c r="P181" s="46">
        <f t="shared" ca="1" si="9"/>
        <v>2.1624574649175459E-3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input_433101!A$2</f>
        <v>433101</v>
      </c>
      <c r="B182" s="6">
        <v>441</v>
      </c>
      <c r="C182" s="7" t="str">
        <f t="shared" si="8"/>
        <v>Premium5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求心の錻装 ブリキロガー</v>
      </c>
      <c r="I182" s="7" t="str">
        <f>VLOOKUP(B182,[1]characters!$A:$J,10,FALSE)</f>
        <v>PremiumS</v>
      </c>
      <c r="J182" s="7">
        <f>VLOOKUP(B182,[1]characters!$A:$I,9,FALSE)</f>
        <v>5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IFERROR(VLOOKUP(B182,input_433101!L:R,7,FALSE),VLOOKUP(tables_433101!C182,input_433101!A:H,8,FALSE))</f>
        <v>1402.2974899999999</v>
      </c>
      <c r="P182" s="46">
        <f t="shared" ca="1" si="9"/>
        <v>1.1989547622965244E-4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input_433101!A$2</f>
        <v>433101</v>
      </c>
      <c r="B183" s="6">
        <v>442</v>
      </c>
      <c r="C183" s="7" t="str">
        <f t="shared" si="8"/>
        <v>PremiumSS4</v>
      </c>
      <c r="D183" s="7" t="str">
        <f t="shared" si="10"/>
        <v>PremiumSS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ブレイブリー・ライオン</v>
      </c>
      <c r="I183" s="7" t="str">
        <f>VLOOKUP(B183,[1]characters!$A:$J,10,FALSE)</f>
        <v>PremiumSS</v>
      </c>
      <c r="J183" s="7">
        <f>VLOOKUP(B183,[1]characters!$A:$I,9,FALSE)</f>
        <v>4</v>
      </c>
      <c r="K183" s="7" t="str">
        <f>VLOOKUP(B183,[1]characters!$A:$H,8,FALSE)</f>
        <v>yellow</v>
      </c>
      <c r="L183" s="7" t="str">
        <f>VLOOKUP(B183,[1]characters!$A:$K,11,FALSE)</f>
        <v>hp</v>
      </c>
      <c r="M183" s="7" t="str">
        <f>VLOOKUP(B183,[1]characters!$A:$M,13,FALSE)</f>
        <v>animal</v>
      </c>
      <c r="N183" s="7" t="str">
        <f>VLOOKUP(B183,[1]characters!$A:$G,7,FALSE)</f>
        <v>不明</v>
      </c>
      <c r="O183" s="45">
        <f ca="1">IFERROR(VLOOKUP(B183,input_433101!L:R,7,FALSE),VLOOKUP(tables_433101!C183,input_433101!A:H,8,FALSE))</f>
        <v>5168</v>
      </c>
      <c r="P183" s="46">
        <f t="shared" ca="1" si="9"/>
        <v>4.41860465110612E-4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input_433101!A$2</f>
        <v>433101</v>
      </c>
      <c r="B184" s="6">
        <v>443</v>
      </c>
      <c r="C184" s="7" t="str">
        <f t="shared" si="8"/>
        <v>PremiumSS5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勇機結集 ブレイブリー・ライオン</v>
      </c>
      <c r="I184" s="7" t="str">
        <f>VLOOKUP(B184,[1]characters!$A:$J,10,FALSE)</f>
        <v>PremiumSS</v>
      </c>
      <c r="J184" s="7">
        <f>VLOOKUP(B184,[1]characters!$A:$I,9,FALSE)</f>
        <v>5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IFERROR(VLOOKUP(B184,input_433101!L:R,7,FALSE),VLOOKUP(tables_433101!C184,input_433101!A:H,8,FALSE))</f>
        <v>272</v>
      </c>
      <c r="P184" s="46">
        <f t="shared" ca="1" si="9"/>
        <v>2.3255813953190107E-5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input_433101!A$2</f>
        <v>433101</v>
      </c>
      <c r="B185" s="8">
        <v>462</v>
      </c>
      <c r="C185" s="7" t="str">
        <f t="shared" si="8"/>
        <v>Premium3color</v>
      </c>
      <c r="D185" s="7" t="str">
        <f t="shared" si="10"/>
        <v>Premium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>color</v>
      </c>
      <c r="H185" s="7" t="str">
        <f>VLOOKUP(B185,[1]characters!$A:$C,3,FALSE)</f>
        <v>ガウェイン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red</v>
      </c>
      <c r="L185" s="7" t="str">
        <f>VLOOKUP(B185,[1]characters!$A:$K,11,FALSE)</f>
        <v>hp</v>
      </c>
      <c r="M185" s="7" t="str">
        <f>VLOOKUP(B185,[1]characters!$A:$M,13,FALSE)</f>
        <v>human</v>
      </c>
      <c r="N185" s="7" t="str">
        <f>VLOOKUP(B185,[1]characters!$A:$G,7,FALSE)</f>
        <v>男性</v>
      </c>
      <c r="O185" s="45">
        <f ca="1">IFERROR(VLOOKUP(B185,input_433101!L:R,7,FALSE),VLOOKUP(tables_433101!C185,input_433101!A:H,8,FALSE))</f>
        <v>144318.46956999999</v>
      </c>
      <c r="P185" s="46">
        <f t="shared" ca="1" si="9"/>
        <v>1.2339130435033263E-2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input_433101!A$2</f>
        <v>433101</v>
      </c>
      <c r="B186" s="8">
        <v>463</v>
      </c>
      <c r="C186" s="7" t="str">
        <f t="shared" si="8"/>
        <v>Premium4color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燻銀 ガウェイン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IFERROR(VLOOKUP(B186,input_433101!L:R,7,FALSE),VLOOKUP(tables_433101!C186,input_433101!A:H,8,FALSE))</f>
        <v>139146.33515999999</v>
      </c>
      <c r="P186" s="46">
        <f t="shared" ca="1" si="9"/>
        <v>1.1896916480695569E-2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input_433101!A$2</f>
        <v>433101</v>
      </c>
      <c r="B187" s="8">
        <v>464</v>
      </c>
      <c r="C187" s="7" t="str">
        <f t="shared" si="8"/>
        <v>Premium5color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円熟の弾導 ガウェイン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IFERROR(VLOOKUP(B187,input_433101!L:R,7,FALSE),VLOOKUP(tables_433101!C187,input_433101!A:H,8,FALSE))</f>
        <v>5172.1344099999997</v>
      </c>
      <c r="P187" s="46">
        <f t="shared" ca="1" si="9"/>
        <v>4.4221395433769362E-4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input_433101!A$2</f>
        <v>433101</v>
      </c>
      <c r="B188" s="8">
        <v>465</v>
      </c>
      <c r="C188" s="7" t="str">
        <f t="shared" si="8"/>
        <v>PremiumSS4</v>
      </c>
      <c r="D188" s="7" t="str">
        <f t="shared" si="10"/>
        <v>PremiumSS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真撃 ランスロット</v>
      </c>
      <c r="I188" s="7" t="str">
        <f>VLOOKUP(B188,[1]characters!$A:$J,10,FALSE)</f>
        <v>PremiumSS</v>
      </c>
      <c r="J188" s="7">
        <f>VLOOKUP(B188,[1]characters!$A:$I,9,FALSE)</f>
        <v>4</v>
      </c>
      <c r="K188" s="7" t="str">
        <f>VLOOKUP(B188,[1]characters!$A:$H,8,FALSE)</f>
        <v>green</v>
      </c>
      <c r="L188" s="7" t="str">
        <f>VLOOKUP(B188,[1]characters!$A:$K,11,FALSE)</f>
        <v>balance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IFERROR(VLOOKUP(B188,input_433101!L:R,7,FALSE),VLOOKUP(tables_433101!C188,input_433101!A:H,8,FALSE))</f>
        <v>5168</v>
      </c>
      <c r="P188" s="46">
        <f t="shared" ca="1" si="9"/>
        <v>4.41860465110612E-4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input_433101!A$2</f>
        <v>433101</v>
      </c>
      <c r="B189" s="6">
        <v>466</v>
      </c>
      <c r="C189" s="7" t="str">
        <f t="shared" si="8"/>
        <v>PremiumSS5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真断の勇覇 ランスロット</v>
      </c>
      <c r="I189" s="7" t="str">
        <f>VLOOKUP(B189,[1]characters!$A:$J,10,FALSE)</f>
        <v>PremiumSS</v>
      </c>
      <c r="J189" s="7">
        <f>VLOOKUP(B189,[1]characters!$A:$I,9,FALSE)</f>
        <v>5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IFERROR(VLOOKUP(B189,input_433101!L:R,7,FALSE),VLOOKUP(tables_433101!C189,input_433101!A:H,8,FALSE))</f>
        <v>272</v>
      </c>
      <c r="P189" s="46">
        <f t="shared" ca="1" si="9"/>
        <v>2.3255813953190107E-5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input_433101!A$2</f>
        <v>433101</v>
      </c>
      <c r="B190" s="6">
        <v>467</v>
      </c>
      <c r="C190" s="7" t="str">
        <f t="shared" si="8"/>
        <v>PremiumSS4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報復 モルドレッド</v>
      </c>
      <c r="I190" s="7" t="str">
        <f>VLOOKUP(B190,[1]characters!$A:$J,10,FALSE)</f>
        <v>PremiumSS</v>
      </c>
      <c r="J190" s="7">
        <f>VLOOKUP(B190,[1]characters!$A:$I,9,FALSE)</f>
        <v>4</v>
      </c>
      <c r="K190" s="7" t="str">
        <f>VLOOKUP(B190,[1]characters!$A:$H,8,FALSE)</f>
        <v>blue</v>
      </c>
      <c r="L190" s="7" t="str">
        <f>VLOOKUP(B190,[1]characters!$A:$K,11,FALSE)</f>
        <v>technical</v>
      </c>
      <c r="M190" s="7" t="str">
        <f>VLOOKUP(B190,[1]characters!$A:$M,13,FALSE)</f>
        <v>human</v>
      </c>
      <c r="N190" s="7" t="str">
        <f>VLOOKUP(B190,[1]characters!$A:$G,7,FALSE)</f>
        <v>女性</v>
      </c>
      <c r="O190" s="45">
        <f ca="1">IFERROR(VLOOKUP(B190,input_433101!L:R,7,FALSE),VLOOKUP(tables_433101!C190,input_433101!A:H,8,FALSE))</f>
        <v>5168</v>
      </c>
      <c r="P190" s="46">
        <f t="shared" ca="1" si="9"/>
        <v>4.41860465110612E-4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input_433101!A$2</f>
        <v>433101</v>
      </c>
      <c r="B191" s="6">
        <v>468</v>
      </c>
      <c r="C191" s="7" t="str">
        <f t="shared" si="8"/>
        <v>PremiumSS5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憎愛の尖鋒 モルドレッド</v>
      </c>
      <c r="I191" s="7" t="str">
        <f>VLOOKUP(B191,[1]characters!$A:$J,10,FALSE)</f>
        <v>PremiumSS</v>
      </c>
      <c r="J191" s="7">
        <f>VLOOKUP(B191,[1]characters!$A:$I,9,FALSE)</f>
        <v>5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IFERROR(VLOOKUP(B191,input_433101!L:R,7,FALSE),VLOOKUP(tables_433101!C191,input_433101!A:H,8,FALSE))</f>
        <v>272</v>
      </c>
      <c r="P191" s="46">
        <f t="shared" ca="1" si="9"/>
        <v>2.3255813953190107E-5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input_433101!A$2</f>
        <v>433101</v>
      </c>
      <c r="B192" s="6">
        <v>469</v>
      </c>
      <c r="C192" s="7" t="str">
        <f t="shared" si="8"/>
        <v>Premium3</v>
      </c>
      <c r="D192" s="7" t="str">
        <f t="shared" si="10"/>
        <v>Premium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トリスタン</v>
      </c>
      <c r="I192" s="7" t="str">
        <f>VLOOKUP(B192,[1]characters!$A:$J,10,FALSE)</f>
        <v>PremiumS</v>
      </c>
      <c r="J192" s="7">
        <f>VLOOKUP(B192,[1]characters!$A:$I,9,FALSE)</f>
        <v>3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IFERROR(VLOOKUP(B192,input_433101!L:R,7,FALSE),VLOOKUP(tables_433101!C192,input_433101!A:H,8,FALSE))</f>
        <v>32542.400000000001</v>
      </c>
      <c r="P192" s="46">
        <f t="shared" ca="1" si="9"/>
        <v>2.7823529411407856E-3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input_433101!A$2</f>
        <v>433101</v>
      </c>
      <c r="B193" s="6">
        <v>470</v>
      </c>
      <c r="C193" s="7" t="str">
        <f t="shared" si="8"/>
        <v>Premium4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純心 トリスタン</v>
      </c>
      <c r="I193" s="7" t="str">
        <f>VLOOKUP(B193,[1]characters!$A:$J,10,FALSE)</f>
        <v>PremiumS</v>
      </c>
      <c r="J193" s="7">
        <f>VLOOKUP(B193,[1]characters!$A:$I,9,FALSE)</f>
        <v>4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IFERROR(VLOOKUP(B193,input_433101!L:R,7,FALSE),VLOOKUP(tables_433101!C193,input_433101!A:H,8,FALSE))</f>
        <v>25292.102510000001</v>
      </c>
      <c r="P193" s="46">
        <f t="shared" ca="1" si="9"/>
        <v>2.1624574649175459E-3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input_433101!A$2</f>
        <v>433101</v>
      </c>
      <c r="B194" s="6">
        <v>471</v>
      </c>
      <c r="C194" s="7" t="str">
        <f t="shared" ref="C194:C257" si="12">D194&amp;J194&amp;E194&amp;F194&amp;G194</f>
        <v>Premium5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不可避の爆激 トリスタン</v>
      </c>
      <c r="I194" s="7" t="str">
        <f>VLOOKUP(B194,[1]characters!$A:$J,10,FALSE)</f>
        <v>PremiumS</v>
      </c>
      <c r="J194" s="7">
        <f>VLOOKUP(B194,[1]characters!$A:$I,9,FALSE)</f>
        <v>5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IFERROR(VLOOKUP(B194,input_433101!L:R,7,FALSE),VLOOKUP(tables_433101!C194,input_433101!A:H,8,FALSE))</f>
        <v>1402.2974899999999</v>
      </c>
      <c r="P194" s="46">
        <f t="shared" ref="P194:P257" ca="1" si="13">O194/SUM(O:O)</f>
        <v>1.1989547622965244E-4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input_433101!A$2</f>
        <v>433101</v>
      </c>
      <c r="B195" s="6">
        <v>474</v>
      </c>
      <c r="C195" s="7" t="str">
        <f t="shared" si="12"/>
        <v>PremiumSS4color</v>
      </c>
      <c r="D195" s="7" t="str">
        <f t="shared" ref="D195:D258" si="14">IF(OR(I195="PremiumSS",I195="PremiumSSw"),"PremiumSS",IF(I195="PremiumSSS",I195,IF(I195="PremiumW",I195,"Premium")))</f>
        <v>PremiumSS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>color</v>
      </c>
      <c r="H195" s="7" t="str">
        <f>VLOOKUP(B195,[1]characters!$A:$C,3,FALSE)</f>
        <v>キング・ドライグ</v>
      </c>
      <c r="I195" s="7" t="str">
        <f>VLOOKUP(B195,[1]characters!$A:$J,10,FALSE)</f>
        <v>PremiumSS</v>
      </c>
      <c r="J195" s="7">
        <f>VLOOKUP(B195,[1]characters!$A:$I,9,FALSE)</f>
        <v>4</v>
      </c>
      <c r="K195" s="7" t="str">
        <f>VLOOKUP(B195,[1]characters!$A:$H,8,FALSE)</f>
        <v>red</v>
      </c>
      <c r="L195" s="7" t="str">
        <f>VLOOKUP(B195,[1]characters!$A:$K,11,FALSE)</f>
        <v>attack</v>
      </c>
      <c r="M195" s="7" t="str">
        <f>VLOOKUP(B195,[1]characters!$A:$M,13,FALSE)</f>
        <v>dragon</v>
      </c>
      <c r="N195" s="7" t="str">
        <f>VLOOKUP(B195,[1]characters!$A:$G,7,FALSE)</f>
        <v>不明</v>
      </c>
      <c r="O195" s="45">
        <f ca="1">IFERROR(VLOOKUP(B195,input_433101!L:R,7,FALSE),VLOOKUP(tables_433101!C195,input_433101!A:H,8,FALSE))</f>
        <v>23809.71429</v>
      </c>
      <c r="P195" s="46">
        <f t="shared" ca="1" si="13"/>
        <v>2.0357142860546024E-3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input_433101!A$2</f>
        <v>433101</v>
      </c>
      <c r="B196" s="6">
        <v>475</v>
      </c>
      <c r="C196" s="7" t="str">
        <f t="shared" si="12"/>
        <v>PremiumSS5color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緋王 キング・ドライグ</v>
      </c>
      <c r="I196" s="7" t="str">
        <f>VLOOKUP(B196,[1]characters!$A:$J,10,FALSE)</f>
        <v>PremiumSS</v>
      </c>
      <c r="J196" s="7">
        <f>VLOOKUP(B196,[1]characters!$A:$I,9,FALSE)</f>
        <v>5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IFERROR(VLOOKUP(B196,input_433101!L:R,7,FALSE),VLOOKUP(tables_433101!C196,input_433101!A:H,8,FALSE))</f>
        <v>1253.1428599999999</v>
      </c>
      <c r="P196" s="46">
        <f t="shared" ca="1" si="13"/>
        <v>1.0714285738576674E-4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input_433101!A$2</f>
        <v>433101</v>
      </c>
      <c r="B197" s="6">
        <v>476</v>
      </c>
      <c r="C197" s="7" t="str">
        <f t="shared" si="12"/>
        <v>Premium3</v>
      </c>
      <c r="D197" s="7" t="str">
        <f t="shared" si="14"/>
        <v>Premium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ファータ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green</v>
      </c>
      <c r="L197" s="7" t="str">
        <f>VLOOKUP(B197,[1]characters!$A:$K,11,FALSE)</f>
        <v>heal</v>
      </c>
      <c r="M197" s="7" t="str">
        <f>VLOOKUP(B197,[1]characters!$A:$M,13,FALSE)</f>
        <v>unknown</v>
      </c>
      <c r="N197" s="7" t="str">
        <f>VLOOKUP(B197,[1]characters!$A:$G,7,FALSE)</f>
        <v>女性</v>
      </c>
      <c r="O197" s="45">
        <f ca="1">IFERROR(VLOOKUP(B197,input_433101!L:R,7,FALSE),VLOOKUP(tables_433101!C197,input_433101!A:H,8,FALSE))</f>
        <v>32542.400000000001</v>
      </c>
      <c r="P197" s="46">
        <f t="shared" ca="1" si="13"/>
        <v>2.7823529411407856E-3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input_433101!A$2</f>
        <v>433101</v>
      </c>
      <c r="B198" s="6">
        <v>477</v>
      </c>
      <c r="C198" s="7" t="str">
        <f t="shared" si="12"/>
        <v>Premium4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愛羽妖精 ファータ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IFERROR(VLOOKUP(B198,input_433101!L:R,7,FALSE),VLOOKUP(tables_433101!C198,input_433101!A:H,8,FALSE))</f>
        <v>25292.102510000001</v>
      </c>
      <c r="P198" s="46">
        <f t="shared" ca="1" si="13"/>
        <v>2.1624574649175459E-3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input_433101!A$2</f>
        <v>433101</v>
      </c>
      <c r="B199" s="6">
        <v>478</v>
      </c>
      <c r="C199" s="7" t="str">
        <f t="shared" si="12"/>
        <v>Premium5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時計仕掛けの愛羽妖精 ファータ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IFERROR(VLOOKUP(B199,input_433101!L:R,7,FALSE),VLOOKUP(tables_433101!C199,input_433101!A:H,8,FALSE))</f>
        <v>1402.2974899999999</v>
      </c>
      <c r="P199" s="46">
        <f t="shared" ca="1" si="13"/>
        <v>1.1989547622965244E-4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input_433101!A$2</f>
        <v>433101</v>
      </c>
      <c r="B200" s="6">
        <v>479</v>
      </c>
      <c r="C200" s="7" t="str">
        <f t="shared" si="12"/>
        <v>PremiumSS4</v>
      </c>
      <c r="D200" s="7" t="str">
        <f t="shared" si="14"/>
        <v>PremiumSS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フール</v>
      </c>
      <c r="I200" s="7" t="str">
        <f>VLOOKUP(B200,[1]characters!$A:$J,10,FALSE)</f>
        <v>PremiumSS</v>
      </c>
      <c r="J200" s="7">
        <f>VLOOKUP(B200,[1]characters!$A:$I,9,FALSE)</f>
        <v>4</v>
      </c>
      <c r="K200" s="7" t="str">
        <f>VLOOKUP(B200,[1]characters!$A:$H,8,FALSE)</f>
        <v>blue</v>
      </c>
      <c r="L200" s="7" t="str">
        <f>VLOOKUP(B200,[1]characters!$A:$K,11,FALSE)</f>
        <v>technical</v>
      </c>
      <c r="M200" s="7" t="str">
        <f>VLOOKUP(B200,[1]characters!$A:$M,13,FALSE)</f>
        <v>god</v>
      </c>
      <c r="N200" s="7" t="str">
        <f>VLOOKUP(B200,[1]characters!$A:$G,7,FALSE)</f>
        <v>男性</v>
      </c>
      <c r="O200" s="45">
        <f ca="1">IFERROR(VLOOKUP(B200,input_433101!L:R,7,FALSE),VLOOKUP(tables_433101!C200,input_433101!A:H,8,FALSE))</f>
        <v>5168</v>
      </c>
      <c r="P200" s="46">
        <f t="shared" ca="1" si="13"/>
        <v>4.41860465110612E-4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input_433101!A$2</f>
        <v>433101</v>
      </c>
      <c r="B201" s="6">
        <v>480</v>
      </c>
      <c r="C201" s="7" t="str">
        <f t="shared" si="12"/>
        <v>PremiumSS5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夢幻の愚者フール</v>
      </c>
      <c r="I201" s="7" t="str">
        <f>VLOOKUP(B201,[1]characters!$A:$J,10,FALSE)</f>
        <v>PremiumSS</v>
      </c>
      <c r="J201" s="7">
        <f>VLOOKUP(B201,[1]characters!$A:$I,9,FALSE)</f>
        <v>5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IFERROR(VLOOKUP(B201,input_433101!L:R,7,FALSE),VLOOKUP(tables_433101!C201,input_433101!A:H,8,FALSE))</f>
        <v>272</v>
      </c>
      <c r="P201" s="46">
        <f t="shared" ca="1" si="13"/>
        <v>2.3255813953190107E-5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input_433101!A$2</f>
        <v>433101</v>
      </c>
      <c r="B202" s="6">
        <v>481</v>
      </c>
      <c r="C202" s="7" t="str">
        <f t="shared" si="12"/>
        <v>Premium3</v>
      </c>
      <c r="D202" s="7" t="str">
        <f t="shared" si="14"/>
        <v>Premium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沢庵宗彭</v>
      </c>
      <c r="I202" s="7" t="str">
        <f>VLOOKUP(B202,[1]characters!$A:$J,10,FALSE)</f>
        <v>PremiumS</v>
      </c>
      <c r="J202" s="7">
        <f>VLOOKUP(B202,[1]characters!$A:$I,9,FALSE)</f>
        <v>3</v>
      </c>
      <c r="K202" s="7" t="str">
        <f>VLOOKUP(B202,[1]characters!$A:$H,8,FALSE)</f>
        <v>yellow</v>
      </c>
      <c r="L202" s="7" t="str">
        <f>VLOOKUP(B202,[1]characters!$A:$K,11,FALSE)</f>
        <v>hp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IFERROR(VLOOKUP(B202,input_433101!L:R,7,FALSE),VLOOKUP(tables_433101!C202,input_433101!A:H,8,FALSE))</f>
        <v>32542.400000000001</v>
      </c>
      <c r="P202" s="46">
        <f t="shared" ca="1" si="13"/>
        <v>2.7823529411407856E-3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input_433101!A$2</f>
        <v>433101</v>
      </c>
      <c r="B203" s="6">
        <v>482</v>
      </c>
      <c r="C203" s="7" t="str">
        <f t="shared" si="12"/>
        <v>Premium4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魁僧 沢庵宗彭</v>
      </c>
      <c r="I203" s="7" t="str">
        <f>VLOOKUP(B203,[1]characters!$A:$J,10,FALSE)</f>
        <v>PremiumS</v>
      </c>
      <c r="J203" s="7">
        <f>VLOOKUP(B203,[1]characters!$A:$I,9,FALSE)</f>
        <v>4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IFERROR(VLOOKUP(B203,input_433101!L:R,7,FALSE),VLOOKUP(tables_433101!C203,input_433101!A:H,8,FALSE))</f>
        <v>25292.102510000001</v>
      </c>
      <c r="P203" s="46">
        <f t="shared" ca="1" si="13"/>
        <v>2.1624574649175459E-3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input_433101!A$2</f>
        <v>433101</v>
      </c>
      <c r="B204" s="6">
        <v>483</v>
      </c>
      <c r="C204" s="7" t="str">
        <f t="shared" si="12"/>
        <v>Premium5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 xml:space="preserve">命経死遂 沢庵宗彭 </v>
      </c>
      <c r="I204" s="7" t="str">
        <f>VLOOKUP(B204,[1]characters!$A:$J,10,FALSE)</f>
        <v>PremiumS</v>
      </c>
      <c r="J204" s="7">
        <f>VLOOKUP(B204,[1]characters!$A:$I,9,FALSE)</f>
        <v>5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IFERROR(VLOOKUP(B204,input_433101!L:R,7,FALSE),VLOOKUP(tables_433101!C204,input_433101!A:H,8,FALSE))</f>
        <v>1402.2974899999999</v>
      </c>
      <c r="P204" s="46">
        <f t="shared" ca="1" si="13"/>
        <v>1.1989547622965244E-4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input_433101!A$2</f>
        <v>433101</v>
      </c>
      <c r="B205" s="6">
        <v>492</v>
      </c>
      <c r="C205" s="7" t="str">
        <f t="shared" si="12"/>
        <v>PremiumSS4color</v>
      </c>
      <c r="D205" s="7" t="str">
        <f t="shared" si="14"/>
        <v>PremiumSS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>color</v>
      </c>
      <c r="H205" s="7" t="str">
        <f>VLOOKUP(B205,[1]characters!$A:$C,3,FALSE)</f>
        <v>ブートレグ・ペロー</v>
      </c>
      <c r="I205" s="7" t="str">
        <f>VLOOKUP(B205,[1]characters!$A:$J,10,FALSE)</f>
        <v>PremiumSS</v>
      </c>
      <c r="J205" s="7">
        <f>VLOOKUP(B205,[1]characters!$A:$I,9,FALSE)</f>
        <v>4</v>
      </c>
      <c r="K205" s="7" t="str">
        <f>VLOOKUP(B205,[1]characters!$A:$H,8,FALSE)</f>
        <v>red</v>
      </c>
      <c r="L205" s="7" t="str">
        <f>VLOOKUP(B205,[1]characters!$A:$K,11,FALSE)</f>
        <v>hp</v>
      </c>
      <c r="M205" s="7" t="str">
        <f>VLOOKUP(B205,[1]characters!$A:$M,13,FALSE)</f>
        <v>animal</v>
      </c>
      <c r="N205" s="7" t="str">
        <f>VLOOKUP(B205,[1]characters!$A:$G,7,FALSE)</f>
        <v>不明</v>
      </c>
      <c r="O205" s="45">
        <f ca="1">IFERROR(VLOOKUP(B205,input_433101!L:R,7,FALSE),VLOOKUP(tables_433101!C205,input_433101!A:H,8,FALSE))</f>
        <v>23809.71429</v>
      </c>
      <c r="P205" s="46">
        <f t="shared" ca="1" si="13"/>
        <v>2.0357142860546024E-3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input_433101!A$2</f>
        <v>433101</v>
      </c>
      <c r="B206" s="6">
        <v>493</v>
      </c>
      <c r="C206" s="7" t="str">
        <f t="shared" si="12"/>
        <v>PremiumSS5color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跋扈の機脚 ブートレグ・ペロー</v>
      </c>
      <c r="I206" s="7" t="str">
        <f>VLOOKUP(B206,[1]characters!$A:$J,10,FALSE)</f>
        <v>PremiumSS</v>
      </c>
      <c r="J206" s="7">
        <f>VLOOKUP(B206,[1]characters!$A:$I,9,FALSE)</f>
        <v>5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IFERROR(VLOOKUP(B206,input_433101!L:R,7,FALSE),VLOOKUP(tables_433101!C206,input_433101!A:H,8,FALSE))</f>
        <v>1253.1428599999999</v>
      </c>
      <c r="P206" s="46">
        <f t="shared" ca="1" si="13"/>
        <v>1.0714285738576674E-4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input_433101!A$2</f>
        <v>433101</v>
      </c>
      <c r="B207" s="6">
        <v>494</v>
      </c>
      <c r="C207" s="7" t="str">
        <f t="shared" si="12"/>
        <v>PremiumSS4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ハーメルン</v>
      </c>
      <c r="I207" s="7" t="str">
        <f>VLOOKUP(B207,[1]characters!$A:$J,10,FALSE)</f>
        <v>PremiumSS</v>
      </c>
      <c r="J207" s="7">
        <f>VLOOKUP(B207,[1]characters!$A:$I,9,FALSE)</f>
        <v>4</v>
      </c>
      <c r="K207" s="7" t="str">
        <f>VLOOKUP(B207,[1]characters!$A:$H,8,FALSE)</f>
        <v>green</v>
      </c>
      <c r="L207" s="7" t="str">
        <f>VLOOKUP(B207,[1]characters!$A:$K,11,FALSE)</f>
        <v>technical</v>
      </c>
      <c r="M207" s="7" t="str">
        <f>VLOOKUP(B207,[1]characters!$A:$M,13,FALSE)</f>
        <v>human</v>
      </c>
      <c r="N207" s="7" t="str">
        <f>VLOOKUP(B207,[1]characters!$A:$G,7,FALSE)</f>
        <v>男性</v>
      </c>
      <c r="O207" s="45">
        <f ca="1">IFERROR(VLOOKUP(B207,input_433101!L:R,7,FALSE),VLOOKUP(tables_433101!C207,input_433101!A:H,8,FALSE))</f>
        <v>5168</v>
      </c>
      <c r="P207" s="46">
        <f t="shared" ca="1" si="13"/>
        <v>4.41860465110612E-4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input_433101!A$2</f>
        <v>433101</v>
      </c>
      <c r="B208" s="6">
        <v>495</v>
      </c>
      <c r="C208" s="7" t="str">
        <f t="shared" si="12"/>
        <v>PremiumSS5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鼠災呼ぶ笛音 ハーメルン</v>
      </c>
      <c r="I208" s="7" t="str">
        <f>VLOOKUP(B208,[1]characters!$A:$J,10,FALSE)</f>
        <v>PremiumSS</v>
      </c>
      <c r="J208" s="7">
        <f>VLOOKUP(B208,[1]characters!$A:$I,9,FALSE)</f>
        <v>5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IFERROR(VLOOKUP(B208,input_433101!L:R,7,FALSE),VLOOKUP(tables_433101!C208,input_433101!A:H,8,FALSE))</f>
        <v>272</v>
      </c>
      <c r="P208" s="46">
        <f t="shared" ca="1" si="13"/>
        <v>2.3255813953190107E-5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input_433101!A$2</f>
        <v>433101</v>
      </c>
      <c r="B209" s="6">
        <v>496</v>
      </c>
      <c r="C209" s="7" t="str">
        <f t="shared" si="12"/>
        <v>Premium3</v>
      </c>
      <c r="D209" s="7" t="str">
        <f t="shared" si="14"/>
        <v>Premium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エスタブ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blue</v>
      </c>
      <c r="L209" s="7" t="str">
        <f>VLOOKUP(B209,[1]characters!$A:$K,11,FALSE)</f>
        <v>attack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IFERROR(VLOOKUP(B209,input_433101!L:R,7,FALSE),VLOOKUP(tables_433101!C209,input_433101!A:H,8,FALSE))</f>
        <v>32542.400000000001</v>
      </c>
      <c r="P209" s="46">
        <f t="shared" ca="1" si="13"/>
        <v>2.7823529411407856E-3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input_433101!A$2</f>
        <v>433101</v>
      </c>
      <c r="B210" s="6">
        <v>497</v>
      </c>
      <c r="C210" s="7" t="str">
        <f t="shared" si="12"/>
        <v>Premium4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偏愛の野獣 エスタブ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IFERROR(VLOOKUP(B210,input_433101!L:R,7,FALSE),VLOOKUP(tables_433101!C210,input_433101!A:H,8,FALSE))</f>
        <v>25292.102510000001</v>
      </c>
      <c r="P210" s="46">
        <f t="shared" ca="1" si="13"/>
        <v>2.1624574649175459E-3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input_433101!A$2</f>
        <v>433101</v>
      </c>
      <c r="B211" s="6">
        <v>498</v>
      </c>
      <c r="C211" s="7" t="str">
        <f t="shared" si="12"/>
        <v>Premium5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自愛の高魔 エスタブ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IFERROR(VLOOKUP(B211,input_433101!L:R,7,FALSE),VLOOKUP(tables_433101!C211,input_433101!A:H,8,FALSE))</f>
        <v>1402.2974899999999</v>
      </c>
      <c r="P211" s="46">
        <f t="shared" ca="1" si="13"/>
        <v>1.1989547622965244E-4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input_433101!A$2</f>
        <v>433101</v>
      </c>
      <c r="B212" s="6">
        <v>499</v>
      </c>
      <c r="C212" s="7" t="str">
        <f t="shared" si="12"/>
        <v>PremiumSS4</v>
      </c>
      <c r="D212" s="7" t="str">
        <f t="shared" si="14"/>
        <v>PremiumSS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ラプンツェル</v>
      </c>
      <c r="I212" s="7" t="str">
        <f>VLOOKUP(B212,[1]characters!$A:$J,10,FALSE)</f>
        <v>PremiumSS</v>
      </c>
      <c r="J212" s="7">
        <f>VLOOKUP(B212,[1]characters!$A:$I,9,FALSE)</f>
        <v>4</v>
      </c>
      <c r="K212" s="7" t="str">
        <f>VLOOKUP(B212,[1]characters!$A:$H,8,FALSE)</f>
        <v>yellow</v>
      </c>
      <c r="L212" s="7" t="str">
        <f>VLOOKUP(B212,[1]characters!$A:$K,11,FALSE)</f>
        <v>balance</v>
      </c>
      <c r="M212" s="7" t="str">
        <f>VLOOKUP(B212,[1]characters!$A:$M,13,FALSE)</f>
        <v>human</v>
      </c>
      <c r="N212" s="7" t="str">
        <f>VLOOKUP(B212,[1]characters!$A:$G,7,FALSE)</f>
        <v>女性</v>
      </c>
      <c r="O212" s="45">
        <f ca="1">IFERROR(VLOOKUP(B212,input_433101!L:R,7,FALSE),VLOOKUP(tables_433101!C212,input_433101!A:H,8,FALSE))</f>
        <v>5168</v>
      </c>
      <c r="P212" s="46">
        <f t="shared" ca="1" si="13"/>
        <v>4.41860465110612E-4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input_433101!A$2</f>
        <v>433101</v>
      </c>
      <c r="B213" s="6">
        <v>500</v>
      </c>
      <c r="C213" s="7" t="str">
        <f t="shared" si="12"/>
        <v>PremiumSS5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脈動の禁髪 ラプンツェル</v>
      </c>
      <c r="I213" s="7" t="str">
        <f>VLOOKUP(B213,[1]characters!$A:$J,10,FALSE)</f>
        <v>PremiumSS</v>
      </c>
      <c r="J213" s="7">
        <f>VLOOKUP(B213,[1]characters!$A:$I,9,FALSE)</f>
        <v>5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IFERROR(VLOOKUP(B213,input_433101!L:R,7,FALSE),VLOOKUP(tables_433101!C213,input_433101!A:H,8,FALSE))</f>
        <v>272</v>
      </c>
      <c r="P213" s="46">
        <f t="shared" ca="1" si="13"/>
        <v>2.3255813953190107E-5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input_433101!A$2</f>
        <v>433101</v>
      </c>
      <c r="B214" s="6">
        <v>586</v>
      </c>
      <c r="C214" s="7" t="str">
        <f t="shared" si="12"/>
        <v>PremiumSS4color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>color</v>
      </c>
      <c r="H214" s="7" t="str">
        <f>VLOOKUP(B214,[1]characters!$A:$C,3,FALSE)</f>
        <v>ユミル</v>
      </c>
      <c r="I214" s="7" t="str">
        <f>VLOOKUP(B214,[1]characters!$A:$J,10,FALSE)</f>
        <v>PremiumSS</v>
      </c>
      <c r="J214" s="7">
        <f>VLOOKUP(B214,[1]characters!$A:$I,9,FALSE)</f>
        <v>4</v>
      </c>
      <c r="K214" s="7" t="str">
        <f>VLOOKUP(B214,[1]characters!$A:$H,8,FALSE)</f>
        <v>red</v>
      </c>
      <c r="L214" s="7" t="str">
        <f>VLOOKUP(B214,[1]characters!$A:$K,11,FALSE)</f>
        <v>hp</v>
      </c>
      <c r="M214" s="7" t="str">
        <f>VLOOKUP(B214,[1]characters!$A:$M,13,FALSE)</f>
        <v>machine</v>
      </c>
      <c r="N214" s="7" t="str">
        <f>VLOOKUP(B214,[1]characters!$A:$G,7,FALSE)</f>
        <v>不明</v>
      </c>
      <c r="O214" s="45">
        <f ca="1">IFERROR(VLOOKUP(B214,input_433101!L:R,7,FALSE),VLOOKUP(tables_433101!C214,input_433101!A:H,8,FALSE))</f>
        <v>23809.71429</v>
      </c>
      <c r="P214" s="46">
        <f t="shared" ca="1" si="13"/>
        <v>2.0357142860546024E-3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input_433101!A$2</f>
        <v>433101</v>
      </c>
      <c r="B215" s="6">
        <v>587</v>
      </c>
      <c r="C215" s="7" t="str">
        <f t="shared" si="12"/>
        <v>PremiumSS5color</v>
      </c>
      <c r="D215" s="7" t="str">
        <f t="shared" si="14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原初の煉鋼巨刃 ユミル</v>
      </c>
      <c r="I215" s="7" t="str">
        <f>VLOOKUP(B215,[1]characters!$A:$J,10,FALSE)</f>
        <v>PremiumSS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IFERROR(VLOOKUP(B215,input_433101!L:R,7,FALSE),VLOOKUP(tables_433101!C215,input_433101!A:H,8,FALSE))</f>
        <v>1253.1428599999999</v>
      </c>
      <c r="P215" s="46">
        <f t="shared" ca="1" si="13"/>
        <v>1.0714285738576674E-4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input_433101!A$2</f>
        <v>433101</v>
      </c>
      <c r="B216" s="6">
        <v>588</v>
      </c>
      <c r="C216" s="7" t="str">
        <f t="shared" si="12"/>
        <v>Premium3</v>
      </c>
      <c r="D216" s="7" t="str">
        <f t="shared" si="14"/>
        <v>Premium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ニーベルゲン</v>
      </c>
      <c r="I216" s="7" t="str">
        <f>VLOOKUP(B216,[1]characters!$A:$J,10,FALSE)</f>
        <v>PremiumS</v>
      </c>
      <c r="J216" s="7">
        <f>VLOOKUP(B216,[1]characters!$A:$I,9,FALSE)</f>
        <v>3</v>
      </c>
      <c r="K216" s="7" t="str">
        <f>VLOOKUP(B216,[1]characters!$A:$H,8,FALSE)</f>
        <v>green</v>
      </c>
      <c r="L216" s="7" t="str">
        <f>VLOOKUP(B216,[1]characters!$A:$K,11,FALSE)</f>
        <v>balance</v>
      </c>
      <c r="M216" s="7" t="str">
        <f>VLOOKUP(B216,[1]characters!$A:$M,13,FALSE)</f>
        <v>unknown</v>
      </c>
      <c r="N216" s="7" t="str">
        <f>VLOOKUP(B216,[1]characters!$A:$G,7,FALSE)</f>
        <v>女性</v>
      </c>
      <c r="O216" s="45">
        <f ca="1">IFERROR(VLOOKUP(B216,input_433101!L:R,7,FALSE),VLOOKUP(tables_433101!C216,input_433101!A:H,8,FALSE))</f>
        <v>32542.400000000001</v>
      </c>
      <c r="P216" s="46">
        <f t="shared" ca="1" si="13"/>
        <v>2.7823529411407856E-3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input_433101!A$2</f>
        <v>433101</v>
      </c>
      <c r="B217" s="6">
        <v>589</v>
      </c>
      <c r="C217" s="7" t="str">
        <f t="shared" si="12"/>
        <v>Premium4</v>
      </c>
      <c r="D217" s="7" t="str">
        <f t="shared" si="14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不幸の円環 ニーベルゲン</v>
      </c>
      <c r="I217" s="7" t="str">
        <f>VLOOKUP(B217,[1]characters!$A:$J,10,FALSE)</f>
        <v>PremiumS</v>
      </c>
      <c r="J217" s="7">
        <f>VLOOKUP(B217,[1]characters!$A:$I,9,FALSE)</f>
        <v>4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IFERROR(VLOOKUP(B217,input_433101!L:R,7,FALSE),VLOOKUP(tables_433101!C217,input_433101!A:H,8,FALSE))</f>
        <v>25292.102510000001</v>
      </c>
      <c r="P217" s="46">
        <f t="shared" ca="1" si="13"/>
        <v>2.1624574649175459E-3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input_433101!A$2</f>
        <v>433101</v>
      </c>
      <c r="B218" s="6">
        <v>590</v>
      </c>
      <c r="C218" s="7" t="str">
        <f t="shared" si="12"/>
        <v>Premium5</v>
      </c>
      <c r="D218" s="7" t="str">
        <f t="shared" si="14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永遠を廻る呪い ニーベルゲン</v>
      </c>
      <c r="I218" s="7" t="str">
        <f>VLOOKUP(B218,[1]characters!$A:$J,10,FALSE)</f>
        <v>PremiumS</v>
      </c>
      <c r="J218" s="7">
        <f>VLOOKUP(B218,[1]characters!$A:$I,9,FALSE)</f>
        <v>5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IFERROR(VLOOKUP(B218,input_433101!L:R,7,FALSE),VLOOKUP(tables_433101!C218,input_433101!A:H,8,FALSE))</f>
        <v>1402.2974899999999</v>
      </c>
      <c r="P218" s="46">
        <f t="shared" ca="1" si="13"/>
        <v>1.1989547622965244E-4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input_433101!A$2</f>
        <v>433101</v>
      </c>
      <c r="B219" s="6">
        <v>591</v>
      </c>
      <c r="C219" s="7" t="str">
        <f t="shared" si="12"/>
        <v>Premium3</v>
      </c>
      <c r="D219" s="7" t="str">
        <f t="shared" si="14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ファフニール</v>
      </c>
      <c r="I219" s="7" t="str">
        <f>VLOOKUP(B219,[1]characters!$A:$J,10,FALSE)</f>
        <v>PremiumS</v>
      </c>
      <c r="J219" s="7">
        <f>VLOOKUP(B219,[1]characters!$A:$I,9,FALSE)</f>
        <v>3</v>
      </c>
      <c r="K219" s="7" t="str">
        <f>VLOOKUP(B219,[1]characters!$A:$H,8,FALSE)</f>
        <v>blue</v>
      </c>
      <c r="L219" s="7" t="str">
        <f>VLOOKUP(B219,[1]characters!$A:$K,11,FALSE)</f>
        <v>technical</v>
      </c>
      <c r="M219" s="7" t="str">
        <f>VLOOKUP(B219,[1]characters!$A:$M,13,FALSE)</f>
        <v>dragon</v>
      </c>
      <c r="N219" s="7" t="str">
        <f>VLOOKUP(B219,[1]characters!$A:$G,7,FALSE)</f>
        <v>不明</v>
      </c>
      <c r="O219" s="45">
        <f ca="1">IFERROR(VLOOKUP(B219,input_433101!L:R,7,FALSE),VLOOKUP(tables_433101!C219,input_433101!A:H,8,FALSE))</f>
        <v>32542.400000000001</v>
      </c>
      <c r="P219" s="46">
        <f t="shared" ca="1" si="13"/>
        <v>2.7823529411407856E-3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input_433101!A$2</f>
        <v>433101</v>
      </c>
      <c r="B220" s="6">
        <v>592</v>
      </c>
      <c r="C220" s="7" t="str">
        <f t="shared" si="12"/>
        <v>Premium4</v>
      </c>
      <c r="D220" s="7" t="str">
        <f t="shared" si="14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財宝への執着 ファフニール</v>
      </c>
      <c r="I220" s="7" t="str">
        <f>VLOOKUP(B220,[1]characters!$A:$J,10,FALSE)</f>
        <v>PremiumS</v>
      </c>
      <c r="J220" s="7">
        <f>VLOOKUP(B220,[1]characters!$A:$I,9,FALSE)</f>
        <v>4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IFERROR(VLOOKUP(B220,input_433101!L:R,7,FALSE),VLOOKUP(tables_433101!C220,input_433101!A:H,8,FALSE))</f>
        <v>25292.102510000001</v>
      </c>
      <c r="P220" s="46">
        <f t="shared" ca="1" si="13"/>
        <v>2.1624574649175459E-3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input_433101!A$2</f>
        <v>433101</v>
      </c>
      <c r="B221" s="6">
        <v>593</v>
      </c>
      <c r="C221" s="7" t="str">
        <f t="shared" si="12"/>
        <v>Premium5</v>
      </c>
      <c r="D221" s="7" t="str">
        <f t="shared" si="14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妄執する邪毒龍 ファフニール</v>
      </c>
      <c r="I221" s="7" t="str">
        <f>VLOOKUP(B221,[1]characters!$A:$J,10,FALSE)</f>
        <v>PremiumS</v>
      </c>
      <c r="J221" s="7">
        <f>VLOOKUP(B221,[1]characters!$A:$I,9,FALSE)</f>
        <v>5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IFERROR(VLOOKUP(B221,input_433101!L:R,7,FALSE),VLOOKUP(tables_433101!C221,input_433101!A:H,8,FALSE))</f>
        <v>1402.2974899999999</v>
      </c>
      <c r="P221" s="46">
        <f t="shared" ca="1" si="13"/>
        <v>1.1989547622965244E-4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input_433101!A$2</f>
        <v>433101</v>
      </c>
      <c r="B222" s="6">
        <v>594</v>
      </c>
      <c r="C222" s="7" t="str">
        <f t="shared" si="12"/>
        <v>PremiumSS4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アルフヘイム</v>
      </c>
      <c r="I222" s="7" t="str">
        <f>VLOOKUP(B222,[1]characters!$A:$J,10,FALSE)</f>
        <v>PremiumSS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attack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IFERROR(VLOOKUP(B222,input_433101!L:R,7,FALSE),VLOOKUP(tables_433101!C222,input_433101!A:H,8,FALSE))</f>
        <v>5168</v>
      </c>
      <c r="P222" s="46">
        <f t="shared" ca="1" si="13"/>
        <v>4.41860465110612E-4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input_433101!A$2</f>
        <v>433101</v>
      </c>
      <c r="B223" s="6">
        <v>595</v>
      </c>
      <c r="C223" s="7" t="str">
        <f t="shared" si="12"/>
        <v>PremiumSS5</v>
      </c>
      <c r="D223" s="7" t="str">
        <f t="shared" si="14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光華なる神域 アルフヘイム</v>
      </c>
      <c r="I223" s="7" t="str">
        <f>VLOOKUP(B223,[1]characters!$A:$J,10,FALSE)</f>
        <v>PremiumSS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IFERROR(VLOOKUP(B223,input_433101!L:R,7,FALSE),VLOOKUP(tables_433101!C223,input_433101!A:H,8,FALSE))</f>
        <v>272</v>
      </c>
      <c r="P223" s="46">
        <f t="shared" ca="1" si="13"/>
        <v>2.3255813953190107E-5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input_433101!A$2</f>
        <v>433101</v>
      </c>
      <c r="B224" s="6">
        <v>596</v>
      </c>
      <c r="C224" s="7" t="str">
        <f t="shared" si="12"/>
        <v>Premium3color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ムスペルヘイム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balance</v>
      </c>
      <c r="M224" s="7" t="str">
        <f>VLOOKUP(B224,[1]characters!$A:$M,13,FALSE)</f>
        <v>human</v>
      </c>
      <c r="N224" s="7" t="str">
        <f>VLOOKUP(B224,[1]characters!$A:$G,7,FALSE)</f>
        <v>男性</v>
      </c>
      <c r="O224" s="45">
        <f ca="1">IFERROR(VLOOKUP(B224,input_433101!L:R,7,FALSE),VLOOKUP(tables_433101!C224,input_433101!A:H,8,FALSE))</f>
        <v>144318.46956999999</v>
      </c>
      <c r="P224" s="46">
        <f t="shared" ca="1" si="13"/>
        <v>1.2339130435033263E-2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input_433101!A$2</f>
        <v>433101</v>
      </c>
      <c r="B225" s="6">
        <v>597</v>
      </c>
      <c r="C225" s="7" t="str">
        <f t="shared" si="12"/>
        <v>Premium4color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灼熱の魂 ムスペルヘイム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IFERROR(VLOOKUP(B225,input_433101!L:R,7,FALSE),VLOOKUP(tables_433101!C225,input_433101!A:H,8,FALSE))</f>
        <v>139146.33515999999</v>
      </c>
      <c r="P225" s="46">
        <f t="shared" ca="1" si="13"/>
        <v>1.1896916480695569E-2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input_433101!A$2</f>
        <v>433101</v>
      </c>
      <c r="B226" s="6">
        <v>598</v>
      </c>
      <c r="C226" s="7" t="str">
        <f t="shared" si="12"/>
        <v>Premium5color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焼燃の情熱 ムスペルヘイム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IFERROR(VLOOKUP(B226,input_433101!L:R,7,FALSE),VLOOKUP(tables_433101!C226,input_433101!A:H,8,FALSE))</f>
        <v>5172.1344099999997</v>
      </c>
      <c r="P226" s="46">
        <f t="shared" ca="1" si="13"/>
        <v>4.4221395433769362E-4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input_433101!A$2</f>
        <v>433101</v>
      </c>
      <c r="B227" s="6">
        <v>599</v>
      </c>
      <c r="C227" s="7" t="str">
        <f t="shared" si="12"/>
        <v>Premium3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ニーズヘッグ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IFERROR(VLOOKUP(B227,input_433101!L:R,7,FALSE),VLOOKUP(tables_433101!C227,input_433101!A:H,8,FALSE))</f>
        <v>32542.400000000001</v>
      </c>
      <c r="P227" s="46">
        <f t="shared" ca="1" si="13"/>
        <v>2.7823529411407856E-3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input_433101!A$2</f>
        <v>433101</v>
      </c>
      <c r="B228" s="6">
        <v>600</v>
      </c>
      <c r="C228" s="7" t="str">
        <f t="shared" si="12"/>
        <v>Premium4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界下に潜む蛇 ニーズヘッグ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IFERROR(VLOOKUP(B228,input_433101!L:R,7,FALSE),VLOOKUP(tables_433101!C228,input_433101!A:H,8,FALSE))</f>
        <v>25292.102510000001</v>
      </c>
      <c r="P228" s="46">
        <f t="shared" ca="1" si="13"/>
        <v>2.1624574649175459E-3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input_433101!A$2</f>
        <v>433101</v>
      </c>
      <c r="B229" s="6">
        <v>601</v>
      </c>
      <c r="C229" s="7" t="str">
        <f t="shared" si="12"/>
        <v>Premium5</v>
      </c>
      <c r="D229" s="7" t="str">
        <f t="shared" si="14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界根蝕む悪食 ニーズヘッグ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IFERROR(VLOOKUP(B229,input_433101!L:R,7,FALSE),VLOOKUP(tables_433101!C229,input_433101!A:H,8,FALSE))</f>
        <v>1402.2974899999999</v>
      </c>
      <c r="P229" s="46">
        <f t="shared" ca="1" si="13"/>
        <v>1.1989547622965244E-4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input_433101!A$2</f>
        <v>433101</v>
      </c>
      <c r="B230" s="6">
        <v>602</v>
      </c>
      <c r="C230" s="7" t="str">
        <f t="shared" si="12"/>
        <v>PremiumSS4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フレイヤ</v>
      </c>
      <c r="I230" s="7" t="str">
        <f>VLOOKUP(B230,[1]characters!$A:$J,10,FALSE)</f>
        <v>PremiumSS</v>
      </c>
      <c r="J230" s="7">
        <f>VLOOKUP(B230,[1]characters!$A:$I,9,FALSE)</f>
        <v>4</v>
      </c>
      <c r="K230" s="7" t="str">
        <f>VLOOKUP(B230,[1]characters!$A:$H,8,FALSE)</f>
        <v>blue</v>
      </c>
      <c r="L230" s="7" t="str">
        <f>VLOOKUP(B230,[1]characters!$A:$K,11,FALSE)</f>
        <v>heal</v>
      </c>
      <c r="M230" s="7" t="str">
        <f>VLOOKUP(B230,[1]characters!$A:$M,13,FALSE)</f>
        <v>animal</v>
      </c>
      <c r="N230" s="7" t="str">
        <f>VLOOKUP(B230,[1]characters!$A:$G,7,FALSE)</f>
        <v>女性</v>
      </c>
      <c r="O230" s="45">
        <f ca="1">IFERROR(VLOOKUP(B230,input_433101!L:R,7,FALSE),VLOOKUP(tables_433101!C230,input_433101!A:H,8,FALSE))</f>
        <v>5168</v>
      </c>
      <c r="P230" s="46">
        <f t="shared" ca="1" si="13"/>
        <v>4.41860465110612E-4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input_433101!A$2</f>
        <v>433101</v>
      </c>
      <c r="B231" s="6">
        <v>603</v>
      </c>
      <c r="C231" s="7" t="str">
        <f t="shared" si="12"/>
        <v>PremiumSS5</v>
      </c>
      <c r="D231" s="7" t="str">
        <f t="shared" si="14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掌愛の豊穣女神 フレイヤ</v>
      </c>
      <c r="I231" s="7" t="str">
        <f>VLOOKUP(B231,[1]characters!$A:$J,10,FALSE)</f>
        <v>PremiumSS</v>
      </c>
      <c r="J231" s="7">
        <f>VLOOKUP(B231,[1]characters!$A:$I,9,FALSE)</f>
        <v>5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IFERROR(VLOOKUP(B231,input_433101!L:R,7,FALSE),VLOOKUP(tables_433101!C231,input_433101!A:H,8,FALSE))</f>
        <v>272</v>
      </c>
      <c r="P231" s="46">
        <f t="shared" ca="1" si="13"/>
        <v>2.3255813953190107E-5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input_433101!A$2</f>
        <v>433101</v>
      </c>
      <c r="B232" s="6">
        <v>604</v>
      </c>
      <c r="C232" s="7" t="str">
        <f t="shared" si="12"/>
        <v>Premium3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バルドル</v>
      </c>
      <c r="I232" s="7" t="str">
        <f>VLOOKUP(B232,[1]characters!$A:$J,10,FALSE)</f>
        <v>PremiumS</v>
      </c>
      <c r="J232" s="7">
        <f>VLOOKUP(B232,[1]characters!$A:$I,9,FALSE)</f>
        <v>3</v>
      </c>
      <c r="K232" s="7" t="str">
        <f>VLOOKUP(B232,[1]characters!$A:$H,8,FALSE)</f>
        <v>yellow</v>
      </c>
      <c r="L232" s="7" t="str">
        <f>VLOOKUP(B232,[1]characters!$A:$K,11,FALSE)</f>
        <v>heal</v>
      </c>
      <c r="M232" s="7" t="str">
        <f>VLOOKUP(B232,[1]characters!$A:$M,13,FALSE)</f>
        <v>god</v>
      </c>
      <c r="N232" s="7" t="str">
        <f>VLOOKUP(B232,[1]characters!$A:$G,7,FALSE)</f>
        <v>男性</v>
      </c>
      <c r="O232" s="45">
        <f ca="1">IFERROR(VLOOKUP(B232,input_433101!L:R,7,FALSE),VLOOKUP(tables_433101!C232,input_433101!A:H,8,FALSE))</f>
        <v>32542.400000000001</v>
      </c>
      <c r="P232" s="46">
        <f t="shared" ca="1" si="13"/>
        <v>2.7823529411407856E-3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input_433101!A$2</f>
        <v>433101</v>
      </c>
      <c r="B233" s="6">
        <v>605</v>
      </c>
      <c r="C233" s="7" t="str">
        <f t="shared" si="12"/>
        <v>Premium4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祝福される光耀 バルドル</v>
      </c>
      <c r="I233" s="7" t="str">
        <f>VLOOKUP(B233,[1]characters!$A:$J,10,FALSE)</f>
        <v>PremiumS</v>
      </c>
      <c r="J233" s="7">
        <f>VLOOKUP(B233,[1]characters!$A:$I,9,FALSE)</f>
        <v>4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IFERROR(VLOOKUP(B233,input_433101!L:R,7,FALSE),VLOOKUP(tables_433101!C233,input_433101!A:H,8,FALSE))</f>
        <v>25292.102510000001</v>
      </c>
      <c r="P233" s="46">
        <f t="shared" ca="1" si="13"/>
        <v>2.1624574649175459E-3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input_433101!A$2</f>
        <v>433101</v>
      </c>
      <c r="B234" s="6">
        <v>606</v>
      </c>
      <c r="C234" s="7" t="str">
        <f t="shared" si="12"/>
        <v>Premium5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冀望の光芒 バルドル</v>
      </c>
      <c r="I234" s="7" t="str">
        <f>VLOOKUP(B234,[1]characters!$A:$J,10,FALSE)</f>
        <v>PremiumS</v>
      </c>
      <c r="J234" s="7">
        <f>VLOOKUP(B234,[1]characters!$A:$I,9,FALSE)</f>
        <v>5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IFERROR(VLOOKUP(B234,input_433101!L:R,7,FALSE),VLOOKUP(tables_433101!C234,input_433101!A:H,8,FALSE))</f>
        <v>1402.2974899999999</v>
      </c>
      <c r="P234" s="46">
        <f t="shared" ca="1" si="13"/>
        <v>1.1989547622965244E-4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input_433101!A$2</f>
        <v>433101</v>
      </c>
      <c r="B235" s="6">
        <v>658</v>
      </c>
      <c r="C235" s="7" t="str">
        <f t="shared" si="12"/>
        <v>PremiumSS4color</v>
      </c>
      <c r="D235" s="7" t="str">
        <f t="shared" si="14"/>
        <v>PremiumSS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猫又 クルミ</v>
      </c>
      <c r="I235" s="7" t="str">
        <f>VLOOKUP(B235,[1]characters!$A:$J,10,FALSE)</f>
        <v>PremiumSS</v>
      </c>
      <c r="J235" s="7">
        <f>VLOOKUP(B235,[1]characters!$A:$I,9,FALSE)</f>
        <v>4</v>
      </c>
      <c r="K235" s="7" t="str">
        <f>VLOOKUP(B235,[1]characters!$A:$H,8,FALSE)</f>
        <v>red</v>
      </c>
      <c r="L235" s="7" t="str">
        <f>VLOOKUP(B235,[1]characters!$A:$K,11,FALSE)</f>
        <v>attack</v>
      </c>
      <c r="M235" s="7" t="str">
        <f>VLOOKUP(B235,[1]characters!$A:$M,13,FALSE)</f>
        <v>animal</v>
      </c>
      <c r="N235" s="7" t="str">
        <f>VLOOKUP(B235,[1]characters!$A:$G,7,FALSE)</f>
        <v>女性</v>
      </c>
      <c r="O235" s="45">
        <f ca="1">IFERROR(VLOOKUP(B235,input_433101!L:R,7,FALSE),VLOOKUP(tables_433101!C235,input_433101!A:H,8,FALSE))</f>
        <v>23809.71429</v>
      </c>
      <c r="P235" s="46">
        <f t="shared" ca="1" si="13"/>
        <v>2.0357142860546024E-3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input_433101!A$2</f>
        <v>433101</v>
      </c>
      <c r="B236" s="6">
        <v>659</v>
      </c>
      <c r="C236" s="7" t="str">
        <f t="shared" si="12"/>
        <v>PremiumSS5color</v>
      </c>
      <c r="D236" s="7" t="str">
        <f t="shared" si="14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跳梁する化猫 クルミ</v>
      </c>
      <c r="I236" s="7" t="str">
        <f>VLOOKUP(B236,[1]characters!$A:$J,10,FALSE)</f>
        <v>PremiumSS</v>
      </c>
      <c r="J236" s="7">
        <f>VLOOKUP(B236,[1]characters!$A:$I,9,FALSE)</f>
        <v>5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IFERROR(VLOOKUP(B236,input_433101!L:R,7,FALSE),VLOOKUP(tables_433101!C236,input_433101!A:H,8,FALSE))</f>
        <v>1253.1428599999999</v>
      </c>
      <c r="P236" s="46">
        <f t="shared" ca="1" si="13"/>
        <v>1.0714285738576674E-4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input_433101!A$2</f>
        <v>433101</v>
      </c>
      <c r="B237" s="6">
        <v>660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烏天狗 フウガ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green</v>
      </c>
      <c r="L237" s="7" t="str">
        <f>VLOOKUP(B237,[1]characters!$A:$K,11,FALSE)</f>
        <v>balance</v>
      </c>
      <c r="M237" s="7" t="str">
        <f>VLOOKUP(B237,[1]characters!$A:$M,13,FALSE)</f>
        <v>animal</v>
      </c>
      <c r="N237" s="7" t="str">
        <f>VLOOKUP(B237,[1]characters!$A:$G,7,FALSE)</f>
        <v>男性</v>
      </c>
      <c r="O237" s="45">
        <f ca="1">IFERROR(VLOOKUP(B237,input_433101!L:R,7,FALSE),VLOOKUP(tables_433101!C237,input_433101!A:H,8,FALSE))</f>
        <v>5168</v>
      </c>
      <c r="P237" s="46">
        <f t="shared" ca="1" si="13"/>
        <v>4.41860465110612E-4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input_433101!A$2</f>
        <v>433101</v>
      </c>
      <c r="B238" s="6">
        <v>661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疾風の天狗礫 フウガ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IFERROR(VLOOKUP(B238,input_433101!L:R,7,FALSE),VLOOKUP(tables_433101!C238,input_433101!A:H,8,FALSE))</f>
        <v>272</v>
      </c>
      <c r="P238" s="46">
        <f t="shared" ca="1" si="13"/>
        <v>2.3255813953190107E-5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input_433101!A$2</f>
        <v>433101</v>
      </c>
      <c r="B239" s="6">
        <v>662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ダイダラ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blue</v>
      </c>
      <c r="L239" s="7" t="str">
        <f>VLOOKUP(B239,[1]characters!$A:$K,11,FALSE)</f>
        <v>hp</v>
      </c>
      <c r="M239" s="7" t="str">
        <f>VLOOKUP(B239,[1]characters!$A:$M,13,FALSE)</f>
        <v>unknown</v>
      </c>
      <c r="N239" s="7" t="str">
        <f>VLOOKUP(B239,[1]characters!$A:$G,7,FALSE)</f>
        <v>不明</v>
      </c>
      <c r="O239" s="45">
        <f ca="1">IFERROR(VLOOKUP(B239,input_433101!L:R,7,FALSE),VLOOKUP(tables_433101!C239,input_433101!A:H,8,FALSE))</f>
        <v>32542.400000000001</v>
      </c>
      <c r="P239" s="46">
        <f t="shared" ca="1" si="13"/>
        <v>2.7823529411407856E-3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input_433101!A$2</f>
        <v>433101</v>
      </c>
      <c r="B240" s="6">
        <v>663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都揺らす地響き ダイダラ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IFERROR(VLOOKUP(B240,input_433101!L:R,7,FALSE),VLOOKUP(tables_433101!C240,input_433101!A:H,8,FALSE))</f>
        <v>25292.102510000001</v>
      </c>
      <c r="P240" s="46">
        <f t="shared" ca="1" si="13"/>
        <v>2.1624574649175459E-3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input_433101!A$2</f>
        <v>433101</v>
      </c>
      <c r="B241" s="6">
        <v>664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山掴み国造り ダイダラ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IFERROR(VLOOKUP(B241,input_433101!L:R,7,FALSE),VLOOKUP(tables_433101!C241,input_433101!A:H,8,FALSE))</f>
        <v>1402.2974899999999</v>
      </c>
      <c r="P241" s="46">
        <f t="shared" ca="1" si="13"/>
        <v>1.1989547622965244E-4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input_433101!A$2</f>
        <v>433101</v>
      </c>
      <c r="B242" s="6">
        <v>665</v>
      </c>
      <c r="C242" s="7" t="str">
        <f t="shared" si="12"/>
        <v>Premium3</v>
      </c>
      <c r="D242" s="7" t="str">
        <f t="shared" si="14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座敷童子 テマリ</v>
      </c>
      <c r="I242" s="7" t="str">
        <f>VLOOKUP(B242,[1]characters!$A:$J,10,FALSE)</f>
        <v>PremiumS</v>
      </c>
      <c r="J242" s="7">
        <f>VLOOKUP(B242,[1]characters!$A:$I,9,FALSE)</f>
        <v>3</v>
      </c>
      <c r="K242" s="7" t="str">
        <f>VLOOKUP(B242,[1]characters!$A:$H,8,FALSE)</f>
        <v>yellow</v>
      </c>
      <c r="L242" s="7" t="str">
        <f>VLOOKUP(B242,[1]characters!$A:$K,11,FALSE)</f>
        <v>balance</v>
      </c>
      <c r="M242" s="7" t="str">
        <f>VLOOKUP(B242,[1]characters!$A:$M,13,FALSE)</f>
        <v>unknown</v>
      </c>
      <c r="N242" s="7" t="str">
        <f>VLOOKUP(B242,[1]characters!$A:$G,7,FALSE)</f>
        <v>女性</v>
      </c>
      <c r="O242" s="45">
        <f ca="1">IFERROR(VLOOKUP(B242,input_433101!L:R,7,FALSE),VLOOKUP(tables_433101!C242,input_433101!A:H,8,FALSE))</f>
        <v>32542.400000000001</v>
      </c>
      <c r="P242" s="46">
        <f t="shared" ca="1" si="13"/>
        <v>2.7823529411407856E-3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input_433101!A$2</f>
        <v>433101</v>
      </c>
      <c r="B243" s="6">
        <v>666</v>
      </c>
      <c r="C243" s="7" t="str">
        <f t="shared" si="12"/>
        <v>Premium4</v>
      </c>
      <c r="D243" s="7" t="str">
        <f t="shared" si="14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拡散する幸福 テマリ</v>
      </c>
      <c r="I243" s="7" t="str">
        <f>VLOOKUP(B243,[1]characters!$A:$J,10,FALSE)</f>
        <v>PremiumS</v>
      </c>
      <c r="J243" s="7">
        <f>VLOOKUP(B243,[1]characters!$A:$I,9,FALSE)</f>
        <v>4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IFERROR(VLOOKUP(B243,input_433101!L:R,7,FALSE),VLOOKUP(tables_433101!C243,input_433101!A:H,8,FALSE))</f>
        <v>25292.102510000001</v>
      </c>
      <c r="P243" s="46">
        <f t="shared" ca="1" si="13"/>
        <v>2.1624574649175459E-3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input_433101!A$2</f>
        <v>433101</v>
      </c>
      <c r="B244" s="6">
        <v>667</v>
      </c>
      <c r="C244" s="7" t="str">
        <f t="shared" si="12"/>
        <v>Premium5</v>
      </c>
      <c r="D244" s="7" t="str">
        <f t="shared" si="14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最幸運の妖童 テマリ</v>
      </c>
      <c r="I244" s="7" t="str">
        <f>VLOOKUP(B244,[1]characters!$A:$J,10,FALSE)</f>
        <v>PremiumS</v>
      </c>
      <c r="J244" s="7">
        <f>VLOOKUP(B244,[1]characters!$A:$I,9,FALSE)</f>
        <v>5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IFERROR(VLOOKUP(B244,input_433101!L:R,7,FALSE),VLOOKUP(tables_433101!C244,input_433101!A:H,8,FALSE))</f>
        <v>1402.2974899999999</v>
      </c>
      <c r="P244" s="46">
        <f t="shared" ca="1" si="13"/>
        <v>1.1989547622965244E-4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input_433101!A$2</f>
        <v>433101</v>
      </c>
      <c r="B245" s="60">
        <v>668</v>
      </c>
      <c r="C245" s="7" t="str">
        <f t="shared" si="12"/>
        <v>Premium3color</v>
      </c>
      <c r="D245" s="7" t="str">
        <f t="shared" si="14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アグニ</v>
      </c>
      <c r="I245" s="7" t="str">
        <f>VLOOKUP(B245,[1]characters!$A:$J,10,FALSE)</f>
        <v>PremiumS</v>
      </c>
      <c r="J245" s="7">
        <f>VLOOKUP(B245,[1]characters!$A:$I,9,FALSE)</f>
        <v>3</v>
      </c>
      <c r="K245" s="7" t="str">
        <f>VLOOKUP(B245,[1]characters!$A:$H,8,FALSE)</f>
        <v>red</v>
      </c>
      <c r="L245" s="7" t="str">
        <f>VLOOKUP(B245,[1]characters!$A:$K,11,FALSE)</f>
        <v>hp</v>
      </c>
      <c r="M245" s="7" t="str">
        <f>VLOOKUP(B245,[1]characters!$A:$M,13,FALSE)</f>
        <v>god</v>
      </c>
      <c r="N245" s="7" t="str">
        <f>VLOOKUP(B245,[1]characters!$A:$G,7,FALSE)</f>
        <v>男性</v>
      </c>
      <c r="O245" s="45">
        <f ca="1">IFERROR(VLOOKUP(B245,input_433101!L:R,7,FALSE),VLOOKUP(tables_433101!C245,input_433101!A:H,8,FALSE))</f>
        <v>144318.46956999999</v>
      </c>
      <c r="P245" s="46">
        <f t="shared" ca="1" si="13"/>
        <v>1.2339130435033263E-2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input_433101!A$2</f>
        <v>433101</v>
      </c>
      <c r="B246" s="60">
        <v>669</v>
      </c>
      <c r="C246" s="7" t="str">
        <f t="shared" si="12"/>
        <v>Premium4color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天地の仲界 アグニ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IFERROR(VLOOKUP(B246,input_433101!L:R,7,FALSE),VLOOKUP(tables_433101!C246,input_433101!A:H,8,FALSE))</f>
        <v>139146.33515999999</v>
      </c>
      <c r="P246" s="46">
        <f t="shared" ca="1" si="13"/>
        <v>1.1896916480695569E-2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input_433101!A$2</f>
        <v>433101</v>
      </c>
      <c r="B247" s="60">
        <v>670</v>
      </c>
      <c r="C247" s="7" t="str">
        <f t="shared" si="12"/>
        <v>Premium5color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陽天の噴煙 アグニ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IFERROR(VLOOKUP(B247,input_433101!L:R,7,FALSE),VLOOKUP(tables_433101!C247,input_433101!A:H,8,FALSE))</f>
        <v>5172.1344099999997</v>
      </c>
      <c r="P247" s="46">
        <f t="shared" ca="1" si="13"/>
        <v>4.4221395433769362E-4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input_433101!A$2</f>
        <v>433101</v>
      </c>
      <c r="B248" s="60">
        <v>671</v>
      </c>
      <c r="C248" s="7" t="str">
        <f t="shared" si="12"/>
        <v>Premium3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ハヌマーン</v>
      </c>
      <c r="I248" s="7" t="str">
        <f>VLOOKUP(B248,[1]characters!$A:$J,10,FALSE)</f>
        <v>PremiumS</v>
      </c>
      <c r="J248" s="7">
        <f>VLOOKUP(B248,[1]characters!$A:$I,9,FALSE)</f>
        <v>3</v>
      </c>
      <c r="K248" s="7" t="str">
        <f>VLOOKUP(B248,[1]characters!$A:$H,8,FALSE)</f>
        <v>green</v>
      </c>
      <c r="L248" s="7" t="str">
        <f>VLOOKUP(B248,[1]characters!$A:$K,11,FALSE)</f>
        <v>attack</v>
      </c>
      <c r="M248" s="7" t="str">
        <f>VLOOKUP(B248,[1]characters!$A:$M,13,FALSE)</f>
        <v>animal</v>
      </c>
      <c r="N248" s="7" t="str">
        <f>VLOOKUP(B248,[1]characters!$A:$G,7,FALSE)</f>
        <v>男性</v>
      </c>
      <c r="O248" s="45">
        <f ca="1">IFERROR(VLOOKUP(B248,input_433101!L:R,7,FALSE),VLOOKUP(tables_433101!C248,input_433101!A:H,8,FALSE))</f>
        <v>32542.400000000001</v>
      </c>
      <c r="P248" s="46">
        <f t="shared" ca="1" si="13"/>
        <v>2.7823529411407856E-3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input_433101!A$2</f>
        <v>433101</v>
      </c>
      <c r="B249" s="60">
        <v>672</v>
      </c>
      <c r="C249" s="7" t="str">
        <f t="shared" si="12"/>
        <v>Premium4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西遊韋駄天 ハヌマーン</v>
      </c>
      <c r="I249" s="7" t="str">
        <f>VLOOKUP(B249,[1]characters!$A:$J,10,FALSE)</f>
        <v>PremiumS</v>
      </c>
      <c r="J249" s="7">
        <f>VLOOKUP(B249,[1]characters!$A:$I,9,FALSE)</f>
        <v>4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IFERROR(VLOOKUP(B249,input_433101!L:R,7,FALSE),VLOOKUP(tables_433101!C249,input_433101!A:H,8,FALSE))</f>
        <v>25292.102510000001</v>
      </c>
      <c r="P249" s="46">
        <f t="shared" ca="1" si="13"/>
        <v>2.1624574649175459E-3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input_433101!A$2</f>
        <v>433101</v>
      </c>
      <c r="B250" s="60">
        <v>673</v>
      </c>
      <c r="C250" s="7" t="str">
        <f t="shared" si="12"/>
        <v>Premium5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変幻自在の猿王 ハヌマーン</v>
      </c>
      <c r="I250" s="7" t="str">
        <f>VLOOKUP(B250,[1]characters!$A:$J,10,FALSE)</f>
        <v>PremiumS</v>
      </c>
      <c r="J250" s="7">
        <f>VLOOKUP(B250,[1]characters!$A:$I,9,FALSE)</f>
        <v>5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IFERROR(VLOOKUP(B250,input_433101!L:R,7,FALSE),VLOOKUP(tables_433101!C250,input_433101!A:H,8,FALSE))</f>
        <v>1402.2974899999999</v>
      </c>
      <c r="P250" s="46">
        <f t="shared" ca="1" si="13"/>
        <v>1.1989547622965244E-4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input_433101!A$2</f>
        <v>433101</v>
      </c>
      <c r="B251" s="60">
        <v>674</v>
      </c>
      <c r="C251" s="7" t="str">
        <f t="shared" si="12"/>
        <v>PremiumSS4</v>
      </c>
      <c r="D251" s="7" t="str">
        <f t="shared" si="14"/>
        <v>PremiumSS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サラスヴァティ</v>
      </c>
      <c r="I251" s="7" t="str">
        <f>VLOOKUP(B251,[1]characters!$A:$J,10,FALSE)</f>
        <v>PremiumSS</v>
      </c>
      <c r="J251" s="7">
        <f>VLOOKUP(B251,[1]characters!$A:$I,9,FALSE)</f>
        <v>4</v>
      </c>
      <c r="K251" s="7" t="str">
        <f>VLOOKUP(B251,[1]characters!$A:$H,8,FALSE)</f>
        <v>blue</v>
      </c>
      <c r="L251" s="7" t="str">
        <f>VLOOKUP(B251,[1]characters!$A:$K,11,FALSE)</f>
        <v>balance</v>
      </c>
      <c r="M251" s="7" t="str">
        <f>VLOOKUP(B251,[1]characters!$A:$M,13,FALSE)</f>
        <v>god</v>
      </c>
      <c r="N251" s="7" t="str">
        <f>VLOOKUP(B251,[1]characters!$A:$G,7,FALSE)</f>
        <v>女性</v>
      </c>
      <c r="O251" s="45">
        <f ca="1">IFERROR(VLOOKUP(B251,input_433101!L:R,7,FALSE),VLOOKUP(tables_433101!C251,input_433101!A:H,8,FALSE))</f>
        <v>5168</v>
      </c>
      <c r="P251" s="46">
        <f t="shared" ca="1" si="13"/>
        <v>4.41860465110612E-4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input_433101!A$2</f>
        <v>433101</v>
      </c>
      <c r="B252" s="60">
        <v>675</v>
      </c>
      <c r="C252" s="7" t="str">
        <f t="shared" si="12"/>
        <v>PremiumSS5</v>
      </c>
      <c r="D252" s="7" t="str">
        <f t="shared" si="14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芸楽の奔流 サラスヴァティ</v>
      </c>
      <c r="I252" s="7" t="str">
        <f>VLOOKUP(B252,[1]characters!$A:$J,10,FALSE)</f>
        <v>PremiumSS</v>
      </c>
      <c r="J252" s="7">
        <f>VLOOKUP(B252,[1]characters!$A:$I,9,FALSE)</f>
        <v>5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IFERROR(VLOOKUP(B252,input_433101!L:R,7,FALSE),VLOOKUP(tables_433101!C252,input_433101!A:H,8,FALSE))</f>
        <v>272</v>
      </c>
      <c r="P252" s="46">
        <f t="shared" ca="1" si="13"/>
        <v>2.3255813953190107E-5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input_433101!A$2</f>
        <v>433101</v>
      </c>
      <c r="B253" s="60">
        <v>676</v>
      </c>
      <c r="C253" s="7" t="str">
        <f t="shared" si="12"/>
        <v>PremiumSS4</v>
      </c>
      <c r="D253" s="7" t="str">
        <f t="shared" si="14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ヴィシュヌ</v>
      </c>
      <c r="I253" s="7" t="str">
        <f>VLOOKUP(B253,[1]characters!$A:$J,10,FALSE)</f>
        <v>PremiumSS</v>
      </c>
      <c r="J253" s="7">
        <f>VLOOKUP(B253,[1]characters!$A:$I,9,FALSE)</f>
        <v>4</v>
      </c>
      <c r="K253" s="7" t="str">
        <f>VLOOKUP(B253,[1]characters!$A:$H,8,FALSE)</f>
        <v>yellow</v>
      </c>
      <c r="L253" s="7" t="str">
        <f>VLOOKUP(B253,[1]characters!$A:$K,11,FALSE)</f>
        <v>attack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IFERROR(VLOOKUP(B253,input_433101!L:R,7,FALSE),VLOOKUP(tables_433101!C253,input_433101!A:H,8,FALSE))</f>
        <v>5168</v>
      </c>
      <c r="P253" s="46">
        <f t="shared" ca="1" si="13"/>
        <v>4.41860465110612E-4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input_433101!A$2</f>
        <v>433101</v>
      </c>
      <c r="B254" s="60">
        <v>677</v>
      </c>
      <c r="C254" s="7" t="str">
        <f t="shared" si="12"/>
        <v>PremiumSS5</v>
      </c>
      <c r="D254" s="7" t="str">
        <f t="shared" si="14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武遊闊歩 ヴィシュヌ</v>
      </c>
      <c r="I254" s="7" t="str">
        <f>VLOOKUP(B254,[1]characters!$A:$J,10,FALSE)</f>
        <v>PremiumSS</v>
      </c>
      <c r="J254" s="7">
        <f>VLOOKUP(B254,[1]characters!$A:$I,9,FALSE)</f>
        <v>5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IFERROR(VLOOKUP(B254,input_433101!L:R,7,FALSE),VLOOKUP(tables_433101!C254,input_433101!A:H,8,FALSE))</f>
        <v>272</v>
      </c>
      <c r="P254" s="46">
        <f t="shared" ca="1" si="13"/>
        <v>2.3255813953190107E-5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input_433101!A$2</f>
        <v>433101</v>
      </c>
      <c r="B255" s="60">
        <v>728</v>
      </c>
      <c r="C255" s="7" t="str">
        <f t="shared" si="12"/>
        <v>Premium4R3lesscolor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>R3less</v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井伊直虎</v>
      </c>
      <c r="I255" s="7" t="str">
        <f>VLOOKUP(B255,[1]characters!$A:$J,10,FALSE)</f>
        <v>PremiumS</v>
      </c>
      <c r="J255" s="7">
        <f>VLOOKUP(B255,[1]characters!$A:$I,9,FALSE)</f>
        <v>4</v>
      </c>
      <c r="K255" s="7" t="str">
        <f>VLOOKUP(B255,[1]characters!$A:$H,8,FALSE)</f>
        <v>red</v>
      </c>
      <c r="L255" s="7" t="str">
        <f>VLOOKUP(B255,[1]characters!$A:$K,11,FALSE)</f>
        <v>balance</v>
      </c>
      <c r="M255" s="7" t="str">
        <f>VLOOKUP(B255,[1]characters!$A:$M,13,FALSE)</f>
        <v>human</v>
      </c>
      <c r="N255" s="7" t="str">
        <f>VLOOKUP(B255,[1]characters!$A:$G,7,FALSE)</f>
        <v>女性</v>
      </c>
      <c r="O255" s="45">
        <f ca="1">IFERROR(VLOOKUP(B255,input_433101!L:R,7,FALSE),VLOOKUP(tables_433101!C255,input_433101!A:H,8,FALSE))</f>
        <v>223678.37216999999</v>
      </c>
      <c r="P255" s="46">
        <f t="shared" ca="1" si="13"/>
        <v>1.9124347825507114E-2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input_433101!A$2</f>
        <v>433101</v>
      </c>
      <c r="B256" s="60">
        <v>729</v>
      </c>
      <c r="C256" s="7" t="str">
        <f t="shared" si="12"/>
        <v>Premium5R3lesscolor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暗厄の双刀 井伊直虎</v>
      </c>
      <c r="I256" s="7" t="str">
        <f>VLOOKUP(B256,[1]characters!$A:$J,10,FALSE)</f>
        <v>PremiumS</v>
      </c>
      <c r="J256" s="7">
        <f>VLOOKUP(B256,[1]characters!$A:$I,9,FALSE)</f>
        <v>5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IFERROR(VLOOKUP(B256,input_433101!L:R,7,FALSE),VLOOKUP(tables_433101!C256,input_433101!A:H,8,FALSE))</f>
        <v>14431.846960000001</v>
      </c>
      <c r="P256" s="46">
        <f t="shared" ca="1" si="13"/>
        <v>1.2339130437598244E-3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input_433101!A$2</f>
        <v>433101</v>
      </c>
      <c r="B257" s="60">
        <v>730</v>
      </c>
      <c r="C257" s="7" t="str">
        <f t="shared" si="12"/>
        <v>Premium4R3less</v>
      </c>
      <c r="D257" s="7" t="str">
        <f t="shared" si="14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ガラシャ</v>
      </c>
      <c r="I257" s="7" t="str">
        <f>VLOOKUP(B257,[1]characters!$A:$J,10,FALSE)</f>
        <v>PremiumS</v>
      </c>
      <c r="J257" s="7">
        <f>VLOOKUP(B257,[1]characters!$A:$I,9,FALSE)</f>
        <v>4</v>
      </c>
      <c r="K257" s="7" t="str">
        <f>VLOOKUP(B257,[1]characters!$A:$H,8,FALSE)</f>
        <v>green</v>
      </c>
      <c r="L257" s="7" t="str">
        <f>VLOOKUP(B257,[1]characters!$A:$K,11,FALSE)</f>
        <v>heal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IFERROR(VLOOKUP(B257,input_433101!L:R,7,FALSE),VLOOKUP(tables_433101!C257,input_433101!A:H,8,FALSE))</f>
        <v>87093.92</v>
      </c>
      <c r="P257" s="46">
        <f t="shared" ca="1" si="13"/>
        <v>7.4464705881397896E-3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input_433101!A$2</f>
        <v>433101</v>
      </c>
      <c r="B258" s="60">
        <v>731</v>
      </c>
      <c r="C258" s="7" t="str">
        <f t="shared" ref="C258:C271" si="16">D258&amp;J258&amp;E258&amp;F258&amp;G258</f>
        <v>Premium5R3less</v>
      </c>
      <c r="D258" s="7" t="str">
        <f t="shared" si="14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敬虔なる追銃 ガラシャ</v>
      </c>
      <c r="I258" s="7" t="str">
        <f>VLOOKUP(B258,[1]characters!$A:$J,10,FALSE)</f>
        <v>PremiumS</v>
      </c>
      <c r="J258" s="7">
        <f>VLOOKUP(B258,[1]characters!$A:$I,9,FALSE)</f>
        <v>5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IFERROR(VLOOKUP(B258,input_433101!L:R,7,FALSE),VLOOKUP(tables_433101!C258,input_433101!A:H,8,FALSE))</f>
        <v>3254.24</v>
      </c>
      <c r="P258" s="46">
        <f t="shared" ref="P258:P318" ca="1" si="17">O258/SUM(O:O)</f>
        <v>2.7823529411407857E-4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input_433101!A$2</f>
        <v>433101</v>
      </c>
      <c r="B259" s="60">
        <v>732</v>
      </c>
      <c r="C259" s="7" t="str">
        <f t="shared" si="16"/>
        <v>PremiumSS5R5only</v>
      </c>
      <c r="D259" s="7" t="str">
        <f t="shared" ref="D259:D305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>R5only</v>
      </c>
      <c r="F259" s="7" t="str">
        <f>IF(COUNTIF('R6開放'!A:A,B259)&gt;0,"R6release","")</f>
        <v/>
      </c>
      <c r="G259" s="7" t="str">
        <f t="shared" ref="G259:G318" si="19">IF(K259="red","color","")</f>
        <v/>
      </c>
      <c r="H259" s="7" t="str">
        <f>VLOOKUP(B259,[1]characters!$A:$C,3,FALSE)</f>
        <v>上杉謙信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attack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IFERROR(VLOOKUP(B259,input_433101!L:R,7,FALSE),VLOOKUP(tables_433101!C259,input_433101!A:H,8,FALSE))</f>
        <v>5440</v>
      </c>
      <c r="P259" s="46">
        <f t="shared" ca="1" si="17"/>
        <v>4.6511627906380213E-4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input_433101!A$2</f>
        <v>433101</v>
      </c>
      <c r="B260" s="60">
        <v>734</v>
      </c>
      <c r="C260" s="7" t="str">
        <f t="shared" si="16"/>
        <v>PremiumSS5R5only</v>
      </c>
      <c r="D260" s="7" t="str">
        <f t="shared" si="18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伊達政宗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yellow</v>
      </c>
      <c r="L260" s="7" t="str">
        <f>VLOOKUP(B260,[1]characters!$A:$K,11,FALSE)</f>
        <v>balance</v>
      </c>
      <c r="M260" s="7" t="str">
        <f>VLOOKUP(B260,[1]characters!$A:$M,13,FALSE)</f>
        <v>human</v>
      </c>
      <c r="N260" s="7" t="str">
        <f>VLOOKUP(B260,[1]characters!$A:$G,7,FALSE)</f>
        <v>男性</v>
      </c>
      <c r="O260" s="45">
        <f ca="1">IFERROR(VLOOKUP(B260,input_433101!L:R,7,FALSE),VLOOKUP(tables_433101!C260,input_433101!A:H,8,FALSE))</f>
        <v>5440</v>
      </c>
      <c r="P260" s="46">
        <f t="shared" ca="1" si="17"/>
        <v>4.6511627906380213E-4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input_433101!A$2</f>
        <v>433101</v>
      </c>
      <c r="B261" s="60">
        <v>770</v>
      </c>
      <c r="C261" s="7" t="str">
        <f t="shared" si="16"/>
        <v>PremiumSS4color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ハヅル</v>
      </c>
      <c r="I261" s="7" t="str">
        <f>VLOOKUP(B261,[1]characters!$A:$J,10,FALSE)</f>
        <v>PremiumSS</v>
      </c>
      <c r="J261" s="7">
        <f>VLOOKUP(B261,[1]characters!$A:$I,9,FALSE)</f>
        <v>4</v>
      </c>
      <c r="K261" s="7" t="str">
        <f>VLOOKUP(B261,[1]characters!$A:$H,8,FALSE)</f>
        <v>red</v>
      </c>
      <c r="L261" s="7" t="str">
        <f>VLOOKUP(B261,[1]characters!$A:$K,11,FALSE)</f>
        <v>balance</v>
      </c>
      <c r="M261" s="7" t="str">
        <f>VLOOKUP(B261,[1]characters!$A:$M,13,FALSE)</f>
        <v>animal</v>
      </c>
      <c r="N261" s="7" t="str">
        <f>VLOOKUP(B261,[1]characters!$A:$G,7,FALSE)</f>
        <v>女性</v>
      </c>
      <c r="O261" s="45">
        <f ca="1">IFERROR(VLOOKUP(B261,input_433101!L:R,7,FALSE),VLOOKUP(tables_433101!C261,input_433101!A:H,8,FALSE))</f>
        <v>23809.71429</v>
      </c>
      <c r="P261" s="46">
        <f t="shared" ca="1" si="17"/>
        <v>2.0357142860546024E-3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input_433101!A$2</f>
        <v>433101</v>
      </c>
      <c r="B262" s="60">
        <v>771</v>
      </c>
      <c r="C262" s="7" t="str">
        <f t="shared" si="16"/>
        <v>PremiumSS5color</v>
      </c>
      <c r="D262" s="7" t="str">
        <f t="shared" si="18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天織羽鶴 ハヅル</v>
      </c>
      <c r="I262" s="7" t="str">
        <f>VLOOKUP(B262,[1]characters!$A:$J,10,FALSE)</f>
        <v>PremiumSS</v>
      </c>
      <c r="J262" s="7">
        <f>VLOOKUP(B262,[1]characters!$A:$I,9,FALSE)</f>
        <v>5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IFERROR(VLOOKUP(B262,input_433101!L:R,7,FALSE),VLOOKUP(tables_433101!C262,input_433101!A:H,8,FALSE))</f>
        <v>1253.1428599999999</v>
      </c>
      <c r="P262" s="46">
        <f t="shared" ca="1" si="17"/>
        <v>1.0714285738576674E-4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input_433101!A$2</f>
        <v>433101</v>
      </c>
      <c r="B263" s="60">
        <v>772</v>
      </c>
      <c r="C263" s="7" t="str">
        <f t="shared" si="16"/>
        <v>PremiumSS4</v>
      </c>
      <c r="D263" s="7" t="str">
        <f t="shared" si="18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イナバ</v>
      </c>
      <c r="I263" s="7" t="str">
        <f>VLOOKUP(B263,[1]characters!$A:$J,10,FALSE)</f>
        <v>PremiumSS</v>
      </c>
      <c r="J263" s="7">
        <f>VLOOKUP(B263,[1]characters!$A:$I,9,FALSE)</f>
        <v>4</v>
      </c>
      <c r="K263" s="7" t="str">
        <f>VLOOKUP(B263,[1]characters!$A:$H,8,FALSE)</f>
        <v>green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IFERROR(VLOOKUP(B263,input_433101!L:R,7,FALSE),VLOOKUP(tables_433101!C263,input_433101!A:H,8,FALSE))</f>
        <v>5168</v>
      </c>
      <c r="P263" s="46">
        <f t="shared" ca="1" si="17"/>
        <v>4.41860465110612E-4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input_433101!A$2</f>
        <v>433101</v>
      </c>
      <c r="B264" s="60">
        <v>773</v>
      </c>
      <c r="C264" s="7" t="str">
        <f t="shared" si="16"/>
        <v>PremiumSS5</v>
      </c>
      <c r="D264" s="7" t="str">
        <f t="shared" si="18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浮跳天兎 イナバ</v>
      </c>
      <c r="I264" s="7" t="str">
        <f>VLOOKUP(B264,[1]characters!$A:$J,10,FALSE)</f>
        <v>PremiumSS</v>
      </c>
      <c r="J264" s="7">
        <f>VLOOKUP(B264,[1]characters!$A:$I,9,FALSE)</f>
        <v>5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IFERROR(VLOOKUP(B264,input_433101!L:R,7,FALSE),VLOOKUP(tables_433101!C264,input_433101!A:H,8,FALSE))</f>
        <v>272</v>
      </c>
      <c r="P264" s="46">
        <f t="shared" ca="1" si="17"/>
        <v>2.3255813953190107E-5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input_433101!A$2</f>
        <v>433101</v>
      </c>
      <c r="B265" s="60">
        <v>774</v>
      </c>
      <c r="C265" s="7" t="str">
        <f t="shared" si="16"/>
        <v>Premium3</v>
      </c>
      <c r="D265" s="7" t="str">
        <f t="shared" si="18"/>
        <v>Premium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ミズチ</v>
      </c>
      <c r="I265" s="7" t="str">
        <f>VLOOKUP(B265,[1]characters!$A:$J,10,FALSE)</f>
        <v>PremiumS</v>
      </c>
      <c r="J265" s="7">
        <f>VLOOKUP(B265,[1]characters!$A:$I,9,FALSE)</f>
        <v>3</v>
      </c>
      <c r="K265" s="7" t="str">
        <f>VLOOKUP(B265,[1]characters!$A:$H,8,FALSE)</f>
        <v>blue</v>
      </c>
      <c r="L265" s="7" t="str">
        <f>VLOOKUP(B265,[1]characters!$A:$K,11,FALSE)</f>
        <v>heal</v>
      </c>
      <c r="M265" s="7" t="str">
        <f>VLOOKUP(B265,[1]characters!$A:$M,13,FALSE)</f>
        <v>dragon</v>
      </c>
      <c r="N265" s="7" t="str">
        <f>VLOOKUP(B265,[1]characters!$A:$G,7,FALSE)</f>
        <v>不明</v>
      </c>
      <c r="O265" s="45">
        <f ca="1">IFERROR(VLOOKUP(B265,input_433101!L:R,7,FALSE),VLOOKUP(tables_433101!C265,input_433101!A:H,8,FALSE))</f>
        <v>32542.400000000001</v>
      </c>
      <c r="P265" s="46">
        <f t="shared" ca="1" si="17"/>
        <v>2.7823529411407856E-3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input_433101!A$2</f>
        <v>433101</v>
      </c>
      <c r="B266" s="60">
        <v>775</v>
      </c>
      <c r="C266" s="7" t="str">
        <f t="shared" si="16"/>
        <v>Premium4</v>
      </c>
      <c r="D266" s="7" t="str">
        <f t="shared" si="18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水底霊竜 ミズチ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IFERROR(VLOOKUP(B266,input_433101!L:R,7,FALSE),VLOOKUP(tables_433101!C266,input_433101!A:H,8,FALSE))</f>
        <v>25292.102510000001</v>
      </c>
      <c r="P266" s="46">
        <f t="shared" ca="1" si="17"/>
        <v>2.1624574649175459E-3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input_433101!A$2</f>
        <v>433101</v>
      </c>
      <c r="B267" s="60">
        <v>776</v>
      </c>
      <c r="C267" s="7" t="str">
        <f t="shared" si="16"/>
        <v>Premium5</v>
      </c>
      <c r="D267" s="7" t="str">
        <f t="shared" si="18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水竜底主 ミズチ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IFERROR(VLOOKUP(B267,input_433101!L:R,7,FALSE),VLOOKUP(tables_433101!C267,input_433101!A:H,8,FALSE))</f>
        <v>1402.2974899999999</v>
      </c>
      <c r="P267" s="46">
        <f t="shared" ca="1" si="17"/>
        <v>1.1989547622965244E-4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input_433101!A$2</f>
        <v>433101</v>
      </c>
      <c r="B268" s="60">
        <v>777</v>
      </c>
      <c r="C268" s="7" t="str">
        <f t="shared" si="16"/>
        <v>Premium3</v>
      </c>
      <c r="D268" s="7" t="str">
        <f t="shared" si="18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ガメック</v>
      </c>
      <c r="I268" s="7" t="str">
        <f>VLOOKUP(B268,[1]characters!$A:$J,10,FALSE)</f>
        <v>PremiumS</v>
      </c>
      <c r="J268" s="7">
        <f>VLOOKUP(B268,[1]characters!$A:$I,9,FALSE)</f>
        <v>3</v>
      </c>
      <c r="K268" s="7" t="str">
        <f>VLOOKUP(B268,[1]characters!$A:$H,8,FALSE)</f>
        <v>yellow</v>
      </c>
      <c r="L268" s="7" t="str">
        <f>VLOOKUP(B268,[1]characters!$A:$K,11,FALSE)</f>
        <v>hp</v>
      </c>
      <c r="M268" s="7" t="str">
        <f>VLOOKUP(B268,[1]characters!$A:$M,13,FALSE)</f>
        <v>animal</v>
      </c>
      <c r="N268" s="7" t="str">
        <f>VLOOKUP(B268,[1]characters!$A:$G,7,FALSE)</f>
        <v>不明</v>
      </c>
      <c r="O268" s="45">
        <f ca="1">IFERROR(VLOOKUP(B268,input_433101!L:R,7,FALSE),VLOOKUP(tables_433101!C268,input_433101!A:H,8,FALSE))</f>
        <v>32542.400000000001</v>
      </c>
      <c r="P268" s="46">
        <f t="shared" ca="1" si="17"/>
        <v>2.7823529411407856E-3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input_433101!A$2</f>
        <v>433101</v>
      </c>
      <c r="B269" s="60">
        <v>778</v>
      </c>
      <c r="C269" s="7" t="str">
        <f t="shared" si="16"/>
        <v>Premium4</v>
      </c>
      <c r="D269" s="7" t="str">
        <f t="shared" si="18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一亀懸明 ガメック</v>
      </c>
      <c r="I269" s="7" t="str">
        <f>VLOOKUP(B269,[1]characters!$A:$J,10,FALSE)</f>
        <v>PremiumS</v>
      </c>
      <c r="J269" s="7">
        <f>VLOOKUP(B269,[1]characters!$A:$I,9,FALSE)</f>
        <v>4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IFERROR(VLOOKUP(B269,input_433101!L:R,7,FALSE),VLOOKUP(tables_433101!C269,input_433101!A:H,8,FALSE))</f>
        <v>25292.102510000001</v>
      </c>
      <c r="P269" s="46">
        <f t="shared" ca="1" si="17"/>
        <v>2.1624574649175459E-3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input_433101!A$2</f>
        <v>433101</v>
      </c>
      <c r="B270" s="60">
        <v>779</v>
      </c>
      <c r="C270" s="7" t="str">
        <f t="shared" si="16"/>
        <v>Premium5</v>
      </c>
      <c r="D270" s="7" t="str">
        <f t="shared" si="18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頑堅咬亀 ガメック</v>
      </c>
      <c r="I270" s="7" t="str">
        <f>VLOOKUP(B270,[1]characters!$A:$J,10,FALSE)</f>
        <v>PremiumS</v>
      </c>
      <c r="J270" s="7">
        <f>VLOOKUP(B270,[1]characters!$A:$I,9,FALSE)</f>
        <v>5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IFERROR(VLOOKUP(B270,input_433101!L:R,7,FALSE),VLOOKUP(tables_433101!C270,input_433101!A:H,8,FALSE))</f>
        <v>1402.2974899999999</v>
      </c>
      <c r="P270" s="46">
        <f t="shared" ca="1" si="17"/>
        <v>1.1989547622965244E-4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input_433101!A$2</f>
        <v>433101</v>
      </c>
      <c r="B271" s="82">
        <v>848</v>
      </c>
      <c r="C271" s="7" t="str">
        <f t="shared" si="16"/>
        <v>PremiumSS5R5onlycolor</v>
      </c>
      <c r="D271" s="7" t="str">
        <f t="shared" si="18"/>
        <v>PremiumSS</v>
      </c>
      <c r="E271" s="7" t="str">
        <f>IF(COUNTIF('R6追加前'!A:A,B271)=0,IF(OR(I271="PremiumSS",I271="PremiumSSw"),"R5only","R3less"),"")</f>
        <v>R5only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メタトロン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red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IFERROR(VLOOKUP(B271,input_433101!L:R,7,FALSE),VLOOKUP(tables_433101!C271,input_433101!A:H,8,FALSE))</f>
        <v>25062.85714</v>
      </c>
      <c r="P271" s="46">
        <f t="shared" ca="1" si="17"/>
        <v>2.142857142585376E-3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input_433101!A$2</f>
        <v>433101</v>
      </c>
      <c r="B272" s="82">
        <v>850</v>
      </c>
      <c r="C272" s="7" t="str">
        <f t="shared" ref="C272:C283" si="20">D272&amp;J272&amp;E272&amp;F272&amp;G272</f>
        <v>PremiumSS5R5only</v>
      </c>
      <c r="D272" s="7" t="str">
        <f t="shared" si="18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バアル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green</v>
      </c>
      <c r="L272" s="7" t="str">
        <f>VLOOKUP(B272,[1]characters!$A:$K,11,FALSE)</f>
        <v>technical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IFERROR(VLOOKUP(B272,input_433101!L:R,7,FALSE),VLOOKUP(tables_433101!C272,input_433101!A:H,8,FALSE))</f>
        <v>5440</v>
      </c>
      <c r="P272" s="46">
        <f t="shared" ca="1" si="17"/>
        <v>4.6511627906380213E-4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input_433101!A$2</f>
        <v>433101</v>
      </c>
      <c r="B273" s="82">
        <v>852</v>
      </c>
      <c r="C273" s="7" t="str">
        <f t="shared" si="20"/>
        <v>Premium4R3less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サキエル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blue</v>
      </c>
      <c r="L273" s="7" t="str">
        <f>VLOOKUP(B273,[1]characters!$A:$K,11,FALSE)</f>
        <v>hp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IFERROR(VLOOKUP(B273,input_433101!L:R,7,FALSE),VLOOKUP(tables_433101!C273,input_433101!A:H,8,FALSE))</f>
        <v>87093.92</v>
      </c>
      <c r="P273" s="46">
        <f t="shared" ca="1" si="17"/>
        <v>7.4464705881397896E-3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input_433101!A$2</f>
        <v>433101</v>
      </c>
      <c r="B274" s="82">
        <v>853</v>
      </c>
      <c r="C274" s="7" t="str">
        <f t="shared" si="20"/>
        <v>Premium5R3less</v>
      </c>
      <c r="D274" s="7" t="str">
        <f t="shared" si="18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裂爪の天使 サキエル・ティア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IFERROR(VLOOKUP(B274,input_433101!L:R,7,FALSE),VLOOKUP(tables_433101!C274,input_433101!A:H,8,FALSE))</f>
        <v>3254.24</v>
      </c>
      <c r="P274" s="46">
        <f t="shared" ca="1" si="17"/>
        <v>2.7823529411407857E-4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input_433101!A$2</f>
        <v>433101</v>
      </c>
      <c r="B275" s="82">
        <v>854</v>
      </c>
      <c r="C275" s="7" t="str">
        <f t="shared" si="20"/>
        <v>Premium4R3less</v>
      </c>
      <c r="D275" s="7" t="str">
        <f t="shared" si="18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フラウロス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yellow</v>
      </c>
      <c r="L275" s="7" t="str">
        <f>VLOOKUP(B275,[1]characters!$A:$K,11,FALSE)</f>
        <v>attack</v>
      </c>
      <c r="M275" s="7" t="str">
        <f>VLOOKUP(B275,[1]characters!$A:$M,13,FALSE)</f>
        <v>animal</v>
      </c>
      <c r="N275" s="7" t="str">
        <f>VLOOKUP(B275,[1]characters!$A:$G,7,FALSE)</f>
        <v>男性</v>
      </c>
      <c r="O275" s="45">
        <f ca="1">IFERROR(VLOOKUP(B275,input_433101!L:R,7,FALSE),VLOOKUP(tables_433101!C275,input_433101!A:H,8,FALSE))</f>
        <v>87093.92</v>
      </c>
      <c r="P275" s="46">
        <f t="shared" ca="1" si="17"/>
        <v>7.4464705881397896E-3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input_433101!A$2</f>
        <v>433101</v>
      </c>
      <c r="B276" s="82">
        <v>855</v>
      </c>
      <c r="C276" s="7" t="str">
        <f t="shared" si="20"/>
        <v>Premium5R3less</v>
      </c>
      <c r="D276" s="7" t="str">
        <f t="shared" si="18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豹魔の侠客 フラウロス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IFERROR(VLOOKUP(B276,input_433101!L:R,7,FALSE),VLOOKUP(tables_433101!C276,input_433101!A:H,8,FALSE))</f>
        <v>3254.24</v>
      </c>
      <c r="P276" s="46">
        <f t="shared" ca="1" si="17"/>
        <v>2.7823529411407857E-4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input_433101!A$2</f>
        <v>433101</v>
      </c>
      <c r="B277" s="82">
        <v>862</v>
      </c>
      <c r="C277" s="7" t="str">
        <f t="shared" si="20"/>
        <v>Premium4R3lesscolor</v>
      </c>
      <c r="D277" s="7" t="str">
        <f t="shared" si="18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IFERROR(VLOOKUP(B277,input_433101!L:R,7,FALSE),VLOOKUP(tables_433101!C277,input_433101!A:H,8,FALSE))</f>
        <v>223678.37216999999</v>
      </c>
      <c r="P277" s="46">
        <f t="shared" ca="1" si="17"/>
        <v>1.9124347825507114E-2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input_433101!A$2</f>
        <v>433101</v>
      </c>
      <c r="B278" s="82">
        <v>863</v>
      </c>
      <c r="C278" s="7" t="str">
        <f t="shared" si="20"/>
        <v>Premium5R3lesscolor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IFERROR(VLOOKUP(B278,input_433101!L:R,7,FALSE),VLOOKUP(tables_433101!C278,input_433101!A:H,8,FALSE))</f>
        <v>14431.846960000001</v>
      </c>
      <c r="P278" s="46">
        <f t="shared" ca="1" si="17"/>
        <v>1.2339130437598244E-3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input_433101!A$2</f>
        <v>433101</v>
      </c>
      <c r="B279" s="82">
        <v>864</v>
      </c>
      <c r="C279" s="7" t="str">
        <f t="shared" si="20"/>
        <v>Premium4R3less</v>
      </c>
      <c r="D279" s="7" t="str">
        <f t="shared" si="18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IFERROR(VLOOKUP(B279,input_433101!L:R,7,FALSE),VLOOKUP(tables_433101!C279,input_433101!A:H,8,FALSE))</f>
        <v>87093.92</v>
      </c>
      <c r="P279" s="46">
        <f t="shared" ca="1" si="17"/>
        <v>7.4464705881397896E-3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input_433101!A$2</f>
        <v>433101</v>
      </c>
      <c r="B280" s="82">
        <v>865</v>
      </c>
      <c r="C280" s="7" t="str">
        <f t="shared" si="20"/>
        <v>Premium5R3less</v>
      </c>
      <c r="D280" s="7" t="str">
        <f t="shared" si="18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IFERROR(VLOOKUP(B280,input_433101!L:R,7,FALSE),VLOOKUP(tables_433101!C280,input_433101!A:H,8,FALSE))</f>
        <v>3254.24</v>
      </c>
      <c r="P280" s="46">
        <f t="shared" ca="1" si="17"/>
        <v>2.7823529411407857E-4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input_433101!A$2</f>
        <v>433101</v>
      </c>
      <c r="B281" s="82">
        <v>866</v>
      </c>
      <c r="C281" s="7" t="str">
        <f t="shared" si="20"/>
        <v>PremiumSS5R5only</v>
      </c>
      <c r="D281" s="7" t="str">
        <f t="shared" si="18"/>
        <v>PremiumSS</v>
      </c>
      <c r="E281" s="7" t="str">
        <f>IF(COUNTIF('R6追加前'!A:A,B281)=0,IF(OR(I281="PremiumSS",I281="PremiumSSw"),"R5only","R3less"),"")</f>
        <v>R5only</v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IFERROR(VLOOKUP(B281,input_433101!L:R,7,FALSE),VLOOKUP(tables_433101!C281,input_433101!A:H,8,FALSE))</f>
        <v>5440</v>
      </c>
      <c r="P281" s="46">
        <f t="shared" ca="1" si="17"/>
        <v>4.6511627906380213E-4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input_433101!A$2</f>
        <v>433101</v>
      </c>
      <c r="B282" s="82">
        <v>868</v>
      </c>
      <c r="C282" s="7" t="str">
        <f t="shared" si="20"/>
        <v>PremiumSS5R5only</v>
      </c>
      <c r="D282" s="7" t="str">
        <f t="shared" si="18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IFERROR(VLOOKUP(B282,input_433101!L:R,7,FALSE),VLOOKUP(tables_433101!C282,input_433101!A:H,8,FALSE))</f>
        <v>5440</v>
      </c>
      <c r="P282" s="46">
        <f t="shared" ca="1" si="17"/>
        <v>4.6511627906380213E-4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input_433101!A$2</f>
        <v>433101</v>
      </c>
      <c r="B283" s="5">
        <v>742</v>
      </c>
      <c r="C283" s="7" t="str">
        <f t="shared" si="20"/>
        <v>PremiumSS5R5onlycolor</v>
      </c>
      <c r="D283" s="7" t="str">
        <f t="shared" si="18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9"/>
        <v>color</v>
      </c>
      <c r="H283" s="7" t="str">
        <f>VLOOKUP(B283,[1]characters!$A:$C,3,FALSE)</f>
        <v>アポロン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red</v>
      </c>
      <c r="L283" s="7" t="str">
        <f>VLOOKUP(B283,[1]characters!$A:$K,11,FALSE)</f>
        <v>attack</v>
      </c>
      <c r="M283" s="7" t="str">
        <f>VLOOKUP(B283,[1]characters!$A:$M,13,FALSE)</f>
        <v>god</v>
      </c>
      <c r="N283" s="7" t="str">
        <f>VLOOKUP(B283,[1]characters!$A:$G,7,FALSE)</f>
        <v>男性</v>
      </c>
      <c r="O283" s="45">
        <f ca="1">IFERROR(VLOOKUP(B283,input_433101!L:R,7,FALSE),VLOOKUP(tables_433101!C283,input_433101!A:H,8,FALSE))</f>
        <v>25062.85714</v>
      </c>
      <c r="P283" s="46">
        <f t="shared" ca="1" si="17"/>
        <v>2.142857142585376E-3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input_433101!A$2</f>
        <v>433101</v>
      </c>
      <c r="B284" s="5">
        <v>744</v>
      </c>
      <c r="C284" s="7" t="str">
        <f t="shared" ref="C284" si="21">D284&amp;J284&amp;E284&amp;F284&amp;G284</f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ヘルメス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green</v>
      </c>
      <c r="L284" s="7" t="str">
        <f>VLOOKUP(B284,[1]characters!$A:$K,11,FALSE)</f>
        <v>technical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IFERROR(VLOOKUP(B284,input_433101!L:R,7,FALSE),VLOOKUP(tables_433101!C284,input_433101!A:H,8,FALSE))</f>
        <v>5440</v>
      </c>
      <c r="P284" s="46">
        <f t="shared" ca="1" si="17"/>
        <v>4.6511627906380213E-4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input_433101!A$2</f>
        <v>433101</v>
      </c>
      <c r="B285" s="5">
        <v>746</v>
      </c>
      <c r="C285" s="7" t="str">
        <f t="shared" ref="C285:C290" si="22">D285&amp;J285&amp;E285&amp;F285&amp;G285</f>
        <v>Premium4R3less</v>
      </c>
      <c r="D285" s="7" t="str">
        <f t="shared" si="18"/>
        <v>Premium</v>
      </c>
      <c r="E285" s="7" t="str">
        <f>IF(COUNTIF('R6追加前'!A:A,B285)=0,IF(OR(I285="PremiumSS",I285="PremiumSSw"),"R5only","R3less"),"")</f>
        <v>R3less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ノルン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IFERROR(VLOOKUP(B285,input_433101!L:R,7,FALSE),VLOOKUP(tables_433101!C285,input_433101!A:H,8,FALSE))</f>
        <v>87093.92</v>
      </c>
      <c r="P285" s="46">
        <f t="shared" ca="1" si="17"/>
        <v>7.4464705881397896E-3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input_433101!A$2</f>
        <v>433101</v>
      </c>
      <c r="B286" s="5">
        <v>747</v>
      </c>
      <c r="C286" s="7" t="str">
        <f t="shared" si="22"/>
        <v>Premium5R3less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IFERROR(VLOOKUP(B286,input_433101!L:R,7,FALSE),VLOOKUP(tables_433101!C286,input_433101!A:H,8,FALSE))</f>
        <v>3254.24</v>
      </c>
      <c r="P286" s="46">
        <f t="shared" ca="1" si="17"/>
        <v>2.7823529411407857E-4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input_433101!A$2</f>
        <v>433101</v>
      </c>
      <c r="B287" s="5">
        <v>748</v>
      </c>
      <c r="C287" s="7" t="str">
        <f t="shared" si="22"/>
        <v>Premium4R3less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パーン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IFERROR(VLOOKUP(B287,input_433101!L:R,7,FALSE),VLOOKUP(tables_433101!C287,input_433101!A:H,8,FALSE))</f>
        <v>87093.92</v>
      </c>
      <c r="P287" s="46">
        <f t="shared" ca="1" si="17"/>
        <v>7.4464705881397896E-3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input_433101!A$2</f>
        <v>433101</v>
      </c>
      <c r="B288" s="5">
        <v>749</v>
      </c>
      <c r="C288" s="7" t="str">
        <f t="shared" si="22"/>
        <v>Premium5R3less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光喜の牧童 パーン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IFERROR(VLOOKUP(B288,input_433101!L:R,7,FALSE),VLOOKUP(tables_433101!C288,input_433101!A:H,8,FALSE))</f>
        <v>3254.24</v>
      </c>
      <c r="P288" s="46">
        <f t="shared" ca="1" si="17"/>
        <v>2.7823529411407857E-4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input_433101!A$2</f>
        <v>433101</v>
      </c>
      <c r="B289" s="5">
        <v>937</v>
      </c>
      <c r="C289" s="7" t="str">
        <f t="shared" si="22"/>
        <v>PremiumSS5R5onlycolor</v>
      </c>
      <c r="D289" s="7" t="str">
        <f t="shared" si="18"/>
        <v>PremiumSS</v>
      </c>
      <c r="E289" s="7" t="str">
        <f>IF(COUNTIF('R6追加前'!A:A,B289)=0,IF(OR(I289="PremiumSS",I289="PremiumSSw"),"R5only","R3less"),"")</f>
        <v>R5only</v>
      </c>
      <c r="F289" s="7" t="str">
        <f>IF(COUNTIF('R6開放'!A:A,B289)&gt;0,"R6release","")</f>
        <v/>
      </c>
      <c r="G289" s="7" t="str">
        <f t="shared" si="19"/>
        <v>color</v>
      </c>
      <c r="H289" s="7" t="str">
        <f>VLOOKUP(B289,[1]characters!$A:$C,3,FALSE)</f>
        <v>ナポレオン</v>
      </c>
      <c r="I289" s="7" t="str">
        <f>VLOOKUP(B289,[1]characters!$A:$J,10,FALSE)</f>
        <v>PremiumSS</v>
      </c>
      <c r="J289" s="7">
        <f>VLOOKUP(B289,[1]characters!$A:$I,9,FALSE)</f>
        <v>5</v>
      </c>
      <c r="K289" s="7" t="str">
        <f>VLOOKUP(B289,[1]characters!$A:$H,8,FALSE)</f>
        <v>red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男性</v>
      </c>
      <c r="O289" s="45">
        <f ca="1">IFERROR(VLOOKUP(B289,input_433101!L:R,7,FALSE),VLOOKUP(tables_433101!C289,input_433101!A:H,8,FALSE))</f>
        <v>25062.85714</v>
      </c>
      <c r="P289" s="46">
        <f t="shared" ca="1" si="17"/>
        <v>2.142857142585376E-3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input_433101!A$2</f>
        <v>433101</v>
      </c>
      <c r="B290" s="5">
        <v>939</v>
      </c>
      <c r="C290" s="7" t="str">
        <f t="shared" si="22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バスティーユ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hp</v>
      </c>
      <c r="M290" s="7" t="str">
        <f>VLOOKUP(B290,[1]characters!$A:$M,13,FALSE)</f>
        <v>unknown</v>
      </c>
      <c r="N290" s="7" t="str">
        <f>VLOOKUP(B290,[1]characters!$A:$G,7,FALSE)</f>
        <v>男性</v>
      </c>
      <c r="O290" s="45">
        <f ca="1">IFERROR(VLOOKUP(B290,input_433101!L:R,7,FALSE),VLOOKUP(tables_433101!C290,input_433101!A:H,8,FALSE))</f>
        <v>87093.92</v>
      </c>
      <c r="P290" s="46">
        <f t="shared" ca="1" si="17"/>
        <v>7.4464705881397896E-3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input_433101!A$2</f>
        <v>433101</v>
      </c>
      <c r="B291" s="5">
        <v>940</v>
      </c>
      <c r="C291" s="7" t="str">
        <f t="shared" ref="C291:C294" si="23">D291&amp;J291&amp;E291&amp;F291&amp;G291</f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不壊の大要塞 バスティーユ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IFERROR(VLOOKUP(B291,input_433101!L:R,7,FALSE),VLOOKUP(tables_433101!C291,input_433101!A:H,8,FALSE))</f>
        <v>3254.24</v>
      </c>
      <c r="P291" s="46">
        <f t="shared" ca="1" si="17"/>
        <v>2.7823529411407857E-4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input_433101!A$2</f>
        <v>433101</v>
      </c>
      <c r="B292" s="5">
        <v>941</v>
      </c>
      <c r="C292" s="7" t="str">
        <f t="shared" si="23"/>
        <v>PremiumSS5R5only</v>
      </c>
      <c r="D292" s="7" t="str">
        <f t="shared" si="18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アントワネット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blue</v>
      </c>
      <c r="L292" s="7" t="str">
        <f>VLOOKUP(B292,[1]characters!$A:$K,11,FALSE)</f>
        <v>technical</v>
      </c>
      <c r="M292" s="7" t="str">
        <f>VLOOKUP(B292,[1]characters!$A:$M,13,FALSE)</f>
        <v>human</v>
      </c>
      <c r="N292" s="7" t="str">
        <f>VLOOKUP(B292,[1]characters!$A:$G,7,FALSE)</f>
        <v>男性</v>
      </c>
      <c r="O292" s="45">
        <f ca="1">IFERROR(VLOOKUP(B292,input_433101!L:R,7,FALSE),VLOOKUP(tables_433101!C292,input_433101!A:H,8,FALSE))</f>
        <v>5440</v>
      </c>
      <c r="P292" s="46">
        <f t="shared" ca="1" si="17"/>
        <v>4.6511627906380213E-4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input_433101!A$2</f>
        <v>433101</v>
      </c>
      <c r="B293" s="5">
        <v>943</v>
      </c>
      <c r="C293" s="7" t="str">
        <f t="shared" si="23"/>
        <v>PremiumSS5R5only</v>
      </c>
      <c r="D293" s="7" t="str">
        <f t="shared" si="18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サンソン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yellow</v>
      </c>
      <c r="L293" s="7" t="str">
        <f>VLOOKUP(B293,[1]characters!$A:$K,11,FALSE)</f>
        <v>attack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IFERROR(VLOOKUP(B293,input_433101!L:R,7,FALSE),VLOOKUP(tables_433101!C293,input_433101!A:H,8,FALSE))</f>
        <v>5440</v>
      </c>
      <c r="P293" s="46">
        <f t="shared" ca="1" si="17"/>
        <v>4.6511627906380213E-4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input_433101!A$2</f>
        <v>433101</v>
      </c>
      <c r="B294" s="5">
        <v>1012</v>
      </c>
      <c r="C294" s="7" t="str">
        <f t="shared" si="23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ラー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red</v>
      </c>
      <c r="L294" s="7" t="str">
        <f>VLOOKUP(B294,[1]characters!$A:$K,11,FALSE)</f>
        <v>balance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5">
        <f ca="1">IFERROR(VLOOKUP(B294,input_433101!L:R,7,FALSE),VLOOKUP(tables_433101!C294,input_433101!A:H,8,FALSE))</f>
        <v>25062.85714</v>
      </c>
      <c r="P294" s="46">
        <f t="shared" ca="1" si="17"/>
        <v>2.142857142585376E-3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input_433101!A$2</f>
        <v>433101</v>
      </c>
      <c r="B295" s="5">
        <v>1014</v>
      </c>
      <c r="C295" s="7" t="str">
        <f t="shared" ref="C295:C298" si="24">D295&amp;J295&amp;E295&amp;F295&amp;G295</f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イシス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green</v>
      </c>
      <c r="L295" s="7" t="str">
        <f>VLOOKUP(B295,[1]characters!$A:$K,11,FALSE)</f>
        <v>hp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IFERROR(VLOOKUP(B295,input_433101!L:R,7,FALSE),VLOOKUP(tables_433101!C295,input_433101!A:H,8,FALSE))</f>
        <v>5440</v>
      </c>
      <c r="P295" s="46">
        <f t="shared" ca="1" si="17"/>
        <v>4.6511627906380213E-4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input_433101!A$2</f>
        <v>433101</v>
      </c>
      <c r="B296" s="5">
        <v>1016</v>
      </c>
      <c r="C296" s="7" t="str">
        <f t="shared" si="24"/>
        <v>Premium4R3less</v>
      </c>
      <c r="D296" s="7" t="str">
        <f t="shared" si="18"/>
        <v>Premium</v>
      </c>
      <c r="E296" s="7" t="str">
        <f>IF(COUNTIF('R6追加前'!A:A,B296)=0,IF(OR(I296="PremiumSS",I296="PremiumSSw"),"R5only","R3less"),"")</f>
        <v>R3less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ハトホル</v>
      </c>
      <c r="I296" s="7" t="str">
        <f>VLOOKUP(B296,[1]characters!$A:$J,10,FALSE)</f>
        <v>PremiumS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heal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IFERROR(VLOOKUP(B296,input_433101!L:R,7,FALSE),VLOOKUP(tables_433101!C296,input_433101!A:H,8,FALSE))</f>
        <v>87093.92</v>
      </c>
      <c r="P296" s="46">
        <f t="shared" ca="1" si="17"/>
        <v>7.4464705881397896E-3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input_433101!A$2</f>
        <v>433101</v>
      </c>
      <c r="B297" s="5">
        <v>1017</v>
      </c>
      <c r="C297" s="7" t="str">
        <f t="shared" si="24"/>
        <v>Premium5R3less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命瞳の慈母神 ハトホル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IFERROR(VLOOKUP(B297,input_433101!L:R,7,FALSE),VLOOKUP(tables_433101!C297,input_433101!A:H,8,FALSE))</f>
        <v>3254.24</v>
      </c>
      <c r="P297" s="46">
        <f t="shared" ca="1" si="17"/>
        <v>2.7823529411407857E-4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input_433101!A$2</f>
        <v>433101</v>
      </c>
      <c r="B298" s="5">
        <v>1018</v>
      </c>
      <c r="C298" s="7" t="str">
        <f t="shared" si="24"/>
        <v>PremiumSS5R5only</v>
      </c>
      <c r="D298" s="7" t="str">
        <f t="shared" si="18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バステト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attack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IFERROR(VLOOKUP(B298,input_433101!L:R,7,FALSE),VLOOKUP(tables_433101!C298,input_433101!A:H,8,FALSE))</f>
        <v>5440</v>
      </c>
      <c r="P298" s="46">
        <f t="shared" ca="1" si="17"/>
        <v>4.6511627906380213E-4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input_433101!A$2</f>
        <v>433101</v>
      </c>
      <c r="B299" s="5">
        <v>1026</v>
      </c>
      <c r="C299" s="7" t="str">
        <f t="shared" ref="C299:C300" si="25">D299&amp;J299&amp;E299&amp;F299&amp;G299</f>
        <v>Premium4R3lesscolor</v>
      </c>
      <c r="D299" s="7" t="str">
        <f t="shared" si="18"/>
        <v>Premium</v>
      </c>
      <c r="E299" s="7" t="str">
        <f>IF(COUNTIF('R6追加前'!A:A,B299)=0,IF(OR(I299="PremiumSS",I299="PremiumSSw"),"R5only","R3less"),"")</f>
        <v>R3less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蝉丸</v>
      </c>
      <c r="I299" s="7" t="str">
        <f>VLOOKUP(B299,[1]characters!$A:$J,10,FALSE)</f>
        <v>PremiumS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attack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IFERROR(VLOOKUP(B299,input_433101!L:R,7,FALSE),VLOOKUP(tables_433101!C299,input_433101!A:H,8,FALSE))</f>
        <v>223678.37216999999</v>
      </c>
      <c r="P299" s="46">
        <f t="shared" ca="1" si="17"/>
        <v>1.9124347825507114E-2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input_433101!A$2</f>
        <v>433101</v>
      </c>
      <c r="B300" s="5">
        <v>1027</v>
      </c>
      <c r="C300" s="7" t="str">
        <f t="shared" si="25"/>
        <v>Premium5R3lesscolor</v>
      </c>
      <c r="D300" s="7" t="str">
        <f t="shared" si="18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9"/>
        <v>color</v>
      </c>
      <c r="H300" s="7" t="str">
        <f>VLOOKUP(B300,[1]characters!$A:$C,3,FALSE)</f>
        <v>弾丸多重奏 蝉丸</v>
      </c>
      <c r="I300" s="7" t="str">
        <f>VLOOKUP(B300,[1]characters!$A:$J,10,FALSE)</f>
        <v>PremiumS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IFERROR(VLOOKUP(B300,input_433101!L:R,7,FALSE),VLOOKUP(tables_433101!C300,input_433101!A:H,8,FALSE))</f>
        <v>14431.846960000001</v>
      </c>
      <c r="P300" s="46">
        <f t="shared" ca="1" si="17"/>
        <v>1.2339130437598244E-3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input_433101!A$2</f>
        <v>433101</v>
      </c>
      <c r="B301" s="5">
        <v>1028</v>
      </c>
      <c r="C301" s="7" t="str">
        <f t="shared" ref="C301:C305" si="26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牛若丸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green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IFERROR(VLOOKUP(B301,input_433101!L:R,7,FALSE),VLOOKUP(tables_433101!C301,input_433101!A:H,8,FALSE))</f>
        <v>5440</v>
      </c>
      <c r="P301" s="46">
        <f t="shared" ca="1" si="17"/>
        <v>4.6511627906380213E-4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input_433101!A$2</f>
        <v>433101</v>
      </c>
      <c r="B302" s="5">
        <v>1031</v>
      </c>
      <c r="C302" s="7" t="str">
        <f t="shared" si="2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紫式部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IFERROR(VLOOKUP(B302,input_433101!L:R,7,FALSE),VLOOKUP(tables_433101!C302,input_433101!A:H,8,FALSE))</f>
        <v>5440</v>
      </c>
      <c r="P302" s="46">
        <f t="shared" ca="1" si="17"/>
        <v>4.6511627906380213E-4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input_433101!A$2</f>
        <v>433101</v>
      </c>
      <c r="B303" s="5">
        <v>1033</v>
      </c>
      <c r="C303" s="7" t="str">
        <f t="shared" si="26"/>
        <v>PremiumSS5R5only</v>
      </c>
      <c r="D303" s="7" t="str">
        <f t="shared" si="18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清少納言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heal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IFERROR(VLOOKUP(B303,input_433101!L:R,7,FALSE),VLOOKUP(tables_433101!C303,input_433101!A:H,8,FALSE))</f>
        <v>5440</v>
      </c>
      <c r="P303" s="46">
        <f t="shared" ca="1" si="17"/>
        <v>4.6511627906380213E-4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input_433101!A$2</f>
        <v>433101</v>
      </c>
      <c r="B304" s="5">
        <v>1067</v>
      </c>
      <c r="C304" s="7" t="str">
        <f t="shared" si="26"/>
        <v>Premium4R3lesscolor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ウシュムガル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red</v>
      </c>
      <c r="L304" s="7" t="str">
        <f>VLOOKUP(B304,[1]characters!$A:$K,11,FALSE)</f>
        <v>balance</v>
      </c>
      <c r="M304" s="7" t="str">
        <f>VLOOKUP(B304,[1]characters!$A:$M,13,FALSE)</f>
        <v>dragon</v>
      </c>
      <c r="N304" s="7" t="str">
        <f>VLOOKUP(B304,[1]characters!$A:$G,7,FALSE)</f>
        <v>男性</v>
      </c>
      <c r="O304" s="45">
        <f ca="1">IFERROR(VLOOKUP(B304,input_433101!L:R,7,FALSE),VLOOKUP(tables_433101!C304,input_433101!A:H,8,FALSE))</f>
        <v>223678.37216999999</v>
      </c>
      <c r="P304" s="46">
        <f t="shared" ca="1" si="17"/>
        <v>1.9124347825507114E-2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input_433101!A$2</f>
        <v>433101</v>
      </c>
      <c r="B305" s="5">
        <v>1068</v>
      </c>
      <c r="C305" s="7" t="str">
        <f t="shared" si="26"/>
        <v>Premium5R3lesscolor</v>
      </c>
      <c r="D305" s="7" t="str">
        <f t="shared" si="18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9"/>
        <v>color</v>
      </c>
      <c r="H305" s="7" t="str">
        <f>VLOOKUP(B305,[1]characters!$A:$C,3,FALSE)</f>
        <v>想母の羽龍 ウシュムガル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IFERROR(VLOOKUP(B305,input_433101!L:R,7,FALSE),VLOOKUP(tables_433101!C305,input_433101!A:H,8,FALSE))</f>
        <v>14431.846960000001</v>
      </c>
      <c r="P305" s="46">
        <f t="shared" ca="1" si="17"/>
        <v>1.2339130437598244E-3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input_433101!A$2</f>
        <v>433101</v>
      </c>
      <c r="B306" s="5">
        <v>1069</v>
      </c>
      <c r="C306" s="7" t="str">
        <f t="shared" ref="C306:C310" si="27">D306&amp;J306&amp;E306&amp;F306&amp;G306</f>
        <v>PremiumSS5R5only</v>
      </c>
      <c r="D306" s="7" t="str">
        <f t="shared" ref="D306:D310" si="28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イシュタル</v>
      </c>
      <c r="I306" s="7" t="str">
        <f>VLOOKUP(B306,[1]characters!$A:$J,10,FALSE)</f>
        <v>PremiumSS</v>
      </c>
      <c r="J306" s="7">
        <f>VLOOKUP(B306,[1]characters!$A:$I,9,FALSE)</f>
        <v>5</v>
      </c>
      <c r="K306" s="7" t="str">
        <f>VLOOKUP(B306,[1]characters!$A:$H,8,FALSE)</f>
        <v>green</v>
      </c>
      <c r="L306" s="7" t="str">
        <f>VLOOKUP(B306,[1]characters!$A:$K,11,FALSE)</f>
        <v>technical</v>
      </c>
      <c r="M306" s="7" t="str">
        <f>VLOOKUP(B306,[1]characters!$A:$M,13,FALSE)</f>
        <v>god</v>
      </c>
      <c r="N306" s="7" t="str">
        <f>VLOOKUP(B306,[1]characters!$A:$G,7,FALSE)</f>
        <v>男性</v>
      </c>
      <c r="O306" s="45">
        <f ca="1">IFERROR(VLOOKUP(B306,input_433101!L:R,7,FALSE),VLOOKUP(tables_433101!C306,input_433101!A:H,8,FALSE))</f>
        <v>5440</v>
      </c>
      <c r="P306" s="46">
        <f t="shared" ca="1" si="17"/>
        <v>4.6511627906380213E-4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input_433101!A$2</f>
        <v>433101</v>
      </c>
      <c r="B307" s="5">
        <v>1072</v>
      </c>
      <c r="C307" s="7" t="str">
        <f t="shared" si="27"/>
        <v>PremiumSS5R5only</v>
      </c>
      <c r="D307" s="7" t="str">
        <f t="shared" si="28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エンキドゥ</v>
      </c>
      <c r="I307" s="7" t="str">
        <f>VLOOKUP(B307,[1]characters!$A:$J,10,FALSE)</f>
        <v>PremiumSSw</v>
      </c>
      <c r="J307" s="7">
        <f>VLOOKUP(B307,[1]characters!$A:$I,9,FALSE)</f>
        <v>5</v>
      </c>
      <c r="K307" s="7" t="str">
        <f>VLOOKUP(B307,[1]characters!$A:$H,8,FALSE)</f>
        <v>blue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IFERROR(VLOOKUP(B307,input_433101!L:R,7,FALSE),VLOOKUP(tables_433101!C307,input_433101!A:H,8,FALSE))</f>
        <v>5440</v>
      </c>
      <c r="P307" s="46">
        <f t="shared" ca="1" si="17"/>
        <v>4.6511627906380213E-4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input_433101!A$2</f>
        <v>433101</v>
      </c>
      <c r="B308" s="5">
        <v>1074</v>
      </c>
      <c r="C308" s="7" t="str">
        <f t="shared" si="27"/>
        <v>PremiumSS5R5only</v>
      </c>
      <c r="D308" s="7" t="str">
        <f t="shared" si="2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マルドゥク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yellow</v>
      </c>
      <c r="L308" s="7" t="str">
        <f>VLOOKUP(B308,[1]characters!$A:$K,11,FALSE)</f>
        <v>technical</v>
      </c>
      <c r="M308" s="7" t="str">
        <f>VLOOKUP(B308,[1]characters!$A:$M,13,FALSE)</f>
        <v>god</v>
      </c>
      <c r="N308" s="7" t="str">
        <f>VLOOKUP(B308,[1]characters!$A:$G,7,FALSE)</f>
        <v>男性</v>
      </c>
      <c r="O308" s="45">
        <f ca="1">IFERROR(VLOOKUP(B308,input_433101!L:R,7,FALSE),VLOOKUP(tables_433101!C308,input_433101!A:H,8,FALSE))</f>
        <v>5440</v>
      </c>
      <c r="P308" s="46">
        <f t="shared" ca="1" si="17"/>
        <v>4.6511627906380213E-4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input_433101!A$2</f>
        <v>433101</v>
      </c>
      <c r="B309" s="5">
        <v>1104</v>
      </c>
      <c r="C309" s="7" t="str">
        <f t="shared" si="27"/>
        <v>Premium4R3less</v>
      </c>
      <c r="D309" s="7" t="str">
        <f t="shared" si="28"/>
        <v>Premium</v>
      </c>
      <c r="E309" s="7" t="str">
        <f>IF(COUNTIF('R6追加前'!A:A,B309)=0,IF(OR(I309="PremiumSS",I309="PremiumSSw"),"R5only","R3less"),"")</f>
        <v>R3less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クリムト</v>
      </c>
      <c r="I309" s="7" t="str">
        <f>VLOOKUP(B309,[1]characters!$A:$J,10,FALSE)</f>
        <v>PremiumS</v>
      </c>
      <c r="J309" s="7">
        <f>VLOOKUP(B309,[1]characters!$A:$I,9,FALSE)</f>
        <v>4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不明</v>
      </c>
      <c r="O309" s="45">
        <f ca="1">IFERROR(VLOOKUP(B309,input_433101!L:R,7,FALSE),VLOOKUP(tables_433101!C309,input_433101!A:H,8,FALSE))</f>
        <v>87093.92</v>
      </c>
      <c r="P309" s="46">
        <f t="shared" ca="1" si="17"/>
        <v>7.4464705881397896E-3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input_433101!A$2</f>
        <v>433101</v>
      </c>
      <c r="B310" s="5">
        <v>1105</v>
      </c>
      <c r="C310" s="7" t="str">
        <f t="shared" si="27"/>
        <v>Premium5R3less</v>
      </c>
      <c r="D310" s="7" t="str">
        <f t="shared" si="28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甘美なる背徳 クリムト</v>
      </c>
      <c r="I310" s="7" t="str">
        <f>VLOOKUP(B310,[1]characters!$A:$J,10,FALSE)</f>
        <v>PremiumS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IFERROR(VLOOKUP(B310,input_433101!L:R,7,FALSE),VLOOKUP(tables_433101!C310,input_433101!A:H,8,FALSE))</f>
        <v>3254.24</v>
      </c>
      <c r="P310" s="46">
        <f t="shared" ca="1" si="17"/>
        <v>2.7823529411407857E-4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input_433101!A$2</f>
        <v>433101</v>
      </c>
      <c r="B311" s="5">
        <v>1106</v>
      </c>
      <c r="C311" s="7" t="str">
        <f t="shared" ref="C311:C318" si="29">D311&amp;J311&amp;E311&amp;F311&amp;G311</f>
        <v>PremiumSS5R5only</v>
      </c>
      <c r="D311" s="7" t="str">
        <f t="shared" ref="D311:D318" si="30">IF(OR(I311="PremiumSS",I311="PremiumSSw"),"PremiumSS",IF(I311="PremiumSSS",I311,IF(I311="PremiumW",I311,"Premium")))</f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ラファエロ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yellow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IFERROR(VLOOKUP(B311,input_433101!L:R,7,FALSE),VLOOKUP(tables_433101!C311,input_433101!A:H,8,FALSE))</f>
        <v>5440</v>
      </c>
      <c r="P311" s="46">
        <f t="shared" ca="1" si="17"/>
        <v>4.6511627906380213E-4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input_433101!A$2</f>
        <v>433101</v>
      </c>
      <c r="B312" s="5">
        <v>1102</v>
      </c>
      <c r="C312" s="7" t="str">
        <f t="shared" si="29"/>
        <v>PremiumSS5R5only</v>
      </c>
      <c r="D312" s="7" t="str">
        <f t="shared" si="30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IFERROR(VLOOKUP(B312,input_433101!L:R,7,FALSE),VLOOKUP(tables_433101!C312,input_433101!A:H,8,FALSE))</f>
        <v>5440</v>
      </c>
      <c r="P312" s="46">
        <f t="shared" ca="1" si="17"/>
        <v>4.6511627906380213E-4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input_433101!A$2</f>
        <v>433101</v>
      </c>
      <c r="B313" s="5">
        <v>1100</v>
      </c>
      <c r="C313" s="7" t="str">
        <f t="shared" si="29"/>
        <v>PremiumSS5R5onlycolor</v>
      </c>
      <c r="D313" s="7" t="str">
        <f>IF(OR(I313="PremiumSS",I313="PremiumSSw"),"PremiumSS",IF(I313="PremiumSSS",I313,IF(I313="PremiumW",I313,"Premium")))</f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北斎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red</v>
      </c>
      <c r="L313" s="7" t="str">
        <f>VLOOKUP(B313,[1]characters!$A:$K,11,FALSE)</f>
        <v>attack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IFERROR(VLOOKUP(B313,input_433101!L:R,7,FALSE),VLOOKUP(tables_433101!C313,input_433101!A:H,8,FALSE))</f>
        <v>25062.85714</v>
      </c>
      <c r="P313" s="46">
        <f t="shared" ca="1" si="17"/>
        <v>2.142857142585376E-3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input_433101!A$2</f>
        <v>433101</v>
      </c>
      <c r="B314" s="5">
        <v>1137</v>
      </c>
      <c r="C314" s="7" t="str">
        <f t="shared" si="29"/>
        <v>PremiumSS5R5onlycolor</v>
      </c>
      <c r="D314" s="7" t="str">
        <f t="shared" si="30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諸葛亮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technical</v>
      </c>
      <c r="M314" s="7" t="str">
        <f>VLOOKUP(B314,[1]characters!$A:$M,13,FALSE)</f>
        <v>samurai</v>
      </c>
      <c r="N314" s="7" t="str">
        <f>VLOOKUP(B314,[1]characters!$A:$G,7,FALSE)</f>
        <v>不明</v>
      </c>
      <c r="O314" s="45">
        <f ca="1">IFERROR(VLOOKUP(B314,input_433101!L:R,7,FALSE),VLOOKUP(tables_433101!C314,input_433101!A:H,8,FALSE))</f>
        <v>25062.85714</v>
      </c>
      <c r="P314" s="46">
        <f t="shared" ca="1" si="17"/>
        <v>2.142857142585376E-3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input_433101!A$2</f>
        <v>433101</v>
      </c>
      <c r="B315" s="5">
        <v>1139</v>
      </c>
      <c r="C315" s="7" t="str">
        <f t="shared" si="29"/>
        <v>PremiumSS5R5only</v>
      </c>
      <c r="D315" s="7" t="str">
        <f t="shared" si="30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趙雲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IFERROR(VLOOKUP(B315,input_433101!L:R,7,FALSE),VLOOKUP(tables_433101!C315,input_433101!A:H,8,FALSE))</f>
        <v>5440</v>
      </c>
      <c r="P315" s="46">
        <f t="shared" ca="1" si="17"/>
        <v>4.6511627906380213E-4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input_433101!A$2</f>
        <v>433101</v>
      </c>
      <c r="B316" s="5">
        <v>1141</v>
      </c>
      <c r="C316" s="7" t="str">
        <f t="shared" si="29"/>
        <v>PremiumSS5R5only</v>
      </c>
      <c r="D316" s="7" t="str">
        <f t="shared" si="30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月英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IFERROR(VLOOKUP(B316,input_433101!L:R,7,FALSE),VLOOKUP(tables_433101!C316,input_433101!A:H,8,FALSE))</f>
        <v>5440</v>
      </c>
      <c r="P316" s="46">
        <f t="shared" ca="1" si="17"/>
        <v>4.6511627906380213E-4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input_433101!A$2</f>
        <v>433101</v>
      </c>
      <c r="B317" s="5">
        <v>1143</v>
      </c>
      <c r="C317" s="7" t="str">
        <f t="shared" si="29"/>
        <v>Premium4R3less</v>
      </c>
      <c r="D317" s="7" t="str">
        <f t="shared" si="30"/>
        <v>Premium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黄忠</v>
      </c>
      <c r="I317" s="7" t="str">
        <f>VLOOKUP(B317,[1]characters!$A:$J,10,FALSE)</f>
        <v>PremiumS</v>
      </c>
      <c r="J317" s="7">
        <f>VLOOKUP(B317,[1]characters!$A:$I,9,FALSE)</f>
        <v>4</v>
      </c>
      <c r="K317" s="7" t="str">
        <f>VLOOKUP(B317,[1]characters!$A:$H,8,FALSE)</f>
        <v>yellow</v>
      </c>
      <c r="L317" s="7" t="str">
        <f>VLOOKUP(B317,[1]characters!$A:$K,11,FALSE)</f>
        <v>technical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IFERROR(VLOOKUP(B317,input_433101!L:R,7,FALSE),VLOOKUP(tables_433101!C317,input_433101!A:H,8,FALSE))</f>
        <v>87093.92</v>
      </c>
      <c r="P317" s="46">
        <f t="shared" ca="1" si="17"/>
        <v>7.4464705881397896E-3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input_433101!A$2</f>
        <v>433101</v>
      </c>
      <c r="B318" s="5">
        <v>1144</v>
      </c>
      <c r="C318" s="7" t="str">
        <f t="shared" si="29"/>
        <v>Premium5R3less</v>
      </c>
      <c r="D318" s="7" t="str">
        <f t="shared" si="30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白星を射る老将 黄忠</v>
      </c>
      <c r="I318" s="7" t="str">
        <f>VLOOKUP(B318,[1]characters!$A:$J,10,FALSE)</f>
        <v>PremiumS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IFERROR(VLOOKUP(B318,input_433101!L:R,7,FALSE),VLOOKUP(tables_433101!C318,input_433101!A:H,8,FALSE))</f>
        <v>3254.24</v>
      </c>
      <c r="P318" s="46">
        <f t="shared" ca="1" si="17"/>
        <v>2.7823529411407857E-4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input_433101!A$2</f>
        <v>433101</v>
      </c>
      <c r="B319" s="5">
        <v>1153</v>
      </c>
      <c r="C319" s="7" t="str">
        <f t="shared" ref="C319:C323" si="31">D319&amp;J319&amp;E319&amp;F319&amp;G319</f>
        <v>PremiumSS5R5only</v>
      </c>
      <c r="D319" s="7" t="str">
        <f t="shared" ref="D319:D323" si="32">IF(OR(I319="PremiumSS",I319="PremiumSSw"),"PremiumSS",IF(I319="PremiumSSS",I319,IF(I319="PremiumW",I319,"Premium")))</f>
        <v>PremiumSS</v>
      </c>
      <c r="E319" s="7" t="str">
        <f>IF(COUNTIF('R6追加前'!A:A,B319)=0,IF(OR(I319="PremiumSS",I319="PremiumSSw"),"R5only","R3less"),"")</f>
        <v>R5only</v>
      </c>
      <c r="F319" s="7" t="str">
        <f>IF(COUNTIF('R6開放'!A:A,B319)&gt;0,"R6release","")</f>
        <v/>
      </c>
      <c r="G319" s="7" t="str">
        <f t="shared" ref="G319:G323" si="33">IF(K319="red","color","")</f>
        <v/>
      </c>
      <c r="H319" s="7" t="str">
        <f>VLOOKUP(B319,[1]characters!$A:$C,3,FALSE)</f>
        <v>ラクシュミー</v>
      </c>
      <c r="I319" s="7" t="str">
        <f>VLOOKUP(B319,[1]characters!$A:$J,10,FALSE)</f>
        <v>PremiumSSW</v>
      </c>
      <c r="J319" s="7">
        <f>VLOOKUP(B319,[1]characters!$A:$I,9,FALSE)</f>
        <v>5</v>
      </c>
      <c r="K319" s="7" t="str">
        <f>VLOOKUP(B319,[1]characters!$A:$H,8,FALSE)</f>
        <v>green</v>
      </c>
      <c r="L319" s="7" t="str">
        <f>VLOOKUP(B319,[1]characters!$A:$K,11,FALSE)</f>
        <v>hp</v>
      </c>
      <c r="M319" s="7" t="str">
        <f>VLOOKUP(B319,[1]characters!$A:$M,13,FALSE)</f>
        <v>god</v>
      </c>
      <c r="N319" s="7" t="str">
        <f>VLOOKUP(B319,[1]characters!$A:$G,7,FALSE)</f>
        <v>不明</v>
      </c>
      <c r="O319" s="45">
        <f ca="1">IFERROR(VLOOKUP(B319,input_433101!L:R,7,FALSE),VLOOKUP(tables_433101!C319,input_433101!A:H,8,FALSE))</f>
        <v>5440</v>
      </c>
      <c r="P319" s="46">
        <f t="shared" ref="P319:P324" ca="1" si="34">O319/SUM(O:O)</f>
        <v>4.6511627906380213E-4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input_433101!A$2</f>
        <v>433101</v>
      </c>
      <c r="B320" s="5">
        <v>1155</v>
      </c>
      <c r="C320" s="7" t="str">
        <f t="shared" si="31"/>
        <v>PremiumSS5R5only</v>
      </c>
      <c r="D320" s="7" t="str">
        <f t="shared" si="32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33"/>
        <v/>
      </c>
      <c r="H320" s="7" t="str">
        <f>VLOOKUP(B320,[1]characters!$A:$C,3,FALSE)</f>
        <v>ドゥルガー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blue</v>
      </c>
      <c r="L320" s="7" t="str">
        <f>VLOOKUP(B320,[1]characters!$A:$K,11,FALSE)</f>
        <v>balance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IFERROR(VLOOKUP(B320,input_433101!L:R,7,FALSE),VLOOKUP(tables_433101!C320,input_433101!A:H,8,FALSE))</f>
        <v>5440</v>
      </c>
      <c r="P320" s="46">
        <f t="shared" ca="1" si="34"/>
        <v>4.6511627906380213E-4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input_433101!A$2</f>
        <v>433101</v>
      </c>
      <c r="B321" s="5">
        <v>1157</v>
      </c>
      <c r="C321" s="7" t="str">
        <f t="shared" si="31"/>
        <v>PremiumSS5R5only</v>
      </c>
      <c r="D321" s="7" t="str">
        <f t="shared" si="32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33"/>
        <v/>
      </c>
      <c r="H321" s="7" t="str">
        <f>VLOOKUP(B321,[1]characters!$A:$C,3,FALSE)</f>
        <v>インドラ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yellow</v>
      </c>
      <c r="L321" s="7" t="str">
        <f>VLOOKUP(B321,[1]characters!$A:$K,11,FALSE)</f>
        <v>attack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IFERROR(VLOOKUP(B321,input_433101!L:R,7,FALSE),VLOOKUP(tables_433101!C321,input_433101!A:H,8,FALSE))</f>
        <v>5440</v>
      </c>
      <c r="P321" s="46">
        <f t="shared" ca="1" si="34"/>
        <v>4.6511627906380213E-4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input_433101!A$2</f>
        <v>433101</v>
      </c>
      <c r="B322" s="5">
        <v>1151</v>
      </c>
      <c r="C322" s="7" t="str">
        <f t="shared" si="31"/>
        <v>Premium4R3lesscolor</v>
      </c>
      <c r="D322" s="7" t="str">
        <f t="shared" si="32"/>
        <v>Premium</v>
      </c>
      <c r="E322" s="7" t="str">
        <f>IF(COUNTIF('R6追加前'!A:A,B322)=0,IF(OR(I322="PremiumSS",I322="PremiumSSw"),"R5only","R3less"),"")</f>
        <v>R3less</v>
      </c>
      <c r="F322" s="7" t="str">
        <f>IF(COUNTIF('R6開放'!A:A,B322)&gt;0,"R6release","")</f>
        <v/>
      </c>
      <c r="G322" s="7" t="str">
        <f t="shared" si="33"/>
        <v>color</v>
      </c>
      <c r="H322" s="7" t="str">
        <f>VLOOKUP(B322,[1]characters!$A:$C,3,FALSE)</f>
        <v>ガネーシャ</v>
      </c>
      <c r="I322" s="7" t="str">
        <f>VLOOKUP(B322,[1]characters!$A:$J,10,FALSE)</f>
        <v>PremiumS</v>
      </c>
      <c r="J322" s="7">
        <f>VLOOKUP(B322,[1]characters!$A:$I,9,FALSE)</f>
        <v>4</v>
      </c>
      <c r="K322" s="7" t="str">
        <f>VLOOKUP(B322,[1]characters!$A:$H,8,FALSE)</f>
        <v>red</v>
      </c>
      <c r="L322" s="7" t="str">
        <f>VLOOKUP(B322,[1]characters!$A:$K,11,FALSE)</f>
        <v>heal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IFERROR(VLOOKUP(B322,input_433101!L:R,7,FALSE),VLOOKUP(tables_433101!C322,input_433101!A:H,8,FALSE))</f>
        <v>223678.37216999999</v>
      </c>
      <c r="P322" s="46">
        <f t="shared" ca="1" si="34"/>
        <v>1.9124347825507114E-2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input_433101!A$2</f>
        <v>433101</v>
      </c>
      <c r="B323" s="5">
        <v>1152</v>
      </c>
      <c r="C323" s="7" t="str">
        <f t="shared" si="31"/>
        <v>Premium5R3lesscolor</v>
      </c>
      <c r="D323" s="7" t="str">
        <f t="shared" si="32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 t="str">
        <f t="shared" si="33"/>
        <v>color</v>
      </c>
      <c r="H323" s="7" t="str">
        <f>VLOOKUP(B323,[1]characters!$A:$C,3,FALSE)</f>
        <v>衆知の富益神 ガネーシャ</v>
      </c>
      <c r="I323" s="7" t="str">
        <f>VLOOKUP(B323,[1]characters!$A:$J,10,FALSE)</f>
        <v>PremiumS</v>
      </c>
      <c r="J323" s="7">
        <f>VLOOKUP(B323,[1]characters!$A:$I,9,FALSE)</f>
        <v>5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IFERROR(VLOOKUP(B323,input_433101!L:R,7,FALSE),VLOOKUP(tables_433101!C323,input_433101!A:H,8,FALSE))</f>
        <v>14431.846960000001</v>
      </c>
      <c r="P323" s="46">
        <f t="shared" ca="1" si="34"/>
        <v>1.2339130437598244E-3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input_433101!A$2</f>
        <v>433101</v>
      </c>
      <c r="B324" s="1">
        <v>955</v>
      </c>
      <c r="C324" s="7" t="str">
        <f t="shared" ref="C324" si="35">D324&amp;J324&amp;E324&amp;F324&amp;G324</f>
        <v>PremiumSSS5R3lesscolor</v>
      </c>
      <c r="D324" s="7" t="str">
        <f t="shared" ref="D324" si="36">IF(OR(I324="PremiumSS",I324="PremiumSSw"),"PremiumSS",IF(I324="PremiumSSS",I324,IF(I324="PremiumW",I324,"Premium")))</f>
        <v>PremiumSSS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ref="G324" si="37">IF(K324="red","color","")</f>
        <v>color</v>
      </c>
      <c r="H324" s="7" t="str">
        <f>VLOOKUP(B324,[1]characters!$A:$C,3,FALSE)</f>
        <v>マクローリン</v>
      </c>
      <c r="I324" s="7" t="str">
        <f>VLOOKUP(B324,[1]characters!$A:$J,10,FALSE)</f>
        <v>PremiumSSS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technical</v>
      </c>
      <c r="M324" s="7" t="str">
        <f>VLOOKUP(B324,[1]characters!$A:$M,13,FALSE)</f>
        <v>academia</v>
      </c>
      <c r="N324" s="7" t="str">
        <f>VLOOKUP(B324,[1]characters!$A:$G,7,FALSE)</f>
        <v>男性</v>
      </c>
      <c r="O324" s="45">
        <f ca="1">IFERROR(VLOOKUP(B324,input_433101!L:R,7,FALSE),VLOOKUP(tables_433101!C324,input_433101!A:H,8,FALSE))</f>
        <v>46784</v>
      </c>
      <c r="P324" s="46">
        <f t="shared" ca="1" si="34"/>
        <v>3.9999999999486982E-3</v>
      </c>
      <c r="Q324" s="88">
        <v>80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1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workbookViewId="0">
      <selection activeCell="B49" sqref="B49:G5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433103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VLOOKUP(L3,tables_433103!B:C,2,FALSE)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VLOOKUP(L4,tables_433103!B:C,2,FALSE)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4.6511627906976752E-4</v>
      </c>
      <c r="F5">
        <f>(COUNTIF(tables_433103!C:C,input_433103!A28)+COUNTIF(tables_433103!C:C,input_433103!A29))</f>
        <v>43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VLOOKUP(L5,tables_433103!B:C,2,FALSE)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2.142857142857143E-3</v>
      </c>
      <c r="F6">
        <f>(COUNTIF(tables_433103!C:C,input_433103!A43)+COUNTIF(tables_433103!C:C,input_433103!A44))</f>
        <v>14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VLOOKUP(L6,tables_433103!B:C,2,FALSE)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5.5647058823529412E-3</v>
      </c>
      <c r="F7">
        <f>(COUNTIF(tables_433103!C:C,input_433103!A25)+COUNTIF(tables_433103!C:C,input_433103!A18)+COUNTIF(tables_433103!C:C,input_433103!A20)+COUNTIF(tables_433103!C:C,input_433103!A22))</f>
        <v>68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VLOOKUP(L7,tables_433103!B:C,2,FALSE)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2.4678260869565215E-2</v>
      </c>
      <c r="F8">
        <f>(COUNTIF(tables_433103!C:C,input_433103!A40)+COUNTIF(tables_433103!C:C,input_433103!A33)+COUNTIF(tables_433103!C:C,input_433103!A35)+COUNTIF(tables_433103!C:C,input_433103!A37))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VLOOKUP(L8,tables_433103!B:C,2,FALSE)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VLOOKUP(L9,tables_433103!B:C,2,FALSE)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VLOOKUP(L10,tables_433103!B:C,2,FALSE)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VLOOKUP(L11,tables_433103!B:C,2,FALSE)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VLOOKUP(L12,tables_433103!B:C,2,FALSE)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VLOOKUP(L13,tables_433103!B:C,2,FALSE)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VLOOKUP(L14,tables_433103!B:C,2,FALSE)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VLOOKUP(L15,tables_433103!B:C,2,FALSE)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VLOOKUP(L16,tables_433103!B:C,2,FALSE)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COUNTIF(tables_433103!C:C,input_433103!A17)-COUNTIF(Q:Q,A17)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VLOOKUP(L17,tables_433103!B:C,2,FALSE)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8.3470588235294116E-2</v>
      </c>
      <c r="C18" s="86">
        <f t="shared" si="2"/>
        <v>0</v>
      </c>
      <c r="D18" s="75">
        <f t="shared" si="3"/>
        <v>8.3470588235294116E-2</v>
      </c>
      <c r="E18">
        <f>COUNTIF(tables_433103!C:C,input_433103!A18)-COUNTIF(Q:Q,A18)</f>
        <v>15</v>
      </c>
      <c r="F18" s="43">
        <f>IFERROR(B18/E18,0)</f>
        <v>5.5647058823529412E-3</v>
      </c>
      <c r="G18">
        <f t="shared" si="4"/>
        <v>976272</v>
      </c>
      <c r="H18">
        <f t="shared" si="5"/>
        <v>65084.800000000003</v>
      </c>
      <c r="I18">
        <f t="shared" si="6"/>
        <v>0.80000000000291038</v>
      </c>
      <c r="J18">
        <f t="shared" si="7"/>
        <v>1.2499999999954525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VLOOKUP(L18,tables_433103!B:C,2,FALSE)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COUNTIF(tables_433103!C:C,input_433103!A19)-COUNTIF(Q:Q,A19)</f>
        <v>40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VLOOKUP(L19,tables_433103!B:C,2,FALSE)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3">
        <f>E$7*E20*B$6+F49-0.02</f>
        <v>0.19779241624253341</v>
      </c>
      <c r="C20" s="86">
        <f t="shared" si="2"/>
        <v>0</v>
      </c>
      <c r="D20" s="75">
        <f t="shared" si="3"/>
        <v>0.19779241624253341</v>
      </c>
      <c r="E20">
        <f>COUNTIF(tables_433103!C:C,input_433103!A20)-COUNTIF(Q:Q,A20)</f>
        <v>40</v>
      </c>
      <c r="F20" s="43">
        <f t="shared" si="8"/>
        <v>4.9448104060633349E-3</v>
      </c>
      <c r="G20">
        <f t="shared" si="4"/>
        <v>2313380.1003726707</v>
      </c>
      <c r="H20">
        <f t="shared" si="5"/>
        <v>57834.502509999998</v>
      </c>
      <c r="I20">
        <f t="shared" si="6"/>
        <v>0.50250999999843771</v>
      </c>
      <c r="J20">
        <f t="shared" si="7"/>
        <v>1.9900101490579472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VLOOKUP(L20,tables_433103!B:C,2,FALSE)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E$7*E21*B$7-F49</f>
        <v>4.7958190515842332E-3</v>
      </c>
      <c r="C21" s="86">
        <f t="shared" si="2"/>
        <v>0</v>
      </c>
      <c r="D21" s="75">
        <f t="shared" si="3"/>
        <v>4.7958190515842332E-3</v>
      </c>
      <c r="E21">
        <f>COUNTIF(tables_433103!C:C,input_433103!A21)-COUNTIF(Q:Q,A21)</f>
        <v>40</v>
      </c>
      <c r="F21" s="43">
        <f t="shared" si="8"/>
        <v>1.1989547628960584E-4</v>
      </c>
      <c r="G21">
        <f t="shared" si="4"/>
        <v>56091.899627329192</v>
      </c>
      <c r="H21">
        <f t="shared" si="5"/>
        <v>1402.2974899999999</v>
      </c>
      <c r="I21">
        <f t="shared" si="6"/>
        <v>0.2974899999999252</v>
      </c>
      <c r="J21">
        <f t="shared" si="7"/>
        <v>3.361457527984979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7.4464705882353002E-2</v>
      </c>
      <c r="C22" s="86">
        <f t="shared" si="2"/>
        <v>0</v>
      </c>
      <c r="D22" s="75">
        <f t="shared" si="3"/>
        <v>7.4464705882353002E-2</v>
      </c>
      <c r="E22">
        <f>COUNTIF(tables_433103!C:C,input_433103!A22)-COUNTIF(Q:Q,A22)</f>
        <v>10</v>
      </c>
      <c r="F22" s="43">
        <f t="shared" si="8"/>
        <v>7.4464705882353001E-3</v>
      </c>
      <c r="G22">
        <f t="shared" si="4"/>
        <v>870939.20000000077</v>
      </c>
      <c r="H22">
        <f t="shared" si="5"/>
        <v>87093.92</v>
      </c>
      <c r="I22">
        <f t="shared" si="6"/>
        <v>0.91999999999825377</v>
      </c>
      <c r="J22">
        <f t="shared" si="7"/>
        <v>1.0869565217411936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2.7823529411764706E-3</v>
      </c>
      <c r="C23" s="86">
        <f t="shared" si="2"/>
        <v>0</v>
      </c>
      <c r="D23" s="75">
        <f t="shared" si="3"/>
        <v>2.7823529411764706E-3</v>
      </c>
      <c r="E23">
        <f>COUNTIF(tables_433103!C:C,input_433103!A23)-COUNTIF(Q:Q,A23)</f>
        <v>10</v>
      </c>
      <c r="F23" s="43">
        <f t="shared" si="8"/>
        <v>2.7823529411764706E-4</v>
      </c>
      <c r="G23">
        <f t="shared" si="4"/>
        <v>32542.400000000001</v>
      </c>
      <c r="H23">
        <f t="shared" si="5"/>
        <v>3254.24</v>
      </c>
      <c r="I23">
        <f t="shared" si="6"/>
        <v>0.23999999999978172</v>
      </c>
      <c r="J23">
        <f t="shared" si="7"/>
        <v>4.1666666666704559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COUNTIF(tables_433103!C:C,input_433103!A24)-COUNTIF(Q:Q,A24)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1.5859411764705879E-2</v>
      </c>
      <c r="C25" s="86">
        <f t="shared" si="2"/>
        <v>0</v>
      </c>
      <c r="D25" s="75">
        <f t="shared" si="3"/>
        <v>1.5859411764705879E-2</v>
      </c>
      <c r="E25">
        <f>COUNTIF(tables_433103!C:C,input_433103!A25)-COUNTIF(Q:Q,A25)</f>
        <v>3</v>
      </c>
      <c r="F25" s="43">
        <f t="shared" si="8"/>
        <v>5.2864705882352927E-3</v>
      </c>
      <c r="G25">
        <f t="shared" si="4"/>
        <v>185491.67999999996</v>
      </c>
      <c r="H25">
        <f t="shared" si="5"/>
        <v>61830.559999999998</v>
      </c>
      <c r="I25">
        <f t="shared" si="6"/>
        <v>0.55999999999767169</v>
      </c>
      <c r="J25">
        <f t="shared" si="7"/>
        <v>1.7857142857217101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8.3470588235294118E-4</v>
      </c>
      <c r="C26" s="86">
        <f t="shared" si="2"/>
        <v>0</v>
      </c>
      <c r="D26" s="75">
        <f t="shared" si="3"/>
        <v>8.3470588235294118E-4</v>
      </c>
      <c r="E26">
        <f>COUNTIF(tables_433103!C:C,input_433103!A26)-COUNTIF(Q:Q,A26)</f>
        <v>3</v>
      </c>
      <c r="F26" s="43">
        <f t="shared" si="8"/>
        <v>2.7823529411764706E-4</v>
      </c>
      <c r="G26">
        <f t="shared" si="4"/>
        <v>9762.7199999999993</v>
      </c>
      <c r="H26">
        <f t="shared" si="5"/>
        <v>3254.24</v>
      </c>
      <c r="I26">
        <f t="shared" si="6"/>
        <v>0.23999999999978172</v>
      </c>
      <c r="J26">
        <f t="shared" si="7"/>
        <v>4.1666666666704559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8.8372093023255834E-3</v>
      </c>
      <c r="C27" s="86">
        <f t="shared" si="2"/>
        <v>0</v>
      </c>
      <c r="D27" s="75">
        <f t="shared" si="3"/>
        <v>8.8372093023255834E-3</v>
      </c>
      <c r="E27">
        <f>COUNTIF(tables_433103!C:C,input_433103!A27)-COUNTIF(Q:Q,A27)</f>
        <v>20</v>
      </c>
      <c r="F27" s="43">
        <f>IFERROR(B27/E27,0)</f>
        <v>4.4186046511627918E-4</v>
      </c>
      <c r="G27">
        <f t="shared" si="4"/>
        <v>103360.00000000003</v>
      </c>
      <c r="H27">
        <f t="shared" si="5"/>
        <v>5168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4.6511627906976752E-4</v>
      </c>
      <c r="C28" s="86">
        <f t="shared" si="2"/>
        <v>0</v>
      </c>
      <c r="D28" s="75">
        <f t="shared" si="3"/>
        <v>4.6511627906976752E-4</v>
      </c>
      <c r="E28">
        <f>COUNTIF(tables_433103!C:C,input_433103!A28)-COUNTIF(Q:Q,A28)</f>
        <v>20</v>
      </c>
      <c r="F28" s="43">
        <f t="shared" si="8"/>
        <v>2.3255813953488377E-5</v>
      </c>
      <c r="G28">
        <f t="shared" si="4"/>
        <v>5440.0000000000009</v>
      </c>
      <c r="H28">
        <f t="shared" si="5"/>
        <v>272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1.0697674418604653E-2</v>
      </c>
      <c r="C29" s="86">
        <f t="shared" si="2"/>
        <v>0</v>
      </c>
      <c r="D29" s="75">
        <f t="shared" si="3"/>
        <v>1.0697674418604653E-2</v>
      </c>
      <c r="E29">
        <f>COUNTIF(tables_433103!C:C,input_433103!A29)-COUNTIF(Q:Q,A29)</f>
        <v>23</v>
      </c>
      <c r="F29" s="43">
        <f t="shared" si="8"/>
        <v>4.6511627906976752E-4</v>
      </c>
      <c r="G29">
        <f t="shared" si="4"/>
        <v>125120.00000000003</v>
      </c>
      <c r="H29">
        <f t="shared" si="5"/>
        <v>5440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COUNTIF(tables_433103!C:C,input_433103!A30)-COUNTIF(Q:Q,A30)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COUNTIF(tables_433103!C:C,input_433103!A31)-COUNTIF(Q:Q,A31)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3">
        <f>B$5*0.6-B34-B39</f>
        <v>0</v>
      </c>
      <c r="C32" s="86">
        <f t="shared" si="2"/>
        <v>0</v>
      </c>
      <c r="D32" s="75">
        <f t="shared" si="3"/>
        <v>0</v>
      </c>
      <c r="E32">
        <f>COUNTIF(tables_433103!C:C,input_433103!A32)-COUNTIF(Q:Q,A32)</f>
        <v>4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0.14339130434782607</v>
      </c>
      <c r="C33" s="86">
        <f t="shared" si="2"/>
        <v>0</v>
      </c>
      <c r="D33" s="75">
        <f t="shared" si="3"/>
        <v>0.14339130434782607</v>
      </c>
      <c r="E33">
        <f>COUNTIF(tables_433103!C:C,input_433103!A33)-COUNTIF(Q:Q,A33)</f>
        <v>5</v>
      </c>
      <c r="F33" s="43">
        <f>IFERROR(B33/E33,0)</f>
        <v>2.8678260869565216E-2</v>
      </c>
      <c r="G33">
        <f t="shared" si="4"/>
        <v>1677104.6956521738</v>
      </c>
      <c r="H33">
        <f t="shared" si="5"/>
        <v>335420.93913000001</v>
      </c>
      <c r="I33">
        <f t="shared" si="6"/>
        <v>0.93913000001339242</v>
      </c>
      <c r="J33">
        <f t="shared" si="7"/>
        <v>1.06481530776968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COUNTIF(tables_433103!C:C,input_433103!A34)-COUNTIF(Q:Q,A34)</f>
        <v>12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0.29083256298272592</v>
      </c>
      <c r="C35" s="86">
        <f t="shared" si="2"/>
        <v>0</v>
      </c>
      <c r="D35" s="75">
        <f t="shared" si="3"/>
        <v>0.29083256298272592</v>
      </c>
      <c r="E35">
        <f>COUNTIF(tables_433103!C:C,input_433103!A35)-COUNTIF(Q:Q,A35)</f>
        <v>12</v>
      </c>
      <c r="F35" s="43">
        <f t="shared" si="9"/>
        <v>2.4236046915227159E-2</v>
      </c>
      <c r="G35">
        <f t="shared" si="4"/>
        <v>3401577.6566459625</v>
      </c>
      <c r="H35">
        <f t="shared" si="5"/>
        <v>283464.80472000001</v>
      </c>
      <c r="I35">
        <f t="shared" si="6"/>
        <v>0.80472000001464039</v>
      </c>
      <c r="J35">
        <f t="shared" si="7"/>
        <v>1.2426682572594279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5.3065674520566541E-3</v>
      </c>
      <c r="C36" s="86">
        <f t="shared" si="2"/>
        <v>0</v>
      </c>
      <c r="D36" s="75">
        <f t="shared" si="3"/>
        <v>5.3065674520566541E-3</v>
      </c>
      <c r="E36">
        <f>COUNTIF(tables_433103!C:C,input_433103!A36)-COUNTIF(Q:Q,A36)</f>
        <v>12</v>
      </c>
      <c r="F36" s="43">
        <f t="shared" si="9"/>
        <v>4.4221395433805449E-4</v>
      </c>
      <c r="G36">
        <f t="shared" si="4"/>
        <v>62065.612919254629</v>
      </c>
      <c r="H36">
        <f t="shared" si="5"/>
        <v>5172.1344099999997</v>
      </c>
      <c r="I36">
        <f t="shared" si="6"/>
        <v>0.13440999999966152</v>
      </c>
      <c r="J36">
        <f t="shared" si="7"/>
        <v>7.4399226248234376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9.5621739130434716E-2</v>
      </c>
      <c r="C37" s="86">
        <f t="shared" si="2"/>
        <v>0</v>
      </c>
      <c r="D37" s="75">
        <f t="shared" si="3"/>
        <v>9.5621739130434716E-2</v>
      </c>
      <c r="E37">
        <f>COUNTIF(tables_433103!C:C,input_433103!A37)-COUNTIF(Q:Q,A37)</f>
        <v>5</v>
      </c>
      <c r="F37" s="43">
        <f t="shared" si="9"/>
        <v>1.9124347826086942E-2</v>
      </c>
      <c r="G37">
        <f t="shared" si="4"/>
        <v>1118391.8608695643</v>
      </c>
      <c r="H37">
        <f t="shared" si="5"/>
        <v>223678.37216999999</v>
      </c>
      <c r="I37">
        <f t="shared" si="6"/>
        <v>0.3721699999878183</v>
      </c>
      <c r="J37">
        <f t="shared" si="7"/>
        <v>2.6869441385193098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6.1695652173913047E-3</v>
      </c>
      <c r="C38" s="86">
        <f t="shared" si="2"/>
        <v>0</v>
      </c>
      <c r="D38" s="75">
        <f t="shared" si="3"/>
        <v>6.1695652173913047E-3</v>
      </c>
      <c r="E38">
        <f>COUNTIF(tables_433103!C:C,input_433103!A38)-COUNTIF(Q:Q,A38)</f>
        <v>5</v>
      </c>
      <c r="F38" s="43">
        <f t="shared" si="9"/>
        <v>1.233913043478261E-3</v>
      </c>
      <c r="G38">
        <f t="shared" si="4"/>
        <v>72159.234782608706</v>
      </c>
      <c r="H38">
        <f t="shared" si="5"/>
        <v>14431.846960000001</v>
      </c>
      <c r="I38">
        <f t="shared" si="6"/>
        <v>0.8469600000007631</v>
      </c>
      <c r="J38">
        <f t="shared" si="7"/>
        <v>1.180693303106521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COUNTIF(tables_433103!C:C,input_433103!A39)-COUNTIF(Q:Q,A39)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2.3444347826086953E-2</v>
      </c>
      <c r="C40" s="86">
        <f t="shared" si="2"/>
        <v>0</v>
      </c>
      <c r="D40" s="75">
        <f t="shared" si="3"/>
        <v>2.3444347826086953E-2</v>
      </c>
      <c r="E40">
        <f>COUNTIF(tables_433103!C:C,input_433103!A40)-COUNTIF(Q:Q,A40)</f>
        <v>1</v>
      </c>
      <c r="F40" s="43">
        <f t="shared" si="9"/>
        <v>2.3444347826086953E-2</v>
      </c>
      <c r="G40">
        <f t="shared" si="4"/>
        <v>274205.09217391303</v>
      </c>
      <c r="H40">
        <f t="shared" si="5"/>
        <v>274205.09217000002</v>
      </c>
      <c r="I40">
        <f t="shared" si="6"/>
        <v>9.2170000018086284E-2</v>
      </c>
      <c r="J40">
        <f t="shared" si="7"/>
        <v>10.849517194355784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1.2339130434782608E-3</v>
      </c>
      <c r="C41" s="86">
        <f t="shared" si="2"/>
        <v>0</v>
      </c>
      <c r="D41" s="75">
        <f t="shared" si="3"/>
        <v>1.2339130434782608E-3</v>
      </c>
      <c r="E41">
        <f>COUNTIF(tables_433103!C:C,input_433103!A41)-COUNTIF(Q:Q,A41)</f>
        <v>1</v>
      </c>
      <c r="F41" s="43">
        <f t="shared" si="9"/>
        <v>1.2339130434782608E-3</v>
      </c>
      <c r="G41">
        <f t="shared" si="4"/>
        <v>14431.846956521738</v>
      </c>
      <c r="H41">
        <f t="shared" si="5"/>
        <v>14431.846960000001</v>
      </c>
      <c r="I41">
        <f t="shared" si="6"/>
        <v>0.8469600000007631</v>
      </c>
      <c r="J41">
        <f t="shared" si="7"/>
        <v>1.180693303106521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1.6285714285714285E-2</v>
      </c>
      <c r="C42" s="86">
        <f t="shared" si="2"/>
        <v>0</v>
      </c>
      <c r="D42" s="75">
        <f t="shared" si="3"/>
        <v>1.6285714285714285E-2</v>
      </c>
      <c r="E42">
        <f>COUNTIF(tables_433103!C:C,input_433103!A42)-COUNTIF(Q:Q,A42)</f>
        <v>8</v>
      </c>
      <c r="F42" s="43">
        <f>IFERROR(B42/E42,0)</f>
        <v>2.0357142857142857E-3</v>
      </c>
      <c r="G42">
        <f t="shared" si="4"/>
        <v>190477.71428571429</v>
      </c>
      <c r="H42">
        <f t="shared" si="5"/>
        <v>23809.71429</v>
      </c>
      <c r="I42">
        <f t="shared" si="6"/>
        <v>0.71428999999989173</v>
      </c>
      <c r="J42">
        <f t="shared" si="7"/>
        <v>1.3999916000506119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8.5714285714285721E-4</v>
      </c>
      <c r="C43" s="86">
        <f t="shared" si="2"/>
        <v>0</v>
      </c>
      <c r="D43" s="75">
        <f t="shared" si="3"/>
        <v>8.5714285714285721E-4</v>
      </c>
      <c r="E43">
        <f>COUNTIF(tables_433103!C:C,input_433103!A43)-COUNTIF(Q:Q,A43)</f>
        <v>8</v>
      </c>
      <c r="F43" s="43">
        <f t="shared" ref="F43:F46" si="10">IFERROR(B43/E43,0)</f>
        <v>1.0714285714285715E-4</v>
      </c>
      <c r="G43">
        <f t="shared" si="4"/>
        <v>10025.142857142859</v>
      </c>
      <c r="H43">
        <f t="shared" si="5"/>
        <v>1253.1428599999999</v>
      </c>
      <c r="I43">
        <f t="shared" si="6"/>
        <v>0.14285999999992782</v>
      </c>
      <c r="J43">
        <f t="shared" si="7"/>
        <v>6.999860002803481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1.2857142857142859E-2</v>
      </c>
      <c r="C44" s="86">
        <f t="shared" si="2"/>
        <v>0</v>
      </c>
      <c r="D44" s="75">
        <f t="shared" si="3"/>
        <v>1.2857142857142859E-2</v>
      </c>
      <c r="E44">
        <f>COUNTIF(tables_433103!C:C,input_433103!A44)-COUNTIF(Q:Q,A44)</f>
        <v>6</v>
      </c>
      <c r="F44" s="43">
        <f t="shared" si="10"/>
        <v>2.142857142857143E-3</v>
      </c>
      <c r="G44">
        <f t="shared" si="4"/>
        <v>150377.14285714287</v>
      </c>
      <c r="H44">
        <f t="shared" si="5"/>
        <v>25062.85714</v>
      </c>
      <c r="I44">
        <f t="shared" si="6"/>
        <v>0.85714000000007218</v>
      </c>
      <c r="J44">
        <f t="shared" si="7"/>
        <v>1.1666705555684203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COUNTIF(tables_433103!C:C,input_433103!A45)-COUNTIF(Q:Q,A45)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6">
        <f t="shared" si="2"/>
        <v>0</v>
      </c>
      <c r="D46" s="75">
        <f t="shared" si="3"/>
        <v>4.0000000000000001E-3</v>
      </c>
      <c r="E46">
        <f>COUNTIF(tables_433103!C:C,input_433103!A46)-COUNTIF(Q:Q,A46)</f>
        <v>1</v>
      </c>
      <c r="F46" s="43">
        <f t="shared" si="10"/>
        <v>4.0000000000000001E-3</v>
      </c>
      <c r="G46">
        <f t="shared" si="4"/>
        <v>46784</v>
      </c>
      <c r="H46">
        <f t="shared" si="5"/>
        <v>46784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2">
        <f>SUM(B32:B46)</f>
        <v>0.6</v>
      </c>
      <c r="E49" s="97">
        <f>G49*0.6</f>
        <v>9.5003890696824748E-3</v>
      </c>
      <c r="F49" s="107">
        <f>G49-E49</f>
        <v>6.3335927131216493E-3</v>
      </c>
      <c r="G49" s="108">
        <v>1.5833981782804124E-2</v>
      </c>
    </row>
    <row r="50" spans="1:8" x14ac:dyDescent="0.15">
      <c r="A50" t="s">
        <v>74</v>
      </c>
      <c r="C50" s="92">
        <v>2.1600000000000064E-2</v>
      </c>
      <c r="D50" s="96"/>
      <c r="E50" s="97"/>
      <c r="F50" s="105"/>
      <c r="G50" s="108"/>
    </row>
    <row r="51" spans="1:8" x14ac:dyDescent="0.15">
      <c r="A51" s="31">
        <f>LCM(F5-I5,F7-I6)*1000*2*2</f>
        <v>11696000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4" t="s">
        <v>296</v>
      </c>
    </row>
    <row r="55" spans="1:8" x14ac:dyDescent="0.15">
      <c r="A55" s="33" t="s">
        <v>106</v>
      </c>
      <c r="B55">
        <f ca="1">SUMIF(tables_433103!C:C,input_433103!A55,tables_433103!O:O)</f>
        <v>0</v>
      </c>
      <c r="C55" s="54">
        <f t="shared" ref="C55:C61" ca="1" si="11">B55/B$62</f>
        <v>0</v>
      </c>
      <c r="E55">
        <v>3</v>
      </c>
      <c r="F55">
        <f ca="1">SUMIF(tables_433103!J:J,input_433103!E55,tables_433103!O:O)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SUMIF(tables_433103!C:C,input_433103!A56,tables_433103!O:O)</f>
        <v>2313380.1004000003</v>
      </c>
      <c r="C56" s="54">
        <f t="shared" ca="1" si="11"/>
        <v>0.9334649709152183</v>
      </c>
      <c r="E56">
        <v>4</v>
      </c>
      <c r="F56">
        <f ca="1">SUMIF(tables_433103!J:J,input_433103!E56,tables_433103!O:O)</f>
        <v>11111200.000029996</v>
      </c>
      <c r="G56">
        <f ca="1">F56/A51</f>
        <v>0.95000000000256468</v>
      </c>
      <c r="H56" s="55">
        <f>B18+B20+B22+B25+B27+B30+B33+B35+B37+B40+B42+B45</f>
        <v>0.95</v>
      </c>
    </row>
    <row r="57" spans="1:8" x14ac:dyDescent="0.15">
      <c r="A57" s="33" t="s">
        <v>109</v>
      </c>
      <c r="B57">
        <f ca="1">SUMIF(tables_433103!C:C,input_433103!A57,tables_433103!O:O)</f>
        <v>103360</v>
      </c>
      <c r="C57" s="54">
        <f t="shared" ca="1" si="11"/>
        <v>4.1706479353355877E-2</v>
      </c>
      <c r="E57">
        <v>5</v>
      </c>
      <c r="F57">
        <f ca="1">SUMIF(tables_433103!J:J,input_433103!E57,tables_433103!O:O)</f>
        <v>584799.99999999965</v>
      </c>
      <c r="G57">
        <f ca="1">F57/A51</f>
        <v>4.9999999999999968E-2</v>
      </c>
      <c r="H57" s="55">
        <f>B21+B23+B26+B28+B29+B31+B36+B38+B41+B43+B44+B46</f>
        <v>0.05</v>
      </c>
    </row>
    <row r="58" spans="1:8" x14ac:dyDescent="0.15">
      <c r="A58" s="33" t="s">
        <v>113</v>
      </c>
      <c r="B58">
        <f>SUMIF(tables_433103!C:C,input_433103!A58,tables_433103!O:O)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SUMIF(tables_433103!C:C,input_433103!A59,tables_433103!O:O)</f>
        <v>56091.899599999968</v>
      </c>
      <c r="C59" s="54">
        <f t="shared" ca="1" si="11"/>
        <v>2.2633471870722809E-2</v>
      </c>
      <c r="E59" t="s">
        <v>55</v>
      </c>
      <c r="F59" s="55"/>
    </row>
    <row r="60" spans="1:8" x14ac:dyDescent="0.15">
      <c r="A60" s="33" t="s">
        <v>110</v>
      </c>
      <c r="B60">
        <f ca="1">SUMIF(tables_433103!C:C,input_433103!A60,tables_433103!O:O)</f>
        <v>5440</v>
      </c>
      <c r="C60" s="54">
        <f t="shared" ca="1" si="11"/>
        <v>2.1950778607029409E-3</v>
      </c>
      <c r="E60" t="s">
        <v>210</v>
      </c>
      <c r="F60" s="55">
        <f ca="1">SUMIF(tables_433103!I:I,input_433103!E60,tables_433103!P:P)</f>
        <v>0.2268618925823524</v>
      </c>
    </row>
    <row r="61" spans="1:8" x14ac:dyDescent="0.15">
      <c r="A61" s="33" t="s">
        <v>111</v>
      </c>
      <c r="B61">
        <f>SUMIF(tables_433103!C:C,input_433103!A61,tables_433103!O:O)</f>
        <v>0</v>
      </c>
      <c r="C61" s="54">
        <f t="shared" ca="1" si="11"/>
        <v>0</v>
      </c>
      <c r="E61" t="s">
        <v>211</v>
      </c>
      <c r="F61" s="55">
        <f ca="1">SUMIF(tables_433103!I:I,input_433103!E61,tables_433103!P:P)</f>
        <v>0.20036189258242021</v>
      </c>
    </row>
    <row r="62" spans="1:8" x14ac:dyDescent="0.15">
      <c r="A62" s="39" t="s">
        <v>60</v>
      </c>
      <c r="B62">
        <f ca="1">SUM(B55:B61)</f>
        <v>2478272.0000000005</v>
      </c>
      <c r="C62" s="55">
        <f ca="1">SUM(C55:C61)</f>
        <v>1</v>
      </c>
      <c r="E62" t="s">
        <v>212</v>
      </c>
      <c r="F62" s="55">
        <f ca="1">SUMIF(tables_433103!I:I,input_433103!E62,tables_433103!P:P)</f>
        <v>0.51877621483194469</v>
      </c>
    </row>
    <row r="63" spans="1:8" x14ac:dyDescent="0.15">
      <c r="E63" t="s">
        <v>213</v>
      </c>
      <c r="F63" s="55">
        <f ca="1">SUMIF(tables_433103!I:I,input_433103!E63,tables_433103!P:P)</f>
        <v>4.6461794023478643E-2</v>
      </c>
    </row>
    <row r="64" spans="1:8" x14ac:dyDescent="0.15">
      <c r="E64" t="s">
        <v>282</v>
      </c>
      <c r="F64" s="55">
        <f ca="1">SUMIF(tables_433103!I:I,input_433103!E64,tables_433103!P:P)</f>
        <v>3.5382059798130835E-3</v>
      </c>
    </row>
    <row r="65" spans="5:6" x14ac:dyDescent="0.15">
      <c r="E65" t="s">
        <v>281</v>
      </c>
      <c r="F65" s="55">
        <f ca="1">SUMIF(tables_433103!I:I,input_433103!E65,tables_433103!P:P)</f>
        <v>3.9999999999897375E-3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305" activePane="bottomLeft" state="frozen"/>
      <selection activeCell="L296" sqref="L296"/>
      <selection pane="bottomLeft" activeCell="B319" sqref="B319:B32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input_433103!A$2</f>
        <v>433103</v>
      </c>
      <c r="B2" s="6">
        <v>127</v>
      </c>
      <c r="C2" s="7" t="str">
        <f t="shared" ref="C2:C65" si="0">D2&amp;J2&amp;E2&amp;F2&amp;G2</f>
        <v>PremiumW4color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IFERROR(VLOOKUP(B2,input_433103!L:R,7,FALSE),VLOOKUP(tables_433103!C2,input_433103!A:H,8,FALSE))</f>
        <v>335420.93913000001</v>
      </c>
      <c r="P2" s="46">
        <f t="shared" ref="P2:P65" ca="1" si="1">O2/SUM(O:O)</f>
        <v>2.8678260869454467E-2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input_433103!A$2</f>
        <v>433103</v>
      </c>
      <c r="B3" s="6">
        <v>128</v>
      </c>
      <c r="C3" s="7" t="str">
        <f t="shared" si="0"/>
        <v>PremiumW3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/>
      </c>
      <c r="H3" s="7" t="str">
        <f>VLOOKUP(B3,[1]characters!$A:$C,3,FALSE)</f>
        <v>野生児 アマラ</v>
      </c>
      <c r="I3" s="7" t="str">
        <f>VLOOKUP(B3,[1]characters!$A:$J,10,FALSE)</f>
        <v>PremiumW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IFERROR(VLOOKUP(B3,input_433103!L:R,7,FALSE),VLOOKUP(tables_433103!C3,input_433103!A:H,8,FALSE))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input_433103!A$2</f>
        <v>433103</v>
      </c>
      <c r="B4" s="6">
        <v>129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孤高の狼憑き アマラ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IFERROR(VLOOKUP(B4,input_433103!L:R,7,FALSE),VLOOKUP(tables_433103!C4,input_433103!A:H,8,FALSE))</f>
        <v>65084.800000000003</v>
      </c>
      <c r="P4" s="46">
        <f t="shared" ca="1" si="1"/>
        <v>5.5647058823386645E-3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input_433103!A$2</f>
        <v>433103</v>
      </c>
      <c r="B5" s="6">
        <v>130</v>
      </c>
      <c r="C5" s="7" t="str">
        <f t="shared" si="0"/>
        <v>PremiumW3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狼男 ローレンス</v>
      </c>
      <c r="I5" s="7" t="str">
        <f>VLOOKUP(B5,[1]characters!$A:$J,10,FALSE)</f>
        <v>PremiumW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f ca="1">IFERROR(VLOOKUP(B5,input_433103!L:R,7,FALSE),VLOOKUP(tables_433103!C5,input_433103!A:H,8,FALSE))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input_433103!A$2</f>
        <v>433103</v>
      </c>
      <c r="B6" s="6">
        <v>131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月下の人狼 ローレンス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IFERROR(VLOOKUP(B6,input_433103!L:R,7,FALSE),VLOOKUP(tables_433103!C6,input_433103!A:H,8,FALSE))</f>
        <v>65084.800000000003</v>
      </c>
      <c r="P6" s="46">
        <f t="shared" ca="1" si="1"/>
        <v>5.5647058823386645E-3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input_433103!A$2</f>
        <v>433103</v>
      </c>
      <c r="B7" s="6">
        <v>132</v>
      </c>
      <c r="C7" s="7" t="str">
        <f t="shared" si="0"/>
        <v>PremiumW3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鳥人ハヤト</v>
      </c>
      <c r="I7" s="7" t="str">
        <f>VLOOKUP(B7,[1]characters!$A:$J,10,FALSE)</f>
        <v>PremiumW</v>
      </c>
      <c r="J7" s="7">
        <f>VLOOKUP(B7,[1]characters!$A:$I,9,FALSE)</f>
        <v>3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f ca="1">IFERROR(VLOOKUP(B7,input_433103!L:R,7,FALSE),VLOOKUP(tables_433103!C7,input_433103!A:H,8,FALSE))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input_433103!A$2</f>
        <v>433103</v>
      </c>
      <c r="B8" s="6">
        <v>133</v>
      </c>
      <c r="C8" s="7" t="str">
        <f t="shared" si="0"/>
        <v>PremiumW4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迅雷の刀剣 ハヤト</v>
      </c>
      <c r="I8" s="7" t="str">
        <f>VLOOKUP(B8,[1]characters!$A:$J,10,FALSE)</f>
        <v>PremiumW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IFERROR(VLOOKUP(B8,input_433103!L:R,7,FALSE),VLOOKUP(tables_433103!C8,input_433103!A:H,8,FALSE))</f>
        <v>65084.800000000003</v>
      </c>
      <c r="P8" s="46">
        <f t="shared" ca="1" si="1"/>
        <v>5.5647058823386645E-3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input_433103!A$2</f>
        <v>433103</v>
      </c>
      <c r="B9" s="6">
        <v>134</v>
      </c>
      <c r="C9" s="7" t="str">
        <f t="shared" si="0"/>
        <v>PremiumW3color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妖炎の夕霧</v>
      </c>
      <c r="I9" s="7" t="str">
        <f>VLOOKUP(B9,[1]characters!$A:$J,10,FALSE)</f>
        <v>PremiumW</v>
      </c>
      <c r="J9" s="7">
        <f>VLOOKUP(B9,[1]characters!$A:$I,9,FALSE)</f>
        <v>3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ca="1">IFERROR(VLOOKUP(B9,input_433103!L:R,7,FALSE),VLOOKUP(tables_433103!C9,input_433103!A:H,8,FALSE))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input_433103!A$2</f>
        <v>433103</v>
      </c>
      <c r="B10" s="6">
        <v>135</v>
      </c>
      <c r="C10" s="7" t="str">
        <f t="shared" si="0"/>
        <v>PremiumW4color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京の炎華夕霧</v>
      </c>
      <c r="I10" s="7" t="str">
        <f>VLOOKUP(B10,[1]characters!$A:$J,10,FALSE)</f>
        <v>PremiumW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IFERROR(VLOOKUP(B10,input_433103!L:R,7,FALSE),VLOOKUP(tables_433103!C10,input_433103!A:H,8,FALSE))</f>
        <v>335420.93913000001</v>
      </c>
      <c r="P10" s="46">
        <f t="shared" ca="1" si="1"/>
        <v>2.8678260869454467E-2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input_433103!A$2</f>
        <v>433103</v>
      </c>
      <c r="B11" s="8">
        <v>136</v>
      </c>
      <c r="C11" s="7" t="str">
        <f t="shared" si="0"/>
        <v>PremiumW3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お針子チハヤ</v>
      </c>
      <c r="I11" s="7" t="str">
        <f>VLOOKUP(B11,[1]characters!$A:$J,10,FALSE)</f>
        <v>PremiumW</v>
      </c>
      <c r="J11" s="7">
        <f>VLOOKUP(B11,[1]characters!$A:$I,9,FALSE)</f>
        <v>3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IFERROR(VLOOKUP(B11,input_433103!L:R,7,FALSE),VLOOKUP(tables_433103!C11,input_433103!A:H,8,FALSE))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input_433103!A$2</f>
        <v>433103</v>
      </c>
      <c r="B12" s="8">
        <v>137</v>
      </c>
      <c r="C12" s="7" t="str">
        <f t="shared" si="0"/>
        <v>PremiumW4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清福の仕立屋 チハヤ</v>
      </c>
      <c r="I12" s="7" t="str">
        <f>VLOOKUP(B12,[1]characters!$A:$J,10,FALSE)</f>
        <v>PremiumW</v>
      </c>
      <c r="J12" s="7">
        <f>VLOOKUP(B12,[1]characters!$A:$I,9,FALSE)</f>
        <v>4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IFERROR(VLOOKUP(B12,input_433103!L:R,7,FALSE),VLOOKUP(tables_433103!C12,input_433103!A:H,8,FALSE))</f>
        <v>65084.800000000003</v>
      </c>
      <c r="P12" s="46">
        <f t="shared" ca="1" si="1"/>
        <v>5.5647058823386645E-3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input_433103!A$2</f>
        <v>433103</v>
      </c>
      <c r="B13" s="6">
        <v>138</v>
      </c>
      <c r="C13" s="7" t="str">
        <f t="shared" si="0"/>
        <v>PremiumW3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蒼薙のトモエ</v>
      </c>
      <c r="I13" s="7" t="str">
        <f>VLOOKUP(B13,[1]characters!$A:$J,10,FALSE)</f>
        <v>PremiumW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IFERROR(VLOOKUP(B13,input_433103!L:R,7,FALSE),VLOOKUP(tables_433103!C13,input_433103!A:H,8,FALSE))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input_433103!A$2</f>
        <v>433103</v>
      </c>
      <c r="B14" s="6">
        <v>139</v>
      </c>
      <c r="C14" s="7" t="str">
        <f t="shared" si="0"/>
        <v>PremiumW4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蒼昇刃姫 トモエ</v>
      </c>
      <c r="I14" s="7" t="str">
        <f>VLOOKUP(B14,[1]characters!$A:$J,10,FALSE)</f>
        <v>PremiumW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IFERROR(VLOOKUP(B14,input_433103!L:R,7,FALSE),VLOOKUP(tables_433103!C14,input_433103!A:H,8,FALSE))</f>
        <v>65084.800000000003</v>
      </c>
      <c r="P14" s="46">
        <f t="shared" ca="1" si="1"/>
        <v>5.5647058823386645E-3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input_433103!A$2</f>
        <v>433103</v>
      </c>
      <c r="B15" s="10">
        <v>140</v>
      </c>
      <c r="C15" s="7" t="str">
        <f t="shared" si="0"/>
        <v>PremiumW3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秋祭のタマモ</v>
      </c>
      <c r="I15" s="7" t="str">
        <f>VLOOKUP(B15,[1]characters!$A:$J,10,FALSE)</f>
        <v>PremiumW</v>
      </c>
      <c r="J15" s="7">
        <f>VLOOKUP(B15,[1]characters!$A:$I,9,FALSE)</f>
        <v>3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ca="1">IFERROR(VLOOKUP(B15,input_433103!L:R,7,FALSE),VLOOKUP(tables_433103!C15,input_433103!A:H,8,FALSE))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input_433103!A$2</f>
        <v>433103</v>
      </c>
      <c r="B16" s="11">
        <v>141</v>
      </c>
      <c r="C16" s="7" t="str">
        <f t="shared" si="0"/>
        <v>PremiumW4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妖狐演舞 タマモ</v>
      </c>
      <c r="I16" s="7" t="str">
        <f>VLOOKUP(B16,[1]characters!$A:$J,10,FALSE)</f>
        <v>PremiumW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IFERROR(VLOOKUP(B16,input_433103!L:R,7,FALSE),VLOOKUP(tables_433103!C16,input_433103!A:H,8,FALSE))</f>
        <v>65084.800000000003</v>
      </c>
      <c r="P16" s="46">
        <f t="shared" ca="1" si="1"/>
        <v>5.5647058823386645E-3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input_433103!A$2</f>
        <v>433103</v>
      </c>
      <c r="B17" s="6">
        <v>142</v>
      </c>
      <c r="C17" s="7" t="str">
        <f t="shared" si="0"/>
        <v>PremiumW3color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赤ずきん</v>
      </c>
      <c r="I17" s="7" t="str">
        <f>VLOOKUP(B17,[1]characters!$A:$J,10,FALSE)</f>
        <v>PremiumW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IFERROR(VLOOKUP(B17,input_433103!L:R,7,FALSE),VLOOKUP(tables_433103!C17,input_433103!A:H,8,FALSE))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input_433103!A$2</f>
        <v>433103</v>
      </c>
      <c r="B18" s="6">
        <v>143</v>
      </c>
      <c r="C18" s="7" t="str">
        <f t="shared" si="0"/>
        <v>PremiumW4color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深紅の死神 赤ずきん</v>
      </c>
      <c r="I18" s="7" t="str">
        <f>VLOOKUP(B18,[1]characters!$A:$J,10,FALSE)</f>
        <v>PremiumW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IFERROR(VLOOKUP(B18,input_433103!L:R,7,FALSE),VLOOKUP(tables_433103!C18,input_433103!A:H,8,FALSE))</f>
        <v>335420.93913000001</v>
      </c>
      <c r="P18" s="46">
        <f t="shared" ca="1" si="1"/>
        <v>2.8678260869454467E-2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input_433103!A$2</f>
        <v>433103</v>
      </c>
      <c r="B19" s="10">
        <v>144</v>
      </c>
      <c r="C19" s="7" t="str">
        <f t="shared" si="0"/>
        <v>PremiumW3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かぐや</v>
      </c>
      <c r="I19" s="7" t="str">
        <f>VLOOKUP(B19,[1]characters!$A:$J,10,FALSE)</f>
        <v>PremiumW</v>
      </c>
      <c r="J19" s="7">
        <f>VLOOKUP(B19,[1]characters!$A:$I,9,FALSE)</f>
        <v>3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IFERROR(VLOOKUP(B19,input_433103!L:R,7,FALSE),VLOOKUP(tables_433103!C19,input_433103!A:H,8,FALSE))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input_433103!A$2</f>
        <v>433103</v>
      </c>
      <c r="B20" s="6">
        <v>145</v>
      </c>
      <c r="C20" s="7" t="str">
        <f t="shared" si="0"/>
        <v>PremiumW4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魔性妖艶 かぐや</v>
      </c>
      <c r="I20" s="7" t="str">
        <f>VLOOKUP(B20,[1]characters!$A:$J,10,FALSE)</f>
        <v>PremiumW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IFERROR(VLOOKUP(B20,input_433103!L:R,7,FALSE),VLOOKUP(tables_433103!C20,input_433103!A:H,8,FALSE))</f>
        <v>65084.800000000003</v>
      </c>
      <c r="P20" s="46">
        <f t="shared" ca="1" si="1"/>
        <v>5.5647058823386645E-3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input_433103!A$2</f>
        <v>433103</v>
      </c>
      <c r="B21" s="6">
        <v>146</v>
      </c>
      <c r="C21" s="7" t="str">
        <f t="shared" si="0"/>
        <v>PremiumW3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マーメイド</v>
      </c>
      <c r="I21" s="7" t="str">
        <f>VLOOKUP(B21,[1]characters!$A:$J,10,FALSE)</f>
        <v>PremiumW</v>
      </c>
      <c r="J21" s="7">
        <f>VLOOKUP(B21,[1]characters!$A:$I,9,FALSE)</f>
        <v>3</v>
      </c>
      <c r="K21" s="7" t="str">
        <f>VLOOKUP(B21,[1]characters!$A:$H,8,FALSE)</f>
        <v>blue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IFERROR(VLOOKUP(B21,input_433103!L:R,7,FALSE),VLOOKUP(tables_433103!C21,input_433103!A:H,8,FALSE))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input_433103!A$2</f>
        <v>433103</v>
      </c>
      <c r="B22" s="6">
        <v>147</v>
      </c>
      <c r="C22" s="7" t="str">
        <f t="shared" si="0"/>
        <v>PremiumW4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蒼き閃光 元マーメイド</v>
      </c>
      <c r="I22" s="7" t="str">
        <f>VLOOKUP(B22,[1]characters!$A:$J,10,FALSE)</f>
        <v>PremiumW</v>
      </c>
      <c r="J22" s="7">
        <f>VLOOKUP(B22,[1]characters!$A:$I,9,FALSE)</f>
        <v>4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IFERROR(VLOOKUP(B22,input_433103!L:R,7,FALSE),VLOOKUP(tables_433103!C22,input_433103!A:H,8,FALSE))</f>
        <v>65084.800000000003</v>
      </c>
      <c r="P22" s="46">
        <f t="shared" ca="1" si="1"/>
        <v>5.5647058823386645E-3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input_433103!A$2</f>
        <v>433103</v>
      </c>
      <c r="B23" s="6">
        <v>148</v>
      </c>
      <c r="C23" s="7" t="str">
        <f t="shared" si="0"/>
        <v>PremiumW3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シンデレラ</v>
      </c>
      <c r="I23" s="7" t="str">
        <f>VLOOKUP(B23,[1]characters!$A:$J,10,FALSE)</f>
        <v>PremiumW</v>
      </c>
      <c r="J23" s="7">
        <f>VLOOKUP(B23,[1]characters!$A:$I,9,FALSE)</f>
        <v>3</v>
      </c>
      <c r="K23" s="7" t="str">
        <f>VLOOKUP(B23,[1]characters!$A:$H,8,FALSE)</f>
        <v>yellow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IFERROR(VLOOKUP(B23,input_433103!L:R,7,FALSE),VLOOKUP(tables_433103!C23,input_433103!A:H,8,FALSE))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input_433103!A$2</f>
        <v>433103</v>
      </c>
      <c r="B24" s="6">
        <v>149</v>
      </c>
      <c r="C24" s="7" t="str">
        <f t="shared" si="0"/>
        <v>PremiumW4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雷撃蹴技を極めし者 シンデレラ</v>
      </c>
      <c r="I24" s="7" t="str">
        <f>VLOOKUP(B24,[1]characters!$A:$J,10,FALSE)</f>
        <v>PremiumW</v>
      </c>
      <c r="J24" s="7">
        <f>VLOOKUP(B24,[1]characters!$A:$I,9,FALSE)</f>
        <v>4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IFERROR(VLOOKUP(B24,input_433103!L:R,7,FALSE),VLOOKUP(tables_433103!C24,input_433103!A:H,8,FALSE))</f>
        <v>65084.800000000003</v>
      </c>
      <c r="P24" s="46">
        <f t="shared" ca="1" si="1"/>
        <v>5.5647058823386645E-3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input_433103!A$2</f>
        <v>433103</v>
      </c>
      <c r="B25" s="6">
        <v>150</v>
      </c>
      <c r="C25" s="7" t="str">
        <f t="shared" si="0"/>
        <v>PremiumW3color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ポイズンマスターサキ</v>
      </c>
      <c r="I25" s="7" t="str">
        <f>VLOOKUP(B25,[1]characters!$A:$J,10,FALSE)</f>
        <v>PremiumW</v>
      </c>
      <c r="J25" s="7">
        <f>VLOOKUP(B25,[1]characters!$A:$I,9,FALSE)</f>
        <v>3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IFERROR(VLOOKUP(B25,input_433103!L:R,7,FALSE),VLOOKUP(tables_433103!C25,input_433103!A:H,8,FALSE))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input_433103!A$2</f>
        <v>433103</v>
      </c>
      <c r="B26" s="6">
        <v>151</v>
      </c>
      <c r="C26" s="7" t="str">
        <f t="shared" si="0"/>
        <v>PremiumW4color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毒煙の処刑人サキ</v>
      </c>
      <c r="I26" s="7" t="str">
        <f>VLOOKUP(B26,[1]characters!$A:$J,10,FALSE)</f>
        <v>PremiumW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IFERROR(VLOOKUP(B26,input_433103!L:R,7,FALSE),VLOOKUP(tables_433103!C26,input_433103!A:H,8,FALSE))</f>
        <v>335420.93913000001</v>
      </c>
      <c r="P26" s="46">
        <f t="shared" ca="1" si="1"/>
        <v>2.8678260869454467E-2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input_433103!A$2</f>
        <v>433103</v>
      </c>
      <c r="B27" s="6">
        <v>152</v>
      </c>
      <c r="C27" s="7" t="str">
        <f t="shared" si="0"/>
        <v>PremiumW3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功夫少女ランラン</v>
      </c>
      <c r="I27" s="7" t="str">
        <f>VLOOKUP(B27,[1]characters!$A:$J,10,FALSE)</f>
        <v>PremiumW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IFERROR(VLOOKUP(B27,input_433103!L:R,7,FALSE),VLOOKUP(tables_433103!C27,input_433103!A:H,8,FALSE))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input_433103!A$2</f>
        <v>433103</v>
      </c>
      <c r="B28" s="6">
        <v>153</v>
      </c>
      <c r="C28" s="7" t="str">
        <f t="shared" si="0"/>
        <v>PremiumW4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拳聖ランラン</v>
      </c>
      <c r="I28" s="7" t="str">
        <f>VLOOKUP(B28,[1]characters!$A:$J,10,FALSE)</f>
        <v>PremiumW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IFERROR(VLOOKUP(B28,input_433103!L:R,7,FALSE),VLOOKUP(tables_433103!C28,input_433103!A:H,8,FALSE))</f>
        <v>65084.800000000003</v>
      </c>
      <c r="P28" s="46">
        <f t="shared" ca="1" si="1"/>
        <v>5.5647058823386645E-3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input_433103!A$2</f>
        <v>433103</v>
      </c>
      <c r="B29" s="6">
        <v>154</v>
      </c>
      <c r="C29" s="7" t="str">
        <f t="shared" si="0"/>
        <v>PremiumW3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始末屋 ハンナ</v>
      </c>
      <c r="I29" s="7" t="str">
        <f>VLOOKUP(B29,[1]characters!$A:$J,10,FALSE)</f>
        <v>PremiumW</v>
      </c>
      <c r="J29" s="7">
        <f>VLOOKUP(B29,[1]characters!$A:$I,9,FALSE)</f>
        <v>3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IFERROR(VLOOKUP(B29,input_433103!L:R,7,FALSE),VLOOKUP(tables_433103!C29,input_433103!A:H,8,FALSE))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input_433103!A$2</f>
        <v>433103</v>
      </c>
      <c r="B30" s="6">
        <v>155</v>
      </c>
      <c r="C30" s="7" t="str">
        <f t="shared" si="0"/>
        <v>PremiumW4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隻眼の掃除屋 ハンナ</v>
      </c>
      <c r="I30" s="7" t="str">
        <f>VLOOKUP(B30,[1]characters!$A:$J,10,FALSE)</f>
        <v>PremiumW</v>
      </c>
      <c r="J30" s="7">
        <f>VLOOKUP(B30,[1]characters!$A:$I,9,FALSE)</f>
        <v>4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IFERROR(VLOOKUP(B30,input_433103!L:R,7,FALSE),VLOOKUP(tables_433103!C30,input_433103!A:H,8,FALSE))</f>
        <v>65084.800000000003</v>
      </c>
      <c r="P30" s="46">
        <f t="shared" ca="1" si="1"/>
        <v>5.5647058823386645E-3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input_433103!A$2</f>
        <v>433103</v>
      </c>
      <c r="B31" s="6">
        <v>156</v>
      </c>
      <c r="C31" s="7" t="str">
        <f t="shared" si="0"/>
        <v>PremiumW3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踊り子 エレナ</v>
      </c>
      <c r="I31" s="7" t="str">
        <f>VLOOKUP(B31,[1]characters!$A:$J,10,FALSE)</f>
        <v>PremiumW</v>
      </c>
      <c r="J31" s="7">
        <f>VLOOKUP(B31,[1]characters!$A:$I,9,FALSE)</f>
        <v>3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IFERROR(VLOOKUP(B31,input_433103!L:R,7,FALSE),VLOOKUP(tables_433103!C31,input_433103!A:H,8,FALSE))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input_433103!A$2</f>
        <v>433103</v>
      </c>
      <c r="B32" s="6">
        <v>157</v>
      </c>
      <c r="C32" s="7" t="str">
        <f t="shared" si="0"/>
        <v>PremiumW4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雷光舞姫 エレナ</v>
      </c>
      <c r="I32" s="7" t="str">
        <f>VLOOKUP(B32,[1]characters!$A:$J,10,FALSE)</f>
        <v>PremiumW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IFERROR(VLOOKUP(B32,input_433103!L:R,7,FALSE),VLOOKUP(tables_433103!C32,input_433103!A:H,8,FALSE))</f>
        <v>65084.800000000003</v>
      </c>
      <c r="P32" s="46">
        <f t="shared" ca="1" si="1"/>
        <v>5.5647058823386645E-3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input_433103!A$2</f>
        <v>433103</v>
      </c>
      <c r="B33" s="6">
        <v>158</v>
      </c>
      <c r="C33" s="7" t="str">
        <f t="shared" si="0"/>
        <v>PremiumW3color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>color</v>
      </c>
      <c r="H33" s="7" t="str">
        <f>VLOOKUP(B33,[1]characters!$A:$C,3,FALSE)</f>
        <v>シスター シャルロッテ</v>
      </c>
      <c r="I33" s="7" t="str">
        <f>VLOOKUP(B33,[1]characters!$A:$J,10,FALSE)</f>
        <v>PremiumW</v>
      </c>
      <c r="J33" s="7">
        <f>VLOOKUP(B33,[1]characters!$A:$I,9,FALSE)</f>
        <v>3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IFERROR(VLOOKUP(B33,input_433103!L:R,7,FALSE),VLOOKUP(tables_433103!C33,input_433103!A:H,8,FALSE))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input_433103!A$2</f>
        <v>433103</v>
      </c>
      <c r="B34" s="6">
        <v>159</v>
      </c>
      <c r="C34" s="7" t="str">
        <f t="shared" si="0"/>
        <v>PremiumW4color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邪を狩りし者 シャルロッテ</v>
      </c>
      <c r="I34" s="7" t="str">
        <f>VLOOKUP(B34,[1]characters!$A:$J,10,FALSE)</f>
        <v>PremiumW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IFERROR(VLOOKUP(B34,input_433103!L:R,7,FALSE),VLOOKUP(tables_433103!C34,input_433103!A:H,8,FALSE))</f>
        <v>335420.93913000001</v>
      </c>
      <c r="P34" s="46">
        <f t="shared" ca="1" si="1"/>
        <v>2.8678260869454467E-2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input_433103!A$2</f>
        <v>433103</v>
      </c>
      <c r="B35" s="6">
        <v>160</v>
      </c>
      <c r="C35" s="7" t="str">
        <f t="shared" si="0"/>
        <v>PremiumW3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反逆者 クリエ</v>
      </c>
      <c r="I35" s="7" t="str">
        <f>VLOOKUP(B35,[1]characters!$A:$J,10,FALSE)</f>
        <v>PremiumW</v>
      </c>
      <c r="J35" s="7">
        <f>VLOOKUP(B35,[1]characters!$A:$I,9,FALSE)</f>
        <v>3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IFERROR(VLOOKUP(B35,input_433103!L:R,7,FALSE),VLOOKUP(tables_433103!C35,input_433103!A:H,8,FALSE))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input_433103!A$2</f>
        <v>433103</v>
      </c>
      <c r="B36" s="6">
        <v>161</v>
      </c>
      <c r="C36" s="7" t="str">
        <f t="shared" si="0"/>
        <v>PremiumW4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咆哮の先導者 クリエ</v>
      </c>
      <c r="I36" s="7" t="str">
        <f>VLOOKUP(B36,[1]characters!$A:$J,10,FALSE)</f>
        <v>PremiumW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IFERROR(VLOOKUP(B36,input_433103!L:R,7,FALSE),VLOOKUP(tables_433103!C36,input_433103!A:H,8,FALSE))</f>
        <v>65084.800000000003</v>
      </c>
      <c r="P36" s="46">
        <f t="shared" ca="1" si="1"/>
        <v>5.5647058823386645E-3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input_433103!A$2</f>
        <v>433103</v>
      </c>
      <c r="B37" s="6">
        <v>162</v>
      </c>
      <c r="C37" s="7" t="str">
        <f t="shared" si="0"/>
        <v>PremiumW3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狂女 クララ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IFERROR(VLOOKUP(B37,input_433103!L:R,7,FALSE),VLOOKUP(tables_433103!C37,input_433103!A:H,8,FALSE))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input_433103!A$2</f>
        <v>433103</v>
      </c>
      <c r="B38" s="6">
        <v>163</v>
      </c>
      <c r="C38" s="7" t="str">
        <f t="shared" si="0"/>
        <v>PremiumW4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冷酷な狂嬢 クララ</v>
      </c>
      <c r="I38" s="7" t="str">
        <f>VLOOKUP(B38,[1]characters!$A:$J,10,FALSE)</f>
        <v>PremiumW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IFERROR(VLOOKUP(B38,input_433103!L:R,7,FALSE),VLOOKUP(tables_433103!C38,input_433103!A:H,8,FALSE))</f>
        <v>65084.800000000003</v>
      </c>
      <c r="P38" s="46">
        <f t="shared" ca="1" si="1"/>
        <v>5.5647058823386645E-3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input_433103!A$2</f>
        <v>433103</v>
      </c>
      <c r="B39" s="6">
        <v>164</v>
      </c>
      <c r="C39" s="7" t="str">
        <f t="shared" si="0"/>
        <v>PremiumW3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イブとトモダチ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yellow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IFERROR(VLOOKUP(B39,input_433103!L:R,7,FALSE),VLOOKUP(tables_433103!C39,input_433103!A:H,8,FALSE))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input_433103!A$2</f>
        <v>433103</v>
      </c>
      <c r="B40" s="6">
        <v>165</v>
      </c>
      <c r="C40" s="7" t="str">
        <f t="shared" si="0"/>
        <v>PremiumW4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イブとたったひとりのトモダチ</v>
      </c>
      <c r="I40" s="7" t="str">
        <f>VLOOKUP(B40,[1]characters!$A:$J,10,FALSE)</f>
        <v>PremiumW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IFERROR(VLOOKUP(B40,input_433103!L:R,7,FALSE),VLOOKUP(tables_433103!C40,input_433103!A:H,8,FALSE))</f>
        <v>65084.800000000003</v>
      </c>
      <c r="P40" s="46">
        <f t="shared" ca="1" si="1"/>
        <v>5.5647058823386645E-3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input_433103!A$2</f>
        <v>433103</v>
      </c>
      <c r="B41" s="6">
        <v>166</v>
      </c>
      <c r="C41" s="7" t="str">
        <f t="shared" si="0"/>
        <v>Premium3R6releasecolor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>R6release</v>
      </c>
      <c r="G41" s="7" t="str">
        <f t="shared" si="3"/>
        <v>color</v>
      </c>
      <c r="H41" s="7" t="str">
        <f>VLOOKUP(B41,[1]characters!$A:$C,3,FALSE)</f>
        <v>ベリアル</v>
      </c>
      <c r="I41" s="7" t="str">
        <f>VLOOKUP(B41,[1]characters!$A:$J,10,FALSE)</f>
        <v>PremiumN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ca="1">IFERROR(VLOOKUP(B41,input_433103!L:R,7,FALSE),VLOOKUP(tables_433103!C41,input_433103!A:H,8,FALSE))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input_433103!A$2</f>
        <v>433103</v>
      </c>
      <c r="B42" s="6">
        <v>167</v>
      </c>
      <c r="C42" s="7" t="str">
        <f t="shared" si="0"/>
        <v>Premium4R6releasecolor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逆徒 ベリアル</v>
      </c>
      <c r="I42" s="7" t="str">
        <f>VLOOKUP(B42,[1]characters!$A:$J,10,FALSE)</f>
        <v>PremiumN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IFERROR(VLOOKUP(B42,input_433103!L:R,7,FALSE),VLOOKUP(tables_433103!C42,input_433103!A:H,8,FALSE))</f>
        <v>274205.09217000002</v>
      </c>
      <c r="P42" s="46">
        <f t="shared" ca="1" si="1"/>
        <v>2.3444347825692248E-2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input_433103!A$2</f>
        <v>433103</v>
      </c>
      <c r="B43" s="6">
        <v>168</v>
      </c>
      <c r="C43" s="7" t="str">
        <f t="shared" si="0"/>
        <v>Premium5R6releasecolor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猛進の大逆者 ベリアル</v>
      </c>
      <c r="I43" s="7" t="str">
        <f>VLOOKUP(B43,[1]characters!$A:$J,10,FALSE)</f>
        <v>PremiumN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IFERROR(VLOOKUP(B43,input_433103!L:R,7,FALSE),VLOOKUP(tables_433103!C43,input_433103!A:H,8,FALSE))</f>
        <v>14431.846960000001</v>
      </c>
      <c r="P43" s="46">
        <f t="shared" ca="1" si="1"/>
        <v>1.2339130437724842E-3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input_433103!A$2</f>
        <v>433103</v>
      </c>
      <c r="B44" s="6">
        <v>169</v>
      </c>
      <c r="C44" s="7" t="str">
        <f t="shared" si="0"/>
        <v>Premium3R6release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オセ</v>
      </c>
      <c r="I44" s="7" t="str">
        <f>VLOOKUP(B44,[1]characters!$A:$J,10,FALSE)</f>
        <v>PremiumN</v>
      </c>
      <c r="J44" s="7">
        <f>VLOOKUP(B44,[1]characters!$A:$I,9,FALSE)</f>
        <v>3</v>
      </c>
      <c r="K44" s="7" t="str">
        <f>VLOOKUP(B44,[1]characters!$A:$H,8,FALSE)</f>
        <v>green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f ca="1">IFERROR(VLOOKUP(B44,input_433103!L:R,7,FALSE),VLOOKUP(tables_433103!C44,input_433103!A:H,8,FALSE))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input_433103!A$2</f>
        <v>433103</v>
      </c>
      <c r="B45" s="6">
        <v>170</v>
      </c>
      <c r="C45" s="7" t="str">
        <f t="shared" si="0"/>
        <v>Premium4R6release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識徒 オセ</v>
      </c>
      <c r="I45" s="7" t="str">
        <f>VLOOKUP(B45,[1]characters!$A:$J,10,FALSE)</f>
        <v>PremiumN</v>
      </c>
      <c r="J45" s="7">
        <f>VLOOKUP(B45,[1]characters!$A:$I,9,FALSE)</f>
        <v>4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IFERROR(VLOOKUP(B45,input_433103!L:R,7,FALSE),VLOOKUP(tables_433103!C45,input_433103!A:H,8,FALSE))</f>
        <v>61830.559999999998</v>
      </c>
      <c r="P45" s="46">
        <f t="shared" ca="1" si="1"/>
        <v>5.2864705882217306E-3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input_433103!A$2</f>
        <v>433103</v>
      </c>
      <c r="B46" s="6">
        <v>171</v>
      </c>
      <c r="C46" s="7" t="str">
        <f t="shared" si="0"/>
        <v>Premium5R6release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精解の預知者 オセ</v>
      </c>
      <c r="I46" s="7" t="str">
        <f>VLOOKUP(B46,[1]characters!$A:$J,10,FALSE)</f>
        <v>PremiumN</v>
      </c>
      <c r="J46" s="7">
        <f>VLOOKUP(B46,[1]characters!$A:$I,9,FALSE)</f>
        <v>5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IFERROR(VLOOKUP(B46,input_433103!L:R,7,FALSE),VLOOKUP(tables_433103!C46,input_433103!A:H,8,FALSE))</f>
        <v>3254.24</v>
      </c>
      <c r="P46" s="46">
        <f t="shared" ca="1" si="1"/>
        <v>2.7823529411693322E-4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input_433103!A$2</f>
        <v>433103</v>
      </c>
      <c r="B47" s="6">
        <v>172</v>
      </c>
      <c r="C47" s="7" t="str">
        <f t="shared" si="0"/>
        <v>Premium3R6release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フォルネウス</v>
      </c>
      <c r="I47" s="7" t="str">
        <f>VLOOKUP(B47,[1]characters!$A:$J,10,FALSE)</f>
        <v>PremiumN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IFERROR(VLOOKUP(B47,input_433103!L:R,7,FALSE),VLOOKUP(tables_433103!C47,input_433103!A:H,8,FALSE))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input_433103!A$2</f>
        <v>433103</v>
      </c>
      <c r="B48" s="6">
        <v>173</v>
      </c>
      <c r="C48" s="7" t="str">
        <f t="shared" si="0"/>
        <v>Premium4R6release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公爵 フォルネウス</v>
      </c>
      <c r="I48" s="7" t="str">
        <f>VLOOKUP(B48,[1]characters!$A:$J,10,FALSE)</f>
        <v>PremiumN</v>
      </c>
      <c r="J48" s="7">
        <f>VLOOKUP(B48,[1]characters!$A:$I,9,FALSE)</f>
        <v>4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IFERROR(VLOOKUP(B48,input_433103!L:R,7,FALSE),VLOOKUP(tables_433103!C48,input_433103!A:H,8,FALSE))</f>
        <v>61830.559999999998</v>
      </c>
      <c r="P48" s="46">
        <f t="shared" ca="1" si="1"/>
        <v>5.2864705882217306E-3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input_433103!A$2</f>
        <v>433103</v>
      </c>
      <c r="B49" s="6">
        <v>174</v>
      </c>
      <c r="C49" s="7" t="str">
        <f t="shared" si="0"/>
        <v>Premium5R6release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偽愛の大公爵 フォルネウス</v>
      </c>
      <c r="I49" s="7" t="str">
        <f>VLOOKUP(B49,[1]characters!$A:$J,10,FALSE)</f>
        <v>PremiumN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IFERROR(VLOOKUP(B49,input_433103!L:R,7,FALSE),VLOOKUP(tables_433103!C49,input_433103!A:H,8,FALSE))</f>
        <v>3254.24</v>
      </c>
      <c r="P49" s="46">
        <f t="shared" ca="1" si="1"/>
        <v>2.7823529411693322E-4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input_433103!A$2</f>
        <v>433103</v>
      </c>
      <c r="B50" s="6">
        <v>175</v>
      </c>
      <c r="C50" s="7" t="str">
        <f t="shared" si="0"/>
        <v>Premium3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 t="str">
        <f t="shared" si="3"/>
        <v/>
      </c>
      <c r="H50" s="7" t="str">
        <f>VLOOKUP(B50,[1]characters!$A:$C,3,FALSE)</f>
        <v>バフォメット</v>
      </c>
      <c r="I50" s="7" t="str">
        <f>VLOOKUP(B50,[1]characters!$A:$J,10,FALSE)</f>
        <v>PremiumN</v>
      </c>
      <c r="J50" s="7">
        <f>VLOOKUP(B50,[1]characters!$A:$I,9,FALSE)</f>
        <v>3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IFERROR(VLOOKUP(B50,input_433103!L:R,7,FALSE),VLOOKUP(tables_433103!C50,input_433103!A:H,8,FALSE))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input_433103!A$2</f>
        <v>433103</v>
      </c>
      <c r="B51" s="6">
        <v>176</v>
      </c>
      <c r="C51" s="7" t="str">
        <f t="shared" si="0"/>
        <v>Premium4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異教徒 バフォメット</v>
      </c>
      <c r="I51" s="7" t="str">
        <f>VLOOKUP(B51,[1]characters!$A:$J,10,FALSE)</f>
        <v>PremiumN</v>
      </c>
      <c r="J51" s="7">
        <f>VLOOKUP(B51,[1]characters!$A:$I,9,FALSE)</f>
        <v>4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IFERROR(VLOOKUP(B51,input_433103!L:R,7,FALSE),VLOOKUP(tables_433103!C51,input_433103!A:H,8,FALSE))</f>
        <v>57834.502509999998</v>
      </c>
      <c r="P51" s="46">
        <f t="shared" ca="1" si="1"/>
        <v>4.9448104061090648E-3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input_433103!A$2</f>
        <v>433103</v>
      </c>
      <c r="B52" s="6">
        <v>177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黒魔の異端師 バフォメット</v>
      </c>
      <c r="I52" s="7" t="str">
        <f>VLOOKUP(B52,[1]characters!$A:$J,10,FALSE)</f>
        <v>PremiumN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IFERROR(VLOOKUP(B52,input_433103!L:R,7,FALSE),VLOOKUP(tables_433103!C52,input_433103!A:H,8,FALSE))</f>
        <v>1402.2974899999999</v>
      </c>
      <c r="P52" s="46">
        <f t="shared" ca="1" si="1"/>
        <v>1.1989547623088255E-4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input_433103!A$2</f>
        <v>433103</v>
      </c>
      <c r="B53" s="6">
        <v>178</v>
      </c>
      <c r="C53" s="7" t="str">
        <f t="shared" si="0"/>
        <v>Premium3color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>color</v>
      </c>
      <c r="H53" s="7" t="str">
        <f>VLOOKUP(B53,[1]characters!$A:$C,3,FALSE)</f>
        <v>ケルベロス</v>
      </c>
      <c r="I53" s="7" t="str">
        <f>VLOOKUP(B53,[1]characters!$A:$J,10,FALSE)</f>
        <v>PremiumN</v>
      </c>
      <c r="J53" s="7">
        <f>VLOOKUP(B53,[1]characters!$A:$I,9,FALSE)</f>
        <v>3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f ca="1">IFERROR(VLOOKUP(B53,input_433103!L:R,7,FALSE),VLOOKUP(tables_433103!C53,input_433103!A:H,8,FALSE))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input_433103!A$2</f>
        <v>433103</v>
      </c>
      <c r="B54" s="6">
        <v>179</v>
      </c>
      <c r="C54" s="7" t="str">
        <f t="shared" si="0"/>
        <v>Premium4color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番犬 ケルベロス</v>
      </c>
      <c r="I54" s="7" t="str">
        <f>VLOOKUP(B54,[1]characters!$A:$J,10,FALSE)</f>
        <v>PremiumN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IFERROR(VLOOKUP(B54,input_433103!L:R,7,FALSE),VLOOKUP(tables_433103!C54,input_433103!A:H,8,FALSE))</f>
        <v>283464.80472000001</v>
      </c>
      <c r="P54" s="46">
        <f t="shared" ca="1" si="1"/>
        <v>2.4236046915122499E-2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input_433103!A$2</f>
        <v>433103</v>
      </c>
      <c r="B55" s="6">
        <v>180</v>
      </c>
      <c r="C55" s="7" t="str">
        <f t="shared" si="0"/>
        <v>Premium5color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地獄の大門番 ケルベロス</v>
      </c>
      <c r="I55" s="7" t="str">
        <f>VLOOKUP(B55,[1]characters!$A:$J,10,FALSE)</f>
        <v>PremiumN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IFERROR(VLOOKUP(B55,input_433103!L:R,7,FALSE),VLOOKUP(tables_433103!C55,input_433103!A:H,8,FALSE))</f>
        <v>5172.1344099999997</v>
      </c>
      <c r="P55" s="46">
        <f t="shared" ca="1" si="1"/>
        <v>4.4221395434223068E-4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input_433103!A$2</f>
        <v>433103</v>
      </c>
      <c r="B56" s="6">
        <v>181</v>
      </c>
      <c r="C56" s="7" t="str">
        <f t="shared" si="0"/>
        <v>Premium3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ベヒモス</v>
      </c>
      <c r="I56" s="7" t="str">
        <f>VLOOKUP(B56,[1]characters!$A:$J,10,FALSE)</f>
        <v>PremiumN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IFERROR(VLOOKUP(B56,input_433103!L:R,7,FALSE),VLOOKUP(tables_433103!C56,input_433103!A:H,8,FALSE))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input_433103!A$2</f>
        <v>433103</v>
      </c>
      <c r="B57" s="6">
        <v>182</v>
      </c>
      <c r="C57" s="7" t="str">
        <f t="shared" si="0"/>
        <v>Premium4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放蕩者 ベヒモス</v>
      </c>
      <c r="I57" s="7" t="str">
        <f>VLOOKUP(B57,[1]characters!$A:$J,10,FALSE)</f>
        <v>PremiumN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IFERROR(VLOOKUP(B57,input_433103!L:R,7,FALSE),VLOOKUP(tables_433103!C57,input_433103!A:H,8,FALSE))</f>
        <v>57834.502509999998</v>
      </c>
      <c r="P57" s="46">
        <f t="shared" ca="1" si="1"/>
        <v>4.9448104061090648E-3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input_433103!A$2</f>
        <v>433103</v>
      </c>
      <c r="B58" s="6">
        <v>183</v>
      </c>
      <c r="C58" s="7" t="str">
        <f t="shared" si="0"/>
        <v>Premium5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鈍重な彷徨者 ベヒモス</v>
      </c>
      <c r="I58" s="7" t="str">
        <f>VLOOKUP(B58,[1]characters!$A:$J,10,FALSE)</f>
        <v>PremiumN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IFERROR(VLOOKUP(B58,input_433103!L:R,7,FALSE),VLOOKUP(tables_433103!C58,input_433103!A:H,8,FALSE))</f>
        <v>1402.2974899999999</v>
      </c>
      <c r="P58" s="46">
        <f t="shared" ca="1" si="1"/>
        <v>1.1989547623088255E-4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input_433103!A$2</f>
        <v>433103</v>
      </c>
      <c r="B59" s="6">
        <v>184</v>
      </c>
      <c r="C59" s="7" t="str">
        <f t="shared" si="0"/>
        <v>Premium3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クラーケン</v>
      </c>
      <c r="I59" s="7" t="str">
        <f>VLOOKUP(B59,[1]characters!$A:$J,10,FALSE)</f>
        <v>PremiumN</v>
      </c>
      <c r="J59" s="7">
        <f>VLOOKUP(B59,[1]characters!$A:$I,9,FALSE)</f>
        <v>3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IFERROR(VLOOKUP(B59,input_433103!L:R,7,FALSE),VLOOKUP(tables_433103!C59,input_433103!A:H,8,FALSE))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input_433103!A$2</f>
        <v>433103</v>
      </c>
      <c r="B60" s="6">
        <v>185</v>
      </c>
      <c r="C60" s="7" t="str">
        <f t="shared" si="0"/>
        <v>Premium4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海姫 クラーケン</v>
      </c>
      <c r="I60" s="7" t="str">
        <f>VLOOKUP(B60,[1]characters!$A:$J,10,FALSE)</f>
        <v>PremiumN</v>
      </c>
      <c r="J60" s="7">
        <f>VLOOKUP(B60,[1]characters!$A:$I,9,FALSE)</f>
        <v>4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IFERROR(VLOOKUP(B60,input_433103!L:R,7,FALSE),VLOOKUP(tables_433103!C60,input_433103!A:H,8,FALSE))</f>
        <v>57834.502509999998</v>
      </c>
      <c r="P60" s="46">
        <f t="shared" ca="1" si="1"/>
        <v>4.9448104061090648E-3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input_433103!A$2</f>
        <v>433103</v>
      </c>
      <c r="B61" s="8">
        <v>186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誇り高き多触姫・クラーケン</v>
      </c>
      <c r="I61" s="7" t="str">
        <f>VLOOKUP(B61,[1]characters!$A:$J,10,FALSE)</f>
        <v>PremiumN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IFERROR(VLOOKUP(B61,input_433103!L:R,7,FALSE),VLOOKUP(tables_433103!C61,input_433103!A:H,8,FALSE))</f>
        <v>1402.2974899999999</v>
      </c>
      <c r="P61" s="46">
        <f t="shared" ca="1" si="1"/>
        <v>1.1989547623088255E-4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input_433103!A$2</f>
        <v>433103</v>
      </c>
      <c r="B62" s="8">
        <v>187</v>
      </c>
      <c r="C62" s="7" t="str">
        <f t="shared" si="0"/>
        <v>Premium3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ホルス</v>
      </c>
      <c r="I62" s="7" t="str">
        <f>VLOOKUP(B62,[1]characters!$A:$J,10,FALSE)</f>
        <v>PremiumN</v>
      </c>
      <c r="J62" s="7">
        <f>VLOOKUP(B62,[1]characters!$A:$I,9,FALSE)</f>
        <v>3</v>
      </c>
      <c r="K62" s="7" t="str">
        <f>VLOOKUP(B62,[1]characters!$A:$H,8,FALSE)</f>
        <v>yellow</v>
      </c>
      <c r="L62" s="7" t="str">
        <f>VLOOKUP(B62,[1]characters!$A:$K,11,FALSE)</f>
        <v>attack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IFERROR(VLOOKUP(B62,input_433103!L:R,7,FALSE),VLOOKUP(tables_433103!C62,input_433103!A:H,8,FALSE))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input_433103!A$2</f>
        <v>433103</v>
      </c>
      <c r="B63" s="8">
        <v>188</v>
      </c>
      <c r="C63" s="7" t="str">
        <f t="shared" si="0"/>
        <v>Premium4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猛禽 ホルス</v>
      </c>
      <c r="I63" s="7" t="str">
        <f>VLOOKUP(B63,[1]characters!$A:$J,10,FALSE)</f>
        <v>PremiumN</v>
      </c>
      <c r="J63" s="7">
        <f>VLOOKUP(B63,[1]characters!$A:$I,9,FALSE)</f>
        <v>4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IFERROR(VLOOKUP(B63,input_433103!L:R,7,FALSE),VLOOKUP(tables_433103!C63,input_433103!A:H,8,FALSE))</f>
        <v>57834.502509999998</v>
      </c>
      <c r="P63" s="46">
        <f t="shared" ca="1" si="1"/>
        <v>4.9448104061090648E-3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input_433103!A$2</f>
        <v>433103</v>
      </c>
      <c r="B64" s="8">
        <v>189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迅雷の王禽 ホルス</v>
      </c>
      <c r="I64" s="7" t="str">
        <f>VLOOKUP(B64,[1]characters!$A:$J,10,FALSE)</f>
        <v>PremiumN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IFERROR(VLOOKUP(B64,input_433103!L:R,7,FALSE),VLOOKUP(tables_433103!C64,input_433103!A:H,8,FALSE))</f>
        <v>1402.2974899999999</v>
      </c>
      <c r="P64" s="46">
        <f t="shared" ca="1" si="1"/>
        <v>1.1989547623088255E-4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input_433103!A$2</f>
        <v>433103</v>
      </c>
      <c r="B65" s="6">
        <v>190</v>
      </c>
      <c r="C65" s="7" t="str">
        <f t="shared" si="0"/>
        <v>Premium3color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>color</v>
      </c>
      <c r="H65" s="7" t="str">
        <f>VLOOKUP(B65,[1]characters!$A:$C,3,FALSE)</f>
        <v>卑弥呼</v>
      </c>
      <c r="I65" s="7" t="str">
        <f>VLOOKUP(B65,[1]characters!$A:$J,10,FALSE)</f>
        <v>PremiumN</v>
      </c>
      <c r="J65" s="7">
        <f>VLOOKUP(B65,[1]characters!$A:$I,9,FALSE)</f>
        <v>3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IFERROR(VLOOKUP(B65,input_433103!L:R,7,FALSE),VLOOKUP(tables_433103!C65,input_433103!A:H,8,FALSE))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input_433103!A$2</f>
        <v>433103</v>
      </c>
      <c r="B66" s="6">
        <v>191</v>
      </c>
      <c r="C66" s="7" t="str">
        <f t="shared" ref="C66:C129" si="4">D66&amp;J66&amp;E66&amp;F66&amp;G66</f>
        <v>Premium4color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始祖 卑弥呼</v>
      </c>
      <c r="I66" s="7" t="str">
        <f>VLOOKUP(B66,[1]characters!$A:$J,10,FALSE)</f>
        <v>PremiumN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IFERROR(VLOOKUP(B66,input_433103!L:R,7,FALSE),VLOOKUP(tables_433103!C66,input_433103!A:H,8,FALSE))</f>
        <v>283464.80472000001</v>
      </c>
      <c r="P66" s="46">
        <f t="shared" ref="P66:P129" ca="1" si="5">O66/SUM(O:O)</f>
        <v>2.4236046915122499E-2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input_433103!A$2</f>
        <v>433103</v>
      </c>
      <c r="B67" s="6">
        <v>192</v>
      </c>
      <c r="C67" s="7" t="str">
        <f t="shared" si="4"/>
        <v>Premium5color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荘厳なる始祖帝 卑弥呼</v>
      </c>
      <c r="I67" s="7" t="str">
        <f>VLOOKUP(B67,[1]characters!$A:$J,10,FALSE)</f>
        <v>PremiumN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IFERROR(VLOOKUP(B67,input_433103!L:R,7,FALSE),VLOOKUP(tables_433103!C67,input_433103!A:H,8,FALSE))</f>
        <v>5172.1344099999997</v>
      </c>
      <c r="P67" s="46">
        <f t="shared" ca="1" si="5"/>
        <v>4.4221395434223068E-4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input_433103!A$2</f>
        <v>433103</v>
      </c>
      <c r="B68" s="6">
        <v>193</v>
      </c>
      <c r="C68" s="7" t="str">
        <f t="shared" si="4"/>
        <v>Premium3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ロビンフッド</v>
      </c>
      <c r="I68" s="7" t="str">
        <f>VLOOKUP(B68,[1]characters!$A:$J,10,FALSE)</f>
        <v>PremiumN</v>
      </c>
      <c r="J68" s="7">
        <f>VLOOKUP(B68,[1]characters!$A:$I,9,FALSE)</f>
        <v>3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IFERROR(VLOOKUP(B68,input_433103!L:R,7,FALSE),VLOOKUP(tables_433103!C68,input_433103!A:H,8,FALSE))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input_433103!A$2</f>
        <v>433103</v>
      </c>
      <c r="B69" s="10">
        <v>194</v>
      </c>
      <c r="C69" s="7" t="str">
        <f t="shared" si="4"/>
        <v>Premium4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スナイパー ロビンフッド</v>
      </c>
      <c r="I69" s="7" t="str">
        <f>VLOOKUP(B69,[1]characters!$A:$J,10,FALSE)</f>
        <v>PremiumN</v>
      </c>
      <c r="J69" s="7">
        <f>VLOOKUP(B69,[1]characters!$A:$I,9,FALSE)</f>
        <v>4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IFERROR(VLOOKUP(B69,input_433103!L:R,7,FALSE),VLOOKUP(tables_433103!C69,input_433103!A:H,8,FALSE))</f>
        <v>57834.502509999998</v>
      </c>
      <c r="P69" s="46">
        <f t="shared" ca="1" si="5"/>
        <v>4.9448104061090648E-3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input_433103!A$2</f>
        <v>433103</v>
      </c>
      <c r="B70" s="6">
        <v>195</v>
      </c>
      <c r="C70" s="7" t="str">
        <f t="shared" si="4"/>
        <v>Premium5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グランドハンター ロビンフッド</v>
      </c>
      <c r="I70" s="7" t="str">
        <f>VLOOKUP(B70,[1]characters!$A:$J,10,FALSE)</f>
        <v>PremiumN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IFERROR(VLOOKUP(B70,input_433103!L:R,7,FALSE),VLOOKUP(tables_433103!C70,input_433103!A:H,8,FALSE))</f>
        <v>1402.2974899999999</v>
      </c>
      <c r="P70" s="46">
        <f t="shared" ca="1" si="5"/>
        <v>1.1989547623088255E-4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input_433103!A$2</f>
        <v>433103</v>
      </c>
      <c r="B71" s="10">
        <v>196</v>
      </c>
      <c r="C71" s="7" t="str">
        <f t="shared" si="4"/>
        <v>Premium3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アキレス</v>
      </c>
      <c r="I71" s="7" t="str">
        <f>VLOOKUP(B71,[1]characters!$A:$J,10,FALSE)</f>
        <v>PremiumN</v>
      </c>
      <c r="J71" s="7">
        <f>VLOOKUP(B71,[1]characters!$A:$I,9,FALSE)</f>
        <v>3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IFERROR(VLOOKUP(B71,input_433103!L:R,7,FALSE),VLOOKUP(tables_433103!C71,input_433103!A:H,8,FALSE))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input_433103!A$2</f>
        <v>433103</v>
      </c>
      <c r="B72" s="11">
        <v>197</v>
      </c>
      <c r="C72" s="7" t="str">
        <f t="shared" si="4"/>
        <v>Premium4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鉄腕 アキレス</v>
      </c>
      <c r="I72" s="7" t="str">
        <f>VLOOKUP(B72,[1]characters!$A:$J,10,FALSE)</f>
        <v>PremiumN</v>
      </c>
      <c r="J72" s="7">
        <f>VLOOKUP(B72,[1]characters!$A:$I,9,FALSE)</f>
        <v>4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IFERROR(VLOOKUP(B72,input_433103!L:R,7,FALSE),VLOOKUP(tables_433103!C72,input_433103!A:H,8,FALSE))</f>
        <v>57834.502509999998</v>
      </c>
      <c r="P72" s="46">
        <f t="shared" ca="1" si="5"/>
        <v>4.9448104061090648E-3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input_433103!A$2</f>
        <v>433103</v>
      </c>
      <c r="B73" s="6">
        <v>198</v>
      </c>
      <c r="C73" s="7" t="str">
        <f t="shared" si="4"/>
        <v>Premium5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砕骨の剛腕 アキレス</v>
      </c>
      <c r="I73" s="7" t="str">
        <f>VLOOKUP(B73,[1]characters!$A:$J,10,FALSE)</f>
        <v>PremiumN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IFERROR(VLOOKUP(B73,input_433103!L:R,7,FALSE),VLOOKUP(tables_433103!C73,input_433103!A:H,8,FALSE))</f>
        <v>1402.2974899999999</v>
      </c>
      <c r="P73" s="46">
        <f t="shared" ca="1" si="5"/>
        <v>1.1989547623088255E-4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input_433103!A$2</f>
        <v>433103</v>
      </c>
      <c r="B74" s="6">
        <v>199</v>
      </c>
      <c r="C74" s="7" t="str">
        <f t="shared" si="4"/>
        <v>Premium3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ジークフリート</v>
      </c>
      <c r="I74" s="7" t="str">
        <f>VLOOKUP(B74,[1]characters!$A:$J,10,FALSE)</f>
        <v>PremiumN</v>
      </c>
      <c r="J74" s="7">
        <f>VLOOKUP(B74,[1]characters!$A:$I,9,FALSE)</f>
        <v>3</v>
      </c>
      <c r="K74" s="7" t="str">
        <f>VLOOKUP(B74,[1]characters!$A:$H,8,FALSE)</f>
        <v>blue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男性</v>
      </c>
      <c r="O74" s="45">
        <f ca="1">IFERROR(VLOOKUP(B74,input_433103!L:R,7,FALSE),VLOOKUP(tables_433103!C74,input_433103!A:H,8,FALSE))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input_433103!A$2</f>
        <v>433103</v>
      </c>
      <c r="B75" s="6">
        <v>200</v>
      </c>
      <c r="C75" s="7" t="str">
        <f t="shared" si="4"/>
        <v>Premium4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大剣士 ジークフリート</v>
      </c>
      <c r="I75" s="7" t="str">
        <f>VLOOKUP(B75,[1]characters!$A:$J,10,FALSE)</f>
        <v>PremiumN</v>
      </c>
      <c r="J75" s="7">
        <f>VLOOKUP(B75,[1]characters!$A:$I,9,FALSE)</f>
        <v>4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IFERROR(VLOOKUP(B75,input_433103!L:R,7,FALSE),VLOOKUP(tables_433103!C75,input_433103!A:H,8,FALSE))</f>
        <v>57834.502509999998</v>
      </c>
      <c r="P75" s="46">
        <f t="shared" ca="1" si="5"/>
        <v>4.9448104061090648E-3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input_433103!A$2</f>
        <v>433103</v>
      </c>
      <c r="B76" s="5">
        <v>201</v>
      </c>
      <c r="C76" s="7" t="str">
        <f t="shared" si="4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斬空の大破剣 ジークフリート</v>
      </c>
      <c r="I76" s="7" t="str">
        <f>VLOOKUP(B76,[1]characters!$A:$J,10,FALSE)</f>
        <v>PremiumN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IFERROR(VLOOKUP(B76,input_433103!L:R,7,FALSE),VLOOKUP(tables_433103!C76,input_433103!A:H,8,FALSE))</f>
        <v>1402.2974899999999</v>
      </c>
      <c r="P76" s="46">
        <f t="shared" ca="1" si="5"/>
        <v>1.1989547623088255E-4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input_433103!A$2</f>
        <v>433103</v>
      </c>
      <c r="B77" s="5">
        <v>202</v>
      </c>
      <c r="C77" s="7" t="str">
        <f t="shared" si="4"/>
        <v>Premium3color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プロメテウス</v>
      </c>
      <c r="I77" s="7" t="str">
        <f>VLOOKUP(B77,[1]characters!$A:$J,10,FALSE)</f>
        <v>PremiumN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5">
        <f ca="1">IFERROR(VLOOKUP(B77,input_433103!L:R,7,FALSE),VLOOKUP(tables_433103!C77,input_433103!A:H,8,FALSE))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input_433103!A$2</f>
        <v>433103</v>
      </c>
      <c r="B78" s="5">
        <v>203</v>
      </c>
      <c r="C78" s="7" t="str">
        <f t="shared" si="4"/>
        <v>Premium4color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焔神 プロメテウス</v>
      </c>
      <c r="I78" s="7" t="str">
        <f>VLOOKUP(B78,[1]characters!$A:$J,10,FALSE)</f>
        <v>PremiumN</v>
      </c>
      <c r="J78" s="7">
        <f>VLOOKUP(B78,[1]characters!$A:$I,9,FALSE)</f>
        <v>4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IFERROR(VLOOKUP(B78,input_433103!L:R,7,FALSE),VLOOKUP(tables_433103!C78,input_433103!A:H,8,FALSE))</f>
        <v>283464.80472000001</v>
      </c>
      <c r="P78" s="46">
        <f t="shared" ca="1" si="5"/>
        <v>2.4236046915122499E-2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input_433103!A$2</f>
        <v>433103</v>
      </c>
      <c r="B79" s="5">
        <v>204</v>
      </c>
      <c r="C79" s="7" t="str">
        <f t="shared" si="4"/>
        <v>Premium5color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慟哭の巨焔 プロメテウス</v>
      </c>
      <c r="I79" s="7" t="str">
        <f>VLOOKUP(B79,[1]characters!$A:$J,10,FALSE)</f>
        <v>PremiumN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IFERROR(VLOOKUP(B79,input_433103!L:R,7,FALSE),VLOOKUP(tables_433103!C79,input_433103!A:H,8,FALSE))</f>
        <v>5172.1344099999997</v>
      </c>
      <c r="P79" s="46">
        <f t="shared" ca="1" si="5"/>
        <v>4.4221395434223068E-4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input_433103!A$2</f>
        <v>433103</v>
      </c>
      <c r="B80" s="5">
        <v>205</v>
      </c>
      <c r="C80" s="7" t="str">
        <f t="shared" si="4"/>
        <v>Premium3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アフロディーテ</v>
      </c>
      <c r="I80" s="7" t="str">
        <f>VLOOKUP(B80,[1]characters!$A:$J,10,FALSE)</f>
        <v>PremiumN</v>
      </c>
      <c r="J80" s="7">
        <f>VLOOKUP(B80,[1]characters!$A:$I,9,FALSE)</f>
        <v>3</v>
      </c>
      <c r="K80" s="7" t="str">
        <f>VLOOKUP(B80,[1]characters!$A:$H,8,FALSE)</f>
        <v>green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ca="1">IFERROR(VLOOKUP(B80,input_433103!L:R,7,FALSE),VLOOKUP(tables_433103!C80,input_433103!A:H,8,FALSE))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input_433103!A$2</f>
        <v>433103</v>
      </c>
      <c r="B81" s="5">
        <v>206</v>
      </c>
      <c r="C81" s="7" t="str">
        <f t="shared" si="4"/>
        <v>Premium4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美神 アフロディーテ</v>
      </c>
      <c r="I81" s="7" t="str">
        <f>VLOOKUP(B81,[1]characters!$A:$J,10,FALSE)</f>
        <v>PremiumN</v>
      </c>
      <c r="J81" s="7">
        <f>VLOOKUP(B81,[1]characters!$A:$I,9,FALSE)</f>
        <v>4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IFERROR(VLOOKUP(B81,input_433103!L:R,7,FALSE),VLOOKUP(tables_433103!C81,input_433103!A:H,8,FALSE))</f>
        <v>57834.502509999998</v>
      </c>
      <c r="P81" s="46">
        <f t="shared" ca="1" si="5"/>
        <v>4.9448104061090648E-3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input_433103!A$2</f>
        <v>433103</v>
      </c>
      <c r="B82" s="5">
        <v>207</v>
      </c>
      <c r="C82" s="7" t="str">
        <f t="shared" si="4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豊穣の麗神・アフロディーテ</v>
      </c>
      <c r="I82" s="7" t="str">
        <f>VLOOKUP(B82,[1]characters!$A:$J,10,FALSE)</f>
        <v>PremiumN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IFERROR(VLOOKUP(B82,input_433103!L:R,7,FALSE),VLOOKUP(tables_433103!C82,input_433103!A:H,8,FALSE))</f>
        <v>1402.2974899999999</v>
      </c>
      <c r="P82" s="46">
        <f t="shared" ca="1" si="5"/>
        <v>1.1989547623088255E-4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input_433103!A$2</f>
        <v>433103</v>
      </c>
      <c r="B83" s="5">
        <v>208</v>
      </c>
      <c r="C83" s="7" t="str">
        <f t="shared" si="4"/>
        <v>Premium3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テティス</v>
      </c>
      <c r="I83" s="7" t="str">
        <f>VLOOKUP(B83,[1]characters!$A:$J,10,FALSE)</f>
        <v>PremiumN</v>
      </c>
      <c r="J83" s="7">
        <f>VLOOKUP(B83,[1]characters!$A:$I,9,FALSE)</f>
        <v>3</v>
      </c>
      <c r="K83" s="7" t="str">
        <f>VLOOKUP(B83,[1]characters!$A:$H,8,FALSE)</f>
        <v>blue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IFERROR(VLOOKUP(B83,input_433103!L:R,7,FALSE),VLOOKUP(tables_433103!C83,input_433103!A:H,8,FALSE))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input_433103!A$2</f>
        <v>433103</v>
      </c>
      <c r="B84" s="5">
        <v>209</v>
      </c>
      <c r="C84" s="7" t="str">
        <f t="shared" si="4"/>
        <v>Premium4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孤神 テティス</v>
      </c>
      <c r="I84" s="7" t="str">
        <f>VLOOKUP(B84,[1]characters!$A:$J,10,FALSE)</f>
        <v>PremiumN</v>
      </c>
      <c r="J84" s="7">
        <f>VLOOKUP(B84,[1]characters!$A:$I,9,FALSE)</f>
        <v>4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IFERROR(VLOOKUP(B84,input_433103!L:R,7,FALSE),VLOOKUP(tables_433103!C84,input_433103!A:H,8,FALSE))</f>
        <v>57834.502509999998</v>
      </c>
      <c r="P84" s="46">
        <f t="shared" ca="1" si="5"/>
        <v>4.9448104061090648E-3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input_433103!A$2</f>
        <v>433103</v>
      </c>
      <c r="B85" s="5">
        <v>210</v>
      </c>
      <c r="C85" s="7" t="str">
        <f t="shared" si="4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海底の孤高神 テティス</v>
      </c>
      <c r="I85" s="7" t="str">
        <f>VLOOKUP(B85,[1]characters!$A:$J,10,FALSE)</f>
        <v>PremiumN</v>
      </c>
      <c r="J85" s="7">
        <f>VLOOKUP(B85,[1]characters!$A:$I,9,FALSE)</f>
        <v>5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IFERROR(VLOOKUP(B85,input_433103!L:R,7,FALSE),VLOOKUP(tables_433103!C85,input_433103!A:H,8,FALSE))</f>
        <v>1402.2974899999999</v>
      </c>
      <c r="P85" s="46">
        <f t="shared" ca="1" si="5"/>
        <v>1.1989547623088255E-4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input_433103!A$2</f>
        <v>433103</v>
      </c>
      <c r="B86" s="5">
        <v>211</v>
      </c>
      <c r="C86" s="7" t="str">
        <f t="shared" si="4"/>
        <v>Premium3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アストライアー</v>
      </c>
      <c r="I86" s="7" t="str">
        <f>VLOOKUP(B86,[1]characters!$A:$J,10,FALSE)</f>
        <v>PremiumN</v>
      </c>
      <c r="J86" s="7">
        <f>VLOOKUP(B86,[1]characters!$A:$I,9,FALSE)</f>
        <v>3</v>
      </c>
      <c r="K86" s="7" t="str">
        <f>VLOOKUP(B86,[1]characters!$A:$H,8,FALSE)</f>
        <v>yellow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IFERROR(VLOOKUP(B86,input_433103!L:R,7,FALSE),VLOOKUP(tables_433103!C86,input_433103!A:H,8,FALSE))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input_433103!A$2</f>
        <v>433103</v>
      </c>
      <c r="B87" s="5">
        <v>212</v>
      </c>
      <c r="C87" s="7" t="str">
        <f t="shared" si="4"/>
        <v>Premium4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星神 アストライアー</v>
      </c>
      <c r="I87" s="7" t="str">
        <f>VLOOKUP(B87,[1]characters!$A:$J,10,FALSE)</f>
        <v>PremiumN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IFERROR(VLOOKUP(B87,input_433103!L:R,7,FALSE),VLOOKUP(tables_433103!C87,input_433103!A:H,8,FALSE))</f>
        <v>57834.502509999998</v>
      </c>
      <c r="P87" s="46">
        <f t="shared" ca="1" si="5"/>
        <v>4.9448104061090648E-3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input_433103!A$2</f>
        <v>433103</v>
      </c>
      <c r="B88" s="5">
        <v>213</v>
      </c>
      <c r="C88" s="7" t="str">
        <f t="shared" si="4"/>
        <v>Premium5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満天の星降神 アストライアー</v>
      </c>
      <c r="I88" s="7" t="str">
        <f>VLOOKUP(B88,[1]characters!$A:$J,10,FALSE)</f>
        <v>PremiumN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IFERROR(VLOOKUP(B88,input_433103!L:R,7,FALSE),VLOOKUP(tables_433103!C88,input_433103!A:H,8,FALSE))</f>
        <v>1402.2974899999999</v>
      </c>
      <c r="P88" s="46">
        <f t="shared" ca="1" si="5"/>
        <v>1.1989547623088255E-4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input_433103!A$2</f>
        <v>433103</v>
      </c>
      <c r="B89" s="5">
        <v>214</v>
      </c>
      <c r="C89" s="7" t="str">
        <f t="shared" si="4"/>
        <v>Premium3color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>color</v>
      </c>
      <c r="H89" s="7" t="str">
        <f>VLOOKUP(B89,[1]characters!$A:$C,3,FALSE)</f>
        <v>アズラエル</v>
      </c>
      <c r="I89" s="7" t="str">
        <f>VLOOKUP(B89,[1]characters!$A:$J,10,FALSE)</f>
        <v>PremiumN</v>
      </c>
      <c r="J89" s="7">
        <f>VLOOKUP(B89,[1]characters!$A:$I,9,FALSE)</f>
        <v>3</v>
      </c>
      <c r="K89" s="7" t="str">
        <f>VLOOKUP(B89,[1]characters!$A:$H,8,FALSE)</f>
        <v>red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IFERROR(VLOOKUP(B89,input_433103!L:R,7,FALSE),VLOOKUP(tables_433103!C89,input_433103!A:H,8,FALSE))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input_433103!A$2</f>
        <v>433103</v>
      </c>
      <c r="B90" s="5">
        <v>215</v>
      </c>
      <c r="C90" s="7" t="str">
        <f t="shared" si="4"/>
        <v>Premium4color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死導者 アズラエル</v>
      </c>
      <c r="I90" s="7" t="str">
        <f>VLOOKUP(B90,[1]characters!$A:$J,10,FALSE)</f>
        <v>PremiumN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IFERROR(VLOOKUP(B90,input_433103!L:R,7,FALSE),VLOOKUP(tables_433103!C90,input_433103!A:H,8,FALSE))</f>
        <v>283464.80472000001</v>
      </c>
      <c r="P90" s="46">
        <f t="shared" ca="1" si="5"/>
        <v>2.4236046915122499E-2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input_433103!A$2</f>
        <v>433103</v>
      </c>
      <c r="B91" s="5">
        <v>216</v>
      </c>
      <c r="C91" s="7" t="str">
        <f t="shared" si="4"/>
        <v>Premium5color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百読の死導司書 アズラエル</v>
      </c>
      <c r="I91" s="7" t="str">
        <f>VLOOKUP(B91,[1]characters!$A:$J,10,FALSE)</f>
        <v>PremiumN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IFERROR(VLOOKUP(B91,input_433103!L:R,7,FALSE),VLOOKUP(tables_433103!C91,input_433103!A:H,8,FALSE))</f>
        <v>5172.1344099999997</v>
      </c>
      <c r="P91" s="46">
        <f t="shared" ca="1" si="5"/>
        <v>4.4221395434223068E-4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input_433103!A$2</f>
        <v>433103</v>
      </c>
      <c r="B92" s="5">
        <v>217</v>
      </c>
      <c r="C92" s="7" t="str">
        <f t="shared" si="4"/>
        <v>Premium3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ケツァクアトル</v>
      </c>
      <c r="I92" s="7" t="str">
        <f>VLOOKUP(B92,[1]characters!$A:$J,10,FALSE)</f>
        <v>PremiumN</v>
      </c>
      <c r="J92" s="7">
        <f>VLOOKUP(B92,[1]characters!$A:$I,9,FALSE)</f>
        <v>3</v>
      </c>
      <c r="K92" s="7" t="str">
        <f>VLOOKUP(B92,[1]characters!$A:$H,8,FALSE)</f>
        <v>green</v>
      </c>
      <c r="L92" s="7" t="str">
        <f>VLOOKUP(B92,[1]characters!$A:$K,11,FALSE)</f>
        <v>hp</v>
      </c>
      <c r="M92" s="7" t="str">
        <f>VLOOKUP(B92,[1]characters!$A:$M,13,FALSE)</f>
        <v>dragon</v>
      </c>
      <c r="N92" s="7" t="str">
        <f>VLOOKUP(B92,[1]characters!$A:$G,7,FALSE)</f>
        <v>女性</v>
      </c>
      <c r="O92" s="45">
        <f ca="1">IFERROR(VLOOKUP(B92,input_433103!L:R,7,FALSE),VLOOKUP(tables_433103!C92,input_433103!A:H,8,FALSE))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input_433103!A$2</f>
        <v>433103</v>
      </c>
      <c r="B93" s="5">
        <v>218</v>
      </c>
      <c r="C93" s="7" t="str">
        <f t="shared" si="4"/>
        <v>Premium4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聖蛇 ケツァクアトル</v>
      </c>
      <c r="I93" s="7" t="str">
        <f>VLOOKUP(B93,[1]characters!$A:$J,10,FALSE)</f>
        <v>PremiumN</v>
      </c>
      <c r="J93" s="7">
        <f>VLOOKUP(B93,[1]characters!$A:$I,9,FALSE)</f>
        <v>4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IFERROR(VLOOKUP(B93,input_433103!L:R,7,FALSE),VLOOKUP(tables_433103!C93,input_433103!A:H,8,FALSE))</f>
        <v>57834.502509999998</v>
      </c>
      <c r="P93" s="46">
        <f t="shared" ca="1" si="5"/>
        <v>4.9448104061090648E-3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input_433103!A$2</f>
        <v>433103</v>
      </c>
      <c r="B94" s="5">
        <v>219</v>
      </c>
      <c r="C94" s="7" t="str">
        <f t="shared" si="4"/>
        <v>Premium5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覇翼の聖蛇竜 ケツァクアトル</v>
      </c>
      <c r="I94" s="7" t="str">
        <f>VLOOKUP(B94,[1]characters!$A:$J,10,FALSE)</f>
        <v>PremiumN</v>
      </c>
      <c r="J94" s="7">
        <f>VLOOKUP(B94,[1]characters!$A:$I,9,FALSE)</f>
        <v>5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IFERROR(VLOOKUP(B94,input_433103!L:R,7,FALSE),VLOOKUP(tables_433103!C94,input_433103!A:H,8,FALSE))</f>
        <v>1402.2974899999999</v>
      </c>
      <c r="P94" s="46">
        <f t="shared" ca="1" si="5"/>
        <v>1.1989547623088255E-4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input_433103!A$2</f>
        <v>433103</v>
      </c>
      <c r="B95" s="5">
        <v>220</v>
      </c>
      <c r="C95" s="7" t="str">
        <f t="shared" si="4"/>
        <v>Premium3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ルキフグス</v>
      </c>
      <c r="I95" s="7" t="str">
        <f>VLOOKUP(B95,[1]characters!$A:$J,10,FALSE)</f>
        <v>PremiumN</v>
      </c>
      <c r="J95" s="7">
        <f>VLOOKUP(B95,[1]characters!$A:$I,9,FALSE)</f>
        <v>3</v>
      </c>
      <c r="K95" s="7" t="str">
        <f>VLOOKUP(B95,[1]characters!$A:$H,8,FALSE)</f>
        <v>blue</v>
      </c>
      <c r="L95" s="7" t="str">
        <f>VLOOKUP(B95,[1]characters!$A:$K,11,FALSE)</f>
        <v>balance</v>
      </c>
      <c r="M95" s="7" t="str">
        <f>VLOOKUP(B95,[1]characters!$A:$M,13,FALSE)</f>
        <v>god</v>
      </c>
      <c r="N95" s="7" t="str">
        <f>VLOOKUP(B95,[1]characters!$A:$G,7,FALSE)</f>
        <v>女性</v>
      </c>
      <c r="O95" s="45">
        <f ca="1">IFERROR(VLOOKUP(B95,input_433103!L:R,7,FALSE),VLOOKUP(tables_433103!C95,input_433103!A:H,8,FALSE))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input_433103!A$2</f>
        <v>433103</v>
      </c>
      <c r="B96" s="5">
        <v>221</v>
      </c>
      <c r="C96" s="7" t="str">
        <f t="shared" si="4"/>
        <v>Premium4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宰相 ルキフグス</v>
      </c>
      <c r="I96" s="7" t="str">
        <f>VLOOKUP(B96,[1]characters!$A:$J,10,FALSE)</f>
        <v>PremiumN</v>
      </c>
      <c r="J96" s="7">
        <f>VLOOKUP(B96,[1]characters!$A:$I,9,FALSE)</f>
        <v>4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IFERROR(VLOOKUP(B96,input_433103!L:R,7,FALSE),VLOOKUP(tables_433103!C96,input_433103!A:H,8,FALSE))</f>
        <v>57834.502509999998</v>
      </c>
      <c r="P96" s="46">
        <f t="shared" ca="1" si="5"/>
        <v>4.9448104061090648E-3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input_433103!A$2</f>
        <v>433103</v>
      </c>
      <c r="B97" s="5">
        <v>222</v>
      </c>
      <c r="C97" s="7" t="str">
        <f t="shared" si="4"/>
        <v>Premium5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避光の鉄鎖宰相 ルキフグス</v>
      </c>
      <c r="I97" s="7" t="str">
        <f>VLOOKUP(B97,[1]characters!$A:$J,10,FALSE)</f>
        <v>PremiumN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IFERROR(VLOOKUP(B97,input_433103!L:R,7,FALSE),VLOOKUP(tables_433103!C97,input_433103!A:H,8,FALSE))</f>
        <v>1402.2974899999999</v>
      </c>
      <c r="P97" s="46">
        <f t="shared" ca="1" si="5"/>
        <v>1.1989547623088255E-4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input_433103!A$2</f>
        <v>433103</v>
      </c>
      <c r="B98" s="5">
        <v>223</v>
      </c>
      <c r="C98" s="7" t="str">
        <f t="shared" si="4"/>
        <v>Premium3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ヘラクレス</v>
      </c>
      <c r="I98" s="7" t="str">
        <f>VLOOKUP(B98,[1]characters!$A:$J,10,FALSE)</f>
        <v>PremiumN</v>
      </c>
      <c r="J98" s="7">
        <f>VLOOKUP(B98,[1]characters!$A:$I,9,FALSE)</f>
        <v>3</v>
      </c>
      <c r="K98" s="7" t="str">
        <f>VLOOKUP(B98,[1]characters!$A:$H,8,FALSE)</f>
        <v>yellow</v>
      </c>
      <c r="L98" s="7" t="str">
        <f>VLOOKUP(B98,[1]characters!$A:$K,11,FALSE)</f>
        <v>balance</v>
      </c>
      <c r="M98" s="7" t="str">
        <f>VLOOKUP(B98,[1]characters!$A:$M,13,FALSE)</f>
        <v>human</v>
      </c>
      <c r="N98" s="7" t="str">
        <f>VLOOKUP(B98,[1]characters!$A:$G,7,FALSE)</f>
        <v>男性</v>
      </c>
      <c r="O98" s="45">
        <f ca="1">IFERROR(VLOOKUP(B98,input_433103!L:R,7,FALSE),VLOOKUP(tables_433103!C98,input_433103!A:H,8,FALSE))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input_433103!A$2</f>
        <v>433103</v>
      </c>
      <c r="B99" s="5">
        <v>224</v>
      </c>
      <c r="C99" s="7" t="str">
        <f t="shared" si="4"/>
        <v>Premium4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巨腕 ヘラクレス</v>
      </c>
      <c r="I99" s="7" t="str">
        <f>VLOOKUP(B99,[1]characters!$A:$J,10,FALSE)</f>
        <v>PremiumN</v>
      </c>
      <c r="J99" s="7">
        <f>VLOOKUP(B99,[1]characters!$A:$I,9,FALSE)</f>
        <v>4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IFERROR(VLOOKUP(B99,input_433103!L:R,7,FALSE),VLOOKUP(tables_433103!C99,input_433103!A:H,8,FALSE))</f>
        <v>57834.502509999998</v>
      </c>
      <c r="P99" s="46">
        <f t="shared" ca="1" si="5"/>
        <v>4.9448104061090648E-3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input_433103!A$2</f>
        <v>433103</v>
      </c>
      <c r="B100" s="5">
        <v>225</v>
      </c>
      <c r="C100" s="7" t="str">
        <f t="shared" si="4"/>
        <v>Premium5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咆哮の巨獅腕 ヘラクレス</v>
      </c>
      <c r="I100" s="7" t="str">
        <f>VLOOKUP(B100,[1]characters!$A:$J,10,FALSE)</f>
        <v>PremiumN</v>
      </c>
      <c r="J100" s="7">
        <f>VLOOKUP(B100,[1]characters!$A:$I,9,FALSE)</f>
        <v>5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IFERROR(VLOOKUP(B100,input_433103!L:R,7,FALSE),VLOOKUP(tables_433103!C100,input_433103!A:H,8,FALSE))</f>
        <v>1402.2974899999999</v>
      </c>
      <c r="P100" s="46">
        <f t="shared" ca="1" si="5"/>
        <v>1.1989547623088255E-4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input_433103!A$2</f>
        <v>433103</v>
      </c>
      <c r="B101" s="5">
        <v>226</v>
      </c>
      <c r="C101" s="7" t="str">
        <f t="shared" si="4"/>
        <v>Premium3color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>color</v>
      </c>
      <c r="H101" s="7" t="str">
        <f>VLOOKUP(B101,[1]characters!$A:$C,3,FALSE)</f>
        <v>アレス</v>
      </c>
      <c r="I101" s="7" t="str">
        <f>VLOOKUP(B101,[1]characters!$A:$J,10,FALSE)</f>
        <v>PremiumS</v>
      </c>
      <c r="J101" s="7">
        <f>VLOOKUP(B101,[1]characters!$A:$I,9,FALSE)</f>
        <v>3</v>
      </c>
      <c r="K101" s="7" t="str">
        <f>VLOOKUP(B101,[1]characters!$A:$H,8,FALSE)</f>
        <v>red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ca="1">IFERROR(VLOOKUP(B101,input_433103!L:R,7,FALSE),VLOOKUP(tables_433103!C101,input_433103!A:H,8,FALSE))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input_433103!A$2</f>
        <v>433103</v>
      </c>
      <c r="B102" s="5">
        <v>227</v>
      </c>
      <c r="C102" s="7" t="str">
        <f t="shared" si="4"/>
        <v>Premium4color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滅弾 アレス</v>
      </c>
      <c r="I102" s="7" t="str">
        <f>VLOOKUP(B102,[1]characters!$A:$J,10,FALSE)</f>
        <v>PremiumS</v>
      </c>
      <c r="J102" s="7">
        <f>VLOOKUP(B102,[1]characters!$A:$I,9,FALSE)</f>
        <v>4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IFERROR(VLOOKUP(B102,input_433103!L:R,7,FALSE),VLOOKUP(tables_433103!C102,input_433103!A:H,8,FALSE))</f>
        <v>283464.80472000001</v>
      </c>
      <c r="P102" s="46">
        <f t="shared" ca="1" si="5"/>
        <v>2.4236046915122499E-2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input_433103!A$2</f>
        <v>433103</v>
      </c>
      <c r="B103" s="5">
        <v>228</v>
      </c>
      <c r="C103" s="7" t="str">
        <f t="shared" si="4"/>
        <v>Premium5color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殲滅の掃射砲 アレス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IFERROR(VLOOKUP(B103,input_433103!L:R,7,FALSE),VLOOKUP(tables_433103!C103,input_433103!A:H,8,FALSE))</f>
        <v>5172.1344099999997</v>
      </c>
      <c r="P103" s="46">
        <f t="shared" ca="1" si="5"/>
        <v>4.4221395434223068E-4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input_433103!A$2</f>
        <v>433103</v>
      </c>
      <c r="B104" s="5">
        <v>229</v>
      </c>
      <c r="C104" s="7" t="str">
        <f t="shared" si="4"/>
        <v>Premium3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ヨルムンガンド</v>
      </c>
      <c r="I104" s="7" t="str">
        <f>VLOOKUP(B104,[1]characters!$A:$J,10,FALSE)</f>
        <v>PremiumS</v>
      </c>
      <c r="J104" s="7">
        <f>VLOOKUP(B104,[1]characters!$A:$I,9,FALSE)</f>
        <v>3</v>
      </c>
      <c r="K104" s="7" t="str">
        <f>VLOOKUP(B104,[1]characters!$A:$H,8,FALSE)</f>
        <v>green</v>
      </c>
      <c r="L104" s="7" t="str">
        <f>VLOOKUP(B104,[1]characters!$A:$K,11,FALSE)</f>
        <v>technical</v>
      </c>
      <c r="M104" s="7" t="str">
        <f>VLOOKUP(B104,[1]characters!$A:$M,13,FALSE)</f>
        <v>dragon</v>
      </c>
      <c r="N104" s="7" t="str">
        <f>VLOOKUP(B104,[1]characters!$A:$G,7,FALSE)</f>
        <v>女性</v>
      </c>
      <c r="O104" s="45">
        <f ca="1">IFERROR(VLOOKUP(B104,input_433103!L:R,7,FALSE),VLOOKUP(tables_433103!C104,input_433103!A:H,8,FALSE))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input_433103!A$2</f>
        <v>433103</v>
      </c>
      <c r="B105" s="5">
        <v>230</v>
      </c>
      <c r="C105" s="7" t="str">
        <f t="shared" si="4"/>
        <v>Premium4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毒銃 ヨルムンガンド</v>
      </c>
      <c r="I105" s="7" t="str">
        <f>VLOOKUP(B105,[1]characters!$A:$J,10,FALSE)</f>
        <v>PremiumS</v>
      </c>
      <c r="J105" s="7">
        <f>VLOOKUP(B105,[1]characters!$A:$I,9,FALSE)</f>
        <v>4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IFERROR(VLOOKUP(B105,input_433103!L:R,7,FALSE),VLOOKUP(tables_433103!C105,input_433103!A:H,8,FALSE))</f>
        <v>57834.502509999998</v>
      </c>
      <c r="P105" s="46">
        <f t="shared" ca="1" si="5"/>
        <v>4.9448104061090648E-3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input_433103!A$2</f>
        <v>433103</v>
      </c>
      <c r="B106" s="5">
        <v>231</v>
      </c>
      <c r="C106" s="7" t="str">
        <f t="shared" si="4"/>
        <v>Premium5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必中の咬銃 ヨルムンガンド</v>
      </c>
      <c r="I106" s="7" t="str">
        <f>VLOOKUP(B106,[1]characters!$A:$J,10,FALSE)</f>
        <v>PremiumS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IFERROR(VLOOKUP(B106,input_433103!L:R,7,FALSE),VLOOKUP(tables_433103!C106,input_433103!A:H,8,FALSE))</f>
        <v>1402.2974899999999</v>
      </c>
      <c r="P106" s="46">
        <f t="shared" ca="1" si="5"/>
        <v>1.1989547623088255E-4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input_433103!A$2</f>
        <v>433103</v>
      </c>
      <c r="B107" s="5">
        <v>232</v>
      </c>
      <c r="C107" s="7" t="str">
        <f t="shared" si="4"/>
        <v>Premium3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パーシヴァル</v>
      </c>
      <c r="I107" s="7" t="str">
        <f>VLOOKUP(B107,[1]characters!$A:$J,10,FALSE)</f>
        <v>PremiumS</v>
      </c>
      <c r="J107" s="7">
        <f>VLOOKUP(B107,[1]characters!$A:$I,9,FALSE)</f>
        <v>3</v>
      </c>
      <c r="K107" s="7" t="str">
        <f>VLOOKUP(B107,[1]characters!$A:$H,8,FALSE)</f>
        <v>blue</v>
      </c>
      <c r="L107" s="7" t="str">
        <f>VLOOKUP(B107,[1]characters!$A:$K,11,FALSE)</f>
        <v>technical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ca="1">IFERROR(VLOOKUP(B107,input_433103!L:R,7,FALSE),VLOOKUP(tables_433103!C107,input_433103!A:H,8,FALSE))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input_433103!A$2</f>
        <v>433103</v>
      </c>
      <c r="B108" s="5">
        <v>233</v>
      </c>
      <c r="C108" s="7" t="str">
        <f t="shared" si="4"/>
        <v>Premium4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遂行 パーシヴァル</v>
      </c>
      <c r="I108" s="7" t="str">
        <f>VLOOKUP(B108,[1]characters!$A:$J,10,FALSE)</f>
        <v>PremiumS</v>
      </c>
      <c r="J108" s="7">
        <f>VLOOKUP(B108,[1]characters!$A:$I,9,FALSE)</f>
        <v>4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IFERROR(VLOOKUP(B108,input_433103!L:R,7,FALSE),VLOOKUP(tables_433103!C108,input_433103!A:H,8,FALSE))</f>
        <v>57834.502509999998</v>
      </c>
      <c r="P108" s="46">
        <f t="shared" ca="1" si="5"/>
        <v>4.9448104061090648E-3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input_433103!A$2</f>
        <v>433103</v>
      </c>
      <c r="B109" s="5">
        <v>234</v>
      </c>
      <c r="C109" s="7" t="str">
        <f t="shared" si="4"/>
        <v>Premium5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精密なる照準 パーシヴァル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IFERROR(VLOOKUP(B109,input_433103!L:R,7,FALSE),VLOOKUP(tables_433103!C109,input_433103!A:H,8,FALSE))</f>
        <v>1402.2974899999999</v>
      </c>
      <c r="P109" s="46">
        <f t="shared" ca="1" si="5"/>
        <v>1.1989547623088255E-4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input_433103!A$2</f>
        <v>433103</v>
      </c>
      <c r="B110" s="5">
        <v>235</v>
      </c>
      <c r="C110" s="7" t="str">
        <f t="shared" si="4"/>
        <v>Premium3R6release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>R6release</v>
      </c>
      <c r="G110" s="7" t="str">
        <f t="shared" si="7"/>
        <v/>
      </c>
      <c r="H110" s="7" t="str">
        <f>VLOOKUP(B110,[1]characters!$A:$C,3,FALSE)</f>
        <v>イザナミ</v>
      </c>
      <c r="I110" s="7" t="str">
        <f>VLOOKUP(B110,[1]characters!$A:$J,10,FALSE)</f>
        <v>PremiumS</v>
      </c>
      <c r="J110" s="7">
        <f>VLOOKUP(B110,[1]characters!$A:$I,9,FALSE)</f>
        <v>3</v>
      </c>
      <c r="K110" s="7" t="str">
        <f>VLOOKUP(B110,[1]characters!$A:$H,8,FALSE)</f>
        <v>yellow</v>
      </c>
      <c r="L110" s="7" t="str">
        <f>VLOOKUP(B110,[1]characters!$A:$K,11,FALSE)</f>
        <v>attack</v>
      </c>
      <c r="M110" s="7" t="str">
        <f>VLOOKUP(B110,[1]characters!$A:$M,13,FALSE)</f>
        <v>god</v>
      </c>
      <c r="N110" s="7" t="str">
        <f>VLOOKUP(B110,[1]characters!$A:$G,7,FALSE)</f>
        <v>女性</v>
      </c>
      <c r="O110" s="45">
        <f ca="1">IFERROR(VLOOKUP(B110,input_433103!L:R,7,FALSE),VLOOKUP(tables_433103!C110,input_433103!A:H,8,FALSE))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input_433103!A$2</f>
        <v>433103</v>
      </c>
      <c r="B111" s="5">
        <v>236</v>
      </c>
      <c r="C111" s="7" t="str">
        <f t="shared" si="4"/>
        <v>Premium4R6release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神産 イザナミ</v>
      </c>
      <c r="I111" s="7" t="str">
        <f>VLOOKUP(B111,[1]characters!$A:$J,10,FALSE)</f>
        <v>PremiumS</v>
      </c>
      <c r="J111" s="7">
        <f>VLOOKUP(B111,[1]characters!$A:$I,9,FALSE)</f>
        <v>4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IFERROR(VLOOKUP(B111,input_433103!L:R,7,FALSE),VLOOKUP(tables_433103!C111,input_433103!A:H,8,FALSE))</f>
        <v>61830.559999999998</v>
      </c>
      <c r="P111" s="46">
        <f t="shared" ca="1" si="5"/>
        <v>5.2864705882217306E-3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input_433103!A$2</f>
        <v>433103</v>
      </c>
      <c r="B112" s="5">
        <v>237</v>
      </c>
      <c r="C112" s="7" t="str">
        <f t="shared" si="4"/>
        <v>Premium5R6release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森羅万象の神母 イザナミ</v>
      </c>
      <c r="I112" s="7" t="str">
        <f>VLOOKUP(B112,[1]characters!$A:$J,10,FALSE)</f>
        <v>PremiumS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IFERROR(VLOOKUP(B112,input_433103!L:R,7,FALSE),VLOOKUP(tables_433103!C112,input_433103!A:H,8,FALSE))</f>
        <v>3254.24</v>
      </c>
      <c r="P112" s="46">
        <f t="shared" ca="1" si="5"/>
        <v>2.7823529411693322E-4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input_433103!A$2</f>
        <v>433103</v>
      </c>
      <c r="B113" s="5">
        <v>238</v>
      </c>
      <c r="C113" s="7" t="str">
        <f t="shared" si="4"/>
        <v>Premium3color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 t="str">
        <f t="shared" si="7"/>
        <v>color</v>
      </c>
      <c r="H113" s="7" t="str">
        <f>VLOOKUP(B113,[1]characters!$A:$C,3,FALSE)</f>
        <v>ウリエル</v>
      </c>
      <c r="I113" s="7" t="str">
        <f>VLOOKUP(B113,[1]characters!$A:$J,10,FALSE)</f>
        <v>PremiumS</v>
      </c>
      <c r="J113" s="7">
        <f>VLOOKUP(B113,[1]characters!$A:$I,9,FALSE)</f>
        <v>3</v>
      </c>
      <c r="K113" s="7" t="str">
        <f>VLOOKUP(B113,[1]characters!$A:$H,8,FALSE)</f>
        <v>red</v>
      </c>
      <c r="L113" s="7" t="str">
        <f>VLOOKUP(B113,[1]characters!$A:$K,11,FALSE)</f>
        <v>hp</v>
      </c>
      <c r="M113" s="7" t="str">
        <f>VLOOKUP(B113,[1]characters!$A:$M,13,FALSE)</f>
        <v>machine</v>
      </c>
      <c r="N113" s="7" t="str">
        <f>VLOOKUP(B113,[1]characters!$A:$G,7,FALSE)</f>
        <v>女性</v>
      </c>
      <c r="O113" s="45">
        <f ca="1">IFERROR(VLOOKUP(B113,input_433103!L:R,7,FALSE),VLOOKUP(tables_433103!C113,input_433103!A:H,8,FALSE))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input_433103!A$2</f>
        <v>433103</v>
      </c>
      <c r="B114" s="5">
        <v>239</v>
      </c>
      <c r="C114" s="7" t="str">
        <f t="shared" si="4"/>
        <v>Premium4color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豪炎の天使 ウリエル</v>
      </c>
      <c r="I114" s="7" t="str">
        <f>VLOOKUP(B114,[1]characters!$A:$J,10,FALSE)</f>
        <v>PremiumS</v>
      </c>
      <c r="J114" s="7">
        <f>VLOOKUP(B114,[1]characters!$A:$I,9,FALSE)</f>
        <v>4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IFERROR(VLOOKUP(B114,input_433103!L:R,7,FALSE),VLOOKUP(tables_433103!C114,input_433103!A:H,8,FALSE))</f>
        <v>283464.80472000001</v>
      </c>
      <c r="P114" s="46">
        <f t="shared" ca="1" si="5"/>
        <v>2.4236046915122499E-2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input_433103!A$2</f>
        <v>433103</v>
      </c>
      <c r="B115" s="5">
        <v>240</v>
      </c>
      <c r="C115" s="7" t="str">
        <f t="shared" si="4"/>
        <v>Premium5color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轟炎の天使 ウリエル・スレイヤー</v>
      </c>
      <c r="I115" s="7" t="str">
        <f>VLOOKUP(B115,[1]characters!$A:$J,10,FALSE)</f>
        <v>PremiumS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IFERROR(VLOOKUP(B115,input_433103!L:R,7,FALSE),VLOOKUP(tables_433103!C115,input_433103!A:H,8,FALSE))</f>
        <v>5172.1344099999997</v>
      </c>
      <c r="P115" s="46">
        <f t="shared" ca="1" si="5"/>
        <v>4.4221395434223068E-4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input_433103!A$2</f>
        <v>433103</v>
      </c>
      <c r="B116" s="5">
        <v>241</v>
      </c>
      <c r="C116" s="7" t="str">
        <f t="shared" si="4"/>
        <v>Premium3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ガブリエル</v>
      </c>
      <c r="I116" s="7" t="str">
        <f>VLOOKUP(B116,[1]characters!$A:$J,10,FALSE)</f>
        <v>PremiumS</v>
      </c>
      <c r="J116" s="7">
        <f>VLOOKUP(B116,[1]characters!$A:$I,9,FALSE)</f>
        <v>3</v>
      </c>
      <c r="K116" s="7" t="str">
        <f>VLOOKUP(B116,[1]characters!$A:$H,8,FALSE)</f>
        <v>green</v>
      </c>
      <c r="L116" s="7" t="str">
        <f>VLOOKUP(B116,[1]characters!$A:$K,11,FALSE)</f>
        <v>balance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IFERROR(VLOOKUP(B116,input_433103!L:R,7,FALSE),VLOOKUP(tables_433103!C116,input_433103!A:H,8,FALSE))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input_433103!A$2</f>
        <v>433103</v>
      </c>
      <c r="B117" s="5">
        <v>242</v>
      </c>
      <c r="C117" s="7" t="str">
        <f t="shared" si="4"/>
        <v>Premium4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百花の天使 ガブリエル</v>
      </c>
      <c r="I117" s="7" t="str">
        <f>VLOOKUP(B117,[1]characters!$A:$J,10,FALSE)</f>
        <v>PremiumS</v>
      </c>
      <c r="J117" s="7">
        <f>VLOOKUP(B117,[1]characters!$A:$I,9,FALSE)</f>
        <v>4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IFERROR(VLOOKUP(B117,input_433103!L:R,7,FALSE),VLOOKUP(tables_433103!C117,input_433103!A:H,8,FALSE))</f>
        <v>57834.502509999998</v>
      </c>
      <c r="P117" s="46">
        <f t="shared" ca="1" si="5"/>
        <v>4.9448104061090648E-3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input_433103!A$2</f>
        <v>433103</v>
      </c>
      <c r="B118" s="5">
        <v>243</v>
      </c>
      <c r="C118" s="7" t="str">
        <f t="shared" si="4"/>
        <v>Premium5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万花の天使 ガブリエル・ブルーム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IFERROR(VLOOKUP(B118,input_433103!L:R,7,FALSE),VLOOKUP(tables_433103!C118,input_433103!A:H,8,FALSE))</f>
        <v>1402.2974899999999</v>
      </c>
      <c r="P118" s="46">
        <f t="shared" ca="1" si="5"/>
        <v>1.1989547623088255E-4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input_433103!A$2</f>
        <v>433103</v>
      </c>
      <c r="B119" s="5">
        <v>244</v>
      </c>
      <c r="C119" s="7" t="str">
        <f t="shared" si="4"/>
        <v>Premium3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ラファエル</v>
      </c>
      <c r="I119" s="7" t="str">
        <f>VLOOKUP(B119,[1]characters!$A:$J,10,FALSE)</f>
        <v>PremiumS</v>
      </c>
      <c r="J119" s="7">
        <f>VLOOKUP(B119,[1]characters!$A:$I,9,FALSE)</f>
        <v>3</v>
      </c>
      <c r="K119" s="7" t="str">
        <f>VLOOKUP(B119,[1]characters!$A:$H,8,FALSE)</f>
        <v>blue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IFERROR(VLOOKUP(B119,input_433103!L:R,7,FALSE),VLOOKUP(tables_433103!C119,input_433103!A:H,8,FALSE))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input_433103!A$2</f>
        <v>433103</v>
      </c>
      <c r="B120" s="5">
        <v>245</v>
      </c>
      <c r="C120" s="7" t="str">
        <f t="shared" si="4"/>
        <v>Premium4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鎮癒の天使 ラファエル</v>
      </c>
      <c r="I120" s="7" t="str">
        <f>VLOOKUP(B120,[1]characters!$A:$J,10,FALSE)</f>
        <v>PremiumS</v>
      </c>
      <c r="J120" s="7">
        <f>VLOOKUP(B120,[1]characters!$A:$I,9,FALSE)</f>
        <v>4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IFERROR(VLOOKUP(B120,input_433103!L:R,7,FALSE),VLOOKUP(tables_433103!C120,input_433103!A:H,8,FALSE))</f>
        <v>57834.502509999998</v>
      </c>
      <c r="P120" s="46">
        <f t="shared" ca="1" si="5"/>
        <v>4.9448104061090648E-3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input_433103!A$2</f>
        <v>433103</v>
      </c>
      <c r="B121" s="5">
        <v>246</v>
      </c>
      <c r="C121" s="7" t="str">
        <f t="shared" si="4"/>
        <v>Premium5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真癒の天使 ラファエル・メディカ</v>
      </c>
      <c r="I121" s="7" t="str">
        <f>VLOOKUP(B121,[1]characters!$A:$J,10,FALSE)</f>
        <v>PremiumS</v>
      </c>
      <c r="J121" s="7">
        <f>VLOOKUP(B121,[1]characters!$A:$I,9,FALSE)</f>
        <v>5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IFERROR(VLOOKUP(B121,input_433103!L:R,7,FALSE),VLOOKUP(tables_433103!C121,input_433103!A:H,8,FALSE))</f>
        <v>1402.2974899999999</v>
      </c>
      <c r="P121" s="46">
        <f t="shared" ca="1" si="5"/>
        <v>1.1989547623088255E-4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input_433103!A$2</f>
        <v>433103</v>
      </c>
      <c r="B122" s="5">
        <v>247</v>
      </c>
      <c r="C122" s="7" t="str">
        <f t="shared" si="4"/>
        <v>Premium3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ミカエル</v>
      </c>
      <c r="I122" s="7" t="str">
        <f>VLOOKUP(B122,[1]characters!$A:$J,10,FALSE)</f>
        <v>PremiumS</v>
      </c>
      <c r="J122" s="7">
        <f>VLOOKUP(B122,[1]characters!$A:$I,9,FALSE)</f>
        <v>3</v>
      </c>
      <c r="K122" s="7" t="str">
        <f>VLOOKUP(B122,[1]characters!$A:$H,8,FALSE)</f>
        <v>yellow</v>
      </c>
      <c r="L122" s="7" t="str">
        <f>VLOOKUP(B122,[1]characters!$A:$K,11,FALSE)</f>
        <v>attack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IFERROR(VLOOKUP(B122,input_433103!L:R,7,FALSE),VLOOKUP(tables_433103!C122,input_433103!A:H,8,FALSE))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input_433103!A$2</f>
        <v>433103</v>
      </c>
      <c r="B123" s="5">
        <v>248</v>
      </c>
      <c r="C123" s="7" t="str">
        <f t="shared" si="4"/>
        <v>Premium4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彩電の天使 ミカエル</v>
      </c>
      <c r="I123" s="7" t="str">
        <f>VLOOKUP(B123,[1]characters!$A:$J,10,FALSE)</f>
        <v>PremiumS</v>
      </c>
      <c r="J123" s="7">
        <f>VLOOKUP(B123,[1]characters!$A:$I,9,FALSE)</f>
        <v>4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IFERROR(VLOOKUP(B123,input_433103!L:R,7,FALSE),VLOOKUP(tables_433103!C123,input_433103!A:H,8,FALSE))</f>
        <v>57834.502509999998</v>
      </c>
      <c r="P123" s="46">
        <f t="shared" ca="1" si="5"/>
        <v>4.9448104061090648E-3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input_433103!A$2</f>
        <v>433103</v>
      </c>
      <c r="B124" s="6">
        <v>249</v>
      </c>
      <c r="C124" s="7" t="str">
        <f t="shared" si="4"/>
        <v>Premium5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雷電の天使 ミカエル・ゲイナー</v>
      </c>
      <c r="I124" s="7" t="str">
        <f>VLOOKUP(B124,[1]characters!$A:$J,10,FALSE)</f>
        <v>PremiumS</v>
      </c>
      <c r="J124" s="7">
        <f>VLOOKUP(B124,[1]characters!$A:$I,9,FALSE)</f>
        <v>5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IFERROR(VLOOKUP(B124,input_433103!L:R,7,FALSE),VLOOKUP(tables_433103!C124,input_433103!A:H,8,FALSE))</f>
        <v>1402.2974899999999</v>
      </c>
      <c r="P124" s="46">
        <f t="shared" ca="1" si="5"/>
        <v>1.1989547623088255E-4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input_433103!A$2</f>
        <v>433103</v>
      </c>
      <c r="B125" s="6">
        <v>250</v>
      </c>
      <c r="C125" s="7" t="str">
        <f t="shared" si="4"/>
        <v>Premium3color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>color</v>
      </c>
      <c r="H125" s="7" t="str">
        <f>VLOOKUP(B125,[1]characters!$A:$C,3,FALSE)</f>
        <v>マンモン</v>
      </c>
      <c r="I125" s="7" t="str">
        <f>VLOOKUP(B125,[1]characters!$A:$J,10,FALSE)</f>
        <v>PremiumS</v>
      </c>
      <c r="J125" s="7">
        <f>VLOOKUP(B125,[1]characters!$A:$I,9,FALSE)</f>
        <v>3</v>
      </c>
      <c r="K125" s="7" t="str">
        <f>VLOOKUP(B125,[1]characters!$A:$H,8,FALSE)</f>
        <v>red</v>
      </c>
      <c r="L125" s="7" t="str">
        <f>VLOOKUP(B125,[1]characters!$A:$K,11,FALSE)</f>
        <v>balance</v>
      </c>
      <c r="M125" s="7" t="str">
        <f>VLOOKUP(B125,[1]characters!$A:$M,13,FALSE)</f>
        <v>god</v>
      </c>
      <c r="N125" s="7" t="str">
        <f>VLOOKUP(B125,[1]characters!$A:$G,7,FALSE)</f>
        <v>女性</v>
      </c>
      <c r="O125" s="45">
        <f ca="1">IFERROR(VLOOKUP(B125,input_433103!L:R,7,FALSE),VLOOKUP(tables_433103!C125,input_433103!A:H,8,FALSE))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input_433103!A$2</f>
        <v>433103</v>
      </c>
      <c r="B126" s="6">
        <v>251</v>
      </c>
      <c r="C126" s="7" t="str">
        <f t="shared" si="4"/>
        <v>Premium4color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強欲 マンモン</v>
      </c>
      <c r="I126" s="7" t="str">
        <f>VLOOKUP(B126,[1]characters!$A:$J,10,FALSE)</f>
        <v>PremiumS</v>
      </c>
      <c r="J126" s="7">
        <f>VLOOKUP(B126,[1]characters!$A:$I,9,FALSE)</f>
        <v>4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IFERROR(VLOOKUP(B126,input_433103!L:R,7,FALSE),VLOOKUP(tables_433103!C126,input_433103!A:H,8,FALSE))</f>
        <v>283464.80472000001</v>
      </c>
      <c r="P126" s="46">
        <f t="shared" ca="1" si="5"/>
        <v>2.4236046915122499E-2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input_433103!A$2</f>
        <v>433103</v>
      </c>
      <c r="B127" s="6">
        <v>252</v>
      </c>
      <c r="C127" s="7" t="str">
        <f t="shared" si="4"/>
        <v>Premium5color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強欲の沸騰 マンモン</v>
      </c>
      <c r="I127" s="7" t="str">
        <f>VLOOKUP(B127,[1]characters!$A:$J,10,FALSE)</f>
        <v>PremiumS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IFERROR(VLOOKUP(B127,input_433103!L:R,7,FALSE),VLOOKUP(tables_433103!C127,input_433103!A:H,8,FALSE))</f>
        <v>5172.1344099999997</v>
      </c>
      <c r="P127" s="46">
        <f t="shared" ca="1" si="5"/>
        <v>4.4221395434223068E-4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input_433103!A$2</f>
        <v>433103</v>
      </c>
      <c r="B128" s="6">
        <v>253</v>
      </c>
      <c r="C128" s="7" t="str">
        <f t="shared" si="4"/>
        <v>Premium3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ベルフェゴール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green</v>
      </c>
      <c r="L128" s="7" t="str">
        <f>VLOOKUP(B128,[1]characters!$A:$K,11,FALSE)</f>
        <v>technical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IFERROR(VLOOKUP(B128,input_433103!L:R,7,FALSE),VLOOKUP(tables_433103!C128,input_433103!A:H,8,FALSE))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input_433103!A$2</f>
        <v>433103</v>
      </c>
      <c r="B129" s="6">
        <v>254</v>
      </c>
      <c r="C129" s="7" t="str">
        <f t="shared" si="4"/>
        <v>Premium4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怠惰 ベルフェゴール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IFERROR(VLOOKUP(B129,input_433103!L:R,7,FALSE),VLOOKUP(tables_433103!C129,input_433103!A:H,8,FALSE))</f>
        <v>57834.502509999998</v>
      </c>
      <c r="P129" s="46">
        <f t="shared" ca="1" si="5"/>
        <v>4.9448104061090648E-3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input_433103!A$2</f>
        <v>433103</v>
      </c>
      <c r="B130" s="6">
        <v>255</v>
      </c>
      <c r="C130" s="7" t="str">
        <f t="shared" ref="C130:C193" si="8">D130&amp;J130&amp;E130&amp;F130&amp;G130</f>
        <v>Premium5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怠惰の頂点 ベルフェゴール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IFERROR(VLOOKUP(B130,input_433103!L:R,7,FALSE),VLOOKUP(tables_433103!C130,input_433103!A:H,8,FALSE))</f>
        <v>1402.2974899999999</v>
      </c>
      <c r="P130" s="46">
        <f t="shared" ref="P130:P193" ca="1" si="9">O130/SUM(O:O)</f>
        <v>1.1989547623088255E-4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input_433103!A$2</f>
        <v>433103</v>
      </c>
      <c r="B131" s="6">
        <v>256</v>
      </c>
      <c r="C131" s="7" t="str">
        <f t="shared" si="8"/>
        <v>Premium3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アスモデウス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blue</v>
      </c>
      <c r="L131" s="7" t="str">
        <f>VLOOKUP(B131,[1]characters!$A:$K,11,FALSE)</f>
        <v>attack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IFERROR(VLOOKUP(B131,input_433103!L:R,7,FALSE),VLOOKUP(tables_433103!C131,input_433103!A:H,8,FALSE))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input_433103!A$2</f>
        <v>433103</v>
      </c>
      <c r="B132" s="6">
        <v>257</v>
      </c>
      <c r="C132" s="7" t="str">
        <f t="shared" si="8"/>
        <v>Premium4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色欲 アスモデウス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IFERROR(VLOOKUP(B132,input_433103!L:R,7,FALSE),VLOOKUP(tables_433103!C132,input_433103!A:H,8,FALSE))</f>
        <v>57834.502509999998</v>
      </c>
      <c r="P132" s="46">
        <f t="shared" ca="1" si="9"/>
        <v>4.9448104061090648E-3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input_433103!A$2</f>
        <v>433103</v>
      </c>
      <c r="B133" s="6">
        <v>258</v>
      </c>
      <c r="C133" s="7" t="str">
        <f t="shared" si="8"/>
        <v>Premium5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色欲の源流 アスモデウス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IFERROR(VLOOKUP(B133,input_433103!L:R,7,FALSE),VLOOKUP(tables_433103!C133,input_433103!A:H,8,FALSE))</f>
        <v>1402.2974899999999</v>
      </c>
      <c r="P133" s="46">
        <f t="shared" ca="1" si="9"/>
        <v>1.1989547623088255E-4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input_433103!A$2</f>
        <v>433103</v>
      </c>
      <c r="B134" s="6">
        <v>259</v>
      </c>
      <c r="C134" s="7" t="str">
        <f t="shared" si="8"/>
        <v>Premium3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ウロボロス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yellow</v>
      </c>
      <c r="L134" s="7" t="str">
        <f>VLOOKUP(B134,[1]characters!$A:$K,11,FALSE)</f>
        <v>balance</v>
      </c>
      <c r="M134" s="7" t="str">
        <f>VLOOKUP(B134,[1]characters!$A:$M,13,FALSE)</f>
        <v>dragon</v>
      </c>
      <c r="N134" s="7" t="str">
        <f>VLOOKUP(B134,[1]characters!$A:$G,7,FALSE)</f>
        <v>女性</v>
      </c>
      <c r="O134" s="45">
        <f ca="1">IFERROR(VLOOKUP(B134,input_433103!L:R,7,FALSE),VLOOKUP(tables_433103!C134,input_433103!A:H,8,FALSE))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input_433103!A$2</f>
        <v>433103</v>
      </c>
      <c r="B135" s="8">
        <v>260</v>
      </c>
      <c r="C135" s="7" t="str">
        <f t="shared" si="8"/>
        <v>Premium4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輪廻 ウロボロス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IFERROR(VLOOKUP(B135,input_433103!L:R,7,FALSE),VLOOKUP(tables_433103!C135,input_433103!A:H,8,FALSE))</f>
        <v>57834.502509999998</v>
      </c>
      <c r="P135" s="46">
        <f t="shared" ca="1" si="9"/>
        <v>4.9448104061090648E-3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input_433103!A$2</f>
        <v>433103</v>
      </c>
      <c r="B136" s="8">
        <v>261</v>
      </c>
      <c r="C136" s="7" t="str">
        <f t="shared" si="8"/>
        <v>Premium5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輪廻の蛇龍 ウロボロス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IFERROR(VLOOKUP(B136,input_433103!L:R,7,FALSE),VLOOKUP(tables_433103!C136,input_433103!A:H,8,FALSE))</f>
        <v>1402.2974899999999</v>
      </c>
      <c r="P136" s="46">
        <f t="shared" ca="1" si="9"/>
        <v>1.1989547623088255E-4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input_433103!A$2</f>
        <v>433103</v>
      </c>
      <c r="B137" s="6">
        <v>320</v>
      </c>
      <c r="C137" s="7" t="str">
        <f t="shared" si="8"/>
        <v>PremiumSS4color</v>
      </c>
      <c r="D137" s="7" t="str">
        <f t="shared" si="10"/>
        <v>PremiumSS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>color</v>
      </c>
      <c r="H137" s="7" t="str">
        <f>VLOOKUP(B137,[1]characters!$A:$C,3,FALSE)</f>
        <v>烈志士 近藤勇</v>
      </c>
      <c r="I137" s="7" t="str">
        <f>VLOOKUP(B137,[1]characters!$A:$J,10,FALSE)</f>
        <v>PremiumSS</v>
      </c>
      <c r="J137" s="7">
        <f>VLOOKUP(B137,[1]characters!$A:$I,9,FALSE)</f>
        <v>4</v>
      </c>
      <c r="K137" s="7" t="str">
        <f>VLOOKUP(B137,[1]characters!$A:$H,8,FALSE)</f>
        <v>red</v>
      </c>
      <c r="L137" s="7" t="str">
        <f>VLOOKUP(B137,[1]characters!$A:$K,11,FALSE)</f>
        <v>hp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45">
        <f ca="1">IFERROR(VLOOKUP(B137,input_433103!L:R,7,FALSE),VLOOKUP(tables_433103!C137,input_433103!A:H,8,FALSE))</f>
        <v>23809.71429</v>
      </c>
      <c r="P137" s="46">
        <f t="shared" ca="1" si="9"/>
        <v>2.0357142860754885E-3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input_433103!A$2</f>
        <v>433103</v>
      </c>
      <c r="B138" s="6">
        <v>321</v>
      </c>
      <c r="C138" s="7" t="str">
        <f t="shared" si="8"/>
        <v>PremiumSS5color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巌鉄の烈志士 近藤勇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IFERROR(VLOOKUP(B138,input_433103!L:R,7,FALSE),VLOOKUP(tables_433103!C138,input_433103!A:H,8,FALSE))</f>
        <v>1253.1428599999999</v>
      </c>
      <c r="P138" s="46">
        <f t="shared" ca="1" si="9"/>
        <v>1.0714285738686601E-4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input_433103!A$2</f>
        <v>433103</v>
      </c>
      <c r="B139" s="6">
        <v>322</v>
      </c>
      <c r="C139" s="7" t="str">
        <f t="shared" si="8"/>
        <v>PremiumSS4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愛志士 土方歳三</v>
      </c>
      <c r="I139" s="7" t="str">
        <f>VLOOKUP(B139,[1]characters!$A:$J,10,FALSE)</f>
        <v>PremiumSS</v>
      </c>
      <c r="J139" s="7">
        <f>VLOOKUP(B139,[1]characters!$A:$I,9,FALSE)</f>
        <v>4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human</v>
      </c>
      <c r="N139" s="7" t="str">
        <f>VLOOKUP(B139,[1]characters!$A:$G,7,FALSE)</f>
        <v>女性</v>
      </c>
      <c r="O139" s="45">
        <f ca="1">IFERROR(VLOOKUP(B139,input_433103!L:R,7,FALSE),VLOOKUP(tables_433103!C139,input_433103!A:H,8,FALSE))</f>
        <v>5168</v>
      </c>
      <c r="P139" s="46">
        <f t="shared" ca="1" si="9"/>
        <v>4.4186046511514543E-4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input_433103!A$2</f>
        <v>433103</v>
      </c>
      <c r="B140" s="6">
        <v>323</v>
      </c>
      <c r="C140" s="7" t="str">
        <f t="shared" si="8"/>
        <v>PremiumSS5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流麗の愛志士 土方歳三</v>
      </c>
      <c r="I140" s="7" t="str">
        <f>VLOOKUP(B140,[1]characters!$A:$J,10,FALSE)</f>
        <v>PremiumSS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IFERROR(VLOOKUP(B140,input_433103!L:R,7,FALSE),VLOOKUP(tables_433103!C140,input_433103!A:H,8,FALSE))</f>
        <v>272</v>
      </c>
      <c r="P140" s="46">
        <f t="shared" ca="1" si="9"/>
        <v>2.3255813953428706E-5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input_433103!A$2</f>
        <v>433103</v>
      </c>
      <c r="B141" s="6">
        <v>324</v>
      </c>
      <c r="C141" s="7" t="str">
        <f t="shared" si="8"/>
        <v>PremiumSS4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凛志士 沖田総司</v>
      </c>
      <c r="I141" s="7" t="str">
        <f>VLOOKUP(B141,[1]characters!$A:$J,10,FALSE)</f>
        <v>PremiumSS</v>
      </c>
      <c r="J141" s="7">
        <f>VLOOKUP(B141,[1]characters!$A:$I,9,FALSE)</f>
        <v>4</v>
      </c>
      <c r="K141" s="7" t="str">
        <f>VLOOKUP(B141,[1]characters!$A:$H,8,FALSE)</f>
        <v>blue</v>
      </c>
      <c r="L141" s="7" t="str">
        <f>VLOOKUP(B141,[1]characters!$A:$K,11,FALSE)</f>
        <v>balance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IFERROR(VLOOKUP(B141,input_433103!L:R,7,FALSE),VLOOKUP(tables_433103!C141,input_433103!A:H,8,FALSE))</f>
        <v>5168</v>
      </c>
      <c r="P141" s="46">
        <f t="shared" ca="1" si="9"/>
        <v>4.4186046511514543E-4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input_433103!A$2</f>
        <v>433103</v>
      </c>
      <c r="B142" s="6">
        <v>325</v>
      </c>
      <c r="C142" s="7" t="str">
        <f t="shared" si="8"/>
        <v>PremiumSS5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天賦の凛志士 沖田総司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IFERROR(VLOOKUP(B142,input_433103!L:R,7,FALSE),VLOOKUP(tables_433103!C142,input_433103!A:H,8,FALSE))</f>
        <v>272</v>
      </c>
      <c r="P142" s="46">
        <f t="shared" ca="1" si="9"/>
        <v>2.3255813953428706E-5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input_433103!A$2</f>
        <v>433103</v>
      </c>
      <c r="B143" s="6">
        <v>326</v>
      </c>
      <c r="C143" s="7" t="str">
        <f t="shared" si="8"/>
        <v>PremiumSS4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妖志士 斎藤一</v>
      </c>
      <c r="I143" s="7" t="str">
        <f>VLOOKUP(B143,[1]characters!$A:$J,10,FALSE)</f>
        <v>PremiumSS</v>
      </c>
      <c r="J143" s="7">
        <f>VLOOKUP(B143,[1]characters!$A:$I,9,FALSE)</f>
        <v>4</v>
      </c>
      <c r="K143" s="7" t="str">
        <f>VLOOKUP(B143,[1]characters!$A:$H,8,FALSE)</f>
        <v>yellow</v>
      </c>
      <c r="L143" s="7" t="str">
        <f>VLOOKUP(B143,[1]characters!$A:$K,11,FALSE)</f>
        <v>technical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IFERROR(VLOOKUP(B143,input_433103!L:R,7,FALSE),VLOOKUP(tables_433103!C143,input_433103!A:H,8,FALSE))</f>
        <v>5168</v>
      </c>
      <c r="P143" s="46">
        <f t="shared" ca="1" si="9"/>
        <v>4.4186046511514543E-4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input_433103!A$2</f>
        <v>433103</v>
      </c>
      <c r="B144" s="6">
        <v>327</v>
      </c>
      <c r="C144" s="7" t="str">
        <f t="shared" si="8"/>
        <v>PremiumSS5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千殺の妖志士 斎藤一</v>
      </c>
      <c r="I144" s="7" t="str">
        <f>VLOOKUP(B144,[1]characters!$A:$J,10,FALSE)</f>
        <v>PremiumSS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IFERROR(VLOOKUP(B144,input_433103!L:R,7,FALSE),VLOOKUP(tables_433103!C144,input_433103!A:H,8,FALSE))</f>
        <v>272</v>
      </c>
      <c r="P144" s="46">
        <f t="shared" ca="1" si="9"/>
        <v>2.3255813953428706E-5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input_433103!A$2</f>
        <v>433103</v>
      </c>
      <c r="B145" s="6">
        <v>380</v>
      </c>
      <c r="C145" s="7" t="str">
        <f t="shared" si="8"/>
        <v>Premium3color</v>
      </c>
      <c r="D145" s="7" t="str">
        <f t="shared" si="10"/>
        <v>Premium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>color</v>
      </c>
      <c r="H145" s="7" t="str">
        <f>VLOOKUP(B145,[1]characters!$A:$C,3,FALSE)</f>
        <v>バハムート</v>
      </c>
      <c r="I145" s="7" t="str">
        <f>VLOOKUP(B145,[1]characters!$A:$J,10,FALSE)</f>
        <v>PremiumS</v>
      </c>
      <c r="J145" s="7">
        <f>VLOOKUP(B145,[1]characters!$A:$I,9,FALSE)</f>
        <v>3</v>
      </c>
      <c r="K145" s="7" t="str">
        <f>VLOOKUP(B145,[1]characters!$A:$H,8,FALSE)</f>
        <v>red</v>
      </c>
      <c r="L145" s="7" t="str">
        <f>VLOOKUP(B145,[1]characters!$A:$K,11,FALSE)</f>
        <v>technical</v>
      </c>
      <c r="M145" s="7" t="str">
        <f>VLOOKUP(B145,[1]characters!$A:$M,13,FALSE)</f>
        <v>dragon</v>
      </c>
      <c r="N145" s="7" t="str">
        <f>VLOOKUP(B145,[1]characters!$A:$G,7,FALSE)</f>
        <v>女性</v>
      </c>
      <c r="O145" s="45">
        <f ca="1">IFERROR(VLOOKUP(B145,input_433103!L:R,7,FALSE),VLOOKUP(tables_433103!C145,input_433103!A:H,8,FALSE))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input_433103!A$2</f>
        <v>433103</v>
      </c>
      <c r="B146" s="6">
        <v>381</v>
      </c>
      <c r="C146" s="7" t="str">
        <f t="shared" si="8"/>
        <v>Premium4color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肉食の恋火 バハムート</v>
      </c>
      <c r="I146" s="7" t="str">
        <f>VLOOKUP(B146,[1]characters!$A:$J,10,FALSE)</f>
        <v>PremiumS</v>
      </c>
      <c r="J146" s="7">
        <f>VLOOKUP(B146,[1]characters!$A:$I,9,FALSE)</f>
        <v>4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IFERROR(VLOOKUP(B146,input_433103!L:R,7,FALSE),VLOOKUP(tables_433103!C146,input_433103!A:H,8,FALSE))</f>
        <v>283464.80472000001</v>
      </c>
      <c r="P146" s="46">
        <f t="shared" ca="1" si="9"/>
        <v>2.4236046915122499E-2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input_433103!A$2</f>
        <v>433103</v>
      </c>
      <c r="B147" s="6">
        <v>382</v>
      </c>
      <c r="C147" s="7" t="str">
        <f t="shared" si="8"/>
        <v>Premium5color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激情の愛炎 バハムート</v>
      </c>
      <c r="I147" s="7" t="str">
        <f>VLOOKUP(B147,[1]characters!$A:$J,10,FALSE)</f>
        <v>PremiumS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IFERROR(VLOOKUP(B147,input_433103!L:R,7,FALSE),VLOOKUP(tables_433103!C147,input_433103!A:H,8,FALSE))</f>
        <v>5172.1344099999997</v>
      </c>
      <c r="P147" s="46">
        <f t="shared" ca="1" si="9"/>
        <v>4.4221395434223068E-4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input_433103!A$2</f>
        <v>433103</v>
      </c>
      <c r="B148" s="6">
        <v>383</v>
      </c>
      <c r="C148" s="7" t="str">
        <f t="shared" si="8"/>
        <v>PremiumSS4</v>
      </c>
      <c r="D148" s="7" t="str">
        <f t="shared" si="10"/>
        <v>PremiumSS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酒宴の蟒蛇 ヤマタノオロチ</v>
      </c>
      <c r="I148" s="7" t="str">
        <f>VLOOKUP(B148,[1]characters!$A:$J,10,FALSE)</f>
        <v>PremiumSS</v>
      </c>
      <c r="J148" s="7">
        <f>VLOOKUP(B148,[1]characters!$A:$I,9,FALSE)</f>
        <v>4</v>
      </c>
      <c r="K148" s="7" t="str">
        <f>VLOOKUP(B148,[1]characters!$A:$H,8,FALSE)</f>
        <v>green</v>
      </c>
      <c r="L148" s="7" t="str">
        <f>VLOOKUP(B148,[1]characters!$A:$K,11,FALSE)</f>
        <v>hp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IFERROR(VLOOKUP(B148,input_433103!L:R,7,FALSE),VLOOKUP(tables_433103!C148,input_433103!A:H,8,FALSE))</f>
        <v>5168</v>
      </c>
      <c r="P148" s="46">
        <f t="shared" ca="1" si="9"/>
        <v>4.4186046511514543E-4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input_433103!A$2</f>
        <v>433103</v>
      </c>
      <c r="B149" s="6">
        <v>384</v>
      </c>
      <c r="C149" s="7" t="str">
        <f t="shared" si="8"/>
        <v>PremiumSS5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破国の呑龍 ヤマタノオロチ</v>
      </c>
      <c r="I149" s="7" t="str">
        <f>VLOOKUP(B149,[1]characters!$A:$J,10,FALSE)</f>
        <v>PremiumSS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IFERROR(VLOOKUP(B149,input_433103!L:R,7,FALSE),VLOOKUP(tables_433103!C149,input_433103!A:H,8,FALSE))</f>
        <v>272</v>
      </c>
      <c r="P149" s="46">
        <f t="shared" ca="1" si="9"/>
        <v>2.3255813953428706E-5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input_433103!A$2</f>
        <v>433103</v>
      </c>
      <c r="B150" s="6">
        <v>385</v>
      </c>
      <c r="C150" s="7" t="str">
        <f t="shared" si="8"/>
        <v>PremiumSS4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波烈の出奔 リヴァイアサン</v>
      </c>
      <c r="I150" s="7" t="str">
        <f>VLOOKUP(B150,[1]characters!$A:$J,10,FALSE)</f>
        <v>PremiumSS</v>
      </c>
      <c r="J150" s="7">
        <f>VLOOKUP(B150,[1]characters!$A:$I,9,FALSE)</f>
        <v>4</v>
      </c>
      <c r="K150" s="7" t="str">
        <f>VLOOKUP(B150,[1]characters!$A:$H,8,FALSE)</f>
        <v>blue</v>
      </c>
      <c r="L150" s="7" t="str">
        <f>VLOOKUP(B150,[1]characters!$A:$K,11,FALSE)</f>
        <v>balance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IFERROR(VLOOKUP(B150,input_433103!L:R,7,FALSE),VLOOKUP(tables_433103!C150,input_433103!A:H,8,FALSE))</f>
        <v>5168</v>
      </c>
      <c r="P150" s="46">
        <f t="shared" ca="1" si="9"/>
        <v>4.4186046511514543E-4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input_433103!A$2</f>
        <v>433103</v>
      </c>
      <c r="B151" s="6">
        <v>386</v>
      </c>
      <c r="C151" s="7" t="str">
        <f t="shared" si="8"/>
        <v>PremiumSS5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氾乱の海龍 リヴァイアサン</v>
      </c>
      <c r="I151" s="7" t="str">
        <f>VLOOKUP(B151,[1]characters!$A:$J,10,FALSE)</f>
        <v>PremiumSS</v>
      </c>
      <c r="J151" s="7">
        <f>VLOOKUP(B151,[1]characters!$A:$I,9,FALSE)</f>
        <v>5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IFERROR(VLOOKUP(B151,input_433103!L:R,7,FALSE),VLOOKUP(tables_433103!C151,input_433103!A:H,8,FALSE))</f>
        <v>272</v>
      </c>
      <c r="P151" s="46">
        <f t="shared" ca="1" si="9"/>
        <v>2.3255813953428706E-5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input_433103!A$2</f>
        <v>433103</v>
      </c>
      <c r="B152" s="6">
        <v>387</v>
      </c>
      <c r="C152" s="7" t="str">
        <f t="shared" si="8"/>
        <v>Premium3</v>
      </c>
      <c r="D152" s="7" t="str">
        <f t="shared" si="10"/>
        <v>Premium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スフィンクス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yellow</v>
      </c>
      <c r="L152" s="7" t="str">
        <f>VLOOKUP(B152,[1]characters!$A:$K,11,FALSE)</f>
        <v>heal</v>
      </c>
      <c r="M152" s="7" t="str">
        <f>VLOOKUP(B152,[1]characters!$A:$M,13,FALSE)</f>
        <v>animal</v>
      </c>
      <c r="N152" s="7" t="str">
        <f>VLOOKUP(B152,[1]characters!$A:$G,7,FALSE)</f>
        <v>女性</v>
      </c>
      <c r="O152" s="45">
        <f ca="1">IFERROR(VLOOKUP(B152,input_433103!L:R,7,FALSE),VLOOKUP(tables_433103!C152,input_433103!A:H,8,FALSE))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input_433103!A$2</f>
        <v>433103</v>
      </c>
      <c r="B153" s="6">
        <v>388</v>
      </c>
      <c r="C153" s="7" t="str">
        <f t="shared" si="8"/>
        <v>Premium4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神円の恋姫 スフィンクス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IFERROR(VLOOKUP(B153,input_433103!L:R,7,FALSE),VLOOKUP(tables_433103!C153,input_433103!A:H,8,FALSE))</f>
        <v>57834.502509999998</v>
      </c>
      <c r="P153" s="46">
        <f t="shared" ca="1" si="9"/>
        <v>4.9448104061090648E-3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input_433103!A$2</f>
        <v>433103</v>
      </c>
      <c r="B154" s="6">
        <v>389</v>
      </c>
      <c r="C154" s="7" t="str">
        <f t="shared" si="8"/>
        <v>Premium5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操神の愛姫 スフィンクス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IFERROR(VLOOKUP(B154,input_433103!L:R,7,FALSE),VLOOKUP(tables_433103!C154,input_433103!A:H,8,FALSE))</f>
        <v>1402.2974899999999</v>
      </c>
      <c r="P154" s="46">
        <f t="shared" ca="1" si="9"/>
        <v>1.1989547623088255E-4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input_433103!A$2</f>
        <v>433103</v>
      </c>
      <c r="B155" s="6">
        <v>390</v>
      </c>
      <c r="C155" s="7" t="str">
        <f t="shared" si="8"/>
        <v>PremiumSS4color</v>
      </c>
      <c r="D155" s="7" t="str">
        <f t="shared" si="10"/>
        <v>PremiumSS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>color</v>
      </c>
      <c r="H155" s="7" t="str">
        <f>VLOOKUP(B155,[1]characters!$A:$C,3,FALSE)</f>
        <v>華環の旅客 親指姫</v>
      </c>
      <c r="I155" s="7" t="str">
        <f>VLOOKUP(B155,[1]characters!$A:$J,10,FALSE)</f>
        <v>PremiumSS</v>
      </c>
      <c r="J155" s="7">
        <f>VLOOKUP(B155,[1]characters!$A:$I,9,FALSE)</f>
        <v>4</v>
      </c>
      <c r="K155" s="7" t="str">
        <f>VLOOKUP(B155,[1]characters!$A:$H,8,FALSE)</f>
        <v>red</v>
      </c>
      <c r="L155" s="7" t="str">
        <f>VLOOKUP(B155,[1]characters!$A:$K,11,FALSE)</f>
        <v>heal</v>
      </c>
      <c r="M155" s="7" t="str">
        <f>VLOOKUP(B155,[1]characters!$A:$M,13,FALSE)</f>
        <v>human</v>
      </c>
      <c r="N155" s="7" t="str">
        <f>VLOOKUP(B155,[1]characters!$A:$G,7,FALSE)</f>
        <v>女性</v>
      </c>
      <c r="O155" s="45">
        <f ca="1">IFERROR(VLOOKUP(B155,input_433103!L:R,7,FALSE),VLOOKUP(tables_433103!C155,input_433103!A:H,8,FALSE))</f>
        <v>23809.71429</v>
      </c>
      <c r="P155" s="46">
        <f t="shared" ca="1" si="9"/>
        <v>2.0357142860754885E-3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input_433103!A$2</f>
        <v>433103</v>
      </c>
      <c r="B156" s="6">
        <v>391</v>
      </c>
      <c r="C156" s="7" t="str">
        <f t="shared" si="8"/>
        <v>PremiumSS5color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燕翼の旅人 親指姫</v>
      </c>
      <c r="I156" s="7" t="str">
        <f>VLOOKUP(B156,[1]characters!$A:$J,10,FALSE)</f>
        <v>PremiumSS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IFERROR(VLOOKUP(B156,input_433103!L:R,7,FALSE),VLOOKUP(tables_433103!C156,input_433103!A:H,8,FALSE))</f>
        <v>1253.1428599999999</v>
      </c>
      <c r="P156" s="46">
        <f t="shared" ca="1" si="9"/>
        <v>1.0714285738686601E-4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input_433103!A$2</f>
        <v>433103</v>
      </c>
      <c r="B157" s="6">
        <v>392</v>
      </c>
      <c r="C157" s="7" t="str">
        <f t="shared" si="8"/>
        <v>Premium3</v>
      </c>
      <c r="D157" s="7" t="str">
        <f t="shared" si="10"/>
        <v>Premium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ピーターパン</v>
      </c>
      <c r="I157" s="7" t="str">
        <f>VLOOKUP(B157,[1]characters!$A:$J,10,FALSE)</f>
        <v>PremiumS</v>
      </c>
      <c r="J157" s="7">
        <f>VLOOKUP(B157,[1]characters!$A:$I,9,FALSE)</f>
        <v>3</v>
      </c>
      <c r="K157" s="7" t="str">
        <f>VLOOKUP(B157,[1]characters!$A:$H,8,FALSE)</f>
        <v>green</v>
      </c>
      <c r="L157" s="7" t="str">
        <f>VLOOKUP(B157,[1]characters!$A:$K,11,FALSE)</f>
        <v>attack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ca="1">IFERROR(VLOOKUP(B157,input_433103!L:R,7,FALSE),VLOOKUP(tables_433103!C157,input_433103!A:H,8,FALSE))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input_433103!A$2</f>
        <v>433103</v>
      </c>
      <c r="B158" s="6">
        <v>393</v>
      </c>
      <c r="C158" s="7" t="str">
        <f t="shared" si="8"/>
        <v>Premium4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影縫い ピーターパン</v>
      </c>
      <c r="I158" s="7" t="str">
        <f>VLOOKUP(B158,[1]characters!$A:$J,10,FALSE)</f>
        <v>PremiumS</v>
      </c>
      <c r="J158" s="7">
        <f>VLOOKUP(B158,[1]characters!$A:$I,9,FALSE)</f>
        <v>4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IFERROR(VLOOKUP(B158,input_433103!L:R,7,FALSE),VLOOKUP(tables_433103!C158,input_433103!A:H,8,FALSE))</f>
        <v>57834.502509999998</v>
      </c>
      <c r="P158" s="46">
        <f t="shared" ca="1" si="9"/>
        <v>4.9448104061090648E-3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input_433103!A$2</f>
        <v>433103</v>
      </c>
      <c r="B159" s="6">
        <v>394</v>
      </c>
      <c r="C159" s="7" t="str">
        <f t="shared" si="8"/>
        <v>Premium5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影求の悪童 ピーターパン</v>
      </c>
      <c r="I159" s="7" t="str">
        <f>VLOOKUP(B159,[1]characters!$A:$J,10,FALSE)</f>
        <v>PremiumS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IFERROR(VLOOKUP(B159,input_433103!L:R,7,FALSE),VLOOKUP(tables_433103!C159,input_433103!A:H,8,FALSE))</f>
        <v>1402.2974899999999</v>
      </c>
      <c r="P159" s="46">
        <f t="shared" ca="1" si="9"/>
        <v>1.1989547623088255E-4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input_433103!A$2</f>
        <v>433103</v>
      </c>
      <c r="B160" s="6">
        <v>395</v>
      </c>
      <c r="C160" s="7" t="str">
        <f t="shared" si="8"/>
        <v>Premium3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乙姫</v>
      </c>
      <c r="I160" s="7" t="str">
        <f>VLOOKUP(B160,[1]characters!$A:$J,10,FALSE)</f>
        <v>PremiumS</v>
      </c>
      <c r="J160" s="7">
        <f>VLOOKUP(B160,[1]characters!$A:$I,9,FALSE)</f>
        <v>3</v>
      </c>
      <c r="K160" s="7" t="str">
        <f>VLOOKUP(B160,[1]characters!$A:$H,8,FALSE)</f>
        <v>blue</v>
      </c>
      <c r="L160" s="7" t="str">
        <f>VLOOKUP(B160,[1]characters!$A:$K,11,FALSE)</f>
        <v>hp</v>
      </c>
      <c r="M160" s="7" t="str">
        <f>VLOOKUP(B160,[1]characters!$A:$M,13,FALSE)</f>
        <v>human</v>
      </c>
      <c r="N160" s="7" t="str">
        <f>VLOOKUP(B160,[1]characters!$A:$G,7,FALSE)</f>
        <v>女性</v>
      </c>
      <c r="O160" s="45">
        <f ca="1">IFERROR(VLOOKUP(B160,input_433103!L:R,7,FALSE),VLOOKUP(tables_433103!C160,input_433103!A:H,8,FALSE))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input_433103!A$2</f>
        <v>433103</v>
      </c>
      <c r="B161" s="6">
        <v>396</v>
      </c>
      <c r="C161" s="7" t="str">
        <f t="shared" si="8"/>
        <v>Premium4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竜宮の水雷 乙姫</v>
      </c>
      <c r="I161" s="7" t="str">
        <f>VLOOKUP(B161,[1]characters!$A:$J,10,FALSE)</f>
        <v>PremiumS</v>
      </c>
      <c r="J161" s="7">
        <f>VLOOKUP(B161,[1]characters!$A:$I,9,FALSE)</f>
        <v>4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IFERROR(VLOOKUP(B161,input_433103!L:R,7,FALSE),VLOOKUP(tables_433103!C161,input_433103!A:H,8,FALSE))</f>
        <v>57834.502509999998</v>
      </c>
      <c r="P161" s="46">
        <f t="shared" ca="1" si="9"/>
        <v>4.9448104061090648E-3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input_433103!A$2</f>
        <v>433103</v>
      </c>
      <c r="B162" s="6">
        <v>397</v>
      </c>
      <c r="C162" s="7" t="str">
        <f t="shared" si="8"/>
        <v>Premium5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禁断の追箱 乙姫</v>
      </c>
      <c r="I162" s="7" t="str">
        <f>VLOOKUP(B162,[1]characters!$A:$J,10,FALSE)</f>
        <v>PremiumS</v>
      </c>
      <c r="J162" s="7">
        <f>VLOOKUP(B162,[1]characters!$A:$I,9,FALSE)</f>
        <v>5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IFERROR(VLOOKUP(B162,input_433103!L:R,7,FALSE),VLOOKUP(tables_433103!C162,input_433103!A:H,8,FALSE))</f>
        <v>1402.2974899999999</v>
      </c>
      <c r="P162" s="46">
        <f t="shared" ca="1" si="9"/>
        <v>1.1989547623088255E-4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input_433103!A$2</f>
        <v>433103</v>
      </c>
      <c r="B163" s="6">
        <v>398</v>
      </c>
      <c r="C163" s="7" t="str">
        <f t="shared" si="8"/>
        <v>PremiumSS4</v>
      </c>
      <c r="D163" s="7" t="str">
        <f t="shared" si="10"/>
        <v>PremiumSS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ヘンゼル＆グレーテル</v>
      </c>
      <c r="I163" s="7" t="str">
        <f>VLOOKUP(B163,[1]characters!$A:$J,10,FALSE)</f>
        <v>PremiumSS</v>
      </c>
      <c r="J163" s="7">
        <f>VLOOKUP(B163,[1]characters!$A:$I,9,FALSE)</f>
        <v>4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IFERROR(VLOOKUP(B163,input_433103!L:R,7,FALSE),VLOOKUP(tables_433103!C163,input_433103!A:H,8,FALSE))</f>
        <v>5168</v>
      </c>
      <c r="P163" s="46">
        <f t="shared" ca="1" si="9"/>
        <v>4.4186046511514543E-4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input_433103!A$2</f>
        <v>433103</v>
      </c>
      <c r="B164" s="6">
        <v>399</v>
      </c>
      <c r="C164" s="7" t="str">
        <f t="shared" si="8"/>
        <v>PremiumSS5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信愛の兄妹 ヘンゼル＆グレーテル</v>
      </c>
      <c r="I164" s="7" t="str">
        <f>VLOOKUP(B164,[1]characters!$A:$J,10,FALSE)</f>
        <v>PremiumSS</v>
      </c>
      <c r="J164" s="7">
        <f>VLOOKUP(B164,[1]characters!$A:$I,9,FALSE)</f>
        <v>5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IFERROR(VLOOKUP(B164,input_433103!L:R,7,FALSE),VLOOKUP(tables_433103!C164,input_433103!A:H,8,FALSE))</f>
        <v>272</v>
      </c>
      <c r="P164" s="46">
        <f t="shared" ca="1" si="9"/>
        <v>2.3255813953428706E-5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input_433103!A$2</f>
        <v>433103</v>
      </c>
      <c r="B165" s="6">
        <v>400</v>
      </c>
      <c r="C165" s="7" t="str">
        <f t="shared" si="8"/>
        <v>Premium3color</v>
      </c>
      <c r="D165" s="7" t="str">
        <f t="shared" si="10"/>
        <v>Premium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>color</v>
      </c>
      <c r="H165" s="7" t="str">
        <f>VLOOKUP(B165,[1]characters!$A:$C,3,FALSE)</f>
        <v>フェンリル</v>
      </c>
      <c r="I165" s="7" t="str">
        <f>VLOOKUP(B165,[1]characters!$A:$J,10,FALSE)</f>
        <v>PremiumS</v>
      </c>
      <c r="J165" s="7">
        <f>VLOOKUP(B165,[1]characters!$A:$I,9,FALSE)</f>
        <v>3</v>
      </c>
      <c r="K165" s="7" t="str">
        <f>VLOOKUP(B165,[1]characters!$A:$H,8,FALSE)</f>
        <v>red</v>
      </c>
      <c r="L165" s="7" t="str">
        <f>VLOOKUP(B165,[1]characters!$A:$K,11,FALSE)</f>
        <v>attack</v>
      </c>
      <c r="M165" s="7" t="str">
        <f>VLOOKUP(B165,[1]characters!$A:$M,13,FALSE)</f>
        <v>animal</v>
      </c>
      <c r="N165" s="7" t="str">
        <f>VLOOKUP(B165,[1]characters!$A:$G,7,FALSE)</f>
        <v>女性</v>
      </c>
      <c r="O165" s="45">
        <f ca="1">IFERROR(VLOOKUP(B165,input_433103!L:R,7,FALSE),VLOOKUP(tables_433103!C165,input_433103!A:H,8,FALSE))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input_433103!A$2</f>
        <v>433103</v>
      </c>
      <c r="B166" s="6">
        <v>401</v>
      </c>
      <c r="C166" s="7" t="str">
        <f t="shared" si="8"/>
        <v>Premium4color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紅銀の孤狼 フェンリル</v>
      </c>
      <c r="I166" s="7" t="str">
        <f>VLOOKUP(B166,[1]characters!$A:$J,10,FALSE)</f>
        <v>PremiumS</v>
      </c>
      <c r="J166" s="7">
        <f>VLOOKUP(B166,[1]characters!$A:$I,9,FALSE)</f>
        <v>4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IFERROR(VLOOKUP(B166,input_433103!L:R,7,FALSE),VLOOKUP(tables_433103!C166,input_433103!A:H,8,FALSE))</f>
        <v>283464.80472000001</v>
      </c>
      <c r="P166" s="46">
        <f t="shared" ca="1" si="9"/>
        <v>2.4236046915122499E-2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input_433103!A$2</f>
        <v>433103</v>
      </c>
      <c r="B167" s="6">
        <v>402</v>
      </c>
      <c r="C167" s="7" t="str">
        <f t="shared" si="8"/>
        <v>Premium5color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天災の神狼 フェンリル</v>
      </c>
      <c r="I167" s="7" t="str">
        <f>VLOOKUP(B167,[1]characters!$A:$J,10,FALSE)</f>
        <v>PremiumS</v>
      </c>
      <c r="J167" s="7">
        <f>VLOOKUP(B167,[1]characters!$A:$I,9,FALSE)</f>
        <v>5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IFERROR(VLOOKUP(B167,input_433103!L:R,7,FALSE),VLOOKUP(tables_433103!C167,input_433103!A:H,8,FALSE))</f>
        <v>5172.1344099999997</v>
      </c>
      <c r="P167" s="46">
        <f t="shared" ca="1" si="9"/>
        <v>4.4221395434223068E-4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input_433103!A$2</f>
        <v>433103</v>
      </c>
      <c r="B168" s="6">
        <v>403</v>
      </c>
      <c r="C168" s="7" t="str">
        <f t="shared" si="8"/>
        <v>PremiumSS4</v>
      </c>
      <c r="D168" s="7" t="str">
        <f t="shared" si="10"/>
        <v>PremiumSS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静撃の翠眼 八咫烏</v>
      </c>
      <c r="I168" s="7" t="str">
        <f>VLOOKUP(B168,[1]characters!$A:$J,10,FALSE)</f>
        <v>PremiumSS</v>
      </c>
      <c r="J168" s="7">
        <f>VLOOKUP(B168,[1]characters!$A:$I,9,FALSE)</f>
        <v>4</v>
      </c>
      <c r="K168" s="7" t="str">
        <f>VLOOKUP(B168,[1]characters!$A:$H,8,FALSE)</f>
        <v>green</v>
      </c>
      <c r="L168" s="7" t="str">
        <f>VLOOKUP(B168,[1]characters!$A:$K,11,FALSE)</f>
        <v>balance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IFERROR(VLOOKUP(B168,input_433103!L:R,7,FALSE),VLOOKUP(tables_433103!C168,input_433103!A:H,8,FALSE))</f>
        <v>5168</v>
      </c>
      <c r="P168" s="46">
        <f t="shared" ca="1" si="9"/>
        <v>4.4186046511514543E-4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input_433103!A$2</f>
        <v>433103</v>
      </c>
      <c r="B169" s="6">
        <v>404</v>
      </c>
      <c r="C169" s="7" t="str">
        <f t="shared" si="8"/>
        <v>PremiumSS5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空襲の神眼 八咫烏</v>
      </c>
      <c r="I169" s="7" t="str">
        <f>VLOOKUP(B169,[1]characters!$A:$J,10,FALSE)</f>
        <v>PremiumSS</v>
      </c>
      <c r="J169" s="7">
        <f>VLOOKUP(B169,[1]characters!$A:$I,9,FALSE)</f>
        <v>5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IFERROR(VLOOKUP(B169,input_433103!L:R,7,FALSE),VLOOKUP(tables_433103!C169,input_433103!A:H,8,FALSE))</f>
        <v>272</v>
      </c>
      <c r="P169" s="46">
        <f t="shared" ca="1" si="9"/>
        <v>2.3255813953428706E-5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input_433103!A$2</f>
        <v>433103</v>
      </c>
      <c r="B170" s="6">
        <v>405</v>
      </c>
      <c r="C170" s="7" t="str">
        <f t="shared" si="8"/>
        <v>Premium3</v>
      </c>
      <c r="D170" s="7" t="str">
        <f t="shared" si="10"/>
        <v>Premium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エキドナ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blue</v>
      </c>
      <c r="L170" s="7" t="str">
        <f>VLOOKUP(B170,[1]characters!$A:$K,11,FALSE)</f>
        <v>technical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IFERROR(VLOOKUP(B170,input_433103!L:R,7,FALSE),VLOOKUP(tables_433103!C170,input_433103!A:H,8,FALSE))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input_433103!A$2</f>
        <v>433103</v>
      </c>
      <c r="B171" s="6">
        <v>406</v>
      </c>
      <c r="C171" s="7" t="str">
        <f t="shared" si="8"/>
        <v>Premium4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美笑の蒼蛇 エキドナ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IFERROR(VLOOKUP(B171,input_433103!L:R,7,FALSE),VLOOKUP(tables_433103!C171,input_433103!A:H,8,FALSE))</f>
        <v>57834.502509999998</v>
      </c>
      <c r="P171" s="46">
        <f t="shared" ca="1" si="9"/>
        <v>4.9448104061090648E-3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input_433103!A$2</f>
        <v>433103</v>
      </c>
      <c r="B172" s="6">
        <v>407</v>
      </c>
      <c r="C172" s="7" t="str">
        <f t="shared" si="8"/>
        <v>Premium5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蠱惑の飛刀 エキドナ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IFERROR(VLOOKUP(B172,input_433103!L:R,7,FALSE),VLOOKUP(tables_433103!C172,input_433103!A:H,8,FALSE))</f>
        <v>1402.2974899999999</v>
      </c>
      <c r="P172" s="46">
        <f t="shared" ca="1" si="9"/>
        <v>1.1989547623088255E-4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input_433103!A$2</f>
        <v>433103</v>
      </c>
      <c r="B173" s="6">
        <v>408</v>
      </c>
      <c r="C173" s="7" t="str">
        <f t="shared" si="8"/>
        <v>PremiumSS4</v>
      </c>
      <c r="D173" s="7" t="str">
        <f t="shared" si="10"/>
        <v>PremiumSS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皇魔 アスタロト</v>
      </c>
      <c r="I173" s="7" t="str">
        <f>VLOOKUP(B173,[1]characters!$A:$J,10,FALSE)</f>
        <v>PremiumSS</v>
      </c>
      <c r="J173" s="7">
        <f>VLOOKUP(B173,[1]characters!$A:$I,9,FALSE)</f>
        <v>4</v>
      </c>
      <c r="K173" s="7" t="str">
        <f>VLOOKUP(B173,[1]characters!$A:$H,8,FALSE)</f>
        <v>yellow</v>
      </c>
      <c r="L173" s="7" t="str">
        <f>VLOOKUP(B173,[1]characters!$A:$K,11,FALSE)</f>
        <v>attack</v>
      </c>
      <c r="M173" s="7" t="str">
        <f>VLOOKUP(B173,[1]characters!$A:$M,13,FALSE)</f>
        <v>god</v>
      </c>
      <c r="N173" s="7" t="str">
        <f>VLOOKUP(B173,[1]characters!$A:$G,7,FALSE)</f>
        <v>男性</v>
      </c>
      <c r="O173" s="45">
        <f ca="1">IFERROR(VLOOKUP(B173,input_433103!L:R,7,FALSE),VLOOKUP(tables_433103!C173,input_433103!A:H,8,FALSE))</f>
        <v>5168</v>
      </c>
      <c r="P173" s="46">
        <f t="shared" ca="1" si="9"/>
        <v>4.4186046511514543E-4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input_433103!A$2</f>
        <v>433103</v>
      </c>
      <c r="B174" s="6">
        <v>409</v>
      </c>
      <c r="C174" s="7" t="str">
        <f t="shared" si="8"/>
        <v>PremiumSS5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天眼の皇貴魔 アスタロト</v>
      </c>
      <c r="I174" s="7" t="str">
        <f>VLOOKUP(B174,[1]characters!$A:$J,10,FALSE)</f>
        <v>PremiumSS</v>
      </c>
      <c r="J174" s="7">
        <f>VLOOKUP(B174,[1]characters!$A:$I,9,FALSE)</f>
        <v>5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IFERROR(VLOOKUP(B174,input_433103!L:R,7,FALSE),VLOOKUP(tables_433103!C174,input_433103!A:H,8,FALSE))</f>
        <v>272</v>
      </c>
      <c r="P174" s="46">
        <f t="shared" ca="1" si="9"/>
        <v>2.3255813953428706E-5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input_433103!A$2</f>
        <v>433103</v>
      </c>
      <c r="B175" s="6">
        <v>434</v>
      </c>
      <c r="C175" s="7" t="str">
        <f t="shared" si="8"/>
        <v>PremiumSS4color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>color</v>
      </c>
      <c r="H175" s="7" t="str">
        <f>VLOOKUP(B175,[1]characters!$A:$C,3,FALSE)</f>
        <v>D.R.T.H.</v>
      </c>
      <c r="I175" s="7" t="str">
        <f>VLOOKUP(B175,[1]characters!$A:$J,10,FALSE)</f>
        <v>PremiumSS</v>
      </c>
      <c r="J175" s="7">
        <f>VLOOKUP(B175,[1]characters!$A:$I,9,FALSE)</f>
        <v>4</v>
      </c>
      <c r="K175" s="7" t="str">
        <f>VLOOKUP(B175,[1]characters!$A:$H,8,FALSE)</f>
        <v>red</v>
      </c>
      <c r="L175" s="7" t="str">
        <f>VLOOKUP(B175,[1]characters!$A:$K,11,FALSE)</f>
        <v>balance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IFERROR(VLOOKUP(B175,input_433103!L:R,7,FALSE),VLOOKUP(tables_433103!C175,input_433103!A:H,8,FALSE))</f>
        <v>23809.71429</v>
      </c>
      <c r="P175" s="46">
        <f t="shared" ca="1" si="9"/>
        <v>2.0357142860754885E-3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input_433103!A$2</f>
        <v>433103</v>
      </c>
      <c r="B176" s="6">
        <v>435</v>
      </c>
      <c r="C176" s="7" t="str">
        <f t="shared" si="8"/>
        <v>PremiumSS5color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曝弾の密偵 D.R.T.H.</v>
      </c>
      <c r="I176" s="7" t="str">
        <f>VLOOKUP(B176,[1]characters!$A:$J,10,FALSE)</f>
        <v>PremiumSS</v>
      </c>
      <c r="J176" s="7">
        <f>VLOOKUP(B176,[1]characters!$A:$I,9,FALSE)</f>
        <v>5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IFERROR(VLOOKUP(B176,input_433103!L:R,7,FALSE),VLOOKUP(tables_433103!C176,input_433103!A:H,8,FALSE))</f>
        <v>1253.1428599999999</v>
      </c>
      <c r="P176" s="46">
        <f t="shared" ca="1" si="9"/>
        <v>1.0714285738686601E-4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input_433103!A$2</f>
        <v>433103</v>
      </c>
      <c r="B177" s="6">
        <v>436</v>
      </c>
      <c r="C177" s="7" t="str">
        <f t="shared" si="8"/>
        <v>Premium3</v>
      </c>
      <c r="D177" s="7" t="str">
        <f t="shared" si="10"/>
        <v>Premium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カカシ</v>
      </c>
      <c r="I177" s="7" t="str">
        <f>VLOOKUP(B177,[1]characters!$A:$J,10,FALSE)</f>
        <v>PremiumS</v>
      </c>
      <c r="J177" s="7">
        <f>VLOOKUP(B177,[1]characters!$A:$I,9,FALSE)</f>
        <v>3</v>
      </c>
      <c r="K177" s="7" t="str">
        <f>VLOOKUP(B177,[1]characters!$A:$H,8,FALSE)</f>
        <v>green</v>
      </c>
      <c r="L177" s="7" t="str">
        <f>VLOOKUP(B177,[1]characters!$A:$K,11,FALSE)</f>
        <v>technical</v>
      </c>
      <c r="M177" s="7" t="str">
        <f>VLOOKUP(B177,[1]characters!$A:$M,13,FALSE)</f>
        <v>human</v>
      </c>
      <c r="N177" s="7" t="str">
        <f>VLOOKUP(B177,[1]characters!$A:$G,7,FALSE)</f>
        <v>男性</v>
      </c>
      <c r="O177" s="45">
        <f ca="1">IFERROR(VLOOKUP(B177,input_433103!L:R,7,FALSE),VLOOKUP(tables_433103!C177,input_433103!A:H,8,FALSE))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input_433103!A$2</f>
        <v>433103</v>
      </c>
      <c r="B178" s="6">
        <v>437</v>
      </c>
      <c r="C178" s="7" t="str">
        <f t="shared" si="8"/>
        <v>Premium4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忘却者 カカシ</v>
      </c>
      <c r="I178" s="7" t="str">
        <f>VLOOKUP(B178,[1]characters!$A:$J,10,FALSE)</f>
        <v>PremiumS</v>
      </c>
      <c r="J178" s="7">
        <f>VLOOKUP(B178,[1]characters!$A:$I,9,FALSE)</f>
        <v>4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IFERROR(VLOOKUP(B178,input_433103!L:R,7,FALSE),VLOOKUP(tables_433103!C178,input_433103!A:H,8,FALSE))</f>
        <v>57834.502509999998</v>
      </c>
      <c r="P178" s="46">
        <f t="shared" ca="1" si="9"/>
        <v>4.9448104061090648E-3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input_433103!A$2</f>
        <v>433103</v>
      </c>
      <c r="B179" s="6">
        <v>438</v>
      </c>
      <c r="C179" s="7" t="str">
        <f t="shared" si="8"/>
        <v>Premium5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記憶の奪還 カカシ</v>
      </c>
      <c r="I179" s="7" t="str">
        <f>VLOOKUP(B179,[1]characters!$A:$J,10,FALSE)</f>
        <v>PremiumS</v>
      </c>
      <c r="J179" s="7">
        <f>VLOOKUP(B179,[1]characters!$A:$I,9,FALSE)</f>
        <v>5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IFERROR(VLOOKUP(B179,input_433103!L:R,7,FALSE),VLOOKUP(tables_433103!C179,input_433103!A:H,8,FALSE))</f>
        <v>1402.2974899999999</v>
      </c>
      <c r="P179" s="46">
        <f t="shared" ca="1" si="9"/>
        <v>1.1989547623088255E-4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input_433103!A$2</f>
        <v>433103</v>
      </c>
      <c r="B180" s="6">
        <v>439</v>
      </c>
      <c r="C180" s="7" t="str">
        <f t="shared" si="8"/>
        <v>Premium3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ブリキロガー</v>
      </c>
      <c r="I180" s="7" t="str">
        <f>VLOOKUP(B180,[1]characters!$A:$J,10,FALSE)</f>
        <v>PremiumS</v>
      </c>
      <c r="J180" s="7">
        <f>VLOOKUP(B180,[1]characters!$A:$I,9,FALSE)</f>
        <v>3</v>
      </c>
      <c r="K180" s="7" t="str">
        <f>VLOOKUP(B180,[1]characters!$A:$H,8,FALSE)</f>
        <v>blue</v>
      </c>
      <c r="L180" s="7" t="str">
        <f>VLOOKUP(B180,[1]characters!$A:$K,11,FALSE)</f>
        <v>attack</v>
      </c>
      <c r="M180" s="7" t="str">
        <f>VLOOKUP(B180,[1]characters!$A:$M,13,FALSE)</f>
        <v>machine</v>
      </c>
      <c r="N180" s="7" t="str">
        <f>VLOOKUP(B180,[1]characters!$A:$G,7,FALSE)</f>
        <v>不明</v>
      </c>
      <c r="O180" s="45">
        <f ca="1">IFERROR(VLOOKUP(B180,input_433103!L:R,7,FALSE),VLOOKUP(tables_433103!C180,input_433103!A:H,8,FALSE))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input_433103!A$2</f>
        <v>433103</v>
      </c>
      <c r="B181" s="6">
        <v>440</v>
      </c>
      <c r="C181" s="7" t="str">
        <f t="shared" si="8"/>
        <v>Premium4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改良型 ブリキロガー</v>
      </c>
      <c r="I181" s="7" t="str">
        <f>VLOOKUP(B181,[1]characters!$A:$J,10,FALSE)</f>
        <v>PremiumS</v>
      </c>
      <c r="J181" s="7">
        <f>VLOOKUP(B181,[1]characters!$A:$I,9,FALSE)</f>
        <v>4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IFERROR(VLOOKUP(B181,input_433103!L:R,7,FALSE),VLOOKUP(tables_433103!C181,input_433103!A:H,8,FALSE))</f>
        <v>57834.502509999998</v>
      </c>
      <c r="P181" s="46">
        <f t="shared" ca="1" si="9"/>
        <v>4.9448104061090648E-3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input_433103!A$2</f>
        <v>433103</v>
      </c>
      <c r="B182" s="6">
        <v>441</v>
      </c>
      <c r="C182" s="7" t="str">
        <f t="shared" si="8"/>
        <v>Premium5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求心の錻装 ブリキロガー</v>
      </c>
      <c r="I182" s="7" t="str">
        <f>VLOOKUP(B182,[1]characters!$A:$J,10,FALSE)</f>
        <v>PremiumS</v>
      </c>
      <c r="J182" s="7">
        <f>VLOOKUP(B182,[1]characters!$A:$I,9,FALSE)</f>
        <v>5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IFERROR(VLOOKUP(B182,input_433103!L:R,7,FALSE),VLOOKUP(tables_433103!C182,input_433103!A:H,8,FALSE))</f>
        <v>1402.2974899999999</v>
      </c>
      <c r="P182" s="46">
        <f t="shared" ca="1" si="9"/>
        <v>1.1989547623088255E-4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input_433103!A$2</f>
        <v>433103</v>
      </c>
      <c r="B183" s="6">
        <v>442</v>
      </c>
      <c r="C183" s="7" t="str">
        <f t="shared" si="8"/>
        <v>PremiumSS4</v>
      </c>
      <c r="D183" s="7" t="str">
        <f t="shared" si="10"/>
        <v>PremiumSS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ブレイブリー・ライオン</v>
      </c>
      <c r="I183" s="7" t="str">
        <f>VLOOKUP(B183,[1]characters!$A:$J,10,FALSE)</f>
        <v>PremiumSS</v>
      </c>
      <c r="J183" s="7">
        <f>VLOOKUP(B183,[1]characters!$A:$I,9,FALSE)</f>
        <v>4</v>
      </c>
      <c r="K183" s="7" t="str">
        <f>VLOOKUP(B183,[1]characters!$A:$H,8,FALSE)</f>
        <v>yellow</v>
      </c>
      <c r="L183" s="7" t="str">
        <f>VLOOKUP(B183,[1]characters!$A:$K,11,FALSE)</f>
        <v>hp</v>
      </c>
      <c r="M183" s="7" t="str">
        <f>VLOOKUP(B183,[1]characters!$A:$M,13,FALSE)</f>
        <v>animal</v>
      </c>
      <c r="N183" s="7" t="str">
        <f>VLOOKUP(B183,[1]characters!$A:$G,7,FALSE)</f>
        <v>不明</v>
      </c>
      <c r="O183" s="45">
        <f ca="1">IFERROR(VLOOKUP(B183,input_433103!L:R,7,FALSE),VLOOKUP(tables_433103!C183,input_433103!A:H,8,FALSE))</f>
        <v>5168</v>
      </c>
      <c r="P183" s="46">
        <f t="shared" ca="1" si="9"/>
        <v>4.4186046511514543E-4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input_433103!A$2</f>
        <v>433103</v>
      </c>
      <c r="B184" s="6">
        <v>443</v>
      </c>
      <c r="C184" s="7" t="str">
        <f t="shared" si="8"/>
        <v>PremiumSS5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勇機結集 ブレイブリー・ライオン</v>
      </c>
      <c r="I184" s="7" t="str">
        <f>VLOOKUP(B184,[1]characters!$A:$J,10,FALSE)</f>
        <v>PremiumSS</v>
      </c>
      <c r="J184" s="7">
        <f>VLOOKUP(B184,[1]characters!$A:$I,9,FALSE)</f>
        <v>5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IFERROR(VLOOKUP(B184,input_433103!L:R,7,FALSE),VLOOKUP(tables_433103!C184,input_433103!A:H,8,FALSE))</f>
        <v>272</v>
      </c>
      <c r="P184" s="46">
        <f t="shared" ca="1" si="9"/>
        <v>2.3255813953428706E-5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input_433103!A$2</f>
        <v>433103</v>
      </c>
      <c r="B185" s="8">
        <v>462</v>
      </c>
      <c r="C185" s="7" t="str">
        <f t="shared" si="8"/>
        <v>Premium3color</v>
      </c>
      <c r="D185" s="7" t="str">
        <f t="shared" si="10"/>
        <v>Premium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>color</v>
      </c>
      <c r="H185" s="7" t="str">
        <f>VLOOKUP(B185,[1]characters!$A:$C,3,FALSE)</f>
        <v>ガウェイン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red</v>
      </c>
      <c r="L185" s="7" t="str">
        <f>VLOOKUP(B185,[1]characters!$A:$K,11,FALSE)</f>
        <v>hp</v>
      </c>
      <c r="M185" s="7" t="str">
        <f>VLOOKUP(B185,[1]characters!$A:$M,13,FALSE)</f>
        <v>human</v>
      </c>
      <c r="N185" s="7" t="str">
        <f>VLOOKUP(B185,[1]characters!$A:$G,7,FALSE)</f>
        <v>男性</v>
      </c>
      <c r="O185" s="45">
        <f ca="1">IFERROR(VLOOKUP(B185,input_433103!L:R,7,FALSE),VLOOKUP(tables_433103!C185,input_433103!A:H,8,FALSE))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input_433103!A$2</f>
        <v>433103</v>
      </c>
      <c r="B186" s="8">
        <v>463</v>
      </c>
      <c r="C186" s="7" t="str">
        <f t="shared" si="8"/>
        <v>Premium4color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燻銀 ガウェイン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IFERROR(VLOOKUP(B186,input_433103!L:R,7,FALSE),VLOOKUP(tables_433103!C186,input_433103!A:H,8,FALSE))</f>
        <v>283464.80472000001</v>
      </c>
      <c r="P186" s="46">
        <f t="shared" ca="1" si="9"/>
        <v>2.4236046915122499E-2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input_433103!A$2</f>
        <v>433103</v>
      </c>
      <c r="B187" s="8">
        <v>464</v>
      </c>
      <c r="C187" s="7" t="str">
        <f t="shared" si="8"/>
        <v>Premium5color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円熟の弾導 ガウェイン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IFERROR(VLOOKUP(B187,input_433103!L:R,7,FALSE),VLOOKUP(tables_433103!C187,input_433103!A:H,8,FALSE))</f>
        <v>5172.1344099999997</v>
      </c>
      <c r="P187" s="46">
        <f t="shared" ca="1" si="9"/>
        <v>4.4221395434223068E-4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input_433103!A$2</f>
        <v>433103</v>
      </c>
      <c r="B188" s="8">
        <v>465</v>
      </c>
      <c r="C188" s="7" t="str">
        <f t="shared" si="8"/>
        <v>PremiumSS4</v>
      </c>
      <c r="D188" s="7" t="str">
        <f t="shared" si="10"/>
        <v>PremiumSS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真撃 ランスロット</v>
      </c>
      <c r="I188" s="7" t="str">
        <f>VLOOKUP(B188,[1]characters!$A:$J,10,FALSE)</f>
        <v>PremiumSS</v>
      </c>
      <c r="J188" s="7">
        <f>VLOOKUP(B188,[1]characters!$A:$I,9,FALSE)</f>
        <v>4</v>
      </c>
      <c r="K188" s="7" t="str">
        <f>VLOOKUP(B188,[1]characters!$A:$H,8,FALSE)</f>
        <v>green</v>
      </c>
      <c r="L188" s="7" t="str">
        <f>VLOOKUP(B188,[1]characters!$A:$K,11,FALSE)</f>
        <v>balance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IFERROR(VLOOKUP(B188,input_433103!L:R,7,FALSE),VLOOKUP(tables_433103!C188,input_433103!A:H,8,FALSE))</f>
        <v>5168</v>
      </c>
      <c r="P188" s="46">
        <f t="shared" ca="1" si="9"/>
        <v>4.4186046511514543E-4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input_433103!A$2</f>
        <v>433103</v>
      </c>
      <c r="B189" s="6">
        <v>466</v>
      </c>
      <c r="C189" s="7" t="str">
        <f t="shared" si="8"/>
        <v>PremiumSS5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真断の勇覇 ランスロット</v>
      </c>
      <c r="I189" s="7" t="str">
        <f>VLOOKUP(B189,[1]characters!$A:$J,10,FALSE)</f>
        <v>PremiumSS</v>
      </c>
      <c r="J189" s="7">
        <f>VLOOKUP(B189,[1]characters!$A:$I,9,FALSE)</f>
        <v>5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IFERROR(VLOOKUP(B189,input_433103!L:R,7,FALSE),VLOOKUP(tables_433103!C189,input_433103!A:H,8,FALSE))</f>
        <v>272</v>
      </c>
      <c r="P189" s="46">
        <f t="shared" ca="1" si="9"/>
        <v>2.3255813953428706E-5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input_433103!A$2</f>
        <v>433103</v>
      </c>
      <c r="B190" s="6">
        <v>467</v>
      </c>
      <c r="C190" s="7" t="str">
        <f t="shared" si="8"/>
        <v>PremiumSS4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報復 モルドレッド</v>
      </c>
      <c r="I190" s="7" t="str">
        <f>VLOOKUP(B190,[1]characters!$A:$J,10,FALSE)</f>
        <v>PremiumSS</v>
      </c>
      <c r="J190" s="7">
        <f>VLOOKUP(B190,[1]characters!$A:$I,9,FALSE)</f>
        <v>4</v>
      </c>
      <c r="K190" s="7" t="str">
        <f>VLOOKUP(B190,[1]characters!$A:$H,8,FALSE)</f>
        <v>blue</v>
      </c>
      <c r="L190" s="7" t="str">
        <f>VLOOKUP(B190,[1]characters!$A:$K,11,FALSE)</f>
        <v>technical</v>
      </c>
      <c r="M190" s="7" t="str">
        <f>VLOOKUP(B190,[1]characters!$A:$M,13,FALSE)</f>
        <v>human</v>
      </c>
      <c r="N190" s="7" t="str">
        <f>VLOOKUP(B190,[1]characters!$A:$G,7,FALSE)</f>
        <v>女性</v>
      </c>
      <c r="O190" s="45">
        <f ca="1">IFERROR(VLOOKUP(B190,input_433103!L:R,7,FALSE),VLOOKUP(tables_433103!C190,input_433103!A:H,8,FALSE))</f>
        <v>5168</v>
      </c>
      <c r="P190" s="46">
        <f t="shared" ca="1" si="9"/>
        <v>4.4186046511514543E-4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input_433103!A$2</f>
        <v>433103</v>
      </c>
      <c r="B191" s="6">
        <v>468</v>
      </c>
      <c r="C191" s="7" t="str">
        <f t="shared" si="8"/>
        <v>PremiumSS5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憎愛の尖鋒 モルドレッド</v>
      </c>
      <c r="I191" s="7" t="str">
        <f>VLOOKUP(B191,[1]characters!$A:$J,10,FALSE)</f>
        <v>PremiumSS</v>
      </c>
      <c r="J191" s="7">
        <f>VLOOKUP(B191,[1]characters!$A:$I,9,FALSE)</f>
        <v>5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IFERROR(VLOOKUP(B191,input_433103!L:R,7,FALSE),VLOOKUP(tables_433103!C191,input_433103!A:H,8,FALSE))</f>
        <v>272</v>
      </c>
      <c r="P191" s="46">
        <f t="shared" ca="1" si="9"/>
        <v>2.3255813953428706E-5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input_433103!A$2</f>
        <v>433103</v>
      </c>
      <c r="B192" s="6">
        <v>469</v>
      </c>
      <c r="C192" s="7" t="str">
        <f t="shared" si="8"/>
        <v>Premium3</v>
      </c>
      <c r="D192" s="7" t="str">
        <f t="shared" si="10"/>
        <v>Premium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トリスタン</v>
      </c>
      <c r="I192" s="7" t="str">
        <f>VLOOKUP(B192,[1]characters!$A:$J,10,FALSE)</f>
        <v>PremiumS</v>
      </c>
      <c r="J192" s="7">
        <f>VLOOKUP(B192,[1]characters!$A:$I,9,FALSE)</f>
        <v>3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IFERROR(VLOOKUP(B192,input_433103!L:R,7,FALSE),VLOOKUP(tables_433103!C192,input_433103!A:H,8,FALSE))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input_433103!A$2</f>
        <v>433103</v>
      </c>
      <c r="B193" s="6">
        <v>470</v>
      </c>
      <c r="C193" s="7" t="str">
        <f t="shared" si="8"/>
        <v>Premium4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純心 トリスタン</v>
      </c>
      <c r="I193" s="7" t="str">
        <f>VLOOKUP(B193,[1]characters!$A:$J,10,FALSE)</f>
        <v>PremiumS</v>
      </c>
      <c r="J193" s="7">
        <f>VLOOKUP(B193,[1]characters!$A:$I,9,FALSE)</f>
        <v>4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IFERROR(VLOOKUP(B193,input_433103!L:R,7,FALSE),VLOOKUP(tables_433103!C193,input_433103!A:H,8,FALSE))</f>
        <v>57834.502509999998</v>
      </c>
      <c r="P193" s="46">
        <f t="shared" ca="1" si="9"/>
        <v>4.9448104061090648E-3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input_433103!A$2</f>
        <v>433103</v>
      </c>
      <c r="B194" s="6">
        <v>471</v>
      </c>
      <c r="C194" s="7" t="str">
        <f t="shared" ref="C194:C257" si="12">D194&amp;J194&amp;E194&amp;F194&amp;G194</f>
        <v>Premium5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不可避の爆激 トリスタン</v>
      </c>
      <c r="I194" s="7" t="str">
        <f>VLOOKUP(B194,[1]characters!$A:$J,10,FALSE)</f>
        <v>PremiumS</v>
      </c>
      <c r="J194" s="7">
        <f>VLOOKUP(B194,[1]characters!$A:$I,9,FALSE)</f>
        <v>5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IFERROR(VLOOKUP(B194,input_433103!L:R,7,FALSE),VLOOKUP(tables_433103!C194,input_433103!A:H,8,FALSE))</f>
        <v>1402.2974899999999</v>
      </c>
      <c r="P194" s="46">
        <f t="shared" ref="P194:P257" ca="1" si="13">O194/SUM(O:O)</f>
        <v>1.1989547623088255E-4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input_433103!A$2</f>
        <v>433103</v>
      </c>
      <c r="B195" s="6">
        <v>474</v>
      </c>
      <c r="C195" s="7" t="str">
        <f t="shared" si="12"/>
        <v>PremiumSS4color</v>
      </c>
      <c r="D195" s="7" t="str">
        <f t="shared" ref="D195:D258" si="14">IF(OR(I195="PremiumSS",I195="PremiumSSw"),"PremiumSS",IF(I195="PremiumSSS",I195,IF(I195="PremiumW",I195,"Premium")))</f>
        <v>PremiumSS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>color</v>
      </c>
      <c r="H195" s="7" t="str">
        <f>VLOOKUP(B195,[1]characters!$A:$C,3,FALSE)</f>
        <v>キング・ドライグ</v>
      </c>
      <c r="I195" s="7" t="str">
        <f>VLOOKUP(B195,[1]characters!$A:$J,10,FALSE)</f>
        <v>PremiumSS</v>
      </c>
      <c r="J195" s="7">
        <f>VLOOKUP(B195,[1]characters!$A:$I,9,FALSE)</f>
        <v>4</v>
      </c>
      <c r="K195" s="7" t="str">
        <f>VLOOKUP(B195,[1]characters!$A:$H,8,FALSE)</f>
        <v>red</v>
      </c>
      <c r="L195" s="7" t="str">
        <f>VLOOKUP(B195,[1]characters!$A:$K,11,FALSE)</f>
        <v>attack</v>
      </c>
      <c r="M195" s="7" t="str">
        <f>VLOOKUP(B195,[1]characters!$A:$M,13,FALSE)</f>
        <v>dragon</v>
      </c>
      <c r="N195" s="7" t="str">
        <f>VLOOKUP(B195,[1]characters!$A:$G,7,FALSE)</f>
        <v>不明</v>
      </c>
      <c r="O195" s="45">
        <f ca="1">IFERROR(VLOOKUP(B195,input_433103!L:R,7,FALSE),VLOOKUP(tables_433103!C195,input_433103!A:H,8,FALSE))</f>
        <v>23809.71429</v>
      </c>
      <c r="P195" s="46">
        <f t="shared" ca="1" si="13"/>
        <v>2.0357142860754885E-3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input_433103!A$2</f>
        <v>433103</v>
      </c>
      <c r="B196" s="6">
        <v>475</v>
      </c>
      <c r="C196" s="7" t="str">
        <f t="shared" si="12"/>
        <v>PremiumSS5color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緋王 キング・ドライグ</v>
      </c>
      <c r="I196" s="7" t="str">
        <f>VLOOKUP(B196,[1]characters!$A:$J,10,FALSE)</f>
        <v>PremiumSS</v>
      </c>
      <c r="J196" s="7">
        <f>VLOOKUP(B196,[1]characters!$A:$I,9,FALSE)</f>
        <v>5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IFERROR(VLOOKUP(B196,input_433103!L:R,7,FALSE),VLOOKUP(tables_433103!C196,input_433103!A:H,8,FALSE))</f>
        <v>1253.1428599999999</v>
      </c>
      <c r="P196" s="46">
        <f t="shared" ca="1" si="13"/>
        <v>1.0714285738686601E-4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input_433103!A$2</f>
        <v>433103</v>
      </c>
      <c r="B197" s="6">
        <v>476</v>
      </c>
      <c r="C197" s="7" t="str">
        <f t="shared" si="12"/>
        <v>Premium3</v>
      </c>
      <c r="D197" s="7" t="str">
        <f t="shared" si="14"/>
        <v>Premium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ファータ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green</v>
      </c>
      <c r="L197" s="7" t="str">
        <f>VLOOKUP(B197,[1]characters!$A:$K,11,FALSE)</f>
        <v>heal</v>
      </c>
      <c r="M197" s="7" t="str">
        <f>VLOOKUP(B197,[1]characters!$A:$M,13,FALSE)</f>
        <v>unknown</v>
      </c>
      <c r="N197" s="7" t="str">
        <f>VLOOKUP(B197,[1]characters!$A:$G,7,FALSE)</f>
        <v>女性</v>
      </c>
      <c r="O197" s="45">
        <f ca="1">IFERROR(VLOOKUP(B197,input_433103!L:R,7,FALSE),VLOOKUP(tables_433103!C197,input_433103!A:H,8,FALSE))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input_433103!A$2</f>
        <v>433103</v>
      </c>
      <c r="B198" s="6">
        <v>477</v>
      </c>
      <c r="C198" s="7" t="str">
        <f t="shared" si="12"/>
        <v>Premium4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愛羽妖精 ファータ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IFERROR(VLOOKUP(B198,input_433103!L:R,7,FALSE),VLOOKUP(tables_433103!C198,input_433103!A:H,8,FALSE))</f>
        <v>57834.502509999998</v>
      </c>
      <c r="P198" s="46">
        <f t="shared" ca="1" si="13"/>
        <v>4.9448104061090648E-3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input_433103!A$2</f>
        <v>433103</v>
      </c>
      <c r="B199" s="6">
        <v>478</v>
      </c>
      <c r="C199" s="7" t="str">
        <f t="shared" si="12"/>
        <v>Premium5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時計仕掛けの愛羽妖精 ファータ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IFERROR(VLOOKUP(B199,input_433103!L:R,7,FALSE),VLOOKUP(tables_433103!C199,input_433103!A:H,8,FALSE))</f>
        <v>1402.2974899999999</v>
      </c>
      <c r="P199" s="46">
        <f t="shared" ca="1" si="13"/>
        <v>1.1989547623088255E-4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input_433103!A$2</f>
        <v>433103</v>
      </c>
      <c r="B200" s="6">
        <v>479</v>
      </c>
      <c r="C200" s="7" t="str">
        <f t="shared" si="12"/>
        <v>PremiumSS4</v>
      </c>
      <c r="D200" s="7" t="str">
        <f t="shared" si="14"/>
        <v>PremiumSS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フール</v>
      </c>
      <c r="I200" s="7" t="str">
        <f>VLOOKUP(B200,[1]characters!$A:$J,10,FALSE)</f>
        <v>PremiumSS</v>
      </c>
      <c r="J200" s="7">
        <f>VLOOKUP(B200,[1]characters!$A:$I,9,FALSE)</f>
        <v>4</v>
      </c>
      <c r="K200" s="7" t="str">
        <f>VLOOKUP(B200,[1]characters!$A:$H,8,FALSE)</f>
        <v>blue</v>
      </c>
      <c r="L200" s="7" t="str">
        <f>VLOOKUP(B200,[1]characters!$A:$K,11,FALSE)</f>
        <v>technical</v>
      </c>
      <c r="M200" s="7" t="str">
        <f>VLOOKUP(B200,[1]characters!$A:$M,13,FALSE)</f>
        <v>god</v>
      </c>
      <c r="N200" s="7" t="str">
        <f>VLOOKUP(B200,[1]characters!$A:$G,7,FALSE)</f>
        <v>男性</v>
      </c>
      <c r="O200" s="45">
        <f ca="1">IFERROR(VLOOKUP(B200,input_433103!L:R,7,FALSE),VLOOKUP(tables_433103!C200,input_433103!A:H,8,FALSE))</f>
        <v>5168</v>
      </c>
      <c r="P200" s="46">
        <f t="shared" ca="1" si="13"/>
        <v>4.4186046511514543E-4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input_433103!A$2</f>
        <v>433103</v>
      </c>
      <c r="B201" s="6">
        <v>480</v>
      </c>
      <c r="C201" s="7" t="str">
        <f t="shared" si="12"/>
        <v>PremiumSS5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夢幻の愚者フール</v>
      </c>
      <c r="I201" s="7" t="str">
        <f>VLOOKUP(B201,[1]characters!$A:$J,10,FALSE)</f>
        <v>PremiumSS</v>
      </c>
      <c r="J201" s="7">
        <f>VLOOKUP(B201,[1]characters!$A:$I,9,FALSE)</f>
        <v>5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IFERROR(VLOOKUP(B201,input_433103!L:R,7,FALSE),VLOOKUP(tables_433103!C201,input_433103!A:H,8,FALSE))</f>
        <v>272</v>
      </c>
      <c r="P201" s="46">
        <f t="shared" ca="1" si="13"/>
        <v>2.3255813953428706E-5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input_433103!A$2</f>
        <v>433103</v>
      </c>
      <c r="B202" s="6">
        <v>481</v>
      </c>
      <c r="C202" s="7" t="str">
        <f t="shared" si="12"/>
        <v>Premium3</v>
      </c>
      <c r="D202" s="7" t="str">
        <f t="shared" si="14"/>
        <v>Premium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沢庵宗彭</v>
      </c>
      <c r="I202" s="7" t="str">
        <f>VLOOKUP(B202,[1]characters!$A:$J,10,FALSE)</f>
        <v>PremiumS</v>
      </c>
      <c r="J202" s="7">
        <f>VLOOKUP(B202,[1]characters!$A:$I,9,FALSE)</f>
        <v>3</v>
      </c>
      <c r="K202" s="7" t="str">
        <f>VLOOKUP(B202,[1]characters!$A:$H,8,FALSE)</f>
        <v>yellow</v>
      </c>
      <c r="L202" s="7" t="str">
        <f>VLOOKUP(B202,[1]characters!$A:$K,11,FALSE)</f>
        <v>hp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IFERROR(VLOOKUP(B202,input_433103!L:R,7,FALSE),VLOOKUP(tables_433103!C202,input_433103!A:H,8,FALSE))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input_433103!A$2</f>
        <v>433103</v>
      </c>
      <c r="B203" s="6">
        <v>482</v>
      </c>
      <c r="C203" s="7" t="str">
        <f t="shared" si="12"/>
        <v>Premium4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魁僧 沢庵宗彭</v>
      </c>
      <c r="I203" s="7" t="str">
        <f>VLOOKUP(B203,[1]characters!$A:$J,10,FALSE)</f>
        <v>PremiumS</v>
      </c>
      <c r="J203" s="7">
        <f>VLOOKUP(B203,[1]characters!$A:$I,9,FALSE)</f>
        <v>4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IFERROR(VLOOKUP(B203,input_433103!L:R,7,FALSE),VLOOKUP(tables_433103!C203,input_433103!A:H,8,FALSE))</f>
        <v>57834.502509999998</v>
      </c>
      <c r="P203" s="46">
        <f t="shared" ca="1" si="13"/>
        <v>4.9448104061090648E-3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input_433103!A$2</f>
        <v>433103</v>
      </c>
      <c r="B204" s="6">
        <v>483</v>
      </c>
      <c r="C204" s="7" t="str">
        <f t="shared" si="12"/>
        <v>Premium5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 xml:space="preserve">命経死遂 沢庵宗彭 </v>
      </c>
      <c r="I204" s="7" t="str">
        <f>VLOOKUP(B204,[1]characters!$A:$J,10,FALSE)</f>
        <v>PremiumS</v>
      </c>
      <c r="J204" s="7">
        <f>VLOOKUP(B204,[1]characters!$A:$I,9,FALSE)</f>
        <v>5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IFERROR(VLOOKUP(B204,input_433103!L:R,7,FALSE),VLOOKUP(tables_433103!C204,input_433103!A:H,8,FALSE))</f>
        <v>1402.2974899999999</v>
      </c>
      <c r="P204" s="46">
        <f t="shared" ca="1" si="13"/>
        <v>1.1989547623088255E-4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input_433103!A$2</f>
        <v>433103</v>
      </c>
      <c r="B205" s="6">
        <v>492</v>
      </c>
      <c r="C205" s="7" t="str">
        <f t="shared" si="12"/>
        <v>PremiumSS4color</v>
      </c>
      <c r="D205" s="7" t="str">
        <f t="shared" si="14"/>
        <v>PremiumSS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>color</v>
      </c>
      <c r="H205" s="7" t="str">
        <f>VLOOKUP(B205,[1]characters!$A:$C,3,FALSE)</f>
        <v>ブートレグ・ペロー</v>
      </c>
      <c r="I205" s="7" t="str">
        <f>VLOOKUP(B205,[1]characters!$A:$J,10,FALSE)</f>
        <v>PremiumSS</v>
      </c>
      <c r="J205" s="7">
        <f>VLOOKUP(B205,[1]characters!$A:$I,9,FALSE)</f>
        <v>4</v>
      </c>
      <c r="K205" s="7" t="str">
        <f>VLOOKUP(B205,[1]characters!$A:$H,8,FALSE)</f>
        <v>red</v>
      </c>
      <c r="L205" s="7" t="str">
        <f>VLOOKUP(B205,[1]characters!$A:$K,11,FALSE)</f>
        <v>hp</v>
      </c>
      <c r="M205" s="7" t="str">
        <f>VLOOKUP(B205,[1]characters!$A:$M,13,FALSE)</f>
        <v>animal</v>
      </c>
      <c r="N205" s="7" t="str">
        <f>VLOOKUP(B205,[1]characters!$A:$G,7,FALSE)</f>
        <v>不明</v>
      </c>
      <c r="O205" s="45">
        <f ca="1">IFERROR(VLOOKUP(B205,input_433103!L:R,7,FALSE),VLOOKUP(tables_433103!C205,input_433103!A:H,8,FALSE))</f>
        <v>23809.71429</v>
      </c>
      <c r="P205" s="46">
        <f t="shared" ca="1" si="13"/>
        <v>2.0357142860754885E-3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input_433103!A$2</f>
        <v>433103</v>
      </c>
      <c r="B206" s="6">
        <v>493</v>
      </c>
      <c r="C206" s="7" t="str">
        <f t="shared" si="12"/>
        <v>PremiumSS5color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跋扈の機脚 ブートレグ・ペロー</v>
      </c>
      <c r="I206" s="7" t="str">
        <f>VLOOKUP(B206,[1]characters!$A:$J,10,FALSE)</f>
        <v>PremiumSS</v>
      </c>
      <c r="J206" s="7">
        <f>VLOOKUP(B206,[1]characters!$A:$I,9,FALSE)</f>
        <v>5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IFERROR(VLOOKUP(B206,input_433103!L:R,7,FALSE),VLOOKUP(tables_433103!C206,input_433103!A:H,8,FALSE))</f>
        <v>1253.1428599999999</v>
      </c>
      <c r="P206" s="46">
        <f t="shared" ca="1" si="13"/>
        <v>1.0714285738686601E-4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input_433103!A$2</f>
        <v>433103</v>
      </c>
      <c r="B207" s="6">
        <v>494</v>
      </c>
      <c r="C207" s="7" t="str">
        <f t="shared" si="12"/>
        <v>PremiumSS4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ハーメルン</v>
      </c>
      <c r="I207" s="7" t="str">
        <f>VLOOKUP(B207,[1]characters!$A:$J,10,FALSE)</f>
        <v>PremiumSS</v>
      </c>
      <c r="J207" s="7">
        <f>VLOOKUP(B207,[1]characters!$A:$I,9,FALSE)</f>
        <v>4</v>
      </c>
      <c r="K207" s="7" t="str">
        <f>VLOOKUP(B207,[1]characters!$A:$H,8,FALSE)</f>
        <v>green</v>
      </c>
      <c r="L207" s="7" t="str">
        <f>VLOOKUP(B207,[1]characters!$A:$K,11,FALSE)</f>
        <v>technical</v>
      </c>
      <c r="M207" s="7" t="str">
        <f>VLOOKUP(B207,[1]characters!$A:$M,13,FALSE)</f>
        <v>human</v>
      </c>
      <c r="N207" s="7" t="str">
        <f>VLOOKUP(B207,[1]characters!$A:$G,7,FALSE)</f>
        <v>男性</v>
      </c>
      <c r="O207" s="45">
        <f ca="1">IFERROR(VLOOKUP(B207,input_433103!L:R,7,FALSE),VLOOKUP(tables_433103!C207,input_433103!A:H,8,FALSE))</f>
        <v>5168</v>
      </c>
      <c r="P207" s="46">
        <f t="shared" ca="1" si="13"/>
        <v>4.4186046511514543E-4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input_433103!A$2</f>
        <v>433103</v>
      </c>
      <c r="B208" s="6">
        <v>495</v>
      </c>
      <c r="C208" s="7" t="str">
        <f t="shared" si="12"/>
        <v>PremiumSS5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鼠災呼ぶ笛音 ハーメルン</v>
      </c>
      <c r="I208" s="7" t="str">
        <f>VLOOKUP(B208,[1]characters!$A:$J,10,FALSE)</f>
        <v>PremiumSS</v>
      </c>
      <c r="J208" s="7">
        <f>VLOOKUP(B208,[1]characters!$A:$I,9,FALSE)</f>
        <v>5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IFERROR(VLOOKUP(B208,input_433103!L:R,7,FALSE),VLOOKUP(tables_433103!C208,input_433103!A:H,8,FALSE))</f>
        <v>272</v>
      </c>
      <c r="P208" s="46">
        <f t="shared" ca="1" si="13"/>
        <v>2.3255813953428706E-5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input_433103!A$2</f>
        <v>433103</v>
      </c>
      <c r="B209" s="6">
        <v>496</v>
      </c>
      <c r="C209" s="7" t="str">
        <f t="shared" si="12"/>
        <v>Premium3</v>
      </c>
      <c r="D209" s="7" t="str">
        <f t="shared" si="14"/>
        <v>Premium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エスタブ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blue</v>
      </c>
      <c r="L209" s="7" t="str">
        <f>VLOOKUP(B209,[1]characters!$A:$K,11,FALSE)</f>
        <v>attack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IFERROR(VLOOKUP(B209,input_433103!L:R,7,FALSE),VLOOKUP(tables_433103!C209,input_433103!A:H,8,FALSE))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input_433103!A$2</f>
        <v>433103</v>
      </c>
      <c r="B210" s="6">
        <v>497</v>
      </c>
      <c r="C210" s="7" t="str">
        <f t="shared" si="12"/>
        <v>Premium4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偏愛の野獣 エスタブ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IFERROR(VLOOKUP(B210,input_433103!L:R,7,FALSE),VLOOKUP(tables_433103!C210,input_433103!A:H,8,FALSE))</f>
        <v>57834.502509999998</v>
      </c>
      <c r="P210" s="46">
        <f t="shared" ca="1" si="13"/>
        <v>4.9448104061090648E-3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input_433103!A$2</f>
        <v>433103</v>
      </c>
      <c r="B211" s="6">
        <v>498</v>
      </c>
      <c r="C211" s="7" t="str">
        <f t="shared" si="12"/>
        <v>Premium5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自愛の高魔 エスタブ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IFERROR(VLOOKUP(B211,input_433103!L:R,7,FALSE),VLOOKUP(tables_433103!C211,input_433103!A:H,8,FALSE))</f>
        <v>1402.2974899999999</v>
      </c>
      <c r="P211" s="46">
        <f t="shared" ca="1" si="13"/>
        <v>1.1989547623088255E-4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input_433103!A$2</f>
        <v>433103</v>
      </c>
      <c r="B212" s="6">
        <v>499</v>
      </c>
      <c r="C212" s="7" t="str">
        <f t="shared" si="12"/>
        <v>PremiumSS4</v>
      </c>
      <c r="D212" s="7" t="str">
        <f t="shared" si="14"/>
        <v>PremiumSS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ラプンツェル</v>
      </c>
      <c r="I212" s="7" t="str">
        <f>VLOOKUP(B212,[1]characters!$A:$J,10,FALSE)</f>
        <v>PremiumSS</v>
      </c>
      <c r="J212" s="7">
        <f>VLOOKUP(B212,[1]characters!$A:$I,9,FALSE)</f>
        <v>4</v>
      </c>
      <c r="K212" s="7" t="str">
        <f>VLOOKUP(B212,[1]characters!$A:$H,8,FALSE)</f>
        <v>yellow</v>
      </c>
      <c r="L212" s="7" t="str">
        <f>VLOOKUP(B212,[1]characters!$A:$K,11,FALSE)</f>
        <v>balance</v>
      </c>
      <c r="M212" s="7" t="str">
        <f>VLOOKUP(B212,[1]characters!$A:$M,13,FALSE)</f>
        <v>human</v>
      </c>
      <c r="N212" s="7" t="str">
        <f>VLOOKUP(B212,[1]characters!$A:$G,7,FALSE)</f>
        <v>女性</v>
      </c>
      <c r="O212" s="45">
        <f ca="1">IFERROR(VLOOKUP(B212,input_433103!L:R,7,FALSE),VLOOKUP(tables_433103!C212,input_433103!A:H,8,FALSE))</f>
        <v>5168</v>
      </c>
      <c r="P212" s="46">
        <f t="shared" ca="1" si="13"/>
        <v>4.4186046511514543E-4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input_433103!A$2</f>
        <v>433103</v>
      </c>
      <c r="B213" s="6">
        <v>500</v>
      </c>
      <c r="C213" s="7" t="str">
        <f t="shared" si="12"/>
        <v>PremiumSS5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脈動の禁髪 ラプンツェル</v>
      </c>
      <c r="I213" s="7" t="str">
        <f>VLOOKUP(B213,[1]characters!$A:$J,10,FALSE)</f>
        <v>PremiumSS</v>
      </c>
      <c r="J213" s="7">
        <f>VLOOKUP(B213,[1]characters!$A:$I,9,FALSE)</f>
        <v>5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IFERROR(VLOOKUP(B213,input_433103!L:R,7,FALSE),VLOOKUP(tables_433103!C213,input_433103!A:H,8,FALSE))</f>
        <v>272</v>
      </c>
      <c r="P213" s="46">
        <f t="shared" ca="1" si="13"/>
        <v>2.3255813953428706E-5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input_433103!A$2</f>
        <v>433103</v>
      </c>
      <c r="B214" s="6">
        <v>586</v>
      </c>
      <c r="C214" s="7" t="str">
        <f t="shared" si="12"/>
        <v>PremiumSS4color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>color</v>
      </c>
      <c r="H214" s="7" t="str">
        <f>VLOOKUP(B214,[1]characters!$A:$C,3,FALSE)</f>
        <v>ユミル</v>
      </c>
      <c r="I214" s="7" t="str">
        <f>VLOOKUP(B214,[1]characters!$A:$J,10,FALSE)</f>
        <v>PremiumSS</v>
      </c>
      <c r="J214" s="7">
        <f>VLOOKUP(B214,[1]characters!$A:$I,9,FALSE)</f>
        <v>4</v>
      </c>
      <c r="K214" s="7" t="str">
        <f>VLOOKUP(B214,[1]characters!$A:$H,8,FALSE)</f>
        <v>red</v>
      </c>
      <c r="L214" s="7" t="str">
        <f>VLOOKUP(B214,[1]characters!$A:$K,11,FALSE)</f>
        <v>hp</v>
      </c>
      <c r="M214" s="7" t="str">
        <f>VLOOKUP(B214,[1]characters!$A:$M,13,FALSE)</f>
        <v>machine</v>
      </c>
      <c r="N214" s="7" t="str">
        <f>VLOOKUP(B214,[1]characters!$A:$G,7,FALSE)</f>
        <v>不明</v>
      </c>
      <c r="O214" s="45">
        <f ca="1">IFERROR(VLOOKUP(B214,input_433103!L:R,7,FALSE),VLOOKUP(tables_433103!C214,input_433103!A:H,8,FALSE))</f>
        <v>23809.71429</v>
      </c>
      <c r="P214" s="46">
        <f t="shared" ca="1" si="13"/>
        <v>2.0357142860754885E-3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input_433103!A$2</f>
        <v>433103</v>
      </c>
      <c r="B215" s="6">
        <v>587</v>
      </c>
      <c r="C215" s="7" t="str">
        <f t="shared" si="12"/>
        <v>PremiumSS5color</v>
      </c>
      <c r="D215" s="7" t="str">
        <f t="shared" si="14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原初の煉鋼巨刃 ユミル</v>
      </c>
      <c r="I215" s="7" t="str">
        <f>VLOOKUP(B215,[1]characters!$A:$J,10,FALSE)</f>
        <v>PremiumSS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IFERROR(VLOOKUP(B215,input_433103!L:R,7,FALSE),VLOOKUP(tables_433103!C215,input_433103!A:H,8,FALSE))</f>
        <v>1253.1428599999999</v>
      </c>
      <c r="P215" s="46">
        <f t="shared" ca="1" si="13"/>
        <v>1.0714285738686601E-4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input_433103!A$2</f>
        <v>433103</v>
      </c>
      <c r="B216" s="6">
        <v>588</v>
      </c>
      <c r="C216" s="7" t="str">
        <f t="shared" si="12"/>
        <v>Premium3</v>
      </c>
      <c r="D216" s="7" t="str">
        <f t="shared" si="14"/>
        <v>Premium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ニーベルゲン</v>
      </c>
      <c r="I216" s="7" t="str">
        <f>VLOOKUP(B216,[1]characters!$A:$J,10,FALSE)</f>
        <v>PremiumS</v>
      </c>
      <c r="J216" s="7">
        <f>VLOOKUP(B216,[1]characters!$A:$I,9,FALSE)</f>
        <v>3</v>
      </c>
      <c r="K216" s="7" t="str">
        <f>VLOOKUP(B216,[1]characters!$A:$H,8,FALSE)</f>
        <v>green</v>
      </c>
      <c r="L216" s="7" t="str">
        <f>VLOOKUP(B216,[1]characters!$A:$K,11,FALSE)</f>
        <v>balance</v>
      </c>
      <c r="M216" s="7" t="str">
        <f>VLOOKUP(B216,[1]characters!$A:$M,13,FALSE)</f>
        <v>unknown</v>
      </c>
      <c r="N216" s="7" t="str">
        <f>VLOOKUP(B216,[1]characters!$A:$G,7,FALSE)</f>
        <v>女性</v>
      </c>
      <c r="O216" s="45">
        <f ca="1">IFERROR(VLOOKUP(B216,input_433103!L:R,7,FALSE),VLOOKUP(tables_433103!C216,input_433103!A:H,8,FALSE))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input_433103!A$2</f>
        <v>433103</v>
      </c>
      <c r="B217" s="6">
        <v>589</v>
      </c>
      <c r="C217" s="7" t="str">
        <f t="shared" si="12"/>
        <v>Premium4</v>
      </c>
      <c r="D217" s="7" t="str">
        <f t="shared" si="14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不幸の円環 ニーベルゲン</v>
      </c>
      <c r="I217" s="7" t="str">
        <f>VLOOKUP(B217,[1]characters!$A:$J,10,FALSE)</f>
        <v>PremiumS</v>
      </c>
      <c r="J217" s="7">
        <f>VLOOKUP(B217,[1]characters!$A:$I,9,FALSE)</f>
        <v>4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IFERROR(VLOOKUP(B217,input_433103!L:R,7,FALSE),VLOOKUP(tables_433103!C217,input_433103!A:H,8,FALSE))</f>
        <v>57834.502509999998</v>
      </c>
      <c r="P217" s="46">
        <f t="shared" ca="1" si="13"/>
        <v>4.9448104061090648E-3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input_433103!A$2</f>
        <v>433103</v>
      </c>
      <c r="B218" s="6">
        <v>590</v>
      </c>
      <c r="C218" s="7" t="str">
        <f t="shared" si="12"/>
        <v>Premium5</v>
      </c>
      <c r="D218" s="7" t="str">
        <f t="shared" si="14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永遠を廻る呪い ニーベルゲン</v>
      </c>
      <c r="I218" s="7" t="str">
        <f>VLOOKUP(B218,[1]characters!$A:$J,10,FALSE)</f>
        <v>PremiumS</v>
      </c>
      <c r="J218" s="7">
        <f>VLOOKUP(B218,[1]characters!$A:$I,9,FALSE)</f>
        <v>5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IFERROR(VLOOKUP(B218,input_433103!L:R,7,FALSE),VLOOKUP(tables_433103!C218,input_433103!A:H,8,FALSE))</f>
        <v>1402.2974899999999</v>
      </c>
      <c r="P218" s="46">
        <f t="shared" ca="1" si="13"/>
        <v>1.1989547623088255E-4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input_433103!A$2</f>
        <v>433103</v>
      </c>
      <c r="B219" s="6">
        <v>591</v>
      </c>
      <c r="C219" s="7" t="str">
        <f t="shared" si="12"/>
        <v>Premium3</v>
      </c>
      <c r="D219" s="7" t="str">
        <f t="shared" si="14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ファフニール</v>
      </c>
      <c r="I219" s="7" t="str">
        <f>VLOOKUP(B219,[1]characters!$A:$J,10,FALSE)</f>
        <v>PremiumS</v>
      </c>
      <c r="J219" s="7">
        <f>VLOOKUP(B219,[1]characters!$A:$I,9,FALSE)</f>
        <v>3</v>
      </c>
      <c r="K219" s="7" t="str">
        <f>VLOOKUP(B219,[1]characters!$A:$H,8,FALSE)</f>
        <v>blue</v>
      </c>
      <c r="L219" s="7" t="str">
        <f>VLOOKUP(B219,[1]characters!$A:$K,11,FALSE)</f>
        <v>technical</v>
      </c>
      <c r="M219" s="7" t="str">
        <f>VLOOKUP(B219,[1]characters!$A:$M,13,FALSE)</f>
        <v>dragon</v>
      </c>
      <c r="N219" s="7" t="str">
        <f>VLOOKUP(B219,[1]characters!$A:$G,7,FALSE)</f>
        <v>不明</v>
      </c>
      <c r="O219" s="45">
        <f ca="1">IFERROR(VLOOKUP(B219,input_433103!L:R,7,FALSE),VLOOKUP(tables_433103!C219,input_433103!A:H,8,FALSE))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input_433103!A$2</f>
        <v>433103</v>
      </c>
      <c r="B220" s="6">
        <v>592</v>
      </c>
      <c r="C220" s="7" t="str">
        <f t="shared" si="12"/>
        <v>Premium4</v>
      </c>
      <c r="D220" s="7" t="str">
        <f t="shared" si="14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財宝への執着 ファフニール</v>
      </c>
      <c r="I220" s="7" t="str">
        <f>VLOOKUP(B220,[1]characters!$A:$J,10,FALSE)</f>
        <v>PremiumS</v>
      </c>
      <c r="J220" s="7">
        <f>VLOOKUP(B220,[1]characters!$A:$I,9,FALSE)</f>
        <v>4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IFERROR(VLOOKUP(B220,input_433103!L:R,7,FALSE),VLOOKUP(tables_433103!C220,input_433103!A:H,8,FALSE))</f>
        <v>57834.502509999998</v>
      </c>
      <c r="P220" s="46">
        <f t="shared" ca="1" si="13"/>
        <v>4.9448104061090648E-3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input_433103!A$2</f>
        <v>433103</v>
      </c>
      <c r="B221" s="6">
        <v>593</v>
      </c>
      <c r="C221" s="7" t="str">
        <f t="shared" si="12"/>
        <v>Premium5</v>
      </c>
      <c r="D221" s="7" t="str">
        <f t="shared" si="14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妄執する邪毒龍 ファフニール</v>
      </c>
      <c r="I221" s="7" t="str">
        <f>VLOOKUP(B221,[1]characters!$A:$J,10,FALSE)</f>
        <v>PremiumS</v>
      </c>
      <c r="J221" s="7">
        <f>VLOOKUP(B221,[1]characters!$A:$I,9,FALSE)</f>
        <v>5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IFERROR(VLOOKUP(B221,input_433103!L:R,7,FALSE),VLOOKUP(tables_433103!C221,input_433103!A:H,8,FALSE))</f>
        <v>1402.2974899999999</v>
      </c>
      <c r="P221" s="46">
        <f t="shared" ca="1" si="13"/>
        <v>1.1989547623088255E-4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input_433103!A$2</f>
        <v>433103</v>
      </c>
      <c r="B222" s="6">
        <v>594</v>
      </c>
      <c r="C222" s="7" t="str">
        <f t="shared" si="12"/>
        <v>PremiumSS4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アルフヘイム</v>
      </c>
      <c r="I222" s="7" t="str">
        <f>VLOOKUP(B222,[1]characters!$A:$J,10,FALSE)</f>
        <v>PremiumSS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attack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IFERROR(VLOOKUP(B222,input_433103!L:R,7,FALSE),VLOOKUP(tables_433103!C222,input_433103!A:H,8,FALSE))</f>
        <v>5168</v>
      </c>
      <c r="P222" s="46">
        <f t="shared" ca="1" si="13"/>
        <v>4.4186046511514543E-4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input_433103!A$2</f>
        <v>433103</v>
      </c>
      <c r="B223" s="6">
        <v>595</v>
      </c>
      <c r="C223" s="7" t="str">
        <f t="shared" si="12"/>
        <v>PremiumSS5</v>
      </c>
      <c r="D223" s="7" t="str">
        <f t="shared" si="14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光華なる神域 アルフヘイム</v>
      </c>
      <c r="I223" s="7" t="str">
        <f>VLOOKUP(B223,[1]characters!$A:$J,10,FALSE)</f>
        <v>PremiumSS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IFERROR(VLOOKUP(B223,input_433103!L:R,7,FALSE),VLOOKUP(tables_433103!C223,input_433103!A:H,8,FALSE))</f>
        <v>272</v>
      </c>
      <c r="P223" s="46">
        <f t="shared" ca="1" si="13"/>
        <v>2.3255813953428706E-5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input_433103!A$2</f>
        <v>433103</v>
      </c>
      <c r="B224" s="6">
        <v>596</v>
      </c>
      <c r="C224" s="7" t="str">
        <f t="shared" si="12"/>
        <v>Premium3color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ムスペルヘイム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balance</v>
      </c>
      <c r="M224" s="7" t="str">
        <f>VLOOKUP(B224,[1]characters!$A:$M,13,FALSE)</f>
        <v>human</v>
      </c>
      <c r="N224" s="7" t="str">
        <f>VLOOKUP(B224,[1]characters!$A:$G,7,FALSE)</f>
        <v>男性</v>
      </c>
      <c r="O224" s="45">
        <f ca="1">IFERROR(VLOOKUP(B224,input_433103!L:R,7,FALSE),VLOOKUP(tables_433103!C224,input_433103!A:H,8,FALSE))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input_433103!A$2</f>
        <v>433103</v>
      </c>
      <c r="B225" s="6">
        <v>597</v>
      </c>
      <c r="C225" s="7" t="str">
        <f t="shared" si="12"/>
        <v>Premium4color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灼熱の魂 ムスペルヘイム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IFERROR(VLOOKUP(B225,input_433103!L:R,7,FALSE),VLOOKUP(tables_433103!C225,input_433103!A:H,8,FALSE))</f>
        <v>283464.80472000001</v>
      </c>
      <c r="P225" s="46">
        <f t="shared" ca="1" si="13"/>
        <v>2.4236046915122499E-2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input_433103!A$2</f>
        <v>433103</v>
      </c>
      <c r="B226" s="6">
        <v>598</v>
      </c>
      <c r="C226" s="7" t="str">
        <f t="shared" si="12"/>
        <v>Premium5color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焼燃の情熱 ムスペルヘイム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IFERROR(VLOOKUP(B226,input_433103!L:R,7,FALSE),VLOOKUP(tables_433103!C226,input_433103!A:H,8,FALSE))</f>
        <v>5172.1344099999997</v>
      </c>
      <c r="P226" s="46">
        <f t="shared" ca="1" si="13"/>
        <v>4.4221395434223068E-4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input_433103!A$2</f>
        <v>433103</v>
      </c>
      <c r="B227" s="6">
        <v>599</v>
      </c>
      <c r="C227" s="7" t="str">
        <f t="shared" si="12"/>
        <v>Premium3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ニーズヘッグ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IFERROR(VLOOKUP(B227,input_433103!L:R,7,FALSE),VLOOKUP(tables_433103!C227,input_433103!A:H,8,FALSE))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input_433103!A$2</f>
        <v>433103</v>
      </c>
      <c r="B228" s="6">
        <v>600</v>
      </c>
      <c r="C228" s="7" t="str">
        <f t="shared" si="12"/>
        <v>Premium4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界下に潜む蛇 ニーズヘッグ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IFERROR(VLOOKUP(B228,input_433103!L:R,7,FALSE),VLOOKUP(tables_433103!C228,input_433103!A:H,8,FALSE))</f>
        <v>57834.502509999998</v>
      </c>
      <c r="P228" s="46">
        <f t="shared" ca="1" si="13"/>
        <v>4.9448104061090648E-3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input_433103!A$2</f>
        <v>433103</v>
      </c>
      <c r="B229" s="6">
        <v>601</v>
      </c>
      <c r="C229" s="7" t="str">
        <f t="shared" si="12"/>
        <v>Premium5</v>
      </c>
      <c r="D229" s="7" t="str">
        <f t="shared" si="14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界根蝕む悪食 ニーズヘッグ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IFERROR(VLOOKUP(B229,input_433103!L:R,7,FALSE),VLOOKUP(tables_433103!C229,input_433103!A:H,8,FALSE))</f>
        <v>1402.2974899999999</v>
      </c>
      <c r="P229" s="46">
        <f t="shared" ca="1" si="13"/>
        <v>1.1989547623088255E-4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input_433103!A$2</f>
        <v>433103</v>
      </c>
      <c r="B230" s="6">
        <v>602</v>
      </c>
      <c r="C230" s="7" t="str">
        <f t="shared" si="12"/>
        <v>PremiumSS4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フレイヤ</v>
      </c>
      <c r="I230" s="7" t="str">
        <f>VLOOKUP(B230,[1]characters!$A:$J,10,FALSE)</f>
        <v>PremiumSS</v>
      </c>
      <c r="J230" s="7">
        <f>VLOOKUP(B230,[1]characters!$A:$I,9,FALSE)</f>
        <v>4</v>
      </c>
      <c r="K230" s="7" t="str">
        <f>VLOOKUP(B230,[1]characters!$A:$H,8,FALSE)</f>
        <v>blue</v>
      </c>
      <c r="L230" s="7" t="str">
        <f>VLOOKUP(B230,[1]characters!$A:$K,11,FALSE)</f>
        <v>heal</v>
      </c>
      <c r="M230" s="7" t="str">
        <f>VLOOKUP(B230,[1]characters!$A:$M,13,FALSE)</f>
        <v>animal</v>
      </c>
      <c r="N230" s="7" t="str">
        <f>VLOOKUP(B230,[1]characters!$A:$G,7,FALSE)</f>
        <v>女性</v>
      </c>
      <c r="O230" s="45">
        <f ca="1">IFERROR(VLOOKUP(B230,input_433103!L:R,7,FALSE),VLOOKUP(tables_433103!C230,input_433103!A:H,8,FALSE))</f>
        <v>5168</v>
      </c>
      <c r="P230" s="46">
        <f t="shared" ca="1" si="13"/>
        <v>4.4186046511514543E-4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input_433103!A$2</f>
        <v>433103</v>
      </c>
      <c r="B231" s="6">
        <v>603</v>
      </c>
      <c r="C231" s="7" t="str">
        <f t="shared" si="12"/>
        <v>PremiumSS5</v>
      </c>
      <c r="D231" s="7" t="str">
        <f t="shared" si="14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掌愛の豊穣女神 フレイヤ</v>
      </c>
      <c r="I231" s="7" t="str">
        <f>VLOOKUP(B231,[1]characters!$A:$J,10,FALSE)</f>
        <v>PremiumSS</v>
      </c>
      <c r="J231" s="7">
        <f>VLOOKUP(B231,[1]characters!$A:$I,9,FALSE)</f>
        <v>5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IFERROR(VLOOKUP(B231,input_433103!L:R,7,FALSE),VLOOKUP(tables_433103!C231,input_433103!A:H,8,FALSE))</f>
        <v>272</v>
      </c>
      <c r="P231" s="46">
        <f t="shared" ca="1" si="13"/>
        <v>2.3255813953428706E-5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input_433103!A$2</f>
        <v>433103</v>
      </c>
      <c r="B232" s="6">
        <v>604</v>
      </c>
      <c r="C232" s="7" t="str">
        <f t="shared" si="12"/>
        <v>Premium3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バルドル</v>
      </c>
      <c r="I232" s="7" t="str">
        <f>VLOOKUP(B232,[1]characters!$A:$J,10,FALSE)</f>
        <v>PremiumS</v>
      </c>
      <c r="J232" s="7">
        <f>VLOOKUP(B232,[1]characters!$A:$I,9,FALSE)</f>
        <v>3</v>
      </c>
      <c r="K232" s="7" t="str">
        <f>VLOOKUP(B232,[1]characters!$A:$H,8,FALSE)</f>
        <v>yellow</v>
      </c>
      <c r="L232" s="7" t="str">
        <f>VLOOKUP(B232,[1]characters!$A:$K,11,FALSE)</f>
        <v>heal</v>
      </c>
      <c r="M232" s="7" t="str">
        <f>VLOOKUP(B232,[1]characters!$A:$M,13,FALSE)</f>
        <v>god</v>
      </c>
      <c r="N232" s="7" t="str">
        <f>VLOOKUP(B232,[1]characters!$A:$G,7,FALSE)</f>
        <v>男性</v>
      </c>
      <c r="O232" s="45">
        <f ca="1">IFERROR(VLOOKUP(B232,input_433103!L:R,7,FALSE),VLOOKUP(tables_433103!C232,input_433103!A:H,8,FALSE))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input_433103!A$2</f>
        <v>433103</v>
      </c>
      <c r="B233" s="6">
        <v>605</v>
      </c>
      <c r="C233" s="7" t="str">
        <f t="shared" si="12"/>
        <v>Premium4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祝福される光耀 バルドル</v>
      </c>
      <c r="I233" s="7" t="str">
        <f>VLOOKUP(B233,[1]characters!$A:$J,10,FALSE)</f>
        <v>PremiumS</v>
      </c>
      <c r="J233" s="7">
        <f>VLOOKUP(B233,[1]characters!$A:$I,9,FALSE)</f>
        <v>4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IFERROR(VLOOKUP(B233,input_433103!L:R,7,FALSE),VLOOKUP(tables_433103!C233,input_433103!A:H,8,FALSE))</f>
        <v>57834.502509999998</v>
      </c>
      <c r="P233" s="46">
        <f t="shared" ca="1" si="13"/>
        <v>4.9448104061090648E-3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input_433103!A$2</f>
        <v>433103</v>
      </c>
      <c r="B234" s="6">
        <v>606</v>
      </c>
      <c r="C234" s="7" t="str">
        <f t="shared" si="12"/>
        <v>Premium5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冀望の光芒 バルドル</v>
      </c>
      <c r="I234" s="7" t="str">
        <f>VLOOKUP(B234,[1]characters!$A:$J,10,FALSE)</f>
        <v>PremiumS</v>
      </c>
      <c r="J234" s="7">
        <f>VLOOKUP(B234,[1]characters!$A:$I,9,FALSE)</f>
        <v>5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IFERROR(VLOOKUP(B234,input_433103!L:R,7,FALSE),VLOOKUP(tables_433103!C234,input_433103!A:H,8,FALSE))</f>
        <v>1402.2974899999999</v>
      </c>
      <c r="P234" s="46">
        <f t="shared" ca="1" si="13"/>
        <v>1.1989547623088255E-4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input_433103!A$2</f>
        <v>433103</v>
      </c>
      <c r="B235" s="6">
        <v>658</v>
      </c>
      <c r="C235" s="7" t="str">
        <f t="shared" si="12"/>
        <v>PremiumSS4color</v>
      </c>
      <c r="D235" s="7" t="str">
        <f t="shared" si="14"/>
        <v>PremiumSS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猫又 クルミ</v>
      </c>
      <c r="I235" s="7" t="str">
        <f>VLOOKUP(B235,[1]characters!$A:$J,10,FALSE)</f>
        <v>PremiumSS</v>
      </c>
      <c r="J235" s="7">
        <f>VLOOKUP(B235,[1]characters!$A:$I,9,FALSE)</f>
        <v>4</v>
      </c>
      <c r="K235" s="7" t="str">
        <f>VLOOKUP(B235,[1]characters!$A:$H,8,FALSE)</f>
        <v>red</v>
      </c>
      <c r="L235" s="7" t="str">
        <f>VLOOKUP(B235,[1]characters!$A:$K,11,FALSE)</f>
        <v>attack</v>
      </c>
      <c r="M235" s="7" t="str">
        <f>VLOOKUP(B235,[1]characters!$A:$M,13,FALSE)</f>
        <v>animal</v>
      </c>
      <c r="N235" s="7" t="str">
        <f>VLOOKUP(B235,[1]characters!$A:$G,7,FALSE)</f>
        <v>女性</v>
      </c>
      <c r="O235" s="45">
        <f ca="1">IFERROR(VLOOKUP(B235,input_433103!L:R,7,FALSE),VLOOKUP(tables_433103!C235,input_433103!A:H,8,FALSE))</f>
        <v>23809.71429</v>
      </c>
      <c r="P235" s="46">
        <f t="shared" ca="1" si="13"/>
        <v>2.0357142860754885E-3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input_433103!A$2</f>
        <v>433103</v>
      </c>
      <c r="B236" s="6">
        <v>659</v>
      </c>
      <c r="C236" s="7" t="str">
        <f t="shared" si="12"/>
        <v>PremiumSS5color</v>
      </c>
      <c r="D236" s="7" t="str">
        <f t="shared" si="14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跳梁する化猫 クルミ</v>
      </c>
      <c r="I236" s="7" t="str">
        <f>VLOOKUP(B236,[1]characters!$A:$J,10,FALSE)</f>
        <v>PremiumSS</v>
      </c>
      <c r="J236" s="7">
        <f>VLOOKUP(B236,[1]characters!$A:$I,9,FALSE)</f>
        <v>5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IFERROR(VLOOKUP(B236,input_433103!L:R,7,FALSE),VLOOKUP(tables_433103!C236,input_433103!A:H,8,FALSE))</f>
        <v>1253.1428599999999</v>
      </c>
      <c r="P236" s="46">
        <f t="shared" ca="1" si="13"/>
        <v>1.0714285738686601E-4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input_433103!A$2</f>
        <v>433103</v>
      </c>
      <c r="B237" s="6">
        <v>660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烏天狗 フウガ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green</v>
      </c>
      <c r="L237" s="7" t="str">
        <f>VLOOKUP(B237,[1]characters!$A:$K,11,FALSE)</f>
        <v>balance</v>
      </c>
      <c r="M237" s="7" t="str">
        <f>VLOOKUP(B237,[1]characters!$A:$M,13,FALSE)</f>
        <v>animal</v>
      </c>
      <c r="N237" s="7" t="str">
        <f>VLOOKUP(B237,[1]characters!$A:$G,7,FALSE)</f>
        <v>男性</v>
      </c>
      <c r="O237" s="45">
        <f ca="1">IFERROR(VLOOKUP(B237,input_433103!L:R,7,FALSE),VLOOKUP(tables_433103!C237,input_433103!A:H,8,FALSE))</f>
        <v>5168</v>
      </c>
      <c r="P237" s="46">
        <f t="shared" ca="1" si="13"/>
        <v>4.4186046511514543E-4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input_433103!A$2</f>
        <v>433103</v>
      </c>
      <c r="B238" s="6">
        <v>661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疾風の天狗礫 フウガ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IFERROR(VLOOKUP(B238,input_433103!L:R,7,FALSE),VLOOKUP(tables_433103!C238,input_433103!A:H,8,FALSE))</f>
        <v>272</v>
      </c>
      <c r="P238" s="46">
        <f t="shared" ca="1" si="13"/>
        <v>2.3255813953428706E-5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input_433103!A$2</f>
        <v>433103</v>
      </c>
      <c r="B239" s="6">
        <v>662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ダイダラ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blue</v>
      </c>
      <c r="L239" s="7" t="str">
        <f>VLOOKUP(B239,[1]characters!$A:$K,11,FALSE)</f>
        <v>hp</v>
      </c>
      <c r="M239" s="7" t="str">
        <f>VLOOKUP(B239,[1]characters!$A:$M,13,FALSE)</f>
        <v>unknown</v>
      </c>
      <c r="N239" s="7" t="str">
        <f>VLOOKUP(B239,[1]characters!$A:$G,7,FALSE)</f>
        <v>不明</v>
      </c>
      <c r="O239" s="45">
        <f ca="1">IFERROR(VLOOKUP(B239,input_433103!L:R,7,FALSE),VLOOKUP(tables_433103!C239,input_433103!A:H,8,FALSE))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input_433103!A$2</f>
        <v>433103</v>
      </c>
      <c r="B240" s="6">
        <v>663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都揺らす地響き ダイダラ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IFERROR(VLOOKUP(B240,input_433103!L:R,7,FALSE),VLOOKUP(tables_433103!C240,input_433103!A:H,8,FALSE))</f>
        <v>57834.502509999998</v>
      </c>
      <c r="P240" s="46">
        <f t="shared" ca="1" si="13"/>
        <v>4.9448104061090648E-3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input_433103!A$2</f>
        <v>433103</v>
      </c>
      <c r="B241" s="6">
        <v>664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山掴み国造り ダイダラ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IFERROR(VLOOKUP(B241,input_433103!L:R,7,FALSE),VLOOKUP(tables_433103!C241,input_433103!A:H,8,FALSE))</f>
        <v>1402.2974899999999</v>
      </c>
      <c r="P241" s="46">
        <f t="shared" ca="1" si="13"/>
        <v>1.1989547623088255E-4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input_433103!A$2</f>
        <v>433103</v>
      </c>
      <c r="B242" s="6">
        <v>665</v>
      </c>
      <c r="C242" s="7" t="str">
        <f t="shared" si="12"/>
        <v>Premium3</v>
      </c>
      <c r="D242" s="7" t="str">
        <f t="shared" si="14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座敷童子 テマリ</v>
      </c>
      <c r="I242" s="7" t="str">
        <f>VLOOKUP(B242,[1]characters!$A:$J,10,FALSE)</f>
        <v>PremiumS</v>
      </c>
      <c r="J242" s="7">
        <f>VLOOKUP(B242,[1]characters!$A:$I,9,FALSE)</f>
        <v>3</v>
      </c>
      <c r="K242" s="7" t="str">
        <f>VLOOKUP(B242,[1]characters!$A:$H,8,FALSE)</f>
        <v>yellow</v>
      </c>
      <c r="L242" s="7" t="str">
        <f>VLOOKUP(B242,[1]characters!$A:$K,11,FALSE)</f>
        <v>balance</v>
      </c>
      <c r="M242" s="7" t="str">
        <f>VLOOKUP(B242,[1]characters!$A:$M,13,FALSE)</f>
        <v>unknown</v>
      </c>
      <c r="N242" s="7" t="str">
        <f>VLOOKUP(B242,[1]characters!$A:$G,7,FALSE)</f>
        <v>女性</v>
      </c>
      <c r="O242" s="45">
        <f ca="1">IFERROR(VLOOKUP(B242,input_433103!L:R,7,FALSE),VLOOKUP(tables_433103!C242,input_433103!A:H,8,FALSE))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input_433103!A$2</f>
        <v>433103</v>
      </c>
      <c r="B243" s="6">
        <v>666</v>
      </c>
      <c r="C243" s="7" t="str">
        <f t="shared" si="12"/>
        <v>Premium4</v>
      </c>
      <c r="D243" s="7" t="str">
        <f t="shared" si="14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拡散する幸福 テマリ</v>
      </c>
      <c r="I243" s="7" t="str">
        <f>VLOOKUP(B243,[1]characters!$A:$J,10,FALSE)</f>
        <v>PremiumS</v>
      </c>
      <c r="J243" s="7">
        <f>VLOOKUP(B243,[1]characters!$A:$I,9,FALSE)</f>
        <v>4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IFERROR(VLOOKUP(B243,input_433103!L:R,7,FALSE),VLOOKUP(tables_433103!C243,input_433103!A:H,8,FALSE))</f>
        <v>57834.502509999998</v>
      </c>
      <c r="P243" s="46">
        <f t="shared" ca="1" si="13"/>
        <v>4.9448104061090648E-3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input_433103!A$2</f>
        <v>433103</v>
      </c>
      <c r="B244" s="6">
        <v>667</v>
      </c>
      <c r="C244" s="7" t="str">
        <f t="shared" si="12"/>
        <v>Premium5</v>
      </c>
      <c r="D244" s="7" t="str">
        <f t="shared" si="14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最幸運の妖童 テマリ</v>
      </c>
      <c r="I244" s="7" t="str">
        <f>VLOOKUP(B244,[1]characters!$A:$J,10,FALSE)</f>
        <v>PremiumS</v>
      </c>
      <c r="J244" s="7">
        <f>VLOOKUP(B244,[1]characters!$A:$I,9,FALSE)</f>
        <v>5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IFERROR(VLOOKUP(B244,input_433103!L:R,7,FALSE),VLOOKUP(tables_433103!C244,input_433103!A:H,8,FALSE))</f>
        <v>1402.2974899999999</v>
      </c>
      <c r="P244" s="46">
        <f t="shared" ca="1" si="13"/>
        <v>1.1989547623088255E-4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input_433103!A$2</f>
        <v>433103</v>
      </c>
      <c r="B245" s="60">
        <v>668</v>
      </c>
      <c r="C245" s="7" t="str">
        <f t="shared" si="12"/>
        <v>Premium3color</v>
      </c>
      <c r="D245" s="7" t="str">
        <f t="shared" si="14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アグニ</v>
      </c>
      <c r="I245" s="7" t="str">
        <f>VLOOKUP(B245,[1]characters!$A:$J,10,FALSE)</f>
        <v>PremiumS</v>
      </c>
      <c r="J245" s="7">
        <f>VLOOKUP(B245,[1]characters!$A:$I,9,FALSE)</f>
        <v>3</v>
      </c>
      <c r="K245" s="7" t="str">
        <f>VLOOKUP(B245,[1]characters!$A:$H,8,FALSE)</f>
        <v>red</v>
      </c>
      <c r="L245" s="7" t="str">
        <f>VLOOKUP(B245,[1]characters!$A:$K,11,FALSE)</f>
        <v>hp</v>
      </c>
      <c r="M245" s="7" t="str">
        <f>VLOOKUP(B245,[1]characters!$A:$M,13,FALSE)</f>
        <v>god</v>
      </c>
      <c r="N245" s="7" t="str">
        <f>VLOOKUP(B245,[1]characters!$A:$G,7,FALSE)</f>
        <v>男性</v>
      </c>
      <c r="O245" s="45">
        <f ca="1">IFERROR(VLOOKUP(B245,input_433103!L:R,7,FALSE),VLOOKUP(tables_433103!C245,input_433103!A:H,8,FALSE))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input_433103!A$2</f>
        <v>433103</v>
      </c>
      <c r="B246" s="60">
        <v>669</v>
      </c>
      <c r="C246" s="7" t="str">
        <f t="shared" si="12"/>
        <v>Premium4color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天地の仲界 アグニ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IFERROR(VLOOKUP(B246,input_433103!L:R,7,FALSE),VLOOKUP(tables_433103!C246,input_433103!A:H,8,FALSE))</f>
        <v>283464.80472000001</v>
      </c>
      <c r="P246" s="46">
        <f t="shared" ca="1" si="13"/>
        <v>2.4236046915122499E-2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input_433103!A$2</f>
        <v>433103</v>
      </c>
      <c r="B247" s="60">
        <v>670</v>
      </c>
      <c r="C247" s="7" t="str">
        <f t="shared" si="12"/>
        <v>Premium5color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陽天の噴煙 アグニ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IFERROR(VLOOKUP(B247,input_433103!L:R,7,FALSE),VLOOKUP(tables_433103!C247,input_433103!A:H,8,FALSE))</f>
        <v>5172.1344099999997</v>
      </c>
      <c r="P247" s="46">
        <f t="shared" ca="1" si="13"/>
        <v>4.4221395434223068E-4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input_433103!A$2</f>
        <v>433103</v>
      </c>
      <c r="B248" s="60">
        <v>671</v>
      </c>
      <c r="C248" s="7" t="str">
        <f t="shared" si="12"/>
        <v>Premium3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ハヌマーン</v>
      </c>
      <c r="I248" s="7" t="str">
        <f>VLOOKUP(B248,[1]characters!$A:$J,10,FALSE)</f>
        <v>PremiumS</v>
      </c>
      <c r="J248" s="7">
        <f>VLOOKUP(B248,[1]characters!$A:$I,9,FALSE)</f>
        <v>3</v>
      </c>
      <c r="K248" s="7" t="str">
        <f>VLOOKUP(B248,[1]characters!$A:$H,8,FALSE)</f>
        <v>green</v>
      </c>
      <c r="L248" s="7" t="str">
        <f>VLOOKUP(B248,[1]characters!$A:$K,11,FALSE)</f>
        <v>attack</v>
      </c>
      <c r="M248" s="7" t="str">
        <f>VLOOKUP(B248,[1]characters!$A:$M,13,FALSE)</f>
        <v>animal</v>
      </c>
      <c r="N248" s="7" t="str">
        <f>VLOOKUP(B248,[1]characters!$A:$G,7,FALSE)</f>
        <v>男性</v>
      </c>
      <c r="O248" s="45">
        <f ca="1">IFERROR(VLOOKUP(B248,input_433103!L:R,7,FALSE),VLOOKUP(tables_433103!C248,input_433103!A:H,8,FALSE))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input_433103!A$2</f>
        <v>433103</v>
      </c>
      <c r="B249" s="60">
        <v>672</v>
      </c>
      <c r="C249" s="7" t="str">
        <f t="shared" si="12"/>
        <v>Premium4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西遊韋駄天 ハヌマーン</v>
      </c>
      <c r="I249" s="7" t="str">
        <f>VLOOKUP(B249,[1]characters!$A:$J,10,FALSE)</f>
        <v>PremiumS</v>
      </c>
      <c r="J249" s="7">
        <f>VLOOKUP(B249,[1]characters!$A:$I,9,FALSE)</f>
        <v>4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IFERROR(VLOOKUP(B249,input_433103!L:R,7,FALSE),VLOOKUP(tables_433103!C249,input_433103!A:H,8,FALSE))</f>
        <v>57834.502509999998</v>
      </c>
      <c r="P249" s="46">
        <f t="shared" ca="1" si="13"/>
        <v>4.9448104061090648E-3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input_433103!A$2</f>
        <v>433103</v>
      </c>
      <c r="B250" s="60">
        <v>673</v>
      </c>
      <c r="C250" s="7" t="str">
        <f t="shared" si="12"/>
        <v>Premium5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変幻自在の猿王 ハヌマーン</v>
      </c>
      <c r="I250" s="7" t="str">
        <f>VLOOKUP(B250,[1]characters!$A:$J,10,FALSE)</f>
        <v>PremiumS</v>
      </c>
      <c r="J250" s="7">
        <f>VLOOKUP(B250,[1]characters!$A:$I,9,FALSE)</f>
        <v>5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IFERROR(VLOOKUP(B250,input_433103!L:R,7,FALSE),VLOOKUP(tables_433103!C250,input_433103!A:H,8,FALSE))</f>
        <v>1402.2974899999999</v>
      </c>
      <c r="P250" s="46">
        <f t="shared" ca="1" si="13"/>
        <v>1.1989547623088255E-4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input_433103!A$2</f>
        <v>433103</v>
      </c>
      <c r="B251" s="60">
        <v>674</v>
      </c>
      <c r="C251" s="7" t="str">
        <f t="shared" si="12"/>
        <v>PremiumSS4</v>
      </c>
      <c r="D251" s="7" t="str">
        <f t="shared" si="14"/>
        <v>PremiumSS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サラスヴァティ</v>
      </c>
      <c r="I251" s="7" t="str">
        <f>VLOOKUP(B251,[1]characters!$A:$J,10,FALSE)</f>
        <v>PremiumSS</v>
      </c>
      <c r="J251" s="7">
        <f>VLOOKUP(B251,[1]characters!$A:$I,9,FALSE)</f>
        <v>4</v>
      </c>
      <c r="K251" s="7" t="str">
        <f>VLOOKUP(B251,[1]characters!$A:$H,8,FALSE)</f>
        <v>blue</v>
      </c>
      <c r="L251" s="7" t="str">
        <f>VLOOKUP(B251,[1]characters!$A:$K,11,FALSE)</f>
        <v>balance</v>
      </c>
      <c r="M251" s="7" t="str">
        <f>VLOOKUP(B251,[1]characters!$A:$M,13,FALSE)</f>
        <v>god</v>
      </c>
      <c r="N251" s="7" t="str">
        <f>VLOOKUP(B251,[1]characters!$A:$G,7,FALSE)</f>
        <v>女性</v>
      </c>
      <c r="O251" s="45">
        <f ca="1">IFERROR(VLOOKUP(B251,input_433103!L:R,7,FALSE),VLOOKUP(tables_433103!C251,input_433103!A:H,8,FALSE))</f>
        <v>5168</v>
      </c>
      <c r="P251" s="46">
        <f t="shared" ca="1" si="13"/>
        <v>4.4186046511514543E-4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input_433103!A$2</f>
        <v>433103</v>
      </c>
      <c r="B252" s="60">
        <v>675</v>
      </c>
      <c r="C252" s="7" t="str">
        <f t="shared" si="12"/>
        <v>PremiumSS5</v>
      </c>
      <c r="D252" s="7" t="str">
        <f t="shared" si="14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芸楽の奔流 サラスヴァティ</v>
      </c>
      <c r="I252" s="7" t="str">
        <f>VLOOKUP(B252,[1]characters!$A:$J,10,FALSE)</f>
        <v>PremiumSS</v>
      </c>
      <c r="J252" s="7">
        <f>VLOOKUP(B252,[1]characters!$A:$I,9,FALSE)</f>
        <v>5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IFERROR(VLOOKUP(B252,input_433103!L:R,7,FALSE),VLOOKUP(tables_433103!C252,input_433103!A:H,8,FALSE))</f>
        <v>272</v>
      </c>
      <c r="P252" s="46">
        <f t="shared" ca="1" si="13"/>
        <v>2.3255813953428706E-5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input_433103!A$2</f>
        <v>433103</v>
      </c>
      <c r="B253" s="60">
        <v>676</v>
      </c>
      <c r="C253" s="7" t="str">
        <f t="shared" si="12"/>
        <v>PremiumSS4</v>
      </c>
      <c r="D253" s="7" t="str">
        <f t="shared" si="14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ヴィシュヌ</v>
      </c>
      <c r="I253" s="7" t="str">
        <f>VLOOKUP(B253,[1]characters!$A:$J,10,FALSE)</f>
        <v>PremiumSS</v>
      </c>
      <c r="J253" s="7">
        <f>VLOOKUP(B253,[1]characters!$A:$I,9,FALSE)</f>
        <v>4</v>
      </c>
      <c r="K253" s="7" t="str">
        <f>VLOOKUP(B253,[1]characters!$A:$H,8,FALSE)</f>
        <v>yellow</v>
      </c>
      <c r="L253" s="7" t="str">
        <f>VLOOKUP(B253,[1]characters!$A:$K,11,FALSE)</f>
        <v>attack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IFERROR(VLOOKUP(B253,input_433103!L:R,7,FALSE),VLOOKUP(tables_433103!C253,input_433103!A:H,8,FALSE))</f>
        <v>5168</v>
      </c>
      <c r="P253" s="46">
        <f t="shared" ca="1" si="13"/>
        <v>4.4186046511514543E-4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input_433103!A$2</f>
        <v>433103</v>
      </c>
      <c r="B254" s="60">
        <v>677</v>
      </c>
      <c r="C254" s="7" t="str">
        <f t="shared" si="12"/>
        <v>PremiumSS5</v>
      </c>
      <c r="D254" s="7" t="str">
        <f t="shared" si="14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武遊闊歩 ヴィシュヌ</v>
      </c>
      <c r="I254" s="7" t="str">
        <f>VLOOKUP(B254,[1]characters!$A:$J,10,FALSE)</f>
        <v>PremiumSS</v>
      </c>
      <c r="J254" s="7">
        <f>VLOOKUP(B254,[1]characters!$A:$I,9,FALSE)</f>
        <v>5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IFERROR(VLOOKUP(B254,input_433103!L:R,7,FALSE),VLOOKUP(tables_433103!C254,input_433103!A:H,8,FALSE))</f>
        <v>272</v>
      </c>
      <c r="P254" s="46">
        <f t="shared" ca="1" si="13"/>
        <v>2.3255813953428706E-5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input_433103!A$2</f>
        <v>433103</v>
      </c>
      <c r="B255" s="60">
        <v>728</v>
      </c>
      <c r="C255" s="7" t="str">
        <f t="shared" si="12"/>
        <v>Premium4R3lesscolor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>R3less</v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井伊直虎</v>
      </c>
      <c r="I255" s="7" t="str">
        <f>VLOOKUP(B255,[1]characters!$A:$J,10,FALSE)</f>
        <v>PremiumS</v>
      </c>
      <c r="J255" s="7">
        <f>VLOOKUP(B255,[1]characters!$A:$I,9,FALSE)</f>
        <v>4</v>
      </c>
      <c r="K255" s="7" t="str">
        <f>VLOOKUP(B255,[1]characters!$A:$H,8,FALSE)</f>
        <v>red</v>
      </c>
      <c r="L255" s="7" t="str">
        <f>VLOOKUP(B255,[1]characters!$A:$K,11,FALSE)</f>
        <v>balance</v>
      </c>
      <c r="M255" s="7" t="str">
        <f>VLOOKUP(B255,[1]characters!$A:$M,13,FALSE)</f>
        <v>human</v>
      </c>
      <c r="N255" s="7" t="str">
        <f>VLOOKUP(B255,[1]characters!$A:$G,7,FALSE)</f>
        <v>女性</v>
      </c>
      <c r="O255" s="45">
        <f ca="1">IFERROR(VLOOKUP(B255,input_433103!L:R,7,FALSE),VLOOKUP(tables_433103!C255,input_433103!A:H,8,FALSE))</f>
        <v>223678.37216999999</v>
      </c>
      <c r="P255" s="46">
        <f t="shared" ca="1" si="13"/>
        <v>1.9124347825703329E-2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input_433103!A$2</f>
        <v>433103</v>
      </c>
      <c r="B256" s="60">
        <v>729</v>
      </c>
      <c r="C256" s="7" t="str">
        <f t="shared" si="12"/>
        <v>Premium5R3lesscolor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暗厄の双刀 井伊直虎</v>
      </c>
      <c r="I256" s="7" t="str">
        <f>VLOOKUP(B256,[1]characters!$A:$J,10,FALSE)</f>
        <v>PremiumS</v>
      </c>
      <c r="J256" s="7">
        <f>VLOOKUP(B256,[1]characters!$A:$I,9,FALSE)</f>
        <v>5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IFERROR(VLOOKUP(B256,input_433103!L:R,7,FALSE),VLOOKUP(tables_433103!C256,input_433103!A:H,8,FALSE))</f>
        <v>14431.846960000001</v>
      </c>
      <c r="P256" s="46">
        <f t="shared" ca="1" si="13"/>
        <v>1.2339130437724842E-3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input_433103!A$2</f>
        <v>433103</v>
      </c>
      <c r="B257" s="60">
        <v>730</v>
      </c>
      <c r="C257" s="7" t="str">
        <f t="shared" si="12"/>
        <v>Premium4R3less</v>
      </c>
      <c r="D257" s="7" t="str">
        <f t="shared" si="14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ガラシャ</v>
      </c>
      <c r="I257" s="7" t="str">
        <f>VLOOKUP(B257,[1]characters!$A:$J,10,FALSE)</f>
        <v>PremiumS</v>
      </c>
      <c r="J257" s="7">
        <f>VLOOKUP(B257,[1]characters!$A:$I,9,FALSE)</f>
        <v>4</v>
      </c>
      <c r="K257" s="7" t="str">
        <f>VLOOKUP(B257,[1]characters!$A:$H,8,FALSE)</f>
        <v>green</v>
      </c>
      <c r="L257" s="7" t="str">
        <f>VLOOKUP(B257,[1]characters!$A:$K,11,FALSE)</f>
        <v>heal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IFERROR(VLOOKUP(B257,input_433103!L:R,7,FALSE),VLOOKUP(tables_433103!C257,input_433103!A:H,8,FALSE))</f>
        <v>87093.92</v>
      </c>
      <c r="P257" s="46">
        <f t="shared" ca="1" si="13"/>
        <v>7.4464705882161895E-3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input_433103!A$2</f>
        <v>433103</v>
      </c>
      <c r="B258" s="60">
        <v>731</v>
      </c>
      <c r="C258" s="7" t="str">
        <f t="shared" ref="C258:C284" si="16">D258&amp;J258&amp;E258&amp;F258&amp;G258</f>
        <v>Premium5R3less</v>
      </c>
      <c r="D258" s="7" t="str">
        <f t="shared" si="14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敬虔なる追銃 ガラシャ</v>
      </c>
      <c r="I258" s="7" t="str">
        <f>VLOOKUP(B258,[1]characters!$A:$J,10,FALSE)</f>
        <v>PremiumS</v>
      </c>
      <c r="J258" s="7">
        <f>VLOOKUP(B258,[1]characters!$A:$I,9,FALSE)</f>
        <v>5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IFERROR(VLOOKUP(B258,input_433103!L:R,7,FALSE),VLOOKUP(tables_433103!C258,input_433103!A:H,8,FALSE))</f>
        <v>3254.24</v>
      </c>
      <c r="P258" s="46">
        <f t="shared" ref="P258:P318" ca="1" si="17">O258/SUM(O:O)</f>
        <v>2.7823529411693322E-4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input_433103!A$2</f>
        <v>433103</v>
      </c>
      <c r="B259" s="60">
        <v>732</v>
      </c>
      <c r="C259" s="7" t="str">
        <f t="shared" si="16"/>
        <v>PremiumSS5R5only</v>
      </c>
      <c r="D259" s="7" t="str">
        <f t="shared" ref="D259:D305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>R5only</v>
      </c>
      <c r="F259" s="7" t="str">
        <f>IF(COUNTIF('R6開放'!A:A,B259)&gt;0,"R6release","")</f>
        <v/>
      </c>
      <c r="G259" s="7" t="str">
        <f t="shared" ref="G259:G318" si="19">IF(K259="red","color","")</f>
        <v/>
      </c>
      <c r="H259" s="7" t="str">
        <f>VLOOKUP(B259,[1]characters!$A:$C,3,FALSE)</f>
        <v>上杉謙信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attack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IFERROR(VLOOKUP(B259,input_433103!L:R,7,FALSE),VLOOKUP(tables_433103!C259,input_433103!A:H,8,FALSE))</f>
        <v>5440</v>
      </c>
      <c r="P259" s="46">
        <f t="shared" ca="1" si="17"/>
        <v>4.6511627906857414E-4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input_433103!A$2</f>
        <v>433103</v>
      </c>
      <c r="B260" s="60">
        <v>734</v>
      </c>
      <c r="C260" s="7" t="str">
        <f t="shared" si="16"/>
        <v>PremiumSS5R5only</v>
      </c>
      <c r="D260" s="7" t="str">
        <f t="shared" si="18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伊達政宗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yellow</v>
      </c>
      <c r="L260" s="7" t="str">
        <f>VLOOKUP(B260,[1]characters!$A:$K,11,FALSE)</f>
        <v>balance</v>
      </c>
      <c r="M260" s="7" t="str">
        <f>VLOOKUP(B260,[1]characters!$A:$M,13,FALSE)</f>
        <v>human</v>
      </c>
      <c r="N260" s="7" t="str">
        <f>VLOOKUP(B260,[1]characters!$A:$G,7,FALSE)</f>
        <v>男性</v>
      </c>
      <c r="O260" s="45">
        <f ca="1">IFERROR(VLOOKUP(B260,input_433103!L:R,7,FALSE),VLOOKUP(tables_433103!C260,input_433103!A:H,8,FALSE))</f>
        <v>5440</v>
      </c>
      <c r="P260" s="46">
        <f t="shared" ca="1" si="17"/>
        <v>4.6511627906857414E-4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input_433103!A$2</f>
        <v>433103</v>
      </c>
      <c r="B261" s="60">
        <v>770</v>
      </c>
      <c r="C261" s="7" t="str">
        <f t="shared" si="16"/>
        <v>PremiumSS4color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ハヅル</v>
      </c>
      <c r="I261" s="7" t="str">
        <f>VLOOKUP(B261,[1]characters!$A:$J,10,FALSE)</f>
        <v>PremiumSS</v>
      </c>
      <c r="J261" s="7">
        <f>VLOOKUP(B261,[1]characters!$A:$I,9,FALSE)</f>
        <v>4</v>
      </c>
      <c r="K261" s="7" t="str">
        <f>VLOOKUP(B261,[1]characters!$A:$H,8,FALSE)</f>
        <v>red</v>
      </c>
      <c r="L261" s="7" t="str">
        <f>VLOOKUP(B261,[1]characters!$A:$K,11,FALSE)</f>
        <v>balance</v>
      </c>
      <c r="M261" s="7" t="str">
        <f>VLOOKUP(B261,[1]characters!$A:$M,13,FALSE)</f>
        <v>animal</v>
      </c>
      <c r="N261" s="7" t="str">
        <f>VLOOKUP(B261,[1]characters!$A:$G,7,FALSE)</f>
        <v>女性</v>
      </c>
      <c r="O261" s="45">
        <f ca="1">IFERROR(VLOOKUP(B261,input_433103!L:R,7,FALSE),VLOOKUP(tables_433103!C261,input_433103!A:H,8,FALSE))</f>
        <v>23809.71429</v>
      </c>
      <c r="P261" s="46">
        <f t="shared" ca="1" si="17"/>
        <v>2.0357142860754885E-3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input_433103!A$2</f>
        <v>433103</v>
      </c>
      <c r="B262" s="60">
        <v>771</v>
      </c>
      <c r="C262" s="7" t="str">
        <f t="shared" si="16"/>
        <v>PremiumSS5color</v>
      </c>
      <c r="D262" s="7" t="str">
        <f t="shared" si="18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天織羽鶴 ハヅル</v>
      </c>
      <c r="I262" s="7" t="str">
        <f>VLOOKUP(B262,[1]characters!$A:$J,10,FALSE)</f>
        <v>PremiumSS</v>
      </c>
      <c r="J262" s="7">
        <f>VLOOKUP(B262,[1]characters!$A:$I,9,FALSE)</f>
        <v>5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IFERROR(VLOOKUP(B262,input_433103!L:R,7,FALSE),VLOOKUP(tables_433103!C262,input_433103!A:H,8,FALSE))</f>
        <v>1253.1428599999999</v>
      </c>
      <c r="P262" s="46">
        <f t="shared" ca="1" si="17"/>
        <v>1.0714285738686601E-4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input_433103!A$2</f>
        <v>433103</v>
      </c>
      <c r="B263" s="60">
        <v>772</v>
      </c>
      <c r="C263" s="7" t="str">
        <f t="shared" si="16"/>
        <v>PremiumSS4</v>
      </c>
      <c r="D263" s="7" t="str">
        <f t="shared" si="18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イナバ</v>
      </c>
      <c r="I263" s="7" t="str">
        <f>VLOOKUP(B263,[1]characters!$A:$J,10,FALSE)</f>
        <v>PremiumSS</v>
      </c>
      <c r="J263" s="7">
        <f>VLOOKUP(B263,[1]characters!$A:$I,9,FALSE)</f>
        <v>4</v>
      </c>
      <c r="K263" s="7" t="str">
        <f>VLOOKUP(B263,[1]characters!$A:$H,8,FALSE)</f>
        <v>green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IFERROR(VLOOKUP(B263,input_433103!L:R,7,FALSE),VLOOKUP(tables_433103!C263,input_433103!A:H,8,FALSE))</f>
        <v>5168</v>
      </c>
      <c r="P263" s="46">
        <f t="shared" ca="1" si="17"/>
        <v>4.4186046511514543E-4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input_433103!A$2</f>
        <v>433103</v>
      </c>
      <c r="B264" s="60">
        <v>773</v>
      </c>
      <c r="C264" s="7" t="str">
        <f t="shared" si="16"/>
        <v>PremiumSS5</v>
      </c>
      <c r="D264" s="7" t="str">
        <f t="shared" si="18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浮跳天兎 イナバ</v>
      </c>
      <c r="I264" s="7" t="str">
        <f>VLOOKUP(B264,[1]characters!$A:$J,10,FALSE)</f>
        <v>PremiumSS</v>
      </c>
      <c r="J264" s="7">
        <f>VLOOKUP(B264,[1]characters!$A:$I,9,FALSE)</f>
        <v>5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IFERROR(VLOOKUP(B264,input_433103!L:R,7,FALSE),VLOOKUP(tables_433103!C264,input_433103!A:H,8,FALSE))</f>
        <v>272</v>
      </c>
      <c r="P264" s="46">
        <f t="shared" ca="1" si="17"/>
        <v>2.3255813953428706E-5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input_433103!A$2</f>
        <v>433103</v>
      </c>
      <c r="B265" s="60">
        <v>774</v>
      </c>
      <c r="C265" s="7" t="str">
        <f t="shared" si="16"/>
        <v>Premium3</v>
      </c>
      <c r="D265" s="7" t="str">
        <f t="shared" si="18"/>
        <v>Premium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ミズチ</v>
      </c>
      <c r="I265" s="7" t="str">
        <f>VLOOKUP(B265,[1]characters!$A:$J,10,FALSE)</f>
        <v>PremiumS</v>
      </c>
      <c r="J265" s="7">
        <f>VLOOKUP(B265,[1]characters!$A:$I,9,FALSE)</f>
        <v>3</v>
      </c>
      <c r="K265" s="7" t="str">
        <f>VLOOKUP(B265,[1]characters!$A:$H,8,FALSE)</f>
        <v>blue</v>
      </c>
      <c r="L265" s="7" t="str">
        <f>VLOOKUP(B265,[1]characters!$A:$K,11,FALSE)</f>
        <v>heal</v>
      </c>
      <c r="M265" s="7" t="str">
        <f>VLOOKUP(B265,[1]characters!$A:$M,13,FALSE)</f>
        <v>dragon</v>
      </c>
      <c r="N265" s="7" t="str">
        <f>VLOOKUP(B265,[1]characters!$A:$G,7,FALSE)</f>
        <v>不明</v>
      </c>
      <c r="O265" s="45">
        <f ca="1">IFERROR(VLOOKUP(B265,input_433103!L:R,7,FALSE),VLOOKUP(tables_433103!C265,input_433103!A:H,8,FALSE))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input_433103!A$2</f>
        <v>433103</v>
      </c>
      <c r="B266" s="60">
        <v>775</v>
      </c>
      <c r="C266" s="7" t="str">
        <f t="shared" si="16"/>
        <v>Premium4</v>
      </c>
      <c r="D266" s="7" t="str">
        <f t="shared" si="18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水底霊竜 ミズチ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IFERROR(VLOOKUP(B266,input_433103!L:R,7,FALSE),VLOOKUP(tables_433103!C266,input_433103!A:H,8,FALSE))</f>
        <v>57834.502509999998</v>
      </c>
      <c r="P266" s="46">
        <f t="shared" ca="1" si="17"/>
        <v>4.9448104061090648E-3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input_433103!A$2</f>
        <v>433103</v>
      </c>
      <c r="B267" s="60">
        <v>776</v>
      </c>
      <c r="C267" s="7" t="str">
        <f t="shared" si="16"/>
        <v>Premium5</v>
      </c>
      <c r="D267" s="7" t="str">
        <f t="shared" si="18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水竜底主 ミズチ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IFERROR(VLOOKUP(B267,input_433103!L:R,7,FALSE),VLOOKUP(tables_433103!C267,input_433103!A:H,8,FALSE))</f>
        <v>1402.2974899999999</v>
      </c>
      <c r="P267" s="46">
        <f t="shared" ca="1" si="17"/>
        <v>1.1989547623088255E-4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input_433103!A$2</f>
        <v>433103</v>
      </c>
      <c r="B268" s="60">
        <v>777</v>
      </c>
      <c r="C268" s="7" t="str">
        <f t="shared" si="16"/>
        <v>Premium3</v>
      </c>
      <c r="D268" s="7" t="str">
        <f t="shared" si="18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ガメック</v>
      </c>
      <c r="I268" s="7" t="str">
        <f>VLOOKUP(B268,[1]characters!$A:$J,10,FALSE)</f>
        <v>PremiumS</v>
      </c>
      <c r="J268" s="7">
        <f>VLOOKUP(B268,[1]characters!$A:$I,9,FALSE)</f>
        <v>3</v>
      </c>
      <c r="K268" s="7" t="str">
        <f>VLOOKUP(B268,[1]characters!$A:$H,8,FALSE)</f>
        <v>yellow</v>
      </c>
      <c r="L268" s="7" t="str">
        <f>VLOOKUP(B268,[1]characters!$A:$K,11,FALSE)</f>
        <v>hp</v>
      </c>
      <c r="M268" s="7" t="str">
        <f>VLOOKUP(B268,[1]characters!$A:$M,13,FALSE)</f>
        <v>animal</v>
      </c>
      <c r="N268" s="7" t="str">
        <f>VLOOKUP(B268,[1]characters!$A:$G,7,FALSE)</f>
        <v>不明</v>
      </c>
      <c r="O268" s="45">
        <f ca="1">IFERROR(VLOOKUP(B268,input_433103!L:R,7,FALSE),VLOOKUP(tables_433103!C268,input_433103!A:H,8,FALSE))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input_433103!A$2</f>
        <v>433103</v>
      </c>
      <c r="B269" s="60">
        <v>778</v>
      </c>
      <c r="C269" s="7" t="str">
        <f t="shared" si="16"/>
        <v>Premium4</v>
      </c>
      <c r="D269" s="7" t="str">
        <f t="shared" si="18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一亀懸明 ガメック</v>
      </c>
      <c r="I269" s="7" t="str">
        <f>VLOOKUP(B269,[1]characters!$A:$J,10,FALSE)</f>
        <v>PremiumS</v>
      </c>
      <c r="J269" s="7">
        <f>VLOOKUP(B269,[1]characters!$A:$I,9,FALSE)</f>
        <v>4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IFERROR(VLOOKUP(B269,input_433103!L:R,7,FALSE),VLOOKUP(tables_433103!C269,input_433103!A:H,8,FALSE))</f>
        <v>57834.502509999998</v>
      </c>
      <c r="P269" s="46">
        <f t="shared" ca="1" si="17"/>
        <v>4.9448104061090648E-3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input_433103!A$2</f>
        <v>433103</v>
      </c>
      <c r="B270" s="60">
        <v>779</v>
      </c>
      <c r="C270" s="7" t="str">
        <f t="shared" si="16"/>
        <v>Premium5</v>
      </c>
      <c r="D270" s="7" t="str">
        <f t="shared" si="18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頑堅咬亀 ガメック</v>
      </c>
      <c r="I270" s="7" t="str">
        <f>VLOOKUP(B270,[1]characters!$A:$J,10,FALSE)</f>
        <v>PremiumS</v>
      </c>
      <c r="J270" s="7">
        <f>VLOOKUP(B270,[1]characters!$A:$I,9,FALSE)</f>
        <v>5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IFERROR(VLOOKUP(B270,input_433103!L:R,7,FALSE),VLOOKUP(tables_433103!C270,input_433103!A:H,8,FALSE))</f>
        <v>1402.2974899999999</v>
      </c>
      <c r="P270" s="46">
        <f t="shared" ca="1" si="17"/>
        <v>1.1989547623088255E-4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input_433103!A$2</f>
        <v>433103</v>
      </c>
      <c r="B271" s="82">
        <v>848</v>
      </c>
      <c r="C271" s="7" t="str">
        <f t="shared" si="16"/>
        <v>PremiumSS5R5onlycolor</v>
      </c>
      <c r="D271" s="7" t="str">
        <f t="shared" si="18"/>
        <v>PremiumSS</v>
      </c>
      <c r="E271" s="7" t="str">
        <f>IF(COUNTIF('R6追加前'!A:A,B271)=0,IF(OR(I271="PremiumSS",I271="PremiumSSw"),"R5only","R3less"),"")</f>
        <v>R5only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メタトロン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red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IFERROR(VLOOKUP(B271,input_433103!L:R,7,FALSE),VLOOKUP(tables_433103!C271,input_433103!A:H,8,FALSE))</f>
        <v>25062.85714</v>
      </c>
      <c r="P271" s="46">
        <f t="shared" ca="1" si="17"/>
        <v>2.1428571426073614E-3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input_433103!A$2</f>
        <v>433103</v>
      </c>
      <c r="B272" s="82">
        <v>850</v>
      </c>
      <c r="C272" s="7" t="str">
        <f t="shared" si="16"/>
        <v>PremiumSS5R5only</v>
      </c>
      <c r="D272" s="7" t="str">
        <f t="shared" si="18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バアル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green</v>
      </c>
      <c r="L272" s="7" t="str">
        <f>VLOOKUP(B272,[1]characters!$A:$K,11,FALSE)</f>
        <v>technical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IFERROR(VLOOKUP(B272,input_433103!L:R,7,FALSE),VLOOKUP(tables_433103!C272,input_433103!A:H,8,FALSE))</f>
        <v>5440</v>
      </c>
      <c r="P272" s="46">
        <f t="shared" ca="1" si="17"/>
        <v>4.6511627906857414E-4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input_433103!A$2</f>
        <v>433103</v>
      </c>
      <c r="B273" s="82">
        <v>852</v>
      </c>
      <c r="C273" s="7" t="str">
        <f t="shared" si="16"/>
        <v>Premium4R3less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サキエル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blue</v>
      </c>
      <c r="L273" s="7" t="str">
        <f>VLOOKUP(B273,[1]characters!$A:$K,11,FALSE)</f>
        <v>hp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IFERROR(VLOOKUP(B273,input_433103!L:R,7,FALSE),VLOOKUP(tables_433103!C273,input_433103!A:H,8,FALSE))</f>
        <v>87093.92</v>
      </c>
      <c r="P273" s="46">
        <f t="shared" ca="1" si="17"/>
        <v>7.4464705882161895E-3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input_433103!A$2</f>
        <v>433103</v>
      </c>
      <c r="B274" s="82">
        <v>853</v>
      </c>
      <c r="C274" s="7" t="str">
        <f t="shared" si="16"/>
        <v>Premium5R3less</v>
      </c>
      <c r="D274" s="7" t="str">
        <f t="shared" si="18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裂爪の天使 サキエル・ティア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IFERROR(VLOOKUP(B274,input_433103!L:R,7,FALSE),VLOOKUP(tables_433103!C274,input_433103!A:H,8,FALSE))</f>
        <v>3254.24</v>
      </c>
      <c r="P274" s="46">
        <f t="shared" ca="1" si="17"/>
        <v>2.7823529411693322E-4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input_433103!A$2</f>
        <v>433103</v>
      </c>
      <c r="B275" s="82">
        <v>854</v>
      </c>
      <c r="C275" s="7" t="str">
        <f t="shared" si="16"/>
        <v>Premium4R3less</v>
      </c>
      <c r="D275" s="7" t="str">
        <f t="shared" si="18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フラウロス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yellow</v>
      </c>
      <c r="L275" s="7" t="str">
        <f>VLOOKUP(B275,[1]characters!$A:$K,11,FALSE)</f>
        <v>attack</v>
      </c>
      <c r="M275" s="7" t="str">
        <f>VLOOKUP(B275,[1]characters!$A:$M,13,FALSE)</f>
        <v>animal</v>
      </c>
      <c r="N275" s="7" t="str">
        <f>VLOOKUP(B275,[1]characters!$A:$G,7,FALSE)</f>
        <v>男性</v>
      </c>
      <c r="O275" s="45">
        <f ca="1">IFERROR(VLOOKUP(B275,input_433103!L:R,7,FALSE),VLOOKUP(tables_433103!C275,input_433103!A:H,8,FALSE))</f>
        <v>87093.92</v>
      </c>
      <c r="P275" s="46">
        <f t="shared" ca="1" si="17"/>
        <v>7.4464705882161895E-3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input_433103!A$2</f>
        <v>433103</v>
      </c>
      <c r="B276" s="82">
        <v>855</v>
      </c>
      <c r="C276" s="7" t="str">
        <f t="shared" si="16"/>
        <v>Premium5R3less</v>
      </c>
      <c r="D276" s="7" t="str">
        <f t="shared" si="18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豹魔の侠客 フラウロス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IFERROR(VLOOKUP(B276,input_433103!L:R,7,FALSE),VLOOKUP(tables_433103!C276,input_433103!A:H,8,FALSE))</f>
        <v>3254.24</v>
      </c>
      <c r="P276" s="46">
        <f t="shared" ca="1" si="17"/>
        <v>2.7823529411693322E-4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input_433103!A$2</f>
        <v>433103</v>
      </c>
      <c r="B277" s="82">
        <v>862</v>
      </c>
      <c r="C277" s="7" t="str">
        <f t="shared" si="16"/>
        <v>Premium4R3lesscolor</v>
      </c>
      <c r="D277" s="7" t="str">
        <f t="shared" si="18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IFERROR(VLOOKUP(B277,input_433103!L:R,7,FALSE),VLOOKUP(tables_433103!C277,input_433103!A:H,8,FALSE))</f>
        <v>223678.37216999999</v>
      </c>
      <c r="P277" s="46">
        <f t="shared" ca="1" si="17"/>
        <v>1.9124347825703329E-2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input_433103!A$2</f>
        <v>433103</v>
      </c>
      <c r="B278" s="82">
        <v>863</v>
      </c>
      <c r="C278" s="7" t="str">
        <f t="shared" si="16"/>
        <v>Premium5R3lesscolor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IFERROR(VLOOKUP(B278,input_433103!L:R,7,FALSE),VLOOKUP(tables_433103!C278,input_433103!A:H,8,FALSE))</f>
        <v>14431.846960000001</v>
      </c>
      <c r="P278" s="46">
        <f t="shared" ca="1" si="17"/>
        <v>1.2339130437724842E-3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input_433103!A$2</f>
        <v>433103</v>
      </c>
      <c r="B279" s="82">
        <v>864</v>
      </c>
      <c r="C279" s="7" t="str">
        <f t="shared" si="16"/>
        <v>Premium4R3less</v>
      </c>
      <c r="D279" s="7" t="str">
        <f t="shared" si="18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IFERROR(VLOOKUP(B279,input_433103!L:R,7,FALSE),VLOOKUP(tables_433103!C279,input_433103!A:H,8,FALSE))</f>
        <v>87093.92</v>
      </c>
      <c r="P279" s="46">
        <f t="shared" ca="1" si="17"/>
        <v>7.4464705882161895E-3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input_433103!A$2</f>
        <v>433103</v>
      </c>
      <c r="B280" s="82">
        <v>865</v>
      </c>
      <c r="C280" s="7" t="str">
        <f t="shared" si="16"/>
        <v>Premium5R3less</v>
      </c>
      <c r="D280" s="7" t="str">
        <f t="shared" si="18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IFERROR(VLOOKUP(B280,input_433103!L:R,7,FALSE),VLOOKUP(tables_433103!C280,input_433103!A:H,8,FALSE))</f>
        <v>3254.24</v>
      </c>
      <c r="P280" s="46">
        <f t="shared" ca="1" si="17"/>
        <v>2.7823529411693322E-4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input_433103!A$2</f>
        <v>433103</v>
      </c>
      <c r="B281" s="82">
        <v>866</v>
      </c>
      <c r="C281" s="7" t="str">
        <f t="shared" si="16"/>
        <v>PremiumSS5R5only</v>
      </c>
      <c r="D281" s="7" t="str">
        <f t="shared" si="18"/>
        <v>PremiumSS</v>
      </c>
      <c r="E281" s="7" t="str">
        <f>IF(COUNTIF('R6追加前'!A:A,B281)=0,IF(OR(I281="PremiumSS",I281="PremiumSSw"),"R5only","R3less"),"")</f>
        <v>R5only</v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IFERROR(VLOOKUP(B281,input_433103!L:R,7,FALSE),VLOOKUP(tables_433103!C281,input_433103!A:H,8,FALSE))</f>
        <v>5440</v>
      </c>
      <c r="P281" s="46">
        <f t="shared" ca="1" si="17"/>
        <v>4.6511627906857414E-4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input_433103!A$2</f>
        <v>433103</v>
      </c>
      <c r="B282" s="82">
        <v>868</v>
      </c>
      <c r="C282" s="7" t="str">
        <f t="shared" si="16"/>
        <v>PremiumSS5R5only</v>
      </c>
      <c r="D282" s="7" t="str">
        <f t="shared" si="18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IFERROR(VLOOKUP(B282,input_433103!L:R,7,FALSE),VLOOKUP(tables_433103!C282,input_433103!A:H,8,FALSE))</f>
        <v>5440</v>
      </c>
      <c r="P282" s="46">
        <f t="shared" ca="1" si="17"/>
        <v>4.6511627906857414E-4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input_433103!A$2</f>
        <v>433103</v>
      </c>
      <c r="B283" s="5">
        <v>742</v>
      </c>
      <c r="C283" s="7" t="str">
        <f t="shared" si="16"/>
        <v>PremiumSS5R5onlycolor</v>
      </c>
      <c r="D283" s="7" t="str">
        <f t="shared" si="18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9"/>
        <v>color</v>
      </c>
      <c r="H283" s="7" t="str">
        <f>VLOOKUP(B283,[1]characters!$A:$C,3,FALSE)</f>
        <v>アポロン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red</v>
      </c>
      <c r="L283" s="7" t="str">
        <f>VLOOKUP(B283,[1]characters!$A:$K,11,FALSE)</f>
        <v>attack</v>
      </c>
      <c r="M283" s="7" t="str">
        <f>VLOOKUP(B283,[1]characters!$A:$M,13,FALSE)</f>
        <v>god</v>
      </c>
      <c r="N283" s="7" t="str">
        <f>VLOOKUP(B283,[1]characters!$A:$G,7,FALSE)</f>
        <v>男性</v>
      </c>
      <c r="O283" s="45">
        <f ca="1">IFERROR(VLOOKUP(B283,input_433103!L:R,7,FALSE),VLOOKUP(tables_433103!C283,input_433103!A:H,8,FALSE))</f>
        <v>25062.85714</v>
      </c>
      <c r="P283" s="46">
        <f t="shared" ca="1" si="17"/>
        <v>2.1428571426073614E-3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input_433103!A$2</f>
        <v>433103</v>
      </c>
      <c r="B284" s="5">
        <v>744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ヘルメス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green</v>
      </c>
      <c r="L284" s="7" t="str">
        <f>VLOOKUP(B284,[1]characters!$A:$K,11,FALSE)</f>
        <v>technical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IFERROR(VLOOKUP(B284,input_433103!L:R,7,FALSE),VLOOKUP(tables_433103!C284,input_433103!A:H,8,FALSE))</f>
        <v>5440</v>
      </c>
      <c r="P284" s="46">
        <f t="shared" ca="1" si="17"/>
        <v>4.6511627906857414E-4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input_433103!A$2</f>
        <v>433103</v>
      </c>
      <c r="B285" s="5">
        <v>746</v>
      </c>
      <c r="C285" s="7" t="str">
        <f t="shared" ref="C285:C290" si="20">D285&amp;J285&amp;E285&amp;F285&amp;G285</f>
        <v>Premium4R3less</v>
      </c>
      <c r="D285" s="7" t="str">
        <f t="shared" si="18"/>
        <v>Premium</v>
      </c>
      <c r="E285" s="7" t="str">
        <f>IF(COUNTIF('R6追加前'!A:A,B285)=0,IF(OR(I285="PremiumSS",I285="PremiumSSw"),"R5only","R3less"),"")</f>
        <v>R3less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ノルン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IFERROR(VLOOKUP(B285,input_433103!L:R,7,FALSE),VLOOKUP(tables_433103!C285,input_433103!A:H,8,FALSE))</f>
        <v>87093.92</v>
      </c>
      <c r="P285" s="46">
        <f t="shared" ca="1" si="17"/>
        <v>7.4464705882161895E-3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input_433103!A$2</f>
        <v>433103</v>
      </c>
      <c r="B286" s="5">
        <v>747</v>
      </c>
      <c r="C286" s="7" t="str">
        <f t="shared" si="20"/>
        <v>Premium5R3less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IFERROR(VLOOKUP(B286,input_433103!L:R,7,FALSE),VLOOKUP(tables_433103!C286,input_433103!A:H,8,FALSE))</f>
        <v>3254.24</v>
      </c>
      <c r="P286" s="46">
        <f t="shared" ca="1" si="17"/>
        <v>2.7823529411693322E-4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input_433103!A$2</f>
        <v>433103</v>
      </c>
      <c r="B287" s="5">
        <v>748</v>
      </c>
      <c r="C287" s="7" t="str">
        <f t="shared" si="20"/>
        <v>Premium4R3less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パーン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IFERROR(VLOOKUP(B287,input_433103!L:R,7,FALSE),VLOOKUP(tables_433103!C287,input_433103!A:H,8,FALSE))</f>
        <v>87093.92</v>
      </c>
      <c r="P287" s="46">
        <f t="shared" ca="1" si="17"/>
        <v>7.4464705882161895E-3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input_433103!A$2</f>
        <v>433103</v>
      </c>
      <c r="B288" s="5">
        <v>749</v>
      </c>
      <c r="C288" s="7" t="str">
        <f t="shared" si="20"/>
        <v>Premium5R3less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光喜の牧童 パーン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IFERROR(VLOOKUP(B288,input_433103!L:R,7,FALSE),VLOOKUP(tables_433103!C288,input_433103!A:H,8,FALSE))</f>
        <v>3254.24</v>
      </c>
      <c r="P288" s="46">
        <f t="shared" ca="1" si="17"/>
        <v>2.7823529411693322E-4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input_433103!A$2</f>
        <v>433103</v>
      </c>
      <c r="B289" s="5">
        <v>937</v>
      </c>
      <c r="C289" s="7" t="str">
        <f t="shared" si="20"/>
        <v>PremiumSS5R5onlycolor</v>
      </c>
      <c r="D289" s="7" t="str">
        <f t="shared" si="18"/>
        <v>PremiumSS</v>
      </c>
      <c r="E289" s="7" t="str">
        <f>IF(COUNTIF('R6追加前'!A:A,B289)=0,IF(OR(I289="PremiumSS",I289="PremiumSSw"),"R5only","R3less"),"")</f>
        <v>R5only</v>
      </c>
      <c r="F289" s="7" t="str">
        <f>IF(COUNTIF('R6開放'!A:A,B289)&gt;0,"R6release","")</f>
        <v/>
      </c>
      <c r="G289" s="7" t="str">
        <f t="shared" si="19"/>
        <v>color</v>
      </c>
      <c r="H289" s="7" t="str">
        <f>VLOOKUP(B289,[1]characters!$A:$C,3,FALSE)</f>
        <v>ナポレオン</v>
      </c>
      <c r="I289" s="7" t="str">
        <f>VLOOKUP(B289,[1]characters!$A:$J,10,FALSE)</f>
        <v>PremiumSS</v>
      </c>
      <c r="J289" s="7">
        <f>VLOOKUP(B289,[1]characters!$A:$I,9,FALSE)</f>
        <v>5</v>
      </c>
      <c r="K289" s="7" t="str">
        <f>VLOOKUP(B289,[1]characters!$A:$H,8,FALSE)</f>
        <v>red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男性</v>
      </c>
      <c r="O289" s="45">
        <f ca="1">IFERROR(VLOOKUP(B289,input_433103!L:R,7,FALSE),VLOOKUP(tables_433103!C289,input_433103!A:H,8,FALSE))</f>
        <v>25062.85714</v>
      </c>
      <c r="P289" s="46">
        <f t="shared" ca="1" si="17"/>
        <v>2.1428571426073614E-3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input_433103!A$2</f>
        <v>433103</v>
      </c>
      <c r="B290" s="5">
        <v>939</v>
      </c>
      <c r="C290" s="7" t="str">
        <f t="shared" si="20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バスティーユ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hp</v>
      </c>
      <c r="M290" s="7" t="str">
        <f>VLOOKUP(B290,[1]characters!$A:$M,13,FALSE)</f>
        <v>unknown</v>
      </c>
      <c r="N290" s="7" t="str">
        <f>VLOOKUP(B290,[1]characters!$A:$G,7,FALSE)</f>
        <v>男性</v>
      </c>
      <c r="O290" s="45">
        <f ca="1">IFERROR(VLOOKUP(B290,input_433103!L:R,7,FALSE),VLOOKUP(tables_433103!C290,input_433103!A:H,8,FALSE))</f>
        <v>87093.92</v>
      </c>
      <c r="P290" s="46">
        <f t="shared" ca="1" si="17"/>
        <v>7.4464705882161895E-3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input_433103!A$2</f>
        <v>433103</v>
      </c>
      <c r="B291" s="5">
        <v>940</v>
      </c>
      <c r="C291" s="7" t="str">
        <f t="shared" ref="C291:C300" si="21">D291&amp;J291&amp;E291&amp;F291&amp;G291</f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不壊の大要塞 バスティーユ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IFERROR(VLOOKUP(B291,input_433103!L:R,7,FALSE),VLOOKUP(tables_433103!C291,input_433103!A:H,8,FALSE))</f>
        <v>3254.24</v>
      </c>
      <c r="P291" s="46">
        <f t="shared" ca="1" si="17"/>
        <v>2.7823529411693322E-4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input_433103!A$2</f>
        <v>433103</v>
      </c>
      <c r="B292" s="5">
        <v>941</v>
      </c>
      <c r="C292" s="7" t="str">
        <f t="shared" si="21"/>
        <v>PremiumSS5R5only</v>
      </c>
      <c r="D292" s="7" t="str">
        <f t="shared" si="18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アントワネット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blue</v>
      </c>
      <c r="L292" s="7" t="str">
        <f>VLOOKUP(B292,[1]characters!$A:$K,11,FALSE)</f>
        <v>technical</v>
      </c>
      <c r="M292" s="7" t="str">
        <f>VLOOKUP(B292,[1]characters!$A:$M,13,FALSE)</f>
        <v>human</v>
      </c>
      <c r="N292" s="7" t="str">
        <f>VLOOKUP(B292,[1]characters!$A:$G,7,FALSE)</f>
        <v>男性</v>
      </c>
      <c r="O292" s="45">
        <f ca="1">IFERROR(VLOOKUP(B292,input_433103!L:R,7,FALSE),VLOOKUP(tables_433103!C292,input_433103!A:H,8,FALSE))</f>
        <v>5440</v>
      </c>
      <c r="P292" s="46">
        <f t="shared" ca="1" si="17"/>
        <v>4.6511627906857414E-4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input_433103!A$2</f>
        <v>433103</v>
      </c>
      <c r="B293" s="5">
        <v>943</v>
      </c>
      <c r="C293" s="7" t="str">
        <f t="shared" si="21"/>
        <v>PremiumSS5R5only</v>
      </c>
      <c r="D293" s="7" t="str">
        <f t="shared" si="18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サンソン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yellow</v>
      </c>
      <c r="L293" s="7" t="str">
        <f>VLOOKUP(B293,[1]characters!$A:$K,11,FALSE)</f>
        <v>attack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IFERROR(VLOOKUP(B293,input_433103!L:R,7,FALSE),VLOOKUP(tables_433103!C293,input_433103!A:H,8,FALSE))</f>
        <v>5440</v>
      </c>
      <c r="P293" s="46">
        <f t="shared" ca="1" si="17"/>
        <v>4.6511627906857414E-4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input_433103!A$2</f>
        <v>433103</v>
      </c>
      <c r="B294" s="5">
        <v>1012</v>
      </c>
      <c r="C294" s="7" t="str">
        <f t="shared" si="21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ラー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red</v>
      </c>
      <c r="L294" s="7" t="str">
        <f>VLOOKUP(B294,[1]characters!$A:$K,11,FALSE)</f>
        <v>balance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5">
        <f ca="1">IFERROR(VLOOKUP(B294,input_433103!L:R,7,FALSE),VLOOKUP(tables_433103!C294,input_433103!A:H,8,FALSE))</f>
        <v>25062.85714</v>
      </c>
      <c r="P294" s="46">
        <f t="shared" ca="1" si="17"/>
        <v>2.1428571426073614E-3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input_433103!A$2</f>
        <v>433103</v>
      </c>
      <c r="B295" s="5">
        <v>1014</v>
      </c>
      <c r="C295" s="7" t="str">
        <f t="shared" si="21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イシス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green</v>
      </c>
      <c r="L295" s="7" t="str">
        <f>VLOOKUP(B295,[1]characters!$A:$K,11,FALSE)</f>
        <v>hp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IFERROR(VLOOKUP(B295,input_433103!L:R,7,FALSE),VLOOKUP(tables_433103!C295,input_433103!A:H,8,FALSE))</f>
        <v>5440</v>
      </c>
      <c r="P295" s="46">
        <f t="shared" ca="1" si="17"/>
        <v>4.6511627906857414E-4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input_433103!A$2</f>
        <v>433103</v>
      </c>
      <c r="B296" s="5">
        <v>1016</v>
      </c>
      <c r="C296" s="7" t="str">
        <f t="shared" si="21"/>
        <v>Premium4R3less</v>
      </c>
      <c r="D296" s="7" t="str">
        <f t="shared" si="18"/>
        <v>Premium</v>
      </c>
      <c r="E296" s="7" t="str">
        <f>IF(COUNTIF('R6追加前'!A:A,B296)=0,IF(OR(I296="PremiumSS",I296="PremiumSSw"),"R5only","R3less"),"")</f>
        <v>R3less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ハトホル</v>
      </c>
      <c r="I296" s="7" t="str">
        <f>VLOOKUP(B296,[1]characters!$A:$J,10,FALSE)</f>
        <v>PremiumS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heal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IFERROR(VLOOKUP(B296,input_433103!L:R,7,FALSE),VLOOKUP(tables_433103!C296,input_433103!A:H,8,FALSE))</f>
        <v>87093.92</v>
      </c>
      <c r="P296" s="46">
        <f t="shared" ca="1" si="17"/>
        <v>7.4464705882161895E-3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input_433103!A$2</f>
        <v>433103</v>
      </c>
      <c r="B297" s="5">
        <v>1017</v>
      </c>
      <c r="C297" s="7" t="str">
        <f t="shared" si="21"/>
        <v>Premium5R3less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命瞳の慈母神 ハトホル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IFERROR(VLOOKUP(B297,input_433103!L:R,7,FALSE),VLOOKUP(tables_433103!C297,input_433103!A:H,8,FALSE))</f>
        <v>3254.24</v>
      </c>
      <c r="P297" s="46">
        <f t="shared" ca="1" si="17"/>
        <v>2.7823529411693322E-4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input_433103!A$2</f>
        <v>433103</v>
      </c>
      <c r="B298" s="5">
        <v>1018</v>
      </c>
      <c r="C298" s="7" t="str">
        <f t="shared" si="21"/>
        <v>PremiumSS5R5only</v>
      </c>
      <c r="D298" s="7" t="str">
        <f t="shared" si="18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バステト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attack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IFERROR(VLOOKUP(B298,input_433103!L:R,7,FALSE),VLOOKUP(tables_433103!C298,input_433103!A:H,8,FALSE))</f>
        <v>5440</v>
      </c>
      <c r="P298" s="46">
        <f t="shared" ca="1" si="17"/>
        <v>4.6511627906857414E-4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input_433103!A$2</f>
        <v>433103</v>
      </c>
      <c r="B299" s="5">
        <v>1026</v>
      </c>
      <c r="C299" s="7" t="str">
        <f t="shared" si="21"/>
        <v>Premium4R3lesscolor</v>
      </c>
      <c r="D299" s="7" t="str">
        <f t="shared" si="18"/>
        <v>Premium</v>
      </c>
      <c r="E299" s="7" t="str">
        <f>IF(COUNTIF('R6追加前'!A:A,B299)=0,IF(OR(I299="PremiumSS",I299="PremiumSSw"),"R5only","R3less"),"")</f>
        <v>R3less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蝉丸</v>
      </c>
      <c r="I299" s="7" t="str">
        <f>VLOOKUP(B299,[1]characters!$A:$J,10,FALSE)</f>
        <v>PremiumS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attack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IFERROR(VLOOKUP(B299,input_433103!L:R,7,FALSE),VLOOKUP(tables_433103!C299,input_433103!A:H,8,FALSE))</f>
        <v>223678.37216999999</v>
      </c>
      <c r="P299" s="46">
        <f t="shared" ca="1" si="17"/>
        <v>1.9124347825703329E-2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input_433103!A$2</f>
        <v>433103</v>
      </c>
      <c r="B300" s="5">
        <v>1027</v>
      </c>
      <c r="C300" s="7" t="str">
        <f t="shared" si="21"/>
        <v>Premium5R3lesscolor</v>
      </c>
      <c r="D300" s="7" t="str">
        <f t="shared" si="18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9"/>
        <v>color</v>
      </c>
      <c r="H300" s="7" t="str">
        <f>VLOOKUP(B300,[1]characters!$A:$C,3,FALSE)</f>
        <v>弾丸多重奏 蝉丸</v>
      </c>
      <c r="I300" s="7" t="str">
        <f>VLOOKUP(B300,[1]characters!$A:$J,10,FALSE)</f>
        <v>PremiumS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IFERROR(VLOOKUP(B300,input_433103!L:R,7,FALSE),VLOOKUP(tables_433103!C300,input_433103!A:H,8,FALSE))</f>
        <v>14431.846960000001</v>
      </c>
      <c r="P300" s="46">
        <f t="shared" ca="1" si="17"/>
        <v>1.2339130437724842E-3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input_433103!A$2</f>
        <v>433103</v>
      </c>
      <c r="B301" s="5">
        <v>1028</v>
      </c>
      <c r="C301" s="7" t="str">
        <f t="shared" ref="C301:C304" si="22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牛若丸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green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IFERROR(VLOOKUP(B301,input_433103!L:R,7,FALSE),VLOOKUP(tables_433103!C301,input_433103!A:H,8,FALSE))</f>
        <v>5440</v>
      </c>
      <c r="P301" s="46">
        <f t="shared" ca="1" si="17"/>
        <v>4.6511627906857414E-4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input_433103!A$2</f>
        <v>433103</v>
      </c>
      <c r="B302" s="5">
        <v>1031</v>
      </c>
      <c r="C302" s="7" t="str">
        <f t="shared" si="22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紫式部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IFERROR(VLOOKUP(B302,input_433103!L:R,7,FALSE),VLOOKUP(tables_433103!C302,input_433103!A:H,8,FALSE))</f>
        <v>5440</v>
      </c>
      <c r="P302" s="46">
        <f t="shared" ca="1" si="17"/>
        <v>4.6511627906857414E-4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input_433103!A$2</f>
        <v>433103</v>
      </c>
      <c r="B303" s="5">
        <v>1033</v>
      </c>
      <c r="C303" s="7" t="str">
        <f t="shared" si="22"/>
        <v>PremiumSS5R5only</v>
      </c>
      <c r="D303" s="7" t="str">
        <f t="shared" si="18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清少納言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heal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IFERROR(VLOOKUP(B303,input_433103!L:R,7,FALSE),VLOOKUP(tables_433103!C303,input_433103!A:H,8,FALSE))</f>
        <v>5440</v>
      </c>
      <c r="P303" s="46">
        <f t="shared" ca="1" si="17"/>
        <v>4.6511627906857414E-4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input_433103!A$2</f>
        <v>433103</v>
      </c>
      <c r="B304" s="5">
        <v>1067</v>
      </c>
      <c r="C304" s="7" t="str">
        <f t="shared" si="22"/>
        <v>Premium4R3lesscolor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ウシュムガル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red</v>
      </c>
      <c r="L304" s="7" t="str">
        <f>VLOOKUP(B304,[1]characters!$A:$K,11,FALSE)</f>
        <v>balance</v>
      </c>
      <c r="M304" s="7" t="str">
        <f>VLOOKUP(B304,[1]characters!$A:$M,13,FALSE)</f>
        <v>dragon</v>
      </c>
      <c r="N304" s="7" t="str">
        <f>VLOOKUP(B304,[1]characters!$A:$G,7,FALSE)</f>
        <v>男性</v>
      </c>
      <c r="O304" s="45">
        <f ca="1">IFERROR(VLOOKUP(B304,input_433103!L:R,7,FALSE),VLOOKUP(tables_433103!C304,input_433103!A:H,8,FALSE))</f>
        <v>223678.37216999999</v>
      </c>
      <c r="P304" s="46">
        <f t="shared" ca="1" si="17"/>
        <v>1.9124347825703329E-2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input_433103!A$2</f>
        <v>433103</v>
      </c>
      <c r="B305" s="5">
        <v>1068</v>
      </c>
      <c r="C305" s="7" t="str">
        <f t="shared" ref="C305" si="23">D305&amp;J305&amp;E305&amp;F305&amp;G305</f>
        <v>Premium5R3lesscolor</v>
      </c>
      <c r="D305" s="7" t="str">
        <f t="shared" si="18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9"/>
        <v>color</v>
      </c>
      <c r="H305" s="7" t="str">
        <f>VLOOKUP(B305,[1]characters!$A:$C,3,FALSE)</f>
        <v>想母の羽龍 ウシュムガル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IFERROR(VLOOKUP(B305,input_433103!L:R,7,FALSE),VLOOKUP(tables_433103!C305,input_433103!A:H,8,FALSE))</f>
        <v>14431.846960000001</v>
      </c>
      <c r="P305" s="46">
        <f t="shared" ca="1" si="17"/>
        <v>1.2339130437724842E-3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input_433103!A$2</f>
        <v>433103</v>
      </c>
      <c r="B306" s="5">
        <v>1069</v>
      </c>
      <c r="C306" s="7" t="str">
        <f t="shared" ref="C306:C310" si="24">D306&amp;J306&amp;E306&amp;F306&amp;G306</f>
        <v>PremiumSS5R5only</v>
      </c>
      <c r="D306" s="7" t="str">
        <f t="shared" ref="D306:D310" si="25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イシュタル</v>
      </c>
      <c r="I306" s="7" t="str">
        <f>VLOOKUP(B306,[1]characters!$A:$J,10,FALSE)</f>
        <v>PremiumSS</v>
      </c>
      <c r="J306" s="7">
        <f>VLOOKUP(B306,[1]characters!$A:$I,9,FALSE)</f>
        <v>5</v>
      </c>
      <c r="K306" s="7" t="str">
        <f>VLOOKUP(B306,[1]characters!$A:$H,8,FALSE)</f>
        <v>green</v>
      </c>
      <c r="L306" s="7" t="str">
        <f>VLOOKUP(B306,[1]characters!$A:$K,11,FALSE)</f>
        <v>technical</v>
      </c>
      <c r="M306" s="7" t="str">
        <f>VLOOKUP(B306,[1]characters!$A:$M,13,FALSE)</f>
        <v>god</v>
      </c>
      <c r="N306" s="7" t="str">
        <f>VLOOKUP(B306,[1]characters!$A:$G,7,FALSE)</f>
        <v>男性</v>
      </c>
      <c r="O306" s="45">
        <f ca="1">IFERROR(VLOOKUP(B306,input_433103!L:R,7,FALSE),VLOOKUP(tables_433103!C306,input_433103!A:H,8,FALSE))</f>
        <v>5440</v>
      </c>
      <c r="P306" s="46">
        <f t="shared" ca="1" si="17"/>
        <v>4.6511627906857414E-4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input_433103!A$2</f>
        <v>433103</v>
      </c>
      <c r="B307" s="5">
        <v>1072</v>
      </c>
      <c r="C307" s="7" t="str">
        <f t="shared" si="24"/>
        <v>PremiumSS5R5only</v>
      </c>
      <c r="D307" s="7" t="str">
        <f t="shared" si="25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エンキドゥ</v>
      </c>
      <c r="I307" s="7" t="str">
        <f>VLOOKUP(B307,[1]characters!$A:$J,10,FALSE)</f>
        <v>PremiumSSw</v>
      </c>
      <c r="J307" s="7">
        <f>VLOOKUP(B307,[1]characters!$A:$I,9,FALSE)</f>
        <v>5</v>
      </c>
      <c r="K307" s="7" t="str">
        <f>VLOOKUP(B307,[1]characters!$A:$H,8,FALSE)</f>
        <v>blue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IFERROR(VLOOKUP(B307,input_433103!L:R,7,FALSE),VLOOKUP(tables_433103!C307,input_433103!A:H,8,FALSE))</f>
        <v>5440</v>
      </c>
      <c r="P307" s="46">
        <f t="shared" ca="1" si="17"/>
        <v>4.6511627906857414E-4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input_433103!A$2</f>
        <v>433103</v>
      </c>
      <c r="B308" s="5">
        <v>1074</v>
      </c>
      <c r="C308" s="7" t="str">
        <f t="shared" si="24"/>
        <v>PremiumSS5R5only</v>
      </c>
      <c r="D308" s="7" t="str">
        <f t="shared" si="25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マルドゥク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yellow</v>
      </c>
      <c r="L308" s="7" t="str">
        <f>VLOOKUP(B308,[1]characters!$A:$K,11,FALSE)</f>
        <v>technical</v>
      </c>
      <c r="M308" s="7" t="str">
        <f>VLOOKUP(B308,[1]characters!$A:$M,13,FALSE)</f>
        <v>god</v>
      </c>
      <c r="N308" s="7" t="str">
        <f>VLOOKUP(B308,[1]characters!$A:$G,7,FALSE)</f>
        <v>男性</v>
      </c>
      <c r="O308" s="45">
        <f ca="1">IFERROR(VLOOKUP(B308,input_433103!L:R,7,FALSE),VLOOKUP(tables_433103!C308,input_433103!A:H,8,FALSE))</f>
        <v>5440</v>
      </c>
      <c r="P308" s="46">
        <f t="shared" ca="1" si="17"/>
        <v>4.6511627906857414E-4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input_433103!A$2</f>
        <v>433103</v>
      </c>
      <c r="B309" s="5">
        <v>1104</v>
      </c>
      <c r="C309" s="7" t="str">
        <f t="shared" si="24"/>
        <v>Premium4R3less</v>
      </c>
      <c r="D309" s="7" t="str">
        <f t="shared" si="25"/>
        <v>Premium</v>
      </c>
      <c r="E309" s="7" t="str">
        <f>IF(COUNTIF('R6追加前'!A:A,B309)=0,IF(OR(I309="PremiumSS",I309="PremiumSSw"),"R5only","R3less"),"")</f>
        <v>R3less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クリムト</v>
      </c>
      <c r="I309" s="7" t="str">
        <f>VLOOKUP(B309,[1]characters!$A:$J,10,FALSE)</f>
        <v>PremiumS</v>
      </c>
      <c r="J309" s="7">
        <f>VLOOKUP(B309,[1]characters!$A:$I,9,FALSE)</f>
        <v>4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不明</v>
      </c>
      <c r="O309" s="45">
        <f ca="1">IFERROR(VLOOKUP(B309,input_433103!L:R,7,FALSE),VLOOKUP(tables_433103!C309,input_433103!A:H,8,FALSE))</f>
        <v>87093.92</v>
      </c>
      <c r="P309" s="46">
        <f t="shared" ca="1" si="17"/>
        <v>7.4464705882161895E-3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input_433103!A$2</f>
        <v>433103</v>
      </c>
      <c r="B310" s="5">
        <v>1105</v>
      </c>
      <c r="C310" s="7" t="str">
        <f t="shared" si="24"/>
        <v>Premium5R3less</v>
      </c>
      <c r="D310" s="7" t="str">
        <f t="shared" si="25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甘美なる背徳 クリムト</v>
      </c>
      <c r="I310" s="7" t="str">
        <f>VLOOKUP(B310,[1]characters!$A:$J,10,FALSE)</f>
        <v>PremiumS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IFERROR(VLOOKUP(B310,input_433103!L:R,7,FALSE),VLOOKUP(tables_433103!C310,input_433103!A:H,8,FALSE))</f>
        <v>3254.24</v>
      </c>
      <c r="P310" s="46">
        <f t="shared" ca="1" si="17"/>
        <v>2.7823529411693322E-4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input_433103!A$2</f>
        <v>433103</v>
      </c>
      <c r="B311" s="5">
        <v>1106</v>
      </c>
      <c r="C311" s="7" t="str">
        <f t="shared" ref="C311:C318" si="26">D311&amp;J311&amp;E311&amp;F311&amp;G311</f>
        <v>PremiumSS5R5only</v>
      </c>
      <c r="D311" s="7" t="str">
        <f t="shared" ref="D311:D318" si="27">IF(OR(I311="PremiumSS",I311="PremiumSSw"),"PremiumSS",IF(I311="PremiumSSS",I311,IF(I311="PremiumW",I311,"Premium")))</f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ラファエロ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yellow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IFERROR(VLOOKUP(B311,input_433103!L:R,7,FALSE),VLOOKUP(tables_433103!C311,input_433103!A:H,8,FALSE))</f>
        <v>5440</v>
      </c>
      <c r="P311" s="46">
        <f t="shared" ca="1" si="17"/>
        <v>4.6511627906857414E-4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input_433103!A$2</f>
        <v>433103</v>
      </c>
      <c r="B312" s="5">
        <v>1102</v>
      </c>
      <c r="C312" s="7" t="str">
        <f t="shared" si="26"/>
        <v>PremiumSS5R5only</v>
      </c>
      <c r="D312" s="7" t="str">
        <f t="shared" si="27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IFERROR(VLOOKUP(B312,input_433103!L:R,7,FALSE),VLOOKUP(tables_433103!C312,input_433103!A:H,8,FALSE))</f>
        <v>5440</v>
      </c>
      <c r="P312" s="46">
        <f t="shared" ca="1" si="17"/>
        <v>4.6511627906857414E-4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input_433103!A$2</f>
        <v>433103</v>
      </c>
      <c r="B313" s="5">
        <v>1100</v>
      </c>
      <c r="C313" s="7" t="str">
        <f t="shared" si="26"/>
        <v>PremiumSS5R5onlycolor</v>
      </c>
      <c r="D313" s="7" t="str">
        <f t="shared" si="27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北斎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red</v>
      </c>
      <c r="L313" s="7" t="str">
        <f>VLOOKUP(B313,[1]characters!$A:$K,11,FALSE)</f>
        <v>attack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IFERROR(VLOOKUP(B313,input_433103!L:R,7,FALSE),VLOOKUP(tables_433103!C313,input_433103!A:H,8,FALSE))</f>
        <v>25062.85714</v>
      </c>
      <c r="P313" s="46">
        <f t="shared" ca="1" si="17"/>
        <v>2.1428571426073614E-3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input_433103!A$2</f>
        <v>433103</v>
      </c>
      <c r="B314" s="5">
        <v>1137</v>
      </c>
      <c r="C314" s="7" t="str">
        <f t="shared" si="26"/>
        <v>PremiumSS5R5onlycolor</v>
      </c>
      <c r="D314" s="7" t="str">
        <f t="shared" si="27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諸葛亮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technical</v>
      </c>
      <c r="M314" s="7" t="str">
        <f>VLOOKUP(B314,[1]characters!$A:$M,13,FALSE)</f>
        <v>samurai</v>
      </c>
      <c r="N314" s="7" t="str">
        <f>VLOOKUP(B314,[1]characters!$A:$G,7,FALSE)</f>
        <v>不明</v>
      </c>
      <c r="O314" s="45">
        <f ca="1">IFERROR(VLOOKUP(B314,input_433103!L:R,7,FALSE),VLOOKUP(tables_433103!C314,input_433103!A:H,8,FALSE))</f>
        <v>25062.85714</v>
      </c>
      <c r="P314" s="46">
        <f t="shared" ca="1" si="17"/>
        <v>2.1428571426073614E-3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input_433103!A$2</f>
        <v>433103</v>
      </c>
      <c r="B315" s="5">
        <v>1139</v>
      </c>
      <c r="C315" s="7" t="str">
        <f t="shared" si="26"/>
        <v>PremiumSS5R5only</v>
      </c>
      <c r="D315" s="7" t="str">
        <f t="shared" si="27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趙雲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IFERROR(VLOOKUP(B315,input_433103!L:R,7,FALSE),VLOOKUP(tables_433103!C315,input_433103!A:H,8,FALSE))</f>
        <v>5440</v>
      </c>
      <c r="P315" s="46">
        <f t="shared" ca="1" si="17"/>
        <v>4.6511627906857414E-4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input_433103!A$2</f>
        <v>433103</v>
      </c>
      <c r="B316" s="5">
        <v>1141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月英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IFERROR(VLOOKUP(B316,input_433103!L:R,7,FALSE),VLOOKUP(tables_433103!C316,input_433103!A:H,8,FALSE))</f>
        <v>5440</v>
      </c>
      <c r="P316" s="46">
        <f t="shared" ca="1" si="17"/>
        <v>4.6511627906857414E-4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input_433103!A$2</f>
        <v>433103</v>
      </c>
      <c r="B317" s="5">
        <v>1143</v>
      </c>
      <c r="C317" s="7" t="str">
        <f t="shared" si="26"/>
        <v>Premium4R3less</v>
      </c>
      <c r="D317" s="7" t="str">
        <f t="shared" si="27"/>
        <v>Premium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黄忠</v>
      </c>
      <c r="I317" s="7" t="str">
        <f>VLOOKUP(B317,[1]characters!$A:$J,10,FALSE)</f>
        <v>PremiumS</v>
      </c>
      <c r="J317" s="7">
        <f>VLOOKUP(B317,[1]characters!$A:$I,9,FALSE)</f>
        <v>4</v>
      </c>
      <c r="K317" s="7" t="str">
        <f>VLOOKUP(B317,[1]characters!$A:$H,8,FALSE)</f>
        <v>yellow</v>
      </c>
      <c r="L317" s="7" t="str">
        <f>VLOOKUP(B317,[1]characters!$A:$K,11,FALSE)</f>
        <v>technical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IFERROR(VLOOKUP(B317,input_433103!L:R,7,FALSE),VLOOKUP(tables_433103!C317,input_433103!A:H,8,FALSE))</f>
        <v>87093.92</v>
      </c>
      <c r="P317" s="46">
        <f t="shared" ca="1" si="17"/>
        <v>7.4464705882161895E-3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input_433103!A$2</f>
        <v>433103</v>
      </c>
      <c r="B318" s="5">
        <v>1144</v>
      </c>
      <c r="C318" s="7" t="str">
        <f t="shared" si="26"/>
        <v>Premium5R3less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白星を射る老将 黄忠</v>
      </c>
      <c r="I318" s="7" t="str">
        <f>VLOOKUP(B318,[1]characters!$A:$J,10,FALSE)</f>
        <v>PremiumS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IFERROR(VLOOKUP(B318,input_433103!L:R,7,FALSE),VLOOKUP(tables_433103!C318,input_433103!A:H,8,FALSE))</f>
        <v>3254.24</v>
      </c>
      <c r="P318" s="46">
        <f t="shared" ca="1" si="17"/>
        <v>2.7823529411693322E-4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input_433103!A$2</f>
        <v>433103</v>
      </c>
      <c r="B319" s="5">
        <v>1153</v>
      </c>
      <c r="C319" s="7" t="str">
        <f t="shared" ref="C319:C324" si="28">D319&amp;J319&amp;E319&amp;F319&amp;G319</f>
        <v>PremiumSS5R5only</v>
      </c>
      <c r="D319" s="7" t="str">
        <f t="shared" ref="D319:D324" si="29">IF(OR(I319="PremiumSS",I319="PremiumSSw"),"PremiumSS",IF(I319="PremiumSSS",I319,IF(I319="PremiumW",I319,"Premium")))</f>
        <v>PremiumSS</v>
      </c>
      <c r="E319" s="7" t="str">
        <f>IF(COUNTIF('R6追加前'!A:A,B319)=0,IF(OR(I319="PremiumSS",I319="PremiumSSw"),"R5only","R3less"),"")</f>
        <v>R5only</v>
      </c>
      <c r="F319" s="7" t="str">
        <f>IF(COUNTIF('R6開放'!A:A,B319)&gt;0,"R6release","")</f>
        <v/>
      </c>
      <c r="G319" s="7" t="str">
        <f t="shared" ref="G319:G324" si="30">IF(K319="red","color","")</f>
        <v/>
      </c>
      <c r="H319" s="7" t="str">
        <f>VLOOKUP(B319,[1]characters!$A:$C,3,FALSE)</f>
        <v>ラクシュミー</v>
      </c>
      <c r="I319" s="7" t="str">
        <f>VLOOKUP(B319,[1]characters!$A:$J,10,FALSE)</f>
        <v>PremiumSSW</v>
      </c>
      <c r="J319" s="7">
        <f>VLOOKUP(B319,[1]characters!$A:$I,9,FALSE)</f>
        <v>5</v>
      </c>
      <c r="K319" s="7" t="str">
        <f>VLOOKUP(B319,[1]characters!$A:$H,8,FALSE)</f>
        <v>green</v>
      </c>
      <c r="L319" s="7" t="str">
        <f>VLOOKUP(B319,[1]characters!$A:$K,11,FALSE)</f>
        <v>hp</v>
      </c>
      <c r="M319" s="7" t="str">
        <f>VLOOKUP(B319,[1]characters!$A:$M,13,FALSE)</f>
        <v>god</v>
      </c>
      <c r="N319" s="7" t="str">
        <f>VLOOKUP(B319,[1]characters!$A:$G,7,FALSE)</f>
        <v>不明</v>
      </c>
      <c r="O319" s="45">
        <f ca="1">IFERROR(VLOOKUP(B319,input_433103!L:R,7,FALSE),VLOOKUP(tables_433103!C319,input_433103!A:H,8,FALSE))</f>
        <v>5440</v>
      </c>
      <c r="P319" s="46">
        <f t="shared" ref="P319:P324" ca="1" si="31">O319/SUM(O:O)</f>
        <v>4.6511627906857414E-4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input_433103!A$2</f>
        <v>433103</v>
      </c>
      <c r="B320" s="5">
        <v>1155</v>
      </c>
      <c r="C320" s="7" t="str">
        <f t="shared" si="28"/>
        <v>PremiumSS5R5only</v>
      </c>
      <c r="D320" s="7" t="str">
        <f t="shared" si="2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30"/>
        <v/>
      </c>
      <c r="H320" s="7" t="str">
        <f>VLOOKUP(B320,[1]characters!$A:$C,3,FALSE)</f>
        <v>ドゥルガー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blue</v>
      </c>
      <c r="L320" s="7" t="str">
        <f>VLOOKUP(B320,[1]characters!$A:$K,11,FALSE)</f>
        <v>balance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IFERROR(VLOOKUP(B320,input_433103!L:R,7,FALSE),VLOOKUP(tables_433103!C320,input_433103!A:H,8,FALSE))</f>
        <v>5440</v>
      </c>
      <c r="P320" s="46">
        <f t="shared" ca="1" si="31"/>
        <v>4.6511627906857414E-4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input_433103!A$2</f>
        <v>433103</v>
      </c>
      <c r="B321" s="5">
        <v>1157</v>
      </c>
      <c r="C321" s="7" t="str">
        <f t="shared" si="28"/>
        <v>PremiumSS5R5only</v>
      </c>
      <c r="D321" s="7" t="str">
        <f t="shared" si="2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30"/>
        <v/>
      </c>
      <c r="H321" s="7" t="str">
        <f>VLOOKUP(B321,[1]characters!$A:$C,3,FALSE)</f>
        <v>インドラ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yellow</v>
      </c>
      <c r="L321" s="7" t="str">
        <f>VLOOKUP(B321,[1]characters!$A:$K,11,FALSE)</f>
        <v>attack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IFERROR(VLOOKUP(B321,input_433103!L:R,7,FALSE),VLOOKUP(tables_433103!C321,input_433103!A:H,8,FALSE))</f>
        <v>5440</v>
      </c>
      <c r="P321" s="46">
        <f t="shared" ca="1" si="31"/>
        <v>4.6511627906857414E-4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input_433103!A$2</f>
        <v>433103</v>
      </c>
      <c r="B322" s="5">
        <v>1151</v>
      </c>
      <c r="C322" s="7" t="str">
        <f t="shared" si="28"/>
        <v>Premium4R3lesscolor</v>
      </c>
      <c r="D322" s="7" t="str">
        <f t="shared" si="29"/>
        <v>Premium</v>
      </c>
      <c r="E322" s="7" t="str">
        <f>IF(COUNTIF('R6追加前'!A:A,B322)=0,IF(OR(I322="PremiumSS",I322="PremiumSSw"),"R5only","R3less"),"")</f>
        <v>R3less</v>
      </c>
      <c r="F322" s="7" t="str">
        <f>IF(COUNTIF('R6開放'!A:A,B322)&gt;0,"R6release","")</f>
        <v/>
      </c>
      <c r="G322" s="7" t="str">
        <f t="shared" si="30"/>
        <v>color</v>
      </c>
      <c r="H322" s="7" t="str">
        <f>VLOOKUP(B322,[1]characters!$A:$C,3,FALSE)</f>
        <v>ガネーシャ</v>
      </c>
      <c r="I322" s="7" t="str">
        <f>VLOOKUP(B322,[1]characters!$A:$J,10,FALSE)</f>
        <v>PremiumS</v>
      </c>
      <c r="J322" s="7">
        <f>VLOOKUP(B322,[1]characters!$A:$I,9,FALSE)</f>
        <v>4</v>
      </c>
      <c r="K322" s="7" t="str">
        <f>VLOOKUP(B322,[1]characters!$A:$H,8,FALSE)</f>
        <v>red</v>
      </c>
      <c r="L322" s="7" t="str">
        <f>VLOOKUP(B322,[1]characters!$A:$K,11,FALSE)</f>
        <v>heal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IFERROR(VLOOKUP(B322,input_433103!L:R,7,FALSE),VLOOKUP(tables_433103!C322,input_433103!A:H,8,FALSE))</f>
        <v>223678.37216999999</v>
      </c>
      <c r="P322" s="46">
        <f t="shared" ca="1" si="31"/>
        <v>1.9124347825703329E-2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input_433103!A$2</f>
        <v>433103</v>
      </c>
      <c r="B323" s="5">
        <v>1152</v>
      </c>
      <c r="C323" s="7" t="str">
        <f t="shared" si="28"/>
        <v>Premium5R3lesscolor</v>
      </c>
      <c r="D323" s="7" t="str">
        <f t="shared" si="29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 t="str">
        <f t="shared" si="30"/>
        <v>color</v>
      </c>
      <c r="H323" s="7" t="str">
        <f>VLOOKUP(B323,[1]characters!$A:$C,3,FALSE)</f>
        <v>衆知の富益神 ガネーシャ</v>
      </c>
      <c r="I323" s="7" t="str">
        <f>VLOOKUP(B323,[1]characters!$A:$J,10,FALSE)</f>
        <v>PremiumS</v>
      </c>
      <c r="J323" s="7">
        <f>VLOOKUP(B323,[1]characters!$A:$I,9,FALSE)</f>
        <v>5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IFERROR(VLOOKUP(B323,input_433103!L:R,7,FALSE),VLOOKUP(tables_433103!C323,input_433103!A:H,8,FALSE))</f>
        <v>14431.846960000001</v>
      </c>
      <c r="P323" s="46">
        <f t="shared" ca="1" si="31"/>
        <v>1.2339130437724842E-3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input_433103!A$2</f>
        <v>433103</v>
      </c>
      <c r="B324" s="1">
        <v>955</v>
      </c>
      <c r="C324" s="7" t="str">
        <f t="shared" si="28"/>
        <v>PremiumSSS5R3lesscolor</v>
      </c>
      <c r="D324" s="7" t="str">
        <f t="shared" si="29"/>
        <v>PremiumSSS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0"/>
        <v>color</v>
      </c>
      <c r="H324" s="7" t="str">
        <f>VLOOKUP(B324,[1]characters!$A:$C,3,FALSE)</f>
        <v>マクローリン</v>
      </c>
      <c r="I324" s="7" t="str">
        <f>VLOOKUP(B324,[1]characters!$A:$J,10,FALSE)</f>
        <v>PremiumSSS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technical</v>
      </c>
      <c r="M324" s="7" t="str">
        <f>VLOOKUP(B324,[1]characters!$A:$M,13,FALSE)</f>
        <v>academia</v>
      </c>
      <c r="N324" s="7" t="str">
        <f>VLOOKUP(B324,[1]characters!$A:$G,7,FALSE)</f>
        <v>男性</v>
      </c>
      <c r="O324" s="45">
        <f ca="1">IFERROR(VLOOKUP(B324,input_433103!L:R,7,FALSE),VLOOKUP(tables_433103!C324,input_433103!A:H,8,FALSE))</f>
        <v>46784</v>
      </c>
      <c r="P324" s="46">
        <f t="shared" ca="1" si="31"/>
        <v>3.9999999999897375E-3</v>
      </c>
      <c r="Q324" s="88">
        <v>80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"/>
  <sheetViews>
    <sheetView showGridLines="0" zoomScale="90" zoomScaleNormal="90" zoomScalePageLayoutView="90" workbookViewId="0">
      <pane ySplit="1" topLeftCell="A3" activePane="bottomLeft" state="frozen"/>
      <selection activeCell="L296" sqref="L296"/>
      <selection pane="bottomLeft" activeCell="Q34" sqref="Q3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9">
        <v>433103</v>
      </c>
      <c r="B2" s="101">
        <v>168</v>
      </c>
      <c r="C2" s="100" t="str">
        <f t="shared" ref="C2:C29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 t="str">
        <f>IF(K2="yellow","color","")</f>
        <v/>
      </c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3311</v>
      </c>
      <c r="P2" s="46">
        <f>O2/SUM(O:O)</f>
        <v>5.2555555555555557E-2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9">
        <v>433103</v>
      </c>
      <c r="B3" s="101">
        <v>180</v>
      </c>
      <c r="C3" s="100" t="str">
        <f t="shared" si="0"/>
        <v>Premium5</v>
      </c>
      <c r="D3" s="7" t="str">
        <f t="shared" ref="D3:D29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31" si="2">IF(K3="yellow","color","")</f>
        <v/>
      </c>
      <c r="H3" s="7" t="str">
        <f>VLOOKUP(B3,[1]characters!$A:$C,3,FALSE)</f>
        <v>地獄の大門番 ケルベロス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v>3311</v>
      </c>
      <c r="P3" s="46">
        <f t="shared" ref="P3:P32" si="3">O3/SUM(O:O)</f>
        <v>5.2555555555555557E-2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9">
        <v>433103</v>
      </c>
      <c r="B4" s="101">
        <v>192</v>
      </c>
      <c r="C4" s="100" t="str">
        <f t="shared" si="0"/>
        <v>Premium5</v>
      </c>
      <c r="D4" s="7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荘厳なる始祖帝 卑弥呼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3311</v>
      </c>
      <c r="P4" s="46">
        <f t="shared" si="3"/>
        <v>5.2555555555555557E-2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9">
        <v>433103</v>
      </c>
      <c r="B5" s="101">
        <v>204</v>
      </c>
      <c r="C5" s="100" t="str">
        <f t="shared" si="0"/>
        <v>Premium5</v>
      </c>
      <c r="D5" s="7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慟哭の巨焔 プロメテウス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男性</v>
      </c>
      <c r="O5" s="45">
        <v>3311</v>
      </c>
      <c r="P5" s="46">
        <f t="shared" si="3"/>
        <v>5.2555555555555557E-2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9">
        <v>433103</v>
      </c>
      <c r="B6" s="101">
        <v>216</v>
      </c>
      <c r="C6" s="100" t="str">
        <f t="shared" si="0"/>
        <v>Premium5</v>
      </c>
      <c r="D6" s="7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百読の死導司書 アズラエル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45">
        <v>3311</v>
      </c>
      <c r="P6" s="46">
        <f t="shared" si="3"/>
        <v>5.2555555555555557E-2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9">
        <v>433103</v>
      </c>
      <c r="B7" s="101">
        <v>228</v>
      </c>
      <c r="C7" s="100" t="str">
        <f t="shared" si="0"/>
        <v>Premium5</v>
      </c>
      <c r="D7" s="7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殲滅の掃射砲 アレス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red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男性</v>
      </c>
      <c r="O7" s="45">
        <v>3311</v>
      </c>
      <c r="P7" s="46">
        <f t="shared" si="3"/>
        <v>5.2555555555555557E-2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9">
        <v>433103</v>
      </c>
      <c r="B8" s="101">
        <v>240</v>
      </c>
      <c r="C8" s="100" t="str">
        <f t="shared" si="0"/>
        <v>Premium5</v>
      </c>
      <c r="D8" s="7" t="str">
        <f t="shared" si="1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轟炎の天使 ウリエル・スレイヤー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hp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v>3311</v>
      </c>
      <c r="P8" s="46">
        <f t="shared" si="3"/>
        <v>5.2555555555555557E-2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9">
        <v>433103</v>
      </c>
      <c r="B9" s="101">
        <v>252</v>
      </c>
      <c r="C9" s="100" t="str">
        <f t="shared" si="0"/>
        <v>Premium5</v>
      </c>
      <c r="D9" s="7" t="str">
        <f t="shared" si="1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強欲の沸騰 マンモン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god</v>
      </c>
      <c r="N9" s="7" t="str">
        <f>VLOOKUP(B9,[1]characters!$A:$G,7,FALSE)</f>
        <v>女性</v>
      </c>
      <c r="O9" s="45">
        <v>3311</v>
      </c>
      <c r="P9" s="46">
        <f t="shared" si="3"/>
        <v>5.2555555555555557E-2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99">
        <v>433103</v>
      </c>
      <c r="B10" s="101">
        <v>321</v>
      </c>
      <c r="C10" s="100" t="str">
        <f t="shared" si="0"/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巌鉄の烈志士 近藤勇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hp</v>
      </c>
      <c r="M10" s="7" t="str">
        <f>VLOOKUP(B10,[1]characters!$A:$M,13,FALSE)</f>
        <v>human</v>
      </c>
      <c r="N10" s="7" t="str">
        <f>VLOOKUP(B10,[1]characters!$A:$G,7,FALSE)</f>
        <v>男性</v>
      </c>
      <c r="O10" s="45">
        <v>225</v>
      </c>
      <c r="P10" s="46">
        <f t="shared" si="3"/>
        <v>3.5714285714285713E-3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9">
        <v>433103</v>
      </c>
      <c r="B11" s="101">
        <v>382</v>
      </c>
      <c r="C11" s="100" t="str">
        <f t="shared" si="0"/>
        <v>Premium5</v>
      </c>
      <c r="D11" s="7" t="str">
        <f t="shared" si="1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激情の愛炎 バハムート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technical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5">
        <v>3311</v>
      </c>
      <c r="P11" s="46">
        <f t="shared" si="3"/>
        <v>5.2555555555555557E-2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9">
        <v>433103</v>
      </c>
      <c r="B12" s="101">
        <v>391</v>
      </c>
      <c r="C12" s="100" t="str">
        <f t="shared" si="0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燕翼の旅人 親指姫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heal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225</v>
      </c>
      <c r="P12" s="46">
        <f t="shared" si="3"/>
        <v>3.5714285714285713E-3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9">
        <v>433103</v>
      </c>
      <c r="B13" s="101">
        <v>402</v>
      </c>
      <c r="C13" s="100" t="str">
        <f t="shared" si="0"/>
        <v>Premium5</v>
      </c>
      <c r="D13" s="7" t="str">
        <f t="shared" si="1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天災の神狼 フェンリル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red</v>
      </c>
      <c r="L13" s="7" t="str">
        <f>VLOOKUP(B13,[1]characters!$A:$K,11,FALSE)</f>
        <v>attack</v>
      </c>
      <c r="M13" s="7" t="str">
        <f>VLOOKUP(B13,[1]characters!$A:$M,13,FALSE)</f>
        <v>animal</v>
      </c>
      <c r="N13" s="7" t="str">
        <f>VLOOKUP(B13,[1]characters!$A:$G,7,FALSE)</f>
        <v>女性</v>
      </c>
      <c r="O13" s="45">
        <v>3311</v>
      </c>
      <c r="P13" s="46">
        <f t="shared" si="3"/>
        <v>5.2555555555555557E-2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9">
        <v>433103</v>
      </c>
      <c r="B14" s="101">
        <v>435</v>
      </c>
      <c r="C14" s="100" t="str">
        <f t="shared" si="0"/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曝弾の密偵 D.R.T.H.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v>225</v>
      </c>
      <c r="P14" s="46">
        <f t="shared" si="3"/>
        <v>3.5714285714285713E-3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9">
        <v>433103</v>
      </c>
      <c r="B15" s="101">
        <v>464</v>
      </c>
      <c r="C15" s="100" t="str">
        <f t="shared" si="0"/>
        <v>Premium5</v>
      </c>
      <c r="D15" s="7" t="str">
        <f t="shared" si="1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円熟の弾導 ガウェイン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red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v>3311</v>
      </c>
      <c r="P15" s="46">
        <f t="shared" si="3"/>
        <v>5.2555555555555557E-2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9">
        <v>433103</v>
      </c>
      <c r="B16" s="101">
        <v>475</v>
      </c>
      <c r="C16" s="100" t="str">
        <f t="shared" si="0"/>
        <v>PremiumSS5</v>
      </c>
      <c r="D16" s="7" t="str">
        <f t="shared" si="1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45">
        <v>225</v>
      </c>
      <c r="P16" s="46">
        <f t="shared" si="3"/>
        <v>3.5714285714285713E-3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9">
        <v>433103</v>
      </c>
      <c r="B17" s="101">
        <v>493</v>
      </c>
      <c r="C17" s="100" t="str">
        <f t="shared" si="0"/>
        <v>PremiumSS5</v>
      </c>
      <c r="D17" s="7" t="str">
        <f t="shared" si="1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跋扈の機脚 ブートレグ・ペロー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hp</v>
      </c>
      <c r="M17" s="7" t="str">
        <f>VLOOKUP(B17,[1]characters!$A:$M,13,FALSE)</f>
        <v>animal</v>
      </c>
      <c r="N17" s="7" t="str">
        <f>VLOOKUP(B17,[1]characters!$A:$G,7,FALSE)</f>
        <v>不明</v>
      </c>
      <c r="O17" s="45">
        <v>225</v>
      </c>
      <c r="P17" s="46">
        <f t="shared" si="3"/>
        <v>3.5714285714285713E-3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9">
        <v>433103</v>
      </c>
      <c r="B18" s="101">
        <v>587</v>
      </c>
      <c r="C18" s="100" t="str">
        <f t="shared" si="0"/>
        <v>PremiumSS5</v>
      </c>
      <c r="D18" s="7" t="str">
        <f t="shared" si="1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原初の煉鋼巨刃 ユミル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machine</v>
      </c>
      <c r="N18" s="7" t="str">
        <f>VLOOKUP(B18,[1]characters!$A:$G,7,FALSE)</f>
        <v>不明</v>
      </c>
      <c r="O18" s="45">
        <v>225</v>
      </c>
      <c r="P18" s="46">
        <f t="shared" si="3"/>
        <v>3.5714285714285713E-3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9">
        <v>433103</v>
      </c>
      <c r="B19" s="101">
        <v>598</v>
      </c>
      <c r="C19" s="100" t="str">
        <f t="shared" si="0"/>
        <v>Premium5</v>
      </c>
      <c r="D19" s="7" t="str">
        <f t="shared" si="1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焼燃の情熱 ムスペルヘイム</v>
      </c>
      <c r="I19" s="7" t="str">
        <f>VLOOKUP(B19,[1]characters!$A:$J,10,FALSE)</f>
        <v>PremiumS</v>
      </c>
      <c r="J19" s="7">
        <f>VLOOKUP(B19,[1]characters!$A:$I,9,FALSE)</f>
        <v>5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3311</v>
      </c>
      <c r="P19" s="46">
        <f t="shared" si="3"/>
        <v>5.2555555555555557E-2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9">
        <v>433103</v>
      </c>
      <c r="B20" s="101">
        <v>659</v>
      </c>
      <c r="C20" s="100" t="str">
        <f t="shared" si="0"/>
        <v>PremiumSS5</v>
      </c>
      <c r="D20" s="7" t="str">
        <f t="shared" si="1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5">
        <v>225</v>
      </c>
      <c r="P20" s="46">
        <f t="shared" si="3"/>
        <v>3.5714285714285713E-3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9">
        <v>433103</v>
      </c>
      <c r="B21" s="101">
        <v>670</v>
      </c>
      <c r="C21" s="100" t="str">
        <f t="shared" si="0"/>
        <v>Premium5</v>
      </c>
      <c r="D21" s="7" t="str">
        <f t="shared" si="1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陽天の噴煙 アグニ</v>
      </c>
      <c r="I21" s="7" t="str">
        <f>VLOOKUP(B21,[1]characters!$A:$J,10,FALSE)</f>
        <v>PremiumS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god</v>
      </c>
      <c r="N21" s="7" t="str">
        <f>VLOOKUP(B21,[1]characters!$A:$G,7,FALSE)</f>
        <v>男性</v>
      </c>
      <c r="O21" s="45">
        <v>3311</v>
      </c>
      <c r="P21" s="46">
        <f t="shared" si="3"/>
        <v>5.2555555555555557E-2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9">
        <v>433103</v>
      </c>
      <c r="B22" s="101">
        <v>729</v>
      </c>
      <c r="C22" s="100" t="str">
        <f t="shared" si="0"/>
        <v>Premium5R3less</v>
      </c>
      <c r="D22" s="7" t="str">
        <f t="shared" si="1"/>
        <v>Premium</v>
      </c>
      <c r="E22" s="7" t="str">
        <f>IF(COUNTIF('R6追加前'!A:A,B22)=0,IF(OR(I22="PremiumSS",I22="PremiumSSw"),"R5only","R3less"),"")</f>
        <v>R3less</v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暗厄の双刀 井伊直虎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v>3311</v>
      </c>
      <c r="P22" s="46">
        <f t="shared" si="3"/>
        <v>5.2555555555555557E-2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9">
        <v>433103</v>
      </c>
      <c r="B23" s="101">
        <v>771</v>
      </c>
      <c r="C23" s="100" t="str">
        <f t="shared" si="0"/>
        <v>PremiumSS5</v>
      </c>
      <c r="D23" s="7" t="str">
        <f t="shared" si="1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天織羽鶴 ハヅル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balance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5">
        <v>225</v>
      </c>
      <c r="P23" s="46">
        <f t="shared" si="3"/>
        <v>3.5714285714285713E-3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9">
        <v>433103</v>
      </c>
      <c r="B24" s="101">
        <v>848</v>
      </c>
      <c r="C24" s="100" t="str">
        <f t="shared" si="0"/>
        <v>PremiumSS5R5only</v>
      </c>
      <c r="D24" s="7" t="str">
        <f t="shared" si="1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メタトロン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balance</v>
      </c>
      <c r="M24" s="7" t="str">
        <f>VLOOKUP(B24,[1]characters!$A:$M,13,FALSE)</f>
        <v>god</v>
      </c>
      <c r="N24" s="7" t="str">
        <f>VLOOKUP(B24,[1]characters!$A:$G,7,FALSE)</f>
        <v>男性</v>
      </c>
      <c r="O24" s="45">
        <v>225</v>
      </c>
      <c r="P24" s="46">
        <f t="shared" si="3"/>
        <v>3.5714285714285713E-3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9">
        <v>433103</v>
      </c>
      <c r="B25" s="101">
        <v>863</v>
      </c>
      <c r="C25" s="100" t="str">
        <f t="shared" si="0"/>
        <v>Premium5R3less</v>
      </c>
      <c r="D25" s="7" t="str">
        <f t="shared" si="1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歓揮の楽団長 ブレーメン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v>3311</v>
      </c>
      <c r="P25" s="46">
        <f t="shared" si="3"/>
        <v>5.2555555555555557E-2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9">
        <v>433103</v>
      </c>
      <c r="B26" s="101">
        <v>742</v>
      </c>
      <c r="C26" s="100" t="str">
        <f t="shared" si="0"/>
        <v>PremiumSS5R5only</v>
      </c>
      <c r="D26" s="7" t="str">
        <f t="shared" si="1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アポロン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attack</v>
      </c>
      <c r="M26" s="7" t="str">
        <f>VLOOKUP(B26,[1]characters!$A:$M,13,FALSE)</f>
        <v>god</v>
      </c>
      <c r="N26" s="7" t="str">
        <f>VLOOKUP(B26,[1]characters!$A:$G,7,FALSE)</f>
        <v>男性</v>
      </c>
      <c r="O26" s="45">
        <v>225</v>
      </c>
      <c r="P26" s="46">
        <f t="shared" si="3"/>
        <v>3.5714285714285713E-3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99">
        <v>433103</v>
      </c>
      <c r="B27" s="101">
        <v>937</v>
      </c>
      <c r="C27" s="100" t="str">
        <f t="shared" si="0"/>
        <v>PremiumSS5R5only</v>
      </c>
      <c r="D27" s="7" t="str">
        <f t="shared" si="1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ナポレオン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red</v>
      </c>
      <c r="L27" s="7" t="str">
        <f>VLOOKUP(B27,[1]characters!$A:$K,11,FALSE)</f>
        <v>balance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v>225</v>
      </c>
      <c r="P27" s="46">
        <f t="shared" si="3"/>
        <v>3.5714285714285713E-3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99">
        <v>433103</v>
      </c>
      <c r="B28" s="101">
        <v>1012</v>
      </c>
      <c r="C28" s="100" t="str">
        <f t="shared" si="0"/>
        <v>PremiumSS5R5only</v>
      </c>
      <c r="D28" s="7" t="str">
        <f t="shared" si="1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ラー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god</v>
      </c>
      <c r="N28" s="7" t="str">
        <f>VLOOKUP(B28,[1]characters!$A:$G,7,FALSE)</f>
        <v>男性</v>
      </c>
      <c r="O28" s="45">
        <v>225</v>
      </c>
      <c r="P28" s="46">
        <f t="shared" si="3"/>
        <v>3.5714285714285713E-3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99">
        <v>433103</v>
      </c>
      <c r="B29" s="101">
        <v>1027</v>
      </c>
      <c r="C29" s="100" t="str">
        <f t="shared" si="0"/>
        <v>Premium5R3less</v>
      </c>
      <c r="D29" s="7" t="str">
        <f t="shared" si="1"/>
        <v>Premium</v>
      </c>
      <c r="E29" s="7" t="str">
        <f>IF(COUNTIF('R6追加前'!A:A,B29)=0,IF(OR(I29="PremiumSS",I29="PremiumSSw"),"R5only","R3less"),"")</f>
        <v>R3less</v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弾丸多重奏 蝉丸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attack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v>3311</v>
      </c>
      <c r="P29" s="46">
        <f t="shared" si="3"/>
        <v>5.2555555555555557E-2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99">
        <v>433103</v>
      </c>
      <c r="B30" s="101">
        <v>1068</v>
      </c>
      <c r="C30" s="100" t="str">
        <f t="shared" ref="C30:C31" si="4">D30&amp;J30&amp;E30&amp;F30&amp;G30</f>
        <v>Premium5R3less</v>
      </c>
      <c r="D30" s="7" t="str">
        <f t="shared" ref="D30:D31" si="5">IF(OR(I30="PremiumSS",I30="PremiumSSw"),"PremiumSS",IF(I30="PremiumSSS",I30,IF(I30="PremiumW",I30,"Premium")))</f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想母の羽龍 ウシュムガル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dragon</v>
      </c>
      <c r="N30" s="7" t="str">
        <f>VLOOKUP(B30,[1]characters!$A:$G,7,FALSE)</f>
        <v>男性</v>
      </c>
      <c r="O30" s="45">
        <v>3311</v>
      </c>
      <c r="P30" s="46">
        <f t="shared" si="3"/>
        <v>5.2555555555555557E-2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99">
        <v>433103</v>
      </c>
      <c r="B31" s="101">
        <v>1100</v>
      </c>
      <c r="C31" s="100" t="str">
        <f t="shared" si="4"/>
        <v>PremiumSS5R5only</v>
      </c>
      <c r="D31" s="7" t="str">
        <f t="shared" si="5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北斎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attack</v>
      </c>
      <c r="M31" s="7" t="str">
        <f>VLOOKUP(B31,[1]characters!$A:$M,13,FALSE)</f>
        <v>human</v>
      </c>
      <c r="N31" s="7" t="str">
        <f>VLOOKUP(B31,[1]characters!$A:$G,7,FALSE)</f>
        <v>不明</v>
      </c>
      <c r="O31" s="45">
        <v>225</v>
      </c>
      <c r="P31" s="46">
        <f t="shared" si="3"/>
        <v>3.5714285714285713E-3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99">
        <v>433103</v>
      </c>
      <c r="B32" s="101">
        <v>1137</v>
      </c>
      <c r="C32" s="100" t="str">
        <f t="shared" ref="C32:C33" si="6">D32&amp;J32&amp;E32&amp;F32&amp;G32</f>
        <v>PremiumSS5R5only</v>
      </c>
      <c r="D32" s="7" t="str">
        <f t="shared" ref="D32:D33" si="7">IF(OR(I32="PremiumSS",I32="PremiumSSw"),"PremiumSS",IF(I32="PremiumSSS",I32,IF(I32="PremiumW",I32,"Premium")))</f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 t="str">
        <f t="shared" ref="G32:G33" si="8">IF(K32="yellow","color","")</f>
        <v/>
      </c>
      <c r="H32" s="7" t="str">
        <f>VLOOKUP(B32,[1]characters!$A:$C,3,FALSE)</f>
        <v>諸葛亮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technical</v>
      </c>
      <c r="M32" s="7" t="str">
        <f>VLOOKUP(B32,[1]characters!$A:$M,13,FALSE)</f>
        <v>samurai</v>
      </c>
      <c r="N32" s="7" t="str">
        <f>VLOOKUP(B32,[1]characters!$A:$G,7,FALSE)</f>
        <v>不明</v>
      </c>
      <c r="O32" s="45">
        <v>225</v>
      </c>
      <c r="P32" s="46">
        <f t="shared" si="3"/>
        <v>3.5714285714285713E-3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99">
        <v>433103</v>
      </c>
      <c r="B33" s="101">
        <v>1152</v>
      </c>
      <c r="C33" s="100" t="str">
        <f t="shared" si="6"/>
        <v>Premium5R3less</v>
      </c>
      <c r="D33" s="7" t="str">
        <f t="shared" si="7"/>
        <v>Premium</v>
      </c>
      <c r="E33" s="7" t="str">
        <f>IF(COUNTIF('R6追加前'!A:A,B33)=0,IF(OR(I33="PremiumSS",I33="PremiumSSw"),"R5only","R3less"),"")</f>
        <v>R3less</v>
      </c>
      <c r="F33" s="7" t="str">
        <f>IF(COUNTIF('R6開放'!A:A,B33)&gt;0,"R6release","")</f>
        <v/>
      </c>
      <c r="G33" s="7" t="str">
        <f t="shared" si="8"/>
        <v/>
      </c>
      <c r="H33" s="7" t="str">
        <f>VLOOKUP(B33,[1]characters!$A:$C,3,FALSE)</f>
        <v>衆知の富益神 ガネーシャ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god</v>
      </c>
      <c r="N33" s="7" t="str">
        <f>VLOOKUP(B33,[1]characters!$A:$G,7,FALSE)</f>
        <v>不明</v>
      </c>
      <c r="O33" s="45">
        <v>3311</v>
      </c>
      <c r="P33" s="46">
        <f>O33/SUM(O:O)</f>
        <v>5.2555555555555557E-2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99">
        <v>433103</v>
      </c>
      <c r="B34" s="1">
        <v>955</v>
      </c>
      <c r="C34" s="100" t="str">
        <f t="shared" ref="C34" si="9">D34&amp;J34&amp;E34&amp;F34&amp;G34</f>
        <v>PremiumSSS5R3less</v>
      </c>
      <c r="D34" s="7" t="str">
        <f t="shared" ref="D34" si="10">IF(OR(I34="PremiumSS",I34="PremiumSSw"),"PremiumSS",IF(I34="PremiumSSS",I34,IF(I34="PremiumW",I34,"Premium")))</f>
        <v>PremiumSSS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 t="str">
        <f t="shared" ref="G34" si="11">IF(K34="yellow","color","")</f>
        <v/>
      </c>
      <c r="H34" s="7" t="str">
        <f>VLOOKUP(B34,[1]characters!$A:$C,3,FALSE)</f>
        <v>マクローリン</v>
      </c>
      <c r="I34" s="7" t="str">
        <f>VLOOKUP(B34,[1]characters!$A:$J,10,FALSE)</f>
        <v>PremiumSSS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technical</v>
      </c>
      <c r="M34" s="7" t="str">
        <f>VLOOKUP(B34,[1]characters!$A:$M,13,FALSE)</f>
        <v>academia</v>
      </c>
      <c r="N34" s="7" t="str">
        <f>VLOOKUP(B34,[1]characters!$A:$G,7,FALSE)</f>
        <v>男性</v>
      </c>
      <c r="O34" s="45">
        <v>252</v>
      </c>
      <c r="P34" s="46">
        <f>O34/SUM(O:O)</f>
        <v>4.0000000000000001E-3</v>
      </c>
      <c r="Q34" s="88">
        <v>80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</sheetData>
  <autoFilter ref="A1:V33"/>
  <sortState ref="A2:V114">
    <sortCondition ref="G2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topLeftCell="A6" workbookViewId="0">
      <selection activeCell="B45" sqref="B17:B45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433104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VLOOKUP(L3,tables_433104!B:C,2,FALSE)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VLOOKUP(L4,tables_433104!B:C,2,FALSE)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4.6511627906976752E-4</v>
      </c>
      <c r="F5">
        <f>(COUNTIF(tables_433104!C:C,input_433104!A28)+COUNTIF(tables_433104!C:C,input_433104!A29))</f>
        <v>43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VLOOKUP(L5,tables_433104!B:C,2,FALSE)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2.142857142857143E-3</v>
      </c>
      <c r="F6">
        <f>(COUNTIF(tables_433104!C:C,input_433104!A43)+COUNTIF(tables_433104!C:C,input_433104!A44))</f>
        <v>14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VLOOKUP(L6,tables_433104!B:C,2,FALSE)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5.541176470588236E-3</v>
      </c>
      <c r="F7">
        <f>(COUNTIF(tables_433104!C:C,input_433104!A26)+COUNTIF(tables_433104!C:C,input_433104!A18)+COUNTIF(tables_433104!C:C,input_433104!A20)+COUNTIF(tables_433104!C:C,input_433104!A22))</f>
        <v>68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VLOOKUP(L7,tables_433104!B:C,2,FALSE)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2.4573913043478258E-2</v>
      </c>
      <c r="F8">
        <f>(COUNTIF(tables_433104!C:C,input_433104!A40)+COUNTIF(tables_433104!C:C,input_433104!A33)+COUNTIF(tables_433104!C:C,input_433104!A35)+COUNTIF(tables_433104!C:C,input_433104!A37))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VLOOKUP(L8,tables_433104!B:C,2,FALSE)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VLOOKUP(L9,tables_433104!B:C,2,FALSE)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0.94199999999999995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VLOOKUP(L10,tables_433104!B:C,2,FALSE)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VLOOKUP(L11,tables_433104!B:C,2,FALSE)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8.0000000000000002E-3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VLOOKUP(L12,tables_433104!B:C,2,FALSE)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VLOOKUP(L13,tables_433104!B:C,2,FALSE)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VLOOKUP(L14,tables_433104!B:C,2,FALSE)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VLOOKUP(L15,tables_433104!B:C,2,FALSE)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VLOOKUP(L16,tables_433104!B:C,2,FALSE)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COUNTIF(tables_433104!C:C,input_433104!A17)-COUNTIF(Q:Q,A17)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VLOOKUP(L17,tables_433104!B:C,2,FALSE)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8.3117647058823546E-2</v>
      </c>
      <c r="C18" s="86">
        <f t="shared" si="2"/>
        <v>0</v>
      </c>
      <c r="D18" s="75">
        <f t="shared" si="3"/>
        <v>8.3117647058823546E-2</v>
      </c>
      <c r="E18">
        <f>COUNTIF(tables_433104!C:C,input_433104!A18)-COUNTIF(Q:Q,A18)</f>
        <v>15</v>
      </c>
      <c r="F18" s="43">
        <f>IFERROR(B18/E18,0)</f>
        <v>5.541176470588236E-3</v>
      </c>
      <c r="G18">
        <f t="shared" si="4"/>
        <v>972144.00000000023</v>
      </c>
      <c r="H18">
        <f t="shared" si="5"/>
        <v>64809.599999999999</v>
      </c>
      <c r="I18">
        <f t="shared" si="6"/>
        <v>0.59999999999854481</v>
      </c>
      <c r="J18">
        <f t="shared" si="7"/>
        <v>1.6666666666707088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VLOOKUP(L18,tables_433104!B:C,2,FALSE)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COUNTIF(tables_433104!C:C,input_433104!A19)-COUNTIF(Q:Q,A19)</f>
        <v>40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VLOOKUP(L19,tables_433104!B:C,2,FALSE)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3">
        <f>E$7*E20*B$6+F49-0.02</f>
        <v>0.19843579220161273</v>
      </c>
      <c r="C20" s="86">
        <f t="shared" si="2"/>
        <v>0</v>
      </c>
      <c r="D20" s="75">
        <f t="shared" si="3"/>
        <v>0.19843579220161273</v>
      </c>
      <c r="E20">
        <f>COUNTIF(tables_433104!C:C,input_433104!A20)-COUNTIF(Q:Q,A20)</f>
        <v>40</v>
      </c>
      <c r="F20" s="43">
        <f t="shared" si="8"/>
        <v>4.9608948050403178E-3</v>
      </c>
      <c r="G20">
        <f t="shared" si="4"/>
        <v>2320905.0255900626</v>
      </c>
      <c r="H20">
        <f t="shared" si="5"/>
        <v>58022.625639999998</v>
      </c>
      <c r="I20">
        <f t="shared" si="6"/>
        <v>0.62563999999838416</v>
      </c>
      <c r="J20">
        <f t="shared" si="7"/>
        <v>1.5983632760094986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VLOOKUP(L20,tables_433104!B:C,2,FALSE)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E$7*E21*B$7-F49</f>
        <v>3.2112666219167255E-3</v>
      </c>
      <c r="C21" s="86">
        <f t="shared" si="2"/>
        <v>0</v>
      </c>
      <c r="D21" s="75">
        <f t="shared" si="3"/>
        <v>3.2112666219167255E-3</v>
      </c>
      <c r="E21">
        <f>COUNTIF(tables_433104!C:C,input_433104!A21)-COUNTIF(Q:Q,A21)</f>
        <v>40</v>
      </c>
      <c r="F21" s="43">
        <f t="shared" si="8"/>
        <v>8.0281665547918141E-5</v>
      </c>
      <c r="G21">
        <f t="shared" si="4"/>
        <v>37558.974409938019</v>
      </c>
      <c r="H21">
        <f t="shared" si="5"/>
        <v>938.97436000000005</v>
      </c>
      <c r="I21">
        <f t="shared" si="6"/>
        <v>0.97436000000004697</v>
      </c>
      <c r="J21">
        <f t="shared" si="7"/>
        <v>1.0263147091423619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7.5841176470588342E-2</v>
      </c>
      <c r="C22" s="86">
        <f t="shared" si="2"/>
        <v>0</v>
      </c>
      <c r="D22" s="75">
        <f t="shared" si="3"/>
        <v>7.5841176470588342E-2</v>
      </c>
      <c r="E22">
        <f>COUNTIF(tables_433104!C:C,input_433104!A22)-COUNTIF(Q:Q,A22)</f>
        <v>10</v>
      </c>
      <c r="F22" s="43">
        <f t="shared" si="8"/>
        <v>7.5841176470588341E-3</v>
      </c>
      <c r="G22">
        <f t="shared" si="4"/>
        <v>887038.4000000013</v>
      </c>
      <c r="H22">
        <f t="shared" si="5"/>
        <v>88703.84</v>
      </c>
      <c r="I22">
        <f t="shared" si="6"/>
        <v>0.83999999999650754</v>
      </c>
      <c r="J22">
        <f t="shared" si="7"/>
        <v>1.1904761904811401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2.7705882352941184E-3</v>
      </c>
      <c r="C23" s="86">
        <f t="shared" si="2"/>
        <v>0</v>
      </c>
      <c r="D23" s="75">
        <f t="shared" si="3"/>
        <v>2.7705882352941184E-3</v>
      </c>
      <c r="E23">
        <f>COUNTIF(tables_433104!C:C,input_433104!A23)-COUNTIF(Q:Q,A23)</f>
        <v>10</v>
      </c>
      <c r="F23" s="43">
        <f t="shared" si="8"/>
        <v>2.7705882352941182E-4</v>
      </c>
      <c r="G23">
        <f t="shared" si="4"/>
        <v>32404.80000000001</v>
      </c>
      <c r="H23">
        <f t="shared" si="5"/>
        <v>3240.48</v>
      </c>
      <c r="I23">
        <f t="shared" si="6"/>
        <v>0.48000000000001819</v>
      </c>
      <c r="J23">
        <f t="shared" si="7"/>
        <v>2.0833333333332544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COUNTIF(tables_433104!C:C,input_433104!A24)-COUNTIF(Q:Q,A24)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1.5792352941176473E-2</v>
      </c>
      <c r="C25" s="86">
        <f t="shared" si="2"/>
        <v>0</v>
      </c>
      <c r="D25" s="75">
        <f t="shared" si="3"/>
        <v>1.5792352941176473E-2</v>
      </c>
      <c r="E25">
        <f>COUNTIF(tables_433104!C:C,input_433104!A25)-COUNTIF(Q:Q,A25)</f>
        <v>3</v>
      </c>
      <c r="F25" s="43">
        <f t="shared" si="8"/>
        <v>5.2641176470588245E-3</v>
      </c>
      <c r="G25">
        <f t="shared" si="4"/>
        <v>184707.36000000002</v>
      </c>
      <c r="H25">
        <f t="shared" si="5"/>
        <v>61569.120000000003</v>
      </c>
      <c r="I25">
        <f t="shared" si="6"/>
        <v>0.12000000000261934</v>
      </c>
      <c r="J25">
        <f t="shared" si="7"/>
        <v>8.333333333151435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8.3117647058823547E-4</v>
      </c>
      <c r="C26" s="86">
        <f t="shared" si="2"/>
        <v>0</v>
      </c>
      <c r="D26" s="75">
        <f t="shared" si="3"/>
        <v>8.3117647058823547E-4</v>
      </c>
      <c r="E26">
        <f>COUNTIF(tables_433104!C:C,input_433104!A26)-COUNTIF(Q:Q,A26)</f>
        <v>3</v>
      </c>
      <c r="F26" s="43">
        <f t="shared" si="8"/>
        <v>2.7705882352941182E-4</v>
      </c>
      <c r="G26">
        <f t="shared" si="4"/>
        <v>9721.4400000000023</v>
      </c>
      <c r="H26">
        <f t="shared" si="5"/>
        <v>3240.48</v>
      </c>
      <c r="I26">
        <f t="shared" si="6"/>
        <v>0.48000000000001819</v>
      </c>
      <c r="J26">
        <f t="shared" si="7"/>
        <v>2.0833333333332544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8.8372093023255834E-3</v>
      </c>
      <c r="C27" s="86">
        <f t="shared" si="2"/>
        <v>0</v>
      </c>
      <c r="D27" s="75">
        <f t="shared" si="3"/>
        <v>8.8372093023255834E-3</v>
      </c>
      <c r="E27">
        <f>COUNTIF(tables_433104!C:C,input_433104!A27)-COUNTIF(Q:Q,A27)</f>
        <v>20</v>
      </c>
      <c r="F27" s="43">
        <f>IFERROR(B27/E27,0)</f>
        <v>4.4186046511627918E-4</v>
      </c>
      <c r="G27">
        <f t="shared" si="4"/>
        <v>103360.00000000003</v>
      </c>
      <c r="H27">
        <f t="shared" si="5"/>
        <v>5168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4.6511627906976752E-4</v>
      </c>
      <c r="C28" s="86">
        <f t="shared" si="2"/>
        <v>0</v>
      </c>
      <c r="D28" s="75">
        <f t="shared" si="3"/>
        <v>4.6511627906976752E-4</v>
      </c>
      <c r="E28">
        <f>COUNTIF(tables_433104!C:C,input_433104!A28)-COUNTIF(Q:Q,A28)</f>
        <v>20</v>
      </c>
      <c r="F28" s="43">
        <f t="shared" si="8"/>
        <v>2.3255813953488377E-5</v>
      </c>
      <c r="G28">
        <f t="shared" si="4"/>
        <v>5440.0000000000009</v>
      </c>
      <c r="H28">
        <f t="shared" si="5"/>
        <v>272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1.0697674418604653E-2</v>
      </c>
      <c r="C29" s="86">
        <f t="shared" si="2"/>
        <v>0</v>
      </c>
      <c r="D29" s="75">
        <f t="shared" si="3"/>
        <v>1.0697674418604653E-2</v>
      </c>
      <c r="E29">
        <f>COUNTIF(tables_433104!C:C,input_433104!A29)-COUNTIF(Q:Q,A29)</f>
        <v>23</v>
      </c>
      <c r="F29" s="43">
        <f t="shared" si="8"/>
        <v>4.6511627906976752E-4</v>
      </c>
      <c r="G29">
        <f t="shared" si="4"/>
        <v>125120.00000000003</v>
      </c>
      <c r="H29">
        <f t="shared" si="5"/>
        <v>5440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COUNTIF(tables_433104!C:C,input_433104!A30)-COUNTIF(Q:Q,A30)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COUNTIF(tables_433104!C:C,input_433104!A31)-COUNTIF(Q:Q,A31)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3">
        <f>B$5*0.6-B34-B39</f>
        <v>0</v>
      </c>
      <c r="C32" s="86">
        <f t="shared" si="2"/>
        <v>0</v>
      </c>
      <c r="D32" s="75">
        <f t="shared" si="3"/>
        <v>0</v>
      </c>
      <c r="E32">
        <f>COUNTIF(tables_433104!C:C,input_433104!A32)-COUNTIF(Q:Q,A32)</f>
        <v>4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0.14286956521739128</v>
      </c>
      <c r="C33" s="86">
        <f t="shared" si="2"/>
        <v>0</v>
      </c>
      <c r="D33" s="75">
        <f t="shared" si="3"/>
        <v>0.14286956521739128</v>
      </c>
      <c r="E33">
        <f>COUNTIF(tables_433104!C:C,input_433104!A33)-COUNTIF(Q:Q,A33)</f>
        <v>5</v>
      </c>
      <c r="F33" s="43">
        <f>IFERROR(B33/E33,0)</f>
        <v>2.8573913043478255E-2</v>
      </c>
      <c r="G33">
        <f t="shared" si="4"/>
        <v>1671002.4347826084</v>
      </c>
      <c r="H33">
        <f t="shared" si="5"/>
        <v>334200.48696000001</v>
      </c>
      <c r="I33">
        <f t="shared" si="6"/>
        <v>0.48696000000927597</v>
      </c>
      <c r="J33">
        <f t="shared" si="7"/>
        <v>2.0535567602697373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COUNTIF(tables_433104!C:C,input_433104!A34)-COUNTIF(Q:Q,A34)</f>
        <v>12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0.29194923817454177</v>
      </c>
      <c r="C35" s="86">
        <f t="shared" si="2"/>
        <v>0</v>
      </c>
      <c r="D35" s="75">
        <f t="shared" si="3"/>
        <v>0.29194923817454177</v>
      </c>
      <c r="E35">
        <f>COUNTIF(tables_433104!C:C,input_433104!A35)-COUNTIF(Q:Q,A35)</f>
        <v>12</v>
      </c>
      <c r="F35" s="43">
        <f t="shared" si="9"/>
        <v>2.4329103181211814E-2</v>
      </c>
      <c r="G35">
        <f t="shared" si="4"/>
        <v>3414638.2896894407</v>
      </c>
      <c r="H35">
        <f t="shared" si="5"/>
        <v>284553.19081</v>
      </c>
      <c r="I35">
        <f t="shared" si="6"/>
        <v>0.19081000000005588</v>
      </c>
      <c r="J35">
        <f t="shared" si="7"/>
        <v>5.2408154708857353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2.9377183471973375E-3</v>
      </c>
      <c r="C36" s="86">
        <f t="shared" si="2"/>
        <v>0</v>
      </c>
      <c r="D36" s="75">
        <f t="shared" si="3"/>
        <v>2.9377183471973375E-3</v>
      </c>
      <c r="E36">
        <f>COUNTIF(tables_433104!C:C,input_433104!A36)-COUNTIF(Q:Q,A36)</f>
        <v>12</v>
      </c>
      <c r="F36" s="43">
        <f t="shared" si="9"/>
        <v>2.4480986226644479E-4</v>
      </c>
      <c r="G36">
        <f t="shared" si="4"/>
        <v>34359.553788820056</v>
      </c>
      <c r="H36">
        <f t="shared" si="5"/>
        <v>2863.2961500000001</v>
      </c>
      <c r="I36">
        <f t="shared" si="6"/>
        <v>0.29615000000012515</v>
      </c>
      <c r="J36">
        <f t="shared" si="7"/>
        <v>3.3766672294431115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9.352608695652162E-2</v>
      </c>
      <c r="C37" s="86">
        <f t="shared" si="2"/>
        <v>0</v>
      </c>
      <c r="D37" s="75">
        <f t="shared" si="3"/>
        <v>9.352608695652162E-2</v>
      </c>
      <c r="E37">
        <f>COUNTIF(tables_433104!C:C,input_433104!A37)-COUNTIF(Q:Q,A37)</f>
        <v>5</v>
      </c>
      <c r="F37" s="43">
        <f t="shared" si="9"/>
        <v>1.8705217391304325E-2</v>
      </c>
      <c r="G37">
        <f t="shared" si="4"/>
        <v>1093881.1130434768</v>
      </c>
      <c r="H37">
        <f t="shared" si="5"/>
        <v>218776.22261</v>
      </c>
      <c r="I37">
        <f t="shared" si="6"/>
        <v>0.22260999999707565</v>
      </c>
      <c r="J37">
        <f t="shared" si="7"/>
        <v>4.492161178802105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6.1434782608695646E-3</v>
      </c>
      <c r="C38" s="86">
        <f t="shared" si="2"/>
        <v>0</v>
      </c>
      <c r="D38" s="75">
        <f t="shared" si="3"/>
        <v>6.1434782608695646E-3</v>
      </c>
      <c r="E38">
        <f>COUNTIF(tables_433104!C:C,input_433104!A38)-COUNTIF(Q:Q,A38)</f>
        <v>5</v>
      </c>
      <c r="F38" s="43">
        <f t="shared" si="9"/>
        <v>1.2286956521739129E-3</v>
      </c>
      <c r="G38">
        <f t="shared" si="4"/>
        <v>71854.121739130424</v>
      </c>
      <c r="H38">
        <f t="shared" si="5"/>
        <v>14370.824350000001</v>
      </c>
      <c r="I38">
        <f t="shared" si="6"/>
        <v>0.82435000000077707</v>
      </c>
      <c r="J38">
        <f t="shared" si="7"/>
        <v>1.2130769697325861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COUNTIF(tables_433104!C:C,input_433104!A39)-COUNTIF(Q:Q,A39)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2.3345217391304345E-2</v>
      </c>
      <c r="C40" s="86">
        <f t="shared" si="2"/>
        <v>0</v>
      </c>
      <c r="D40" s="75">
        <f t="shared" si="3"/>
        <v>2.3345217391304345E-2</v>
      </c>
      <c r="E40">
        <f>COUNTIF(tables_433104!C:C,input_433104!A40)-COUNTIF(Q:Q,A40)</f>
        <v>1</v>
      </c>
      <c r="F40" s="43">
        <f t="shared" si="9"/>
        <v>2.3345217391304345E-2</v>
      </c>
      <c r="G40">
        <f t="shared" si="4"/>
        <v>273045.66260869562</v>
      </c>
      <c r="H40">
        <f t="shared" si="5"/>
        <v>273045.66261</v>
      </c>
      <c r="I40">
        <f t="shared" si="6"/>
        <v>0.66260999999940395</v>
      </c>
      <c r="J40">
        <f t="shared" si="7"/>
        <v>1.5091833808739674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1.2286956521739131E-3</v>
      </c>
      <c r="C41" s="86">
        <f t="shared" si="2"/>
        <v>0</v>
      </c>
      <c r="D41" s="75">
        <f t="shared" si="3"/>
        <v>1.2286956521739131E-3</v>
      </c>
      <c r="E41">
        <f>COUNTIF(tables_433104!C:C,input_433104!A41)-COUNTIF(Q:Q,A41)</f>
        <v>1</v>
      </c>
      <c r="F41" s="43">
        <f t="shared" si="9"/>
        <v>1.2286956521739131E-3</v>
      </c>
      <c r="G41">
        <f t="shared" si="4"/>
        <v>14370.824347826088</v>
      </c>
      <c r="H41">
        <f t="shared" si="5"/>
        <v>14370.824350000001</v>
      </c>
      <c r="I41">
        <f t="shared" si="6"/>
        <v>0.82435000000077707</v>
      </c>
      <c r="J41">
        <f t="shared" si="7"/>
        <v>1.2130769697325861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1.6285714285714285E-2</v>
      </c>
      <c r="C42" s="86">
        <f t="shared" si="2"/>
        <v>0</v>
      </c>
      <c r="D42" s="75">
        <f t="shared" si="3"/>
        <v>1.6285714285714285E-2</v>
      </c>
      <c r="E42">
        <f>COUNTIF(tables_433104!C:C,input_433104!A42)-COUNTIF(Q:Q,A42)</f>
        <v>8</v>
      </c>
      <c r="F42" s="43">
        <f>IFERROR(B42/E42,0)</f>
        <v>2.0357142857142857E-3</v>
      </c>
      <c r="G42">
        <f t="shared" si="4"/>
        <v>190477.71428571429</v>
      </c>
      <c r="H42">
        <f t="shared" si="5"/>
        <v>23809.71429</v>
      </c>
      <c r="I42">
        <f t="shared" si="6"/>
        <v>0.71428999999989173</v>
      </c>
      <c r="J42">
        <f t="shared" si="7"/>
        <v>1.3999916000506119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8.5714285714285721E-4</v>
      </c>
      <c r="C43" s="86">
        <f t="shared" si="2"/>
        <v>0</v>
      </c>
      <c r="D43" s="75">
        <f t="shared" si="3"/>
        <v>8.5714285714285721E-4</v>
      </c>
      <c r="E43">
        <f>COUNTIF(tables_433104!C:C,input_433104!A43)-COUNTIF(Q:Q,A43)</f>
        <v>8</v>
      </c>
      <c r="F43" s="43">
        <f t="shared" ref="F43:F46" si="10">IFERROR(B43/E43,0)</f>
        <v>1.0714285714285715E-4</v>
      </c>
      <c r="G43">
        <f t="shared" si="4"/>
        <v>10025.142857142859</v>
      </c>
      <c r="H43">
        <f t="shared" si="5"/>
        <v>1253.1428599999999</v>
      </c>
      <c r="I43">
        <f t="shared" si="6"/>
        <v>0.14285999999992782</v>
      </c>
      <c r="J43">
        <f t="shared" si="7"/>
        <v>6.999860002803481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1.2857142857142859E-2</v>
      </c>
      <c r="C44" s="86">
        <f t="shared" si="2"/>
        <v>0</v>
      </c>
      <c r="D44" s="75">
        <f t="shared" si="3"/>
        <v>1.2857142857142859E-2</v>
      </c>
      <c r="E44">
        <f>COUNTIF(tables_433104!C:C,input_433104!A44)-COUNTIF(Q:Q,A44)</f>
        <v>6</v>
      </c>
      <c r="F44" s="43">
        <f t="shared" si="10"/>
        <v>2.142857142857143E-3</v>
      </c>
      <c r="G44">
        <f t="shared" si="4"/>
        <v>150377.14285714287</v>
      </c>
      <c r="H44">
        <f t="shared" si="5"/>
        <v>25062.85714</v>
      </c>
      <c r="I44">
        <f t="shared" si="6"/>
        <v>0.85714000000007218</v>
      </c>
      <c r="J44">
        <f t="shared" si="7"/>
        <v>1.1666705555684203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COUNTIF(tables_433104!C:C,input_433104!A45)-COUNTIF(Q:Q,A45)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8.0000000000000002E-3</v>
      </c>
      <c r="C46" s="86">
        <f t="shared" si="2"/>
        <v>0</v>
      </c>
      <c r="D46" s="75">
        <f t="shared" si="3"/>
        <v>8.0000000000000002E-3</v>
      </c>
      <c r="E46">
        <f>COUNTIF(tables_433104!C:C,input_433104!A46)-COUNTIF(Q:Q,A46)</f>
        <v>1</v>
      </c>
      <c r="F46" s="43">
        <f t="shared" si="10"/>
        <v>8.0000000000000002E-3</v>
      </c>
      <c r="G46">
        <f t="shared" si="4"/>
        <v>93568</v>
      </c>
      <c r="H46">
        <f t="shared" si="5"/>
        <v>93568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2">
        <f>SUM(B32:B46)</f>
        <v>0.59999999999999987</v>
      </c>
      <c r="E49" s="97">
        <f>G49*0.6</f>
        <v>1.180662947888962E-2</v>
      </c>
      <c r="F49" s="107">
        <f>G49-E49</f>
        <v>7.8710863192597482E-3</v>
      </c>
      <c r="G49" s="106">
        <f>(0.0158339817828041)+0.00384373401534527</f>
        <v>1.9677715798149368E-2</v>
      </c>
      <c r="H49" s="106">
        <v>3.8437340153452682E-3</v>
      </c>
    </row>
    <row r="50" spans="1:8" x14ac:dyDescent="0.15">
      <c r="A50" t="s">
        <v>74</v>
      </c>
      <c r="C50" s="92">
        <v>2.3200000000000099E-2</v>
      </c>
      <c r="D50" s="96"/>
      <c r="E50" s="97"/>
      <c r="F50" s="105"/>
      <c r="G50" s="108"/>
    </row>
    <row r="51" spans="1:8" x14ac:dyDescent="0.15">
      <c r="A51" s="31">
        <f>LCM(F5-I5,F7-I6)*1000*2*2</f>
        <v>11696000</v>
      </c>
      <c r="H51" s="77"/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4" t="s">
        <v>296</v>
      </c>
    </row>
    <row r="55" spans="1:8" x14ac:dyDescent="0.15">
      <c r="A55" s="33" t="s">
        <v>106</v>
      </c>
      <c r="B55">
        <f ca="1">SUMIF(tables_433104!C:C,input_433104!A55,tables_433104!O:O)</f>
        <v>0</v>
      </c>
      <c r="C55" s="54">
        <f t="shared" ref="C55:C61" ca="1" si="11">B55/B$62</f>
        <v>0</v>
      </c>
      <c r="E55">
        <v>3</v>
      </c>
      <c r="F55">
        <f ca="1">SUMIF(tables_433104!J:J,input_433104!E55,tables_433104!O:O)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SUMIF(tables_433104!C:C,input_433104!A56,tables_433104!O:O)</f>
        <v>2320905.0256000003</v>
      </c>
      <c r="C56" s="54">
        <f t="shared" ca="1" si="11"/>
        <v>0.94067964579388341</v>
      </c>
      <c r="E56">
        <v>4</v>
      </c>
      <c r="F56">
        <f ca="1">SUMIF(tables_433104!J:J,input_433104!E56,tables_433104!O:O)</f>
        <v>11111200.0001</v>
      </c>
      <c r="G56">
        <f ca="1">F56/A51</f>
        <v>0.95000000000854989</v>
      </c>
      <c r="H56" s="55">
        <f>B18+B20+B22+B25+B27+B30+B33+B35+B37+B40+B42+B45</f>
        <v>0.95</v>
      </c>
    </row>
    <row r="57" spans="1:8" x14ac:dyDescent="0.15">
      <c r="A57" s="33" t="s">
        <v>109</v>
      </c>
      <c r="B57">
        <f ca="1">SUMIF(tables_433104!C:C,input_433104!A57,tables_433104!O:O)</f>
        <v>103360</v>
      </c>
      <c r="C57" s="54">
        <f t="shared" ca="1" si="11"/>
        <v>4.189255791030063E-2</v>
      </c>
      <c r="E57">
        <v>5</v>
      </c>
      <c r="F57">
        <f ca="1">SUMIF(tables_433104!J:J,input_433104!E57,tables_433104!O:O)</f>
        <v>584800.0000199998</v>
      </c>
      <c r="G57">
        <f ca="1">F57/A51</f>
        <v>5.0000000001709968E-2</v>
      </c>
      <c r="H57" s="55">
        <f>B21+B23+B26+B28+B29+B31+B36+B38+B41+B43+B44+B46</f>
        <v>5.0000000000000037E-2</v>
      </c>
    </row>
    <row r="58" spans="1:8" x14ac:dyDescent="0.15">
      <c r="A58" s="33" t="s">
        <v>113</v>
      </c>
      <c r="B58">
        <f>SUMIF(tables_433104!C:C,input_433104!A58,tables_433104!O:O)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SUMIF(tables_433104!C:C,input_433104!A59,tables_433104!O:O)</f>
        <v>37558.974399999999</v>
      </c>
      <c r="C59" s="54">
        <f t="shared" ca="1" si="11"/>
        <v>1.5222924826852738E-2</v>
      </c>
      <c r="E59" t="s">
        <v>55</v>
      </c>
      <c r="F59" s="55"/>
    </row>
    <row r="60" spans="1:8" x14ac:dyDescent="0.15">
      <c r="A60" s="33" t="s">
        <v>110</v>
      </c>
      <c r="B60">
        <f ca="1">SUMIF(tables_433104!C:C,input_433104!A60,tables_433104!O:O)</f>
        <v>5440</v>
      </c>
      <c r="C60" s="54">
        <f t="shared" ca="1" si="11"/>
        <v>2.2048714689631914E-3</v>
      </c>
      <c r="E60" t="s">
        <v>210</v>
      </c>
      <c r="F60" s="55">
        <f ca="1">SUMIF(tables_433104!I:I,input_433104!E60,tables_433104!P:P)</f>
        <v>0.22598721227538282</v>
      </c>
    </row>
    <row r="61" spans="1:8" x14ac:dyDescent="0.15">
      <c r="A61" s="33" t="s">
        <v>111</v>
      </c>
      <c r="B61">
        <f>SUMIF(tables_433104!C:C,input_433104!A61,tables_433104!O:O)</f>
        <v>0</v>
      </c>
      <c r="C61" s="54">
        <f t="shared" ca="1" si="11"/>
        <v>0</v>
      </c>
      <c r="E61" t="s">
        <v>211</v>
      </c>
      <c r="F61" s="55">
        <f ca="1">SUMIF(tables_433104!I:I,input_433104!E61,tables_433104!P:P)</f>
        <v>0.1994872122756548</v>
      </c>
    </row>
    <row r="62" spans="1:8" x14ac:dyDescent="0.15">
      <c r="A62" s="39" t="s">
        <v>60</v>
      </c>
      <c r="B62">
        <f ca="1">SUM(B55:B61)</f>
        <v>2467264.0000000005</v>
      </c>
      <c r="C62" s="55">
        <f ca="1">SUM(C55:C61)</f>
        <v>1</v>
      </c>
      <c r="E62" t="s">
        <v>212</v>
      </c>
      <c r="F62" s="55">
        <f ca="1">SUMIF(tables_433104!I:I,input_433104!E62,tables_433104!P:P)</f>
        <v>0.51652557544613686</v>
      </c>
    </row>
    <row r="63" spans="1:8" x14ac:dyDescent="0.15">
      <c r="E63" t="s">
        <v>213</v>
      </c>
      <c r="F63" s="55">
        <f ca="1">SUMIF(tables_433104!I:I,input_433104!E63,tables_433104!P:P)</f>
        <v>4.6461794023121054E-2</v>
      </c>
    </row>
    <row r="64" spans="1:8" x14ac:dyDescent="0.15">
      <c r="E64" t="s">
        <v>283</v>
      </c>
      <c r="F64" s="55">
        <f ca="1">SUMIF(tables_433104!I:I,input_433104!E64,tables_433104!P:P)</f>
        <v>3.5382059797858549E-3</v>
      </c>
    </row>
    <row r="65" spans="5:6" x14ac:dyDescent="0.15">
      <c r="E65" t="s">
        <v>281</v>
      </c>
      <c r="F65" s="55">
        <f ca="1">SUMIF(tables_433104!I:I,input_433104!E65,tables_433104!P:P)</f>
        <v>7.9999999999179096E-3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304" activePane="bottomLeft" state="frozen"/>
      <selection activeCell="H44" sqref="H44"/>
      <selection pane="bottomLeft" activeCell="B319" sqref="B319:B32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input_433104!A$2</f>
        <v>433104</v>
      </c>
      <c r="B2" s="6">
        <v>127</v>
      </c>
      <c r="C2" s="7" t="str">
        <f t="shared" ref="C2:C65" si="0">D2&amp;J2&amp;E2&amp;F2&amp;G2</f>
        <v>PremiumW4color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IFERROR(VLOOKUP(B2,input_433104!L:R,7,FALSE),VLOOKUP(tables_433104!C2,input_433104!A:H,8,FALSE))</f>
        <v>334200.48696000001</v>
      </c>
      <c r="P2" s="46">
        <f t="shared" ref="P2:P65" ca="1" si="1">O2/SUM(O:O)</f>
        <v>2.8573913043482446E-2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input_433104!A$2</f>
        <v>433104</v>
      </c>
      <c r="B3" s="6">
        <v>128</v>
      </c>
      <c r="C3" s="7" t="str">
        <f t="shared" si="0"/>
        <v>PremiumW3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/>
      </c>
      <c r="H3" s="7" t="str">
        <f>VLOOKUP(B3,[1]characters!$A:$C,3,FALSE)</f>
        <v>野生児 アマラ</v>
      </c>
      <c r="I3" s="7" t="str">
        <f>VLOOKUP(B3,[1]characters!$A:$J,10,FALSE)</f>
        <v>PremiumW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IFERROR(VLOOKUP(B3,input_433104!L:R,7,FALSE),VLOOKUP(tables_433104!C3,input_433104!A:H,8,FALSE))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input_433104!A$2</f>
        <v>433104</v>
      </c>
      <c r="B4" s="6">
        <v>129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孤高の狼憑き アマラ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IFERROR(VLOOKUP(B4,input_433104!L:R,7,FALSE),VLOOKUP(tables_433104!C4,input_433104!A:H,8,FALSE))</f>
        <v>64809.599999999999</v>
      </c>
      <c r="P4" s="46">
        <f t="shared" ca="1" si="1"/>
        <v>5.5411764705313752E-3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input_433104!A$2</f>
        <v>433104</v>
      </c>
      <c r="B5" s="6">
        <v>130</v>
      </c>
      <c r="C5" s="7" t="str">
        <f t="shared" si="0"/>
        <v>PremiumW3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狼男 ローレンス</v>
      </c>
      <c r="I5" s="7" t="str">
        <f>VLOOKUP(B5,[1]characters!$A:$J,10,FALSE)</f>
        <v>PremiumW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f ca="1">IFERROR(VLOOKUP(B5,input_433104!L:R,7,FALSE),VLOOKUP(tables_433104!C5,input_433104!A:H,8,FALSE))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input_433104!A$2</f>
        <v>433104</v>
      </c>
      <c r="B6" s="6">
        <v>131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月下の人狼 ローレンス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IFERROR(VLOOKUP(B6,input_433104!L:R,7,FALSE),VLOOKUP(tables_433104!C6,input_433104!A:H,8,FALSE))</f>
        <v>64809.599999999999</v>
      </c>
      <c r="P6" s="46">
        <f t="shared" ca="1" si="1"/>
        <v>5.5411764705313752E-3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input_433104!A$2</f>
        <v>433104</v>
      </c>
      <c r="B7" s="6">
        <v>132</v>
      </c>
      <c r="C7" s="7" t="str">
        <f t="shared" si="0"/>
        <v>PremiumW3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鳥人ハヤト</v>
      </c>
      <c r="I7" s="7" t="str">
        <f>VLOOKUP(B7,[1]characters!$A:$J,10,FALSE)</f>
        <v>PremiumW</v>
      </c>
      <c r="J7" s="7">
        <f>VLOOKUP(B7,[1]characters!$A:$I,9,FALSE)</f>
        <v>3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f ca="1">IFERROR(VLOOKUP(B7,input_433104!L:R,7,FALSE),VLOOKUP(tables_433104!C7,input_433104!A:H,8,FALSE))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input_433104!A$2</f>
        <v>433104</v>
      </c>
      <c r="B8" s="6">
        <v>133</v>
      </c>
      <c r="C8" s="7" t="str">
        <f t="shared" si="0"/>
        <v>PremiumW4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迅雷の刀剣 ハヤト</v>
      </c>
      <c r="I8" s="7" t="str">
        <f>VLOOKUP(B8,[1]characters!$A:$J,10,FALSE)</f>
        <v>PremiumW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IFERROR(VLOOKUP(B8,input_433104!L:R,7,FALSE),VLOOKUP(tables_433104!C8,input_433104!A:H,8,FALSE))</f>
        <v>64809.599999999999</v>
      </c>
      <c r="P8" s="46">
        <f t="shared" ca="1" si="1"/>
        <v>5.5411764705313752E-3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input_433104!A$2</f>
        <v>433104</v>
      </c>
      <c r="B9" s="6">
        <v>134</v>
      </c>
      <c r="C9" s="7" t="str">
        <f t="shared" si="0"/>
        <v>PremiumW3color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妖炎の夕霧</v>
      </c>
      <c r="I9" s="7" t="str">
        <f>VLOOKUP(B9,[1]characters!$A:$J,10,FALSE)</f>
        <v>PremiumW</v>
      </c>
      <c r="J9" s="7">
        <f>VLOOKUP(B9,[1]characters!$A:$I,9,FALSE)</f>
        <v>3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ca="1">IFERROR(VLOOKUP(B9,input_433104!L:R,7,FALSE),VLOOKUP(tables_433104!C9,input_433104!A:H,8,FALSE))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input_433104!A$2</f>
        <v>433104</v>
      </c>
      <c r="B10" s="6">
        <v>135</v>
      </c>
      <c r="C10" s="7" t="str">
        <f t="shared" si="0"/>
        <v>PremiumW4color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京の炎華夕霧</v>
      </c>
      <c r="I10" s="7" t="str">
        <f>VLOOKUP(B10,[1]characters!$A:$J,10,FALSE)</f>
        <v>PremiumW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IFERROR(VLOOKUP(B10,input_433104!L:R,7,FALSE),VLOOKUP(tables_433104!C10,input_433104!A:H,8,FALSE))</f>
        <v>334200.48696000001</v>
      </c>
      <c r="P10" s="46">
        <f t="shared" ca="1" si="1"/>
        <v>2.8573913043482446E-2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input_433104!A$2</f>
        <v>433104</v>
      </c>
      <c r="B11" s="8">
        <v>136</v>
      </c>
      <c r="C11" s="7" t="str">
        <f t="shared" si="0"/>
        <v>PremiumW3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お針子チハヤ</v>
      </c>
      <c r="I11" s="7" t="str">
        <f>VLOOKUP(B11,[1]characters!$A:$J,10,FALSE)</f>
        <v>PremiumW</v>
      </c>
      <c r="J11" s="7">
        <f>VLOOKUP(B11,[1]characters!$A:$I,9,FALSE)</f>
        <v>3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IFERROR(VLOOKUP(B11,input_433104!L:R,7,FALSE),VLOOKUP(tables_433104!C11,input_433104!A:H,8,FALSE))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input_433104!A$2</f>
        <v>433104</v>
      </c>
      <c r="B12" s="8">
        <v>137</v>
      </c>
      <c r="C12" s="7" t="str">
        <f t="shared" si="0"/>
        <v>PremiumW4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清福の仕立屋 チハヤ</v>
      </c>
      <c r="I12" s="7" t="str">
        <f>VLOOKUP(B12,[1]characters!$A:$J,10,FALSE)</f>
        <v>PremiumW</v>
      </c>
      <c r="J12" s="7">
        <f>VLOOKUP(B12,[1]characters!$A:$I,9,FALSE)</f>
        <v>4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IFERROR(VLOOKUP(B12,input_433104!L:R,7,FALSE),VLOOKUP(tables_433104!C12,input_433104!A:H,8,FALSE))</f>
        <v>64809.599999999999</v>
      </c>
      <c r="P12" s="46">
        <f t="shared" ca="1" si="1"/>
        <v>5.5411764705313752E-3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input_433104!A$2</f>
        <v>433104</v>
      </c>
      <c r="B13" s="6">
        <v>138</v>
      </c>
      <c r="C13" s="7" t="str">
        <f t="shared" si="0"/>
        <v>PremiumW3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蒼薙のトモエ</v>
      </c>
      <c r="I13" s="7" t="str">
        <f>VLOOKUP(B13,[1]characters!$A:$J,10,FALSE)</f>
        <v>PremiumW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IFERROR(VLOOKUP(B13,input_433104!L:R,7,FALSE),VLOOKUP(tables_433104!C13,input_433104!A:H,8,FALSE))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input_433104!A$2</f>
        <v>433104</v>
      </c>
      <c r="B14" s="6">
        <v>139</v>
      </c>
      <c r="C14" s="7" t="str">
        <f t="shared" si="0"/>
        <v>PremiumW4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蒼昇刃姫 トモエ</v>
      </c>
      <c r="I14" s="7" t="str">
        <f>VLOOKUP(B14,[1]characters!$A:$J,10,FALSE)</f>
        <v>PremiumW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IFERROR(VLOOKUP(B14,input_433104!L:R,7,FALSE),VLOOKUP(tables_433104!C14,input_433104!A:H,8,FALSE))</f>
        <v>64809.599999999999</v>
      </c>
      <c r="P14" s="46">
        <f t="shared" ca="1" si="1"/>
        <v>5.5411764705313752E-3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input_433104!A$2</f>
        <v>433104</v>
      </c>
      <c r="B15" s="10">
        <v>140</v>
      </c>
      <c r="C15" s="7" t="str">
        <f t="shared" si="0"/>
        <v>PremiumW3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秋祭のタマモ</v>
      </c>
      <c r="I15" s="7" t="str">
        <f>VLOOKUP(B15,[1]characters!$A:$J,10,FALSE)</f>
        <v>PremiumW</v>
      </c>
      <c r="J15" s="7">
        <f>VLOOKUP(B15,[1]characters!$A:$I,9,FALSE)</f>
        <v>3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ca="1">IFERROR(VLOOKUP(B15,input_433104!L:R,7,FALSE),VLOOKUP(tables_433104!C15,input_433104!A:H,8,FALSE))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input_433104!A$2</f>
        <v>433104</v>
      </c>
      <c r="B16" s="11">
        <v>141</v>
      </c>
      <c r="C16" s="7" t="str">
        <f t="shared" si="0"/>
        <v>PremiumW4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妖狐演舞 タマモ</v>
      </c>
      <c r="I16" s="7" t="str">
        <f>VLOOKUP(B16,[1]characters!$A:$J,10,FALSE)</f>
        <v>PremiumW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IFERROR(VLOOKUP(B16,input_433104!L:R,7,FALSE),VLOOKUP(tables_433104!C16,input_433104!A:H,8,FALSE))</f>
        <v>64809.599999999999</v>
      </c>
      <c r="P16" s="46">
        <f t="shared" ca="1" si="1"/>
        <v>5.5411764705313752E-3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input_433104!A$2</f>
        <v>433104</v>
      </c>
      <c r="B17" s="6">
        <v>142</v>
      </c>
      <c r="C17" s="7" t="str">
        <f t="shared" si="0"/>
        <v>PremiumW3color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赤ずきん</v>
      </c>
      <c r="I17" s="7" t="str">
        <f>VLOOKUP(B17,[1]characters!$A:$J,10,FALSE)</f>
        <v>PremiumW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IFERROR(VLOOKUP(B17,input_433104!L:R,7,FALSE),VLOOKUP(tables_433104!C17,input_433104!A:H,8,FALSE))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input_433104!A$2</f>
        <v>433104</v>
      </c>
      <c r="B18" s="6">
        <v>143</v>
      </c>
      <c r="C18" s="7" t="str">
        <f t="shared" si="0"/>
        <v>PremiumW4color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深紅の死神 赤ずきん</v>
      </c>
      <c r="I18" s="7" t="str">
        <f>VLOOKUP(B18,[1]characters!$A:$J,10,FALSE)</f>
        <v>PremiumW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IFERROR(VLOOKUP(B18,input_433104!L:R,7,FALSE),VLOOKUP(tables_433104!C18,input_433104!A:H,8,FALSE))</f>
        <v>334200.48696000001</v>
      </c>
      <c r="P18" s="46">
        <f t="shared" ca="1" si="1"/>
        <v>2.8573913043482446E-2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input_433104!A$2</f>
        <v>433104</v>
      </c>
      <c r="B19" s="10">
        <v>144</v>
      </c>
      <c r="C19" s="7" t="str">
        <f t="shared" si="0"/>
        <v>PremiumW3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かぐや</v>
      </c>
      <c r="I19" s="7" t="str">
        <f>VLOOKUP(B19,[1]characters!$A:$J,10,FALSE)</f>
        <v>PremiumW</v>
      </c>
      <c r="J19" s="7">
        <f>VLOOKUP(B19,[1]characters!$A:$I,9,FALSE)</f>
        <v>3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IFERROR(VLOOKUP(B19,input_433104!L:R,7,FALSE),VLOOKUP(tables_433104!C19,input_433104!A:H,8,FALSE))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input_433104!A$2</f>
        <v>433104</v>
      </c>
      <c r="B20" s="6">
        <v>145</v>
      </c>
      <c r="C20" s="7" t="str">
        <f t="shared" si="0"/>
        <v>PremiumW4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魔性妖艶 かぐや</v>
      </c>
      <c r="I20" s="7" t="str">
        <f>VLOOKUP(B20,[1]characters!$A:$J,10,FALSE)</f>
        <v>PremiumW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IFERROR(VLOOKUP(B20,input_433104!L:R,7,FALSE),VLOOKUP(tables_433104!C20,input_433104!A:H,8,FALSE))</f>
        <v>64809.599999999999</v>
      </c>
      <c r="P20" s="46">
        <f t="shared" ca="1" si="1"/>
        <v>5.5411764705313752E-3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input_433104!A$2</f>
        <v>433104</v>
      </c>
      <c r="B21" s="6">
        <v>146</v>
      </c>
      <c r="C21" s="7" t="str">
        <f t="shared" si="0"/>
        <v>PremiumW3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マーメイド</v>
      </c>
      <c r="I21" s="7" t="str">
        <f>VLOOKUP(B21,[1]characters!$A:$J,10,FALSE)</f>
        <v>PremiumW</v>
      </c>
      <c r="J21" s="7">
        <f>VLOOKUP(B21,[1]characters!$A:$I,9,FALSE)</f>
        <v>3</v>
      </c>
      <c r="K21" s="7" t="str">
        <f>VLOOKUP(B21,[1]characters!$A:$H,8,FALSE)</f>
        <v>blue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IFERROR(VLOOKUP(B21,input_433104!L:R,7,FALSE),VLOOKUP(tables_433104!C21,input_433104!A:H,8,FALSE))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input_433104!A$2</f>
        <v>433104</v>
      </c>
      <c r="B22" s="6">
        <v>147</v>
      </c>
      <c r="C22" s="7" t="str">
        <f t="shared" si="0"/>
        <v>PremiumW4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蒼き閃光 元マーメイド</v>
      </c>
      <c r="I22" s="7" t="str">
        <f>VLOOKUP(B22,[1]characters!$A:$J,10,FALSE)</f>
        <v>PremiumW</v>
      </c>
      <c r="J22" s="7">
        <f>VLOOKUP(B22,[1]characters!$A:$I,9,FALSE)</f>
        <v>4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IFERROR(VLOOKUP(B22,input_433104!L:R,7,FALSE),VLOOKUP(tables_433104!C22,input_433104!A:H,8,FALSE))</f>
        <v>64809.599999999999</v>
      </c>
      <c r="P22" s="46">
        <f t="shared" ca="1" si="1"/>
        <v>5.5411764705313752E-3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input_433104!A$2</f>
        <v>433104</v>
      </c>
      <c r="B23" s="6">
        <v>148</v>
      </c>
      <c r="C23" s="7" t="str">
        <f t="shared" si="0"/>
        <v>PremiumW3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シンデレラ</v>
      </c>
      <c r="I23" s="7" t="str">
        <f>VLOOKUP(B23,[1]characters!$A:$J,10,FALSE)</f>
        <v>PremiumW</v>
      </c>
      <c r="J23" s="7">
        <f>VLOOKUP(B23,[1]characters!$A:$I,9,FALSE)</f>
        <v>3</v>
      </c>
      <c r="K23" s="7" t="str">
        <f>VLOOKUP(B23,[1]characters!$A:$H,8,FALSE)</f>
        <v>yellow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IFERROR(VLOOKUP(B23,input_433104!L:R,7,FALSE),VLOOKUP(tables_433104!C23,input_433104!A:H,8,FALSE))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input_433104!A$2</f>
        <v>433104</v>
      </c>
      <c r="B24" s="6">
        <v>149</v>
      </c>
      <c r="C24" s="7" t="str">
        <f t="shared" si="0"/>
        <v>PremiumW4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雷撃蹴技を極めし者 シンデレラ</v>
      </c>
      <c r="I24" s="7" t="str">
        <f>VLOOKUP(B24,[1]characters!$A:$J,10,FALSE)</f>
        <v>PremiumW</v>
      </c>
      <c r="J24" s="7">
        <f>VLOOKUP(B24,[1]characters!$A:$I,9,FALSE)</f>
        <v>4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IFERROR(VLOOKUP(B24,input_433104!L:R,7,FALSE),VLOOKUP(tables_433104!C24,input_433104!A:H,8,FALSE))</f>
        <v>64809.599999999999</v>
      </c>
      <c r="P24" s="46">
        <f t="shared" ca="1" si="1"/>
        <v>5.5411764705313752E-3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input_433104!A$2</f>
        <v>433104</v>
      </c>
      <c r="B25" s="6">
        <v>150</v>
      </c>
      <c r="C25" s="7" t="str">
        <f t="shared" si="0"/>
        <v>PremiumW3color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ポイズンマスターサキ</v>
      </c>
      <c r="I25" s="7" t="str">
        <f>VLOOKUP(B25,[1]characters!$A:$J,10,FALSE)</f>
        <v>PremiumW</v>
      </c>
      <c r="J25" s="7">
        <f>VLOOKUP(B25,[1]characters!$A:$I,9,FALSE)</f>
        <v>3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IFERROR(VLOOKUP(B25,input_433104!L:R,7,FALSE),VLOOKUP(tables_433104!C25,input_433104!A:H,8,FALSE))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input_433104!A$2</f>
        <v>433104</v>
      </c>
      <c r="B26" s="6">
        <v>151</v>
      </c>
      <c r="C26" s="7" t="str">
        <f t="shared" si="0"/>
        <v>PremiumW4color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毒煙の処刑人サキ</v>
      </c>
      <c r="I26" s="7" t="str">
        <f>VLOOKUP(B26,[1]characters!$A:$J,10,FALSE)</f>
        <v>PremiumW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IFERROR(VLOOKUP(B26,input_433104!L:R,7,FALSE),VLOOKUP(tables_433104!C26,input_433104!A:H,8,FALSE))</f>
        <v>334200.48696000001</v>
      </c>
      <c r="P26" s="46">
        <f t="shared" ca="1" si="1"/>
        <v>2.8573913043482446E-2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input_433104!A$2</f>
        <v>433104</v>
      </c>
      <c r="B27" s="6">
        <v>152</v>
      </c>
      <c r="C27" s="7" t="str">
        <f t="shared" si="0"/>
        <v>PremiumW3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功夫少女ランラン</v>
      </c>
      <c r="I27" s="7" t="str">
        <f>VLOOKUP(B27,[1]characters!$A:$J,10,FALSE)</f>
        <v>PremiumW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IFERROR(VLOOKUP(B27,input_433104!L:R,7,FALSE),VLOOKUP(tables_433104!C27,input_433104!A:H,8,FALSE))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input_433104!A$2</f>
        <v>433104</v>
      </c>
      <c r="B28" s="6">
        <v>153</v>
      </c>
      <c r="C28" s="7" t="str">
        <f t="shared" si="0"/>
        <v>PremiumW4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拳聖ランラン</v>
      </c>
      <c r="I28" s="7" t="str">
        <f>VLOOKUP(B28,[1]characters!$A:$J,10,FALSE)</f>
        <v>PremiumW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IFERROR(VLOOKUP(B28,input_433104!L:R,7,FALSE),VLOOKUP(tables_433104!C28,input_433104!A:H,8,FALSE))</f>
        <v>64809.599999999999</v>
      </c>
      <c r="P28" s="46">
        <f t="shared" ca="1" si="1"/>
        <v>5.5411764705313752E-3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input_433104!A$2</f>
        <v>433104</v>
      </c>
      <c r="B29" s="6">
        <v>154</v>
      </c>
      <c r="C29" s="7" t="str">
        <f t="shared" si="0"/>
        <v>PremiumW3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始末屋 ハンナ</v>
      </c>
      <c r="I29" s="7" t="str">
        <f>VLOOKUP(B29,[1]characters!$A:$J,10,FALSE)</f>
        <v>PremiumW</v>
      </c>
      <c r="J29" s="7">
        <f>VLOOKUP(B29,[1]characters!$A:$I,9,FALSE)</f>
        <v>3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IFERROR(VLOOKUP(B29,input_433104!L:R,7,FALSE),VLOOKUP(tables_433104!C29,input_433104!A:H,8,FALSE))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input_433104!A$2</f>
        <v>433104</v>
      </c>
      <c r="B30" s="6">
        <v>155</v>
      </c>
      <c r="C30" s="7" t="str">
        <f t="shared" si="0"/>
        <v>PremiumW4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隻眼の掃除屋 ハンナ</v>
      </c>
      <c r="I30" s="7" t="str">
        <f>VLOOKUP(B30,[1]characters!$A:$J,10,FALSE)</f>
        <v>PremiumW</v>
      </c>
      <c r="J30" s="7">
        <f>VLOOKUP(B30,[1]characters!$A:$I,9,FALSE)</f>
        <v>4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IFERROR(VLOOKUP(B30,input_433104!L:R,7,FALSE),VLOOKUP(tables_433104!C30,input_433104!A:H,8,FALSE))</f>
        <v>64809.599999999999</v>
      </c>
      <c r="P30" s="46">
        <f t="shared" ca="1" si="1"/>
        <v>5.5411764705313752E-3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input_433104!A$2</f>
        <v>433104</v>
      </c>
      <c r="B31" s="6">
        <v>156</v>
      </c>
      <c r="C31" s="7" t="str">
        <f t="shared" si="0"/>
        <v>PremiumW3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踊り子 エレナ</v>
      </c>
      <c r="I31" s="7" t="str">
        <f>VLOOKUP(B31,[1]characters!$A:$J,10,FALSE)</f>
        <v>PremiumW</v>
      </c>
      <c r="J31" s="7">
        <f>VLOOKUP(B31,[1]characters!$A:$I,9,FALSE)</f>
        <v>3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IFERROR(VLOOKUP(B31,input_433104!L:R,7,FALSE),VLOOKUP(tables_433104!C31,input_433104!A:H,8,FALSE))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input_433104!A$2</f>
        <v>433104</v>
      </c>
      <c r="B32" s="6">
        <v>157</v>
      </c>
      <c r="C32" s="7" t="str">
        <f t="shared" si="0"/>
        <v>PremiumW4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雷光舞姫 エレナ</v>
      </c>
      <c r="I32" s="7" t="str">
        <f>VLOOKUP(B32,[1]characters!$A:$J,10,FALSE)</f>
        <v>PremiumW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IFERROR(VLOOKUP(B32,input_433104!L:R,7,FALSE),VLOOKUP(tables_433104!C32,input_433104!A:H,8,FALSE))</f>
        <v>64809.599999999999</v>
      </c>
      <c r="P32" s="46">
        <f t="shared" ca="1" si="1"/>
        <v>5.5411764705313752E-3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input_433104!A$2</f>
        <v>433104</v>
      </c>
      <c r="B33" s="6">
        <v>158</v>
      </c>
      <c r="C33" s="7" t="str">
        <f t="shared" si="0"/>
        <v>PremiumW3color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>color</v>
      </c>
      <c r="H33" s="7" t="str">
        <f>VLOOKUP(B33,[1]characters!$A:$C,3,FALSE)</f>
        <v>シスター シャルロッテ</v>
      </c>
      <c r="I33" s="7" t="str">
        <f>VLOOKUP(B33,[1]characters!$A:$J,10,FALSE)</f>
        <v>PremiumW</v>
      </c>
      <c r="J33" s="7">
        <f>VLOOKUP(B33,[1]characters!$A:$I,9,FALSE)</f>
        <v>3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IFERROR(VLOOKUP(B33,input_433104!L:R,7,FALSE),VLOOKUP(tables_433104!C33,input_433104!A:H,8,FALSE))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input_433104!A$2</f>
        <v>433104</v>
      </c>
      <c r="B34" s="6">
        <v>159</v>
      </c>
      <c r="C34" s="7" t="str">
        <f t="shared" si="0"/>
        <v>PremiumW4color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邪を狩りし者 シャルロッテ</v>
      </c>
      <c r="I34" s="7" t="str">
        <f>VLOOKUP(B34,[1]characters!$A:$J,10,FALSE)</f>
        <v>PremiumW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IFERROR(VLOOKUP(B34,input_433104!L:R,7,FALSE),VLOOKUP(tables_433104!C34,input_433104!A:H,8,FALSE))</f>
        <v>334200.48696000001</v>
      </c>
      <c r="P34" s="46">
        <f t="shared" ca="1" si="1"/>
        <v>2.8573913043482446E-2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input_433104!A$2</f>
        <v>433104</v>
      </c>
      <c r="B35" s="6">
        <v>160</v>
      </c>
      <c r="C35" s="7" t="str">
        <f t="shared" si="0"/>
        <v>PremiumW3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反逆者 クリエ</v>
      </c>
      <c r="I35" s="7" t="str">
        <f>VLOOKUP(B35,[1]characters!$A:$J,10,FALSE)</f>
        <v>PremiumW</v>
      </c>
      <c r="J35" s="7">
        <f>VLOOKUP(B35,[1]characters!$A:$I,9,FALSE)</f>
        <v>3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IFERROR(VLOOKUP(B35,input_433104!L:R,7,FALSE),VLOOKUP(tables_433104!C35,input_433104!A:H,8,FALSE))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input_433104!A$2</f>
        <v>433104</v>
      </c>
      <c r="B36" s="6">
        <v>161</v>
      </c>
      <c r="C36" s="7" t="str">
        <f t="shared" si="0"/>
        <v>PremiumW4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咆哮の先導者 クリエ</v>
      </c>
      <c r="I36" s="7" t="str">
        <f>VLOOKUP(B36,[1]characters!$A:$J,10,FALSE)</f>
        <v>PremiumW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IFERROR(VLOOKUP(B36,input_433104!L:R,7,FALSE),VLOOKUP(tables_433104!C36,input_433104!A:H,8,FALSE))</f>
        <v>64809.599999999999</v>
      </c>
      <c r="P36" s="46">
        <f t="shared" ca="1" si="1"/>
        <v>5.5411764705313752E-3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input_433104!A$2</f>
        <v>433104</v>
      </c>
      <c r="B37" s="6">
        <v>162</v>
      </c>
      <c r="C37" s="7" t="str">
        <f t="shared" si="0"/>
        <v>PremiumW3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狂女 クララ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IFERROR(VLOOKUP(B37,input_433104!L:R,7,FALSE),VLOOKUP(tables_433104!C37,input_433104!A:H,8,FALSE))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input_433104!A$2</f>
        <v>433104</v>
      </c>
      <c r="B38" s="6">
        <v>163</v>
      </c>
      <c r="C38" s="7" t="str">
        <f t="shared" si="0"/>
        <v>PremiumW4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冷酷な狂嬢 クララ</v>
      </c>
      <c r="I38" s="7" t="str">
        <f>VLOOKUP(B38,[1]characters!$A:$J,10,FALSE)</f>
        <v>PremiumW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IFERROR(VLOOKUP(B38,input_433104!L:R,7,FALSE),VLOOKUP(tables_433104!C38,input_433104!A:H,8,FALSE))</f>
        <v>64809.599999999999</v>
      </c>
      <c r="P38" s="46">
        <f t="shared" ca="1" si="1"/>
        <v>5.5411764705313752E-3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input_433104!A$2</f>
        <v>433104</v>
      </c>
      <c r="B39" s="6">
        <v>164</v>
      </c>
      <c r="C39" s="7" t="str">
        <f t="shared" si="0"/>
        <v>PremiumW3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イブとトモダチ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yellow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IFERROR(VLOOKUP(B39,input_433104!L:R,7,FALSE),VLOOKUP(tables_433104!C39,input_433104!A:H,8,FALSE))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input_433104!A$2</f>
        <v>433104</v>
      </c>
      <c r="B40" s="6">
        <v>165</v>
      </c>
      <c r="C40" s="7" t="str">
        <f t="shared" si="0"/>
        <v>PremiumW4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イブとたったひとりのトモダチ</v>
      </c>
      <c r="I40" s="7" t="str">
        <f>VLOOKUP(B40,[1]characters!$A:$J,10,FALSE)</f>
        <v>PremiumW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IFERROR(VLOOKUP(B40,input_433104!L:R,7,FALSE),VLOOKUP(tables_433104!C40,input_433104!A:H,8,FALSE))</f>
        <v>64809.599999999999</v>
      </c>
      <c r="P40" s="46">
        <f t="shared" ca="1" si="1"/>
        <v>5.5411764705313752E-3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input_433104!A$2</f>
        <v>433104</v>
      </c>
      <c r="B41" s="6">
        <v>166</v>
      </c>
      <c r="C41" s="7" t="str">
        <f t="shared" si="0"/>
        <v>Premium3R6releasecolor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>R6release</v>
      </c>
      <c r="G41" s="7" t="str">
        <f t="shared" si="3"/>
        <v>color</v>
      </c>
      <c r="H41" s="7" t="str">
        <f>VLOOKUP(B41,[1]characters!$A:$C,3,FALSE)</f>
        <v>ベリアル</v>
      </c>
      <c r="I41" s="7" t="str">
        <f>VLOOKUP(B41,[1]characters!$A:$J,10,FALSE)</f>
        <v>PremiumN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ca="1">IFERROR(VLOOKUP(B41,input_433104!L:R,7,FALSE),VLOOKUP(tables_433104!C41,input_433104!A:H,8,FALSE))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input_433104!A$2</f>
        <v>433104</v>
      </c>
      <c r="B42" s="6">
        <v>167</v>
      </c>
      <c r="C42" s="7" t="str">
        <f t="shared" si="0"/>
        <v>Premium4R6releasecolor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逆徒 ベリアル</v>
      </c>
      <c r="I42" s="7" t="str">
        <f>VLOOKUP(B42,[1]characters!$A:$J,10,FALSE)</f>
        <v>PremiumN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IFERROR(VLOOKUP(B42,input_433104!L:R,7,FALSE),VLOOKUP(tables_433104!C42,input_433104!A:H,8,FALSE))</f>
        <v>273045.66261</v>
      </c>
      <c r="P42" s="46">
        <f t="shared" ca="1" si="1"/>
        <v>2.3345217391176318E-2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input_433104!A$2</f>
        <v>433104</v>
      </c>
      <c r="B43" s="6">
        <v>168</v>
      </c>
      <c r="C43" s="7" t="str">
        <f t="shared" si="0"/>
        <v>Premium5R6releasecolor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猛進の大逆者 ベリアル</v>
      </c>
      <c r="I43" s="7" t="str">
        <f>VLOOKUP(B43,[1]characters!$A:$J,10,FALSE)</f>
        <v>PremiumN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IFERROR(VLOOKUP(B43,input_433104!L:R,7,FALSE),VLOOKUP(tables_433104!C43,input_433104!A:H,8,FALSE))</f>
        <v>14370.824350000001</v>
      </c>
      <c r="P43" s="46">
        <f t="shared" ca="1" si="1"/>
        <v>1.2286956523471732E-3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input_433104!A$2</f>
        <v>433104</v>
      </c>
      <c r="B44" s="6">
        <v>169</v>
      </c>
      <c r="C44" s="7" t="str">
        <f t="shared" si="0"/>
        <v>Premium3R6release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オセ</v>
      </c>
      <c r="I44" s="7" t="str">
        <f>VLOOKUP(B44,[1]characters!$A:$J,10,FALSE)</f>
        <v>PremiumN</v>
      </c>
      <c r="J44" s="7">
        <f>VLOOKUP(B44,[1]characters!$A:$I,9,FALSE)</f>
        <v>3</v>
      </c>
      <c r="K44" s="7" t="str">
        <f>VLOOKUP(B44,[1]characters!$A:$H,8,FALSE)</f>
        <v>green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f ca="1">IFERROR(VLOOKUP(B44,input_433104!L:R,7,FALSE),VLOOKUP(tables_433104!C44,input_433104!A:H,8,FALSE))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input_433104!A$2</f>
        <v>433104</v>
      </c>
      <c r="B45" s="6">
        <v>170</v>
      </c>
      <c r="C45" s="7" t="str">
        <f t="shared" si="0"/>
        <v>Premium4R6release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識徒 オセ</v>
      </c>
      <c r="I45" s="7" t="str">
        <f>VLOOKUP(B45,[1]characters!$A:$J,10,FALSE)</f>
        <v>PremiumN</v>
      </c>
      <c r="J45" s="7">
        <f>VLOOKUP(B45,[1]characters!$A:$I,9,FALSE)</f>
        <v>4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IFERROR(VLOOKUP(B45,input_433104!L:R,7,FALSE),VLOOKUP(tables_433104!C45,input_433104!A:H,8,FALSE))</f>
        <v>61569.120000000003</v>
      </c>
      <c r="P45" s="46">
        <f t="shared" ca="1" si="1"/>
        <v>5.264117647004807E-3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input_433104!A$2</f>
        <v>433104</v>
      </c>
      <c r="B46" s="6">
        <v>171</v>
      </c>
      <c r="C46" s="7" t="str">
        <f t="shared" si="0"/>
        <v>Premium5R6release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精解の預知者 オセ</v>
      </c>
      <c r="I46" s="7" t="str">
        <f>VLOOKUP(B46,[1]characters!$A:$J,10,FALSE)</f>
        <v>PremiumN</v>
      </c>
      <c r="J46" s="7">
        <f>VLOOKUP(B46,[1]characters!$A:$I,9,FALSE)</f>
        <v>5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IFERROR(VLOOKUP(B46,input_433104!L:R,7,FALSE),VLOOKUP(tables_433104!C46,input_433104!A:H,8,FALSE))</f>
        <v>3240.48</v>
      </c>
      <c r="P46" s="46">
        <f t="shared" ca="1" si="1"/>
        <v>2.7705882352656877E-4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input_433104!A$2</f>
        <v>433104</v>
      </c>
      <c r="B47" s="6">
        <v>172</v>
      </c>
      <c r="C47" s="7" t="str">
        <f t="shared" si="0"/>
        <v>Premium3R6release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フォルネウス</v>
      </c>
      <c r="I47" s="7" t="str">
        <f>VLOOKUP(B47,[1]characters!$A:$J,10,FALSE)</f>
        <v>PremiumN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IFERROR(VLOOKUP(B47,input_433104!L:R,7,FALSE),VLOOKUP(tables_433104!C47,input_433104!A:H,8,FALSE))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input_433104!A$2</f>
        <v>433104</v>
      </c>
      <c r="B48" s="6">
        <v>173</v>
      </c>
      <c r="C48" s="7" t="str">
        <f t="shared" si="0"/>
        <v>Premium4R6release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公爵 フォルネウス</v>
      </c>
      <c r="I48" s="7" t="str">
        <f>VLOOKUP(B48,[1]characters!$A:$J,10,FALSE)</f>
        <v>PremiumN</v>
      </c>
      <c r="J48" s="7">
        <f>VLOOKUP(B48,[1]characters!$A:$I,9,FALSE)</f>
        <v>4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IFERROR(VLOOKUP(B48,input_433104!L:R,7,FALSE),VLOOKUP(tables_433104!C48,input_433104!A:H,8,FALSE))</f>
        <v>61569.120000000003</v>
      </c>
      <c r="P48" s="46">
        <f t="shared" ca="1" si="1"/>
        <v>5.264117647004807E-3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input_433104!A$2</f>
        <v>433104</v>
      </c>
      <c r="B49" s="6">
        <v>174</v>
      </c>
      <c r="C49" s="7" t="str">
        <f t="shared" si="0"/>
        <v>Premium5R6release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偽愛の大公爵 フォルネウス</v>
      </c>
      <c r="I49" s="7" t="str">
        <f>VLOOKUP(B49,[1]characters!$A:$J,10,FALSE)</f>
        <v>PremiumN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IFERROR(VLOOKUP(B49,input_433104!L:R,7,FALSE),VLOOKUP(tables_433104!C49,input_433104!A:H,8,FALSE))</f>
        <v>3240.48</v>
      </c>
      <c r="P49" s="46">
        <f t="shared" ca="1" si="1"/>
        <v>2.7705882352656877E-4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input_433104!A$2</f>
        <v>433104</v>
      </c>
      <c r="B50" s="6">
        <v>175</v>
      </c>
      <c r="C50" s="7" t="str">
        <f t="shared" si="0"/>
        <v>Premium3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 t="str">
        <f t="shared" si="3"/>
        <v/>
      </c>
      <c r="H50" s="7" t="str">
        <f>VLOOKUP(B50,[1]characters!$A:$C,3,FALSE)</f>
        <v>バフォメット</v>
      </c>
      <c r="I50" s="7" t="str">
        <f>VLOOKUP(B50,[1]characters!$A:$J,10,FALSE)</f>
        <v>PremiumN</v>
      </c>
      <c r="J50" s="7">
        <f>VLOOKUP(B50,[1]characters!$A:$I,9,FALSE)</f>
        <v>3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IFERROR(VLOOKUP(B50,input_433104!L:R,7,FALSE),VLOOKUP(tables_433104!C50,input_433104!A:H,8,FALSE))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input_433104!A$2</f>
        <v>433104</v>
      </c>
      <c r="B51" s="6">
        <v>176</v>
      </c>
      <c r="C51" s="7" t="str">
        <f t="shared" si="0"/>
        <v>Premium4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異教徒 バフォメット</v>
      </c>
      <c r="I51" s="7" t="str">
        <f>VLOOKUP(B51,[1]characters!$A:$J,10,FALSE)</f>
        <v>PremiumN</v>
      </c>
      <c r="J51" s="7">
        <f>VLOOKUP(B51,[1]characters!$A:$I,9,FALSE)</f>
        <v>4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IFERROR(VLOOKUP(B51,input_433104!L:R,7,FALSE),VLOOKUP(tables_433104!C51,input_433104!A:H,8,FALSE))</f>
        <v>58022.625639999998</v>
      </c>
      <c r="P51" s="46">
        <f t="shared" ca="1" si="1"/>
        <v>4.960894805010654E-3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input_433104!A$2</f>
        <v>433104</v>
      </c>
      <c r="B52" s="6">
        <v>177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黒魔の異端師 バフォメット</v>
      </c>
      <c r="I52" s="7" t="str">
        <f>VLOOKUP(B52,[1]characters!$A:$J,10,FALSE)</f>
        <v>PremiumN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IFERROR(VLOOKUP(B52,input_433104!L:R,7,FALSE),VLOOKUP(tables_433104!C52,input_433104!A:H,8,FALSE))</f>
        <v>938.97436000000005</v>
      </c>
      <c r="P52" s="46">
        <f t="shared" ca="1" si="1"/>
        <v>8.0281665525851998E-5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input_433104!A$2</f>
        <v>433104</v>
      </c>
      <c r="B53" s="6">
        <v>178</v>
      </c>
      <c r="C53" s="7" t="str">
        <f t="shared" si="0"/>
        <v>Premium3color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>color</v>
      </c>
      <c r="H53" s="7" t="str">
        <f>VLOOKUP(B53,[1]characters!$A:$C,3,FALSE)</f>
        <v>ケルベロス</v>
      </c>
      <c r="I53" s="7" t="str">
        <f>VLOOKUP(B53,[1]characters!$A:$J,10,FALSE)</f>
        <v>PremiumN</v>
      </c>
      <c r="J53" s="7">
        <f>VLOOKUP(B53,[1]characters!$A:$I,9,FALSE)</f>
        <v>3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f ca="1">IFERROR(VLOOKUP(B53,input_433104!L:R,7,FALSE),VLOOKUP(tables_433104!C53,input_433104!A:H,8,FALSE))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input_433104!A$2</f>
        <v>433104</v>
      </c>
      <c r="B54" s="6">
        <v>179</v>
      </c>
      <c r="C54" s="7" t="str">
        <f t="shared" si="0"/>
        <v>Premium4color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番犬 ケルベロス</v>
      </c>
      <c r="I54" s="7" t="str">
        <f>VLOOKUP(B54,[1]characters!$A:$J,10,FALSE)</f>
        <v>PremiumN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IFERROR(VLOOKUP(B54,input_433104!L:R,7,FALSE),VLOOKUP(tables_433104!C54,input_433104!A:H,8,FALSE))</f>
        <v>284553.19081</v>
      </c>
      <c r="P54" s="46">
        <f t="shared" ca="1" si="1"/>
        <v>2.4329103181179902E-2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input_433104!A$2</f>
        <v>433104</v>
      </c>
      <c r="B55" s="6">
        <v>180</v>
      </c>
      <c r="C55" s="7" t="str">
        <f t="shared" si="0"/>
        <v>Premium5color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地獄の大門番 ケルベロス</v>
      </c>
      <c r="I55" s="7" t="str">
        <f>VLOOKUP(B55,[1]characters!$A:$J,10,FALSE)</f>
        <v>PremiumN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IFERROR(VLOOKUP(B55,input_433104!L:R,7,FALSE),VLOOKUP(tables_433104!C55,input_433104!A:H,8,FALSE))</f>
        <v>2863.2961500000001</v>
      </c>
      <c r="P55" s="46">
        <f t="shared" ca="1" si="1"/>
        <v>2.4480986234358919E-4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input_433104!A$2</f>
        <v>433104</v>
      </c>
      <c r="B56" s="6">
        <v>181</v>
      </c>
      <c r="C56" s="7" t="str">
        <f t="shared" si="0"/>
        <v>Premium3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ベヒモス</v>
      </c>
      <c r="I56" s="7" t="str">
        <f>VLOOKUP(B56,[1]characters!$A:$J,10,FALSE)</f>
        <v>PremiumN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IFERROR(VLOOKUP(B56,input_433104!L:R,7,FALSE),VLOOKUP(tables_433104!C56,input_433104!A:H,8,FALSE))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input_433104!A$2</f>
        <v>433104</v>
      </c>
      <c r="B57" s="6">
        <v>182</v>
      </c>
      <c r="C57" s="7" t="str">
        <f t="shared" si="0"/>
        <v>Premium4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放蕩者 ベヒモス</v>
      </c>
      <c r="I57" s="7" t="str">
        <f>VLOOKUP(B57,[1]characters!$A:$J,10,FALSE)</f>
        <v>PremiumN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IFERROR(VLOOKUP(B57,input_433104!L:R,7,FALSE),VLOOKUP(tables_433104!C57,input_433104!A:H,8,FALSE))</f>
        <v>58022.625639999998</v>
      </c>
      <c r="P57" s="46">
        <f t="shared" ca="1" si="1"/>
        <v>4.960894805010654E-3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input_433104!A$2</f>
        <v>433104</v>
      </c>
      <c r="B58" s="6">
        <v>183</v>
      </c>
      <c r="C58" s="7" t="str">
        <f t="shared" si="0"/>
        <v>Premium5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鈍重な彷徨者 ベヒモス</v>
      </c>
      <c r="I58" s="7" t="str">
        <f>VLOOKUP(B58,[1]characters!$A:$J,10,FALSE)</f>
        <v>PremiumN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IFERROR(VLOOKUP(B58,input_433104!L:R,7,FALSE),VLOOKUP(tables_433104!C58,input_433104!A:H,8,FALSE))</f>
        <v>938.97436000000005</v>
      </c>
      <c r="P58" s="46">
        <f t="shared" ca="1" si="1"/>
        <v>8.0281665525851998E-5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input_433104!A$2</f>
        <v>433104</v>
      </c>
      <c r="B59" s="6">
        <v>184</v>
      </c>
      <c r="C59" s="7" t="str">
        <f t="shared" si="0"/>
        <v>Premium3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クラーケン</v>
      </c>
      <c r="I59" s="7" t="str">
        <f>VLOOKUP(B59,[1]characters!$A:$J,10,FALSE)</f>
        <v>PremiumN</v>
      </c>
      <c r="J59" s="7">
        <f>VLOOKUP(B59,[1]characters!$A:$I,9,FALSE)</f>
        <v>3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IFERROR(VLOOKUP(B59,input_433104!L:R,7,FALSE),VLOOKUP(tables_433104!C59,input_433104!A:H,8,FALSE))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input_433104!A$2</f>
        <v>433104</v>
      </c>
      <c r="B60" s="6">
        <v>185</v>
      </c>
      <c r="C60" s="7" t="str">
        <f t="shared" si="0"/>
        <v>Premium4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海姫 クラーケン</v>
      </c>
      <c r="I60" s="7" t="str">
        <f>VLOOKUP(B60,[1]characters!$A:$J,10,FALSE)</f>
        <v>PremiumN</v>
      </c>
      <c r="J60" s="7">
        <f>VLOOKUP(B60,[1]characters!$A:$I,9,FALSE)</f>
        <v>4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IFERROR(VLOOKUP(B60,input_433104!L:R,7,FALSE),VLOOKUP(tables_433104!C60,input_433104!A:H,8,FALSE))</f>
        <v>58022.625639999998</v>
      </c>
      <c r="P60" s="46">
        <f t="shared" ca="1" si="1"/>
        <v>4.960894805010654E-3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input_433104!A$2</f>
        <v>433104</v>
      </c>
      <c r="B61" s="8">
        <v>186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誇り高き多触姫・クラーケン</v>
      </c>
      <c r="I61" s="7" t="str">
        <f>VLOOKUP(B61,[1]characters!$A:$J,10,FALSE)</f>
        <v>PremiumN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IFERROR(VLOOKUP(B61,input_433104!L:R,7,FALSE),VLOOKUP(tables_433104!C61,input_433104!A:H,8,FALSE))</f>
        <v>938.97436000000005</v>
      </c>
      <c r="P61" s="46">
        <f t="shared" ca="1" si="1"/>
        <v>8.0281665525851998E-5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input_433104!A$2</f>
        <v>433104</v>
      </c>
      <c r="B62" s="8">
        <v>187</v>
      </c>
      <c r="C62" s="7" t="str">
        <f t="shared" si="0"/>
        <v>Premium3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ホルス</v>
      </c>
      <c r="I62" s="7" t="str">
        <f>VLOOKUP(B62,[1]characters!$A:$J,10,FALSE)</f>
        <v>PremiumN</v>
      </c>
      <c r="J62" s="7">
        <f>VLOOKUP(B62,[1]characters!$A:$I,9,FALSE)</f>
        <v>3</v>
      </c>
      <c r="K62" s="7" t="str">
        <f>VLOOKUP(B62,[1]characters!$A:$H,8,FALSE)</f>
        <v>yellow</v>
      </c>
      <c r="L62" s="7" t="str">
        <f>VLOOKUP(B62,[1]characters!$A:$K,11,FALSE)</f>
        <v>attack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IFERROR(VLOOKUP(B62,input_433104!L:R,7,FALSE),VLOOKUP(tables_433104!C62,input_433104!A:H,8,FALSE))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input_433104!A$2</f>
        <v>433104</v>
      </c>
      <c r="B63" s="8">
        <v>188</v>
      </c>
      <c r="C63" s="7" t="str">
        <f t="shared" si="0"/>
        <v>Premium4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猛禽 ホルス</v>
      </c>
      <c r="I63" s="7" t="str">
        <f>VLOOKUP(B63,[1]characters!$A:$J,10,FALSE)</f>
        <v>PremiumN</v>
      </c>
      <c r="J63" s="7">
        <f>VLOOKUP(B63,[1]characters!$A:$I,9,FALSE)</f>
        <v>4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IFERROR(VLOOKUP(B63,input_433104!L:R,7,FALSE),VLOOKUP(tables_433104!C63,input_433104!A:H,8,FALSE))</f>
        <v>58022.625639999998</v>
      </c>
      <c r="P63" s="46">
        <f t="shared" ca="1" si="1"/>
        <v>4.960894805010654E-3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input_433104!A$2</f>
        <v>433104</v>
      </c>
      <c r="B64" s="8">
        <v>189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迅雷の王禽 ホルス</v>
      </c>
      <c r="I64" s="7" t="str">
        <f>VLOOKUP(B64,[1]characters!$A:$J,10,FALSE)</f>
        <v>PremiumN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IFERROR(VLOOKUP(B64,input_433104!L:R,7,FALSE),VLOOKUP(tables_433104!C64,input_433104!A:H,8,FALSE))</f>
        <v>938.97436000000005</v>
      </c>
      <c r="P64" s="46">
        <f t="shared" ca="1" si="1"/>
        <v>8.0281665525851998E-5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input_433104!A$2</f>
        <v>433104</v>
      </c>
      <c r="B65" s="6">
        <v>190</v>
      </c>
      <c r="C65" s="7" t="str">
        <f t="shared" si="0"/>
        <v>Premium3color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>color</v>
      </c>
      <c r="H65" s="7" t="str">
        <f>VLOOKUP(B65,[1]characters!$A:$C,3,FALSE)</f>
        <v>卑弥呼</v>
      </c>
      <c r="I65" s="7" t="str">
        <f>VLOOKUP(B65,[1]characters!$A:$J,10,FALSE)</f>
        <v>PremiumN</v>
      </c>
      <c r="J65" s="7">
        <f>VLOOKUP(B65,[1]characters!$A:$I,9,FALSE)</f>
        <v>3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IFERROR(VLOOKUP(B65,input_433104!L:R,7,FALSE),VLOOKUP(tables_433104!C65,input_433104!A:H,8,FALSE))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input_433104!A$2</f>
        <v>433104</v>
      </c>
      <c r="B66" s="6">
        <v>191</v>
      </c>
      <c r="C66" s="7" t="str">
        <f t="shared" ref="C66:C129" si="4">D66&amp;J66&amp;E66&amp;F66&amp;G66</f>
        <v>Premium4color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始祖 卑弥呼</v>
      </c>
      <c r="I66" s="7" t="str">
        <f>VLOOKUP(B66,[1]characters!$A:$J,10,FALSE)</f>
        <v>PremiumN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IFERROR(VLOOKUP(B66,input_433104!L:R,7,FALSE),VLOOKUP(tables_433104!C66,input_433104!A:H,8,FALSE))</f>
        <v>284553.19081</v>
      </c>
      <c r="P66" s="46">
        <f t="shared" ref="P66:P129" ca="1" si="5">O66/SUM(O:O)</f>
        <v>2.4329103181179902E-2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input_433104!A$2</f>
        <v>433104</v>
      </c>
      <c r="B67" s="6">
        <v>192</v>
      </c>
      <c r="C67" s="7" t="str">
        <f t="shared" si="4"/>
        <v>Premium5color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荘厳なる始祖帝 卑弥呼</v>
      </c>
      <c r="I67" s="7" t="str">
        <f>VLOOKUP(B67,[1]characters!$A:$J,10,FALSE)</f>
        <v>PremiumN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IFERROR(VLOOKUP(B67,input_433104!L:R,7,FALSE),VLOOKUP(tables_433104!C67,input_433104!A:H,8,FALSE))</f>
        <v>2863.2961500000001</v>
      </c>
      <c r="P67" s="46">
        <f t="shared" ca="1" si="5"/>
        <v>2.4480986234358919E-4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input_433104!A$2</f>
        <v>433104</v>
      </c>
      <c r="B68" s="6">
        <v>193</v>
      </c>
      <c r="C68" s="7" t="str">
        <f t="shared" si="4"/>
        <v>Premium3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ロビンフッド</v>
      </c>
      <c r="I68" s="7" t="str">
        <f>VLOOKUP(B68,[1]characters!$A:$J,10,FALSE)</f>
        <v>PremiumN</v>
      </c>
      <c r="J68" s="7">
        <f>VLOOKUP(B68,[1]characters!$A:$I,9,FALSE)</f>
        <v>3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IFERROR(VLOOKUP(B68,input_433104!L:R,7,FALSE),VLOOKUP(tables_433104!C68,input_433104!A:H,8,FALSE))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input_433104!A$2</f>
        <v>433104</v>
      </c>
      <c r="B69" s="10">
        <v>194</v>
      </c>
      <c r="C69" s="7" t="str">
        <f t="shared" si="4"/>
        <v>Premium4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スナイパー ロビンフッド</v>
      </c>
      <c r="I69" s="7" t="str">
        <f>VLOOKUP(B69,[1]characters!$A:$J,10,FALSE)</f>
        <v>PremiumN</v>
      </c>
      <c r="J69" s="7">
        <f>VLOOKUP(B69,[1]characters!$A:$I,9,FALSE)</f>
        <v>4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IFERROR(VLOOKUP(B69,input_433104!L:R,7,FALSE),VLOOKUP(tables_433104!C69,input_433104!A:H,8,FALSE))</f>
        <v>58022.625639999998</v>
      </c>
      <c r="P69" s="46">
        <f t="shared" ca="1" si="5"/>
        <v>4.960894805010654E-3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input_433104!A$2</f>
        <v>433104</v>
      </c>
      <c r="B70" s="6">
        <v>195</v>
      </c>
      <c r="C70" s="7" t="str">
        <f t="shared" si="4"/>
        <v>Premium5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グランドハンター ロビンフッド</v>
      </c>
      <c r="I70" s="7" t="str">
        <f>VLOOKUP(B70,[1]characters!$A:$J,10,FALSE)</f>
        <v>PremiumN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IFERROR(VLOOKUP(B70,input_433104!L:R,7,FALSE),VLOOKUP(tables_433104!C70,input_433104!A:H,8,FALSE))</f>
        <v>938.97436000000005</v>
      </c>
      <c r="P70" s="46">
        <f t="shared" ca="1" si="5"/>
        <v>8.0281665525851998E-5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input_433104!A$2</f>
        <v>433104</v>
      </c>
      <c r="B71" s="10">
        <v>196</v>
      </c>
      <c r="C71" s="7" t="str">
        <f t="shared" si="4"/>
        <v>Premium3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アキレス</v>
      </c>
      <c r="I71" s="7" t="str">
        <f>VLOOKUP(B71,[1]characters!$A:$J,10,FALSE)</f>
        <v>PremiumN</v>
      </c>
      <c r="J71" s="7">
        <f>VLOOKUP(B71,[1]characters!$A:$I,9,FALSE)</f>
        <v>3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IFERROR(VLOOKUP(B71,input_433104!L:R,7,FALSE),VLOOKUP(tables_433104!C71,input_433104!A:H,8,FALSE))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input_433104!A$2</f>
        <v>433104</v>
      </c>
      <c r="B72" s="11">
        <v>197</v>
      </c>
      <c r="C72" s="7" t="str">
        <f t="shared" si="4"/>
        <v>Premium4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鉄腕 アキレス</v>
      </c>
      <c r="I72" s="7" t="str">
        <f>VLOOKUP(B72,[1]characters!$A:$J,10,FALSE)</f>
        <v>PremiumN</v>
      </c>
      <c r="J72" s="7">
        <f>VLOOKUP(B72,[1]characters!$A:$I,9,FALSE)</f>
        <v>4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IFERROR(VLOOKUP(B72,input_433104!L:R,7,FALSE),VLOOKUP(tables_433104!C72,input_433104!A:H,8,FALSE))</f>
        <v>58022.625639999998</v>
      </c>
      <c r="P72" s="46">
        <f t="shared" ca="1" si="5"/>
        <v>4.960894805010654E-3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input_433104!A$2</f>
        <v>433104</v>
      </c>
      <c r="B73" s="6">
        <v>198</v>
      </c>
      <c r="C73" s="7" t="str">
        <f t="shared" si="4"/>
        <v>Premium5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砕骨の剛腕 アキレス</v>
      </c>
      <c r="I73" s="7" t="str">
        <f>VLOOKUP(B73,[1]characters!$A:$J,10,FALSE)</f>
        <v>PremiumN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IFERROR(VLOOKUP(B73,input_433104!L:R,7,FALSE),VLOOKUP(tables_433104!C73,input_433104!A:H,8,FALSE))</f>
        <v>938.97436000000005</v>
      </c>
      <c r="P73" s="46">
        <f t="shared" ca="1" si="5"/>
        <v>8.0281665525851998E-5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input_433104!A$2</f>
        <v>433104</v>
      </c>
      <c r="B74" s="6">
        <v>199</v>
      </c>
      <c r="C74" s="7" t="str">
        <f t="shared" si="4"/>
        <v>Premium3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ジークフリート</v>
      </c>
      <c r="I74" s="7" t="str">
        <f>VLOOKUP(B74,[1]characters!$A:$J,10,FALSE)</f>
        <v>PremiumN</v>
      </c>
      <c r="J74" s="7">
        <f>VLOOKUP(B74,[1]characters!$A:$I,9,FALSE)</f>
        <v>3</v>
      </c>
      <c r="K74" s="7" t="str">
        <f>VLOOKUP(B74,[1]characters!$A:$H,8,FALSE)</f>
        <v>blue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男性</v>
      </c>
      <c r="O74" s="45">
        <f ca="1">IFERROR(VLOOKUP(B74,input_433104!L:R,7,FALSE),VLOOKUP(tables_433104!C74,input_433104!A:H,8,FALSE))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input_433104!A$2</f>
        <v>433104</v>
      </c>
      <c r="B75" s="6">
        <v>200</v>
      </c>
      <c r="C75" s="7" t="str">
        <f t="shared" si="4"/>
        <v>Premium4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大剣士 ジークフリート</v>
      </c>
      <c r="I75" s="7" t="str">
        <f>VLOOKUP(B75,[1]characters!$A:$J,10,FALSE)</f>
        <v>PremiumN</v>
      </c>
      <c r="J75" s="7">
        <f>VLOOKUP(B75,[1]characters!$A:$I,9,FALSE)</f>
        <v>4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IFERROR(VLOOKUP(B75,input_433104!L:R,7,FALSE),VLOOKUP(tables_433104!C75,input_433104!A:H,8,FALSE))</f>
        <v>58022.625639999998</v>
      </c>
      <c r="P75" s="46">
        <f t="shared" ca="1" si="5"/>
        <v>4.960894805010654E-3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input_433104!A$2</f>
        <v>433104</v>
      </c>
      <c r="B76" s="5">
        <v>201</v>
      </c>
      <c r="C76" s="7" t="str">
        <f t="shared" si="4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斬空の大破剣 ジークフリート</v>
      </c>
      <c r="I76" s="7" t="str">
        <f>VLOOKUP(B76,[1]characters!$A:$J,10,FALSE)</f>
        <v>PremiumN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IFERROR(VLOOKUP(B76,input_433104!L:R,7,FALSE),VLOOKUP(tables_433104!C76,input_433104!A:H,8,FALSE))</f>
        <v>938.97436000000005</v>
      </c>
      <c r="P76" s="46">
        <f t="shared" ca="1" si="5"/>
        <v>8.0281665525851998E-5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input_433104!A$2</f>
        <v>433104</v>
      </c>
      <c r="B77" s="5">
        <v>202</v>
      </c>
      <c r="C77" s="7" t="str">
        <f t="shared" si="4"/>
        <v>Premium3color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プロメテウス</v>
      </c>
      <c r="I77" s="7" t="str">
        <f>VLOOKUP(B77,[1]characters!$A:$J,10,FALSE)</f>
        <v>PremiumN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5">
        <f ca="1">IFERROR(VLOOKUP(B77,input_433104!L:R,7,FALSE),VLOOKUP(tables_433104!C77,input_433104!A:H,8,FALSE))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input_433104!A$2</f>
        <v>433104</v>
      </c>
      <c r="B78" s="5">
        <v>203</v>
      </c>
      <c r="C78" s="7" t="str">
        <f t="shared" si="4"/>
        <v>Premium4color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焔神 プロメテウス</v>
      </c>
      <c r="I78" s="7" t="str">
        <f>VLOOKUP(B78,[1]characters!$A:$J,10,FALSE)</f>
        <v>PremiumN</v>
      </c>
      <c r="J78" s="7">
        <f>VLOOKUP(B78,[1]characters!$A:$I,9,FALSE)</f>
        <v>4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IFERROR(VLOOKUP(B78,input_433104!L:R,7,FALSE),VLOOKUP(tables_433104!C78,input_433104!A:H,8,FALSE))</f>
        <v>284553.19081</v>
      </c>
      <c r="P78" s="46">
        <f t="shared" ca="1" si="5"/>
        <v>2.4329103181179902E-2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input_433104!A$2</f>
        <v>433104</v>
      </c>
      <c r="B79" s="5">
        <v>204</v>
      </c>
      <c r="C79" s="7" t="str">
        <f t="shared" si="4"/>
        <v>Premium5color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慟哭の巨焔 プロメテウス</v>
      </c>
      <c r="I79" s="7" t="str">
        <f>VLOOKUP(B79,[1]characters!$A:$J,10,FALSE)</f>
        <v>PremiumN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IFERROR(VLOOKUP(B79,input_433104!L:R,7,FALSE),VLOOKUP(tables_433104!C79,input_433104!A:H,8,FALSE))</f>
        <v>2863.2961500000001</v>
      </c>
      <c r="P79" s="46">
        <f t="shared" ca="1" si="5"/>
        <v>2.4480986234358919E-4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input_433104!A$2</f>
        <v>433104</v>
      </c>
      <c r="B80" s="5">
        <v>205</v>
      </c>
      <c r="C80" s="7" t="str">
        <f t="shared" si="4"/>
        <v>Premium3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アフロディーテ</v>
      </c>
      <c r="I80" s="7" t="str">
        <f>VLOOKUP(B80,[1]characters!$A:$J,10,FALSE)</f>
        <v>PremiumN</v>
      </c>
      <c r="J80" s="7">
        <f>VLOOKUP(B80,[1]characters!$A:$I,9,FALSE)</f>
        <v>3</v>
      </c>
      <c r="K80" s="7" t="str">
        <f>VLOOKUP(B80,[1]characters!$A:$H,8,FALSE)</f>
        <v>green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ca="1">IFERROR(VLOOKUP(B80,input_433104!L:R,7,FALSE),VLOOKUP(tables_433104!C80,input_433104!A:H,8,FALSE))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input_433104!A$2</f>
        <v>433104</v>
      </c>
      <c r="B81" s="5">
        <v>206</v>
      </c>
      <c r="C81" s="7" t="str">
        <f t="shared" si="4"/>
        <v>Premium4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美神 アフロディーテ</v>
      </c>
      <c r="I81" s="7" t="str">
        <f>VLOOKUP(B81,[1]characters!$A:$J,10,FALSE)</f>
        <v>PremiumN</v>
      </c>
      <c r="J81" s="7">
        <f>VLOOKUP(B81,[1]characters!$A:$I,9,FALSE)</f>
        <v>4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IFERROR(VLOOKUP(B81,input_433104!L:R,7,FALSE),VLOOKUP(tables_433104!C81,input_433104!A:H,8,FALSE))</f>
        <v>58022.625639999998</v>
      </c>
      <c r="P81" s="46">
        <f t="shared" ca="1" si="5"/>
        <v>4.960894805010654E-3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input_433104!A$2</f>
        <v>433104</v>
      </c>
      <c r="B82" s="5">
        <v>207</v>
      </c>
      <c r="C82" s="7" t="str">
        <f t="shared" si="4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豊穣の麗神・アフロディーテ</v>
      </c>
      <c r="I82" s="7" t="str">
        <f>VLOOKUP(B82,[1]characters!$A:$J,10,FALSE)</f>
        <v>PremiumN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IFERROR(VLOOKUP(B82,input_433104!L:R,7,FALSE),VLOOKUP(tables_433104!C82,input_433104!A:H,8,FALSE))</f>
        <v>938.97436000000005</v>
      </c>
      <c r="P82" s="46">
        <f t="shared" ca="1" si="5"/>
        <v>8.0281665525851998E-5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input_433104!A$2</f>
        <v>433104</v>
      </c>
      <c r="B83" s="5">
        <v>208</v>
      </c>
      <c r="C83" s="7" t="str">
        <f t="shared" si="4"/>
        <v>Premium3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テティス</v>
      </c>
      <c r="I83" s="7" t="str">
        <f>VLOOKUP(B83,[1]characters!$A:$J,10,FALSE)</f>
        <v>PremiumN</v>
      </c>
      <c r="J83" s="7">
        <f>VLOOKUP(B83,[1]characters!$A:$I,9,FALSE)</f>
        <v>3</v>
      </c>
      <c r="K83" s="7" t="str">
        <f>VLOOKUP(B83,[1]characters!$A:$H,8,FALSE)</f>
        <v>blue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IFERROR(VLOOKUP(B83,input_433104!L:R,7,FALSE),VLOOKUP(tables_433104!C83,input_433104!A:H,8,FALSE))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input_433104!A$2</f>
        <v>433104</v>
      </c>
      <c r="B84" s="5">
        <v>209</v>
      </c>
      <c r="C84" s="7" t="str">
        <f t="shared" si="4"/>
        <v>Premium4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孤神 テティス</v>
      </c>
      <c r="I84" s="7" t="str">
        <f>VLOOKUP(B84,[1]characters!$A:$J,10,FALSE)</f>
        <v>PremiumN</v>
      </c>
      <c r="J84" s="7">
        <f>VLOOKUP(B84,[1]characters!$A:$I,9,FALSE)</f>
        <v>4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IFERROR(VLOOKUP(B84,input_433104!L:R,7,FALSE),VLOOKUP(tables_433104!C84,input_433104!A:H,8,FALSE))</f>
        <v>58022.625639999998</v>
      </c>
      <c r="P84" s="46">
        <f t="shared" ca="1" si="5"/>
        <v>4.960894805010654E-3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input_433104!A$2</f>
        <v>433104</v>
      </c>
      <c r="B85" s="5">
        <v>210</v>
      </c>
      <c r="C85" s="7" t="str">
        <f t="shared" si="4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海底の孤高神 テティス</v>
      </c>
      <c r="I85" s="7" t="str">
        <f>VLOOKUP(B85,[1]characters!$A:$J,10,FALSE)</f>
        <v>PremiumN</v>
      </c>
      <c r="J85" s="7">
        <f>VLOOKUP(B85,[1]characters!$A:$I,9,FALSE)</f>
        <v>5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IFERROR(VLOOKUP(B85,input_433104!L:R,7,FALSE),VLOOKUP(tables_433104!C85,input_433104!A:H,8,FALSE))</f>
        <v>938.97436000000005</v>
      </c>
      <c r="P85" s="46">
        <f t="shared" ca="1" si="5"/>
        <v>8.0281665525851998E-5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input_433104!A$2</f>
        <v>433104</v>
      </c>
      <c r="B86" s="5">
        <v>211</v>
      </c>
      <c r="C86" s="7" t="str">
        <f t="shared" si="4"/>
        <v>Premium3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アストライアー</v>
      </c>
      <c r="I86" s="7" t="str">
        <f>VLOOKUP(B86,[1]characters!$A:$J,10,FALSE)</f>
        <v>PremiumN</v>
      </c>
      <c r="J86" s="7">
        <f>VLOOKUP(B86,[1]characters!$A:$I,9,FALSE)</f>
        <v>3</v>
      </c>
      <c r="K86" s="7" t="str">
        <f>VLOOKUP(B86,[1]characters!$A:$H,8,FALSE)</f>
        <v>yellow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IFERROR(VLOOKUP(B86,input_433104!L:R,7,FALSE),VLOOKUP(tables_433104!C86,input_433104!A:H,8,FALSE))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input_433104!A$2</f>
        <v>433104</v>
      </c>
      <c r="B87" s="5">
        <v>212</v>
      </c>
      <c r="C87" s="7" t="str">
        <f t="shared" si="4"/>
        <v>Premium4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星神 アストライアー</v>
      </c>
      <c r="I87" s="7" t="str">
        <f>VLOOKUP(B87,[1]characters!$A:$J,10,FALSE)</f>
        <v>PremiumN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IFERROR(VLOOKUP(B87,input_433104!L:R,7,FALSE),VLOOKUP(tables_433104!C87,input_433104!A:H,8,FALSE))</f>
        <v>58022.625639999998</v>
      </c>
      <c r="P87" s="46">
        <f t="shared" ca="1" si="5"/>
        <v>4.960894805010654E-3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input_433104!A$2</f>
        <v>433104</v>
      </c>
      <c r="B88" s="5">
        <v>213</v>
      </c>
      <c r="C88" s="7" t="str">
        <f t="shared" si="4"/>
        <v>Premium5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満天の星降神 アストライアー</v>
      </c>
      <c r="I88" s="7" t="str">
        <f>VLOOKUP(B88,[1]characters!$A:$J,10,FALSE)</f>
        <v>PremiumN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IFERROR(VLOOKUP(B88,input_433104!L:R,7,FALSE),VLOOKUP(tables_433104!C88,input_433104!A:H,8,FALSE))</f>
        <v>938.97436000000005</v>
      </c>
      <c r="P88" s="46">
        <f t="shared" ca="1" si="5"/>
        <v>8.0281665525851998E-5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input_433104!A$2</f>
        <v>433104</v>
      </c>
      <c r="B89" s="5">
        <v>214</v>
      </c>
      <c r="C89" s="7" t="str">
        <f t="shared" si="4"/>
        <v>Premium3color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>color</v>
      </c>
      <c r="H89" s="7" t="str">
        <f>VLOOKUP(B89,[1]characters!$A:$C,3,FALSE)</f>
        <v>アズラエル</v>
      </c>
      <c r="I89" s="7" t="str">
        <f>VLOOKUP(B89,[1]characters!$A:$J,10,FALSE)</f>
        <v>PremiumN</v>
      </c>
      <c r="J89" s="7">
        <f>VLOOKUP(B89,[1]characters!$A:$I,9,FALSE)</f>
        <v>3</v>
      </c>
      <c r="K89" s="7" t="str">
        <f>VLOOKUP(B89,[1]characters!$A:$H,8,FALSE)</f>
        <v>red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IFERROR(VLOOKUP(B89,input_433104!L:R,7,FALSE),VLOOKUP(tables_433104!C89,input_433104!A:H,8,FALSE))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input_433104!A$2</f>
        <v>433104</v>
      </c>
      <c r="B90" s="5">
        <v>215</v>
      </c>
      <c r="C90" s="7" t="str">
        <f t="shared" si="4"/>
        <v>Premium4color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死導者 アズラエル</v>
      </c>
      <c r="I90" s="7" t="str">
        <f>VLOOKUP(B90,[1]characters!$A:$J,10,FALSE)</f>
        <v>PremiumN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IFERROR(VLOOKUP(B90,input_433104!L:R,7,FALSE),VLOOKUP(tables_433104!C90,input_433104!A:H,8,FALSE))</f>
        <v>284553.19081</v>
      </c>
      <c r="P90" s="46">
        <f t="shared" ca="1" si="5"/>
        <v>2.4329103181179902E-2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input_433104!A$2</f>
        <v>433104</v>
      </c>
      <c r="B91" s="5">
        <v>216</v>
      </c>
      <c r="C91" s="7" t="str">
        <f t="shared" si="4"/>
        <v>Premium5color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百読の死導司書 アズラエル</v>
      </c>
      <c r="I91" s="7" t="str">
        <f>VLOOKUP(B91,[1]characters!$A:$J,10,FALSE)</f>
        <v>PremiumN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IFERROR(VLOOKUP(B91,input_433104!L:R,7,FALSE),VLOOKUP(tables_433104!C91,input_433104!A:H,8,FALSE))</f>
        <v>2863.2961500000001</v>
      </c>
      <c r="P91" s="46">
        <f t="shared" ca="1" si="5"/>
        <v>2.4480986234358919E-4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input_433104!A$2</f>
        <v>433104</v>
      </c>
      <c r="B92" s="5">
        <v>217</v>
      </c>
      <c r="C92" s="7" t="str">
        <f t="shared" si="4"/>
        <v>Premium3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ケツァクアトル</v>
      </c>
      <c r="I92" s="7" t="str">
        <f>VLOOKUP(B92,[1]characters!$A:$J,10,FALSE)</f>
        <v>PremiumN</v>
      </c>
      <c r="J92" s="7">
        <f>VLOOKUP(B92,[1]characters!$A:$I,9,FALSE)</f>
        <v>3</v>
      </c>
      <c r="K92" s="7" t="str">
        <f>VLOOKUP(B92,[1]characters!$A:$H,8,FALSE)</f>
        <v>green</v>
      </c>
      <c r="L92" s="7" t="str">
        <f>VLOOKUP(B92,[1]characters!$A:$K,11,FALSE)</f>
        <v>hp</v>
      </c>
      <c r="M92" s="7" t="str">
        <f>VLOOKUP(B92,[1]characters!$A:$M,13,FALSE)</f>
        <v>dragon</v>
      </c>
      <c r="N92" s="7" t="str">
        <f>VLOOKUP(B92,[1]characters!$A:$G,7,FALSE)</f>
        <v>女性</v>
      </c>
      <c r="O92" s="45">
        <f ca="1">IFERROR(VLOOKUP(B92,input_433104!L:R,7,FALSE),VLOOKUP(tables_433104!C92,input_433104!A:H,8,FALSE))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input_433104!A$2</f>
        <v>433104</v>
      </c>
      <c r="B93" s="5">
        <v>218</v>
      </c>
      <c r="C93" s="7" t="str">
        <f t="shared" si="4"/>
        <v>Premium4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聖蛇 ケツァクアトル</v>
      </c>
      <c r="I93" s="7" t="str">
        <f>VLOOKUP(B93,[1]characters!$A:$J,10,FALSE)</f>
        <v>PremiumN</v>
      </c>
      <c r="J93" s="7">
        <f>VLOOKUP(B93,[1]characters!$A:$I,9,FALSE)</f>
        <v>4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IFERROR(VLOOKUP(B93,input_433104!L:R,7,FALSE),VLOOKUP(tables_433104!C93,input_433104!A:H,8,FALSE))</f>
        <v>58022.625639999998</v>
      </c>
      <c r="P93" s="46">
        <f t="shared" ca="1" si="5"/>
        <v>4.960894805010654E-3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input_433104!A$2</f>
        <v>433104</v>
      </c>
      <c r="B94" s="5">
        <v>219</v>
      </c>
      <c r="C94" s="7" t="str">
        <f t="shared" si="4"/>
        <v>Premium5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覇翼の聖蛇竜 ケツァクアトル</v>
      </c>
      <c r="I94" s="7" t="str">
        <f>VLOOKUP(B94,[1]characters!$A:$J,10,FALSE)</f>
        <v>PremiumN</v>
      </c>
      <c r="J94" s="7">
        <f>VLOOKUP(B94,[1]characters!$A:$I,9,FALSE)</f>
        <v>5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IFERROR(VLOOKUP(B94,input_433104!L:R,7,FALSE),VLOOKUP(tables_433104!C94,input_433104!A:H,8,FALSE))</f>
        <v>938.97436000000005</v>
      </c>
      <c r="P94" s="46">
        <f t="shared" ca="1" si="5"/>
        <v>8.0281665525851998E-5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input_433104!A$2</f>
        <v>433104</v>
      </c>
      <c r="B95" s="5">
        <v>220</v>
      </c>
      <c r="C95" s="7" t="str">
        <f t="shared" si="4"/>
        <v>Premium3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ルキフグス</v>
      </c>
      <c r="I95" s="7" t="str">
        <f>VLOOKUP(B95,[1]characters!$A:$J,10,FALSE)</f>
        <v>PremiumN</v>
      </c>
      <c r="J95" s="7">
        <f>VLOOKUP(B95,[1]characters!$A:$I,9,FALSE)</f>
        <v>3</v>
      </c>
      <c r="K95" s="7" t="str">
        <f>VLOOKUP(B95,[1]characters!$A:$H,8,FALSE)</f>
        <v>blue</v>
      </c>
      <c r="L95" s="7" t="str">
        <f>VLOOKUP(B95,[1]characters!$A:$K,11,FALSE)</f>
        <v>balance</v>
      </c>
      <c r="M95" s="7" t="str">
        <f>VLOOKUP(B95,[1]characters!$A:$M,13,FALSE)</f>
        <v>god</v>
      </c>
      <c r="N95" s="7" t="str">
        <f>VLOOKUP(B95,[1]characters!$A:$G,7,FALSE)</f>
        <v>女性</v>
      </c>
      <c r="O95" s="45">
        <f ca="1">IFERROR(VLOOKUP(B95,input_433104!L:R,7,FALSE),VLOOKUP(tables_433104!C95,input_433104!A:H,8,FALSE))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input_433104!A$2</f>
        <v>433104</v>
      </c>
      <c r="B96" s="5">
        <v>221</v>
      </c>
      <c r="C96" s="7" t="str">
        <f t="shared" si="4"/>
        <v>Premium4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宰相 ルキフグス</v>
      </c>
      <c r="I96" s="7" t="str">
        <f>VLOOKUP(B96,[1]characters!$A:$J,10,FALSE)</f>
        <v>PremiumN</v>
      </c>
      <c r="J96" s="7">
        <f>VLOOKUP(B96,[1]characters!$A:$I,9,FALSE)</f>
        <v>4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IFERROR(VLOOKUP(B96,input_433104!L:R,7,FALSE),VLOOKUP(tables_433104!C96,input_433104!A:H,8,FALSE))</f>
        <v>58022.625639999998</v>
      </c>
      <c r="P96" s="46">
        <f t="shared" ca="1" si="5"/>
        <v>4.960894805010654E-3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input_433104!A$2</f>
        <v>433104</v>
      </c>
      <c r="B97" s="5">
        <v>222</v>
      </c>
      <c r="C97" s="7" t="str">
        <f t="shared" si="4"/>
        <v>Premium5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避光の鉄鎖宰相 ルキフグス</v>
      </c>
      <c r="I97" s="7" t="str">
        <f>VLOOKUP(B97,[1]characters!$A:$J,10,FALSE)</f>
        <v>PremiumN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IFERROR(VLOOKUP(B97,input_433104!L:R,7,FALSE),VLOOKUP(tables_433104!C97,input_433104!A:H,8,FALSE))</f>
        <v>938.97436000000005</v>
      </c>
      <c r="P97" s="46">
        <f t="shared" ca="1" si="5"/>
        <v>8.0281665525851998E-5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input_433104!A$2</f>
        <v>433104</v>
      </c>
      <c r="B98" s="5">
        <v>223</v>
      </c>
      <c r="C98" s="7" t="str">
        <f t="shared" si="4"/>
        <v>Premium3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ヘラクレス</v>
      </c>
      <c r="I98" s="7" t="str">
        <f>VLOOKUP(B98,[1]characters!$A:$J,10,FALSE)</f>
        <v>PremiumN</v>
      </c>
      <c r="J98" s="7">
        <f>VLOOKUP(B98,[1]characters!$A:$I,9,FALSE)</f>
        <v>3</v>
      </c>
      <c r="K98" s="7" t="str">
        <f>VLOOKUP(B98,[1]characters!$A:$H,8,FALSE)</f>
        <v>yellow</v>
      </c>
      <c r="L98" s="7" t="str">
        <f>VLOOKUP(B98,[1]characters!$A:$K,11,FALSE)</f>
        <v>balance</v>
      </c>
      <c r="M98" s="7" t="str">
        <f>VLOOKUP(B98,[1]characters!$A:$M,13,FALSE)</f>
        <v>human</v>
      </c>
      <c r="N98" s="7" t="str">
        <f>VLOOKUP(B98,[1]characters!$A:$G,7,FALSE)</f>
        <v>男性</v>
      </c>
      <c r="O98" s="45">
        <f ca="1">IFERROR(VLOOKUP(B98,input_433104!L:R,7,FALSE),VLOOKUP(tables_433104!C98,input_433104!A:H,8,FALSE))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input_433104!A$2</f>
        <v>433104</v>
      </c>
      <c r="B99" s="5">
        <v>224</v>
      </c>
      <c r="C99" s="7" t="str">
        <f t="shared" si="4"/>
        <v>Premium4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巨腕 ヘラクレス</v>
      </c>
      <c r="I99" s="7" t="str">
        <f>VLOOKUP(B99,[1]characters!$A:$J,10,FALSE)</f>
        <v>PremiumN</v>
      </c>
      <c r="J99" s="7">
        <f>VLOOKUP(B99,[1]characters!$A:$I,9,FALSE)</f>
        <v>4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IFERROR(VLOOKUP(B99,input_433104!L:R,7,FALSE),VLOOKUP(tables_433104!C99,input_433104!A:H,8,FALSE))</f>
        <v>58022.625639999998</v>
      </c>
      <c r="P99" s="46">
        <f t="shared" ca="1" si="5"/>
        <v>4.960894805010654E-3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input_433104!A$2</f>
        <v>433104</v>
      </c>
      <c r="B100" s="5">
        <v>225</v>
      </c>
      <c r="C100" s="7" t="str">
        <f t="shared" si="4"/>
        <v>Premium5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咆哮の巨獅腕 ヘラクレス</v>
      </c>
      <c r="I100" s="7" t="str">
        <f>VLOOKUP(B100,[1]characters!$A:$J,10,FALSE)</f>
        <v>PremiumN</v>
      </c>
      <c r="J100" s="7">
        <f>VLOOKUP(B100,[1]characters!$A:$I,9,FALSE)</f>
        <v>5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IFERROR(VLOOKUP(B100,input_433104!L:R,7,FALSE),VLOOKUP(tables_433104!C100,input_433104!A:H,8,FALSE))</f>
        <v>938.97436000000005</v>
      </c>
      <c r="P100" s="46">
        <f t="shared" ca="1" si="5"/>
        <v>8.0281665525851998E-5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input_433104!A$2</f>
        <v>433104</v>
      </c>
      <c r="B101" s="5">
        <v>226</v>
      </c>
      <c r="C101" s="7" t="str">
        <f t="shared" si="4"/>
        <v>Premium3color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>color</v>
      </c>
      <c r="H101" s="7" t="str">
        <f>VLOOKUP(B101,[1]characters!$A:$C,3,FALSE)</f>
        <v>アレス</v>
      </c>
      <c r="I101" s="7" t="str">
        <f>VLOOKUP(B101,[1]characters!$A:$J,10,FALSE)</f>
        <v>PremiumS</v>
      </c>
      <c r="J101" s="7">
        <f>VLOOKUP(B101,[1]characters!$A:$I,9,FALSE)</f>
        <v>3</v>
      </c>
      <c r="K101" s="7" t="str">
        <f>VLOOKUP(B101,[1]characters!$A:$H,8,FALSE)</f>
        <v>red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ca="1">IFERROR(VLOOKUP(B101,input_433104!L:R,7,FALSE),VLOOKUP(tables_433104!C101,input_433104!A:H,8,FALSE))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input_433104!A$2</f>
        <v>433104</v>
      </c>
      <c r="B102" s="5">
        <v>227</v>
      </c>
      <c r="C102" s="7" t="str">
        <f t="shared" si="4"/>
        <v>Premium4color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滅弾 アレス</v>
      </c>
      <c r="I102" s="7" t="str">
        <f>VLOOKUP(B102,[1]characters!$A:$J,10,FALSE)</f>
        <v>PremiumS</v>
      </c>
      <c r="J102" s="7">
        <f>VLOOKUP(B102,[1]characters!$A:$I,9,FALSE)</f>
        <v>4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IFERROR(VLOOKUP(B102,input_433104!L:R,7,FALSE),VLOOKUP(tables_433104!C102,input_433104!A:H,8,FALSE))</f>
        <v>284553.19081</v>
      </c>
      <c r="P102" s="46">
        <f t="shared" ca="1" si="5"/>
        <v>2.4329103181179902E-2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input_433104!A$2</f>
        <v>433104</v>
      </c>
      <c r="B103" s="5">
        <v>228</v>
      </c>
      <c r="C103" s="7" t="str">
        <f t="shared" si="4"/>
        <v>Premium5color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殲滅の掃射砲 アレス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IFERROR(VLOOKUP(B103,input_433104!L:R,7,FALSE),VLOOKUP(tables_433104!C103,input_433104!A:H,8,FALSE))</f>
        <v>2863.2961500000001</v>
      </c>
      <c r="P103" s="46">
        <f t="shared" ca="1" si="5"/>
        <v>2.4480986234358919E-4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input_433104!A$2</f>
        <v>433104</v>
      </c>
      <c r="B104" s="5">
        <v>229</v>
      </c>
      <c r="C104" s="7" t="str">
        <f t="shared" si="4"/>
        <v>Premium3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ヨルムンガンド</v>
      </c>
      <c r="I104" s="7" t="str">
        <f>VLOOKUP(B104,[1]characters!$A:$J,10,FALSE)</f>
        <v>PremiumS</v>
      </c>
      <c r="J104" s="7">
        <f>VLOOKUP(B104,[1]characters!$A:$I,9,FALSE)</f>
        <v>3</v>
      </c>
      <c r="K104" s="7" t="str">
        <f>VLOOKUP(B104,[1]characters!$A:$H,8,FALSE)</f>
        <v>green</v>
      </c>
      <c r="L104" s="7" t="str">
        <f>VLOOKUP(B104,[1]characters!$A:$K,11,FALSE)</f>
        <v>technical</v>
      </c>
      <c r="M104" s="7" t="str">
        <f>VLOOKUP(B104,[1]characters!$A:$M,13,FALSE)</f>
        <v>dragon</v>
      </c>
      <c r="N104" s="7" t="str">
        <f>VLOOKUP(B104,[1]characters!$A:$G,7,FALSE)</f>
        <v>女性</v>
      </c>
      <c r="O104" s="45">
        <f ca="1">IFERROR(VLOOKUP(B104,input_433104!L:R,7,FALSE),VLOOKUP(tables_433104!C104,input_433104!A:H,8,FALSE))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input_433104!A$2</f>
        <v>433104</v>
      </c>
      <c r="B105" s="5">
        <v>230</v>
      </c>
      <c r="C105" s="7" t="str">
        <f t="shared" si="4"/>
        <v>Premium4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毒銃 ヨルムンガンド</v>
      </c>
      <c r="I105" s="7" t="str">
        <f>VLOOKUP(B105,[1]characters!$A:$J,10,FALSE)</f>
        <v>PremiumS</v>
      </c>
      <c r="J105" s="7">
        <f>VLOOKUP(B105,[1]characters!$A:$I,9,FALSE)</f>
        <v>4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IFERROR(VLOOKUP(B105,input_433104!L:R,7,FALSE),VLOOKUP(tables_433104!C105,input_433104!A:H,8,FALSE))</f>
        <v>58022.625639999998</v>
      </c>
      <c r="P105" s="46">
        <f t="shared" ca="1" si="5"/>
        <v>4.960894805010654E-3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input_433104!A$2</f>
        <v>433104</v>
      </c>
      <c r="B106" s="5">
        <v>231</v>
      </c>
      <c r="C106" s="7" t="str">
        <f t="shared" si="4"/>
        <v>Premium5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必中の咬銃 ヨルムンガンド</v>
      </c>
      <c r="I106" s="7" t="str">
        <f>VLOOKUP(B106,[1]characters!$A:$J,10,FALSE)</f>
        <v>PremiumS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IFERROR(VLOOKUP(B106,input_433104!L:R,7,FALSE),VLOOKUP(tables_433104!C106,input_433104!A:H,8,FALSE))</f>
        <v>938.97436000000005</v>
      </c>
      <c r="P106" s="46">
        <f t="shared" ca="1" si="5"/>
        <v>8.0281665525851998E-5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input_433104!A$2</f>
        <v>433104</v>
      </c>
      <c r="B107" s="5">
        <v>232</v>
      </c>
      <c r="C107" s="7" t="str">
        <f t="shared" si="4"/>
        <v>Premium3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パーシヴァル</v>
      </c>
      <c r="I107" s="7" t="str">
        <f>VLOOKUP(B107,[1]characters!$A:$J,10,FALSE)</f>
        <v>PremiumS</v>
      </c>
      <c r="J107" s="7">
        <f>VLOOKUP(B107,[1]characters!$A:$I,9,FALSE)</f>
        <v>3</v>
      </c>
      <c r="K107" s="7" t="str">
        <f>VLOOKUP(B107,[1]characters!$A:$H,8,FALSE)</f>
        <v>blue</v>
      </c>
      <c r="L107" s="7" t="str">
        <f>VLOOKUP(B107,[1]characters!$A:$K,11,FALSE)</f>
        <v>technical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ca="1">IFERROR(VLOOKUP(B107,input_433104!L:R,7,FALSE),VLOOKUP(tables_433104!C107,input_433104!A:H,8,FALSE))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input_433104!A$2</f>
        <v>433104</v>
      </c>
      <c r="B108" s="5">
        <v>233</v>
      </c>
      <c r="C108" s="7" t="str">
        <f t="shared" si="4"/>
        <v>Premium4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遂行 パーシヴァル</v>
      </c>
      <c r="I108" s="7" t="str">
        <f>VLOOKUP(B108,[1]characters!$A:$J,10,FALSE)</f>
        <v>PremiumS</v>
      </c>
      <c r="J108" s="7">
        <f>VLOOKUP(B108,[1]characters!$A:$I,9,FALSE)</f>
        <v>4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IFERROR(VLOOKUP(B108,input_433104!L:R,7,FALSE),VLOOKUP(tables_433104!C108,input_433104!A:H,8,FALSE))</f>
        <v>58022.625639999998</v>
      </c>
      <c r="P108" s="46">
        <f t="shared" ca="1" si="5"/>
        <v>4.960894805010654E-3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input_433104!A$2</f>
        <v>433104</v>
      </c>
      <c r="B109" s="5">
        <v>234</v>
      </c>
      <c r="C109" s="7" t="str">
        <f t="shared" si="4"/>
        <v>Premium5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精密なる照準 パーシヴァル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IFERROR(VLOOKUP(B109,input_433104!L:R,7,FALSE),VLOOKUP(tables_433104!C109,input_433104!A:H,8,FALSE))</f>
        <v>938.97436000000005</v>
      </c>
      <c r="P109" s="46">
        <f t="shared" ca="1" si="5"/>
        <v>8.0281665525851998E-5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input_433104!A$2</f>
        <v>433104</v>
      </c>
      <c r="B110" s="5">
        <v>235</v>
      </c>
      <c r="C110" s="7" t="str">
        <f t="shared" si="4"/>
        <v>Premium3R6release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>R6release</v>
      </c>
      <c r="G110" s="7" t="str">
        <f t="shared" si="7"/>
        <v/>
      </c>
      <c r="H110" s="7" t="str">
        <f>VLOOKUP(B110,[1]characters!$A:$C,3,FALSE)</f>
        <v>イザナミ</v>
      </c>
      <c r="I110" s="7" t="str">
        <f>VLOOKUP(B110,[1]characters!$A:$J,10,FALSE)</f>
        <v>PremiumS</v>
      </c>
      <c r="J110" s="7">
        <f>VLOOKUP(B110,[1]characters!$A:$I,9,FALSE)</f>
        <v>3</v>
      </c>
      <c r="K110" s="7" t="str">
        <f>VLOOKUP(B110,[1]characters!$A:$H,8,FALSE)</f>
        <v>yellow</v>
      </c>
      <c r="L110" s="7" t="str">
        <f>VLOOKUP(B110,[1]characters!$A:$K,11,FALSE)</f>
        <v>attack</v>
      </c>
      <c r="M110" s="7" t="str">
        <f>VLOOKUP(B110,[1]characters!$A:$M,13,FALSE)</f>
        <v>god</v>
      </c>
      <c r="N110" s="7" t="str">
        <f>VLOOKUP(B110,[1]characters!$A:$G,7,FALSE)</f>
        <v>女性</v>
      </c>
      <c r="O110" s="45">
        <f ca="1">IFERROR(VLOOKUP(B110,input_433104!L:R,7,FALSE),VLOOKUP(tables_433104!C110,input_433104!A:H,8,FALSE))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input_433104!A$2</f>
        <v>433104</v>
      </c>
      <c r="B111" s="5">
        <v>236</v>
      </c>
      <c r="C111" s="7" t="str">
        <f t="shared" si="4"/>
        <v>Premium4R6release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神産 イザナミ</v>
      </c>
      <c r="I111" s="7" t="str">
        <f>VLOOKUP(B111,[1]characters!$A:$J,10,FALSE)</f>
        <v>PremiumS</v>
      </c>
      <c r="J111" s="7">
        <f>VLOOKUP(B111,[1]characters!$A:$I,9,FALSE)</f>
        <v>4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IFERROR(VLOOKUP(B111,input_433104!L:R,7,FALSE),VLOOKUP(tables_433104!C111,input_433104!A:H,8,FALSE))</f>
        <v>61569.120000000003</v>
      </c>
      <c r="P111" s="46">
        <f t="shared" ca="1" si="5"/>
        <v>5.264117647004807E-3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input_433104!A$2</f>
        <v>433104</v>
      </c>
      <c r="B112" s="5">
        <v>237</v>
      </c>
      <c r="C112" s="7" t="str">
        <f t="shared" si="4"/>
        <v>Premium5R6release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森羅万象の神母 イザナミ</v>
      </c>
      <c r="I112" s="7" t="str">
        <f>VLOOKUP(B112,[1]characters!$A:$J,10,FALSE)</f>
        <v>PremiumS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IFERROR(VLOOKUP(B112,input_433104!L:R,7,FALSE),VLOOKUP(tables_433104!C112,input_433104!A:H,8,FALSE))</f>
        <v>3240.48</v>
      </c>
      <c r="P112" s="46">
        <f t="shared" ca="1" si="5"/>
        <v>2.7705882352656877E-4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input_433104!A$2</f>
        <v>433104</v>
      </c>
      <c r="B113" s="5">
        <v>238</v>
      </c>
      <c r="C113" s="7" t="str">
        <f t="shared" si="4"/>
        <v>Premium3color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 t="str">
        <f t="shared" si="7"/>
        <v>color</v>
      </c>
      <c r="H113" s="7" t="str">
        <f>VLOOKUP(B113,[1]characters!$A:$C,3,FALSE)</f>
        <v>ウリエル</v>
      </c>
      <c r="I113" s="7" t="str">
        <f>VLOOKUP(B113,[1]characters!$A:$J,10,FALSE)</f>
        <v>PremiumS</v>
      </c>
      <c r="J113" s="7">
        <f>VLOOKUP(B113,[1]characters!$A:$I,9,FALSE)</f>
        <v>3</v>
      </c>
      <c r="K113" s="7" t="str">
        <f>VLOOKUP(B113,[1]characters!$A:$H,8,FALSE)</f>
        <v>red</v>
      </c>
      <c r="L113" s="7" t="str">
        <f>VLOOKUP(B113,[1]characters!$A:$K,11,FALSE)</f>
        <v>hp</v>
      </c>
      <c r="M113" s="7" t="str">
        <f>VLOOKUP(B113,[1]characters!$A:$M,13,FALSE)</f>
        <v>machine</v>
      </c>
      <c r="N113" s="7" t="str">
        <f>VLOOKUP(B113,[1]characters!$A:$G,7,FALSE)</f>
        <v>女性</v>
      </c>
      <c r="O113" s="45">
        <f ca="1">IFERROR(VLOOKUP(B113,input_433104!L:R,7,FALSE),VLOOKUP(tables_433104!C113,input_433104!A:H,8,FALSE))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input_433104!A$2</f>
        <v>433104</v>
      </c>
      <c r="B114" s="5">
        <v>239</v>
      </c>
      <c r="C114" s="7" t="str">
        <f t="shared" si="4"/>
        <v>Premium4color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豪炎の天使 ウリエル</v>
      </c>
      <c r="I114" s="7" t="str">
        <f>VLOOKUP(B114,[1]characters!$A:$J,10,FALSE)</f>
        <v>PremiumS</v>
      </c>
      <c r="J114" s="7">
        <f>VLOOKUP(B114,[1]characters!$A:$I,9,FALSE)</f>
        <v>4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IFERROR(VLOOKUP(B114,input_433104!L:R,7,FALSE),VLOOKUP(tables_433104!C114,input_433104!A:H,8,FALSE))</f>
        <v>284553.19081</v>
      </c>
      <c r="P114" s="46">
        <f t="shared" ca="1" si="5"/>
        <v>2.4329103181179902E-2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input_433104!A$2</f>
        <v>433104</v>
      </c>
      <c r="B115" s="5">
        <v>240</v>
      </c>
      <c r="C115" s="7" t="str">
        <f t="shared" si="4"/>
        <v>Premium5color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轟炎の天使 ウリエル・スレイヤー</v>
      </c>
      <c r="I115" s="7" t="str">
        <f>VLOOKUP(B115,[1]characters!$A:$J,10,FALSE)</f>
        <v>PremiumS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IFERROR(VLOOKUP(B115,input_433104!L:R,7,FALSE),VLOOKUP(tables_433104!C115,input_433104!A:H,8,FALSE))</f>
        <v>2863.2961500000001</v>
      </c>
      <c r="P115" s="46">
        <f t="shared" ca="1" si="5"/>
        <v>2.4480986234358919E-4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input_433104!A$2</f>
        <v>433104</v>
      </c>
      <c r="B116" s="5">
        <v>241</v>
      </c>
      <c r="C116" s="7" t="str">
        <f t="shared" si="4"/>
        <v>Premium3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ガブリエル</v>
      </c>
      <c r="I116" s="7" t="str">
        <f>VLOOKUP(B116,[1]characters!$A:$J,10,FALSE)</f>
        <v>PremiumS</v>
      </c>
      <c r="J116" s="7">
        <f>VLOOKUP(B116,[1]characters!$A:$I,9,FALSE)</f>
        <v>3</v>
      </c>
      <c r="K116" s="7" t="str">
        <f>VLOOKUP(B116,[1]characters!$A:$H,8,FALSE)</f>
        <v>green</v>
      </c>
      <c r="L116" s="7" t="str">
        <f>VLOOKUP(B116,[1]characters!$A:$K,11,FALSE)</f>
        <v>balance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IFERROR(VLOOKUP(B116,input_433104!L:R,7,FALSE),VLOOKUP(tables_433104!C116,input_433104!A:H,8,FALSE))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input_433104!A$2</f>
        <v>433104</v>
      </c>
      <c r="B117" s="5">
        <v>242</v>
      </c>
      <c r="C117" s="7" t="str">
        <f t="shared" si="4"/>
        <v>Premium4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百花の天使 ガブリエル</v>
      </c>
      <c r="I117" s="7" t="str">
        <f>VLOOKUP(B117,[1]characters!$A:$J,10,FALSE)</f>
        <v>PremiumS</v>
      </c>
      <c r="J117" s="7">
        <f>VLOOKUP(B117,[1]characters!$A:$I,9,FALSE)</f>
        <v>4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IFERROR(VLOOKUP(B117,input_433104!L:R,7,FALSE),VLOOKUP(tables_433104!C117,input_433104!A:H,8,FALSE))</f>
        <v>58022.625639999998</v>
      </c>
      <c r="P117" s="46">
        <f t="shared" ca="1" si="5"/>
        <v>4.960894805010654E-3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input_433104!A$2</f>
        <v>433104</v>
      </c>
      <c r="B118" s="5">
        <v>243</v>
      </c>
      <c r="C118" s="7" t="str">
        <f t="shared" si="4"/>
        <v>Premium5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万花の天使 ガブリエル・ブルーム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IFERROR(VLOOKUP(B118,input_433104!L:R,7,FALSE),VLOOKUP(tables_433104!C118,input_433104!A:H,8,FALSE))</f>
        <v>938.97436000000005</v>
      </c>
      <c r="P118" s="46">
        <f t="shared" ca="1" si="5"/>
        <v>8.0281665525851998E-5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input_433104!A$2</f>
        <v>433104</v>
      </c>
      <c r="B119" s="5">
        <v>244</v>
      </c>
      <c r="C119" s="7" t="str">
        <f t="shared" si="4"/>
        <v>Premium3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ラファエル</v>
      </c>
      <c r="I119" s="7" t="str">
        <f>VLOOKUP(B119,[1]characters!$A:$J,10,FALSE)</f>
        <v>PremiumS</v>
      </c>
      <c r="J119" s="7">
        <f>VLOOKUP(B119,[1]characters!$A:$I,9,FALSE)</f>
        <v>3</v>
      </c>
      <c r="K119" s="7" t="str">
        <f>VLOOKUP(B119,[1]characters!$A:$H,8,FALSE)</f>
        <v>blue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IFERROR(VLOOKUP(B119,input_433104!L:R,7,FALSE),VLOOKUP(tables_433104!C119,input_433104!A:H,8,FALSE))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input_433104!A$2</f>
        <v>433104</v>
      </c>
      <c r="B120" s="5">
        <v>245</v>
      </c>
      <c r="C120" s="7" t="str">
        <f t="shared" si="4"/>
        <v>Premium4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鎮癒の天使 ラファエル</v>
      </c>
      <c r="I120" s="7" t="str">
        <f>VLOOKUP(B120,[1]characters!$A:$J,10,FALSE)</f>
        <v>PremiumS</v>
      </c>
      <c r="J120" s="7">
        <f>VLOOKUP(B120,[1]characters!$A:$I,9,FALSE)</f>
        <v>4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IFERROR(VLOOKUP(B120,input_433104!L:R,7,FALSE),VLOOKUP(tables_433104!C120,input_433104!A:H,8,FALSE))</f>
        <v>58022.625639999998</v>
      </c>
      <c r="P120" s="46">
        <f t="shared" ca="1" si="5"/>
        <v>4.960894805010654E-3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input_433104!A$2</f>
        <v>433104</v>
      </c>
      <c r="B121" s="5">
        <v>246</v>
      </c>
      <c r="C121" s="7" t="str">
        <f t="shared" si="4"/>
        <v>Premium5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真癒の天使 ラファエル・メディカ</v>
      </c>
      <c r="I121" s="7" t="str">
        <f>VLOOKUP(B121,[1]characters!$A:$J,10,FALSE)</f>
        <v>PremiumS</v>
      </c>
      <c r="J121" s="7">
        <f>VLOOKUP(B121,[1]characters!$A:$I,9,FALSE)</f>
        <v>5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IFERROR(VLOOKUP(B121,input_433104!L:R,7,FALSE),VLOOKUP(tables_433104!C121,input_433104!A:H,8,FALSE))</f>
        <v>938.97436000000005</v>
      </c>
      <c r="P121" s="46">
        <f t="shared" ca="1" si="5"/>
        <v>8.0281665525851998E-5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input_433104!A$2</f>
        <v>433104</v>
      </c>
      <c r="B122" s="5">
        <v>247</v>
      </c>
      <c r="C122" s="7" t="str">
        <f t="shared" si="4"/>
        <v>Premium3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ミカエル</v>
      </c>
      <c r="I122" s="7" t="str">
        <f>VLOOKUP(B122,[1]characters!$A:$J,10,FALSE)</f>
        <v>PremiumS</v>
      </c>
      <c r="J122" s="7">
        <f>VLOOKUP(B122,[1]characters!$A:$I,9,FALSE)</f>
        <v>3</v>
      </c>
      <c r="K122" s="7" t="str">
        <f>VLOOKUP(B122,[1]characters!$A:$H,8,FALSE)</f>
        <v>yellow</v>
      </c>
      <c r="L122" s="7" t="str">
        <f>VLOOKUP(B122,[1]characters!$A:$K,11,FALSE)</f>
        <v>attack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IFERROR(VLOOKUP(B122,input_433104!L:R,7,FALSE),VLOOKUP(tables_433104!C122,input_433104!A:H,8,FALSE))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input_433104!A$2</f>
        <v>433104</v>
      </c>
      <c r="B123" s="5">
        <v>248</v>
      </c>
      <c r="C123" s="7" t="str">
        <f t="shared" si="4"/>
        <v>Premium4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彩電の天使 ミカエル</v>
      </c>
      <c r="I123" s="7" t="str">
        <f>VLOOKUP(B123,[1]characters!$A:$J,10,FALSE)</f>
        <v>PremiumS</v>
      </c>
      <c r="J123" s="7">
        <f>VLOOKUP(B123,[1]characters!$A:$I,9,FALSE)</f>
        <v>4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IFERROR(VLOOKUP(B123,input_433104!L:R,7,FALSE),VLOOKUP(tables_433104!C123,input_433104!A:H,8,FALSE))</f>
        <v>58022.625639999998</v>
      </c>
      <c r="P123" s="46">
        <f t="shared" ca="1" si="5"/>
        <v>4.960894805010654E-3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input_433104!A$2</f>
        <v>433104</v>
      </c>
      <c r="B124" s="6">
        <v>249</v>
      </c>
      <c r="C124" s="7" t="str">
        <f t="shared" si="4"/>
        <v>Premium5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雷電の天使 ミカエル・ゲイナー</v>
      </c>
      <c r="I124" s="7" t="str">
        <f>VLOOKUP(B124,[1]characters!$A:$J,10,FALSE)</f>
        <v>PremiumS</v>
      </c>
      <c r="J124" s="7">
        <f>VLOOKUP(B124,[1]characters!$A:$I,9,FALSE)</f>
        <v>5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IFERROR(VLOOKUP(B124,input_433104!L:R,7,FALSE),VLOOKUP(tables_433104!C124,input_433104!A:H,8,FALSE))</f>
        <v>938.97436000000005</v>
      </c>
      <c r="P124" s="46">
        <f t="shared" ca="1" si="5"/>
        <v>8.0281665525851998E-5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input_433104!A$2</f>
        <v>433104</v>
      </c>
      <c r="B125" s="6">
        <v>250</v>
      </c>
      <c r="C125" s="7" t="str">
        <f t="shared" si="4"/>
        <v>Premium3color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>color</v>
      </c>
      <c r="H125" s="7" t="str">
        <f>VLOOKUP(B125,[1]characters!$A:$C,3,FALSE)</f>
        <v>マンモン</v>
      </c>
      <c r="I125" s="7" t="str">
        <f>VLOOKUP(B125,[1]characters!$A:$J,10,FALSE)</f>
        <v>PremiumS</v>
      </c>
      <c r="J125" s="7">
        <f>VLOOKUP(B125,[1]characters!$A:$I,9,FALSE)</f>
        <v>3</v>
      </c>
      <c r="K125" s="7" t="str">
        <f>VLOOKUP(B125,[1]characters!$A:$H,8,FALSE)</f>
        <v>red</v>
      </c>
      <c r="L125" s="7" t="str">
        <f>VLOOKUP(B125,[1]characters!$A:$K,11,FALSE)</f>
        <v>balance</v>
      </c>
      <c r="M125" s="7" t="str">
        <f>VLOOKUP(B125,[1]characters!$A:$M,13,FALSE)</f>
        <v>god</v>
      </c>
      <c r="N125" s="7" t="str">
        <f>VLOOKUP(B125,[1]characters!$A:$G,7,FALSE)</f>
        <v>女性</v>
      </c>
      <c r="O125" s="45">
        <f ca="1">IFERROR(VLOOKUP(B125,input_433104!L:R,7,FALSE),VLOOKUP(tables_433104!C125,input_433104!A:H,8,FALSE))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input_433104!A$2</f>
        <v>433104</v>
      </c>
      <c r="B126" s="6">
        <v>251</v>
      </c>
      <c r="C126" s="7" t="str">
        <f t="shared" si="4"/>
        <v>Premium4color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強欲 マンモン</v>
      </c>
      <c r="I126" s="7" t="str">
        <f>VLOOKUP(B126,[1]characters!$A:$J,10,FALSE)</f>
        <v>PremiumS</v>
      </c>
      <c r="J126" s="7">
        <f>VLOOKUP(B126,[1]characters!$A:$I,9,FALSE)</f>
        <v>4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IFERROR(VLOOKUP(B126,input_433104!L:R,7,FALSE),VLOOKUP(tables_433104!C126,input_433104!A:H,8,FALSE))</f>
        <v>284553.19081</v>
      </c>
      <c r="P126" s="46">
        <f t="shared" ca="1" si="5"/>
        <v>2.4329103181179902E-2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input_433104!A$2</f>
        <v>433104</v>
      </c>
      <c r="B127" s="6">
        <v>252</v>
      </c>
      <c r="C127" s="7" t="str">
        <f t="shared" si="4"/>
        <v>Premium5color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強欲の沸騰 マンモン</v>
      </c>
      <c r="I127" s="7" t="str">
        <f>VLOOKUP(B127,[1]characters!$A:$J,10,FALSE)</f>
        <v>PremiumS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IFERROR(VLOOKUP(B127,input_433104!L:R,7,FALSE),VLOOKUP(tables_433104!C127,input_433104!A:H,8,FALSE))</f>
        <v>2863.2961500000001</v>
      </c>
      <c r="P127" s="46">
        <f t="shared" ca="1" si="5"/>
        <v>2.4480986234358919E-4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input_433104!A$2</f>
        <v>433104</v>
      </c>
      <c r="B128" s="6">
        <v>253</v>
      </c>
      <c r="C128" s="7" t="str">
        <f t="shared" si="4"/>
        <v>Premium3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ベルフェゴール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green</v>
      </c>
      <c r="L128" s="7" t="str">
        <f>VLOOKUP(B128,[1]characters!$A:$K,11,FALSE)</f>
        <v>technical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IFERROR(VLOOKUP(B128,input_433104!L:R,7,FALSE),VLOOKUP(tables_433104!C128,input_433104!A:H,8,FALSE))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input_433104!A$2</f>
        <v>433104</v>
      </c>
      <c r="B129" s="6">
        <v>254</v>
      </c>
      <c r="C129" s="7" t="str">
        <f t="shared" si="4"/>
        <v>Premium4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怠惰 ベルフェゴール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IFERROR(VLOOKUP(B129,input_433104!L:R,7,FALSE),VLOOKUP(tables_433104!C129,input_433104!A:H,8,FALSE))</f>
        <v>58022.625639999998</v>
      </c>
      <c r="P129" s="46">
        <f t="shared" ca="1" si="5"/>
        <v>4.960894805010654E-3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input_433104!A$2</f>
        <v>433104</v>
      </c>
      <c r="B130" s="6">
        <v>255</v>
      </c>
      <c r="C130" s="7" t="str">
        <f t="shared" ref="C130:C193" si="8">D130&amp;J130&amp;E130&amp;F130&amp;G130</f>
        <v>Premium5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怠惰の頂点 ベルフェゴール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IFERROR(VLOOKUP(B130,input_433104!L:R,7,FALSE),VLOOKUP(tables_433104!C130,input_433104!A:H,8,FALSE))</f>
        <v>938.97436000000005</v>
      </c>
      <c r="P130" s="46">
        <f t="shared" ref="P130:P193" ca="1" si="9">O130/SUM(O:O)</f>
        <v>8.0281665525851998E-5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input_433104!A$2</f>
        <v>433104</v>
      </c>
      <c r="B131" s="6">
        <v>256</v>
      </c>
      <c r="C131" s="7" t="str">
        <f t="shared" si="8"/>
        <v>Premium3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アスモデウス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blue</v>
      </c>
      <c r="L131" s="7" t="str">
        <f>VLOOKUP(B131,[1]characters!$A:$K,11,FALSE)</f>
        <v>attack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IFERROR(VLOOKUP(B131,input_433104!L:R,7,FALSE),VLOOKUP(tables_433104!C131,input_433104!A:H,8,FALSE))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input_433104!A$2</f>
        <v>433104</v>
      </c>
      <c r="B132" s="6">
        <v>257</v>
      </c>
      <c r="C132" s="7" t="str">
        <f t="shared" si="8"/>
        <v>Premium4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色欲 アスモデウス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IFERROR(VLOOKUP(B132,input_433104!L:R,7,FALSE),VLOOKUP(tables_433104!C132,input_433104!A:H,8,FALSE))</f>
        <v>58022.625639999998</v>
      </c>
      <c r="P132" s="46">
        <f t="shared" ca="1" si="9"/>
        <v>4.960894805010654E-3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input_433104!A$2</f>
        <v>433104</v>
      </c>
      <c r="B133" s="6">
        <v>258</v>
      </c>
      <c r="C133" s="7" t="str">
        <f t="shared" si="8"/>
        <v>Premium5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色欲の源流 アスモデウス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IFERROR(VLOOKUP(B133,input_433104!L:R,7,FALSE),VLOOKUP(tables_433104!C133,input_433104!A:H,8,FALSE))</f>
        <v>938.97436000000005</v>
      </c>
      <c r="P133" s="46">
        <f t="shared" ca="1" si="9"/>
        <v>8.0281665525851998E-5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input_433104!A$2</f>
        <v>433104</v>
      </c>
      <c r="B134" s="6">
        <v>259</v>
      </c>
      <c r="C134" s="7" t="str">
        <f t="shared" si="8"/>
        <v>Premium3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ウロボロス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yellow</v>
      </c>
      <c r="L134" s="7" t="str">
        <f>VLOOKUP(B134,[1]characters!$A:$K,11,FALSE)</f>
        <v>balance</v>
      </c>
      <c r="M134" s="7" t="str">
        <f>VLOOKUP(B134,[1]characters!$A:$M,13,FALSE)</f>
        <v>dragon</v>
      </c>
      <c r="N134" s="7" t="str">
        <f>VLOOKUP(B134,[1]characters!$A:$G,7,FALSE)</f>
        <v>女性</v>
      </c>
      <c r="O134" s="45">
        <f ca="1">IFERROR(VLOOKUP(B134,input_433104!L:R,7,FALSE),VLOOKUP(tables_433104!C134,input_433104!A:H,8,FALSE))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input_433104!A$2</f>
        <v>433104</v>
      </c>
      <c r="B135" s="8">
        <v>260</v>
      </c>
      <c r="C135" s="7" t="str">
        <f t="shared" si="8"/>
        <v>Premium4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輪廻 ウロボロス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IFERROR(VLOOKUP(B135,input_433104!L:R,7,FALSE),VLOOKUP(tables_433104!C135,input_433104!A:H,8,FALSE))</f>
        <v>58022.625639999998</v>
      </c>
      <c r="P135" s="46">
        <f t="shared" ca="1" si="9"/>
        <v>4.960894805010654E-3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input_433104!A$2</f>
        <v>433104</v>
      </c>
      <c r="B136" s="8">
        <v>261</v>
      </c>
      <c r="C136" s="7" t="str">
        <f t="shared" si="8"/>
        <v>Premium5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輪廻の蛇龍 ウロボロス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IFERROR(VLOOKUP(B136,input_433104!L:R,7,FALSE),VLOOKUP(tables_433104!C136,input_433104!A:H,8,FALSE))</f>
        <v>938.97436000000005</v>
      </c>
      <c r="P136" s="46">
        <f t="shared" ca="1" si="9"/>
        <v>8.0281665525851998E-5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input_433104!A$2</f>
        <v>433104</v>
      </c>
      <c r="B137" s="6">
        <v>320</v>
      </c>
      <c r="C137" s="7" t="str">
        <f t="shared" si="8"/>
        <v>PremiumSS4color</v>
      </c>
      <c r="D137" s="7" t="str">
        <f t="shared" si="10"/>
        <v>PremiumSS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>color</v>
      </c>
      <c r="H137" s="7" t="str">
        <f>VLOOKUP(B137,[1]characters!$A:$C,3,FALSE)</f>
        <v>烈志士 近藤勇</v>
      </c>
      <c r="I137" s="7" t="str">
        <f>VLOOKUP(B137,[1]characters!$A:$J,10,FALSE)</f>
        <v>PremiumSS</v>
      </c>
      <c r="J137" s="7">
        <f>VLOOKUP(B137,[1]characters!$A:$I,9,FALSE)</f>
        <v>4</v>
      </c>
      <c r="K137" s="7" t="str">
        <f>VLOOKUP(B137,[1]characters!$A:$H,8,FALSE)</f>
        <v>red</v>
      </c>
      <c r="L137" s="7" t="str">
        <f>VLOOKUP(B137,[1]characters!$A:$K,11,FALSE)</f>
        <v>hp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45">
        <f ca="1">IFERROR(VLOOKUP(B137,input_433104!L:R,7,FALSE),VLOOKUP(tables_433104!C137,input_433104!A:H,8,FALSE))</f>
        <v>23809.71429</v>
      </c>
      <c r="P137" s="46">
        <f t="shared" ca="1" si="9"/>
        <v>2.0357142860598222E-3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input_433104!A$2</f>
        <v>433104</v>
      </c>
      <c r="B138" s="6">
        <v>321</v>
      </c>
      <c r="C138" s="7" t="str">
        <f t="shared" si="8"/>
        <v>PremiumSS5color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巌鉄の烈志士 近藤勇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IFERROR(VLOOKUP(B138,input_433104!L:R,7,FALSE),VLOOKUP(tables_433104!C138,input_433104!A:H,8,FALSE))</f>
        <v>1253.1428599999999</v>
      </c>
      <c r="P138" s="46">
        <f t="shared" ca="1" si="9"/>
        <v>1.0714285738604148E-4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input_433104!A$2</f>
        <v>433104</v>
      </c>
      <c r="B139" s="6">
        <v>322</v>
      </c>
      <c r="C139" s="7" t="str">
        <f t="shared" si="8"/>
        <v>PremiumSS4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愛志士 土方歳三</v>
      </c>
      <c r="I139" s="7" t="str">
        <f>VLOOKUP(B139,[1]characters!$A:$J,10,FALSE)</f>
        <v>PremiumSS</v>
      </c>
      <c r="J139" s="7">
        <f>VLOOKUP(B139,[1]characters!$A:$I,9,FALSE)</f>
        <v>4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human</v>
      </c>
      <c r="N139" s="7" t="str">
        <f>VLOOKUP(B139,[1]characters!$A:$G,7,FALSE)</f>
        <v>女性</v>
      </c>
      <c r="O139" s="45">
        <f ca="1">IFERROR(VLOOKUP(B139,input_433104!L:R,7,FALSE),VLOOKUP(tables_433104!C139,input_433104!A:H,8,FALSE))</f>
        <v>5168</v>
      </c>
      <c r="P139" s="46">
        <f t="shared" ca="1" si="9"/>
        <v>4.4186046511174505E-4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input_433104!A$2</f>
        <v>433104</v>
      </c>
      <c r="B140" s="6">
        <v>323</v>
      </c>
      <c r="C140" s="7" t="str">
        <f t="shared" si="8"/>
        <v>PremiumSS5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流麗の愛志士 土方歳三</v>
      </c>
      <c r="I140" s="7" t="str">
        <f>VLOOKUP(B140,[1]characters!$A:$J,10,FALSE)</f>
        <v>PremiumSS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IFERROR(VLOOKUP(B140,input_433104!L:R,7,FALSE),VLOOKUP(tables_433104!C140,input_433104!A:H,8,FALSE))</f>
        <v>272</v>
      </c>
      <c r="P140" s="46">
        <f t="shared" ca="1" si="9"/>
        <v>2.3255813953249738E-5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input_433104!A$2</f>
        <v>433104</v>
      </c>
      <c r="B141" s="6">
        <v>324</v>
      </c>
      <c r="C141" s="7" t="str">
        <f t="shared" si="8"/>
        <v>PremiumSS4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凛志士 沖田総司</v>
      </c>
      <c r="I141" s="7" t="str">
        <f>VLOOKUP(B141,[1]characters!$A:$J,10,FALSE)</f>
        <v>PremiumSS</v>
      </c>
      <c r="J141" s="7">
        <f>VLOOKUP(B141,[1]characters!$A:$I,9,FALSE)</f>
        <v>4</v>
      </c>
      <c r="K141" s="7" t="str">
        <f>VLOOKUP(B141,[1]characters!$A:$H,8,FALSE)</f>
        <v>blue</v>
      </c>
      <c r="L141" s="7" t="str">
        <f>VLOOKUP(B141,[1]characters!$A:$K,11,FALSE)</f>
        <v>balance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IFERROR(VLOOKUP(B141,input_433104!L:R,7,FALSE),VLOOKUP(tables_433104!C141,input_433104!A:H,8,FALSE))</f>
        <v>5168</v>
      </c>
      <c r="P141" s="46">
        <f t="shared" ca="1" si="9"/>
        <v>4.4186046511174505E-4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input_433104!A$2</f>
        <v>433104</v>
      </c>
      <c r="B142" s="6">
        <v>325</v>
      </c>
      <c r="C142" s="7" t="str">
        <f t="shared" si="8"/>
        <v>PremiumSS5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天賦の凛志士 沖田総司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IFERROR(VLOOKUP(B142,input_433104!L:R,7,FALSE),VLOOKUP(tables_433104!C142,input_433104!A:H,8,FALSE))</f>
        <v>272</v>
      </c>
      <c r="P142" s="46">
        <f t="shared" ca="1" si="9"/>
        <v>2.3255813953249738E-5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input_433104!A$2</f>
        <v>433104</v>
      </c>
      <c r="B143" s="6">
        <v>326</v>
      </c>
      <c r="C143" s="7" t="str">
        <f t="shared" si="8"/>
        <v>PremiumSS4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妖志士 斎藤一</v>
      </c>
      <c r="I143" s="7" t="str">
        <f>VLOOKUP(B143,[1]characters!$A:$J,10,FALSE)</f>
        <v>PremiumSS</v>
      </c>
      <c r="J143" s="7">
        <f>VLOOKUP(B143,[1]characters!$A:$I,9,FALSE)</f>
        <v>4</v>
      </c>
      <c r="K143" s="7" t="str">
        <f>VLOOKUP(B143,[1]characters!$A:$H,8,FALSE)</f>
        <v>yellow</v>
      </c>
      <c r="L143" s="7" t="str">
        <f>VLOOKUP(B143,[1]characters!$A:$K,11,FALSE)</f>
        <v>technical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IFERROR(VLOOKUP(B143,input_433104!L:R,7,FALSE),VLOOKUP(tables_433104!C143,input_433104!A:H,8,FALSE))</f>
        <v>5168</v>
      </c>
      <c r="P143" s="46">
        <f t="shared" ca="1" si="9"/>
        <v>4.4186046511174505E-4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input_433104!A$2</f>
        <v>433104</v>
      </c>
      <c r="B144" s="6">
        <v>327</v>
      </c>
      <c r="C144" s="7" t="str">
        <f t="shared" si="8"/>
        <v>PremiumSS5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千殺の妖志士 斎藤一</v>
      </c>
      <c r="I144" s="7" t="str">
        <f>VLOOKUP(B144,[1]characters!$A:$J,10,FALSE)</f>
        <v>PremiumSS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IFERROR(VLOOKUP(B144,input_433104!L:R,7,FALSE),VLOOKUP(tables_433104!C144,input_433104!A:H,8,FALSE))</f>
        <v>272</v>
      </c>
      <c r="P144" s="46">
        <f t="shared" ca="1" si="9"/>
        <v>2.3255813953249738E-5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input_433104!A$2</f>
        <v>433104</v>
      </c>
      <c r="B145" s="6">
        <v>380</v>
      </c>
      <c r="C145" s="7" t="str">
        <f t="shared" si="8"/>
        <v>Premium3color</v>
      </c>
      <c r="D145" s="7" t="str">
        <f t="shared" si="10"/>
        <v>Premium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>color</v>
      </c>
      <c r="H145" s="7" t="str">
        <f>VLOOKUP(B145,[1]characters!$A:$C,3,FALSE)</f>
        <v>バハムート</v>
      </c>
      <c r="I145" s="7" t="str">
        <f>VLOOKUP(B145,[1]characters!$A:$J,10,FALSE)</f>
        <v>PremiumS</v>
      </c>
      <c r="J145" s="7">
        <f>VLOOKUP(B145,[1]characters!$A:$I,9,FALSE)</f>
        <v>3</v>
      </c>
      <c r="K145" s="7" t="str">
        <f>VLOOKUP(B145,[1]characters!$A:$H,8,FALSE)</f>
        <v>red</v>
      </c>
      <c r="L145" s="7" t="str">
        <f>VLOOKUP(B145,[1]characters!$A:$K,11,FALSE)</f>
        <v>technical</v>
      </c>
      <c r="M145" s="7" t="str">
        <f>VLOOKUP(B145,[1]characters!$A:$M,13,FALSE)</f>
        <v>dragon</v>
      </c>
      <c r="N145" s="7" t="str">
        <f>VLOOKUP(B145,[1]characters!$A:$G,7,FALSE)</f>
        <v>女性</v>
      </c>
      <c r="O145" s="45">
        <f ca="1">IFERROR(VLOOKUP(B145,input_433104!L:R,7,FALSE),VLOOKUP(tables_433104!C145,input_433104!A:H,8,FALSE))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input_433104!A$2</f>
        <v>433104</v>
      </c>
      <c r="B146" s="6">
        <v>381</v>
      </c>
      <c r="C146" s="7" t="str">
        <f t="shared" si="8"/>
        <v>Premium4color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肉食の恋火 バハムート</v>
      </c>
      <c r="I146" s="7" t="str">
        <f>VLOOKUP(B146,[1]characters!$A:$J,10,FALSE)</f>
        <v>PremiumS</v>
      </c>
      <c r="J146" s="7">
        <f>VLOOKUP(B146,[1]characters!$A:$I,9,FALSE)</f>
        <v>4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IFERROR(VLOOKUP(B146,input_433104!L:R,7,FALSE),VLOOKUP(tables_433104!C146,input_433104!A:H,8,FALSE))</f>
        <v>284553.19081</v>
      </c>
      <c r="P146" s="46">
        <f t="shared" ca="1" si="9"/>
        <v>2.4329103181179902E-2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input_433104!A$2</f>
        <v>433104</v>
      </c>
      <c r="B147" s="6">
        <v>382</v>
      </c>
      <c r="C147" s="7" t="str">
        <f t="shared" si="8"/>
        <v>Premium5color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激情の愛炎 バハムート</v>
      </c>
      <c r="I147" s="7" t="str">
        <f>VLOOKUP(B147,[1]characters!$A:$J,10,FALSE)</f>
        <v>PremiumS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IFERROR(VLOOKUP(B147,input_433104!L:R,7,FALSE),VLOOKUP(tables_433104!C147,input_433104!A:H,8,FALSE))</f>
        <v>2863.2961500000001</v>
      </c>
      <c r="P147" s="46">
        <f t="shared" ca="1" si="9"/>
        <v>2.4480986234358919E-4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input_433104!A$2</f>
        <v>433104</v>
      </c>
      <c r="B148" s="6">
        <v>383</v>
      </c>
      <c r="C148" s="7" t="str">
        <f t="shared" si="8"/>
        <v>PremiumSS4</v>
      </c>
      <c r="D148" s="7" t="str">
        <f t="shared" si="10"/>
        <v>PremiumSS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酒宴の蟒蛇 ヤマタノオロチ</v>
      </c>
      <c r="I148" s="7" t="str">
        <f>VLOOKUP(B148,[1]characters!$A:$J,10,FALSE)</f>
        <v>PremiumSS</v>
      </c>
      <c r="J148" s="7">
        <f>VLOOKUP(B148,[1]characters!$A:$I,9,FALSE)</f>
        <v>4</v>
      </c>
      <c r="K148" s="7" t="str">
        <f>VLOOKUP(B148,[1]characters!$A:$H,8,FALSE)</f>
        <v>green</v>
      </c>
      <c r="L148" s="7" t="str">
        <f>VLOOKUP(B148,[1]characters!$A:$K,11,FALSE)</f>
        <v>hp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IFERROR(VLOOKUP(B148,input_433104!L:R,7,FALSE),VLOOKUP(tables_433104!C148,input_433104!A:H,8,FALSE))</f>
        <v>5168</v>
      </c>
      <c r="P148" s="46">
        <f t="shared" ca="1" si="9"/>
        <v>4.4186046511174505E-4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input_433104!A$2</f>
        <v>433104</v>
      </c>
      <c r="B149" s="6">
        <v>384</v>
      </c>
      <c r="C149" s="7" t="str">
        <f t="shared" si="8"/>
        <v>PremiumSS5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破国の呑龍 ヤマタノオロチ</v>
      </c>
      <c r="I149" s="7" t="str">
        <f>VLOOKUP(B149,[1]characters!$A:$J,10,FALSE)</f>
        <v>PremiumSS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IFERROR(VLOOKUP(B149,input_433104!L:R,7,FALSE),VLOOKUP(tables_433104!C149,input_433104!A:H,8,FALSE))</f>
        <v>272</v>
      </c>
      <c r="P149" s="46">
        <f t="shared" ca="1" si="9"/>
        <v>2.3255813953249738E-5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input_433104!A$2</f>
        <v>433104</v>
      </c>
      <c r="B150" s="6">
        <v>385</v>
      </c>
      <c r="C150" s="7" t="str">
        <f t="shared" si="8"/>
        <v>PremiumSS4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波烈の出奔 リヴァイアサン</v>
      </c>
      <c r="I150" s="7" t="str">
        <f>VLOOKUP(B150,[1]characters!$A:$J,10,FALSE)</f>
        <v>PremiumSS</v>
      </c>
      <c r="J150" s="7">
        <f>VLOOKUP(B150,[1]characters!$A:$I,9,FALSE)</f>
        <v>4</v>
      </c>
      <c r="K150" s="7" t="str">
        <f>VLOOKUP(B150,[1]characters!$A:$H,8,FALSE)</f>
        <v>blue</v>
      </c>
      <c r="L150" s="7" t="str">
        <f>VLOOKUP(B150,[1]characters!$A:$K,11,FALSE)</f>
        <v>balance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IFERROR(VLOOKUP(B150,input_433104!L:R,7,FALSE),VLOOKUP(tables_433104!C150,input_433104!A:H,8,FALSE))</f>
        <v>5168</v>
      </c>
      <c r="P150" s="46">
        <f t="shared" ca="1" si="9"/>
        <v>4.4186046511174505E-4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input_433104!A$2</f>
        <v>433104</v>
      </c>
      <c r="B151" s="6">
        <v>386</v>
      </c>
      <c r="C151" s="7" t="str">
        <f t="shared" si="8"/>
        <v>PremiumSS5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氾乱の海龍 リヴァイアサン</v>
      </c>
      <c r="I151" s="7" t="str">
        <f>VLOOKUP(B151,[1]characters!$A:$J,10,FALSE)</f>
        <v>PremiumSS</v>
      </c>
      <c r="J151" s="7">
        <f>VLOOKUP(B151,[1]characters!$A:$I,9,FALSE)</f>
        <v>5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IFERROR(VLOOKUP(B151,input_433104!L:R,7,FALSE),VLOOKUP(tables_433104!C151,input_433104!A:H,8,FALSE))</f>
        <v>272</v>
      </c>
      <c r="P151" s="46">
        <f t="shared" ca="1" si="9"/>
        <v>2.3255813953249738E-5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input_433104!A$2</f>
        <v>433104</v>
      </c>
      <c r="B152" s="6">
        <v>387</v>
      </c>
      <c r="C152" s="7" t="str">
        <f t="shared" si="8"/>
        <v>Premium3</v>
      </c>
      <c r="D152" s="7" t="str">
        <f t="shared" si="10"/>
        <v>Premium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スフィンクス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yellow</v>
      </c>
      <c r="L152" s="7" t="str">
        <f>VLOOKUP(B152,[1]characters!$A:$K,11,FALSE)</f>
        <v>heal</v>
      </c>
      <c r="M152" s="7" t="str">
        <f>VLOOKUP(B152,[1]characters!$A:$M,13,FALSE)</f>
        <v>animal</v>
      </c>
      <c r="N152" s="7" t="str">
        <f>VLOOKUP(B152,[1]characters!$A:$G,7,FALSE)</f>
        <v>女性</v>
      </c>
      <c r="O152" s="45">
        <f ca="1">IFERROR(VLOOKUP(B152,input_433104!L:R,7,FALSE),VLOOKUP(tables_433104!C152,input_433104!A:H,8,FALSE))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input_433104!A$2</f>
        <v>433104</v>
      </c>
      <c r="B153" s="6">
        <v>388</v>
      </c>
      <c r="C153" s="7" t="str">
        <f t="shared" si="8"/>
        <v>Premium4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神円の恋姫 スフィンクス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IFERROR(VLOOKUP(B153,input_433104!L:R,7,FALSE),VLOOKUP(tables_433104!C153,input_433104!A:H,8,FALSE))</f>
        <v>58022.625639999998</v>
      </c>
      <c r="P153" s="46">
        <f t="shared" ca="1" si="9"/>
        <v>4.960894805010654E-3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input_433104!A$2</f>
        <v>433104</v>
      </c>
      <c r="B154" s="6">
        <v>389</v>
      </c>
      <c r="C154" s="7" t="str">
        <f t="shared" si="8"/>
        <v>Premium5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操神の愛姫 スフィンクス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IFERROR(VLOOKUP(B154,input_433104!L:R,7,FALSE),VLOOKUP(tables_433104!C154,input_433104!A:H,8,FALSE))</f>
        <v>938.97436000000005</v>
      </c>
      <c r="P154" s="46">
        <f t="shared" ca="1" si="9"/>
        <v>8.0281665525851998E-5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input_433104!A$2</f>
        <v>433104</v>
      </c>
      <c r="B155" s="6">
        <v>390</v>
      </c>
      <c r="C155" s="7" t="str">
        <f t="shared" si="8"/>
        <v>PremiumSS4color</v>
      </c>
      <c r="D155" s="7" t="str">
        <f t="shared" si="10"/>
        <v>PremiumSS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>color</v>
      </c>
      <c r="H155" s="7" t="str">
        <f>VLOOKUP(B155,[1]characters!$A:$C,3,FALSE)</f>
        <v>華環の旅客 親指姫</v>
      </c>
      <c r="I155" s="7" t="str">
        <f>VLOOKUP(B155,[1]characters!$A:$J,10,FALSE)</f>
        <v>PremiumSS</v>
      </c>
      <c r="J155" s="7">
        <f>VLOOKUP(B155,[1]characters!$A:$I,9,FALSE)</f>
        <v>4</v>
      </c>
      <c r="K155" s="7" t="str">
        <f>VLOOKUP(B155,[1]characters!$A:$H,8,FALSE)</f>
        <v>red</v>
      </c>
      <c r="L155" s="7" t="str">
        <f>VLOOKUP(B155,[1]characters!$A:$K,11,FALSE)</f>
        <v>heal</v>
      </c>
      <c r="M155" s="7" t="str">
        <f>VLOOKUP(B155,[1]characters!$A:$M,13,FALSE)</f>
        <v>human</v>
      </c>
      <c r="N155" s="7" t="str">
        <f>VLOOKUP(B155,[1]characters!$A:$G,7,FALSE)</f>
        <v>女性</v>
      </c>
      <c r="O155" s="45">
        <f ca="1">IFERROR(VLOOKUP(B155,input_433104!L:R,7,FALSE),VLOOKUP(tables_433104!C155,input_433104!A:H,8,FALSE))</f>
        <v>23809.71429</v>
      </c>
      <c r="P155" s="46">
        <f t="shared" ca="1" si="9"/>
        <v>2.0357142860598222E-3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input_433104!A$2</f>
        <v>433104</v>
      </c>
      <c r="B156" s="6">
        <v>391</v>
      </c>
      <c r="C156" s="7" t="str">
        <f t="shared" si="8"/>
        <v>PremiumSS5color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燕翼の旅人 親指姫</v>
      </c>
      <c r="I156" s="7" t="str">
        <f>VLOOKUP(B156,[1]characters!$A:$J,10,FALSE)</f>
        <v>PremiumSS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IFERROR(VLOOKUP(B156,input_433104!L:R,7,FALSE),VLOOKUP(tables_433104!C156,input_433104!A:H,8,FALSE))</f>
        <v>1253.1428599999999</v>
      </c>
      <c r="P156" s="46">
        <f t="shared" ca="1" si="9"/>
        <v>1.0714285738604148E-4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input_433104!A$2</f>
        <v>433104</v>
      </c>
      <c r="B157" s="6">
        <v>392</v>
      </c>
      <c r="C157" s="7" t="str">
        <f t="shared" si="8"/>
        <v>Premium3</v>
      </c>
      <c r="D157" s="7" t="str">
        <f t="shared" si="10"/>
        <v>Premium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ピーターパン</v>
      </c>
      <c r="I157" s="7" t="str">
        <f>VLOOKUP(B157,[1]characters!$A:$J,10,FALSE)</f>
        <v>PremiumS</v>
      </c>
      <c r="J157" s="7">
        <f>VLOOKUP(B157,[1]characters!$A:$I,9,FALSE)</f>
        <v>3</v>
      </c>
      <c r="K157" s="7" t="str">
        <f>VLOOKUP(B157,[1]characters!$A:$H,8,FALSE)</f>
        <v>green</v>
      </c>
      <c r="L157" s="7" t="str">
        <f>VLOOKUP(B157,[1]characters!$A:$K,11,FALSE)</f>
        <v>attack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ca="1">IFERROR(VLOOKUP(B157,input_433104!L:R,7,FALSE),VLOOKUP(tables_433104!C157,input_433104!A:H,8,FALSE))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input_433104!A$2</f>
        <v>433104</v>
      </c>
      <c r="B158" s="6">
        <v>393</v>
      </c>
      <c r="C158" s="7" t="str">
        <f t="shared" si="8"/>
        <v>Premium4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影縫い ピーターパン</v>
      </c>
      <c r="I158" s="7" t="str">
        <f>VLOOKUP(B158,[1]characters!$A:$J,10,FALSE)</f>
        <v>PremiumS</v>
      </c>
      <c r="J158" s="7">
        <f>VLOOKUP(B158,[1]characters!$A:$I,9,FALSE)</f>
        <v>4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IFERROR(VLOOKUP(B158,input_433104!L:R,7,FALSE),VLOOKUP(tables_433104!C158,input_433104!A:H,8,FALSE))</f>
        <v>58022.625639999998</v>
      </c>
      <c r="P158" s="46">
        <f t="shared" ca="1" si="9"/>
        <v>4.960894805010654E-3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input_433104!A$2</f>
        <v>433104</v>
      </c>
      <c r="B159" s="6">
        <v>394</v>
      </c>
      <c r="C159" s="7" t="str">
        <f t="shared" si="8"/>
        <v>Premium5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影求の悪童 ピーターパン</v>
      </c>
      <c r="I159" s="7" t="str">
        <f>VLOOKUP(B159,[1]characters!$A:$J,10,FALSE)</f>
        <v>PremiumS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IFERROR(VLOOKUP(B159,input_433104!L:R,7,FALSE),VLOOKUP(tables_433104!C159,input_433104!A:H,8,FALSE))</f>
        <v>938.97436000000005</v>
      </c>
      <c r="P159" s="46">
        <f t="shared" ca="1" si="9"/>
        <v>8.0281665525851998E-5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input_433104!A$2</f>
        <v>433104</v>
      </c>
      <c r="B160" s="6">
        <v>395</v>
      </c>
      <c r="C160" s="7" t="str">
        <f t="shared" si="8"/>
        <v>Premium3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乙姫</v>
      </c>
      <c r="I160" s="7" t="str">
        <f>VLOOKUP(B160,[1]characters!$A:$J,10,FALSE)</f>
        <v>PremiumS</v>
      </c>
      <c r="J160" s="7">
        <f>VLOOKUP(B160,[1]characters!$A:$I,9,FALSE)</f>
        <v>3</v>
      </c>
      <c r="K160" s="7" t="str">
        <f>VLOOKUP(B160,[1]characters!$A:$H,8,FALSE)</f>
        <v>blue</v>
      </c>
      <c r="L160" s="7" t="str">
        <f>VLOOKUP(B160,[1]characters!$A:$K,11,FALSE)</f>
        <v>hp</v>
      </c>
      <c r="M160" s="7" t="str">
        <f>VLOOKUP(B160,[1]characters!$A:$M,13,FALSE)</f>
        <v>human</v>
      </c>
      <c r="N160" s="7" t="str">
        <f>VLOOKUP(B160,[1]characters!$A:$G,7,FALSE)</f>
        <v>女性</v>
      </c>
      <c r="O160" s="45">
        <f ca="1">IFERROR(VLOOKUP(B160,input_433104!L:R,7,FALSE),VLOOKUP(tables_433104!C160,input_433104!A:H,8,FALSE))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input_433104!A$2</f>
        <v>433104</v>
      </c>
      <c r="B161" s="6">
        <v>396</v>
      </c>
      <c r="C161" s="7" t="str">
        <f t="shared" si="8"/>
        <v>Premium4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竜宮の水雷 乙姫</v>
      </c>
      <c r="I161" s="7" t="str">
        <f>VLOOKUP(B161,[1]characters!$A:$J,10,FALSE)</f>
        <v>PremiumS</v>
      </c>
      <c r="J161" s="7">
        <f>VLOOKUP(B161,[1]characters!$A:$I,9,FALSE)</f>
        <v>4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IFERROR(VLOOKUP(B161,input_433104!L:R,7,FALSE),VLOOKUP(tables_433104!C161,input_433104!A:H,8,FALSE))</f>
        <v>58022.625639999998</v>
      </c>
      <c r="P161" s="46">
        <f t="shared" ca="1" si="9"/>
        <v>4.960894805010654E-3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input_433104!A$2</f>
        <v>433104</v>
      </c>
      <c r="B162" s="6">
        <v>397</v>
      </c>
      <c r="C162" s="7" t="str">
        <f t="shared" si="8"/>
        <v>Premium5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禁断の追箱 乙姫</v>
      </c>
      <c r="I162" s="7" t="str">
        <f>VLOOKUP(B162,[1]characters!$A:$J,10,FALSE)</f>
        <v>PremiumS</v>
      </c>
      <c r="J162" s="7">
        <f>VLOOKUP(B162,[1]characters!$A:$I,9,FALSE)</f>
        <v>5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IFERROR(VLOOKUP(B162,input_433104!L:R,7,FALSE),VLOOKUP(tables_433104!C162,input_433104!A:H,8,FALSE))</f>
        <v>938.97436000000005</v>
      </c>
      <c r="P162" s="46">
        <f t="shared" ca="1" si="9"/>
        <v>8.0281665525851998E-5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input_433104!A$2</f>
        <v>433104</v>
      </c>
      <c r="B163" s="6">
        <v>398</v>
      </c>
      <c r="C163" s="7" t="str">
        <f t="shared" si="8"/>
        <v>PremiumSS4</v>
      </c>
      <c r="D163" s="7" t="str">
        <f t="shared" si="10"/>
        <v>PremiumSS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ヘンゼル＆グレーテル</v>
      </c>
      <c r="I163" s="7" t="str">
        <f>VLOOKUP(B163,[1]characters!$A:$J,10,FALSE)</f>
        <v>PremiumSS</v>
      </c>
      <c r="J163" s="7">
        <f>VLOOKUP(B163,[1]characters!$A:$I,9,FALSE)</f>
        <v>4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IFERROR(VLOOKUP(B163,input_433104!L:R,7,FALSE),VLOOKUP(tables_433104!C163,input_433104!A:H,8,FALSE))</f>
        <v>5168</v>
      </c>
      <c r="P163" s="46">
        <f t="shared" ca="1" si="9"/>
        <v>4.4186046511174505E-4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input_433104!A$2</f>
        <v>433104</v>
      </c>
      <c r="B164" s="6">
        <v>399</v>
      </c>
      <c r="C164" s="7" t="str">
        <f t="shared" si="8"/>
        <v>PremiumSS5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信愛の兄妹 ヘンゼル＆グレーテル</v>
      </c>
      <c r="I164" s="7" t="str">
        <f>VLOOKUP(B164,[1]characters!$A:$J,10,FALSE)</f>
        <v>PremiumSS</v>
      </c>
      <c r="J164" s="7">
        <f>VLOOKUP(B164,[1]characters!$A:$I,9,FALSE)</f>
        <v>5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IFERROR(VLOOKUP(B164,input_433104!L:R,7,FALSE),VLOOKUP(tables_433104!C164,input_433104!A:H,8,FALSE))</f>
        <v>272</v>
      </c>
      <c r="P164" s="46">
        <f t="shared" ca="1" si="9"/>
        <v>2.3255813953249738E-5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input_433104!A$2</f>
        <v>433104</v>
      </c>
      <c r="B165" s="6">
        <v>400</v>
      </c>
      <c r="C165" s="7" t="str">
        <f t="shared" si="8"/>
        <v>Premium3color</v>
      </c>
      <c r="D165" s="7" t="str">
        <f t="shared" si="10"/>
        <v>Premium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>color</v>
      </c>
      <c r="H165" s="7" t="str">
        <f>VLOOKUP(B165,[1]characters!$A:$C,3,FALSE)</f>
        <v>フェンリル</v>
      </c>
      <c r="I165" s="7" t="str">
        <f>VLOOKUP(B165,[1]characters!$A:$J,10,FALSE)</f>
        <v>PremiumS</v>
      </c>
      <c r="J165" s="7">
        <f>VLOOKUP(B165,[1]characters!$A:$I,9,FALSE)</f>
        <v>3</v>
      </c>
      <c r="K165" s="7" t="str">
        <f>VLOOKUP(B165,[1]characters!$A:$H,8,FALSE)</f>
        <v>red</v>
      </c>
      <c r="L165" s="7" t="str">
        <f>VLOOKUP(B165,[1]characters!$A:$K,11,FALSE)</f>
        <v>attack</v>
      </c>
      <c r="M165" s="7" t="str">
        <f>VLOOKUP(B165,[1]characters!$A:$M,13,FALSE)</f>
        <v>animal</v>
      </c>
      <c r="N165" s="7" t="str">
        <f>VLOOKUP(B165,[1]characters!$A:$G,7,FALSE)</f>
        <v>女性</v>
      </c>
      <c r="O165" s="45">
        <f ca="1">IFERROR(VLOOKUP(B165,input_433104!L:R,7,FALSE),VLOOKUP(tables_433104!C165,input_433104!A:H,8,FALSE))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input_433104!A$2</f>
        <v>433104</v>
      </c>
      <c r="B166" s="6">
        <v>401</v>
      </c>
      <c r="C166" s="7" t="str">
        <f t="shared" si="8"/>
        <v>Premium4color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紅銀の孤狼 フェンリル</v>
      </c>
      <c r="I166" s="7" t="str">
        <f>VLOOKUP(B166,[1]characters!$A:$J,10,FALSE)</f>
        <v>PremiumS</v>
      </c>
      <c r="J166" s="7">
        <f>VLOOKUP(B166,[1]characters!$A:$I,9,FALSE)</f>
        <v>4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IFERROR(VLOOKUP(B166,input_433104!L:R,7,FALSE),VLOOKUP(tables_433104!C166,input_433104!A:H,8,FALSE))</f>
        <v>284553.19081</v>
      </c>
      <c r="P166" s="46">
        <f t="shared" ca="1" si="9"/>
        <v>2.4329103181179902E-2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input_433104!A$2</f>
        <v>433104</v>
      </c>
      <c r="B167" s="6">
        <v>402</v>
      </c>
      <c r="C167" s="7" t="str">
        <f t="shared" si="8"/>
        <v>Premium5color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天災の神狼 フェンリル</v>
      </c>
      <c r="I167" s="7" t="str">
        <f>VLOOKUP(B167,[1]characters!$A:$J,10,FALSE)</f>
        <v>PremiumS</v>
      </c>
      <c r="J167" s="7">
        <f>VLOOKUP(B167,[1]characters!$A:$I,9,FALSE)</f>
        <v>5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IFERROR(VLOOKUP(B167,input_433104!L:R,7,FALSE),VLOOKUP(tables_433104!C167,input_433104!A:H,8,FALSE))</f>
        <v>2863.2961500000001</v>
      </c>
      <c r="P167" s="46">
        <f t="shared" ca="1" si="9"/>
        <v>2.4480986234358919E-4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input_433104!A$2</f>
        <v>433104</v>
      </c>
      <c r="B168" s="6">
        <v>403</v>
      </c>
      <c r="C168" s="7" t="str">
        <f t="shared" si="8"/>
        <v>PremiumSS4</v>
      </c>
      <c r="D168" s="7" t="str">
        <f t="shared" si="10"/>
        <v>PremiumSS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静撃の翠眼 八咫烏</v>
      </c>
      <c r="I168" s="7" t="str">
        <f>VLOOKUP(B168,[1]characters!$A:$J,10,FALSE)</f>
        <v>PremiumSS</v>
      </c>
      <c r="J168" s="7">
        <f>VLOOKUP(B168,[1]characters!$A:$I,9,FALSE)</f>
        <v>4</v>
      </c>
      <c r="K168" s="7" t="str">
        <f>VLOOKUP(B168,[1]characters!$A:$H,8,FALSE)</f>
        <v>green</v>
      </c>
      <c r="L168" s="7" t="str">
        <f>VLOOKUP(B168,[1]characters!$A:$K,11,FALSE)</f>
        <v>balance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IFERROR(VLOOKUP(B168,input_433104!L:R,7,FALSE),VLOOKUP(tables_433104!C168,input_433104!A:H,8,FALSE))</f>
        <v>5168</v>
      </c>
      <c r="P168" s="46">
        <f t="shared" ca="1" si="9"/>
        <v>4.4186046511174505E-4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input_433104!A$2</f>
        <v>433104</v>
      </c>
      <c r="B169" s="6">
        <v>404</v>
      </c>
      <c r="C169" s="7" t="str">
        <f t="shared" si="8"/>
        <v>PremiumSS5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空襲の神眼 八咫烏</v>
      </c>
      <c r="I169" s="7" t="str">
        <f>VLOOKUP(B169,[1]characters!$A:$J,10,FALSE)</f>
        <v>PremiumSS</v>
      </c>
      <c r="J169" s="7">
        <f>VLOOKUP(B169,[1]characters!$A:$I,9,FALSE)</f>
        <v>5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IFERROR(VLOOKUP(B169,input_433104!L:R,7,FALSE),VLOOKUP(tables_433104!C169,input_433104!A:H,8,FALSE))</f>
        <v>272</v>
      </c>
      <c r="P169" s="46">
        <f t="shared" ca="1" si="9"/>
        <v>2.3255813953249738E-5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input_433104!A$2</f>
        <v>433104</v>
      </c>
      <c r="B170" s="6">
        <v>405</v>
      </c>
      <c r="C170" s="7" t="str">
        <f t="shared" si="8"/>
        <v>Premium3</v>
      </c>
      <c r="D170" s="7" t="str">
        <f t="shared" si="10"/>
        <v>Premium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エキドナ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blue</v>
      </c>
      <c r="L170" s="7" t="str">
        <f>VLOOKUP(B170,[1]characters!$A:$K,11,FALSE)</f>
        <v>technical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IFERROR(VLOOKUP(B170,input_433104!L:R,7,FALSE),VLOOKUP(tables_433104!C170,input_433104!A:H,8,FALSE))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input_433104!A$2</f>
        <v>433104</v>
      </c>
      <c r="B171" s="6">
        <v>406</v>
      </c>
      <c r="C171" s="7" t="str">
        <f t="shared" si="8"/>
        <v>Premium4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美笑の蒼蛇 エキドナ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IFERROR(VLOOKUP(B171,input_433104!L:R,7,FALSE),VLOOKUP(tables_433104!C171,input_433104!A:H,8,FALSE))</f>
        <v>58022.625639999998</v>
      </c>
      <c r="P171" s="46">
        <f t="shared" ca="1" si="9"/>
        <v>4.960894805010654E-3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input_433104!A$2</f>
        <v>433104</v>
      </c>
      <c r="B172" s="6">
        <v>407</v>
      </c>
      <c r="C172" s="7" t="str">
        <f t="shared" si="8"/>
        <v>Premium5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蠱惑の飛刀 エキドナ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IFERROR(VLOOKUP(B172,input_433104!L:R,7,FALSE),VLOOKUP(tables_433104!C172,input_433104!A:H,8,FALSE))</f>
        <v>938.97436000000005</v>
      </c>
      <c r="P172" s="46">
        <f t="shared" ca="1" si="9"/>
        <v>8.0281665525851998E-5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input_433104!A$2</f>
        <v>433104</v>
      </c>
      <c r="B173" s="6">
        <v>408</v>
      </c>
      <c r="C173" s="7" t="str">
        <f t="shared" si="8"/>
        <v>PremiumSS4</v>
      </c>
      <c r="D173" s="7" t="str">
        <f t="shared" si="10"/>
        <v>PremiumSS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皇魔 アスタロト</v>
      </c>
      <c r="I173" s="7" t="str">
        <f>VLOOKUP(B173,[1]characters!$A:$J,10,FALSE)</f>
        <v>PremiumSS</v>
      </c>
      <c r="J173" s="7">
        <f>VLOOKUP(B173,[1]characters!$A:$I,9,FALSE)</f>
        <v>4</v>
      </c>
      <c r="K173" s="7" t="str">
        <f>VLOOKUP(B173,[1]characters!$A:$H,8,FALSE)</f>
        <v>yellow</v>
      </c>
      <c r="L173" s="7" t="str">
        <f>VLOOKUP(B173,[1]characters!$A:$K,11,FALSE)</f>
        <v>attack</v>
      </c>
      <c r="M173" s="7" t="str">
        <f>VLOOKUP(B173,[1]characters!$A:$M,13,FALSE)</f>
        <v>god</v>
      </c>
      <c r="N173" s="7" t="str">
        <f>VLOOKUP(B173,[1]characters!$A:$G,7,FALSE)</f>
        <v>男性</v>
      </c>
      <c r="O173" s="45">
        <f ca="1">IFERROR(VLOOKUP(B173,input_433104!L:R,7,FALSE),VLOOKUP(tables_433104!C173,input_433104!A:H,8,FALSE))</f>
        <v>5168</v>
      </c>
      <c r="P173" s="46">
        <f t="shared" ca="1" si="9"/>
        <v>4.4186046511174505E-4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input_433104!A$2</f>
        <v>433104</v>
      </c>
      <c r="B174" s="6">
        <v>409</v>
      </c>
      <c r="C174" s="7" t="str">
        <f t="shared" si="8"/>
        <v>PremiumSS5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天眼の皇貴魔 アスタロト</v>
      </c>
      <c r="I174" s="7" t="str">
        <f>VLOOKUP(B174,[1]characters!$A:$J,10,FALSE)</f>
        <v>PremiumSS</v>
      </c>
      <c r="J174" s="7">
        <f>VLOOKUP(B174,[1]characters!$A:$I,9,FALSE)</f>
        <v>5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IFERROR(VLOOKUP(B174,input_433104!L:R,7,FALSE),VLOOKUP(tables_433104!C174,input_433104!A:H,8,FALSE))</f>
        <v>272</v>
      </c>
      <c r="P174" s="46">
        <f t="shared" ca="1" si="9"/>
        <v>2.3255813953249738E-5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input_433104!A$2</f>
        <v>433104</v>
      </c>
      <c r="B175" s="6">
        <v>434</v>
      </c>
      <c r="C175" s="7" t="str">
        <f t="shared" si="8"/>
        <v>PremiumSS4color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>color</v>
      </c>
      <c r="H175" s="7" t="str">
        <f>VLOOKUP(B175,[1]characters!$A:$C,3,FALSE)</f>
        <v>D.R.T.H.</v>
      </c>
      <c r="I175" s="7" t="str">
        <f>VLOOKUP(B175,[1]characters!$A:$J,10,FALSE)</f>
        <v>PremiumSS</v>
      </c>
      <c r="J175" s="7">
        <f>VLOOKUP(B175,[1]characters!$A:$I,9,FALSE)</f>
        <v>4</v>
      </c>
      <c r="K175" s="7" t="str">
        <f>VLOOKUP(B175,[1]characters!$A:$H,8,FALSE)</f>
        <v>red</v>
      </c>
      <c r="L175" s="7" t="str">
        <f>VLOOKUP(B175,[1]characters!$A:$K,11,FALSE)</f>
        <v>balance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IFERROR(VLOOKUP(B175,input_433104!L:R,7,FALSE),VLOOKUP(tables_433104!C175,input_433104!A:H,8,FALSE))</f>
        <v>23809.71429</v>
      </c>
      <c r="P175" s="46">
        <f t="shared" ca="1" si="9"/>
        <v>2.0357142860598222E-3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input_433104!A$2</f>
        <v>433104</v>
      </c>
      <c r="B176" s="6">
        <v>435</v>
      </c>
      <c r="C176" s="7" t="str">
        <f t="shared" si="8"/>
        <v>PremiumSS5color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曝弾の密偵 D.R.T.H.</v>
      </c>
      <c r="I176" s="7" t="str">
        <f>VLOOKUP(B176,[1]characters!$A:$J,10,FALSE)</f>
        <v>PremiumSS</v>
      </c>
      <c r="J176" s="7">
        <f>VLOOKUP(B176,[1]characters!$A:$I,9,FALSE)</f>
        <v>5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IFERROR(VLOOKUP(B176,input_433104!L:R,7,FALSE),VLOOKUP(tables_433104!C176,input_433104!A:H,8,FALSE))</f>
        <v>1253.1428599999999</v>
      </c>
      <c r="P176" s="46">
        <f t="shared" ca="1" si="9"/>
        <v>1.0714285738604148E-4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input_433104!A$2</f>
        <v>433104</v>
      </c>
      <c r="B177" s="6">
        <v>436</v>
      </c>
      <c r="C177" s="7" t="str">
        <f t="shared" si="8"/>
        <v>Premium3</v>
      </c>
      <c r="D177" s="7" t="str">
        <f t="shared" si="10"/>
        <v>Premium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カカシ</v>
      </c>
      <c r="I177" s="7" t="str">
        <f>VLOOKUP(B177,[1]characters!$A:$J,10,FALSE)</f>
        <v>PremiumS</v>
      </c>
      <c r="J177" s="7">
        <f>VLOOKUP(B177,[1]characters!$A:$I,9,FALSE)</f>
        <v>3</v>
      </c>
      <c r="K177" s="7" t="str">
        <f>VLOOKUP(B177,[1]characters!$A:$H,8,FALSE)</f>
        <v>green</v>
      </c>
      <c r="L177" s="7" t="str">
        <f>VLOOKUP(B177,[1]characters!$A:$K,11,FALSE)</f>
        <v>technical</v>
      </c>
      <c r="M177" s="7" t="str">
        <f>VLOOKUP(B177,[1]characters!$A:$M,13,FALSE)</f>
        <v>human</v>
      </c>
      <c r="N177" s="7" t="str">
        <f>VLOOKUP(B177,[1]characters!$A:$G,7,FALSE)</f>
        <v>男性</v>
      </c>
      <c r="O177" s="45">
        <f ca="1">IFERROR(VLOOKUP(B177,input_433104!L:R,7,FALSE),VLOOKUP(tables_433104!C177,input_433104!A:H,8,FALSE))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input_433104!A$2</f>
        <v>433104</v>
      </c>
      <c r="B178" s="6">
        <v>437</v>
      </c>
      <c r="C178" s="7" t="str">
        <f t="shared" si="8"/>
        <v>Premium4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忘却者 カカシ</v>
      </c>
      <c r="I178" s="7" t="str">
        <f>VLOOKUP(B178,[1]characters!$A:$J,10,FALSE)</f>
        <v>PremiumS</v>
      </c>
      <c r="J178" s="7">
        <f>VLOOKUP(B178,[1]characters!$A:$I,9,FALSE)</f>
        <v>4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IFERROR(VLOOKUP(B178,input_433104!L:R,7,FALSE),VLOOKUP(tables_433104!C178,input_433104!A:H,8,FALSE))</f>
        <v>58022.625639999998</v>
      </c>
      <c r="P178" s="46">
        <f t="shared" ca="1" si="9"/>
        <v>4.960894805010654E-3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input_433104!A$2</f>
        <v>433104</v>
      </c>
      <c r="B179" s="6">
        <v>438</v>
      </c>
      <c r="C179" s="7" t="str">
        <f t="shared" si="8"/>
        <v>Premium5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記憶の奪還 カカシ</v>
      </c>
      <c r="I179" s="7" t="str">
        <f>VLOOKUP(B179,[1]characters!$A:$J,10,FALSE)</f>
        <v>PremiumS</v>
      </c>
      <c r="J179" s="7">
        <f>VLOOKUP(B179,[1]characters!$A:$I,9,FALSE)</f>
        <v>5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IFERROR(VLOOKUP(B179,input_433104!L:R,7,FALSE),VLOOKUP(tables_433104!C179,input_433104!A:H,8,FALSE))</f>
        <v>938.97436000000005</v>
      </c>
      <c r="P179" s="46">
        <f t="shared" ca="1" si="9"/>
        <v>8.0281665525851998E-5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input_433104!A$2</f>
        <v>433104</v>
      </c>
      <c r="B180" s="6">
        <v>439</v>
      </c>
      <c r="C180" s="7" t="str">
        <f t="shared" si="8"/>
        <v>Premium3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ブリキロガー</v>
      </c>
      <c r="I180" s="7" t="str">
        <f>VLOOKUP(B180,[1]characters!$A:$J,10,FALSE)</f>
        <v>PremiumS</v>
      </c>
      <c r="J180" s="7">
        <f>VLOOKUP(B180,[1]characters!$A:$I,9,FALSE)</f>
        <v>3</v>
      </c>
      <c r="K180" s="7" t="str">
        <f>VLOOKUP(B180,[1]characters!$A:$H,8,FALSE)</f>
        <v>blue</v>
      </c>
      <c r="L180" s="7" t="str">
        <f>VLOOKUP(B180,[1]characters!$A:$K,11,FALSE)</f>
        <v>attack</v>
      </c>
      <c r="M180" s="7" t="str">
        <f>VLOOKUP(B180,[1]characters!$A:$M,13,FALSE)</f>
        <v>machine</v>
      </c>
      <c r="N180" s="7" t="str">
        <f>VLOOKUP(B180,[1]characters!$A:$G,7,FALSE)</f>
        <v>不明</v>
      </c>
      <c r="O180" s="45">
        <f ca="1">IFERROR(VLOOKUP(B180,input_433104!L:R,7,FALSE),VLOOKUP(tables_433104!C180,input_433104!A:H,8,FALSE))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input_433104!A$2</f>
        <v>433104</v>
      </c>
      <c r="B181" s="6">
        <v>440</v>
      </c>
      <c r="C181" s="7" t="str">
        <f t="shared" si="8"/>
        <v>Premium4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改良型 ブリキロガー</v>
      </c>
      <c r="I181" s="7" t="str">
        <f>VLOOKUP(B181,[1]characters!$A:$J,10,FALSE)</f>
        <v>PremiumS</v>
      </c>
      <c r="J181" s="7">
        <f>VLOOKUP(B181,[1]characters!$A:$I,9,FALSE)</f>
        <v>4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IFERROR(VLOOKUP(B181,input_433104!L:R,7,FALSE),VLOOKUP(tables_433104!C181,input_433104!A:H,8,FALSE))</f>
        <v>58022.625639999998</v>
      </c>
      <c r="P181" s="46">
        <f t="shared" ca="1" si="9"/>
        <v>4.960894805010654E-3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input_433104!A$2</f>
        <v>433104</v>
      </c>
      <c r="B182" s="6">
        <v>441</v>
      </c>
      <c r="C182" s="7" t="str">
        <f t="shared" si="8"/>
        <v>Premium5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求心の錻装 ブリキロガー</v>
      </c>
      <c r="I182" s="7" t="str">
        <f>VLOOKUP(B182,[1]characters!$A:$J,10,FALSE)</f>
        <v>PremiumS</v>
      </c>
      <c r="J182" s="7">
        <f>VLOOKUP(B182,[1]characters!$A:$I,9,FALSE)</f>
        <v>5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IFERROR(VLOOKUP(B182,input_433104!L:R,7,FALSE),VLOOKUP(tables_433104!C182,input_433104!A:H,8,FALSE))</f>
        <v>938.97436000000005</v>
      </c>
      <c r="P182" s="46">
        <f t="shared" ca="1" si="9"/>
        <v>8.0281665525851998E-5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input_433104!A$2</f>
        <v>433104</v>
      </c>
      <c r="B183" s="6">
        <v>442</v>
      </c>
      <c r="C183" s="7" t="str">
        <f t="shared" si="8"/>
        <v>PremiumSS4</v>
      </c>
      <c r="D183" s="7" t="str">
        <f t="shared" si="10"/>
        <v>PremiumSS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ブレイブリー・ライオン</v>
      </c>
      <c r="I183" s="7" t="str">
        <f>VLOOKUP(B183,[1]characters!$A:$J,10,FALSE)</f>
        <v>PremiumSS</v>
      </c>
      <c r="J183" s="7">
        <f>VLOOKUP(B183,[1]characters!$A:$I,9,FALSE)</f>
        <v>4</v>
      </c>
      <c r="K183" s="7" t="str">
        <f>VLOOKUP(B183,[1]characters!$A:$H,8,FALSE)</f>
        <v>yellow</v>
      </c>
      <c r="L183" s="7" t="str">
        <f>VLOOKUP(B183,[1]characters!$A:$K,11,FALSE)</f>
        <v>hp</v>
      </c>
      <c r="M183" s="7" t="str">
        <f>VLOOKUP(B183,[1]characters!$A:$M,13,FALSE)</f>
        <v>animal</v>
      </c>
      <c r="N183" s="7" t="str">
        <f>VLOOKUP(B183,[1]characters!$A:$G,7,FALSE)</f>
        <v>不明</v>
      </c>
      <c r="O183" s="45">
        <f ca="1">IFERROR(VLOOKUP(B183,input_433104!L:R,7,FALSE),VLOOKUP(tables_433104!C183,input_433104!A:H,8,FALSE))</f>
        <v>5168</v>
      </c>
      <c r="P183" s="46">
        <f t="shared" ca="1" si="9"/>
        <v>4.4186046511174505E-4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input_433104!A$2</f>
        <v>433104</v>
      </c>
      <c r="B184" s="6">
        <v>443</v>
      </c>
      <c r="C184" s="7" t="str">
        <f t="shared" si="8"/>
        <v>PremiumSS5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勇機結集 ブレイブリー・ライオン</v>
      </c>
      <c r="I184" s="7" t="str">
        <f>VLOOKUP(B184,[1]characters!$A:$J,10,FALSE)</f>
        <v>PremiumSS</v>
      </c>
      <c r="J184" s="7">
        <f>VLOOKUP(B184,[1]characters!$A:$I,9,FALSE)</f>
        <v>5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IFERROR(VLOOKUP(B184,input_433104!L:R,7,FALSE),VLOOKUP(tables_433104!C184,input_433104!A:H,8,FALSE))</f>
        <v>272</v>
      </c>
      <c r="P184" s="46">
        <f t="shared" ca="1" si="9"/>
        <v>2.3255813953249738E-5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input_433104!A$2</f>
        <v>433104</v>
      </c>
      <c r="B185" s="8">
        <v>462</v>
      </c>
      <c r="C185" s="7" t="str">
        <f t="shared" si="8"/>
        <v>Premium3color</v>
      </c>
      <c r="D185" s="7" t="str">
        <f t="shared" si="10"/>
        <v>Premium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>color</v>
      </c>
      <c r="H185" s="7" t="str">
        <f>VLOOKUP(B185,[1]characters!$A:$C,3,FALSE)</f>
        <v>ガウェイン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red</v>
      </c>
      <c r="L185" s="7" t="str">
        <f>VLOOKUP(B185,[1]characters!$A:$K,11,FALSE)</f>
        <v>hp</v>
      </c>
      <c r="M185" s="7" t="str">
        <f>VLOOKUP(B185,[1]characters!$A:$M,13,FALSE)</f>
        <v>human</v>
      </c>
      <c r="N185" s="7" t="str">
        <f>VLOOKUP(B185,[1]characters!$A:$G,7,FALSE)</f>
        <v>男性</v>
      </c>
      <c r="O185" s="45">
        <f ca="1">IFERROR(VLOOKUP(B185,input_433104!L:R,7,FALSE),VLOOKUP(tables_433104!C185,input_433104!A:H,8,FALSE))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input_433104!A$2</f>
        <v>433104</v>
      </c>
      <c r="B186" s="8">
        <v>463</v>
      </c>
      <c r="C186" s="7" t="str">
        <f t="shared" si="8"/>
        <v>Premium4color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燻銀 ガウェイン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IFERROR(VLOOKUP(B186,input_433104!L:R,7,FALSE),VLOOKUP(tables_433104!C186,input_433104!A:H,8,FALSE))</f>
        <v>284553.19081</v>
      </c>
      <c r="P186" s="46">
        <f t="shared" ca="1" si="9"/>
        <v>2.4329103181179902E-2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input_433104!A$2</f>
        <v>433104</v>
      </c>
      <c r="B187" s="8">
        <v>464</v>
      </c>
      <c r="C187" s="7" t="str">
        <f t="shared" si="8"/>
        <v>Premium5color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円熟の弾導 ガウェイン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IFERROR(VLOOKUP(B187,input_433104!L:R,7,FALSE),VLOOKUP(tables_433104!C187,input_433104!A:H,8,FALSE))</f>
        <v>2863.2961500000001</v>
      </c>
      <c r="P187" s="46">
        <f t="shared" ca="1" si="9"/>
        <v>2.4480986234358919E-4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input_433104!A$2</f>
        <v>433104</v>
      </c>
      <c r="B188" s="8">
        <v>465</v>
      </c>
      <c r="C188" s="7" t="str">
        <f t="shared" si="8"/>
        <v>PremiumSS4</v>
      </c>
      <c r="D188" s="7" t="str">
        <f t="shared" si="10"/>
        <v>PremiumSS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真撃 ランスロット</v>
      </c>
      <c r="I188" s="7" t="str">
        <f>VLOOKUP(B188,[1]characters!$A:$J,10,FALSE)</f>
        <v>PremiumSS</v>
      </c>
      <c r="J188" s="7">
        <f>VLOOKUP(B188,[1]characters!$A:$I,9,FALSE)</f>
        <v>4</v>
      </c>
      <c r="K188" s="7" t="str">
        <f>VLOOKUP(B188,[1]characters!$A:$H,8,FALSE)</f>
        <v>green</v>
      </c>
      <c r="L188" s="7" t="str">
        <f>VLOOKUP(B188,[1]characters!$A:$K,11,FALSE)</f>
        <v>balance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IFERROR(VLOOKUP(B188,input_433104!L:R,7,FALSE),VLOOKUP(tables_433104!C188,input_433104!A:H,8,FALSE))</f>
        <v>5168</v>
      </c>
      <c r="P188" s="46">
        <f t="shared" ca="1" si="9"/>
        <v>4.4186046511174505E-4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input_433104!A$2</f>
        <v>433104</v>
      </c>
      <c r="B189" s="6">
        <v>466</v>
      </c>
      <c r="C189" s="7" t="str">
        <f t="shared" si="8"/>
        <v>PremiumSS5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真断の勇覇 ランスロット</v>
      </c>
      <c r="I189" s="7" t="str">
        <f>VLOOKUP(B189,[1]characters!$A:$J,10,FALSE)</f>
        <v>PremiumSS</v>
      </c>
      <c r="J189" s="7">
        <f>VLOOKUP(B189,[1]characters!$A:$I,9,FALSE)</f>
        <v>5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IFERROR(VLOOKUP(B189,input_433104!L:R,7,FALSE),VLOOKUP(tables_433104!C189,input_433104!A:H,8,FALSE))</f>
        <v>272</v>
      </c>
      <c r="P189" s="46">
        <f t="shared" ca="1" si="9"/>
        <v>2.3255813953249738E-5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input_433104!A$2</f>
        <v>433104</v>
      </c>
      <c r="B190" s="6">
        <v>467</v>
      </c>
      <c r="C190" s="7" t="str">
        <f t="shared" si="8"/>
        <v>PremiumSS4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報復 モルドレッド</v>
      </c>
      <c r="I190" s="7" t="str">
        <f>VLOOKUP(B190,[1]characters!$A:$J,10,FALSE)</f>
        <v>PremiumSS</v>
      </c>
      <c r="J190" s="7">
        <f>VLOOKUP(B190,[1]characters!$A:$I,9,FALSE)</f>
        <v>4</v>
      </c>
      <c r="K190" s="7" t="str">
        <f>VLOOKUP(B190,[1]characters!$A:$H,8,FALSE)</f>
        <v>blue</v>
      </c>
      <c r="L190" s="7" t="str">
        <f>VLOOKUP(B190,[1]characters!$A:$K,11,FALSE)</f>
        <v>technical</v>
      </c>
      <c r="M190" s="7" t="str">
        <f>VLOOKUP(B190,[1]characters!$A:$M,13,FALSE)</f>
        <v>human</v>
      </c>
      <c r="N190" s="7" t="str">
        <f>VLOOKUP(B190,[1]characters!$A:$G,7,FALSE)</f>
        <v>女性</v>
      </c>
      <c r="O190" s="45">
        <f ca="1">IFERROR(VLOOKUP(B190,input_433104!L:R,7,FALSE),VLOOKUP(tables_433104!C190,input_433104!A:H,8,FALSE))</f>
        <v>5168</v>
      </c>
      <c r="P190" s="46">
        <f t="shared" ca="1" si="9"/>
        <v>4.4186046511174505E-4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input_433104!A$2</f>
        <v>433104</v>
      </c>
      <c r="B191" s="6">
        <v>468</v>
      </c>
      <c r="C191" s="7" t="str">
        <f t="shared" si="8"/>
        <v>PremiumSS5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憎愛の尖鋒 モルドレッド</v>
      </c>
      <c r="I191" s="7" t="str">
        <f>VLOOKUP(B191,[1]characters!$A:$J,10,FALSE)</f>
        <v>PremiumSS</v>
      </c>
      <c r="J191" s="7">
        <f>VLOOKUP(B191,[1]characters!$A:$I,9,FALSE)</f>
        <v>5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IFERROR(VLOOKUP(B191,input_433104!L:R,7,FALSE),VLOOKUP(tables_433104!C191,input_433104!A:H,8,FALSE))</f>
        <v>272</v>
      </c>
      <c r="P191" s="46">
        <f t="shared" ca="1" si="9"/>
        <v>2.3255813953249738E-5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input_433104!A$2</f>
        <v>433104</v>
      </c>
      <c r="B192" s="6">
        <v>469</v>
      </c>
      <c r="C192" s="7" t="str">
        <f t="shared" si="8"/>
        <v>Premium3</v>
      </c>
      <c r="D192" s="7" t="str">
        <f t="shared" si="10"/>
        <v>Premium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トリスタン</v>
      </c>
      <c r="I192" s="7" t="str">
        <f>VLOOKUP(B192,[1]characters!$A:$J,10,FALSE)</f>
        <v>PremiumS</v>
      </c>
      <c r="J192" s="7">
        <f>VLOOKUP(B192,[1]characters!$A:$I,9,FALSE)</f>
        <v>3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IFERROR(VLOOKUP(B192,input_433104!L:R,7,FALSE),VLOOKUP(tables_433104!C192,input_433104!A:H,8,FALSE))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input_433104!A$2</f>
        <v>433104</v>
      </c>
      <c r="B193" s="6">
        <v>470</v>
      </c>
      <c r="C193" s="7" t="str">
        <f t="shared" si="8"/>
        <v>Premium4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純心 トリスタン</v>
      </c>
      <c r="I193" s="7" t="str">
        <f>VLOOKUP(B193,[1]characters!$A:$J,10,FALSE)</f>
        <v>PremiumS</v>
      </c>
      <c r="J193" s="7">
        <f>VLOOKUP(B193,[1]characters!$A:$I,9,FALSE)</f>
        <v>4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IFERROR(VLOOKUP(B193,input_433104!L:R,7,FALSE),VLOOKUP(tables_433104!C193,input_433104!A:H,8,FALSE))</f>
        <v>58022.625639999998</v>
      </c>
      <c r="P193" s="46">
        <f t="shared" ca="1" si="9"/>
        <v>4.960894805010654E-3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input_433104!A$2</f>
        <v>433104</v>
      </c>
      <c r="B194" s="6">
        <v>471</v>
      </c>
      <c r="C194" s="7" t="str">
        <f t="shared" ref="C194:C257" si="12">D194&amp;J194&amp;E194&amp;F194&amp;G194</f>
        <v>Premium5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不可避の爆激 トリスタン</v>
      </c>
      <c r="I194" s="7" t="str">
        <f>VLOOKUP(B194,[1]characters!$A:$J,10,FALSE)</f>
        <v>PremiumS</v>
      </c>
      <c r="J194" s="7">
        <f>VLOOKUP(B194,[1]characters!$A:$I,9,FALSE)</f>
        <v>5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IFERROR(VLOOKUP(B194,input_433104!L:R,7,FALSE),VLOOKUP(tables_433104!C194,input_433104!A:H,8,FALSE))</f>
        <v>938.97436000000005</v>
      </c>
      <c r="P194" s="46">
        <f t="shared" ref="P194:P257" ca="1" si="13">O194/SUM(O:O)</f>
        <v>8.0281665525851998E-5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input_433104!A$2</f>
        <v>433104</v>
      </c>
      <c r="B195" s="6">
        <v>474</v>
      </c>
      <c r="C195" s="7" t="str">
        <f t="shared" si="12"/>
        <v>PremiumSS4color</v>
      </c>
      <c r="D195" s="7" t="str">
        <f t="shared" ref="D195:D258" si="14">IF(OR(I195="PremiumSS",I195="PremiumSSw"),"PremiumSS",IF(I195="PremiumSSS",I195,IF(I195="PremiumW",I195,"Premium")))</f>
        <v>PremiumSS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>color</v>
      </c>
      <c r="H195" s="7" t="str">
        <f>VLOOKUP(B195,[1]characters!$A:$C,3,FALSE)</f>
        <v>キング・ドライグ</v>
      </c>
      <c r="I195" s="7" t="str">
        <f>VLOOKUP(B195,[1]characters!$A:$J,10,FALSE)</f>
        <v>PremiumSS</v>
      </c>
      <c r="J195" s="7">
        <f>VLOOKUP(B195,[1]characters!$A:$I,9,FALSE)</f>
        <v>4</v>
      </c>
      <c r="K195" s="7" t="str">
        <f>VLOOKUP(B195,[1]characters!$A:$H,8,FALSE)</f>
        <v>red</v>
      </c>
      <c r="L195" s="7" t="str">
        <f>VLOOKUP(B195,[1]characters!$A:$K,11,FALSE)</f>
        <v>attack</v>
      </c>
      <c r="M195" s="7" t="str">
        <f>VLOOKUP(B195,[1]characters!$A:$M,13,FALSE)</f>
        <v>dragon</v>
      </c>
      <c r="N195" s="7" t="str">
        <f>VLOOKUP(B195,[1]characters!$A:$G,7,FALSE)</f>
        <v>不明</v>
      </c>
      <c r="O195" s="45">
        <f ca="1">IFERROR(VLOOKUP(B195,input_433104!L:R,7,FALSE),VLOOKUP(tables_433104!C195,input_433104!A:H,8,FALSE))</f>
        <v>23809.71429</v>
      </c>
      <c r="P195" s="46">
        <f t="shared" ca="1" si="13"/>
        <v>2.0357142860598222E-3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input_433104!A$2</f>
        <v>433104</v>
      </c>
      <c r="B196" s="6">
        <v>475</v>
      </c>
      <c r="C196" s="7" t="str">
        <f t="shared" si="12"/>
        <v>PremiumSS5color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緋王 キング・ドライグ</v>
      </c>
      <c r="I196" s="7" t="str">
        <f>VLOOKUP(B196,[1]characters!$A:$J,10,FALSE)</f>
        <v>PremiumSS</v>
      </c>
      <c r="J196" s="7">
        <f>VLOOKUP(B196,[1]characters!$A:$I,9,FALSE)</f>
        <v>5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IFERROR(VLOOKUP(B196,input_433104!L:R,7,FALSE),VLOOKUP(tables_433104!C196,input_433104!A:H,8,FALSE))</f>
        <v>1253.1428599999999</v>
      </c>
      <c r="P196" s="46">
        <f t="shared" ca="1" si="13"/>
        <v>1.0714285738604148E-4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input_433104!A$2</f>
        <v>433104</v>
      </c>
      <c r="B197" s="6">
        <v>476</v>
      </c>
      <c r="C197" s="7" t="str">
        <f t="shared" si="12"/>
        <v>Premium3</v>
      </c>
      <c r="D197" s="7" t="str">
        <f t="shared" si="14"/>
        <v>Premium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ファータ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green</v>
      </c>
      <c r="L197" s="7" t="str">
        <f>VLOOKUP(B197,[1]characters!$A:$K,11,FALSE)</f>
        <v>heal</v>
      </c>
      <c r="M197" s="7" t="str">
        <f>VLOOKUP(B197,[1]characters!$A:$M,13,FALSE)</f>
        <v>unknown</v>
      </c>
      <c r="N197" s="7" t="str">
        <f>VLOOKUP(B197,[1]characters!$A:$G,7,FALSE)</f>
        <v>女性</v>
      </c>
      <c r="O197" s="45">
        <f ca="1">IFERROR(VLOOKUP(B197,input_433104!L:R,7,FALSE),VLOOKUP(tables_433104!C197,input_433104!A:H,8,FALSE))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input_433104!A$2</f>
        <v>433104</v>
      </c>
      <c r="B198" s="6">
        <v>477</v>
      </c>
      <c r="C198" s="7" t="str">
        <f t="shared" si="12"/>
        <v>Premium4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愛羽妖精 ファータ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IFERROR(VLOOKUP(B198,input_433104!L:R,7,FALSE),VLOOKUP(tables_433104!C198,input_433104!A:H,8,FALSE))</f>
        <v>58022.625639999998</v>
      </c>
      <c r="P198" s="46">
        <f t="shared" ca="1" si="13"/>
        <v>4.960894805010654E-3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input_433104!A$2</f>
        <v>433104</v>
      </c>
      <c r="B199" s="6">
        <v>478</v>
      </c>
      <c r="C199" s="7" t="str">
        <f t="shared" si="12"/>
        <v>Premium5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時計仕掛けの愛羽妖精 ファータ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IFERROR(VLOOKUP(B199,input_433104!L:R,7,FALSE),VLOOKUP(tables_433104!C199,input_433104!A:H,8,FALSE))</f>
        <v>938.97436000000005</v>
      </c>
      <c r="P199" s="46">
        <f t="shared" ca="1" si="13"/>
        <v>8.0281665525851998E-5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input_433104!A$2</f>
        <v>433104</v>
      </c>
      <c r="B200" s="6">
        <v>479</v>
      </c>
      <c r="C200" s="7" t="str">
        <f t="shared" si="12"/>
        <v>PremiumSS4</v>
      </c>
      <c r="D200" s="7" t="str">
        <f t="shared" si="14"/>
        <v>PremiumSS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フール</v>
      </c>
      <c r="I200" s="7" t="str">
        <f>VLOOKUP(B200,[1]characters!$A:$J,10,FALSE)</f>
        <v>PremiumSS</v>
      </c>
      <c r="J200" s="7">
        <f>VLOOKUP(B200,[1]characters!$A:$I,9,FALSE)</f>
        <v>4</v>
      </c>
      <c r="K200" s="7" t="str">
        <f>VLOOKUP(B200,[1]characters!$A:$H,8,FALSE)</f>
        <v>blue</v>
      </c>
      <c r="L200" s="7" t="str">
        <f>VLOOKUP(B200,[1]characters!$A:$K,11,FALSE)</f>
        <v>technical</v>
      </c>
      <c r="M200" s="7" t="str">
        <f>VLOOKUP(B200,[1]characters!$A:$M,13,FALSE)</f>
        <v>god</v>
      </c>
      <c r="N200" s="7" t="str">
        <f>VLOOKUP(B200,[1]characters!$A:$G,7,FALSE)</f>
        <v>男性</v>
      </c>
      <c r="O200" s="45">
        <f ca="1">IFERROR(VLOOKUP(B200,input_433104!L:R,7,FALSE),VLOOKUP(tables_433104!C200,input_433104!A:H,8,FALSE))</f>
        <v>5168</v>
      </c>
      <c r="P200" s="46">
        <f t="shared" ca="1" si="13"/>
        <v>4.4186046511174505E-4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input_433104!A$2</f>
        <v>433104</v>
      </c>
      <c r="B201" s="6">
        <v>480</v>
      </c>
      <c r="C201" s="7" t="str">
        <f t="shared" si="12"/>
        <v>PremiumSS5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夢幻の愚者フール</v>
      </c>
      <c r="I201" s="7" t="str">
        <f>VLOOKUP(B201,[1]characters!$A:$J,10,FALSE)</f>
        <v>PremiumSS</v>
      </c>
      <c r="J201" s="7">
        <f>VLOOKUP(B201,[1]characters!$A:$I,9,FALSE)</f>
        <v>5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IFERROR(VLOOKUP(B201,input_433104!L:R,7,FALSE),VLOOKUP(tables_433104!C201,input_433104!A:H,8,FALSE))</f>
        <v>272</v>
      </c>
      <c r="P201" s="46">
        <f t="shared" ca="1" si="13"/>
        <v>2.3255813953249738E-5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input_433104!A$2</f>
        <v>433104</v>
      </c>
      <c r="B202" s="6">
        <v>481</v>
      </c>
      <c r="C202" s="7" t="str">
        <f t="shared" si="12"/>
        <v>Premium3</v>
      </c>
      <c r="D202" s="7" t="str">
        <f t="shared" si="14"/>
        <v>Premium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沢庵宗彭</v>
      </c>
      <c r="I202" s="7" t="str">
        <f>VLOOKUP(B202,[1]characters!$A:$J,10,FALSE)</f>
        <v>PremiumS</v>
      </c>
      <c r="J202" s="7">
        <f>VLOOKUP(B202,[1]characters!$A:$I,9,FALSE)</f>
        <v>3</v>
      </c>
      <c r="K202" s="7" t="str">
        <f>VLOOKUP(B202,[1]characters!$A:$H,8,FALSE)</f>
        <v>yellow</v>
      </c>
      <c r="L202" s="7" t="str">
        <f>VLOOKUP(B202,[1]characters!$A:$K,11,FALSE)</f>
        <v>hp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IFERROR(VLOOKUP(B202,input_433104!L:R,7,FALSE),VLOOKUP(tables_433104!C202,input_433104!A:H,8,FALSE))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input_433104!A$2</f>
        <v>433104</v>
      </c>
      <c r="B203" s="6">
        <v>482</v>
      </c>
      <c r="C203" s="7" t="str">
        <f t="shared" si="12"/>
        <v>Premium4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魁僧 沢庵宗彭</v>
      </c>
      <c r="I203" s="7" t="str">
        <f>VLOOKUP(B203,[1]characters!$A:$J,10,FALSE)</f>
        <v>PremiumS</v>
      </c>
      <c r="J203" s="7">
        <f>VLOOKUP(B203,[1]characters!$A:$I,9,FALSE)</f>
        <v>4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IFERROR(VLOOKUP(B203,input_433104!L:R,7,FALSE),VLOOKUP(tables_433104!C203,input_433104!A:H,8,FALSE))</f>
        <v>58022.625639999998</v>
      </c>
      <c r="P203" s="46">
        <f t="shared" ca="1" si="13"/>
        <v>4.960894805010654E-3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input_433104!A$2</f>
        <v>433104</v>
      </c>
      <c r="B204" s="6">
        <v>483</v>
      </c>
      <c r="C204" s="7" t="str">
        <f t="shared" si="12"/>
        <v>Premium5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 xml:space="preserve">命経死遂 沢庵宗彭 </v>
      </c>
      <c r="I204" s="7" t="str">
        <f>VLOOKUP(B204,[1]characters!$A:$J,10,FALSE)</f>
        <v>PremiumS</v>
      </c>
      <c r="J204" s="7">
        <f>VLOOKUP(B204,[1]characters!$A:$I,9,FALSE)</f>
        <v>5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IFERROR(VLOOKUP(B204,input_433104!L:R,7,FALSE),VLOOKUP(tables_433104!C204,input_433104!A:H,8,FALSE))</f>
        <v>938.97436000000005</v>
      </c>
      <c r="P204" s="46">
        <f t="shared" ca="1" si="13"/>
        <v>8.0281665525851998E-5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input_433104!A$2</f>
        <v>433104</v>
      </c>
      <c r="B205" s="6">
        <v>492</v>
      </c>
      <c r="C205" s="7" t="str">
        <f t="shared" si="12"/>
        <v>PremiumSS4color</v>
      </c>
      <c r="D205" s="7" t="str">
        <f t="shared" si="14"/>
        <v>PremiumSS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>color</v>
      </c>
      <c r="H205" s="7" t="str">
        <f>VLOOKUP(B205,[1]characters!$A:$C,3,FALSE)</f>
        <v>ブートレグ・ペロー</v>
      </c>
      <c r="I205" s="7" t="str">
        <f>VLOOKUP(B205,[1]characters!$A:$J,10,FALSE)</f>
        <v>PremiumSS</v>
      </c>
      <c r="J205" s="7">
        <f>VLOOKUP(B205,[1]characters!$A:$I,9,FALSE)</f>
        <v>4</v>
      </c>
      <c r="K205" s="7" t="str">
        <f>VLOOKUP(B205,[1]characters!$A:$H,8,FALSE)</f>
        <v>red</v>
      </c>
      <c r="L205" s="7" t="str">
        <f>VLOOKUP(B205,[1]characters!$A:$K,11,FALSE)</f>
        <v>hp</v>
      </c>
      <c r="M205" s="7" t="str">
        <f>VLOOKUP(B205,[1]characters!$A:$M,13,FALSE)</f>
        <v>animal</v>
      </c>
      <c r="N205" s="7" t="str">
        <f>VLOOKUP(B205,[1]characters!$A:$G,7,FALSE)</f>
        <v>不明</v>
      </c>
      <c r="O205" s="45">
        <f ca="1">IFERROR(VLOOKUP(B205,input_433104!L:R,7,FALSE),VLOOKUP(tables_433104!C205,input_433104!A:H,8,FALSE))</f>
        <v>23809.71429</v>
      </c>
      <c r="P205" s="46">
        <f t="shared" ca="1" si="13"/>
        <v>2.0357142860598222E-3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input_433104!A$2</f>
        <v>433104</v>
      </c>
      <c r="B206" s="6">
        <v>493</v>
      </c>
      <c r="C206" s="7" t="str">
        <f t="shared" si="12"/>
        <v>PremiumSS5color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跋扈の機脚 ブートレグ・ペロー</v>
      </c>
      <c r="I206" s="7" t="str">
        <f>VLOOKUP(B206,[1]characters!$A:$J,10,FALSE)</f>
        <v>PremiumSS</v>
      </c>
      <c r="J206" s="7">
        <f>VLOOKUP(B206,[1]characters!$A:$I,9,FALSE)</f>
        <v>5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IFERROR(VLOOKUP(B206,input_433104!L:R,7,FALSE),VLOOKUP(tables_433104!C206,input_433104!A:H,8,FALSE))</f>
        <v>1253.1428599999999</v>
      </c>
      <c r="P206" s="46">
        <f t="shared" ca="1" si="13"/>
        <v>1.0714285738604148E-4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input_433104!A$2</f>
        <v>433104</v>
      </c>
      <c r="B207" s="6">
        <v>494</v>
      </c>
      <c r="C207" s="7" t="str">
        <f t="shared" si="12"/>
        <v>PremiumSS4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ハーメルン</v>
      </c>
      <c r="I207" s="7" t="str">
        <f>VLOOKUP(B207,[1]characters!$A:$J,10,FALSE)</f>
        <v>PremiumSS</v>
      </c>
      <c r="J207" s="7">
        <f>VLOOKUP(B207,[1]characters!$A:$I,9,FALSE)</f>
        <v>4</v>
      </c>
      <c r="K207" s="7" t="str">
        <f>VLOOKUP(B207,[1]characters!$A:$H,8,FALSE)</f>
        <v>green</v>
      </c>
      <c r="L207" s="7" t="str">
        <f>VLOOKUP(B207,[1]characters!$A:$K,11,FALSE)</f>
        <v>technical</v>
      </c>
      <c r="M207" s="7" t="str">
        <f>VLOOKUP(B207,[1]characters!$A:$M,13,FALSE)</f>
        <v>human</v>
      </c>
      <c r="N207" s="7" t="str">
        <f>VLOOKUP(B207,[1]characters!$A:$G,7,FALSE)</f>
        <v>男性</v>
      </c>
      <c r="O207" s="45">
        <f ca="1">IFERROR(VLOOKUP(B207,input_433104!L:R,7,FALSE),VLOOKUP(tables_433104!C207,input_433104!A:H,8,FALSE))</f>
        <v>5168</v>
      </c>
      <c r="P207" s="46">
        <f t="shared" ca="1" si="13"/>
        <v>4.4186046511174505E-4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input_433104!A$2</f>
        <v>433104</v>
      </c>
      <c r="B208" s="6">
        <v>495</v>
      </c>
      <c r="C208" s="7" t="str">
        <f t="shared" si="12"/>
        <v>PremiumSS5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鼠災呼ぶ笛音 ハーメルン</v>
      </c>
      <c r="I208" s="7" t="str">
        <f>VLOOKUP(B208,[1]characters!$A:$J,10,FALSE)</f>
        <v>PremiumSS</v>
      </c>
      <c r="J208" s="7">
        <f>VLOOKUP(B208,[1]characters!$A:$I,9,FALSE)</f>
        <v>5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IFERROR(VLOOKUP(B208,input_433104!L:R,7,FALSE),VLOOKUP(tables_433104!C208,input_433104!A:H,8,FALSE))</f>
        <v>272</v>
      </c>
      <c r="P208" s="46">
        <f t="shared" ca="1" si="13"/>
        <v>2.3255813953249738E-5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input_433104!A$2</f>
        <v>433104</v>
      </c>
      <c r="B209" s="6">
        <v>496</v>
      </c>
      <c r="C209" s="7" t="str">
        <f t="shared" si="12"/>
        <v>Premium3</v>
      </c>
      <c r="D209" s="7" t="str">
        <f t="shared" si="14"/>
        <v>Premium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エスタブ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blue</v>
      </c>
      <c r="L209" s="7" t="str">
        <f>VLOOKUP(B209,[1]characters!$A:$K,11,FALSE)</f>
        <v>attack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IFERROR(VLOOKUP(B209,input_433104!L:R,7,FALSE),VLOOKUP(tables_433104!C209,input_433104!A:H,8,FALSE))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input_433104!A$2</f>
        <v>433104</v>
      </c>
      <c r="B210" s="6">
        <v>497</v>
      </c>
      <c r="C210" s="7" t="str">
        <f t="shared" si="12"/>
        <v>Premium4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偏愛の野獣 エスタブ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IFERROR(VLOOKUP(B210,input_433104!L:R,7,FALSE),VLOOKUP(tables_433104!C210,input_433104!A:H,8,FALSE))</f>
        <v>58022.625639999998</v>
      </c>
      <c r="P210" s="46">
        <f t="shared" ca="1" si="13"/>
        <v>4.960894805010654E-3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input_433104!A$2</f>
        <v>433104</v>
      </c>
      <c r="B211" s="6">
        <v>498</v>
      </c>
      <c r="C211" s="7" t="str">
        <f t="shared" si="12"/>
        <v>Premium5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自愛の高魔 エスタブ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IFERROR(VLOOKUP(B211,input_433104!L:R,7,FALSE),VLOOKUP(tables_433104!C211,input_433104!A:H,8,FALSE))</f>
        <v>938.97436000000005</v>
      </c>
      <c r="P211" s="46">
        <f t="shared" ca="1" si="13"/>
        <v>8.0281665525851998E-5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input_433104!A$2</f>
        <v>433104</v>
      </c>
      <c r="B212" s="6">
        <v>499</v>
      </c>
      <c r="C212" s="7" t="str">
        <f t="shared" si="12"/>
        <v>PremiumSS4</v>
      </c>
      <c r="D212" s="7" t="str">
        <f t="shared" si="14"/>
        <v>PremiumSS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ラプンツェル</v>
      </c>
      <c r="I212" s="7" t="str">
        <f>VLOOKUP(B212,[1]characters!$A:$J,10,FALSE)</f>
        <v>PremiumSS</v>
      </c>
      <c r="J212" s="7">
        <f>VLOOKUP(B212,[1]characters!$A:$I,9,FALSE)</f>
        <v>4</v>
      </c>
      <c r="K212" s="7" t="str">
        <f>VLOOKUP(B212,[1]characters!$A:$H,8,FALSE)</f>
        <v>yellow</v>
      </c>
      <c r="L212" s="7" t="str">
        <f>VLOOKUP(B212,[1]characters!$A:$K,11,FALSE)</f>
        <v>balance</v>
      </c>
      <c r="M212" s="7" t="str">
        <f>VLOOKUP(B212,[1]characters!$A:$M,13,FALSE)</f>
        <v>human</v>
      </c>
      <c r="N212" s="7" t="str">
        <f>VLOOKUP(B212,[1]characters!$A:$G,7,FALSE)</f>
        <v>女性</v>
      </c>
      <c r="O212" s="45">
        <f ca="1">IFERROR(VLOOKUP(B212,input_433104!L:R,7,FALSE),VLOOKUP(tables_433104!C212,input_433104!A:H,8,FALSE))</f>
        <v>5168</v>
      </c>
      <c r="P212" s="46">
        <f t="shared" ca="1" si="13"/>
        <v>4.4186046511174505E-4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input_433104!A$2</f>
        <v>433104</v>
      </c>
      <c r="B213" s="6">
        <v>500</v>
      </c>
      <c r="C213" s="7" t="str">
        <f t="shared" si="12"/>
        <v>PremiumSS5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脈動の禁髪 ラプンツェル</v>
      </c>
      <c r="I213" s="7" t="str">
        <f>VLOOKUP(B213,[1]characters!$A:$J,10,FALSE)</f>
        <v>PremiumSS</v>
      </c>
      <c r="J213" s="7">
        <f>VLOOKUP(B213,[1]characters!$A:$I,9,FALSE)</f>
        <v>5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IFERROR(VLOOKUP(B213,input_433104!L:R,7,FALSE),VLOOKUP(tables_433104!C213,input_433104!A:H,8,FALSE))</f>
        <v>272</v>
      </c>
      <c r="P213" s="46">
        <f t="shared" ca="1" si="13"/>
        <v>2.3255813953249738E-5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input_433104!A$2</f>
        <v>433104</v>
      </c>
      <c r="B214" s="6">
        <v>586</v>
      </c>
      <c r="C214" s="7" t="str">
        <f t="shared" si="12"/>
        <v>PremiumSS4color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>color</v>
      </c>
      <c r="H214" s="7" t="str">
        <f>VLOOKUP(B214,[1]characters!$A:$C,3,FALSE)</f>
        <v>ユミル</v>
      </c>
      <c r="I214" s="7" t="str">
        <f>VLOOKUP(B214,[1]characters!$A:$J,10,FALSE)</f>
        <v>PremiumSS</v>
      </c>
      <c r="J214" s="7">
        <f>VLOOKUP(B214,[1]characters!$A:$I,9,FALSE)</f>
        <v>4</v>
      </c>
      <c r="K214" s="7" t="str">
        <f>VLOOKUP(B214,[1]characters!$A:$H,8,FALSE)</f>
        <v>red</v>
      </c>
      <c r="L214" s="7" t="str">
        <f>VLOOKUP(B214,[1]characters!$A:$K,11,FALSE)</f>
        <v>hp</v>
      </c>
      <c r="M214" s="7" t="str">
        <f>VLOOKUP(B214,[1]characters!$A:$M,13,FALSE)</f>
        <v>machine</v>
      </c>
      <c r="N214" s="7" t="str">
        <f>VLOOKUP(B214,[1]characters!$A:$G,7,FALSE)</f>
        <v>不明</v>
      </c>
      <c r="O214" s="45">
        <f ca="1">IFERROR(VLOOKUP(B214,input_433104!L:R,7,FALSE),VLOOKUP(tables_433104!C214,input_433104!A:H,8,FALSE))</f>
        <v>23809.71429</v>
      </c>
      <c r="P214" s="46">
        <f t="shared" ca="1" si="13"/>
        <v>2.0357142860598222E-3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input_433104!A$2</f>
        <v>433104</v>
      </c>
      <c r="B215" s="6">
        <v>587</v>
      </c>
      <c r="C215" s="7" t="str">
        <f t="shared" si="12"/>
        <v>PremiumSS5color</v>
      </c>
      <c r="D215" s="7" t="str">
        <f t="shared" si="14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原初の煉鋼巨刃 ユミル</v>
      </c>
      <c r="I215" s="7" t="str">
        <f>VLOOKUP(B215,[1]characters!$A:$J,10,FALSE)</f>
        <v>PremiumSS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IFERROR(VLOOKUP(B215,input_433104!L:R,7,FALSE),VLOOKUP(tables_433104!C215,input_433104!A:H,8,FALSE))</f>
        <v>1253.1428599999999</v>
      </c>
      <c r="P215" s="46">
        <f t="shared" ca="1" si="13"/>
        <v>1.0714285738604148E-4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input_433104!A$2</f>
        <v>433104</v>
      </c>
      <c r="B216" s="6">
        <v>588</v>
      </c>
      <c r="C216" s="7" t="str">
        <f t="shared" si="12"/>
        <v>Premium3</v>
      </c>
      <c r="D216" s="7" t="str">
        <f t="shared" si="14"/>
        <v>Premium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ニーベルゲン</v>
      </c>
      <c r="I216" s="7" t="str">
        <f>VLOOKUP(B216,[1]characters!$A:$J,10,FALSE)</f>
        <v>PremiumS</v>
      </c>
      <c r="J216" s="7">
        <f>VLOOKUP(B216,[1]characters!$A:$I,9,FALSE)</f>
        <v>3</v>
      </c>
      <c r="K216" s="7" t="str">
        <f>VLOOKUP(B216,[1]characters!$A:$H,8,FALSE)</f>
        <v>green</v>
      </c>
      <c r="L216" s="7" t="str">
        <f>VLOOKUP(B216,[1]characters!$A:$K,11,FALSE)</f>
        <v>balance</v>
      </c>
      <c r="M216" s="7" t="str">
        <f>VLOOKUP(B216,[1]characters!$A:$M,13,FALSE)</f>
        <v>unknown</v>
      </c>
      <c r="N216" s="7" t="str">
        <f>VLOOKUP(B216,[1]characters!$A:$G,7,FALSE)</f>
        <v>女性</v>
      </c>
      <c r="O216" s="45">
        <f ca="1">IFERROR(VLOOKUP(B216,input_433104!L:R,7,FALSE),VLOOKUP(tables_433104!C216,input_433104!A:H,8,FALSE))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input_433104!A$2</f>
        <v>433104</v>
      </c>
      <c r="B217" s="6">
        <v>589</v>
      </c>
      <c r="C217" s="7" t="str">
        <f t="shared" si="12"/>
        <v>Premium4</v>
      </c>
      <c r="D217" s="7" t="str">
        <f t="shared" si="14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不幸の円環 ニーベルゲン</v>
      </c>
      <c r="I217" s="7" t="str">
        <f>VLOOKUP(B217,[1]characters!$A:$J,10,FALSE)</f>
        <v>PremiumS</v>
      </c>
      <c r="J217" s="7">
        <f>VLOOKUP(B217,[1]characters!$A:$I,9,FALSE)</f>
        <v>4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IFERROR(VLOOKUP(B217,input_433104!L:R,7,FALSE),VLOOKUP(tables_433104!C217,input_433104!A:H,8,FALSE))</f>
        <v>58022.625639999998</v>
      </c>
      <c r="P217" s="46">
        <f t="shared" ca="1" si="13"/>
        <v>4.960894805010654E-3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input_433104!A$2</f>
        <v>433104</v>
      </c>
      <c r="B218" s="6">
        <v>590</v>
      </c>
      <c r="C218" s="7" t="str">
        <f t="shared" si="12"/>
        <v>Premium5</v>
      </c>
      <c r="D218" s="7" t="str">
        <f t="shared" si="14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永遠を廻る呪い ニーベルゲン</v>
      </c>
      <c r="I218" s="7" t="str">
        <f>VLOOKUP(B218,[1]characters!$A:$J,10,FALSE)</f>
        <v>PremiumS</v>
      </c>
      <c r="J218" s="7">
        <f>VLOOKUP(B218,[1]characters!$A:$I,9,FALSE)</f>
        <v>5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IFERROR(VLOOKUP(B218,input_433104!L:R,7,FALSE),VLOOKUP(tables_433104!C218,input_433104!A:H,8,FALSE))</f>
        <v>938.97436000000005</v>
      </c>
      <c r="P218" s="46">
        <f t="shared" ca="1" si="13"/>
        <v>8.0281665525851998E-5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input_433104!A$2</f>
        <v>433104</v>
      </c>
      <c r="B219" s="6">
        <v>591</v>
      </c>
      <c r="C219" s="7" t="str">
        <f t="shared" si="12"/>
        <v>Premium3</v>
      </c>
      <c r="D219" s="7" t="str">
        <f t="shared" si="14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ファフニール</v>
      </c>
      <c r="I219" s="7" t="str">
        <f>VLOOKUP(B219,[1]characters!$A:$J,10,FALSE)</f>
        <v>PremiumS</v>
      </c>
      <c r="J219" s="7">
        <f>VLOOKUP(B219,[1]characters!$A:$I,9,FALSE)</f>
        <v>3</v>
      </c>
      <c r="K219" s="7" t="str">
        <f>VLOOKUP(B219,[1]characters!$A:$H,8,FALSE)</f>
        <v>blue</v>
      </c>
      <c r="L219" s="7" t="str">
        <f>VLOOKUP(B219,[1]characters!$A:$K,11,FALSE)</f>
        <v>technical</v>
      </c>
      <c r="M219" s="7" t="str">
        <f>VLOOKUP(B219,[1]characters!$A:$M,13,FALSE)</f>
        <v>dragon</v>
      </c>
      <c r="N219" s="7" t="str">
        <f>VLOOKUP(B219,[1]characters!$A:$G,7,FALSE)</f>
        <v>不明</v>
      </c>
      <c r="O219" s="45">
        <f ca="1">IFERROR(VLOOKUP(B219,input_433104!L:R,7,FALSE),VLOOKUP(tables_433104!C219,input_433104!A:H,8,FALSE))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input_433104!A$2</f>
        <v>433104</v>
      </c>
      <c r="B220" s="6">
        <v>592</v>
      </c>
      <c r="C220" s="7" t="str">
        <f t="shared" si="12"/>
        <v>Premium4</v>
      </c>
      <c r="D220" s="7" t="str">
        <f t="shared" si="14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財宝への執着 ファフニール</v>
      </c>
      <c r="I220" s="7" t="str">
        <f>VLOOKUP(B220,[1]characters!$A:$J,10,FALSE)</f>
        <v>PremiumS</v>
      </c>
      <c r="J220" s="7">
        <f>VLOOKUP(B220,[1]characters!$A:$I,9,FALSE)</f>
        <v>4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IFERROR(VLOOKUP(B220,input_433104!L:R,7,FALSE),VLOOKUP(tables_433104!C220,input_433104!A:H,8,FALSE))</f>
        <v>58022.625639999998</v>
      </c>
      <c r="P220" s="46">
        <f t="shared" ca="1" si="13"/>
        <v>4.960894805010654E-3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input_433104!A$2</f>
        <v>433104</v>
      </c>
      <c r="B221" s="6">
        <v>593</v>
      </c>
      <c r="C221" s="7" t="str">
        <f t="shared" si="12"/>
        <v>Premium5</v>
      </c>
      <c r="D221" s="7" t="str">
        <f t="shared" si="14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妄執する邪毒龍 ファフニール</v>
      </c>
      <c r="I221" s="7" t="str">
        <f>VLOOKUP(B221,[1]characters!$A:$J,10,FALSE)</f>
        <v>PremiumS</v>
      </c>
      <c r="J221" s="7">
        <f>VLOOKUP(B221,[1]characters!$A:$I,9,FALSE)</f>
        <v>5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IFERROR(VLOOKUP(B221,input_433104!L:R,7,FALSE),VLOOKUP(tables_433104!C221,input_433104!A:H,8,FALSE))</f>
        <v>938.97436000000005</v>
      </c>
      <c r="P221" s="46">
        <f t="shared" ca="1" si="13"/>
        <v>8.0281665525851998E-5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input_433104!A$2</f>
        <v>433104</v>
      </c>
      <c r="B222" s="6">
        <v>594</v>
      </c>
      <c r="C222" s="7" t="str">
        <f t="shared" si="12"/>
        <v>PremiumSS4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アルフヘイム</v>
      </c>
      <c r="I222" s="7" t="str">
        <f>VLOOKUP(B222,[1]characters!$A:$J,10,FALSE)</f>
        <v>PremiumSS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attack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IFERROR(VLOOKUP(B222,input_433104!L:R,7,FALSE),VLOOKUP(tables_433104!C222,input_433104!A:H,8,FALSE))</f>
        <v>5168</v>
      </c>
      <c r="P222" s="46">
        <f t="shared" ca="1" si="13"/>
        <v>4.4186046511174505E-4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input_433104!A$2</f>
        <v>433104</v>
      </c>
      <c r="B223" s="6">
        <v>595</v>
      </c>
      <c r="C223" s="7" t="str">
        <f t="shared" si="12"/>
        <v>PremiumSS5</v>
      </c>
      <c r="D223" s="7" t="str">
        <f t="shared" si="14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光華なる神域 アルフヘイム</v>
      </c>
      <c r="I223" s="7" t="str">
        <f>VLOOKUP(B223,[1]characters!$A:$J,10,FALSE)</f>
        <v>PremiumSS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IFERROR(VLOOKUP(B223,input_433104!L:R,7,FALSE),VLOOKUP(tables_433104!C223,input_433104!A:H,8,FALSE))</f>
        <v>272</v>
      </c>
      <c r="P223" s="46">
        <f t="shared" ca="1" si="13"/>
        <v>2.3255813953249738E-5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input_433104!A$2</f>
        <v>433104</v>
      </c>
      <c r="B224" s="6">
        <v>596</v>
      </c>
      <c r="C224" s="7" t="str">
        <f t="shared" si="12"/>
        <v>Premium3color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ムスペルヘイム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balance</v>
      </c>
      <c r="M224" s="7" t="str">
        <f>VLOOKUP(B224,[1]characters!$A:$M,13,FALSE)</f>
        <v>human</v>
      </c>
      <c r="N224" s="7" t="str">
        <f>VLOOKUP(B224,[1]characters!$A:$G,7,FALSE)</f>
        <v>男性</v>
      </c>
      <c r="O224" s="45">
        <f ca="1">IFERROR(VLOOKUP(B224,input_433104!L:R,7,FALSE),VLOOKUP(tables_433104!C224,input_433104!A:H,8,FALSE))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input_433104!A$2</f>
        <v>433104</v>
      </c>
      <c r="B225" s="6">
        <v>597</v>
      </c>
      <c r="C225" s="7" t="str">
        <f t="shared" si="12"/>
        <v>Premium4color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灼熱の魂 ムスペルヘイム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IFERROR(VLOOKUP(B225,input_433104!L:R,7,FALSE),VLOOKUP(tables_433104!C225,input_433104!A:H,8,FALSE))</f>
        <v>284553.19081</v>
      </c>
      <c r="P225" s="46">
        <f t="shared" ca="1" si="13"/>
        <v>2.4329103181179902E-2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input_433104!A$2</f>
        <v>433104</v>
      </c>
      <c r="B226" s="6">
        <v>598</v>
      </c>
      <c r="C226" s="7" t="str">
        <f t="shared" si="12"/>
        <v>Premium5color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焼燃の情熱 ムスペルヘイム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IFERROR(VLOOKUP(B226,input_433104!L:R,7,FALSE),VLOOKUP(tables_433104!C226,input_433104!A:H,8,FALSE))</f>
        <v>2863.2961500000001</v>
      </c>
      <c r="P226" s="46">
        <f t="shared" ca="1" si="13"/>
        <v>2.4480986234358919E-4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input_433104!A$2</f>
        <v>433104</v>
      </c>
      <c r="B227" s="6">
        <v>599</v>
      </c>
      <c r="C227" s="7" t="str">
        <f t="shared" si="12"/>
        <v>Premium3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ニーズヘッグ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IFERROR(VLOOKUP(B227,input_433104!L:R,7,FALSE),VLOOKUP(tables_433104!C227,input_433104!A:H,8,FALSE))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input_433104!A$2</f>
        <v>433104</v>
      </c>
      <c r="B228" s="6">
        <v>600</v>
      </c>
      <c r="C228" s="7" t="str">
        <f t="shared" si="12"/>
        <v>Premium4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界下に潜む蛇 ニーズヘッグ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IFERROR(VLOOKUP(B228,input_433104!L:R,7,FALSE),VLOOKUP(tables_433104!C228,input_433104!A:H,8,FALSE))</f>
        <v>58022.625639999998</v>
      </c>
      <c r="P228" s="46">
        <f t="shared" ca="1" si="13"/>
        <v>4.960894805010654E-3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input_433104!A$2</f>
        <v>433104</v>
      </c>
      <c r="B229" s="6">
        <v>601</v>
      </c>
      <c r="C229" s="7" t="str">
        <f t="shared" si="12"/>
        <v>Premium5</v>
      </c>
      <c r="D229" s="7" t="str">
        <f t="shared" si="14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界根蝕む悪食 ニーズヘッグ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IFERROR(VLOOKUP(B229,input_433104!L:R,7,FALSE),VLOOKUP(tables_433104!C229,input_433104!A:H,8,FALSE))</f>
        <v>938.97436000000005</v>
      </c>
      <c r="P229" s="46">
        <f t="shared" ca="1" si="13"/>
        <v>8.0281665525851998E-5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input_433104!A$2</f>
        <v>433104</v>
      </c>
      <c r="B230" s="6">
        <v>602</v>
      </c>
      <c r="C230" s="7" t="str">
        <f t="shared" si="12"/>
        <v>PremiumSS4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フレイヤ</v>
      </c>
      <c r="I230" s="7" t="str">
        <f>VLOOKUP(B230,[1]characters!$A:$J,10,FALSE)</f>
        <v>PremiumSS</v>
      </c>
      <c r="J230" s="7">
        <f>VLOOKUP(B230,[1]characters!$A:$I,9,FALSE)</f>
        <v>4</v>
      </c>
      <c r="K230" s="7" t="str">
        <f>VLOOKUP(B230,[1]characters!$A:$H,8,FALSE)</f>
        <v>blue</v>
      </c>
      <c r="L230" s="7" t="str">
        <f>VLOOKUP(B230,[1]characters!$A:$K,11,FALSE)</f>
        <v>heal</v>
      </c>
      <c r="M230" s="7" t="str">
        <f>VLOOKUP(B230,[1]characters!$A:$M,13,FALSE)</f>
        <v>animal</v>
      </c>
      <c r="N230" s="7" t="str">
        <f>VLOOKUP(B230,[1]characters!$A:$G,7,FALSE)</f>
        <v>女性</v>
      </c>
      <c r="O230" s="45">
        <f ca="1">IFERROR(VLOOKUP(B230,input_433104!L:R,7,FALSE),VLOOKUP(tables_433104!C230,input_433104!A:H,8,FALSE))</f>
        <v>5168</v>
      </c>
      <c r="P230" s="46">
        <f t="shared" ca="1" si="13"/>
        <v>4.4186046511174505E-4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input_433104!A$2</f>
        <v>433104</v>
      </c>
      <c r="B231" s="6">
        <v>603</v>
      </c>
      <c r="C231" s="7" t="str">
        <f t="shared" si="12"/>
        <v>PremiumSS5</v>
      </c>
      <c r="D231" s="7" t="str">
        <f t="shared" si="14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掌愛の豊穣女神 フレイヤ</v>
      </c>
      <c r="I231" s="7" t="str">
        <f>VLOOKUP(B231,[1]characters!$A:$J,10,FALSE)</f>
        <v>PremiumSS</v>
      </c>
      <c r="J231" s="7">
        <f>VLOOKUP(B231,[1]characters!$A:$I,9,FALSE)</f>
        <v>5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IFERROR(VLOOKUP(B231,input_433104!L:R,7,FALSE),VLOOKUP(tables_433104!C231,input_433104!A:H,8,FALSE))</f>
        <v>272</v>
      </c>
      <c r="P231" s="46">
        <f t="shared" ca="1" si="13"/>
        <v>2.3255813953249738E-5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input_433104!A$2</f>
        <v>433104</v>
      </c>
      <c r="B232" s="6">
        <v>604</v>
      </c>
      <c r="C232" s="7" t="str">
        <f t="shared" si="12"/>
        <v>Premium3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バルドル</v>
      </c>
      <c r="I232" s="7" t="str">
        <f>VLOOKUP(B232,[1]characters!$A:$J,10,FALSE)</f>
        <v>PremiumS</v>
      </c>
      <c r="J232" s="7">
        <f>VLOOKUP(B232,[1]characters!$A:$I,9,FALSE)</f>
        <v>3</v>
      </c>
      <c r="K232" s="7" t="str">
        <f>VLOOKUP(B232,[1]characters!$A:$H,8,FALSE)</f>
        <v>yellow</v>
      </c>
      <c r="L232" s="7" t="str">
        <f>VLOOKUP(B232,[1]characters!$A:$K,11,FALSE)</f>
        <v>heal</v>
      </c>
      <c r="M232" s="7" t="str">
        <f>VLOOKUP(B232,[1]characters!$A:$M,13,FALSE)</f>
        <v>god</v>
      </c>
      <c r="N232" s="7" t="str">
        <f>VLOOKUP(B232,[1]characters!$A:$G,7,FALSE)</f>
        <v>男性</v>
      </c>
      <c r="O232" s="45">
        <f ca="1">IFERROR(VLOOKUP(B232,input_433104!L:R,7,FALSE),VLOOKUP(tables_433104!C232,input_433104!A:H,8,FALSE))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input_433104!A$2</f>
        <v>433104</v>
      </c>
      <c r="B233" s="6">
        <v>605</v>
      </c>
      <c r="C233" s="7" t="str">
        <f t="shared" si="12"/>
        <v>Premium4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祝福される光耀 バルドル</v>
      </c>
      <c r="I233" s="7" t="str">
        <f>VLOOKUP(B233,[1]characters!$A:$J,10,FALSE)</f>
        <v>PremiumS</v>
      </c>
      <c r="J233" s="7">
        <f>VLOOKUP(B233,[1]characters!$A:$I,9,FALSE)</f>
        <v>4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IFERROR(VLOOKUP(B233,input_433104!L:R,7,FALSE),VLOOKUP(tables_433104!C233,input_433104!A:H,8,FALSE))</f>
        <v>58022.625639999998</v>
      </c>
      <c r="P233" s="46">
        <f t="shared" ca="1" si="13"/>
        <v>4.960894805010654E-3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input_433104!A$2</f>
        <v>433104</v>
      </c>
      <c r="B234" s="6">
        <v>606</v>
      </c>
      <c r="C234" s="7" t="str">
        <f t="shared" si="12"/>
        <v>Premium5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冀望の光芒 バルドル</v>
      </c>
      <c r="I234" s="7" t="str">
        <f>VLOOKUP(B234,[1]characters!$A:$J,10,FALSE)</f>
        <v>PremiumS</v>
      </c>
      <c r="J234" s="7">
        <f>VLOOKUP(B234,[1]characters!$A:$I,9,FALSE)</f>
        <v>5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IFERROR(VLOOKUP(B234,input_433104!L:R,7,FALSE),VLOOKUP(tables_433104!C234,input_433104!A:H,8,FALSE))</f>
        <v>938.97436000000005</v>
      </c>
      <c r="P234" s="46">
        <f t="shared" ca="1" si="13"/>
        <v>8.0281665525851998E-5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input_433104!A$2</f>
        <v>433104</v>
      </c>
      <c r="B235" s="6">
        <v>658</v>
      </c>
      <c r="C235" s="7" t="str">
        <f t="shared" si="12"/>
        <v>PremiumSS4color</v>
      </c>
      <c r="D235" s="7" t="str">
        <f t="shared" si="14"/>
        <v>PremiumSS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猫又 クルミ</v>
      </c>
      <c r="I235" s="7" t="str">
        <f>VLOOKUP(B235,[1]characters!$A:$J,10,FALSE)</f>
        <v>PremiumSS</v>
      </c>
      <c r="J235" s="7">
        <f>VLOOKUP(B235,[1]characters!$A:$I,9,FALSE)</f>
        <v>4</v>
      </c>
      <c r="K235" s="7" t="str">
        <f>VLOOKUP(B235,[1]characters!$A:$H,8,FALSE)</f>
        <v>red</v>
      </c>
      <c r="L235" s="7" t="str">
        <f>VLOOKUP(B235,[1]characters!$A:$K,11,FALSE)</f>
        <v>attack</v>
      </c>
      <c r="M235" s="7" t="str">
        <f>VLOOKUP(B235,[1]characters!$A:$M,13,FALSE)</f>
        <v>animal</v>
      </c>
      <c r="N235" s="7" t="str">
        <f>VLOOKUP(B235,[1]characters!$A:$G,7,FALSE)</f>
        <v>女性</v>
      </c>
      <c r="O235" s="45">
        <f ca="1">IFERROR(VLOOKUP(B235,input_433104!L:R,7,FALSE),VLOOKUP(tables_433104!C235,input_433104!A:H,8,FALSE))</f>
        <v>23809.71429</v>
      </c>
      <c r="P235" s="46">
        <f t="shared" ca="1" si="13"/>
        <v>2.0357142860598222E-3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input_433104!A$2</f>
        <v>433104</v>
      </c>
      <c r="B236" s="6">
        <v>659</v>
      </c>
      <c r="C236" s="7" t="str">
        <f t="shared" si="12"/>
        <v>PremiumSS5color</v>
      </c>
      <c r="D236" s="7" t="str">
        <f t="shared" si="14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跳梁する化猫 クルミ</v>
      </c>
      <c r="I236" s="7" t="str">
        <f>VLOOKUP(B236,[1]characters!$A:$J,10,FALSE)</f>
        <v>PremiumSS</v>
      </c>
      <c r="J236" s="7">
        <f>VLOOKUP(B236,[1]characters!$A:$I,9,FALSE)</f>
        <v>5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IFERROR(VLOOKUP(B236,input_433104!L:R,7,FALSE),VLOOKUP(tables_433104!C236,input_433104!A:H,8,FALSE))</f>
        <v>1253.1428599999999</v>
      </c>
      <c r="P236" s="46">
        <f t="shared" ca="1" si="13"/>
        <v>1.0714285738604148E-4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input_433104!A$2</f>
        <v>433104</v>
      </c>
      <c r="B237" s="6">
        <v>660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烏天狗 フウガ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green</v>
      </c>
      <c r="L237" s="7" t="str">
        <f>VLOOKUP(B237,[1]characters!$A:$K,11,FALSE)</f>
        <v>balance</v>
      </c>
      <c r="M237" s="7" t="str">
        <f>VLOOKUP(B237,[1]characters!$A:$M,13,FALSE)</f>
        <v>animal</v>
      </c>
      <c r="N237" s="7" t="str">
        <f>VLOOKUP(B237,[1]characters!$A:$G,7,FALSE)</f>
        <v>男性</v>
      </c>
      <c r="O237" s="45">
        <f ca="1">IFERROR(VLOOKUP(B237,input_433104!L:R,7,FALSE),VLOOKUP(tables_433104!C237,input_433104!A:H,8,FALSE))</f>
        <v>5168</v>
      </c>
      <c r="P237" s="46">
        <f t="shared" ca="1" si="13"/>
        <v>4.4186046511174505E-4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input_433104!A$2</f>
        <v>433104</v>
      </c>
      <c r="B238" s="6">
        <v>661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疾風の天狗礫 フウガ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IFERROR(VLOOKUP(B238,input_433104!L:R,7,FALSE),VLOOKUP(tables_433104!C238,input_433104!A:H,8,FALSE))</f>
        <v>272</v>
      </c>
      <c r="P238" s="46">
        <f t="shared" ca="1" si="13"/>
        <v>2.3255813953249738E-5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input_433104!A$2</f>
        <v>433104</v>
      </c>
      <c r="B239" s="6">
        <v>662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ダイダラ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blue</v>
      </c>
      <c r="L239" s="7" t="str">
        <f>VLOOKUP(B239,[1]characters!$A:$K,11,FALSE)</f>
        <v>hp</v>
      </c>
      <c r="M239" s="7" t="str">
        <f>VLOOKUP(B239,[1]characters!$A:$M,13,FALSE)</f>
        <v>unknown</v>
      </c>
      <c r="N239" s="7" t="str">
        <f>VLOOKUP(B239,[1]characters!$A:$G,7,FALSE)</f>
        <v>不明</v>
      </c>
      <c r="O239" s="45">
        <f ca="1">IFERROR(VLOOKUP(B239,input_433104!L:R,7,FALSE),VLOOKUP(tables_433104!C239,input_433104!A:H,8,FALSE))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input_433104!A$2</f>
        <v>433104</v>
      </c>
      <c r="B240" s="6">
        <v>663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都揺らす地響き ダイダラ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IFERROR(VLOOKUP(B240,input_433104!L:R,7,FALSE),VLOOKUP(tables_433104!C240,input_433104!A:H,8,FALSE))</f>
        <v>58022.625639999998</v>
      </c>
      <c r="P240" s="46">
        <f t="shared" ca="1" si="13"/>
        <v>4.960894805010654E-3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input_433104!A$2</f>
        <v>433104</v>
      </c>
      <c r="B241" s="6">
        <v>664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山掴み国造り ダイダラ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IFERROR(VLOOKUP(B241,input_433104!L:R,7,FALSE),VLOOKUP(tables_433104!C241,input_433104!A:H,8,FALSE))</f>
        <v>938.97436000000005</v>
      </c>
      <c r="P241" s="46">
        <f t="shared" ca="1" si="13"/>
        <v>8.0281665525851998E-5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input_433104!A$2</f>
        <v>433104</v>
      </c>
      <c r="B242" s="6">
        <v>665</v>
      </c>
      <c r="C242" s="7" t="str">
        <f t="shared" si="12"/>
        <v>Premium3</v>
      </c>
      <c r="D242" s="7" t="str">
        <f t="shared" si="14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座敷童子 テマリ</v>
      </c>
      <c r="I242" s="7" t="str">
        <f>VLOOKUP(B242,[1]characters!$A:$J,10,FALSE)</f>
        <v>PremiumS</v>
      </c>
      <c r="J242" s="7">
        <f>VLOOKUP(B242,[1]characters!$A:$I,9,FALSE)</f>
        <v>3</v>
      </c>
      <c r="K242" s="7" t="str">
        <f>VLOOKUP(B242,[1]characters!$A:$H,8,FALSE)</f>
        <v>yellow</v>
      </c>
      <c r="L242" s="7" t="str">
        <f>VLOOKUP(B242,[1]characters!$A:$K,11,FALSE)</f>
        <v>balance</v>
      </c>
      <c r="M242" s="7" t="str">
        <f>VLOOKUP(B242,[1]characters!$A:$M,13,FALSE)</f>
        <v>unknown</v>
      </c>
      <c r="N242" s="7" t="str">
        <f>VLOOKUP(B242,[1]characters!$A:$G,7,FALSE)</f>
        <v>女性</v>
      </c>
      <c r="O242" s="45">
        <f ca="1">IFERROR(VLOOKUP(B242,input_433104!L:R,7,FALSE),VLOOKUP(tables_433104!C242,input_433104!A:H,8,FALSE))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input_433104!A$2</f>
        <v>433104</v>
      </c>
      <c r="B243" s="6">
        <v>666</v>
      </c>
      <c r="C243" s="7" t="str">
        <f t="shared" si="12"/>
        <v>Premium4</v>
      </c>
      <c r="D243" s="7" t="str">
        <f t="shared" si="14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拡散する幸福 テマリ</v>
      </c>
      <c r="I243" s="7" t="str">
        <f>VLOOKUP(B243,[1]characters!$A:$J,10,FALSE)</f>
        <v>PremiumS</v>
      </c>
      <c r="J243" s="7">
        <f>VLOOKUP(B243,[1]characters!$A:$I,9,FALSE)</f>
        <v>4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IFERROR(VLOOKUP(B243,input_433104!L:R,7,FALSE),VLOOKUP(tables_433104!C243,input_433104!A:H,8,FALSE))</f>
        <v>58022.625639999998</v>
      </c>
      <c r="P243" s="46">
        <f t="shared" ca="1" si="13"/>
        <v>4.960894805010654E-3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input_433104!A$2</f>
        <v>433104</v>
      </c>
      <c r="B244" s="6">
        <v>667</v>
      </c>
      <c r="C244" s="7" t="str">
        <f t="shared" si="12"/>
        <v>Premium5</v>
      </c>
      <c r="D244" s="7" t="str">
        <f t="shared" si="14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最幸運の妖童 テマリ</v>
      </c>
      <c r="I244" s="7" t="str">
        <f>VLOOKUP(B244,[1]characters!$A:$J,10,FALSE)</f>
        <v>PremiumS</v>
      </c>
      <c r="J244" s="7">
        <f>VLOOKUP(B244,[1]characters!$A:$I,9,FALSE)</f>
        <v>5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IFERROR(VLOOKUP(B244,input_433104!L:R,7,FALSE),VLOOKUP(tables_433104!C244,input_433104!A:H,8,FALSE))</f>
        <v>938.97436000000005</v>
      </c>
      <c r="P244" s="46">
        <f t="shared" ca="1" si="13"/>
        <v>8.0281665525851998E-5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input_433104!A$2</f>
        <v>433104</v>
      </c>
      <c r="B245" s="60">
        <v>668</v>
      </c>
      <c r="C245" s="7" t="str">
        <f t="shared" si="12"/>
        <v>Premium3color</v>
      </c>
      <c r="D245" s="7" t="str">
        <f t="shared" si="14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アグニ</v>
      </c>
      <c r="I245" s="7" t="str">
        <f>VLOOKUP(B245,[1]characters!$A:$J,10,FALSE)</f>
        <v>PremiumS</v>
      </c>
      <c r="J245" s="7">
        <f>VLOOKUP(B245,[1]characters!$A:$I,9,FALSE)</f>
        <v>3</v>
      </c>
      <c r="K245" s="7" t="str">
        <f>VLOOKUP(B245,[1]characters!$A:$H,8,FALSE)</f>
        <v>red</v>
      </c>
      <c r="L245" s="7" t="str">
        <f>VLOOKUP(B245,[1]characters!$A:$K,11,FALSE)</f>
        <v>hp</v>
      </c>
      <c r="M245" s="7" t="str">
        <f>VLOOKUP(B245,[1]characters!$A:$M,13,FALSE)</f>
        <v>god</v>
      </c>
      <c r="N245" s="7" t="str">
        <f>VLOOKUP(B245,[1]characters!$A:$G,7,FALSE)</f>
        <v>男性</v>
      </c>
      <c r="O245" s="45">
        <f ca="1">IFERROR(VLOOKUP(B245,input_433104!L:R,7,FALSE),VLOOKUP(tables_433104!C245,input_433104!A:H,8,FALSE))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input_433104!A$2</f>
        <v>433104</v>
      </c>
      <c r="B246" s="60">
        <v>669</v>
      </c>
      <c r="C246" s="7" t="str">
        <f t="shared" si="12"/>
        <v>Premium4color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天地の仲界 アグニ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IFERROR(VLOOKUP(B246,input_433104!L:R,7,FALSE),VLOOKUP(tables_433104!C246,input_433104!A:H,8,FALSE))</f>
        <v>284553.19081</v>
      </c>
      <c r="P246" s="46">
        <f t="shared" ca="1" si="13"/>
        <v>2.4329103181179902E-2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input_433104!A$2</f>
        <v>433104</v>
      </c>
      <c r="B247" s="60">
        <v>670</v>
      </c>
      <c r="C247" s="7" t="str">
        <f t="shared" si="12"/>
        <v>Premium5color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陽天の噴煙 アグニ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IFERROR(VLOOKUP(B247,input_433104!L:R,7,FALSE),VLOOKUP(tables_433104!C247,input_433104!A:H,8,FALSE))</f>
        <v>2863.2961500000001</v>
      </c>
      <c r="P247" s="46">
        <f t="shared" ca="1" si="13"/>
        <v>2.4480986234358919E-4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input_433104!A$2</f>
        <v>433104</v>
      </c>
      <c r="B248" s="60">
        <v>671</v>
      </c>
      <c r="C248" s="7" t="str">
        <f t="shared" si="12"/>
        <v>Premium3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ハヌマーン</v>
      </c>
      <c r="I248" s="7" t="str">
        <f>VLOOKUP(B248,[1]characters!$A:$J,10,FALSE)</f>
        <v>PremiumS</v>
      </c>
      <c r="J248" s="7">
        <f>VLOOKUP(B248,[1]characters!$A:$I,9,FALSE)</f>
        <v>3</v>
      </c>
      <c r="K248" s="7" t="str">
        <f>VLOOKUP(B248,[1]characters!$A:$H,8,FALSE)</f>
        <v>green</v>
      </c>
      <c r="L248" s="7" t="str">
        <f>VLOOKUP(B248,[1]characters!$A:$K,11,FALSE)</f>
        <v>attack</v>
      </c>
      <c r="M248" s="7" t="str">
        <f>VLOOKUP(B248,[1]characters!$A:$M,13,FALSE)</f>
        <v>animal</v>
      </c>
      <c r="N248" s="7" t="str">
        <f>VLOOKUP(B248,[1]characters!$A:$G,7,FALSE)</f>
        <v>男性</v>
      </c>
      <c r="O248" s="45">
        <f ca="1">IFERROR(VLOOKUP(B248,input_433104!L:R,7,FALSE),VLOOKUP(tables_433104!C248,input_433104!A:H,8,FALSE))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input_433104!A$2</f>
        <v>433104</v>
      </c>
      <c r="B249" s="60">
        <v>672</v>
      </c>
      <c r="C249" s="7" t="str">
        <f t="shared" si="12"/>
        <v>Premium4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西遊韋駄天 ハヌマーン</v>
      </c>
      <c r="I249" s="7" t="str">
        <f>VLOOKUP(B249,[1]characters!$A:$J,10,FALSE)</f>
        <v>PremiumS</v>
      </c>
      <c r="J249" s="7">
        <f>VLOOKUP(B249,[1]characters!$A:$I,9,FALSE)</f>
        <v>4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IFERROR(VLOOKUP(B249,input_433104!L:R,7,FALSE),VLOOKUP(tables_433104!C249,input_433104!A:H,8,FALSE))</f>
        <v>58022.625639999998</v>
      </c>
      <c r="P249" s="46">
        <f t="shared" ca="1" si="13"/>
        <v>4.960894805010654E-3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input_433104!A$2</f>
        <v>433104</v>
      </c>
      <c r="B250" s="60">
        <v>673</v>
      </c>
      <c r="C250" s="7" t="str">
        <f t="shared" si="12"/>
        <v>Premium5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変幻自在の猿王 ハヌマーン</v>
      </c>
      <c r="I250" s="7" t="str">
        <f>VLOOKUP(B250,[1]characters!$A:$J,10,FALSE)</f>
        <v>PremiumS</v>
      </c>
      <c r="J250" s="7">
        <f>VLOOKUP(B250,[1]characters!$A:$I,9,FALSE)</f>
        <v>5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IFERROR(VLOOKUP(B250,input_433104!L:R,7,FALSE),VLOOKUP(tables_433104!C250,input_433104!A:H,8,FALSE))</f>
        <v>938.97436000000005</v>
      </c>
      <c r="P250" s="46">
        <f t="shared" ca="1" si="13"/>
        <v>8.0281665525851998E-5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input_433104!A$2</f>
        <v>433104</v>
      </c>
      <c r="B251" s="60">
        <v>674</v>
      </c>
      <c r="C251" s="7" t="str">
        <f t="shared" si="12"/>
        <v>PremiumSS4</v>
      </c>
      <c r="D251" s="7" t="str">
        <f t="shared" si="14"/>
        <v>PremiumSS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サラスヴァティ</v>
      </c>
      <c r="I251" s="7" t="str">
        <f>VLOOKUP(B251,[1]characters!$A:$J,10,FALSE)</f>
        <v>PremiumSS</v>
      </c>
      <c r="J251" s="7">
        <f>VLOOKUP(B251,[1]characters!$A:$I,9,FALSE)</f>
        <v>4</v>
      </c>
      <c r="K251" s="7" t="str">
        <f>VLOOKUP(B251,[1]characters!$A:$H,8,FALSE)</f>
        <v>blue</v>
      </c>
      <c r="L251" s="7" t="str">
        <f>VLOOKUP(B251,[1]characters!$A:$K,11,FALSE)</f>
        <v>balance</v>
      </c>
      <c r="M251" s="7" t="str">
        <f>VLOOKUP(B251,[1]characters!$A:$M,13,FALSE)</f>
        <v>god</v>
      </c>
      <c r="N251" s="7" t="str">
        <f>VLOOKUP(B251,[1]characters!$A:$G,7,FALSE)</f>
        <v>女性</v>
      </c>
      <c r="O251" s="45">
        <f ca="1">IFERROR(VLOOKUP(B251,input_433104!L:R,7,FALSE),VLOOKUP(tables_433104!C251,input_433104!A:H,8,FALSE))</f>
        <v>5168</v>
      </c>
      <c r="P251" s="46">
        <f t="shared" ca="1" si="13"/>
        <v>4.4186046511174505E-4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input_433104!A$2</f>
        <v>433104</v>
      </c>
      <c r="B252" s="60">
        <v>675</v>
      </c>
      <c r="C252" s="7" t="str">
        <f t="shared" si="12"/>
        <v>PremiumSS5</v>
      </c>
      <c r="D252" s="7" t="str">
        <f t="shared" si="14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芸楽の奔流 サラスヴァティ</v>
      </c>
      <c r="I252" s="7" t="str">
        <f>VLOOKUP(B252,[1]characters!$A:$J,10,FALSE)</f>
        <v>PremiumSS</v>
      </c>
      <c r="J252" s="7">
        <f>VLOOKUP(B252,[1]characters!$A:$I,9,FALSE)</f>
        <v>5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IFERROR(VLOOKUP(B252,input_433104!L:R,7,FALSE),VLOOKUP(tables_433104!C252,input_433104!A:H,8,FALSE))</f>
        <v>272</v>
      </c>
      <c r="P252" s="46">
        <f t="shared" ca="1" si="13"/>
        <v>2.3255813953249738E-5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input_433104!A$2</f>
        <v>433104</v>
      </c>
      <c r="B253" s="60">
        <v>676</v>
      </c>
      <c r="C253" s="7" t="str">
        <f t="shared" si="12"/>
        <v>PremiumSS4</v>
      </c>
      <c r="D253" s="7" t="str">
        <f t="shared" si="14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ヴィシュヌ</v>
      </c>
      <c r="I253" s="7" t="str">
        <f>VLOOKUP(B253,[1]characters!$A:$J,10,FALSE)</f>
        <v>PremiumSS</v>
      </c>
      <c r="J253" s="7">
        <f>VLOOKUP(B253,[1]characters!$A:$I,9,FALSE)</f>
        <v>4</v>
      </c>
      <c r="K253" s="7" t="str">
        <f>VLOOKUP(B253,[1]characters!$A:$H,8,FALSE)</f>
        <v>yellow</v>
      </c>
      <c r="L253" s="7" t="str">
        <f>VLOOKUP(B253,[1]characters!$A:$K,11,FALSE)</f>
        <v>attack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IFERROR(VLOOKUP(B253,input_433104!L:R,7,FALSE),VLOOKUP(tables_433104!C253,input_433104!A:H,8,FALSE))</f>
        <v>5168</v>
      </c>
      <c r="P253" s="46">
        <f t="shared" ca="1" si="13"/>
        <v>4.4186046511174505E-4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input_433104!A$2</f>
        <v>433104</v>
      </c>
      <c r="B254" s="60">
        <v>677</v>
      </c>
      <c r="C254" s="7" t="str">
        <f t="shared" si="12"/>
        <v>PremiumSS5</v>
      </c>
      <c r="D254" s="7" t="str">
        <f t="shared" si="14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武遊闊歩 ヴィシュヌ</v>
      </c>
      <c r="I254" s="7" t="str">
        <f>VLOOKUP(B254,[1]characters!$A:$J,10,FALSE)</f>
        <v>PremiumSS</v>
      </c>
      <c r="J254" s="7">
        <f>VLOOKUP(B254,[1]characters!$A:$I,9,FALSE)</f>
        <v>5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IFERROR(VLOOKUP(B254,input_433104!L:R,7,FALSE),VLOOKUP(tables_433104!C254,input_433104!A:H,8,FALSE))</f>
        <v>272</v>
      </c>
      <c r="P254" s="46">
        <f t="shared" ca="1" si="13"/>
        <v>2.3255813953249738E-5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input_433104!A$2</f>
        <v>433104</v>
      </c>
      <c r="B255" s="60">
        <v>728</v>
      </c>
      <c r="C255" s="7" t="str">
        <f t="shared" si="12"/>
        <v>Premium4R3lesscolor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>R3less</v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井伊直虎</v>
      </c>
      <c r="I255" s="7" t="str">
        <f>VLOOKUP(B255,[1]characters!$A:$J,10,FALSE)</f>
        <v>PremiumS</v>
      </c>
      <c r="J255" s="7">
        <f>VLOOKUP(B255,[1]characters!$A:$I,9,FALSE)</f>
        <v>4</v>
      </c>
      <c r="K255" s="7" t="str">
        <f>VLOOKUP(B255,[1]characters!$A:$H,8,FALSE)</f>
        <v>red</v>
      </c>
      <c r="L255" s="7" t="str">
        <f>VLOOKUP(B255,[1]characters!$A:$K,11,FALSE)</f>
        <v>balance</v>
      </c>
      <c r="M255" s="7" t="str">
        <f>VLOOKUP(B255,[1]characters!$A:$M,13,FALSE)</f>
        <v>human</v>
      </c>
      <c r="N255" s="7" t="str">
        <f>VLOOKUP(B255,[1]characters!$A:$G,7,FALSE)</f>
        <v>女性</v>
      </c>
      <c r="O255" s="45">
        <f ca="1">IFERROR(VLOOKUP(B255,input_433104!L:R,7,FALSE),VLOOKUP(tables_433104!C255,input_433104!A:H,8,FALSE))</f>
        <v>218776.22261</v>
      </c>
      <c r="P255" s="46">
        <f t="shared" ca="1" si="13"/>
        <v>1.8705217391223928E-2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input_433104!A$2</f>
        <v>433104</v>
      </c>
      <c r="B256" s="60">
        <v>729</v>
      </c>
      <c r="C256" s="7" t="str">
        <f t="shared" si="12"/>
        <v>Premium5R3lesscolor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暗厄の双刀 井伊直虎</v>
      </c>
      <c r="I256" s="7" t="str">
        <f>VLOOKUP(B256,[1]characters!$A:$J,10,FALSE)</f>
        <v>PremiumS</v>
      </c>
      <c r="J256" s="7">
        <f>VLOOKUP(B256,[1]characters!$A:$I,9,FALSE)</f>
        <v>5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IFERROR(VLOOKUP(B256,input_433104!L:R,7,FALSE),VLOOKUP(tables_433104!C256,input_433104!A:H,8,FALSE))</f>
        <v>14370.824350000001</v>
      </c>
      <c r="P256" s="46">
        <f t="shared" ca="1" si="13"/>
        <v>1.2286956523471732E-3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input_433104!A$2</f>
        <v>433104</v>
      </c>
      <c r="B257" s="60">
        <v>730</v>
      </c>
      <c r="C257" s="7" t="str">
        <f t="shared" si="12"/>
        <v>Premium4R3less</v>
      </c>
      <c r="D257" s="7" t="str">
        <f t="shared" si="14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ガラシャ</v>
      </c>
      <c r="I257" s="7" t="str">
        <f>VLOOKUP(B257,[1]characters!$A:$J,10,FALSE)</f>
        <v>PremiumS</v>
      </c>
      <c r="J257" s="7">
        <f>VLOOKUP(B257,[1]characters!$A:$I,9,FALSE)</f>
        <v>4</v>
      </c>
      <c r="K257" s="7" t="str">
        <f>VLOOKUP(B257,[1]characters!$A:$H,8,FALSE)</f>
        <v>green</v>
      </c>
      <c r="L257" s="7" t="str">
        <f>VLOOKUP(B257,[1]characters!$A:$K,11,FALSE)</f>
        <v>heal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IFERROR(VLOOKUP(B257,input_433104!L:R,7,FALSE),VLOOKUP(tables_433104!C257,input_433104!A:H,8,FALSE))</f>
        <v>88703.84</v>
      </c>
      <c r="P257" s="46">
        <f t="shared" ca="1" si="13"/>
        <v>7.5841176469810005E-3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input_433104!A$2</f>
        <v>433104</v>
      </c>
      <c r="B258" s="60">
        <v>731</v>
      </c>
      <c r="C258" s="7" t="str">
        <f t="shared" ref="C258:C284" si="16">D258&amp;J258&amp;E258&amp;F258&amp;G258</f>
        <v>Premium5R3less</v>
      </c>
      <c r="D258" s="7" t="str">
        <f t="shared" si="14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敬虔なる追銃 ガラシャ</v>
      </c>
      <c r="I258" s="7" t="str">
        <f>VLOOKUP(B258,[1]characters!$A:$J,10,FALSE)</f>
        <v>PremiumS</v>
      </c>
      <c r="J258" s="7">
        <f>VLOOKUP(B258,[1]characters!$A:$I,9,FALSE)</f>
        <v>5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IFERROR(VLOOKUP(B258,input_433104!L:R,7,FALSE),VLOOKUP(tables_433104!C258,input_433104!A:H,8,FALSE))</f>
        <v>3240.48</v>
      </c>
      <c r="P258" s="46">
        <f t="shared" ref="P258:P305" ca="1" si="17">O258/SUM(O:O)</f>
        <v>2.7705882352656877E-4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input_433104!A$2</f>
        <v>433104</v>
      </c>
      <c r="B259" s="60">
        <v>732</v>
      </c>
      <c r="C259" s="7" t="str">
        <f t="shared" si="16"/>
        <v>PremiumSS5R5only</v>
      </c>
      <c r="D259" s="7" t="str">
        <f t="shared" ref="D259:D305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>R5only</v>
      </c>
      <c r="F259" s="7" t="str">
        <f>IF(COUNTIF('R6開放'!A:A,B259)&gt;0,"R6release","")</f>
        <v/>
      </c>
      <c r="G259" s="7" t="str">
        <f t="shared" ref="G259:G319" si="19">IF(K259="red","color","")</f>
        <v/>
      </c>
      <c r="H259" s="7" t="str">
        <f>VLOOKUP(B259,[1]characters!$A:$C,3,FALSE)</f>
        <v>上杉謙信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attack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IFERROR(VLOOKUP(B259,input_433104!L:R,7,FALSE),VLOOKUP(tables_433104!C259,input_433104!A:H,8,FALSE))</f>
        <v>5440</v>
      </c>
      <c r="P259" s="46">
        <f t="shared" ca="1" si="17"/>
        <v>4.6511627906499476E-4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input_433104!A$2</f>
        <v>433104</v>
      </c>
      <c r="B260" s="60">
        <v>734</v>
      </c>
      <c r="C260" s="7" t="str">
        <f t="shared" si="16"/>
        <v>PremiumSS5R5only</v>
      </c>
      <c r="D260" s="7" t="str">
        <f t="shared" si="18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伊達政宗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yellow</v>
      </c>
      <c r="L260" s="7" t="str">
        <f>VLOOKUP(B260,[1]characters!$A:$K,11,FALSE)</f>
        <v>balance</v>
      </c>
      <c r="M260" s="7" t="str">
        <f>VLOOKUP(B260,[1]characters!$A:$M,13,FALSE)</f>
        <v>human</v>
      </c>
      <c r="N260" s="7" t="str">
        <f>VLOOKUP(B260,[1]characters!$A:$G,7,FALSE)</f>
        <v>男性</v>
      </c>
      <c r="O260" s="45">
        <f ca="1">IFERROR(VLOOKUP(B260,input_433104!L:R,7,FALSE),VLOOKUP(tables_433104!C260,input_433104!A:H,8,FALSE))</f>
        <v>5440</v>
      </c>
      <c r="P260" s="46">
        <f t="shared" ca="1" si="17"/>
        <v>4.6511627906499476E-4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input_433104!A$2</f>
        <v>433104</v>
      </c>
      <c r="B261" s="60">
        <v>770</v>
      </c>
      <c r="C261" s="7" t="str">
        <f t="shared" si="16"/>
        <v>PremiumSS4color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ハヅル</v>
      </c>
      <c r="I261" s="7" t="str">
        <f>VLOOKUP(B261,[1]characters!$A:$J,10,FALSE)</f>
        <v>PremiumSS</v>
      </c>
      <c r="J261" s="7">
        <f>VLOOKUP(B261,[1]characters!$A:$I,9,FALSE)</f>
        <v>4</v>
      </c>
      <c r="K261" s="7" t="str">
        <f>VLOOKUP(B261,[1]characters!$A:$H,8,FALSE)</f>
        <v>red</v>
      </c>
      <c r="L261" s="7" t="str">
        <f>VLOOKUP(B261,[1]characters!$A:$K,11,FALSE)</f>
        <v>balance</v>
      </c>
      <c r="M261" s="7" t="str">
        <f>VLOOKUP(B261,[1]characters!$A:$M,13,FALSE)</f>
        <v>animal</v>
      </c>
      <c r="N261" s="7" t="str">
        <f>VLOOKUP(B261,[1]characters!$A:$G,7,FALSE)</f>
        <v>女性</v>
      </c>
      <c r="O261" s="45">
        <f ca="1">IFERROR(VLOOKUP(B261,input_433104!L:R,7,FALSE),VLOOKUP(tables_433104!C261,input_433104!A:H,8,FALSE))</f>
        <v>23809.71429</v>
      </c>
      <c r="P261" s="46">
        <f t="shared" ca="1" si="17"/>
        <v>2.0357142860598222E-3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input_433104!A$2</f>
        <v>433104</v>
      </c>
      <c r="B262" s="60">
        <v>771</v>
      </c>
      <c r="C262" s="7" t="str">
        <f t="shared" si="16"/>
        <v>PremiumSS5color</v>
      </c>
      <c r="D262" s="7" t="str">
        <f t="shared" si="18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天織羽鶴 ハヅル</v>
      </c>
      <c r="I262" s="7" t="str">
        <f>VLOOKUP(B262,[1]characters!$A:$J,10,FALSE)</f>
        <v>PremiumSS</v>
      </c>
      <c r="J262" s="7">
        <f>VLOOKUP(B262,[1]characters!$A:$I,9,FALSE)</f>
        <v>5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IFERROR(VLOOKUP(B262,input_433104!L:R,7,FALSE),VLOOKUP(tables_433104!C262,input_433104!A:H,8,FALSE))</f>
        <v>1253.1428599999999</v>
      </c>
      <c r="P262" s="46">
        <f t="shared" ca="1" si="17"/>
        <v>1.0714285738604148E-4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input_433104!A$2</f>
        <v>433104</v>
      </c>
      <c r="B263" s="60">
        <v>772</v>
      </c>
      <c r="C263" s="7" t="str">
        <f t="shared" si="16"/>
        <v>PremiumSS4</v>
      </c>
      <c r="D263" s="7" t="str">
        <f t="shared" si="18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イナバ</v>
      </c>
      <c r="I263" s="7" t="str">
        <f>VLOOKUP(B263,[1]characters!$A:$J,10,FALSE)</f>
        <v>PremiumSS</v>
      </c>
      <c r="J263" s="7">
        <f>VLOOKUP(B263,[1]characters!$A:$I,9,FALSE)</f>
        <v>4</v>
      </c>
      <c r="K263" s="7" t="str">
        <f>VLOOKUP(B263,[1]characters!$A:$H,8,FALSE)</f>
        <v>green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IFERROR(VLOOKUP(B263,input_433104!L:R,7,FALSE),VLOOKUP(tables_433104!C263,input_433104!A:H,8,FALSE))</f>
        <v>5168</v>
      </c>
      <c r="P263" s="46">
        <f t="shared" ca="1" si="17"/>
        <v>4.4186046511174505E-4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input_433104!A$2</f>
        <v>433104</v>
      </c>
      <c r="B264" s="60">
        <v>773</v>
      </c>
      <c r="C264" s="7" t="str">
        <f t="shared" si="16"/>
        <v>PremiumSS5</v>
      </c>
      <c r="D264" s="7" t="str">
        <f t="shared" si="18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浮跳天兎 イナバ</v>
      </c>
      <c r="I264" s="7" t="str">
        <f>VLOOKUP(B264,[1]characters!$A:$J,10,FALSE)</f>
        <v>PremiumSS</v>
      </c>
      <c r="J264" s="7">
        <f>VLOOKUP(B264,[1]characters!$A:$I,9,FALSE)</f>
        <v>5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IFERROR(VLOOKUP(B264,input_433104!L:R,7,FALSE),VLOOKUP(tables_433104!C264,input_433104!A:H,8,FALSE))</f>
        <v>272</v>
      </c>
      <c r="P264" s="46">
        <f t="shared" ca="1" si="17"/>
        <v>2.3255813953249738E-5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input_433104!A$2</f>
        <v>433104</v>
      </c>
      <c r="B265" s="60">
        <v>774</v>
      </c>
      <c r="C265" s="7" t="str">
        <f t="shared" si="16"/>
        <v>Premium3</v>
      </c>
      <c r="D265" s="7" t="str">
        <f t="shared" si="18"/>
        <v>Premium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ミズチ</v>
      </c>
      <c r="I265" s="7" t="str">
        <f>VLOOKUP(B265,[1]characters!$A:$J,10,FALSE)</f>
        <v>PremiumS</v>
      </c>
      <c r="J265" s="7">
        <f>VLOOKUP(B265,[1]characters!$A:$I,9,FALSE)</f>
        <v>3</v>
      </c>
      <c r="K265" s="7" t="str">
        <f>VLOOKUP(B265,[1]characters!$A:$H,8,FALSE)</f>
        <v>blue</v>
      </c>
      <c r="L265" s="7" t="str">
        <f>VLOOKUP(B265,[1]characters!$A:$K,11,FALSE)</f>
        <v>heal</v>
      </c>
      <c r="M265" s="7" t="str">
        <f>VLOOKUP(B265,[1]characters!$A:$M,13,FALSE)</f>
        <v>dragon</v>
      </c>
      <c r="N265" s="7" t="str">
        <f>VLOOKUP(B265,[1]characters!$A:$G,7,FALSE)</f>
        <v>不明</v>
      </c>
      <c r="O265" s="45">
        <f ca="1">IFERROR(VLOOKUP(B265,input_433104!L:R,7,FALSE),VLOOKUP(tables_433104!C265,input_433104!A:H,8,FALSE))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input_433104!A$2</f>
        <v>433104</v>
      </c>
      <c r="B266" s="60">
        <v>775</v>
      </c>
      <c r="C266" s="7" t="str">
        <f t="shared" si="16"/>
        <v>Premium4</v>
      </c>
      <c r="D266" s="7" t="str">
        <f t="shared" si="18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水底霊竜 ミズチ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IFERROR(VLOOKUP(B266,input_433104!L:R,7,FALSE),VLOOKUP(tables_433104!C266,input_433104!A:H,8,FALSE))</f>
        <v>58022.625639999998</v>
      </c>
      <c r="P266" s="46">
        <f t="shared" ca="1" si="17"/>
        <v>4.960894805010654E-3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input_433104!A$2</f>
        <v>433104</v>
      </c>
      <c r="B267" s="60">
        <v>776</v>
      </c>
      <c r="C267" s="7" t="str">
        <f t="shared" si="16"/>
        <v>Premium5</v>
      </c>
      <c r="D267" s="7" t="str">
        <f t="shared" si="18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水竜底主 ミズチ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IFERROR(VLOOKUP(B267,input_433104!L:R,7,FALSE),VLOOKUP(tables_433104!C267,input_433104!A:H,8,FALSE))</f>
        <v>938.97436000000005</v>
      </c>
      <c r="P267" s="46">
        <f t="shared" ca="1" si="17"/>
        <v>8.0281665525851998E-5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input_433104!A$2</f>
        <v>433104</v>
      </c>
      <c r="B268" s="60">
        <v>777</v>
      </c>
      <c r="C268" s="7" t="str">
        <f t="shared" si="16"/>
        <v>Premium3</v>
      </c>
      <c r="D268" s="7" t="str">
        <f t="shared" si="18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ガメック</v>
      </c>
      <c r="I268" s="7" t="str">
        <f>VLOOKUP(B268,[1]characters!$A:$J,10,FALSE)</f>
        <v>PremiumS</v>
      </c>
      <c r="J268" s="7">
        <f>VLOOKUP(B268,[1]characters!$A:$I,9,FALSE)</f>
        <v>3</v>
      </c>
      <c r="K268" s="7" t="str">
        <f>VLOOKUP(B268,[1]characters!$A:$H,8,FALSE)</f>
        <v>yellow</v>
      </c>
      <c r="L268" s="7" t="str">
        <f>VLOOKUP(B268,[1]characters!$A:$K,11,FALSE)</f>
        <v>hp</v>
      </c>
      <c r="M268" s="7" t="str">
        <f>VLOOKUP(B268,[1]characters!$A:$M,13,FALSE)</f>
        <v>animal</v>
      </c>
      <c r="N268" s="7" t="str">
        <f>VLOOKUP(B268,[1]characters!$A:$G,7,FALSE)</f>
        <v>不明</v>
      </c>
      <c r="O268" s="45">
        <f ca="1">IFERROR(VLOOKUP(B268,input_433104!L:R,7,FALSE),VLOOKUP(tables_433104!C268,input_433104!A:H,8,FALSE))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input_433104!A$2</f>
        <v>433104</v>
      </c>
      <c r="B269" s="60">
        <v>778</v>
      </c>
      <c r="C269" s="7" t="str">
        <f t="shared" si="16"/>
        <v>Premium4</v>
      </c>
      <c r="D269" s="7" t="str">
        <f t="shared" si="18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一亀懸明 ガメック</v>
      </c>
      <c r="I269" s="7" t="str">
        <f>VLOOKUP(B269,[1]characters!$A:$J,10,FALSE)</f>
        <v>PremiumS</v>
      </c>
      <c r="J269" s="7">
        <f>VLOOKUP(B269,[1]characters!$A:$I,9,FALSE)</f>
        <v>4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IFERROR(VLOOKUP(B269,input_433104!L:R,7,FALSE),VLOOKUP(tables_433104!C269,input_433104!A:H,8,FALSE))</f>
        <v>58022.625639999998</v>
      </c>
      <c r="P269" s="46">
        <f t="shared" ca="1" si="17"/>
        <v>4.960894805010654E-3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input_433104!A$2</f>
        <v>433104</v>
      </c>
      <c r="B270" s="60">
        <v>779</v>
      </c>
      <c r="C270" s="7" t="str">
        <f t="shared" si="16"/>
        <v>Premium5</v>
      </c>
      <c r="D270" s="7" t="str">
        <f t="shared" si="18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頑堅咬亀 ガメック</v>
      </c>
      <c r="I270" s="7" t="str">
        <f>VLOOKUP(B270,[1]characters!$A:$J,10,FALSE)</f>
        <v>PremiumS</v>
      </c>
      <c r="J270" s="7">
        <f>VLOOKUP(B270,[1]characters!$A:$I,9,FALSE)</f>
        <v>5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IFERROR(VLOOKUP(B270,input_433104!L:R,7,FALSE),VLOOKUP(tables_433104!C270,input_433104!A:H,8,FALSE))</f>
        <v>938.97436000000005</v>
      </c>
      <c r="P270" s="46">
        <f t="shared" ca="1" si="17"/>
        <v>8.0281665525851998E-5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input_433104!A$2</f>
        <v>433104</v>
      </c>
      <c r="B271" s="82">
        <v>848</v>
      </c>
      <c r="C271" s="7" t="str">
        <f t="shared" si="16"/>
        <v>PremiumSS5R5onlycolor</v>
      </c>
      <c r="D271" s="7" t="str">
        <f t="shared" si="18"/>
        <v>PremiumSS</v>
      </c>
      <c r="E271" s="7" t="str">
        <f>IF(COUNTIF('R6追加前'!A:A,B271)=0,IF(OR(I271="PremiumSS",I271="PremiumSSw"),"R5only","R3less"),"")</f>
        <v>R5only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メタトロン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red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IFERROR(VLOOKUP(B271,input_433104!L:R,7,FALSE),VLOOKUP(tables_433104!C271,input_433104!A:H,8,FALSE))</f>
        <v>25062.85714</v>
      </c>
      <c r="P271" s="46">
        <f t="shared" ca="1" si="17"/>
        <v>2.1428571425908707E-3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input_433104!A$2</f>
        <v>433104</v>
      </c>
      <c r="B272" s="82">
        <v>850</v>
      </c>
      <c r="C272" s="7" t="str">
        <f t="shared" si="16"/>
        <v>PremiumSS5R5only</v>
      </c>
      <c r="D272" s="7" t="str">
        <f t="shared" si="18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バアル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green</v>
      </c>
      <c r="L272" s="7" t="str">
        <f>VLOOKUP(B272,[1]characters!$A:$K,11,FALSE)</f>
        <v>technical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IFERROR(VLOOKUP(B272,input_433104!L:R,7,FALSE),VLOOKUP(tables_433104!C272,input_433104!A:H,8,FALSE))</f>
        <v>5440</v>
      </c>
      <c r="P272" s="46">
        <f t="shared" ca="1" si="17"/>
        <v>4.6511627906499476E-4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input_433104!A$2</f>
        <v>433104</v>
      </c>
      <c r="B273" s="82">
        <v>852</v>
      </c>
      <c r="C273" s="7" t="str">
        <f t="shared" si="16"/>
        <v>Premium4R3less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サキエル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blue</v>
      </c>
      <c r="L273" s="7" t="str">
        <f>VLOOKUP(B273,[1]characters!$A:$K,11,FALSE)</f>
        <v>hp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IFERROR(VLOOKUP(B273,input_433104!L:R,7,FALSE),VLOOKUP(tables_433104!C273,input_433104!A:H,8,FALSE))</f>
        <v>88703.84</v>
      </c>
      <c r="P273" s="46">
        <f t="shared" ca="1" si="17"/>
        <v>7.5841176469810005E-3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input_433104!A$2</f>
        <v>433104</v>
      </c>
      <c r="B274" s="82">
        <v>853</v>
      </c>
      <c r="C274" s="7" t="str">
        <f t="shared" si="16"/>
        <v>Premium5R3less</v>
      </c>
      <c r="D274" s="7" t="str">
        <f t="shared" si="18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裂爪の天使 サキエル・ティア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IFERROR(VLOOKUP(B274,input_433104!L:R,7,FALSE),VLOOKUP(tables_433104!C274,input_433104!A:H,8,FALSE))</f>
        <v>3240.48</v>
      </c>
      <c r="P274" s="46">
        <f t="shared" ca="1" si="17"/>
        <v>2.7705882352656877E-4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input_433104!A$2</f>
        <v>433104</v>
      </c>
      <c r="B275" s="82">
        <v>854</v>
      </c>
      <c r="C275" s="7" t="str">
        <f t="shared" si="16"/>
        <v>Premium4R3less</v>
      </c>
      <c r="D275" s="7" t="str">
        <f t="shared" si="18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フラウロス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yellow</v>
      </c>
      <c r="L275" s="7" t="str">
        <f>VLOOKUP(B275,[1]characters!$A:$K,11,FALSE)</f>
        <v>attack</v>
      </c>
      <c r="M275" s="7" t="str">
        <f>VLOOKUP(B275,[1]characters!$A:$M,13,FALSE)</f>
        <v>animal</v>
      </c>
      <c r="N275" s="7" t="str">
        <f>VLOOKUP(B275,[1]characters!$A:$G,7,FALSE)</f>
        <v>男性</v>
      </c>
      <c r="O275" s="45">
        <f ca="1">IFERROR(VLOOKUP(B275,input_433104!L:R,7,FALSE),VLOOKUP(tables_433104!C275,input_433104!A:H,8,FALSE))</f>
        <v>88703.84</v>
      </c>
      <c r="P275" s="46">
        <f t="shared" ca="1" si="17"/>
        <v>7.5841176469810005E-3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input_433104!A$2</f>
        <v>433104</v>
      </c>
      <c r="B276" s="82">
        <v>855</v>
      </c>
      <c r="C276" s="7" t="str">
        <f t="shared" si="16"/>
        <v>Premium5R3less</v>
      </c>
      <c r="D276" s="7" t="str">
        <f t="shared" si="18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豹魔の侠客 フラウロス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IFERROR(VLOOKUP(B276,input_433104!L:R,7,FALSE),VLOOKUP(tables_433104!C276,input_433104!A:H,8,FALSE))</f>
        <v>3240.48</v>
      </c>
      <c r="P276" s="46">
        <f t="shared" ca="1" si="17"/>
        <v>2.7705882352656877E-4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input_433104!A$2</f>
        <v>433104</v>
      </c>
      <c r="B277" s="82">
        <v>862</v>
      </c>
      <c r="C277" s="7" t="str">
        <f t="shared" si="16"/>
        <v>Premium4R3lesscolor</v>
      </c>
      <c r="D277" s="7" t="str">
        <f t="shared" si="18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IFERROR(VLOOKUP(B277,input_433104!L:R,7,FALSE),VLOOKUP(tables_433104!C277,input_433104!A:H,8,FALSE))</f>
        <v>218776.22261</v>
      </c>
      <c r="P277" s="46">
        <f t="shared" ca="1" si="17"/>
        <v>1.8705217391223928E-2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input_433104!A$2</f>
        <v>433104</v>
      </c>
      <c r="B278" s="82">
        <v>863</v>
      </c>
      <c r="C278" s="7" t="str">
        <f t="shared" si="16"/>
        <v>Premium5R3lesscolor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IFERROR(VLOOKUP(B278,input_433104!L:R,7,FALSE),VLOOKUP(tables_433104!C278,input_433104!A:H,8,FALSE))</f>
        <v>14370.824350000001</v>
      </c>
      <c r="P278" s="46">
        <f t="shared" ca="1" si="17"/>
        <v>1.2286956523471732E-3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input_433104!A$2</f>
        <v>433104</v>
      </c>
      <c r="B279" s="82">
        <v>864</v>
      </c>
      <c r="C279" s="7" t="str">
        <f t="shared" si="16"/>
        <v>Premium4R3less</v>
      </c>
      <c r="D279" s="7" t="str">
        <f t="shared" si="18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IFERROR(VLOOKUP(B279,input_433104!L:R,7,FALSE),VLOOKUP(tables_433104!C279,input_433104!A:H,8,FALSE))</f>
        <v>88703.84</v>
      </c>
      <c r="P279" s="46">
        <f t="shared" ca="1" si="17"/>
        <v>7.5841176469810005E-3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input_433104!A$2</f>
        <v>433104</v>
      </c>
      <c r="B280" s="82">
        <v>865</v>
      </c>
      <c r="C280" s="7" t="str">
        <f t="shared" si="16"/>
        <v>Premium5R3less</v>
      </c>
      <c r="D280" s="7" t="str">
        <f t="shared" si="18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IFERROR(VLOOKUP(B280,input_433104!L:R,7,FALSE),VLOOKUP(tables_433104!C280,input_433104!A:H,8,FALSE))</f>
        <v>3240.48</v>
      </c>
      <c r="P280" s="46">
        <f t="shared" ca="1" si="17"/>
        <v>2.7705882352656877E-4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input_433104!A$2</f>
        <v>433104</v>
      </c>
      <c r="B281" s="82">
        <v>866</v>
      </c>
      <c r="C281" s="7" t="str">
        <f t="shared" si="16"/>
        <v>PremiumSS5R5only</v>
      </c>
      <c r="D281" s="7" t="str">
        <f t="shared" si="18"/>
        <v>PremiumSS</v>
      </c>
      <c r="E281" s="7" t="str">
        <f>IF(COUNTIF('R6追加前'!A:A,B281)=0,IF(OR(I281="PremiumSS",I281="PremiumSSw"),"R5only","R3less"),"")</f>
        <v>R5only</v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IFERROR(VLOOKUP(B281,input_433104!L:R,7,FALSE),VLOOKUP(tables_433104!C281,input_433104!A:H,8,FALSE))</f>
        <v>5440</v>
      </c>
      <c r="P281" s="46">
        <f t="shared" ca="1" si="17"/>
        <v>4.6511627906499476E-4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input_433104!A$2</f>
        <v>433104</v>
      </c>
      <c r="B282" s="82">
        <v>868</v>
      </c>
      <c r="C282" s="7" t="str">
        <f t="shared" si="16"/>
        <v>PremiumSS5R5only</v>
      </c>
      <c r="D282" s="7" t="str">
        <f t="shared" si="18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IFERROR(VLOOKUP(B282,input_433104!L:R,7,FALSE),VLOOKUP(tables_433104!C282,input_433104!A:H,8,FALSE))</f>
        <v>5440</v>
      </c>
      <c r="P282" s="46">
        <f t="shared" ca="1" si="17"/>
        <v>4.6511627906499476E-4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input_433104!A$2</f>
        <v>433104</v>
      </c>
      <c r="B283" s="5">
        <v>742</v>
      </c>
      <c r="C283" s="7" t="str">
        <f t="shared" si="16"/>
        <v>PremiumSS5R5onlycolor</v>
      </c>
      <c r="D283" s="7" t="str">
        <f t="shared" si="18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9"/>
        <v>color</v>
      </c>
      <c r="H283" s="7" t="str">
        <f>VLOOKUP(B283,[1]characters!$A:$C,3,FALSE)</f>
        <v>アポロン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red</v>
      </c>
      <c r="L283" s="7" t="str">
        <f>VLOOKUP(B283,[1]characters!$A:$K,11,FALSE)</f>
        <v>attack</v>
      </c>
      <c r="M283" s="7" t="str">
        <f>VLOOKUP(B283,[1]characters!$A:$M,13,FALSE)</f>
        <v>god</v>
      </c>
      <c r="N283" s="7" t="str">
        <f>VLOOKUP(B283,[1]characters!$A:$G,7,FALSE)</f>
        <v>男性</v>
      </c>
      <c r="O283" s="45">
        <f ca="1">IFERROR(VLOOKUP(B283,input_433104!L:R,7,FALSE),VLOOKUP(tables_433104!C283,input_433104!A:H,8,FALSE))</f>
        <v>25062.85714</v>
      </c>
      <c r="P283" s="46">
        <f t="shared" ca="1" si="17"/>
        <v>2.1428571425908707E-3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input_433104!A$2</f>
        <v>433104</v>
      </c>
      <c r="B284" s="5">
        <v>744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ヘルメス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green</v>
      </c>
      <c r="L284" s="7" t="str">
        <f>VLOOKUP(B284,[1]characters!$A:$K,11,FALSE)</f>
        <v>technical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IFERROR(VLOOKUP(B284,input_433104!L:R,7,FALSE),VLOOKUP(tables_433104!C284,input_433104!A:H,8,FALSE))</f>
        <v>5440</v>
      </c>
      <c r="P284" s="46">
        <f t="shared" ca="1" si="17"/>
        <v>4.6511627906499476E-4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input_433104!A$2</f>
        <v>433104</v>
      </c>
      <c r="B285" s="5">
        <v>746</v>
      </c>
      <c r="C285" s="7" t="str">
        <f t="shared" ref="C285:C290" si="20">D285&amp;J285&amp;E285&amp;F285&amp;G285</f>
        <v>Premium4R3less</v>
      </c>
      <c r="D285" s="7" t="str">
        <f t="shared" si="18"/>
        <v>Premium</v>
      </c>
      <c r="E285" s="7" t="str">
        <f>IF(COUNTIF('R6追加前'!A:A,B285)=0,IF(OR(I285="PremiumSS",I285="PremiumSSw"),"R5only","R3less"),"")</f>
        <v>R3less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ノルン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IFERROR(VLOOKUP(B285,input_433104!L:R,7,FALSE),VLOOKUP(tables_433104!C285,input_433104!A:H,8,FALSE))</f>
        <v>88703.84</v>
      </c>
      <c r="P285" s="46">
        <f t="shared" ca="1" si="17"/>
        <v>7.5841176469810005E-3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input_433104!A$2</f>
        <v>433104</v>
      </c>
      <c r="B286" s="5">
        <v>747</v>
      </c>
      <c r="C286" s="7" t="str">
        <f t="shared" si="20"/>
        <v>Premium5R3less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IFERROR(VLOOKUP(B286,input_433104!L:R,7,FALSE),VLOOKUP(tables_433104!C286,input_433104!A:H,8,FALSE))</f>
        <v>3240.48</v>
      </c>
      <c r="P286" s="46">
        <f t="shared" ca="1" si="17"/>
        <v>2.7705882352656877E-4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input_433104!A$2</f>
        <v>433104</v>
      </c>
      <c r="B287" s="5">
        <v>748</v>
      </c>
      <c r="C287" s="7" t="str">
        <f t="shared" si="20"/>
        <v>Premium4R3less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パーン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IFERROR(VLOOKUP(B287,input_433104!L:R,7,FALSE),VLOOKUP(tables_433104!C287,input_433104!A:H,8,FALSE))</f>
        <v>88703.84</v>
      </c>
      <c r="P287" s="46">
        <f t="shared" ca="1" si="17"/>
        <v>7.5841176469810005E-3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input_433104!A$2</f>
        <v>433104</v>
      </c>
      <c r="B288" s="5">
        <v>749</v>
      </c>
      <c r="C288" s="7" t="str">
        <f t="shared" si="20"/>
        <v>Premium5R3less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光喜の牧童 パーン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IFERROR(VLOOKUP(B288,input_433104!L:R,7,FALSE),VLOOKUP(tables_433104!C288,input_433104!A:H,8,FALSE))</f>
        <v>3240.48</v>
      </c>
      <c r="P288" s="46">
        <f t="shared" ca="1" si="17"/>
        <v>2.7705882352656877E-4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input_433104!A$2</f>
        <v>433104</v>
      </c>
      <c r="B289" s="5">
        <v>937</v>
      </c>
      <c r="C289" s="7" t="str">
        <f t="shared" si="20"/>
        <v>PremiumSS5R5onlycolor</v>
      </c>
      <c r="D289" s="7" t="str">
        <f t="shared" si="18"/>
        <v>PremiumSS</v>
      </c>
      <c r="E289" s="7" t="str">
        <f>IF(COUNTIF('R6追加前'!A:A,B289)=0,IF(OR(I289="PremiumSS",I289="PremiumSSw"),"R5only","R3less"),"")</f>
        <v>R5only</v>
      </c>
      <c r="F289" s="7" t="str">
        <f>IF(COUNTIF('R6開放'!A:A,B289)&gt;0,"R6release","")</f>
        <v/>
      </c>
      <c r="G289" s="7" t="str">
        <f t="shared" si="19"/>
        <v>color</v>
      </c>
      <c r="H289" s="7" t="str">
        <f>VLOOKUP(B289,[1]characters!$A:$C,3,FALSE)</f>
        <v>ナポレオン</v>
      </c>
      <c r="I289" s="7" t="str">
        <f>VLOOKUP(B289,[1]characters!$A:$J,10,FALSE)</f>
        <v>PremiumSS</v>
      </c>
      <c r="J289" s="7">
        <f>VLOOKUP(B289,[1]characters!$A:$I,9,FALSE)</f>
        <v>5</v>
      </c>
      <c r="K289" s="7" t="str">
        <f>VLOOKUP(B289,[1]characters!$A:$H,8,FALSE)</f>
        <v>red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男性</v>
      </c>
      <c r="O289" s="45">
        <f ca="1">IFERROR(VLOOKUP(B289,input_433104!L:R,7,FALSE),VLOOKUP(tables_433104!C289,input_433104!A:H,8,FALSE))</f>
        <v>25062.85714</v>
      </c>
      <c r="P289" s="46">
        <f t="shared" ca="1" si="17"/>
        <v>2.1428571425908707E-3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input_433104!A$2</f>
        <v>433104</v>
      </c>
      <c r="B290" s="5">
        <v>939</v>
      </c>
      <c r="C290" s="7" t="str">
        <f t="shared" si="20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バスティーユ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hp</v>
      </c>
      <c r="M290" s="7" t="str">
        <f>VLOOKUP(B290,[1]characters!$A:$M,13,FALSE)</f>
        <v>unknown</v>
      </c>
      <c r="N290" s="7" t="str">
        <f>VLOOKUP(B290,[1]characters!$A:$G,7,FALSE)</f>
        <v>男性</v>
      </c>
      <c r="O290" s="45">
        <f ca="1">IFERROR(VLOOKUP(B290,input_433104!L:R,7,FALSE),VLOOKUP(tables_433104!C290,input_433104!A:H,8,FALSE))</f>
        <v>88703.84</v>
      </c>
      <c r="P290" s="46">
        <f t="shared" ca="1" si="17"/>
        <v>7.5841176469810005E-3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input_433104!A$2</f>
        <v>433104</v>
      </c>
      <c r="B291" s="5">
        <v>940</v>
      </c>
      <c r="C291" s="7" t="str">
        <f t="shared" ref="C291:C300" si="21">D291&amp;J291&amp;E291&amp;F291&amp;G291</f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不壊の大要塞 バスティーユ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IFERROR(VLOOKUP(B291,input_433104!L:R,7,FALSE),VLOOKUP(tables_433104!C291,input_433104!A:H,8,FALSE))</f>
        <v>3240.48</v>
      </c>
      <c r="P291" s="46">
        <f t="shared" ca="1" si="17"/>
        <v>2.7705882352656877E-4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input_433104!A$2</f>
        <v>433104</v>
      </c>
      <c r="B292" s="5">
        <v>941</v>
      </c>
      <c r="C292" s="7" t="str">
        <f t="shared" si="21"/>
        <v>PremiumSS5R5only</v>
      </c>
      <c r="D292" s="7" t="str">
        <f t="shared" si="18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アントワネット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blue</v>
      </c>
      <c r="L292" s="7" t="str">
        <f>VLOOKUP(B292,[1]characters!$A:$K,11,FALSE)</f>
        <v>technical</v>
      </c>
      <c r="M292" s="7" t="str">
        <f>VLOOKUP(B292,[1]characters!$A:$M,13,FALSE)</f>
        <v>human</v>
      </c>
      <c r="N292" s="7" t="str">
        <f>VLOOKUP(B292,[1]characters!$A:$G,7,FALSE)</f>
        <v>男性</v>
      </c>
      <c r="O292" s="45">
        <f ca="1">IFERROR(VLOOKUP(B292,input_433104!L:R,7,FALSE),VLOOKUP(tables_433104!C292,input_433104!A:H,8,FALSE))</f>
        <v>5440</v>
      </c>
      <c r="P292" s="46">
        <f t="shared" ca="1" si="17"/>
        <v>4.6511627906499476E-4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input_433104!A$2</f>
        <v>433104</v>
      </c>
      <c r="B293" s="5">
        <v>943</v>
      </c>
      <c r="C293" s="7" t="str">
        <f t="shared" si="21"/>
        <v>PremiumSS5R5only</v>
      </c>
      <c r="D293" s="7" t="str">
        <f t="shared" si="18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サンソン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yellow</v>
      </c>
      <c r="L293" s="7" t="str">
        <f>VLOOKUP(B293,[1]characters!$A:$K,11,FALSE)</f>
        <v>attack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IFERROR(VLOOKUP(B293,input_433104!L:R,7,FALSE),VLOOKUP(tables_433104!C293,input_433104!A:H,8,FALSE))</f>
        <v>5440</v>
      </c>
      <c r="P293" s="46">
        <f t="shared" ca="1" si="17"/>
        <v>4.6511627906499476E-4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input_433104!A$2</f>
        <v>433104</v>
      </c>
      <c r="B294" s="5">
        <v>1012</v>
      </c>
      <c r="C294" s="7" t="str">
        <f t="shared" si="21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ラー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red</v>
      </c>
      <c r="L294" s="7" t="str">
        <f>VLOOKUP(B294,[1]characters!$A:$K,11,FALSE)</f>
        <v>balance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5">
        <f ca="1">IFERROR(VLOOKUP(B294,input_433104!L:R,7,FALSE),VLOOKUP(tables_433104!C294,input_433104!A:H,8,FALSE))</f>
        <v>25062.85714</v>
      </c>
      <c r="P294" s="46">
        <f t="shared" ca="1" si="17"/>
        <v>2.1428571425908707E-3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input_433104!A$2</f>
        <v>433104</v>
      </c>
      <c r="B295" s="5">
        <v>1014</v>
      </c>
      <c r="C295" s="7" t="str">
        <f t="shared" si="21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イシス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green</v>
      </c>
      <c r="L295" s="7" t="str">
        <f>VLOOKUP(B295,[1]characters!$A:$K,11,FALSE)</f>
        <v>hp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IFERROR(VLOOKUP(B295,input_433104!L:R,7,FALSE),VLOOKUP(tables_433104!C295,input_433104!A:H,8,FALSE))</f>
        <v>5440</v>
      </c>
      <c r="P295" s="46">
        <f t="shared" ca="1" si="17"/>
        <v>4.6511627906499476E-4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input_433104!A$2</f>
        <v>433104</v>
      </c>
      <c r="B296" s="5">
        <v>1016</v>
      </c>
      <c r="C296" s="7" t="str">
        <f t="shared" si="21"/>
        <v>Premium4R3less</v>
      </c>
      <c r="D296" s="7" t="str">
        <f t="shared" si="18"/>
        <v>Premium</v>
      </c>
      <c r="E296" s="7" t="str">
        <f>IF(COUNTIF('R6追加前'!A:A,B296)=0,IF(OR(I296="PremiumSS",I296="PremiumSSw"),"R5only","R3less"),"")</f>
        <v>R3less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ハトホル</v>
      </c>
      <c r="I296" s="7" t="str">
        <f>VLOOKUP(B296,[1]characters!$A:$J,10,FALSE)</f>
        <v>PremiumS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heal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IFERROR(VLOOKUP(B296,input_433104!L:R,7,FALSE),VLOOKUP(tables_433104!C296,input_433104!A:H,8,FALSE))</f>
        <v>88703.84</v>
      </c>
      <c r="P296" s="46">
        <f t="shared" ca="1" si="17"/>
        <v>7.5841176469810005E-3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input_433104!A$2</f>
        <v>433104</v>
      </c>
      <c r="B297" s="5">
        <v>1017</v>
      </c>
      <c r="C297" s="7" t="str">
        <f t="shared" si="21"/>
        <v>Premium5R3less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命瞳の慈母神 ハトホル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IFERROR(VLOOKUP(B297,input_433104!L:R,7,FALSE),VLOOKUP(tables_433104!C297,input_433104!A:H,8,FALSE))</f>
        <v>3240.48</v>
      </c>
      <c r="P297" s="46">
        <f t="shared" ca="1" si="17"/>
        <v>2.7705882352656877E-4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input_433104!A$2</f>
        <v>433104</v>
      </c>
      <c r="B298" s="5">
        <v>1018</v>
      </c>
      <c r="C298" s="7" t="str">
        <f t="shared" si="21"/>
        <v>PremiumSS5R5only</v>
      </c>
      <c r="D298" s="7" t="str">
        <f t="shared" si="18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バステト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attack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IFERROR(VLOOKUP(B298,input_433104!L:R,7,FALSE),VLOOKUP(tables_433104!C298,input_433104!A:H,8,FALSE))</f>
        <v>5440</v>
      </c>
      <c r="P298" s="46">
        <f t="shared" ca="1" si="17"/>
        <v>4.6511627906499476E-4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input_433104!A$2</f>
        <v>433104</v>
      </c>
      <c r="B299" s="5">
        <v>1026</v>
      </c>
      <c r="C299" s="7" t="str">
        <f t="shared" si="21"/>
        <v>Premium4R3lesscolor</v>
      </c>
      <c r="D299" s="7" t="str">
        <f t="shared" si="18"/>
        <v>Premium</v>
      </c>
      <c r="E299" s="7" t="str">
        <f>IF(COUNTIF('R6追加前'!A:A,B299)=0,IF(OR(I299="PremiumSS",I299="PremiumSSw"),"R5only","R3less"),"")</f>
        <v>R3less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蝉丸</v>
      </c>
      <c r="I299" s="7" t="str">
        <f>VLOOKUP(B299,[1]characters!$A:$J,10,FALSE)</f>
        <v>PremiumS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attack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IFERROR(VLOOKUP(B299,input_433104!L:R,7,FALSE),VLOOKUP(tables_433104!C299,input_433104!A:H,8,FALSE))</f>
        <v>218776.22261</v>
      </c>
      <c r="P299" s="46">
        <f t="shared" ca="1" si="17"/>
        <v>1.8705217391223928E-2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input_433104!A$2</f>
        <v>433104</v>
      </c>
      <c r="B300" s="5">
        <v>1027</v>
      </c>
      <c r="C300" s="7" t="str">
        <f t="shared" si="21"/>
        <v>Premium5R3lesscolor</v>
      </c>
      <c r="D300" s="7" t="str">
        <f t="shared" si="18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9"/>
        <v>color</v>
      </c>
      <c r="H300" s="7" t="str">
        <f>VLOOKUP(B300,[1]characters!$A:$C,3,FALSE)</f>
        <v>弾丸多重奏 蝉丸</v>
      </c>
      <c r="I300" s="7" t="str">
        <f>VLOOKUP(B300,[1]characters!$A:$J,10,FALSE)</f>
        <v>PremiumS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IFERROR(VLOOKUP(B300,input_433104!L:R,7,FALSE),VLOOKUP(tables_433104!C300,input_433104!A:H,8,FALSE))</f>
        <v>14370.824350000001</v>
      </c>
      <c r="P300" s="46">
        <f t="shared" ca="1" si="17"/>
        <v>1.2286956523471732E-3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input_433104!A$2</f>
        <v>433104</v>
      </c>
      <c r="B301" s="5">
        <v>1028</v>
      </c>
      <c r="C301" s="7" t="str">
        <f t="shared" ref="C301:C305" si="22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牛若丸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green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IFERROR(VLOOKUP(B301,input_433104!L:R,7,FALSE),VLOOKUP(tables_433104!C301,input_433104!A:H,8,FALSE))</f>
        <v>5440</v>
      </c>
      <c r="P301" s="46">
        <f t="shared" ca="1" si="17"/>
        <v>4.6511627906499476E-4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input_433104!A$2</f>
        <v>433104</v>
      </c>
      <c r="B302" s="5">
        <v>1031</v>
      </c>
      <c r="C302" s="7" t="str">
        <f t="shared" si="22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紫式部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IFERROR(VLOOKUP(B302,input_433104!L:R,7,FALSE),VLOOKUP(tables_433104!C302,input_433104!A:H,8,FALSE))</f>
        <v>5440</v>
      </c>
      <c r="P302" s="46">
        <f t="shared" ca="1" si="17"/>
        <v>4.6511627906499476E-4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input_433104!A$2</f>
        <v>433104</v>
      </c>
      <c r="B303" s="5">
        <v>1033</v>
      </c>
      <c r="C303" s="7" t="str">
        <f t="shared" si="22"/>
        <v>PremiumSS5R5only</v>
      </c>
      <c r="D303" s="7" t="str">
        <f t="shared" si="18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清少納言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heal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IFERROR(VLOOKUP(B303,input_433104!L:R,7,FALSE),VLOOKUP(tables_433104!C303,input_433104!A:H,8,FALSE))</f>
        <v>5440</v>
      </c>
      <c r="P303" s="46">
        <f t="shared" ca="1" si="17"/>
        <v>4.6511627906499476E-4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input_433104!A$2</f>
        <v>433104</v>
      </c>
      <c r="B304" s="5">
        <v>1067</v>
      </c>
      <c r="C304" s="7" t="str">
        <f t="shared" si="22"/>
        <v>Premium4R3lesscolor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ウシュムガル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red</v>
      </c>
      <c r="L304" s="7" t="str">
        <f>VLOOKUP(B304,[1]characters!$A:$K,11,FALSE)</f>
        <v>balance</v>
      </c>
      <c r="M304" s="7" t="str">
        <f>VLOOKUP(B304,[1]characters!$A:$M,13,FALSE)</f>
        <v>dragon</v>
      </c>
      <c r="N304" s="7" t="str">
        <f>VLOOKUP(B304,[1]characters!$A:$G,7,FALSE)</f>
        <v>男性</v>
      </c>
      <c r="O304" s="45">
        <f ca="1">IFERROR(VLOOKUP(B304,input_433104!L:R,7,FALSE),VLOOKUP(tables_433104!C304,input_433104!A:H,8,FALSE))</f>
        <v>218776.22261</v>
      </c>
      <c r="P304" s="46">
        <f t="shared" ca="1" si="17"/>
        <v>1.8705217391223928E-2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input_433104!A$2</f>
        <v>433104</v>
      </c>
      <c r="B305" s="5">
        <v>1068</v>
      </c>
      <c r="C305" s="7" t="str">
        <f t="shared" si="22"/>
        <v>Premium5R3lesscolor</v>
      </c>
      <c r="D305" s="7" t="str">
        <f t="shared" si="18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9"/>
        <v>color</v>
      </c>
      <c r="H305" s="7" t="str">
        <f>VLOOKUP(B305,[1]characters!$A:$C,3,FALSE)</f>
        <v>想母の羽龍 ウシュムガル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IFERROR(VLOOKUP(B305,input_433104!L:R,7,FALSE),VLOOKUP(tables_433104!C305,input_433104!A:H,8,FALSE))</f>
        <v>14370.824350000001</v>
      </c>
      <c r="P305" s="46">
        <f t="shared" ca="1" si="17"/>
        <v>1.2286956523471732E-3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input_433104!A$2</f>
        <v>433104</v>
      </c>
      <c r="B306" s="5">
        <v>1069</v>
      </c>
      <c r="C306" s="7" t="str">
        <f t="shared" ref="C306:C310" si="23">D306&amp;J306&amp;E306&amp;F306&amp;G306</f>
        <v>PremiumSS5R5only</v>
      </c>
      <c r="D306" s="7" t="str">
        <f t="shared" ref="D306:D310" si="24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イシュタル</v>
      </c>
      <c r="I306" s="7" t="str">
        <f>VLOOKUP(B306,[1]characters!$A:$J,10,FALSE)</f>
        <v>PremiumSS</v>
      </c>
      <c r="J306" s="7">
        <f>VLOOKUP(B306,[1]characters!$A:$I,9,FALSE)</f>
        <v>5</v>
      </c>
      <c r="K306" s="7" t="str">
        <f>VLOOKUP(B306,[1]characters!$A:$H,8,FALSE)</f>
        <v>green</v>
      </c>
      <c r="L306" s="7" t="str">
        <f>VLOOKUP(B306,[1]characters!$A:$K,11,FALSE)</f>
        <v>technical</v>
      </c>
      <c r="M306" s="7" t="str">
        <f>VLOOKUP(B306,[1]characters!$A:$M,13,FALSE)</f>
        <v>god</v>
      </c>
      <c r="N306" s="7" t="str">
        <f>VLOOKUP(B306,[1]characters!$A:$G,7,FALSE)</f>
        <v>男性</v>
      </c>
      <c r="O306" s="45">
        <f ca="1">IFERROR(VLOOKUP(B306,input_433104!L:R,7,FALSE),VLOOKUP(tables_433104!C306,input_433104!A:H,8,FALSE))</f>
        <v>5440</v>
      </c>
      <c r="P306" s="46">
        <f t="shared" ref="P306:P310" ca="1" si="25">O306/SUM(O:O)</f>
        <v>4.6511627906499476E-4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input_433104!A$2</f>
        <v>433104</v>
      </c>
      <c r="B307" s="5">
        <v>1072</v>
      </c>
      <c r="C307" s="7" t="str">
        <f t="shared" si="23"/>
        <v>PremiumSS5R5only</v>
      </c>
      <c r="D307" s="7" t="str">
        <f t="shared" si="2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エンキドゥ</v>
      </c>
      <c r="I307" s="7" t="str">
        <f>VLOOKUP(B307,[1]characters!$A:$J,10,FALSE)</f>
        <v>PremiumSSw</v>
      </c>
      <c r="J307" s="7">
        <f>VLOOKUP(B307,[1]characters!$A:$I,9,FALSE)</f>
        <v>5</v>
      </c>
      <c r="K307" s="7" t="str">
        <f>VLOOKUP(B307,[1]characters!$A:$H,8,FALSE)</f>
        <v>blue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IFERROR(VLOOKUP(B307,input_433104!L:R,7,FALSE),VLOOKUP(tables_433104!C307,input_433104!A:H,8,FALSE))</f>
        <v>5440</v>
      </c>
      <c r="P307" s="46">
        <f t="shared" ca="1" si="25"/>
        <v>4.6511627906499476E-4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input_433104!A$2</f>
        <v>433104</v>
      </c>
      <c r="B308" s="5">
        <v>1074</v>
      </c>
      <c r="C308" s="7" t="str">
        <f t="shared" si="23"/>
        <v>PremiumSS5R5only</v>
      </c>
      <c r="D308" s="7" t="str">
        <f t="shared" si="2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マルドゥク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yellow</v>
      </c>
      <c r="L308" s="7" t="str">
        <f>VLOOKUP(B308,[1]characters!$A:$K,11,FALSE)</f>
        <v>technical</v>
      </c>
      <c r="M308" s="7" t="str">
        <f>VLOOKUP(B308,[1]characters!$A:$M,13,FALSE)</f>
        <v>god</v>
      </c>
      <c r="N308" s="7" t="str">
        <f>VLOOKUP(B308,[1]characters!$A:$G,7,FALSE)</f>
        <v>男性</v>
      </c>
      <c r="O308" s="45">
        <f ca="1">IFERROR(VLOOKUP(B308,input_433104!L:R,7,FALSE),VLOOKUP(tables_433104!C308,input_433104!A:H,8,FALSE))</f>
        <v>5440</v>
      </c>
      <c r="P308" s="46">
        <f t="shared" ca="1" si="25"/>
        <v>4.6511627906499476E-4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input_433104!A$2</f>
        <v>433104</v>
      </c>
      <c r="B309" s="5">
        <v>1104</v>
      </c>
      <c r="C309" s="7" t="str">
        <f t="shared" si="23"/>
        <v>Premium4R3less</v>
      </c>
      <c r="D309" s="7" t="str">
        <f t="shared" si="24"/>
        <v>Premium</v>
      </c>
      <c r="E309" s="7" t="str">
        <f>IF(COUNTIF('R6追加前'!A:A,B309)=0,IF(OR(I309="PremiumSS",I309="PremiumSSw"),"R5only","R3less"),"")</f>
        <v>R3less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クリムト</v>
      </c>
      <c r="I309" s="7" t="str">
        <f>VLOOKUP(B309,[1]characters!$A:$J,10,FALSE)</f>
        <v>PremiumS</v>
      </c>
      <c r="J309" s="7">
        <f>VLOOKUP(B309,[1]characters!$A:$I,9,FALSE)</f>
        <v>4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不明</v>
      </c>
      <c r="O309" s="45">
        <f ca="1">IFERROR(VLOOKUP(B309,input_433104!L:R,7,FALSE),VLOOKUP(tables_433104!C309,input_433104!A:H,8,FALSE))</f>
        <v>88703.84</v>
      </c>
      <c r="P309" s="46">
        <f t="shared" ca="1" si="25"/>
        <v>7.5841176469810005E-3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input_433104!A$2</f>
        <v>433104</v>
      </c>
      <c r="B310" s="5">
        <v>1105</v>
      </c>
      <c r="C310" s="7" t="str">
        <f t="shared" si="23"/>
        <v>Premium5R3less</v>
      </c>
      <c r="D310" s="7" t="str">
        <f t="shared" si="2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甘美なる背徳 クリムト</v>
      </c>
      <c r="I310" s="7" t="str">
        <f>VLOOKUP(B310,[1]characters!$A:$J,10,FALSE)</f>
        <v>PremiumS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IFERROR(VLOOKUP(B310,input_433104!L:R,7,FALSE),VLOOKUP(tables_433104!C310,input_433104!A:H,8,FALSE))</f>
        <v>3240.48</v>
      </c>
      <c r="P310" s="46">
        <f t="shared" ca="1" si="25"/>
        <v>2.7705882352656877E-4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input_433104!A$2</f>
        <v>433104</v>
      </c>
      <c r="B311" s="5">
        <v>1106</v>
      </c>
      <c r="C311" s="7" t="str">
        <f t="shared" ref="C311:C319" si="26">D311&amp;J311&amp;E311&amp;F311&amp;G311</f>
        <v>PremiumSS5R5only</v>
      </c>
      <c r="D311" s="7" t="str">
        <f t="shared" ref="D311:D319" si="27">IF(OR(I311="PremiumSS",I311="PremiumSSw"),"PremiumSS",IF(I311="PremiumSSS",I311,IF(I311="PremiumW",I311,"Premium")))</f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ラファエロ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yellow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IFERROR(VLOOKUP(B311,input_433104!L:R,7,FALSE),VLOOKUP(tables_433104!C311,input_433104!A:H,8,FALSE))</f>
        <v>5440</v>
      </c>
      <c r="P311" s="46">
        <f t="shared" ref="P311:P319" ca="1" si="28">O311/SUM(O:O)</f>
        <v>4.6511627906499476E-4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input_433104!A$2</f>
        <v>433104</v>
      </c>
      <c r="B312" s="5">
        <v>1102</v>
      </c>
      <c r="C312" s="7" t="str">
        <f t="shared" si="26"/>
        <v>PremiumSS5R5only</v>
      </c>
      <c r="D312" s="7" t="str">
        <f t="shared" si="27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IFERROR(VLOOKUP(B312,input_433104!L:R,7,FALSE),VLOOKUP(tables_433104!C312,input_433104!A:H,8,FALSE))</f>
        <v>5440</v>
      </c>
      <c r="P312" s="46">
        <f t="shared" ca="1" si="28"/>
        <v>4.6511627906499476E-4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input_433104!A$2</f>
        <v>433104</v>
      </c>
      <c r="B313" s="5">
        <v>1100</v>
      </c>
      <c r="C313" s="7" t="str">
        <f t="shared" si="26"/>
        <v>PremiumSS5R5onlycolor</v>
      </c>
      <c r="D313" s="7" t="str">
        <f t="shared" si="27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北斎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red</v>
      </c>
      <c r="L313" s="7" t="str">
        <f>VLOOKUP(B313,[1]characters!$A:$K,11,FALSE)</f>
        <v>attack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IFERROR(VLOOKUP(B313,input_433104!L:R,7,FALSE),VLOOKUP(tables_433104!C313,input_433104!A:H,8,FALSE))</f>
        <v>25062.85714</v>
      </c>
      <c r="P313" s="46">
        <f t="shared" ca="1" si="28"/>
        <v>2.1428571425908707E-3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input_433104!A$2</f>
        <v>433104</v>
      </c>
      <c r="B314" s="5">
        <v>1137</v>
      </c>
      <c r="C314" s="7" t="str">
        <f t="shared" si="26"/>
        <v>PremiumSS5R5onlycolor</v>
      </c>
      <c r="D314" s="7" t="str">
        <f t="shared" si="27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諸葛亮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technical</v>
      </c>
      <c r="M314" s="7" t="str">
        <f>VLOOKUP(B314,[1]characters!$A:$M,13,FALSE)</f>
        <v>samurai</v>
      </c>
      <c r="N314" s="7" t="str">
        <f>VLOOKUP(B314,[1]characters!$A:$G,7,FALSE)</f>
        <v>不明</v>
      </c>
      <c r="O314" s="45">
        <f ca="1">IFERROR(VLOOKUP(B314,input_433104!L:R,7,FALSE),VLOOKUP(tables_433104!C314,input_433104!A:H,8,FALSE))</f>
        <v>25062.85714</v>
      </c>
      <c r="P314" s="46">
        <f t="shared" ca="1" si="28"/>
        <v>2.1428571425908707E-3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input_433104!A$2</f>
        <v>433104</v>
      </c>
      <c r="B315" s="5">
        <v>1139</v>
      </c>
      <c r="C315" s="7" t="str">
        <f t="shared" si="26"/>
        <v>PremiumSS5R5only</v>
      </c>
      <c r="D315" s="7" t="str">
        <f t="shared" si="27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趙雲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IFERROR(VLOOKUP(B315,input_433104!L:R,7,FALSE),VLOOKUP(tables_433104!C315,input_433104!A:H,8,FALSE))</f>
        <v>5440</v>
      </c>
      <c r="P315" s="46">
        <f t="shared" ca="1" si="28"/>
        <v>4.6511627906499476E-4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input_433104!A$2</f>
        <v>433104</v>
      </c>
      <c r="B316" s="5">
        <v>1141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月英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IFERROR(VLOOKUP(B316,input_433104!L:R,7,FALSE),VLOOKUP(tables_433104!C316,input_433104!A:H,8,FALSE))</f>
        <v>5440</v>
      </c>
      <c r="P316" s="46">
        <f t="shared" ca="1" si="28"/>
        <v>4.6511627906499476E-4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input_433104!A$2</f>
        <v>433104</v>
      </c>
      <c r="B317" s="5">
        <v>1143</v>
      </c>
      <c r="C317" s="7" t="str">
        <f t="shared" si="26"/>
        <v>Premium4R3less</v>
      </c>
      <c r="D317" s="7" t="str">
        <f t="shared" si="27"/>
        <v>Premium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黄忠</v>
      </c>
      <c r="I317" s="7" t="str">
        <f>VLOOKUP(B317,[1]characters!$A:$J,10,FALSE)</f>
        <v>PremiumS</v>
      </c>
      <c r="J317" s="7">
        <f>VLOOKUP(B317,[1]characters!$A:$I,9,FALSE)</f>
        <v>4</v>
      </c>
      <c r="K317" s="7" t="str">
        <f>VLOOKUP(B317,[1]characters!$A:$H,8,FALSE)</f>
        <v>yellow</v>
      </c>
      <c r="L317" s="7" t="str">
        <f>VLOOKUP(B317,[1]characters!$A:$K,11,FALSE)</f>
        <v>technical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IFERROR(VLOOKUP(B317,input_433104!L:R,7,FALSE),VLOOKUP(tables_433104!C317,input_433104!A:H,8,FALSE))</f>
        <v>88703.84</v>
      </c>
      <c r="P317" s="46">
        <f t="shared" ca="1" si="28"/>
        <v>7.5841176469810005E-3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input_433104!A$2</f>
        <v>433104</v>
      </c>
      <c r="B318" s="5">
        <v>1144</v>
      </c>
      <c r="C318" s="7" t="str">
        <f t="shared" si="26"/>
        <v>Premium5R3less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白星を射る老将 黄忠</v>
      </c>
      <c r="I318" s="7" t="str">
        <f>VLOOKUP(B318,[1]characters!$A:$J,10,FALSE)</f>
        <v>PremiumS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IFERROR(VLOOKUP(B318,input_433104!L:R,7,FALSE),VLOOKUP(tables_433104!C318,input_433104!A:H,8,FALSE))</f>
        <v>3240.48</v>
      </c>
      <c r="P318" s="46">
        <f t="shared" ca="1" si="28"/>
        <v>2.7705882352656877E-4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input_433104!A$2</f>
        <v>433104</v>
      </c>
      <c r="B319" s="5">
        <v>1153</v>
      </c>
      <c r="C319" s="7" t="str">
        <f t="shared" si="26"/>
        <v>PremiumSS5R5only</v>
      </c>
      <c r="D319" s="7" t="str">
        <f t="shared" si="27"/>
        <v>PremiumSS</v>
      </c>
      <c r="E319" s="7" t="str">
        <f>IF(COUNTIF('R6追加前'!A:A,B319)=0,IF(OR(I319="PremiumSS",I319="PremiumSSw"),"R5only","R3less"),"")</f>
        <v>R5only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ラクシュミー</v>
      </c>
      <c r="I319" s="7" t="str">
        <f>VLOOKUP(B319,[1]characters!$A:$J,10,FALSE)</f>
        <v>PremiumSSW</v>
      </c>
      <c r="J319" s="7">
        <f>VLOOKUP(B319,[1]characters!$A:$I,9,FALSE)</f>
        <v>5</v>
      </c>
      <c r="K319" s="7" t="str">
        <f>VLOOKUP(B319,[1]characters!$A:$H,8,FALSE)</f>
        <v>green</v>
      </c>
      <c r="L319" s="7" t="str">
        <f>VLOOKUP(B319,[1]characters!$A:$K,11,FALSE)</f>
        <v>hp</v>
      </c>
      <c r="M319" s="7" t="str">
        <f>VLOOKUP(B319,[1]characters!$A:$M,13,FALSE)</f>
        <v>god</v>
      </c>
      <c r="N319" s="7" t="str">
        <f>VLOOKUP(B319,[1]characters!$A:$G,7,FALSE)</f>
        <v>不明</v>
      </c>
      <c r="O319" s="45">
        <f ca="1">IFERROR(VLOOKUP(B319,input_433104!L:R,7,FALSE),VLOOKUP(tables_433104!C319,input_433104!A:H,8,FALSE))</f>
        <v>5440</v>
      </c>
      <c r="P319" s="46">
        <f t="shared" ca="1" si="28"/>
        <v>4.6511627906499476E-4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input_433104!A$2</f>
        <v>433104</v>
      </c>
      <c r="B320" s="5">
        <v>1155</v>
      </c>
      <c r="C320" s="7" t="str">
        <f t="shared" ref="C320:C324" si="29">D320&amp;J320&amp;E320&amp;F320&amp;G320</f>
        <v>PremiumSS5R5only</v>
      </c>
      <c r="D320" s="7" t="str">
        <f t="shared" ref="D320:D324" si="30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ref="G320:G324" si="31">IF(K320="red","color","")</f>
        <v/>
      </c>
      <c r="H320" s="7" t="str">
        <f>VLOOKUP(B320,[1]characters!$A:$C,3,FALSE)</f>
        <v>ドゥルガー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blue</v>
      </c>
      <c r="L320" s="7" t="str">
        <f>VLOOKUP(B320,[1]characters!$A:$K,11,FALSE)</f>
        <v>balance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IFERROR(VLOOKUP(B320,input_433104!L:R,7,FALSE),VLOOKUP(tables_433104!C320,input_433104!A:H,8,FALSE))</f>
        <v>5440</v>
      </c>
      <c r="P320" s="46">
        <f t="shared" ref="P320:P324" ca="1" si="32">O320/SUM(O:O)</f>
        <v>4.6511627906499476E-4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input_433104!A$2</f>
        <v>433104</v>
      </c>
      <c r="B321" s="5">
        <v>1157</v>
      </c>
      <c r="C321" s="7" t="str">
        <f t="shared" si="29"/>
        <v>PremiumSS5R5only</v>
      </c>
      <c r="D321" s="7" t="str">
        <f t="shared" si="30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31"/>
        <v/>
      </c>
      <c r="H321" s="7" t="str">
        <f>VLOOKUP(B321,[1]characters!$A:$C,3,FALSE)</f>
        <v>インドラ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yellow</v>
      </c>
      <c r="L321" s="7" t="str">
        <f>VLOOKUP(B321,[1]characters!$A:$K,11,FALSE)</f>
        <v>attack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IFERROR(VLOOKUP(B321,input_433104!L:R,7,FALSE),VLOOKUP(tables_433104!C321,input_433104!A:H,8,FALSE))</f>
        <v>5440</v>
      </c>
      <c r="P321" s="46">
        <f t="shared" ca="1" si="32"/>
        <v>4.6511627906499476E-4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input_433104!A$2</f>
        <v>433104</v>
      </c>
      <c r="B322" s="5">
        <v>1151</v>
      </c>
      <c r="C322" s="7" t="str">
        <f t="shared" si="29"/>
        <v>Premium4R3lesscolor</v>
      </c>
      <c r="D322" s="7" t="str">
        <f t="shared" si="30"/>
        <v>Premium</v>
      </c>
      <c r="E322" s="7" t="str">
        <f>IF(COUNTIF('R6追加前'!A:A,B322)=0,IF(OR(I322="PremiumSS",I322="PremiumSSw"),"R5only","R3less"),"")</f>
        <v>R3less</v>
      </c>
      <c r="F322" s="7" t="str">
        <f>IF(COUNTIF('R6開放'!A:A,B322)&gt;0,"R6release","")</f>
        <v/>
      </c>
      <c r="G322" s="7" t="str">
        <f t="shared" si="31"/>
        <v>color</v>
      </c>
      <c r="H322" s="7" t="str">
        <f>VLOOKUP(B322,[1]characters!$A:$C,3,FALSE)</f>
        <v>ガネーシャ</v>
      </c>
      <c r="I322" s="7" t="str">
        <f>VLOOKUP(B322,[1]characters!$A:$J,10,FALSE)</f>
        <v>PremiumS</v>
      </c>
      <c r="J322" s="7">
        <f>VLOOKUP(B322,[1]characters!$A:$I,9,FALSE)</f>
        <v>4</v>
      </c>
      <c r="K322" s="7" t="str">
        <f>VLOOKUP(B322,[1]characters!$A:$H,8,FALSE)</f>
        <v>red</v>
      </c>
      <c r="L322" s="7" t="str">
        <f>VLOOKUP(B322,[1]characters!$A:$K,11,FALSE)</f>
        <v>heal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IFERROR(VLOOKUP(B322,input_433104!L:R,7,FALSE),VLOOKUP(tables_433104!C322,input_433104!A:H,8,FALSE))</f>
        <v>218776.22261</v>
      </c>
      <c r="P322" s="46">
        <f t="shared" ca="1" si="32"/>
        <v>1.8705217391223928E-2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input_433104!A$2</f>
        <v>433104</v>
      </c>
      <c r="B323" s="5">
        <v>1152</v>
      </c>
      <c r="C323" s="7" t="str">
        <f t="shared" si="29"/>
        <v>Premium5R3lesscolor</v>
      </c>
      <c r="D323" s="7" t="str">
        <f t="shared" si="30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 t="str">
        <f t="shared" si="31"/>
        <v>color</v>
      </c>
      <c r="H323" s="7" t="str">
        <f>VLOOKUP(B323,[1]characters!$A:$C,3,FALSE)</f>
        <v>衆知の富益神 ガネーシャ</v>
      </c>
      <c r="I323" s="7" t="str">
        <f>VLOOKUP(B323,[1]characters!$A:$J,10,FALSE)</f>
        <v>PremiumS</v>
      </c>
      <c r="J323" s="7">
        <f>VLOOKUP(B323,[1]characters!$A:$I,9,FALSE)</f>
        <v>5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IFERROR(VLOOKUP(B323,input_433104!L:R,7,FALSE),VLOOKUP(tables_433104!C323,input_433104!A:H,8,FALSE))</f>
        <v>14370.824350000001</v>
      </c>
      <c r="P323" s="46">
        <f t="shared" ca="1" si="32"/>
        <v>1.2286956523471732E-3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input_433104!A$2</f>
        <v>433104</v>
      </c>
      <c r="B324" s="1">
        <v>955</v>
      </c>
      <c r="C324" s="7" t="str">
        <f t="shared" si="29"/>
        <v>PremiumSSS5R3lesscolor</v>
      </c>
      <c r="D324" s="7" t="str">
        <f t="shared" si="30"/>
        <v>PremiumSSS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1"/>
        <v>color</v>
      </c>
      <c r="H324" s="7" t="str">
        <f>VLOOKUP(B324,[1]characters!$A:$C,3,FALSE)</f>
        <v>マクローリン</v>
      </c>
      <c r="I324" s="7" t="str">
        <f>VLOOKUP(B324,[1]characters!$A:$J,10,FALSE)</f>
        <v>PremiumSSS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technical</v>
      </c>
      <c r="M324" s="7" t="str">
        <f>VLOOKUP(B324,[1]characters!$A:$M,13,FALSE)</f>
        <v>academia</v>
      </c>
      <c r="N324" s="7" t="str">
        <f>VLOOKUP(B324,[1]characters!$A:$G,7,FALSE)</f>
        <v>男性</v>
      </c>
      <c r="O324" s="45">
        <f ca="1">IFERROR(VLOOKUP(B324,input_433104!L:R,7,FALSE),VLOOKUP(tables_433104!C324,input_433104!A:H,8,FALSE))</f>
        <v>93568</v>
      </c>
      <c r="P324" s="46">
        <f t="shared" ca="1" si="32"/>
        <v>7.9999999999179096E-3</v>
      </c>
      <c r="Q324" s="88">
        <v>80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294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topLeftCell="A15" workbookViewId="0">
      <selection activeCell="B45" sqref="B17:B4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433105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VLOOKUP(L3,tables_433105!B:C,2,FALSE)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VLOOKUP(L4,tables_433105!B:C,2,FALSE)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4.6511627906976752E-4</v>
      </c>
      <c r="F5">
        <f>(COUNTIF(tables_433105!C:C,input_433105!A28)+COUNTIF(tables_433105!C:C,input_433105!A29))</f>
        <v>43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VLOOKUP(L5,tables_433105!B:C,2,FALSE)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2.142857142857143E-3</v>
      </c>
      <c r="F6">
        <f>(COUNTIF(tables_433105!C:C,input_433105!A43)+COUNTIF(tables_433105!C:C,input_433105!A44))</f>
        <v>14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VLOOKUP(L6,tables_433105!B:C,2,FALSE)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5.517647058823529E-3</v>
      </c>
      <c r="F7">
        <f>(COUNTIF(tables_433105!C:C,input_433105!A26)+COUNTIF(tables_433105!C:C,input_433105!A18)+COUNTIF(tables_433105!C:C,input_433105!A20)+COUNTIF(tables_433105!C:C,input_433105!A22))</f>
        <v>68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VLOOKUP(L7,tables_433105!B:C,2,FALSE)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2.4469565217391302E-2</v>
      </c>
      <c r="F8">
        <f>(COUNTIF(tables_433105!C:C,input_433105!A40)+COUNTIF(tables_433105!C:C,input_433105!A33)+COUNTIF(tables_433105!C:C,input_433105!A35)+COUNTIF(tables_433105!C:C,input_433105!A37))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VLOOKUP(L8,tables_433105!B:C,2,FALSE)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VLOOKUP(L9,tables_433105!B:C,2,FALSE)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0.93799999999999994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VLOOKUP(L10,tables_433105!B:C,2,FALSE)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VLOOKUP(L11,tables_433105!B:C,2,FALSE)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VLOOKUP(L12,tables_433105!B:C,2,FALSE)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VLOOKUP(L13,tables_433105!B:C,2,FALSE)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VLOOKUP(L14,tables_433105!B:C,2,FALSE)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VLOOKUP(L15,tables_433105!B:C,2,FALSE)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VLOOKUP(L16,tables_433105!B:C,2,FALSE)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COUNTIF(tables_433105!C:C,input_433105!A17)-COUNTIF(Q:Q,A17)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VLOOKUP(L17,tables_433105!B:C,2,FALSE)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8.2764705882352935E-2</v>
      </c>
      <c r="C18" s="86">
        <f t="shared" si="2"/>
        <v>0</v>
      </c>
      <c r="D18" s="75">
        <f t="shared" si="3"/>
        <v>8.2764705882352935E-2</v>
      </c>
      <c r="E18">
        <f>COUNTIF(tables_433105!C:C,input_433105!A18)-COUNTIF(Q:Q,A18)</f>
        <v>15</v>
      </c>
      <c r="F18" s="43">
        <f>IFERROR(B18/E18,0)</f>
        <v>5.517647058823529E-3</v>
      </c>
      <c r="G18">
        <f t="shared" si="4"/>
        <v>968015.99999999988</v>
      </c>
      <c r="H18">
        <f t="shared" si="5"/>
        <v>64534.400000000001</v>
      </c>
      <c r="I18">
        <f t="shared" si="6"/>
        <v>0.40000000000145519</v>
      </c>
      <c r="J18">
        <f t="shared" si="7"/>
        <v>2.4999999999909051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VLOOKUP(L18,tables_433105!B:C,2,FALSE)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COUNTIF(tables_433105!C:C,input_433105!A19)-COUNTIF(Q:Q,A19)</f>
        <v>40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VLOOKUP(L19,tables_433105!B:C,2,FALSE)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3">
        <f>E$7*E20*B$6+F49-0.02</f>
        <v>0.19907916816069199</v>
      </c>
      <c r="C20" s="86">
        <f t="shared" si="2"/>
        <v>0</v>
      </c>
      <c r="D20" s="75">
        <f t="shared" si="3"/>
        <v>0.19907916816069199</v>
      </c>
      <c r="E20">
        <f>COUNTIF(tables_433105!C:C,input_433105!A20)-COUNTIF(Q:Q,A20)</f>
        <v>40</v>
      </c>
      <c r="F20" s="43">
        <f t="shared" si="8"/>
        <v>4.9769792040172999E-3</v>
      </c>
      <c r="G20">
        <f t="shared" si="4"/>
        <v>2328429.9508074536</v>
      </c>
      <c r="H20">
        <f t="shared" si="5"/>
        <v>58210.748769999998</v>
      </c>
      <c r="I20">
        <f t="shared" si="6"/>
        <v>0.7487699999983306</v>
      </c>
      <c r="J20">
        <f t="shared" si="7"/>
        <v>1.3355235920272306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VLOOKUP(L20,tables_433105!B:C,2,FALSE)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E$7*E21*B$7-F49</f>
        <v>1.6267141922491953E-3</v>
      </c>
      <c r="C21" s="86">
        <f t="shared" si="2"/>
        <v>0</v>
      </c>
      <c r="D21" s="75">
        <f t="shared" si="3"/>
        <v>1.6267141922491953E-3</v>
      </c>
      <c r="E21">
        <f>COUNTIF(tables_433105!C:C,input_433105!A21)-COUNTIF(Q:Q,A21)</f>
        <v>40</v>
      </c>
      <c r="F21" s="43">
        <f t="shared" si="8"/>
        <v>4.0667854806229884E-5</v>
      </c>
      <c r="G21">
        <f t="shared" si="4"/>
        <v>19026.049192546587</v>
      </c>
      <c r="H21">
        <f t="shared" si="5"/>
        <v>475.65123</v>
      </c>
      <c r="I21">
        <f t="shared" si="6"/>
        <v>0.6512299999999982</v>
      </c>
      <c r="J21">
        <f t="shared" si="7"/>
        <v>1.5355557944197944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7.7217647058823627E-2</v>
      </c>
      <c r="C22" s="86">
        <f t="shared" si="2"/>
        <v>0</v>
      </c>
      <c r="D22" s="75">
        <f t="shared" si="3"/>
        <v>7.7217647058823627E-2</v>
      </c>
      <c r="E22">
        <f>COUNTIF(tables_433105!C:C,input_433105!A22)-COUNTIF(Q:Q,A22)</f>
        <v>10</v>
      </c>
      <c r="F22" s="43">
        <f t="shared" si="8"/>
        <v>7.7217647058823629E-3</v>
      </c>
      <c r="G22">
        <f t="shared" si="4"/>
        <v>903137.60000000114</v>
      </c>
      <c r="H22">
        <f t="shared" si="5"/>
        <v>90313.76</v>
      </c>
      <c r="I22">
        <f t="shared" si="6"/>
        <v>0.75999999999476131</v>
      </c>
      <c r="J22">
        <f t="shared" si="7"/>
        <v>1.3157894736932803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2.758823529411765E-3</v>
      </c>
      <c r="C23" s="86">
        <f t="shared" si="2"/>
        <v>0</v>
      </c>
      <c r="D23" s="75">
        <f t="shared" si="3"/>
        <v>2.758823529411765E-3</v>
      </c>
      <c r="E23">
        <f>COUNTIF(tables_433105!C:C,input_433105!A23)-COUNTIF(Q:Q,A23)</f>
        <v>10</v>
      </c>
      <c r="F23" s="43">
        <f t="shared" si="8"/>
        <v>2.7588235294117647E-4</v>
      </c>
      <c r="G23">
        <f t="shared" si="4"/>
        <v>32267.200000000004</v>
      </c>
      <c r="H23">
        <f t="shared" si="5"/>
        <v>3226.72</v>
      </c>
      <c r="I23">
        <f t="shared" si="6"/>
        <v>0.71999999999979991</v>
      </c>
      <c r="J23">
        <f t="shared" si="7"/>
        <v>1.3888888888892748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COUNTIF(tables_433105!C:C,input_433105!A24)-COUNTIF(Q:Q,A24)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1.5725294117647056E-2</v>
      </c>
      <c r="C25" s="86">
        <f t="shared" si="2"/>
        <v>0</v>
      </c>
      <c r="D25" s="75">
        <f t="shared" si="3"/>
        <v>1.5725294117647056E-2</v>
      </c>
      <c r="E25">
        <f>COUNTIF(tables_433105!C:C,input_433105!A25)-COUNTIF(Q:Q,A25)</f>
        <v>3</v>
      </c>
      <c r="F25" s="43">
        <f t="shared" si="8"/>
        <v>5.241764705882352E-3</v>
      </c>
      <c r="G25">
        <f t="shared" si="4"/>
        <v>183923.03999999998</v>
      </c>
      <c r="H25">
        <f t="shared" si="5"/>
        <v>61307.68</v>
      </c>
      <c r="I25">
        <f t="shared" si="6"/>
        <v>0.68000000000029104</v>
      </c>
      <c r="J25">
        <f t="shared" si="7"/>
        <v>1.4705882352934883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8.2764705882352942E-4</v>
      </c>
      <c r="C26" s="86">
        <f t="shared" si="2"/>
        <v>0</v>
      </c>
      <c r="D26" s="75">
        <f t="shared" si="3"/>
        <v>8.2764705882352942E-4</v>
      </c>
      <c r="E26">
        <f>COUNTIF(tables_433105!C:C,input_433105!A26)-COUNTIF(Q:Q,A26)</f>
        <v>3</v>
      </c>
      <c r="F26" s="43">
        <f t="shared" si="8"/>
        <v>2.7588235294117647E-4</v>
      </c>
      <c r="G26">
        <f t="shared" si="4"/>
        <v>9680.16</v>
      </c>
      <c r="H26">
        <f t="shared" si="5"/>
        <v>3226.72</v>
      </c>
      <c r="I26">
        <f t="shared" si="6"/>
        <v>0.71999999999979991</v>
      </c>
      <c r="J26">
        <f t="shared" si="7"/>
        <v>1.3888888888892748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8.8372093023255834E-3</v>
      </c>
      <c r="C27" s="86">
        <f t="shared" si="2"/>
        <v>0</v>
      </c>
      <c r="D27" s="75">
        <f t="shared" si="3"/>
        <v>8.8372093023255834E-3</v>
      </c>
      <c r="E27">
        <f>COUNTIF(tables_433105!C:C,input_433105!A27)-COUNTIF(Q:Q,A27)</f>
        <v>20</v>
      </c>
      <c r="F27" s="43">
        <f>IFERROR(B27/E27,0)</f>
        <v>4.4186046511627918E-4</v>
      </c>
      <c r="G27">
        <f t="shared" si="4"/>
        <v>103360.00000000003</v>
      </c>
      <c r="H27">
        <f t="shared" si="5"/>
        <v>5168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4.6511627906976752E-4</v>
      </c>
      <c r="C28" s="86">
        <f t="shared" si="2"/>
        <v>0</v>
      </c>
      <c r="D28" s="75">
        <f t="shared" si="3"/>
        <v>4.6511627906976752E-4</v>
      </c>
      <c r="E28">
        <f>COUNTIF(tables_433105!C:C,input_433105!A28)-COUNTIF(Q:Q,A28)</f>
        <v>20</v>
      </c>
      <c r="F28" s="43">
        <f t="shared" si="8"/>
        <v>2.3255813953488377E-5</v>
      </c>
      <c r="G28">
        <f t="shared" si="4"/>
        <v>5440.0000000000009</v>
      </c>
      <c r="H28">
        <f t="shared" si="5"/>
        <v>272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1.0697674418604653E-2</v>
      </c>
      <c r="C29" s="86">
        <f t="shared" si="2"/>
        <v>0</v>
      </c>
      <c r="D29" s="75">
        <f t="shared" si="3"/>
        <v>1.0697674418604653E-2</v>
      </c>
      <c r="E29">
        <f>COUNTIF(tables_433105!C:C,input_433105!A29)-COUNTIF(Q:Q,A29)</f>
        <v>23</v>
      </c>
      <c r="F29" s="43">
        <f t="shared" si="8"/>
        <v>4.6511627906976752E-4</v>
      </c>
      <c r="G29">
        <f t="shared" si="4"/>
        <v>125120.00000000003</v>
      </c>
      <c r="H29">
        <f t="shared" si="5"/>
        <v>5440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COUNTIF(tables_433105!C:C,input_433105!A30)-COUNTIF(Q:Q,A30)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COUNTIF(tables_433105!C:C,input_433105!A31)-COUNTIF(Q:Q,A31)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3">
        <f>B$5*0.6-B34-B39</f>
        <v>0</v>
      </c>
      <c r="C32" s="86">
        <f t="shared" si="2"/>
        <v>0</v>
      </c>
      <c r="D32" s="75">
        <f t="shared" si="3"/>
        <v>0</v>
      </c>
      <c r="E32">
        <f>COUNTIF(tables_433105!C:C,input_433105!A32)-COUNTIF(Q:Q,A32)</f>
        <v>4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0.14234782608695651</v>
      </c>
      <c r="C33" s="86">
        <f t="shared" si="2"/>
        <v>0</v>
      </c>
      <c r="D33" s="75">
        <f t="shared" si="3"/>
        <v>0.14234782608695651</v>
      </c>
      <c r="E33">
        <f>COUNTIF(tables_433105!C:C,input_433105!A33)-COUNTIF(Q:Q,A33)</f>
        <v>5</v>
      </c>
      <c r="F33" s="43">
        <f>IFERROR(B33/E33,0)</f>
        <v>2.8469565217391302E-2</v>
      </c>
      <c r="G33">
        <f t="shared" si="4"/>
        <v>1664900.1739130432</v>
      </c>
      <c r="H33">
        <f t="shared" si="5"/>
        <v>332980.03477999999</v>
      </c>
      <c r="I33">
        <f t="shared" si="6"/>
        <v>3.4779999987222254E-2</v>
      </c>
      <c r="J33">
        <f t="shared" si="7"/>
        <v>28.752156422294071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COUNTIF(tables_433105!C:C,input_433105!A34)-COUNTIF(Q:Q,A34)</f>
        <v>12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0.29306591336635762</v>
      </c>
      <c r="C35" s="86">
        <f t="shared" si="2"/>
        <v>0</v>
      </c>
      <c r="D35" s="75">
        <f t="shared" si="3"/>
        <v>0.29306591336635762</v>
      </c>
      <c r="E35">
        <f>COUNTIF(tables_433105!C:C,input_433105!A35)-COUNTIF(Q:Q,A35)</f>
        <v>12</v>
      </c>
      <c r="F35" s="43">
        <f t="shared" si="9"/>
        <v>2.442215944719647E-2</v>
      </c>
      <c r="G35">
        <f t="shared" si="4"/>
        <v>3427698.9227329185</v>
      </c>
      <c r="H35">
        <f t="shared" si="5"/>
        <v>285641.57689000003</v>
      </c>
      <c r="I35">
        <f t="shared" si="6"/>
        <v>0.57689000002574176</v>
      </c>
      <c r="J35">
        <f t="shared" si="7"/>
        <v>1.7334327167317485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5.6886924233798611E-4</v>
      </c>
      <c r="C36" s="86">
        <f t="shared" si="2"/>
        <v>0</v>
      </c>
      <c r="D36" s="75">
        <f t="shared" si="3"/>
        <v>5.6886924233798611E-4</v>
      </c>
      <c r="E36">
        <f>COUNTIF(tables_433105!C:C,input_433105!A36)-COUNTIF(Q:Q,A36)</f>
        <v>12</v>
      </c>
      <c r="F36" s="43">
        <f t="shared" si="9"/>
        <v>4.7405770194832178E-5</v>
      </c>
      <c r="G36">
        <f t="shared" si="4"/>
        <v>6653.4946583850851</v>
      </c>
      <c r="H36">
        <f t="shared" si="5"/>
        <v>554.45789000000002</v>
      </c>
      <c r="I36">
        <f t="shared" si="6"/>
        <v>0.45789000000002034</v>
      </c>
      <c r="J36">
        <f t="shared" si="7"/>
        <v>2.1839306383628285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9.143043478260858E-2</v>
      </c>
      <c r="C37" s="86">
        <f t="shared" si="2"/>
        <v>0</v>
      </c>
      <c r="D37" s="75">
        <f t="shared" si="3"/>
        <v>9.143043478260858E-2</v>
      </c>
      <c r="E37">
        <f>COUNTIF(tables_433105!C:C,input_433105!A37)-COUNTIF(Q:Q,A37)</f>
        <v>5</v>
      </c>
      <c r="F37" s="43">
        <f t="shared" si="9"/>
        <v>1.8286086956521716E-2</v>
      </c>
      <c r="G37">
        <f t="shared" si="4"/>
        <v>1069370.36521739</v>
      </c>
      <c r="H37">
        <f t="shared" si="5"/>
        <v>213874.07303999999</v>
      </c>
      <c r="I37">
        <f t="shared" si="6"/>
        <v>7.3039999988395721E-2</v>
      </c>
      <c r="J37">
        <f t="shared" si="7"/>
        <v>13.691128151134661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6.1173913043478254E-3</v>
      </c>
      <c r="C38" s="86">
        <f t="shared" si="2"/>
        <v>0</v>
      </c>
      <c r="D38" s="75">
        <f t="shared" si="3"/>
        <v>6.1173913043478254E-3</v>
      </c>
      <c r="E38">
        <f>COUNTIF(tables_433105!C:C,input_433105!A38)-COUNTIF(Q:Q,A38)</f>
        <v>5</v>
      </c>
      <c r="F38" s="43">
        <f t="shared" si="9"/>
        <v>1.2234782608695652E-3</v>
      </c>
      <c r="G38">
        <f t="shared" si="4"/>
        <v>71549.00869565217</v>
      </c>
      <c r="H38">
        <f t="shared" si="5"/>
        <v>14309.801740000001</v>
      </c>
      <c r="I38">
        <f t="shared" si="6"/>
        <v>0.80174000000079104</v>
      </c>
      <c r="J38">
        <f t="shared" si="7"/>
        <v>1.2472871504465455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COUNTIF(tables_433105!C:C,input_433105!A39)-COUNTIF(Q:Q,A39)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2.3246086956521736E-2</v>
      </c>
      <c r="C40" s="86">
        <f t="shared" si="2"/>
        <v>0</v>
      </c>
      <c r="D40" s="75">
        <f t="shared" si="3"/>
        <v>2.3246086956521736E-2</v>
      </c>
      <c r="E40">
        <f>COUNTIF(tables_433105!C:C,input_433105!A40)-COUNTIF(Q:Q,A40)</f>
        <v>1</v>
      </c>
      <c r="F40" s="43">
        <f t="shared" si="9"/>
        <v>2.3246086956521736E-2</v>
      </c>
      <c r="G40">
        <f t="shared" si="4"/>
        <v>271886.23304347822</v>
      </c>
      <c r="H40">
        <f t="shared" si="5"/>
        <v>271886.23304000002</v>
      </c>
      <c r="I40">
        <f t="shared" si="6"/>
        <v>0.23304000002099201</v>
      </c>
      <c r="J40">
        <f t="shared" si="7"/>
        <v>4.2911088221332001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1.2234782608695652E-3</v>
      </c>
      <c r="C41" s="86">
        <f t="shared" si="2"/>
        <v>0</v>
      </c>
      <c r="D41" s="75">
        <f t="shared" si="3"/>
        <v>1.2234782608695652E-3</v>
      </c>
      <c r="E41">
        <f>COUNTIF(tables_433105!C:C,input_433105!A41)-COUNTIF(Q:Q,A41)</f>
        <v>1</v>
      </c>
      <c r="F41" s="43">
        <f t="shared" si="9"/>
        <v>1.2234782608695652E-3</v>
      </c>
      <c r="G41">
        <f t="shared" si="4"/>
        <v>14309.801739130435</v>
      </c>
      <c r="H41">
        <f t="shared" si="5"/>
        <v>14309.801740000001</v>
      </c>
      <c r="I41">
        <f t="shared" si="6"/>
        <v>0.80174000000079104</v>
      </c>
      <c r="J41">
        <f t="shared" si="7"/>
        <v>1.2472871504465455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1.6285714285714285E-2</v>
      </c>
      <c r="C42" s="86">
        <f t="shared" si="2"/>
        <v>0</v>
      </c>
      <c r="D42" s="75">
        <f t="shared" si="3"/>
        <v>1.6285714285714285E-2</v>
      </c>
      <c r="E42">
        <f>COUNTIF(tables_433105!C:C,input_433105!A42)-COUNTIF(Q:Q,A42)</f>
        <v>8</v>
      </c>
      <c r="F42" s="43">
        <f>IFERROR(B42/E42,0)</f>
        <v>2.0357142857142857E-3</v>
      </c>
      <c r="G42">
        <f t="shared" si="4"/>
        <v>190477.71428571429</v>
      </c>
      <c r="H42">
        <f t="shared" si="5"/>
        <v>23809.71429</v>
      </c>
      <c r="I42">
        <f t="shared" si="6"/>
        <v>0.71428999999989173</v>
      </c>
      <c r="J42">
        <f t="shared" si="7"/>
        <v>1.3999916000506119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8.5714285714285721E-4</v>
      </c>
      <c r="C43" s="86">
        <f t="shared" si="2"/>
        <v>0</v>
      </c>
      <c r="D43" s="75">
        <f t="shared" si="3"/>
        <v>8.5714285714285721E-4</v>
      </c>
      <c r="E43">
        <f>COUNTIF(tables_433105!C:C,input_433105!A43)-COUNTIF(Q:Q,A43)</f>
        <v>8</v>
      </c>
      <c r="F43" s="43">
        <f t="shared" ref="F43:F46" si="10">IFERROR(B43/E43,0)</f>
        <v>1.0714285714285715E-4</v>
      </c>
      <c r="G43">
        <f t="shared" si="4"/>
        <v>10025.142857142859</v>
      </c>
      <c r="H43">
        <f t="shared" si="5"/>
        <v>1253.1428599999999</v>
      </c>
      <c r="I43">
        <f t="shared" si="6"/>
        <v>0.14285999999992782</v>
      </c>
      <c r="J43">
        <f t="shared" si="7"/>
        <v>6.999860002803481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1.2857142857142859E-2</v>
      </c>
      <c r="C44" s="86">
        <f t="shared" si="2"/>
        <v>0</v>
      </c>
      <c r="D44" s="75">
        <f t="shared" si="3"/>
        <v>1.2857142857142859E-2</v>
      </c>
      <c r="E44">
        <f>COUNTIF(tables_433105!C:C,input_433105!A44)-COUNTIF(Q:Q,A44)</f>
        <v>6</v>
      </c>
      <c r="F44" s="43">
        <f t="shared" si="10"/>
        <v>2.142857142857143E-3</v>
      </c>
      <c r="G44">
        <f t="shared" si="4"/>
        <v>150377.14285714287</v>
      </c>
      <c r="H44">
        <f t="shared" si="5"/>
        <v>25062.85714</v>
      </c>
      <c r="I44">
        <f t="shared" si="6"/>
        <v>0.85714000000007218</v>
      </c>
      <c r="J44">
        <f t="shared" si="7"/>
        <v>1.1666705555684203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COUNTIF(tables_433105!C:C,input_433105!A45)-COUNTIF(Q:Q,A45)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1.2E-2</v>
      </c>
      <c r="C46" s="86">
        <f t="shared" si="2"/>
        <v>0</v>
      </c>
      <c r="D46" s="75">
        <f t="shared" si="3"/>
        <v>1.2E-2</v>
      </c>
      <c r="E46">
        <f>COUNTIF(tables_433105!C:C,input_433105!A46)-COUNTIF(Q:Q,A46)</f>
        <v>1</v>
      </c>
      <c r="F46" s="43">
        <f t="shared" si="10"/>
        <v>1.2E-2</v>
      </c>
      <c r="G46">
        <f t="shared" si="4"/>
        <v>140352</v>
      </c>
      <c r="H46">
        <f t="shared" si="5"/>
        <v>140352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2">
        <f>SUM(B32:B46)</f>
        <v>0.59999999999999987</v>
      </c>
      <c r="E49" s="97">
        <f>G49*0.6</f>
        <v>1.4112869888096796E-2</v>
      </c>
      <c r="F49" s="107">
        <f>G49-E49</f>
        <v>9.4085799253978645E-3</v>
      </c>
      <c r="G49" s="106">
        <v>2.352144981349466E-2</v>
      </c>
      <c r="H49" s="106">
        <v>7.6874680306905363E-3</v>
      </c>
    </row>
    <row r="50" spans="1:8" x14ac:dyDescent="0.15">
      <c r="A50" t="s">
        <v>74</v>
      </c>
      <c r="C50" s="92">
        <v>2.48000000000001E-2</v>
      </c>
      <c r="D50" s="96"/>
      <c r="E50" s="97"/>
      <c r="F50" s="105"/>
      <c r="G50" s="108"/>
    </row>
    <row r="51" spans="1:8" x14ac:dyDescent="0.15">
      <c r="A51" s="31">
        <f>LCM(F5-I5,F7-I6)*1000*2*2</f>
        <v>11696000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4" t="s">
        <v>296</v>
      </c>
    </row>
    <row r="55" spans="1:8" x14ac:dyDescent="0.15">
      <c r="A55" s="33" t="s">
        <v>106</v>
      </c>
      <c r="B55">
        <f ca="1">SUMIF(tables_433105!C:C,input_433105!A55,tables_433105!O:O)</f>
        <v>0</v>
      </c>
      <c r="C55" s="54">
        <f t="shared" ref="C55:C61" ca="1" si="11">B55/B$62</f>
        <v>0</v>
      </c>
      <c r="E55">
        <v>3</v>
      </c>
      <c r="F55">
        <f ca="1">SUMIF(tables_433105!J:J,input_433105!E55,tables_433105!O:O)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SUMIF(tables_433105!C:C,input_433105!A56,tables_433105!O:O)</f>
        <v>2328429.9507999984</v>
      </c>
      <c r="C56" s="54">
        <f t="shared" ca="1" si="11"/>
        <v>0.94795898749967433</v>
      </c>
      <c r="E56">
        <v>4</v>
      </c>
      <c r="F56">
        <f ca="1">SUMIF(tables_433105!J:J,input_433105!E56,tables_433105!O:O)</f>
        <v>11111199.999940004</v>
      </c>
      <c r="G56">
        <f ca="1">F56/A51</f>
        <v>0.94999999999487039</v>
      </c>
      <c r="H56" s="55">
        <f>B18+B20+B22+B25+B27+B30+B33+B35+B37+B40+B42+B45</f>
        <v>0.94999999999999973</v>
      </c>
    </row>
    <row r="57" spans="1:8" x14ac:dyDescent="0.15">
      <c r="A57" s="33" t="s">
        <v>109</v>
      </c>
      <c r="B57">
        <f ca="1">SUMIF(tables_433105!C:C,input_433105!A57,tables_433105!O:O)</f>
        <v>103360</v>
      </c>
      <c r="C57" s="54">
        <f t="shared" ca="1" si="11"/>
        <v>4.208030433309886E-2</v>
      </c>
      <c r="E57">
        <v>5</v>
      </c>
      <c r="F57">
        <f ca="1">SUMIF(tables_433105!J:J,input_433105!E57,tables_433105!O:O)</f>
        <v>584800.00004000007</v>
      </c>
      <c r="G57">
        <f ca="1">F57/A51</f>
        <v>5.0000000003419975E-2</v>
      </c>
      <c r="H57" s="55">
        <f>B21+B23+B26+B28+B29+B31+B36+B38+B41+B43+B44+B46</f>
        <v>0.05</v>
      </c>
    </row>
    <row r="58" spans="1:8" x14ac:dyDescent="0.15">
      <c r="A58" s="33" t="s">
        <v>113</v>
      </c>
      <c r="B58">
        <f>SUMIF(tables_433105!C:C,input_433105!A58,tables_433105!O:O)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SUMIF(tables_433105!C:C,input_433105!A59,tables_433105!O:O)</f>
        <v>19026.049199999994</v>
      </c>
      <c r="C59" s="54">
        <f t="shared" ca="1" si="11"/>
        <v>7.745955307590092E-3</v>
      </c>
      <c r="E59" t="s">
        <v>55</v>
      </c>
      <c r="F59" s="55"/>
    </row>
    <row r="60" spans="1:8" x14ac:dyDescent="0.15">
      <c r="A60" s="33" t="s">
        <v>110</v>
      </c>
      <c r="B60">
        <f ca="1">SUMIF(tables_433105!C:C,input_433105!A60,tables_433105!O:O)</f>
        <v>5440</v>
      </c>
      <c r="C60" s="54">
        <f t="shared" ca="1" si="11"/>
        <v>2.2147528596367823E-3</v>
      </c>
      <c r="E60" t="s">
        <v>210</v>
      </c>
      <c r="F60" s="55">
        <f ca="1">SUMIF(tables_433105!I:I,input_433105!E60,tables_433105!P:P)</f>
        <v>0.22511253196857886</v>
      </c>
    </row>
    <row r="61" spans="1:8" x14ac:dyDescent="0.15">
      <c r="A61" s="33" t="s">
        <v>111</v>
      </c>
      <c r="B61">
        <f>SUMIF(tables_433105!C:C,input_433105!A61,tables_433105!O:O)</f>
        <v>0</v>
      </c>
      <c r="C61" s="54">
        <f t="shared" ca="1" si="11"/>
        <v>0</v>
      </c>
      <c r="E61" t="s">
        <v>211</v>
      </c>
      <c r="F61" s="55">
        <f ca="1">SUMIF(tables_433105!I:I,input_433105!E61,tables_433105!P:P)</f>
        <v>0.19861253196853376</v>
      </c>
    </row>
    <row r="62" spans="1:8" x14ac:dyDescent="0.15">
      <c r="A62" s="39" t="s">
        <v>60</v>
      </c>
      <c r="B62">
        <f ca="1">SUM(B55:B61)</f>
        <v>2456255.9999999981</v>
      </c>
      <c r="C62" s="55">
        <f ca="1">SUM(C55:C61)</f>
        <v>1</v>
      </c>
      <c r="E62" t="s">
        <v>212</v>
      </c>
      <c r="F62" s="55">
        <f ca="1">SUMIF(tables_433105!I:I,input_433105!E62,tables_433105!P:P)</f>
        <v>0.51427493605935981</v>
      </c>
    </row>
    <row r="63" spans="1:8" x14ac:dyDescent="0.15">
      <c r="E63" t="s">
        <v>213</v>
      </c>
      <c r="F63" s="55">
        <f ca="1">SUMIF(tables_433105!I:I,input_433105!E63,tables_433105!P:P)</f>
        <v>4.6461794023677179E-2</v>
      </c>
    </row>
    <row r="64" spans="1:8" x14ac:dyDescent="0.15">
      <c r="E64" t="s">
        <v>283</v>
      </c>
      <c r="F64" s="55">
        <f ca="1">SUMIF(tables_433105!I:I,input_433105!E64,tables_433105!P:P)</f>
        <v>3.5382059798282068E-3</v>
      </c>
    </row>
    <row r="65" spans="5:6" x14ac:dyDescent="0.15">
      <c r="E65" t="s">
        <v>284</v>
      </c>
      <c r="F65" s="55">
        <f ca="1">SUMIF(tables_433105!I:I,input_433105!E65,tables_433105!P:P)</f>
        <v>1.2000000000020503E-2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304" activePane="bottomLeft" state="frozen"/>
      <selection activeCell="U32" sqref="U32"/>
      <selection pane="bottomLeft" activeCell="A324" sqref="A32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input_433105!A$2</f>
        <v>433105</v>
      </c>
      <c r="B2" s="6">
        <v>127</v>
      </c>
      <c r="C2" s="7" t="str">
        <f t="shared" ref="C2:C65" si="0">D2&amp;J2&amp;E2&amp;F2&amp;G2</f>
        <v>PremiumW4color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IFERROR(VLOOKUP(B2,input_433105!L:R,7,FALSE),VLOOKUP(tables_433105!C2,input_433105!A:H,8,FALSE))</f>
        <v>332980.03477999999</v>
      </c>
      <c r="P2" s="46">
        <f t="shared" ref="P2:P65" ca="1" si="1">O2/SUM(O:O)</f>
        <v>2.8469565217216906E-2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input_433105!A$2</f>
        <v>433105</v>
      </c>
      <c r="B3" s="6">
        <v>128</v>
      </c>
      <c r="C3" s="7" t="str">
        <f t="shared" si="0"/>
        <v>PremiumW3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/>
      </c>
      <c r="H3" s="7" t="str">
        <f>VLOOKUP(B3,[1]characters!$A:$C,3,FALSE)</f>
        <v>野生児 アマラ</v>
      </c>
      <c r="I3" s="7" t="str">
        <f>VLOOKUP(B3,[1]characters!$A:$J,10,FALSE)</f>
        <v>PremiumW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IFERROR(VLOOKUP(B3,input_433105!L:R,7,FALSE),VLOOKUP(tables_433105!C3,input_433105!A:H,8,FALSE))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input_433105!A$2</f>
        <v>433105</v>
      </c>
      <c r="B4" s="6">
        <v>129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孤高の狼憑き アマラ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IFERROR(VLOOKUP(B4,input_433105!L:R,7,FALSE),VLOOKUP(tables_433105!C4,input_433105!A:H,8,FALSE))</f>
        <v>64534.400000000001</v>
      </c>
      <c r="P4" s="46">
        <f t="shared" ca="1" si="1"/>
        <v>5.5176470588329573E-3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input_433105!A$2</f>
        <v>433105</v>
      </c>
      <c r="B5" s="6">
        <v>130</v>
      </c>
      <c r="C5" s="7" t="str">
        <f t="shared" si="0"/>
        <v>PremiumW3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狼男 ローレンス</v>
      </c>
      <c r="I5" s="7" t="str">
        <f>VLOOKUP(B5,[1]characters!$A:$J,10,FALSE)</f>
        <v>PremiumW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f ca="1">IFERROR(VLOOKUP(B5,input_433105!L:R,7,FALSE),VLOOKUP(tables_433105!C5,input_433105!A:H,8,FALSE))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input_433105!A$2</f>
        <v>433105</v>
      </c>
      <c r="B6" s="6">
        <v>131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月下の人狼 ローレンス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IFERROR(VLOOKUP(B6,input_433105!L:R,7,FALSE),VLOOKUP(tables_433105!C6,input_433105!A:H,8,FALSE))</f>
        <v>64534.400000000001</v>
      </c>
      <c r="P6" s="46">
        <f t="shared" ca="1" si="1"/>
        <v>5.5176470588329573E-3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input_433105!A$2</f>
        <v>433105</v>
      </c>
      <c r="B7" s="6">
        <v>132</v>
      </c>
      <c r="C7" s="7" t="str">
        <f t="shared" si="0"/>
        <v>PremiumW3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鳥人ハヤト</v>
      </c>
      <c r="I7" s="7" t="str">
        <f>VLOOKUP(B7,[1]characters!$A:$J,10,FALSE)</f>
        <v>PremiumW</v>
      </c>
      <c r="J7" s="7">
        <f>VLOOKUP(B7,[1]characters!$A:$I,9,FALSE)</f>
        <v>3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f ca="1">IFERROR(VLOOKUP(B7,input_433105!L:R,7,FALSE),VLOOKUP(tables_433105!C7,input_433105!A:H,8,FALSE))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input_433105!A$2</f>
        <v>433105</v>
      </c>
      <c r="B8" s="6">
        <v>133</v>
      </c>
      <c r="C8" s="7" t="str">
        <f t="shared" si="0"/>
        <v>PremiumW4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迅雷の刀剣 ハヤト</v>
      </c>
      <c r="I8" s="7" t="str">
        <f>VLOOKUP(B8,[1]characters!$A:$J,10,FALSE)</f>
        <v>PremiumW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IFERROR(VLOOKUP(B8,input_433105!L:R,7,FALSE),VLOOKUP(tables_433105!C8,input_433105!A:H,8,FALSE))</f>
        <v>64534.400000000001</v>
      </c>
      <c r="P8" s="46">
        <f t="shared" ca="1" si="1"/>
        <v>5.5176470588329573E-3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input_433105!A$2</f>
        <v>433105</v>
      </c>
      <c r="B9" s="6">
        <v>134</v>
      </c>
      <c r="C9" s="7" t="str">
        <f t="shared" si="0"/>
        <v>PremiumW3color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妖炎の夕霧</v>
      </c>
      <c r="I9" s="7" t="str">
        <f>VLOOKUP(B9,[1]characters!$A:$J,10,FALSE)</f>
        <v>PremiumW</v>
      </c>
      <c r="J9" s="7">
        <f>VLOOKUP(B9,[1]characters!$A:$I,9,FALSE)</f>
        <v>3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ca="1">IFERROR(VLOOKUP(B9,input_433105!L:R,7,FALSE),VLOOKUP(tables_433105!C9,input_433105!A:H,8,FALSE))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input_433105!A$2</f>
        <v>433105</v>
      </c>
      <c r="B10" s="6">
        <v>135</v>
      </c>
      <c r="C10" s="7" t="str">
        <f t="shared" si="0"/>
        <v>PremiumW4color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京の炎華夕霧</v>
      </c>
      <c r="I10" s="7" t="str">
        <f>VLOOKUP(B10,[1]characters!$A:$J,10,FALSE)</f>
        <v>PremiumW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IFERROR(VLOOKUP(B10,input_433105!L:R,7,FALSE),VLOOKUP(tables_433105!C10,input_433105!A:H,8,FALSE))</f>
        <v>332980.03477999999</v>
      </c>
      <c r="P10" s="46">
        <f t="shared" ca="1" si="1"/>
        <v>2.8469565217216906E-2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input_433105!A$2</f>
        <v>433105</v>
      </c>
      <c r="B11" s="8">
        <v>136</v>
      </c>
      <c r="C11" s="7" t="str">
        <f t="shared" si="0"/>
        <v>PremiumW3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お針子チハヤ</v>
      </c>
      <c r="I11" s="7" t="str">
        <f>VLOOKUP(B11,[1]characters!$A:$J,10,FALSE)</f>
        <v>PremiumW</v>
      </c>
      <c r="J11" s="7">
        <f>VLOOKUP(B11,[1]characters!$A:$I,9,FALSE)</f>
        <v>3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IFERROR(VLOOKUP(B11,input_433105!L:R,7,FALSE),VLOOKUP(tables_433105!C11,input_433105!A:H,8,FALSE))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input_433105!A$2</f>
        <v>433105</v>
      </c>
      <c r="B12" s="8">
        <v>137</v>
      </c>
      <c r="C12" s="7" t="str">
        <f t="shared" si="0"/>
        <v>PremiumW4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清福の仕立屋 チハヤ</v>
      </c>
      <c r="I12" s="7" t="str">
        <f>VLOOKUP(B12,[1]characters!$A:$J,10,FALSE)</f>
        <v>PremiumW</v>
      </c>
      <c r="J12" s="7">
        <f>VLOOKUP(B12,[1]characters!$A:$I,9,FALSE)</f>
        <v>4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IFERROR(VLOOKUP(B12,input_433105!L:R,7,FALSE),VLOOKUP(tables_433105!C12,input_433105!A:H,8,FALSE))</f>
        <v>64534.400000000001</v>
      </c>
      <c r="P12" s="46">
        <f t="shared" ca="1" si="1"/>
        <v>5.5176470588329573E-3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input_433105!A$2</f>
        <v>433105</v>
      </c>
      <c r="B13" s="6">
        <v>138</v>
      </c>
      <c r="C13" s="7" t="str">
        <f t="shared" si="0"/>
        <v>PremiumW3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蒼薙のトモエ</v>
      </c>
      <c r="I13" s="7" t="str">
        <f>VLOOKUP(B13,[1]characters!$A:$J,10,FALSE)</f>
        <v>PremiumW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IFERROR(VLOOKUP(B13,input_433105!L:R,7,FALSE),VLOOKUP(tables_433105!C13,input_433105!A:H,8,FALSE))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input_433105!A$2</f>
        <v>433105</v>
      </c>
      <c r="B14" s="6">
        <v>139</v>
      </c>
      <c r="C14" s="7" t="str">
        <f t="shared" si="0"/>
        <v>PremiumW4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蒼昇刃姫 トモエ</v>
      </c>
      <c r="I14" s="7" t="str">
        <f>VLOOKUP(B14,[1]characters!$A:$J,10,FALSE)</f>
        <v>PremiumW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IFERROR(VLOOKUP(B14,input_433105!L:R,7,FALSE),VLOOKUP(tables_433105!C14,input_433105!A:H,8,FALSE))</f>
        <v>64534.400000000001</v>
      </c>
      <c r="P14" s="46">
        <f t="shared" ca="1" si="1"/>
        <v>5.5176470588329573E-3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input_433105!A$2</f>
        <v>433105</v>
      </c>
      <c r="B15" s="10">
        <v>140</v>
      </c>
      <c r="C15" s="7" t="str">
        <f t="shared" si="0"/>
        <v>PremiumW3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秋祭のタマモ</v>
      </c>
      <c r="I15" s="7" t="str">
        <f>VLOOKUP(B15,[1]characters!$A:$J,10,FALSE)</f>
        <v>PremiumW</v>
      </c>
      <c r="J15" s="7">
        <f>VLOOKUP(B15,[1]characters!$A:$I,9,FALSE)</f>
        <v>3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ca="1">IFERROR(VLOOKUP(B15,input_433105!L:R,7,FALSE),VLOOKUP(tables_433105!C15,input_433105!A:H,8,FALSE))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input_433105!A$2</f>
        <v>433105</v>
      </c>
      <c r="B16" s="11">
        <v>141</v>
      </c>
      <c r="C16" s="7" t="str">
        <f t="shared" si="0"/>
        <v>PremiumW4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妖狐演舞 タマモ</v>
      </c>
      <c r="I16" s="7" t="str">
        <f>VLOOKUP(B16,[1]characters!$A:$J,10,FALSE)</f>
        <v>PremiumW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IFERROR(VLOOKUP(B16,input_433105!L:R,7,FALSE),VLOOKUP(tables_433105!C16,input_433105!A:H,8,FALSE))</f>
        <v>64534.400000000001</v>
      </c>
      <c r="P16" s="46">
        <f t="shared" ca="1" si="1"/>
        <v>5.5176470588329573E-3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input_433105!A$2</f>
        <v>433105</v>
      </c>
      <c r="B17" s="6">
        <v>142</v>
      </c>
      <c r="C17" s="7" t="str">
        <f t="shared" si="0"/>
        <v>PremiumW3color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赤ずきん</v>
      </c>
      <c r="I17" s="7" t="str">
        <f>VLOOKUP(B17,[1]characters!$A:$J,10,FALSE)</f>
        <v>PremiumW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IFERROR(VLOOKUP(B17,input_433105!L:R,7,FALSE),VLOOKUP(tables_433105!C17,input_433105!A:H,8,FALSE))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input_433105!A$2</f>
        <v>433105</v>
      </c>
      <c r="B18" s="6">
        <v>143</v>
      </c>
      <c r="C18" s="7" t="str">
        <f t="shared" si="0"/>
        <v>PremiumW4color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深紅の死神 赤ずきん</v>
      </c>
      <c r="I18" s="7" t="str">
        <f>VLOOKUP(B18,[1]characters!$A:$J,10,FALSE)</f>
        <v>PremiumW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IFERROR(VLOOKUP(B18,input_433105!L:R,7,FALSE),VLOOKUP(tables_433105!C18,input_433105!A:H,8,FALSE))</f>
        <v>332980.03477999999</v>
      </c>
      <c r="P18" s="46">
        <f t="shared" ca="1" si="1"/>
        <v>2.8469565217216906E-2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input_433105!A$2</f>
        <v>433105</v>
      </c>
      <c r="B19" s="10">
        <v>144</v>
      </c>
      <c r="C19" s="7" t="str">
        <f t="shared" si="0"/>
        <v>PremiumW3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かぐや</v>
      </c>
      <c r="I19" s="7" t="str">
        <f>VLOOKUP(B19,[1]characters!$A:$J,10,FALSE)</f>
        <v>PremiumW</v>
      </c>
      <c r="J19" s="7">
        <f>VLOOKUP(B19,[1]characters!$A:$I,9,FALSE)</f>
        <v>3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IFERROR(VLOOKUP(B19,input_433105!L:R,7,FALSE),VLOOKUP(tables_433105!C19,input_433105!A:H,8,FALSE))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input_433105!A$2</f>
        <v>433105</v>
      </c>
      <c r="B20" s="6">
        <v>145</v>
      </c>
      <c r="C20" s="7" t="str">
        <f t="shared" si="0"/>
        <v>PremiumW4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魔性妖艶 かぐや</v>
      </c>
      <c r="I20" s="7" t="str">
        <f>VLOOKUP(B20,[1]characters!$A:$J,10,FALSE)</f>
        <v>PremiumW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IFERROR(VLOOKUP(B20,input_433105!L:R,7,FALSE),VLOOKUP(tables_433105!C20,input_433105!A:H,8,FALSE))</f>
        <v>64534.400000000001</v>
      </c>
      <c r="P20" s="46">
        <f t="shared" ca="1" si="1"/>
        <v>5.5176470588329573E-3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input_433105!A$2</f>
        <v>433105</v>
      </c>
      <c r="B21" s="6">
        <v>146</v>
      </c>
      <c r="C21" s="7" t="str">
        <f t="shared" si="0"/>
        <v>PremiumW3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マーメイド</v>
      </c>
      <c r="I21" s="7" t="str">
        <f>VLOOKUP(B21,[1]characters!$A:$J,10,FALSE)</f>
        <v>PremiumW</v>
      </c>
      <c r="J21" s="7">
        <f>VLOOKUP(B21,[1]characters!$A:$I,9,FALSE)</f>
        <v>3</v>
      </c>
      <c r="K21" s="7" t="str">
        <f>VLOOKUP(B21,[1]characters!$A:$H,8,FALSE)</f>
        <v>blue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IFERROR(VLOOKUP(B21,input_433105!L:R,7,FALSE),VLOOKUP(tables_433105!C21,input_433105!A:H,8,FALSE))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input_433105!A$2</f>
        <v>433105</v>
      </c>
      <c r="B22" s="6">
        <v>147</v>
      </c>
      <c r="C22" s="7" t="str">
        <f t="shared" si="0"/>
        <v>PremiumW4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蒼き閃光 元マーメイド</v>
      </c>
      <c r="I22" s="7" t="str">
        <f>VLOOKUP(B22,[1]characters!$A:$J,10,FALSE)</f>
        <v>PremiumW</v>
      </c>
      <c r="J22" s="7">
        <f>VLOOKUP(B22,[1]characters!$A:$I,9,FALSE)</f>
        <v>4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IFERROR(VLOOKUP(B22,input_433105!L:R,7,FALSE),VLOOKUP(tables_433105!C22,input_433105!A:H,8,FALSE))</f>
        <v>64534.400000000001</v>
      </c>
      <c r="P22" s="46">
        <f t="shared" ca="1" si="1"/>
        <v>5.5176470588329573E-3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input_433105!A$2</f>
        <v>433105</v>
      </c>
      <c r="B23" s="6">
        <v>148</v>
      </c>
      <c r="C23" s="7" t="str">
        <f t="shared" si="0"/>
        <v>PremiumW3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シンデレラ</v>
      </c>
      <c r="I23" s="7" t="str">
        <f>VLOOKUP(B23,[1]characters!$A:$J,10,FALSE)</f>
        <v>PremiumW</v>
      </c>
      <c r="J23" s="7">
        <f>VLOOKUP(B23,[1]characters!$A:$I,9,FALSE)</f>
        <v>3</v>
      </c>
      <c r="K23" s="7" t="str">
        <f>VLOOKUP(B23,[1]characters!$A:$H,8,FALSE)</f>
        <v>yellow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IFERROR(VLOOKUP(B23,input_433105!L:R,7,FALSE),VLOOKUP(tables_433105!C23,input_433105!A:H,8,FALSE))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input_433105!A$2</f>
        <v>433105</v>
      </c>
      <c r="B24" s="6">
        <v>149</v>
      </c>
      <c r="C24" s="7" t="str">
        <f t="shared" si="0"/>
        <v>PremiumW4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雷撃蹴技を極めし者 シンデレラ</v>
      </c>
      <c r="I24" s="7" t="str">
        <f>VLOOKUP(B24,[1]characters!$A:$J,10,FALSE)</f>
        <v>PremiumW</v>
      </c>
      <c r="J24" s="7">
        <f>VLOOKUP(B24,[1]characters!$A:$I,9,FALSE)</f>
        <v>4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IFERROR(VLOOKUP(B24,input_433105!L:R,7,FALSE),VLOOKUP(tables_433105!C24,input_433105!A:H,8,FALSE))</f>
        <v>64534.400000000001</v>
      </c>
      <c r="P24" s="46">
        <f t="shared" ca="1" si="1"/>
        <v>5.5176470588329573E-3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input_433105!A$2</f>
        <v>433105</v>
      </c>
      <c r="B25" s="6">
        <v>150</v>
      </c>
      <c r="C25" s="7" t="str">
        <f t="shared" si="0"/>
        <v>PremiumW3color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ポイズンマスターサキ</v>
      </c>
      <c r="I25" s="7" t="str">
        <f>VLOOKUP(B25,[1]characters!$A:$J,10,FALSE)</f>
        <v>PremiumW</v>
      </c>
      <c r="J25" s="7">
        <f>VLOOKUP(B25,[1]characters!$A:$I,9,FALSE)</f>
        <v>3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IFERROR(VLOOKUP(B25,input_433105!L:R,7,FALSE),VLOOKUP(tables_433105!C25,input_433105!A:H,8,FALSE))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input_433105!A$2</f>
        <v>433105</v>
      </c>
      <c r="B26" s="6">
        <v>151</v>
      </c>
      <c r="C26" s="7" t="str">
        <f t="shared" si="0"/>
        <v>PremiumW4color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毒煙の処刑人サキ</v>
      </c>
      <c r="I26" s="7" t="str">
        <f>VLOOKUP(B26,[1]characters!$A:$J,10,FALSE)</f>
        <v>PremiumW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IFERROR(VLOOKUP(B26,input_433105!L:R,7,FALSE),VLOOKUP(tables_433105!C26,input_433105!A:H,8,FALSE))</f>
        <v>332980.03477999999</v>
      </c>
      <c r="P26" s="46">
        <f t="shared" ca="1" si="1"/>
        <v>2.8469565217216906E-2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input_433105!A$2</f>
        <v>433105</v>
      </c>
      <c r="B27" s="6">
        <v>152</v>
      </c>
      <c r="C27" s="7" t="str">
        <f t="shared" si="0"/>
        <v>PremiumW3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功夫少女ランラン</v>
      </c>
      <c r="I27" s="7" t="str">
        <f>VLOOKUP(B27,[1]characters!$A:$J,10,FALSE)</f>
        <v>PremiumW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IFERROR(VLOOKUP(B27,input_433105!L:R,7,FALSE),VLOOKUP(tables_433105!C27,input_433105!A:H,8,FALSE))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input_433105!A$2</f>
        <v>433105</v>
      </c>
      <c r="B28" s="6">
        <v>153</v>
      </c>
      <c r="C28" s="7" t="str">
        <f t="shared" si="0"/>
        <v>PremiumW4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拳聖ランラン</v>
      </c>
      <c r="I28" s="7" t="str">
        <f>VLOOKUP(B28,[1]characters!$A:$J,10,FALSE)</f>
        <v>PremiumW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IFERROR(VLOOKUP(B28,input_433105!L:R,7,FALSE),VLOOKUP(tables_433105!C28,input_433105!A:H,8,FALSE))</f>
        <v>64534.400000000001</v>
      </c>
      <c r="P28" s="46">
        <f t="shared" ca="1" si="1"/>
        <v>5.5176470588329573E-3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input_433105!A$2</f>
        <v>433105</v>
      </c>
      <c r="B29" s="6">
        <v>154</v>
      </c>
      <c r="C29" s="7" t="str">
        <f t="shared" si="0"/>
        <v>PremiumW3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始末屋 ハンナ</v>
      </c>
      <c r="I29" s="7" t="str">
        <f>VLOOKUP(B29,[1]characters!$A:$J,10,FALSE)</f>
        <v>PremiumW</v>
      </c>
      <c r="J29" s="7">
        <f>VLOOKUP(B29,[1]characters!$A:$I,9,FALSE)</f>
        <v>3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IFERROR(VLOOKUP(B29,input_433105!L:R,7,FALSE),VLOOKUP(tables_433105!C29,input_433105!A:H,8,FALSE))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input_433105!A$2</f>
        <v>433105</v>
      </c>
      <c r="B30" s="6">
        <v>155</v>
      </c>
      <c r="C30" s="7" t="str">
        <f t="shared" si="0"/>
        <v>PremiumW4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隻眼の掃除屋 ハンナ</v>
      </c>
      <c r="I30" s="7" t="str">
        <f>VLOOKUP(B30,[1]characters!$A:$J,10,FALSE)</f>
        <v>PremiumW</v>
      </c>
      <c r="J30" s="7">
        <f>VLOOKUP(B30,[1]characters!$A:$I,9,FALSE)</f>
        <v>4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IFERROR(VLOOKUP(B30,input_433105!L:R,7,FALSE),VLOOKUP(tables_433105!C30,input_433105!A:H,8,FALSE))</f>
        <v>64534.400000000001</v>
      </c>
      <c r="P30" s="46">
        <f t="shared" ca="1" si="1"/>
        <v>5.5176470588329573E-3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input_433105!A$2</f>
        <v>433105</v>
      </c>
      <c r="B31" s="6">
        <v>156</v>
      </c>
      <c r="C31" s="7" t="str">
        <f t="shared" si="0"/>
        <v>PremiumW3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踊り子 エレナ</v>
      </c>
      <c r="I31" s="7" t="str">
        <f>VLOOKUP(B31,[1]characters!$A:$J,10,FALSE)</f>
        <v>PremiumW</v>
      </c>
      <c r="J31" s="7">
        <f>VLOOKUP(B31,[1]characters!$A:$I,9,FALSE)</f>
        <v>3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IFERROR(VLOOKUP(B31,input_433105!L:R,7,FALSE),VLOOKUP(tables_433105!C31,input_433105!A:H,8,FALSE))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input_433105!A$2</f>
        <v>433105</v>
      </c>
      <c r="B32" s="6">
        <v>157</v>
      </c>
      <c r="C32" s="7" t="str">
        <f t="shared" si="0"/>
        <v>PremiumW4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雷光舞姫 エレナ</v>
      </c>
      <c r="I32" s="7" t="str">
        <f>VLOOKUP(B32,[1]characters!$A:$J,10,FALSE)</f>
        <v>PremiumW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IFERROR(VLOOKUP(B32,input_433105!L:R,7,FALSE),VLOOKUP(tables_433105!C32,input_433105!A:H,8,FALSE))</f>
        <v>64534.400000000001</v>
      </c>
      <c r="P32" s="46">
        <f t="shared" ca="1" si="1"/>
        <v>5.5176470588329573E-3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input_433105!A$2</f>
        <v>433105</v>
      </c>
      <c r="B33" s="6">
        <v>158</v>
      </c>
      <c r="C33" s="7" t="str">
        <f t="shared" si="0"/>
        <v>PremiumW3color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>color</v>
      </c>
      <c r="H33" s="7" t="str">
        <f>VLOOKUP(B33,[1]characters!$A:$C,3,FALSE)</f>
        <v>シスター シャルロッテ</v>
      </c>
      <c r="I33" s="7" t="str">
        <f>VLOOKUP(B33,[1]characters!$A:$J,10,FALSE)</f>
        <v>PremiumW</v>
      </c>
      <c r="J33" s="7">
        <f>VLOOKUP(B33,[1]characters!$A:$I,9,FALSE)</f>
        <v>3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IFERROR(VLOOKUP(B33,input_433105!L:R,7,FALSE),VLOOKUP(tables_433105!C33,input_433105!A:H,8,FALSE))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input_433105!A$2</f>
        <v>433105</v>
      </c>
      <c r="B34" s="6">
        <v>159</v>
      </c>
      <c r="C34" s="7" t="str">
        <f t="shared" si="0"/>
        <v>PremiumW4color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邪を狩りし者 シャルロッテ</v>
      </c>
      <c r="I34" s="7" t="str">
        <f>VLOOKUP(B34,[1]characters!$A:$J,10,FALSE)</f>
        <v>PremiumW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IFERROR(VLOOKUP(B34,input_433105!L:R,7,FALSE),VLOOKUP(tables_433105!C34,input_433105!A:H,8,FALSE))</f>
        <v>332980.03477999999</v>
      </c>
      <c r="P34" s="46">
        <f t="shared" ca="1" si="1"/>
        <v>2.8469565217216906E-2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input_433105!A$2</f>
        <v>433105</v>
      </c>
      <c r="B35" s="6">
        <v>160</v>
      </c>
      <c r="C35" s="7" t="str">
        <f t="shared" si="0"/>
        <v>PremiumW3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反逆者 クリエ</v>
      </c>
      <c r="I35" s="7" t="str">
        <f>VLOOKUP(B35,[1]characters!$A:$J,10,FALSE)</f>
        <v>PremiumW</v>
      </c>
      <c r="J35" s="7">
        <f>VLOOKUP(B35,[1]characters!$A:$I,9,FALSE)</f>
        <v>3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IFERROR(VLOOKUP(B35,input_433105!L:R,7,FALSE),VLOOKUP(tables_433105!C35,input_433105!A:H,8,FALSE))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input_433105!A$2</f>
        <v>433105</v>
      </c>
      <c r="B36" s="6">
        <v>161</v>
      </c>
      <c r="C36" s="7" t="str">
        <f t="shared" si="0"/>
        <v>PremiumW4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咆哮の先導者 クリエ</v>
      </c>
      <c r="I36" s="7" t="str">
        <f>VLOOKUP(B36,[1]characters!$A:$J,10,FALSE)</f>
        <v>PremiumW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IFERROR(VLOOKUP(B36,input_433105!L:R,7,FALSE),VLOOKUP(tables_433105!C36,input_433105!A:H,8,FALSE))</f>
        <v>64534.400000000001</v>
      </c>
      <c r="P36" s="46">
        <f t="shared" ca="1" si="1"/>
        <v>5.5176470588329573E-3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input_433105!A$2</f>
        <v>433105</v>
      </c>
      <c r="B37" s="6">
        <v>162</v>
      </c>
      <c r="C37" s="7" t="str">
        <f t="shared" si="0"/>
        <v>PremiumW3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狂女 クララ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IFERROR(VLOOKUP(B37,input_433105!L:R,7,FALSE),VLOOKUP(tables_433105!C37,input_433105!A:H,8,FALSE))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input_433105!A$2</f>
        <v>433105</v>
      </c>
      <c r="B38" s="6">
        <v>163</v>
      </c>
      <c r="C38" s="7" t="str">
        <f t="shared" si="0"/>
        <v>PremiumW4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冷酷な狂嬢 クララ</v>
      </c>
      <c r="I38" s="7" t="str">
        <f>VLOOKUP(B38,[1]characters!$A:$J,10,FALSE)</f>
        <v>PremiumW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IFERROR(VLOOKUP(B38,input_433105!L:R,7,FALSE),VLOOKUP(tables_433105!C38,input_433105!A:H,8,FALSE))</f>
        <v>64534.400000000001</v>
      </c>
      <c r="P38" s="46">
        <f t="shared" ca="1" si="1"/>
        <v>5.5176470588329573E-3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input_433105!A$2</f>
        <v>433105</v>
      </c>
      <c r="B39" s="6">
        <v>164</v>
      </c>
      <c r="C39" s="7" t="str">
        <f t="shared" si="0"/>
        <v>PremiumW3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イブとトモダチ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yellow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IFERROR(VLOOKUP(B39,input_433105!L:R,7,FALSE),VLOOKUP(tables_433105!C39,input_433105!A:H,8,FALSE))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input_433105!A$2</f>
        <v>433105</v>
      </c>
      <c r="B40" s="6">
        <v>165</v>
      </c>
      <c r="C40" s="7" t="str">
        <f t="shared" si="0"/>
        <v>PremiumW4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イブとたったひとりのトモダチ</v>
      </c>
      <c r="I40" s="7" t="str">
        <f>VLOOKUP(B40,[1]characters!$A:$J,10,FALSE)</f>
        <v>PremiumW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IFERROR(VLOOKUP(B40,input_433105!L:R,7,FALSE),VLOOKUP(tables_433105!C40,input_433105!A:H,8,FALSE))</f>
        <v>64534.400000000001</v>
      </c>
      <c r="P40" s="46">
        <f t="shared" ca="1" si="1"/>
        <v>5.5176470588329573E-3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input_433105!A$2</f>
        <v>433105</v>
      </c>
      <c r="B41" s="6">
        <v>166</v>
      </c>
      <c r="C41" s="7" t="str">
        <f t="shared" si="0"/>
        <v>Premium3R6releasecolor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>R6release</v>
      </c>
      <c r="G41" s="7" t="str">
        <f t="shared" si="3"/>
        <v>color</v>
      </c>
      <c r="H41" s="7" t="str">
        <f>VLOOKUP(B41,[1]characters!$A:$C,3,FALSE)</f>
        <v>ベリアル</v>
      </c>
      <c r="I41" s="7" t="str">
        <f>VLOOKUP(B41,[1]characters!$A:$J,10,FALSE)</f>
        <v>PremiumN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ca="1">IFERROR(VLOOKUP(B41,input_433105!L:R,7,FALSE),VLOOKUP(tables_433105!C41,input_433105!A:H,8,FALSE))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input_433105!A$2</f>
        <v>433105</v>
      </c>
      <c r="B42" s="6">
        <v>167</v>
      </c>
      <c r="C42" s="7" t="str">
        <f t="shared" si="0"/>
        <v>Premium4R6releasecolor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逆徒 ベリアル</v>
      </c>
      <c r="I42" s="7" t="str">
        <f>VLOOKUP(B42,[1]characters!$A:$J,10,FALSE)</f>
        <v>PremiumN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IFERROR(VLOOKUP(B42,input_433105!L:R,7,FALSE),VLOOKUP(tables_433105!C42,input_433105!A:H,8,FALSE))</f>
        <v>271886.23304000002</v>
      </c>
      <c r="P42" s="46">
        <f t="shared" ca="1" si="1"/>
        <v>2.3246086956264071E-2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input_433105!A$2</f>
        <v>433105</v>
      </c>
      <c r="B43" s="6">
        <v>168</v>
      </c>
      <c r="C43" s="7" t="str">
        <f t="shared" si="0"/>
        <v>Premium5R6releasecolor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猛進の大逆者 ベリアル</v>
      </c>
      <c r="I43" s="7" t="str">
        <f>VLOOKUP(B43,[1]characters!$A:$J,10,FALSE)</f>
        <v>PremiumN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IFERROR(VLOOKUP(B43,input_433105!L:R,7,FALSE),VLOOKUP(tables_433105!C43,input_433105!A:H,8,FALSE))</f>
        <v>14309.801740000001</v>
      </c>
      <c r="P43" s="46">
        <f t="shared" ca="1" si="1"/>
        <v>1.2234782609460029E-3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input_433105!A$2</f>
        <v>433105</v>
      </c>
      <c r="B44" s="6">
        <v>169</v>
      </c>
      <c r="C44" s="7" t="str">
        <f t="shared" si="0"/>
        <v>Premium3R6release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オセ</v>
      </c>
      <c r="I44" s="7" t="str">
        <f>VLOOKUP(B44,[1]characters!$A:$J,10,FALSE)</f>
        <v>PremiumN</v>
      </c>
      <c r="J44" s="7">
        <f>VLOOKUP(B44,[1]characters!$A:$I,9,FALSE)</f>
        <v>3</v>
      </c>
      <c r="K44" s="7" t="str">
        <f>VLOOKUP(B44,[1]characters!$A:$H,8,FALSE)</f>
        <v>green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f ca="1">IFERROR(VLOOKUP(B44,input_433105!L:R,7,FALSE),VLOOKUP(tables_433105!C44,input_433105!A:H,8,FALSE))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input_433105!A$2</f>
        <v>433105</v>
      </c>
      <c r="B45" s="6">
        <v>170</v>
      </c>
      <c r="C45" s="7" t="str">
        <f t="shared" si="0"/>
        <v>Premium4R6release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識徒 オセ</v>
      </c>
      <c r="I45" s="7" t="str">
        <f>VLOOKUP(B45,[1]characters!$A:$J,10,FALSE)</f>
        <v>PremiumN</v>
      </c>
      <c r="J45" s="7">
        <f>VLOOKUP(B45,[1]characters!$A:$I,9,FALSE)</f>
        <v>4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IFERROR(VLOOKUP(B45,input_433105!L:R,7,FALSE),VLOOKUP(tables_433105!C45,input_433105!A:H,8,FALSE))</f>
        <v>61307.68</v>
      </c>
      <c r="P45" s="46">
        <f t="shared" ca="1" si="1"/>
        <v>5.2417647058913093E-3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input_433105!A$2</f>
        <v>433105</v>
      </c>
      <c r="B46" s="6">
        <v>171</v>
      </c>
      <c r="C46" s="7" t="str">
        <f t="shared" si="0"/>
        <v>Premium5R6release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精解の預知者 オセ</v>
      </c>
      <c r="I46" s="7" t="str">
        <f>VLOOKUP(B46,[1]characters!$A:$J,10,FALSE)</f>
        <v>PremiumN</v>
      </c>
      <c r="J46" s="7">
        <f>VLOOKUP(B46,[1]characters!$A:$I,9,FALSE)</f>
        <v>5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IFERROR(VLOOKUP(B46,input_433105!L:R,7,FALSE),VLOOKUP(tables_433105!C46,input_433105!A:H,8,FALSE))</f>
        <v>3226.72</v>
      </c>
      <c r="P46" s="46">
        <f t="shared" ca="1" si="1"/>
        <v>2.7588235294164783E-4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input_433105!A$2</f>
        <v>433105</v>
      </c>
      <c r="B47" s="6">
        <v>172</v>
      </c>
      <c r="C47" s="7" t="str">
        <f t="shared" si="0"/>
        <v>Premium3R6release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フォルネウス</v>
      </c>
      <c r="I47" s="7" t="str">
        <f>VLOOKUP(B47,[1]characters!$A:$J,10,FALSE)</f>
        <v>PremiumN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IFERROR(VLOOKUP(B47,input_433105!L:R,7,FALSE),VLOOKUP(tables_433105!C47,input_433105!A:H,8,FALSE))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input_433105!A$2</f>
        <v>433105</v>
      </c>
      <c r="B48" s="6">
        <v>173</v>
      </c>
      <c r="C48" s="7" t="str">
        <f t="shared" si="0"/>
        <v>Premium4R6release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公爵 フォルネウス</v>
      </c>
      <c r="I48" s="7" t="str">
        <f>VLOOKUP(B48,[1]characters!$A:$J,10,FALSE)</f>
        <v>PremiumN</v>
      </c>
      <c r="J48" s="7">
        <f>VLOOKUP(B48,[1]characters!$A:$I,9,FALSE)</f>
        <v>4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IFERROR(VLOOKUP(B48,input_433105!L:R,7,FALSE),VLOOKUP(tables_433105!C48,input_433105!A:H,8,FALSE))</f>
        <v>61307.68</v>
      </c>
      <c r="P48" s="46">
        <f t="shared" ca="1" si="1"/>
        <v>5.2417647058913093E-3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input_433105!A$2</f>
        <v>433105</v>
      </c>
      <c r="B49" s="6">
        <v>174</v>
      </c>
      <c r="C49" s="7" t="str">
        <f t="shared" si="0"/>
        <v>Premium5R6release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偽愛の大公爵 フォルネウス</v>
      </c>
      <c r="I49" s="7" t="str">
        <f>VLOOKUP(B49,[1]characters!$A:$J,10,FALSE)</f>
        <v>PremiumN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IFERROR(VLOOKUP(B49,input_433105!L:R,7,FALSE),VLOOKUP(tables_433105!C49,input_433105!A:H,8,FALSE))</f>
        <v>3226.72</v>
      </c>
      <c r="P49" s="46">
        <f t="shared" ca="1" si="1"/>
        <v>2.7588235294164783E-4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input_433105!A$2</f>
        <v>433105</v>
      </c>
      <c r="B50" s="6">
        <v>175</v>
      </c>
      <c r="C50" s="7" t="str">
        <f t="shared" si="0"/>
        <v>Premium3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 t="str">
        <f t="shared" si="3"/>
        <v/>
      </c>
      <c r="H50" s="7" t="str">
        <f>VLOOKUP(B50,[1]characters!$A:$C,3,FALSE)</f>
        <v>バフォメット</v>
      </c>
      <c r="I50" s="7" t="str">
        <f>VLOOKUP(B50,[1]characters!$A:$J,10,FALSE)</f>
        <v>PremiumN</v>
      </c>
      <c r="J50" s="7">
        <f>VLOOKUP(B50,[1]characters!$A:$I,9,FALSE)</f>
        <v>3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IFERROR(VLOOKUP(B50,input_433105!L:R,7,FALSE),VLOOKUP(tables_433105!C50,input_433105!A:H,8,FALSE))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input_433105!A$2</f>
        <v>433105</v>
      </c>
      <c r="B51" s="6">
        <v>176</v>
      </c>
      <c r="C51" s="7" t="str">
        <f t="shared" si="0"/>
        <v>Premium4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異教徒 バフォメット</v>
      </c>
      <c r="I51" s="7" t="str">
        <f>VLOOKUP(B51,[1]characters!$A:$J,10,FALSE)</f>
        <v>PremiumN</v>
      </c>
      <c r="J51" s="7">
        <f>VLOOKUP(B51,[1]characters!$A:$I,9,FALSE)</f>
        <v>4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IFERROR(VLOOKUP(B51,input_433105!L:R,7,FALSE),VLOOKUP(tables_433105!C51,input_433105!A:H,8,FALSE))</f>
        <v>58210.748769999998</v>
      </c>
      <c r="P51" s="46">
        <f t="shared" ca="1" si="1"/>
        <v>4.9769792040098718E-3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input_433105!A$2</f>
        <v>433105</v>
      </c>
      <c r="B52" s="6">
        <v>177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黒魔の異端師 バフォメット</v>
      </c>
      <c r="I52" s="7" t="str">
        <f>VLOOKUP(B52,[1]characters!$A:$J,10,FALSE)</f>
        <v>PremiumN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IFERROR(VLOOKUP(B52,input_433105!L:R,7,FALSE),VLOOKUP(tables_433105!C52,input_433105!A:H,8,FALSE))</f>
        <v>475.65123</v>
      </c>
      <c r="P52" s="46">
        <f t="shared" ca="1" si="1"/>
        <v>4.0667854822230913E-5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input_433105!A$2</f>
        <v>433105</v>
      </c>
      <c r="B53" s="6">
        <v>178</v>
      </c>
      <c r="C53" s="7" t="str">
        <f t="shared" si="0"/>
        <v>Premium3color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>color</v>
      </c>
      <c r="H53" s="7" t="str">
        <f>VLOOKUP(B53,[1]characters!$A:$C,3,FALSE)</f>
        <v>ケルベロス</v>
      </c>
      <c r="I53" s="7" t="str">
        <f>VLOOKUP(B53,[1]characters!$A:$J,10,FALSE)</f>
        <v>PremiumN</v>
      </c>
      <c r="J53" s="7">
        <f>VLOOKUP(B53,[1]characters!$A:$I,9,FALSE)</f>
        <v>3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f ca="1">IFERROR(VLOOKUP(B53,input_433105!L:R,7,FALSE),VLOOKUP(tables_433105!C53,input_433105!A:H,8,FALSE))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input_433105!A$2</f>
        <v>433105</v>
      </c>
      <c r="B54" s="6">
        <v>179</v>
      </c>
      <c r="C54" s="7" t="str">
        <f t="shared" si="0"/>
        <v>Premium4color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番犬 ケルベロス</v>
      </c>
      <c r="I54" s="7" t="str">
        <f>VLOOKUP(B54,[1]characters!$A:$J,10,FALSE)</f>
        <v>PremiumN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IFERROR(VLOOKUP(B54,input_433105!L:R,7,FALSE),VLOOKUP(tables_433105!C54,input_433105!A:H,8,FALSE))</f>
        <v>285641.57689000003</v>
      </c>
      <c r="P54" s="46">
        <f t="shared" ca="1" si="1"/>
        <v>2.4422159446861158E-2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input_433105!A$2</f>
        <v>433105</v>
      </c>
      <c r="B55" s="6">
        <v>180</v>
      </c>
      <c r="C55" s="7" t="str">
        <f t="shared" si="0"/>
        <v>Premium5color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地獄の大門番 ケルベロス</v>
      </c>
      <c r="I55" s="7" t="str">
        <f>VLOOKUP(B55,[1]characters!$A:$J,10,FALSE)</f>
        <v>PremiumN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IFERROR(VLOOKUP(B55,input_433105!L:R,7,FALSE),VLOOKUP(tables_433105!C55,input_433105!A:H,8,FALSE))</f>
        <v>554.45789000000002</v>
      </c>
      <c r="P55" s="46">
        <f t="shared" ca="1" si="1"/>
        <v>4.7405770348918211E-5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input_433105!A$2</f>
        <v>433105</v>
      </c>
      <c r="B56" s="6">
        <v>181</v>
      </c>
      <c r="C56" s="7" t="str">
        <f t="shared" si="0"/>
        <v>Premium3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ベヒモス</v>
      </c>
      <c r="I56" s="7" t="str">
        <f>VLOOKUP(B56,[1]characters!$A:$J,10,FALSE)</f>
        <v>PremiumN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IFERROR(VLOOKUP(B56,input_433105!L:R,7,FALSE),VLOOKUP(tables_433105!C56,input_433105!A:H,8,FALSE))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input_433105!A$2</f>
        <v>433105</v>
      </c>
      <c r="B57" s="6">
        <v>182</v>
      </c>
      <c r="C57" s="7" t="str">
        <f t="shared" si="0"/>
        <v>Premium4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放蕩者 ベヒモス</v>
      </c>
      <c r="I57" s="7" t="str">
        <f>VLOOKUP(B57,[1]characters!$A:$J,10,FALSE)</f>
        <v>PremiumN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IFERROR(VLOOKUP(B57,input_433105!L:R,7,FALSE),VLOOKUP(tables_433105!C57,input_433105!A:H,8,FALSE))</f>
        <v>58210.748769999998</v>
      </c>
      <c r="P57" s="46">
        <f t="shared" ca="1" si="1"/>
        <v>4.9769792040098718E-3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input_433105!A$2</f>
        <v>433105</v>
      </c>
      <c r="B58" s="6">
        <v>183</v>
      </c>
      <c r="C58" s="7" t="str">
        <f t="shared" si="0"/>
        <v>Premium5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鈍重な彷徨者 ベヒモス</v>
      </c>
      <c r="I58" s="7" t="str">
        <f>VLOOKUP(B58,[1]characters!$A:$J,10,FALSE)</f>
        <v>PremiumN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IFERROR(VLOOKUP(B58,input_433105!L:R,7,FALSE),VLOOKUP(tables_433105!C58,input_433105!A:H,8,FALSE))</f>
        <v>475.65123</v>
      </c>
      <c r="P58" s="46">
        <f t="shared" ca="1" si="1"/>
        <v>4.0667854822230913E-5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input_433105!A$2</f>
        <v>433105</v>
      </c>
      <c r="B59" s="6">
        <v>184</v>
      </c>
      <c r="C59" s="7" t="str">
        <f t="shared" si="0"/>
        <v>Premium3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クラーケン</v>
      </c>
      <c r="I59" s="7" t="str">
        <f>VLOOKUP(B59,[1]characters!$A:$J,10,FALSE)</f>
        <v>PremiumN</v>
      </c>
      <c r="J59" s="7">
        <f>VLOOKUP(B59,[1]characters!$A:$I,9,FALSE)</f>
        <v>3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IFERROR(VLOOKUP(B59,input_433105!L:R,7,FALSE),VLOOKUP(tables_433105!C59,input_433105!A:H,8,FALSE))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input_433105!A$2</f>
        <v>433105</v>
      </c>
      <c r="B60" s="6">
        <v>185</v>
      </c>
      <c r="C60" s="7" t="str">
        <f t="shared" si="0"/>
        <v>Premium4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海姫 クラーケン</v>
      </c>
      <c r="I60" s="7" t="str">
        <f>VLOOKUP(B60,[1]characters!$A:$J,10,FALSE)</f>
        <v>PremiumN</v>
      </c>
      <c r="J60" s="7">
        <f>VLOOKUP(B60,[1]characters!$A:$I,9,FALSE)</f>
        <v>4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IFERROR(VLOOKUP(B60,input_433105!L:R,7,FALSE),VLOOKUP(tables_433105!C60,input_433105!A:H,8,FALSE))</f>
        <v>58210.748769999998</v>
      </c>
      <c r="P60" s="46">
        <f t="shared" ca="1" si="1"/>
        <v>4.9769792040098718E-3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input_433105!A$2</f>
        <v>433105</v>
      </c>
      <c r="B61" s="8">
        <v>186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誇り高き多触姫・クラーケン</v>
      </c>
      <c r="I61" s="7" t="str">
        <f>VLOOKUP(B61,[1]characters!$A:$J,10,FALSE)</f>
        <v>PremiumN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IFERROR(VLOOKUP(B61,input_433105!L:R,7,FALSE),VLOOKUP(tables_433105!C61,input_433105!A:H,8,FALSE))</f>
        <v>475.65123</v>
      </c>
      <c r="P61" s="46">
        <f t="shared" ca="1" si="1"/>
        <v>4.0667854822230913E-5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input_433105!A$2</f>
        <v>433105</v>
      </c>
      <c r="B62" s="8">
        <v>187</v>
      </c>
      <c r="C62" s="7" t="str">
        <f t="shared" si="0"/>
        <v>Premium3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ホルス</v>
      </c>
      <c r="I62" s="7" t="str">
        <f>VLOOKUP(B62,[1]characters!$A:$J,10,FALSE)</f>
        <v>PremiumN</v>
      </c>
      <c r="J62" s="7">
        <f>VLOOKUP(B62,[1]characters!$A:$I,9,FALSE)</f>
        <v>3</v>
      </c>
      <c r="K62" s="7" t="str">
        <f>VLOOKUP(B62,[1]characters!$A:$H,8,FALSE)</f>
        <v>yellow</v>
      </c>
      <c r="L62" s="7" t="str">
        <f>VLOOKUP(B62,[1]characters!$A:$K,11,FALSE)</f>
        <v>attack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IFERROR(VLOOKUP(B62,input_433105!L:R,7,FALSE),VLOOKUP(tables_433105!C62,input_433105!A:H,8,FALSE))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input_433105!A$2</f>
        <v>433105</v>
      </c>
      <c r="B63" s="8">
        <v>188</v>
      </c>
      <c r="C63" s="7" t="str">
        <f t="shared" si="0"/>
        <v>Premium4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猛禽 ホルス</v>
      </c>
      <c r="I63" s="7" t="str">
        <f>VLOOKUP(B63,[1]characters!$A:$J,10,FALSE)</f>
        <v>PremiumN</v>
      </c>
      <c r="J63" s="7">
        <f>VLOOKUP(B63,[1]characters!$A:$I,9,FALSE)</f>
        <v>4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IFERROR(VLOOKUP(B63,input_433105!L:R,7,FALSE),VLOOKUP(tables_433105!C63,input_433105!A:H,8,FALSE))</f>
        <v>58210.748769999998</v>
      </c>
      <c r="P63" s="46">
        <f t="shared" ca="1" si="1"/>
        <v>4.9769792040098718E-3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input_433105!A$2</f>
        <v>433105</v>
      </c>
      <c r="B64" s="8">
        <v>189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迅雷の王禽 ホルス</v>
      </c>
      <c r="I64" s="7" t="str">
        <f>VLOOKUP(B64,[1]characters!$A:$J,10,FALSE)</f>
        <v>PremiumN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IFERROR(VLOOKUP(B64,input_433105!L:R,7,FALSE),VLOOKUP(tables_433105!C64,input_433105!A:H,8,FALSE))</f>
        <v>475.65123</v>
      </c>
      <c r="P64" s="46">
        <f t="shared" ca="1" si="1"/>
        <v>4.0667854822230913E-5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input_433105!A$2</f>
        <v>433105</v>
      </c>
      <c r="B65" s="6">
        <v>190</v>
      </c>
      <c r="C65" s="7" t="str">
        <f t="shared" si="0"/>
        <v>Premium3color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>color</v>
      </c>
      <c r="H65" s="7" t="str">
        <f>VLOOKUP(B65,[1]characters!$A:$C,3,FALSE)</f>
        <v>卑弥呼</v>
      </c>
      <c r="I65" s="7" t="str">
        <f>VLOOKUP(B65,[1]characters!$A:$J,10,FALSE)</f>
        <v>PremiumN</v>
      </c>
      <c r="J65" s="7">
        <f>VLOOKUP(B65,[1]characters!$A:$I,9,FALSE)</f>
        <v>3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IFERROR(VLOOKUP(B65,input_433105!L:R,7,FALSE),VLOOKUP(tables_433105!C65,input_433105!A:H,8,FALSE))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input_433105!A$2</f>
        <v>433105</v>
      </c>
      <c r="B66" s="6">
        <v>191</v>
      </c>
      <c r="C66" s="7" t="str">
        <f t="shared" ref="C66:C129" si="4">D66&amp;J66&amp;E66&amp;F66&amp;G66</f>
        <v>Premium4color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始祖 卑弥呼</v>
      </c>
      <c r="I66" s="7" t="str">
        <f>VLOOKUP(B66,[1]characters!$A:$J,10,FALSE)</f>
        <v>PremiumN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IFERROR(VLOOKUP(B66,input_433105!L:R,7,FALSE),VLOOKUP(tables_433105!C66,input_433105!A:H,8,FALSE))</f>
        <v>285641.57689000003</v>
      </c>
      <c r="P66" s="46">
        <f t="shared" ref="P66:P129" ca="1" si="5">O66/SUM(O:O)</f>
        <v>2.4422159446861158E-2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input_433105!A$2</f>
        <v>433105</v>
      </c>
      <c r="B67" s="6">
        <v>192</v>
      </c>
      <c r="C67" s="7" t="str">
        <f t="shared" si="4"/>
        <v>Premium5color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荘厳なる始祖帝 卑弥呼</v>
      </c>
      <c r="I67" s="7" t="str">
        <f>VLOOKUP(B67,[1]characters!$A:$J,10,FALSE)</f>
        <v>PremiumN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IFERROR(VLOOKUP(B67,input_433105!L:R,7,FALSE),VLOOKUP(tables_433105!C67,input_433105!A:H,8,FALSE))</f>
        <v>554.45789000000002</v>
      </c>
      <c r="P67" s="46">
        <f t="shared" ca="1" si="5"/>
        <v>4.7405770348918211E-5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input_433105!A$2</f>
        <v>433105</v>
      </c>
      <c r="B68" s="6">
        <v>193</v>
      </c>
      <c r="C68" s="7" t="str">
        <f t="shared" si="4"/>
        <v>Premium3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ロビンフッド</v>
      </c>
      <c r="I68" s="7" t="str">
        <f>VLOOKUP(B68,[1]characters!$A:$J,10,FALSE)</f>
        <v>PremiumN</v>
      </c>
      <c r="J68" s="7">
        <f>VLOOKUP(B68,[1]characters!$A:$I,9,FALSE)</f>
        <v>3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IFERROR(VLOOKUP(B68,input_433105!L:R,7,FALSE),VLOOKUP(tables_433105!C68,input_433105!A:H,8,FALSE))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input_433105!A$2</f>
        <v>433105</v>
      </c>
      <c r="B69" s="10">
        <v>194</v>
      </c>
      <c r="C69" s="7" t="str">
        <f t="shared" si="4"/>
        <v>Premium4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スナイパー ロビンフッド</v>
      </c>
      <c r="I69" s="7" t="str">
        <f>VLOOKUP(B69,[1]characters!$A:$J,10,FALSE)</f>
        <v>PremiumN</v>
      </c>
      <c r="J69" s="7">
        <f>VLOOKUP(B69,[1]characters!$A:$I,9,FALSE)</f>
        <v>4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IFERROR(VLOOKUP(B69,input_433105!L:R,7,FALSE),VLOOKUP(tables_433105!C69,input_433105!A:H,8,FALSE))</f>
        <v>58210.748769999998</v>
      </c>
      <c r="P69" s="46">
        <f t="shared" ca="1" si="5"/>
        <v>4.9769792040098718E-3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input_433105!A$2</f>
        <v>433105</v>
      </c>
      <c r="B70" s="6">
        <v>195</v>
      </c>
      <c r="C70" s="7" t="str">
        <f t="shared" si="4"/>
        <v>Premium5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グランドハンター ロビンフッド</v>
      </c>
      <c r="I70" s="7" t="str">
        <f>VLOOKUP(B70,[1]characters!$A:$J,10,FALSE)</f>
        <v>PremiumN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IFERROR(VLOOKUP(B70,input_433105!L:R,7,FALSE),VLOOKUP(tables_433105!C70,input_433105!A:H,8,FALSE))</f>
        <v>475.65123</v>
      </c>
      <c r="P70" s="46">
        <f t="shared" ca="1" si="5"/>
        <v>4.0667854822230913E-5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input_433105!A$2</f>
        <v>433105</v>
      </c>
      <c r="B71" s="10">
        <v>196</v>
      </c>
      <c r="C71" s="7" t="str">
        <f t="shared" si="4"/>
        <v>Premium3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アキレス</v>
      </c>
      <c r="I71" s="7" t="str">
        <f>VLOOKUP(B71,[1]characters!$A:$J,10,FALSE)</f>
        <v>PremiumN</v>
      </c>
      <c r="J71" s="7">
        <f>VLOOKUP(B71,[1]characters!$A:$I,9,FALSE)</f>
        <v>3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IFERROR(VLOOKUP(B71,input_433105!L:R,7,FALSE),VLOOKUP(tables_433105!C71,input_433105!A:H,8,FALSE))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input_433105!A$2</f>
        <v>433105</v>
      </c>
      <c r="B72" s="11">
        <v>197</v>
      </c>
      <c r="C72" s="7" t="str">
        <f t="shared" si="4"/>
        <v>Premium4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鉄腕 アキレス</v>
      </c>
      <c r="I72" s="7" t="str">
        <f>VLOOKUP(B72,[1]characters!$A:$J,10,FALSE)</f>
        <v>PremiumN</v>
      </c>
      <c r="J72" s="7">
        <f>VLOOKUP(B72,[1]characters!$A:$I,9,FALSE)</f>
        <v>4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IFERROR(VLOOKUP(B72,input_433105!L:R,7,FALSE),VLOOKUP(tables_433105!C72,input_433105!A:H,8,FALSE))</f>
        <v>58210.748769999998</v>
      </c>
      <c r="P72" s="46">
        <f t="shared" ca="1" si="5"/>
        <v>4.9769792040098718E-3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input_433105!A$2</f>
        <v>433105</v>
      </c>
      <c r="B73" s="6">
        <v>198</v>
      </c>
      <c r="C73" s="7" t="str">
        <f t="shared" si="4"/>
        <v>Premium5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砕骨の剛腕 アキレス</v>
      </c>
      <c r="I73" s="7" t="str">
        <f>VLOOKUP(B73,[1]characters!$A:$J,10,FALSE)</f>
        <v>PremiumN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IFERROR(VLOOKUP(B73,input_433105!L:R,7,FALSE),VLOOKUP(tables_433105!C73,input_433105!A:H,8,FALSE))</f>
        <v>475.65123</v>
      </c>
      <c r="P73" s="46">
        <f t="shared" ca="1" si="5"/>
        <v>4.0667854822230913E-5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input_433105!A$2</f>
        <v>433105</v>
      </c>
      <c r="B74" s="6">
        <v>199</v>
      </c>
      <c r="C74" s="7" t="str">
        <f t="shared" si="4"/>
        <v>Premium3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ジークフリート</v>
      </c>
      <c r="I74" s="7" t="str">
        <f>VLOOKUP(B74,[1]characters!$A:$J,10,FALSE)</f>
        <v>PremiumN</v>
      </c>
      <c r="J74" s="7">
        <f>VLOOKUP(B74,[1]characters!$A:$I,9,FALSE)</f>
        <v>3</v>
      </c>
      <c r="K74" s="7" t="str">
        <f>VLOOKUP(B74,[1]characters!$A:$H,8,FALSE)</f>
        <v>blue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男性</v>
      </c>
      <c r="O74" s="45">
        <f ca="1">IFERROR(VLOOKUP(B74,input_433105!L:R,7,FALSE),VLOOKUP(tables_433105!C74,input_433105!A:H,8,FALSE))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input_433105!A$2</f>
        <v>433105</v>
      </c>
      <c r="B75" s="6">
        <v>200</v>
      </c>
      <c r="C75" s="7" t="str">
        <f t="shared" si="4"/>
        <v>Premium4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大剣士 ジークフリート</v>
      </c>
      <c r="I75" s="7" t="str">
        <f>VLOOKUP(B75,[1]characters!$A:$J,10,FALSE)</f>
        <v>PremiumN</v>
      </c>
      <c r="J75" s="7">
        <f>VLOOKUP(B75,[1]characters!$A:$I,9,FALSE)</f>
        <v>4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IFERROR(VLOOKUP(B75,input_433105!L:R,7,FALSE),VLOOKUP(tables_433105!C75,input_433105!A:H,8,FALSE))</f>
        <v>58210.748769999998</v>
      </c>
      <c r="P75" s="46">
        <f t="shared" ca="1" si="5"/>
        <v>4.9769792040098718E-3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input_433105!A$2</f>
        <v>433105</v>
      </c>
      <c r="B76" s="5">
        <v>201</v>
      </c>
      <c r="C76" s="7" t="str">
        <f t="shared" si="4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斬空の大破剣 ジークフリート</v>
      </c>
      <c r="I76" s="7" t="str">
        <f>VLOOKUP(B76,[1]characters!$A:$J,10,FALSE)</f>
        <v>PremiumN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IFERROR(VLOOKUP(B76,input_433105!L:R,7,FALSE),VLOOKUP(tables_433105!C76,input_433105!A:H,8,FALSE))</f>
        <v>475.65123</v>
      </c>
      <c r="P76" s="46">
        <f t="shared" ca="1" si="5"/>
        <v>4.0667854822230913E-5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input_433105!A$2</f>
        <v>433105</v>
      </c>
      <c r="B77" s="5">
        <v>202</v>
      </c>
      <c r="C77" s="7" t="str">
        <f t="shared" si="4"/>
        <v>Premium3color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プロメテウス</v>
      </c>
      <c r="I77" s="7" t="str">
        <f>VLOOKUP(B77,[1]characters!$A:$J,10,FALSE)</f>
        <v>PremiumN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5">
        <f ca="1">IFERROR(VLOOKUP(B77,input_433105!L:R,7,FALSE),VLOOKUP(tables_433105!C77,input_433105!A:H,8,FALSE))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input_433105!A$2</f>
        <v>433105</v>
      </c>
      <c r="B78" s="5">
        <v>203</v>
      </c>
      <c r="C78" s="7" t="str">
        <f t="shared" si="4"/>
        <v>Premium4color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焔神 プロメテウス</v>
      </c>
      <c r="I78" s="7" t="str">
        <f>VLOOKUP(B78,[1]characters!$A:$J,10,FALSE)</f>
        <v>PremiumN</v>
      </c>
      <c r="J78" s="7">
        <f>VLOOKUP(B78,[1]characters!$A:$I,9,FALSE)</f>
        <v>4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IFERROR(VLOOKUP(B78,input_433105!L:R,7,FALSE),VLOOKUP(tables_433105!C78,input_433105!A:H,8,FALSE))</f>
        <v>285641.57689000003</v>
      </c>
      <c r="P78" s="46">
        <f t="shared" ca="1" si="5"/>
        <v>2.4422159446861158E-2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input_433105!A$2</f>
        <v>433105</v>
      </c>
      <c r="B79" s="5">
        <v>204</v>
      </c>
      <c r="C79" s="7" t="str">
        <f t="shared" si="4"/>
        <v>Premium5color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慟哭の巨焔 プロメテウス</v>
      </c>
      <c r="I79" s="7" t="str">
        <f>VLOOKUP(B79,[1]characters!$A:$J,10,FALSE)</f>
        <v>PremiumN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IFERROR(VLOOKUP(B79,input_433105!L:R,7,FALSE),VLOOKUP(tables_433105!C79,input_433105!A:H,8,FALSE))</f>
        <v>554.45789000000002</v>
      </c>
      <c r="P79" s="46">
        <f t="shared" ca="1" si="5"/>
        <v>4.7405770348918211E-5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input_433105!A$2</f>
        <v>433105</v>
      </c>
      <c r="B80" s="5">
        <v>205</v>
      </c>
      <c r="C80" s="7" t="str">
        <f t="shared" si="4"/>
        <v>Premium3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アフロディーテ</v>
      </c>
      <c r="I80" s="7" t="str">
        <f>VLOOKUP(B80,[1]characters!$A:$J,10,FALSE)</f>
        <v>PremiumN</v>
      </c>
      <c r="J80" s="7">
        <f>VLOOKUP(B80,[1]characters!$A:$I,9,FALSE)</f>
        <v>3</v>
      </c>
      <c r="K80" s="7" t="str">
        <f>VLOOKUP(B80,[1]characters!$A:$H,8,FALSE)</f>
        <v>green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ca="1">IFERROR(VLOOKUP(B80,input_433105!L:R,7,FALSE),VLOOKUP(tables_433105!C80,input_433105!A:H,8,FALSE))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input_433105!A$2</f>
        <v>433105</v>
      </c>
      <c r="B81" s="5">
        <v>206</v>
      </c>
      <c r="C81" s="7" t="str">
        <f t="shared" si="4"/>
        <v>Premium4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美神 アフロディーテ</v>
      </c>
      <c r="I81" s="7" t="str">
        <f>VLOOKUP(B81,[1]characters!$A:$J,10,FALSE)</f>
        <v>PremiumN</v>
      </c>
      <c r="J81" s="7">
        <f>VLOOKUP(B81,[1]characters!$A:$I,9,FALSE)</f>
        <v>4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IFERROR(VLOOKUP(B81,input_433105!L:R,7,FALSE),VLOOKUP(tables_433105!C81,input_433105!A:H,8,FALSE))</f>
        <v>58210.748769999998</v>
      </c>
      <c r="P81" s="46">
        <f t="shared" ca="1" si="5"/>
        <v>4.9769792040098718E-3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input_433105!A$2</f>
        <v>433105</v>
      </c>
      <c r="B82" s="5">
        <v>207</v>
      </c>
      <c r="C82" s="7" t="str">
        <f t="shared" si="4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豊穣の麗神・アフロディーテ</v>
      </c>
      <c r="I82" s="7" t="str">
        <f>VLOOKUP(B82,[1]characters!$A:$J,10,FALSE)</f>
        <v>PremiumN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IFERROR(VLOOKUP(B82,input_433105!L:R,7,FALSE),VLOOKUP(tables_433105!C82,input_433105!A:H,8,FALSE))</f>
        <v>475.65123</v>
      </c>
      <c r="P82" s="46">
        <f t="shared" ca="1" si="5"/>
        <v>4.0667854822230913E-5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input_433105!A$2</f>
        <v>433105</v>
      </c>
      <c r="B83" s="5">
        <v>208</v>
      </c>
      <c r="C83" s="7" t="str">
        <f t="shared" si="4"/>
        <v>Premium3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テティス</v>
      </c>
      <c r="I83" s="7" t="str">
        <f>VLOOKUP(B83,[1]characters!$A:$J,10,FALSE)</f>
        <v>PremiumN</v>
      </c>
      <c r="J83" s="7">
        <f>VLOOKUP(B83,[1]characters!$A:$I,9,FALSE)</f>
        <v>3</v>
      </c>
      <c r="K83" s="7" t="str">
        <f>VLOOKUP(B83,[1]characters!$A:$H,8,FALSE)</f>
        <v>blue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IFERROR(VLOOKUP(B83,input_433105!L:R,7,FALSE),VLOOKUP(tables_433105!C83,input_433105!A:H,8,FALSE))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input_433105!A$2</f>
        <v>433105</v>
      </c>
      <c r="B84" s="5">
        <v>209</v>
      </c>
      <c r="C84" s="7" t="str">
        <f t="shared" si="4"/>
        <v>Premium4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孤神 テティス</v>
      </c>
      <c r="I84" s="7" t="str">
        <f>VLOOKUP(B84,[1]characters!$A:$J,10,FALSE)</f>
        <v>PremiumN</v>
      </c>
      <c r="J84" s="7">
        <f>VLOOKUP(B84,[1]characters!$A:$I,9,FALSE)</f>
        <v>4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IFERROR(VLOOKUP(B84,input_433105!L:R,7,FALSE),VLOOKUP(tables_433105!C84,input_433105!A:H,8,FALSE))</f>
        <v>58210.748769999998</v>
      </c>
      <c r="P84" s="46">
        <f t="shared" ca="1" si="5"/>
        <v>4.9769792040098718E-3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input_433105!A$2</f>
        <v>433105</v>
      </c>
      <c r="B85" s="5">
        <v>210</v>
      </c>
      <c r="C85" s="7" t="str">
        <f t="shared" si="4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海底の孤高神 テティス</v>
      </c>
      <c r="I85" s="7" t="str">
        <f>VLOOKUP(B85,[1]characters!$A:$J,10,FALSE)</f>
        <v>PremiumN</v>
      </c>
      <c r="J85" s="7">
        <f>VLOOKUP(B85,[1]characters!$A:$I,9,FALSE)</f>
        <v>5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IFERROR(VLOOKUP(B85,input_433105!L:R,7,FALSE),VLOOKUP(tables_433105!C85,input_433105!A:H,8,FALSE))</f>
        <v>475.65123</v>
      </c>
      <c r="P85" s="46">
        <f t="shared" ca="1" si="5"/>
        <v>4.0667854822230913E-5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input_433105!A$2</f>
        <v>433105</v>
      </c>
      <c r="B86" s="5">
        <v>211</v>
      </c>
      <c r="C86" s="7" t="str">
        <f t="shared" si="4"/>
        <v>Premium3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アストライアー</v>
      </c>
      <c r="I86" s="7" t="str">
        <f>VLOOKUP(B86,[1]characters!$A:$J,10,FALSE)</f>
        <v>PremiumN</v>
      </c>
      <c r="J86" s="7">
        <f>VLOOKUP(B86,[1]characters!$A:$I,9,FALSE)</f>
        <v>3</v>
      </c>
      <c r="K86" s="7" t="str">
        <f>VLOOKUP(B86,[1]characters!$A:$H,8,FALSE)</f>
        <v>yellow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IFERROR(VLOOKUP(B86,input_433105!L:R,7,FALSE),VLOOKUP(tables_433105!C86,input_433105!A:H,8,FALSE))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input_433105!A$2</f>
        <v>433105</v>
      </c>
      <c r="B87" s="5">
        <v>212</v>
      </c>
      <c r="C87" s="7" t="str">
        <f t="shared" si="4"/>
        <v>Premium4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星神 アストライアー</v>
      </c>
      <c r="I87" s="7" t="str">
        <f>VLOOKUP(B87,[1]characters!$A:$J,10,FALSE)</f>
        <v>PremiumN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IFERROR(VLOOKUP(B87,input_433105!L:R,7,FALSE),VLOOKUP(tables_433105!C87,input_433105!A:H,8,FALSE))</f>
        <v>58210.748769999998</v>
      </c>
      <c r="P87" s="46">
        <f t="shared" ca="1" si="5"/>
        <v>4.9769792040098718E-3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input_433105!A$2</f>
        <v>433105</v>
      </c>
      <c r="B88" s="5">
        <v>213</v>
      </c>
      <c r="C88" s="7" t="str">
        <f t="shared" si="4"/>
        <v>Premium5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満天の星降神 アストライアー</v>
      </c>
      <c r="I88" s="7" t="str">
        <f>VLOOKUP(B88,[1]characters!$A:$J,10,FALSE)</f>
        <v>PremiumN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IFERROR(VLOOKUP(B88,input_433105!L:R,7,FALSE),VLOOKUP(tables_433105!C88,input_433105!A:H,8,FALSE))</f>
        <v>475.65123</v>
      </c>
      <c r="P88" s="46">
        <f t="shared" ca="1" si="5"/>
        <v>4.0667854822230913E-5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input_433105!A$2</f>
        <v>433105</v>
      </c>
      <c r="B89" s="5">
        <v>214</v>
      </c>
      <c r="C89" s="7" t="str">
        <f t="shared" si="4"/>
        <v>Premium3color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>color</v>
      </c>
      <c r="H89" s="7" t="str">
        <f>VLOOKUP(B89,[1]characters!$A:$C,3,FALSE)</f>
        <v>アズラエル</v>
      </c>
      <c r="I89" s="7" t="str">
        <f>VLOOKUP(B89,[1]characters!$A:$J,10,FALSE)</f>
        <v>PremiumN</v>
      </c>
      <c r="J89" s="7">
        <f>VLOOKUP(B89,[1]characters!$A:$I,9,FALSE)</f>
        <v>3</v>
      </c>
      <c r="K89" s="7" t="str">
        <f>VLOOKUP(B89,[1]characters!$A:$H,8,FALSE)</f>
        <v>red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IFERROR(VLOOKUP(B89,input_433105!L:R,7,FALSE),VLOOKUP(tables_433105!C89,input_433105!A:H,8,FALSE))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input_433105!A$2</f>
        <v>433105</v>
      </c>
      <c r="B90" s="5">
        <v>215</v>
      </c>
      <c r="C90" s="7" t="str">
        <f t="shared" si="4"/>
        <v>Premium4color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死導者 アズラエル</v>
      </c>
      <c r="I90" s="7" t="str">
        <f>VLOOKUP(B90,[1]characters!$A:$J,10,FALSE)</f>
        <v>PremiumN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IFERROR(VLOOKUP(B90,input_433105!L:R,7,FALSE),VLOOKUP(tables_433105!C90,input_433105!A:H,8,FALSE))</f>
        <v>285641.57689000003</v>
      </c>
      <c r="P90" s="46">
        <f t="shared" ca="1" si="5"/>
        <v>2.4422159446861158E-2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input_433105!A$2</f>
        <v>433105</v>
      </c>
      <c r="B91" s="5">
        <v>216</v>
      </c>
      <c r="C91" s="7" t="str">
        <f t="shared" si="4"/>
        <v>Premium5color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百読の死導司書 アズラエル</v>
      </c>
      <c r="I91" s="7" t="str">
        <f>VLOOKUP(B91,[1]characters!$A:$J,10,FALSE)</f>
        <v>PremiumN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IFERROR(VLOOKUP(B91,input_433105!L:R,7,FALSE),VLOOKUP(tables_433105!C91,input_433105!A:H,8,FALSE))</f>
        <v>554.45789000000002</v>
      </c>
      <c r="P91" s="46">
        <f t="shared" ca="1" si="5"/>
        <v>4.7405770348918211E-5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input_433105!A$2</f>
        <v>433105</v>
      </c>
      <c r="B92" s="5">
        <v>217</v>
      </c>
      <c r="C92" s="7" t="str">
        <f t="shared" si="4"/>
        <v>Premium3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ケツァクアトル</v>
      </c>
      <c r="I92" s="7" t="str">
        <f>VLOOKUP(B92,[1]characters!$A:$J,10,FALSE)</f>
        <v>PremiumN</v>
      </c>
      <c r="J92" s="7">
        <f>VLOOKUP(B92,[1]characters!$A:$I,9,FALSE)</f>
        <v>3</v>
      </c>
      <c r="K92" s="7" t="str">
        <f>VLOOKUP(B92,[1]characters!$A:$H,8,FALSE)</f>
        <v>green</v>
      </c>
      <c r="L92" s="7" t="str">
        <f>VLOOKUP(B92,[1]characters!$A:$K,11,FALSE)</f>
        <v>hp</v>
      </c>
      <c r="M92" s="7" t="str">
        <f>VLOOKUP(B92,[1]characters!$A:$M,13,FALSE)</f>
        <v>dragon</v>
      </c>
      <c r="N92" s="7" t="str">
        <f>VLOOKUP(B92,[1]characters!$A:$G,7,FALSE)</f>
        <v>女性</v>
      </c>
      <c r="O92" s="45">
        <f ca="1">IFERROR(VLOOKUP(B92,input_433105!L:R,7,FALSE),VLOOKUP(tables_433105!C92,input_433105!A:H,8,FALSE))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input_433105!A$2</f>
        <v>433105</v>
      </c>
      <c r="B93" s="5">
        <v>218</v>
      </c>
      <c r="C93" s="7" t="str">
        <f t="shared" si="4"/>
        <v>Premium4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聖蛇 ケツァクアトル</v>
      </c>
      <c r="I93" s="7" t="str">
        <f>VLOOKUP(B93,[1]characters!$A:$J,10,FALSE)</f>
        <v>PremiumN</v>
      </c>
      <c r="J93" s="7">
        <f>VLOOKUP(B93,[1]characters!$A:$I,9,FALSE)</f>
        <v>4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IFERROR(VLOOKUP(B93,input_433105!L:R,7,FALSE),VLOOKUP(tables_433105!C93,input_433105!A:H,8,FALSE))</f>
        <v>58210.748769999998</v>
      </c>
      <c r="P93" s="46">
        <f t="shared" ca="1" si="5"/>
        <v>4.9769792040098718E-3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input_433105!A$2</f>
        <v>433105</v>
      </c>
      <c r="B94" s="5">
        <v>219</v>
      </c>
      <c r="C94" s="7" t="str">
        <f t="shared" si="4"/>
        <v>Premium5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覇翼の聖蛇竜 ケツァクアトル</v>
      </c>
      <c r="I94" s="7" t="str">
        <f>VLOOKUP(B94,[1]characters!$A:$J,10,FALSE)</f>
        <v>PremiumN</v>
      </c>
      <c r="J94" s="7">
        <f>VLOOKUP(B94,[1]characters!$A:$I,9,FALSE)</f>
        <v>5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IFERROR(VLOOKUP(B94,input_433105!L:R,7,FALSE),VLOOKUP(tables_433105!C94,input_433105!A:H,8,FALSE))</f>
        <v>475.65123</v>
      </c>
      <c r="P94" s="46">
        <f t="shared" ca="1" si="5"/>
        <v>4.0667854822230913E-5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input_433105!A$2</f>
        <v>433105</v>
      </c>
      <c r="B95" s="5">
        <v>220</v>
      </c>
      <c r="C95" s="7" t="str">
        <f t="shared" si="4"/>
        <v>Premium3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ルキフグス</v>
      </c>
      <c r="I95" s="7" t="str">
        <f>VLOOKUP(B95,[1]characters!$A:$J,10,FALSE)</f>
        <v>PremiumN</v>
      </c>
      <c r="J95" s="7">
        <f>VLOOKUP(B95,[1]characters!$A:$I,9,FALSE)</f>
        <v>3</v>
      </c>
      <c r="K95" s="7" t="str">
        <f>VLOOKUP(B95,[1]characters!$A:$H,8,FALSE)</f>
        <v>blue</v>
      </c>
      <c r="L95" s="7" t="str">
        <f>VLOOKUP(B95,[1]characters!$A:$K,11,FALSE)</f>
        <v>balance</v>
      </c>
      <c r="M95" s="7" t="str">
        <f>VLOOKUP(B95,[1]characters!$A:$M,13,FALSE)</f>
        <v>god</v>
      </c>
      <c r="N95" s="7" t="str">
        <f>VLOOKUP(B95,[1]characters!$A:$G,7,FALSE)</f>
        <v>女性</v>
      </c>
      <c r="O95" s="45">
        <f ca="1">IFERROR(VLOOKUP(B95,input_433105!L:R,7,FALSE),VLOOKUP(tables_433105!C95,input_433105!A:H,8,FALSE))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input_433105!A$2</f>
        <v>433105</v>
      </c>
      <c r="B96" s="5">
        <v>221</v>
      </c>
      <c r="C96" s="7" t="str">
        <f t="shared" si="4"/>
        <v>Premium4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宰相 ルキフグス</v>
      </c>
      <c r="I96" s="7" t="str">
        <f>VLOOKUP(B96,[1]characters!$A:$J,10,FALSE)</f>
        <v>PremiumN</v>
      </c>
      <c r="J96" s="7">
        <f>VLOOKUP(B96,[1]characters!$A:$I,9,FALSE)</f>
        <v>4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IFERROR(VLOOKUP(B96,input_433105!L:R,7,FALSE),VLOOKUP(tables_433105!C96,input_433105!A:H,8,FALSE))</f>
        <v>58210.748769999998</v>
      </c>
      <c r="P96" s="46">
        <f t="shared" ca="1" si="5"/>
        <v>4.9769792040098718E-3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input_433105!A$2</f>
        <v>433105</v>
      </c>
      <c r="B97" s="5">
        <v>222</v>
      </c>
      <c r="C97" s="7" t="str">
        <f t="shared" si="4"/>
        <v>Premium5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避光の鉄鎖宰相 ルキフグス</v>
      </c>
      <c r="I97" s="7" t="str">
        <f>VLOOKUP(B97,[1]characters!$A:$J,10,FALSE)</f>
        <v>PremiumN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IFERROR(VLOOKUP(B97,input_433105!L:R,7,FALSE),VLOOKUP(tables_433105!C97,input_433105!A:H,8,FALSE))</f>
        <v>475.65123</v>
      </c>
      <c r="P97" s="46">
        <f t="shared" ca="1" si="5"/>
        <v>4.0667854822230913E-5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input_433105!A$2</f>
        <v>433105</v>
      </c>
      <c r="B98" s="5">
        <v>223</v>
      </c>
      <c r="C98" s="7" t="str">
        <f t="shared" si="4"/>
        <v>Premium3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ヘラクレス</v>
      </c>
      <c r="I98" s="7" t="str">
        <f>VLOOKUP(B98,[1]characters!$A:$J,10,FALSE)</f>
        <v>PremiumN</v>
      </c>
      <c r="J98" s="7">
        <f>VLOOKUP(B98,[1]characters!$A:$I,9,FALSE)</f>
        <v>3</v>
      </c>
      <c r="K98" s="7" t="str">
        <f>VLOOKUP(B98,[1]characters!$A:$H,8,FALSE)</f>
        <v>yellow</v>
      </c>
      <c r="L98" s="7" t="str">
        <f>VLOOKUP(B98,[1]characters!$A:$K,11,FALSE)</f>
        <v>balance</v>
      </c>
      <c r="M98" s="7" t="str">
        <f>VLOOKUP(B98,[1]characters!$A:$M,13,FALSE)</f>
        <v>human</v>
      </c>
      <c r="N98" s="7" t="str">
        <f>VLOOKUP(B98,[1]characters!$A:$G,7,FALSE)</f>
        <v>男性</v>
      </c>
      <c r="O98" s="45">
        <f ca="1">IFERROR(VLOOKUP(B98,input_433105!L:R,7,FALSE),VLOOKUP(tables_433105!C98,input_433105!A:H,8,FALSE))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input_433105!A$2</f>
        <v>433105</v>
      </c>
      <c r="B99" s="5">
        <v>224</v>
      </c>
      <c r="C99" s="7" t="str">
        <f t="shared" si="4"/>
        <v>Premium4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巨腕 ヘラクレス</v>
      </c>
      <c r="I99" s="7" t="str">
        <f>VLOOKUP(B99,[1]characters!$A:$J,10,FALSE)</f>
        <v>PremiumN</v>
      </c>
      <c r="J99" s="7">
        <f>VLOOKUP(B99,[1]characters!$A:$I,9,FALSE)</f>
        <v>4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IFERROR(VLOOKUP(B99,input_433105!L:R,7,FALSE),VLOOKUP(tables_433105!C99,input_433105!A:H,8,FALSE))</f>
        <v>58210.748769999998</v>
      </c>
      <c r="P99" s="46">
        <f t="shared" ca="1" si="5"/>
        <v>4.9769792040098718E-3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input_433105!A$2</f>
        <v>433105</v>
      </c>
      <c r="B100" s="5">
        <v>225</v>
      </c>
      <c r="C100" s="7" t="str">
        <f t="shared" si="4"/>
        <v>Premium5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咆哮の巨獅腕 ヘラクレス</v>
      </c>
      <c r="I100" s="7" t="str">
        <f>VLOOKUP(B100,[1]characters!$A:$J,10,FALSE)</f>
        <v>PremiumN</v>
      </c>
      <c r="J100" s="7">
        <f>VLOOKUP(B100,[1]characters!$A:$I,9,FALSE)</f>
        <v>5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IFERROR(VLOOKUP(B100,input_433105!L:R,7,FALSE),VLOOKUP(tables_433105!C100,input_433105!A:H,8,FALSE))</f>
        <v>475.65123</v>
      </c>
      <c r="P100" s="46">
        <f t="shared" ca="1" si="5"/>
        <v>4.0667854822230913E-5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input_433105!A$2</f>
        <v>433105</v>
      </c>
      <c r="B101" s="5">
        <v>226</v>
      </c>
      <c r="C101" s="7" t="str">
        <f t="shared" si="4"/>
        <v>Premium3color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>color</v>
      </c>
      <c r="H101" s="7" t="str">
        <f>VLOOKUP(B101,[1]characters!$A:$C,3,FALSE)</f>
        <v>アレス</v>
      </c>
      <c r="I101" s="7" t="str">
        <f>VLOOKUP(B101,[1]characters!$A:$J,10,FALSE)</f>
        <v>PremiumS</v>
      </c>
      <c r="J101" s="7">
        <f>VLOOKUP(B101,[1]characters!$A:$I,9,FALSE)</f>
        <v>3</v>
      </c>
      <c r="K101" s="7" t="str">
        <f>VLOOKUP(B101,[1]characters!$A:$H,8,FALSE)</f>
        <v>red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ca="1">IFERROR(VLOOKUP(B101,input_433105!L:R,7,FALSE),VLOOKUP(tables_433105!C101,input_433105!A:H,8,FALSE))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input_433105!A$2</f>
        <v>433105</v>
      </c>
      <c r="B102" s="5">
        <v>227</v>
      </c>
      <c r="C102" s="7" t="str">
        <f t="shared" si="4"/>
        <v>Premium4color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滅弾 アレス</v>
      </c>
      <c r="I102" s="7" t="str">
        <f>VLOOKUP(B102,[1]characters!$A:$J,10,FALSE)</f>
        <v>PremiumS</v>
      </c>
      <c r="J102" s="7">
        <f>VLOOKUP(B102,[1]characters!$A:$I,9,FALSE)</f>
        <v>4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IFERROR(VLOOKUP(B102,input_433105!L:R,7,FALSE),VLOOKUP(tables_433105!C102,input_433105!A:H,8,FALSE))</f>
        <v>285641.57689000003</v>
      </c>
      <c r="P102" s="46">
        <f t="shared" ca="1" si="5"/>
        <v>2.4422159446861158E-2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input_433105!A$2</f>
        <v>433105</v>
      </c>
      <c r="B103" s="5">
        <v>228</v>
      </c>
      <c r="C103" s="7" t="str">
        <f t="shared" si="4"/>
        <v>Premium5color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殲滅の掃射砲 アレス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IFERROR(VLOOKUP(B103,input_433105!L:R,7,FALSE),VLOOKUP(tables_433105!C103,input_433105!A:H,8,FALSE))</f>
        <v>554.45789000000002</v>
      </c>
      <c r="P103" s="46">
        <f t="shared" ca="1" si="5"/>
        <v>4.7405770348918211E-5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input_433105!A$2</f>
        <v>433105</v>
      </c>
      <c r="B104" s="5">
        <v>229</v>
      </c>
      <c r="C104" s="7" t="str">
        <f t="shared" si="4"/>
        <v>Premium3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ヨルムンガンド</v>
      </c>
      <c r="I104" s="7" t="str">
        <f>VLOOKUP(B104,[1]characters!$A:$J,10,FALSE)</f>
        <v>PremiumS</v>
      </c>
      <c r="J104" s="7">
        <f>VLOOKUP(B104,[1]characters!$A:$I,9,FALSE)</f>
        <v>3</v>
      </c>
      <c r="K104" s="7" t="str">
        <f>VLOOKUP(B104,[1]characters!$A:$H,8,FALSE)</f>
        <v>green</v>
      </c>
      <c r="L104" s="7" t="str">
        <f>VLOOKUP(B104,[1]characters!$A:$K,11,FALSE)</f>
        <v>technical</v>
      </c>
      <c r="M104" s="7" t="str">
        <f>VLOOKUP(B104,[1]characters!$A:$M,13,FALSE)</f>
        <v>dragon</v>
      </c>
      <c r="N104" s="7" t="str">
        <f>VLOOKUP(B104,[1]characters!$A:$G,7,FALSE)</f>
        <v>女性</v>
      </c>
      <c r="O104" s="45">
        <f ca="1">IFERROR(VLOOKUP(B104,input_433105!L:R,7,FALSE),VLOOKUP(tables_433105!C104,input_433105!A:H,8,FALSE))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input_433105!A$2</f>
        <v>433105</v>
      </c>
      <c r="B105" s="5">
        <v>230</v>
      </c>
      <c r="C105" s="7" t="str">
        <f t="shared" si="4"/>
        <v>Premium4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毒銃 ヨルムンガンド</v>
      </c>
      <c r="I105" s="7" t="str">
        <f>VLOOKUP(B105,[1]characters!$A:$J,10,FALSE)</f>
        <v>PremiumS</v>
      </c>
      <c r="J105" s="7">
        <f>VLOOKUP(B105,[1]characters!$A:$I,9,FALSE)</f>
        <v>4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IFERROR(VLOOKUP(B105,input_433105!L:R,7,FALSE),VLOOKUP(tables_433105!C105,input_433105!A:H,8,FALSE))</f>
        <v>58210.748769999998</v>
      </c>
      <c r="P105" s="46">
        <f t="shared" ca="1" si="5"/>
        <v>4.9769792040098718E-3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input_433105!A$2</f>
        <v>433105</v>
      </c>
      <c r="B106" s="5">
        <v>231</v>
      </c>
      <c r="C106" s="7" t="str">
        <f t="shared" si="4"/>
        <v>Premium5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必中の咬銃 ヨルムンガンド</v>
      </c>
      <c r="I106" s="7" t="str">
        <f>VLOOKUP(B106,[1]characters!$A:$J,10,FALSE)</f>
        <v>PremiumS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IFERROR(VLOOKUP(B106,input_433105!L:R,7,FALSE),VLOOKUP(tables_433105!C106,input_433105!A:H,8,FALSE))</f>
        <v>475.65123</v>
      </c>
      <c r="P106" s="46">
        <f t="shared" ca="1" si="5"/>
        <v>4.0667854822230913E-5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input_433105!A$2</f>
        <v>433105</v>
      </c>
      <c r="B107" s="5">
        <v>232</v>
      </c>
      <c r="C107" s="7" t="str">
        <f t="shared" si="4"/>
        <v>Premium3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パーシヴァル</v>
      </c>
      <c r="I107" s="7" t="str">
        <f>VLOOKUP(B107,[1]characters!$A:$J,10,FALSE)</f>
        <v>PremiumS</v>
      </c>
      <c r="J107" s="7">
        <f>VLOOKUP(B107,[1]characters!$A:$I,9,FALSE)</f>
        <v>3</v>
      </c>
      <c r="K107" s="7" t="str">
        <f>VLOOKUP(B107,[1]characters!$A:$H,8,FALSE)</f>
        <v>blue</v>
      </c>
      <c r="L107" s="7" t="str">
        <f>VLOOKUP(B107,[1]characters!$A:$K,11,FALSE)</f>
        <v>technical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ca="1">IFERROR(VLOOKUP(B107,input_433105!L:R,7,FALSE),VLOOKUP(tables_433105!C107,input_433105!A:H,8,FALSE))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input_433105!A$2</f>
        <v>433105</v>
      </c>
      <c r="B108" s="5">
        <v>233</v>
      </c>
      <c r="C108" s="7" t="str">
        <f t="shared" si="4"/>
        <v>Premium4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遂行 パーシヴァル</v>
      </c>
      <c r="I108" s="7" t="str">
        <f>VLOOKUP(B108,[1]characters!$A:$J,10,FALSE)</f>
        <v>PremiumS</v>
      </c>
      <c r="J108" s="7">
        <f>VLOOKUP(B108,[1]characters!$A:$I,9,FALSE)</f>
        <v>4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IFERROR(VLOOKUP(B108,input_433105!L:R,7,FALSE),VLOOKUP(tables_433105!C108,input_433105!A:H,8,FALSE))</f>
        <v>58210.748769999998</v>
      </c>
      <c r="P108" s="46">
        <f t="shared" ca="1" si="5"/>
        <v>4.9769792040098718E-3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input_433105!A$2</f>
        <v>433105</v>
      </c>
      <c r="B109" s="5">
        <v>234</v>
      </c>
      <c r="C109" s="7" t="str">
        <f t="shared" si="4"/>
        <v>Premium5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精密なる照準 パーシヴァル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IFERROR(VLOOKUP(B109,input_433105!L:R,7,FALSE),VLOOKUP(tables_433105!C109,input_433105!A:H,8,FALSE))</f>
        <v>475.65123</v>
      </c>
      <c r="P109" s="46">
        <f t="shared" ca="1" si="5"/>
        <v>4.0667854822230913E-5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input_433105!A$2</f>
        <v>433105</v>
      </c>
      <c r="B110" s="5">
        <v>235</v>
      </c>
      <c r="C110" s="7" t="str">
        <f t="shared" si="4"/>
        <v>Premium3R6release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>R6release</v>
      </c>
      <c r="G110" s="7" t="str">
        <f t="shared" si="7"/>
        <v/>
      </c>
      <c r="H110" s="7" t="str">
        <f>VLOOKUP(B110,[1]characters!$A:$C,3,FALSE)</f>
        <v>イザナミ</v>
      </c>
      <c r="I110" s="7" t="str">
        <f>VLOOKUP(B110,[1]characters!$A:$J,10,FALSE)</f>
        <v>PremiumS</v>
      </c>
      <c r="J110" s="7">
        <f>VLOOKUP(B110,[1]characters!$A:$I,9,FALSE)</f>
        <v>3</v>
      </c>
      <c r="K110" s="7" t="str">
        <f>VLOOKUP(B110,[1]characters!$A:$H,8,FALSE)</f>
        <v>yellow</v>
      </c>
      <c r="L110" s="7" t="str">
        <f>VLOOKUP(B110,[1]characters!$A:$K,11,FALSE)</f>
        <v>attack</v>
      </c>
      <c r="M110" s="7" t="str">
        <f>VLOOKUP(B110,[1]characters!$A:$M,13,FALSE)</f>
        <v>god</v>
      </c>
      <c r="N110" s="7" t="str">
        <f>VLOOKUP(B110,[1]characters!$A:$G,7,FALSE)</f>
        <v>女性</v>
      </c>
      <c r="O110" s="45">
        <f ca="1">IFERROR(VLOOKUP(B110,input_433105!L:R,7,FALSE),VLOOKUP(tables_433105!C110,input_433105!A:H,8,FALSE))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input_433105!A$2</f>
        <v>433105</v>
      </c>
      <c r="B111" s="5">
        <v>236</v>
      </c>
      <c r="C111" s="7" t="str">
        <f t="shared" si="4"/>
        <v>Premium4R6release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神産 イザナミ</v>
      </c>
      <c r="I111" s="7" t="str">
        <f>VLOOKUP(B111,[1]characters!$A:$J,10,FALSE)</f>
        <v>PremiumS</v>
      </c>
      <c r="J111" s="7">
        <f>VLOOKUP(B111,[1]characters!$A:$I,9,FALSE)</f>
        <v>4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IFERROR(VLOOKUP(B111,input_433105!L:R,7,FALSE),VLOOKUP(tables_433105!C111,input_433105!A:H,8,FALSE))</f>
        <v>61307.68</v>
      </c>
      <c r="P111" s="46">
        <f t="shared" ca="1" si="5"/>
        <v>5.2417647058913093E-3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input_433105!A$2</f>
        <v>433105</v>
      </c>
      <c r="B112" s="5">
        <v>237</v>
      </c>
      <c r="C112" s="7" t="str">
        <f t="shared" si="4"/>
        <v>Premium5R6release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森羅万象の神母 イザナミ</v>
      </c>
      <c r="I112" s="7" t="str">
        <f>VLOOKUP(B112,[1]characters!$A:$J,10,FALSE)</f>
        <v>PremiumS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IFERROR(VLOOKUP(B112,input_433105!L:R,7,FALSE),VLOOKUP(tables_433105!C112,input_433105!A:H,8,FALSE))</f>
        <v>3226.72</v>
      </c>
      <c r="P112" s="46">
        <f t="shared" ca="1" si="5"/>
        <v>2.7588235294164783E-4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input_433105!A$2</f>
        <v>433105</v>
      </c>
      <c r="B113" s="5">
        <v>238</v>
      </c>
      <c r="C113" s="7" t="str">
        <f t="shared" si="4"/>
        <v>Premium3color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 t="str">
        <f t="shared" si="7"/>
        <v>color</v>
      </c>
      <c r="H113" s="7" t="str">
        <f>VLOOKUP(B113,[1]characters!$A:$C,3,FALSE)</f>
        <v>ウリエル</v>
      </c>
      <c r="I113" s="7" t="str">
        <f>VLOOKUP(B113,[1]characters!$A:$J,10,FALSE)</f>
        <v>PremiumS</v>
      </c>
      <c r="J113" s="7">
        <f>VLOOKUP(B113,[1]characters!$A:$I,9,FALSE)</f>
        <v>3</v>
      </c>
      <c r="K113" s="7" t="str">
        <f>VLOOKUP(B113,[1]characters!$A:$H,8,FALSE)</f>
        <v>red</v>
      </c>
      <c r="L113" s="7" t="str">
        <f>VLOOKUP(B113,[1]characters!$A:$K,11,FALSE)</f>
        <v>hp</v>
      </c>
      <c r="M113" s="7" t="str">
        <f>VLOOKUP(B113,[1]characters!$A:$M,13,FALSE)</f>
        <v>machine</v>
      </c>
      <c r="N113" s="7" t="str">
        <f>VLOOKUP(B113,[1]characters!$A:$G,7,FALSE)</f>
        <v>女性</v>
      </c>
      <c r="O113" s="45">
        <f ca="1">IFERROR(VLOOKUP(B113,input_433105!L:R,7,FALSE),VLOOKUP(tables_433105!C113,input_433105!A:H,8,FALSE))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input_433105!A$2</f>
        <v>433105</v>
      </c>
      <c r="B114" s="5">
        <v>239</v>
      </c>
      <c r="C114" s="7" t="str">
        <f t="shared" si="4"/>
        <v>Premium4color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豪炎の天使 ウリエル</v>
      </c>
      <c r="I114" s="7" t="str">
        <f>VLOOKUP(B114,[1]characters!$A:$J,10,FALSE)</f>
        <v>PremiumS</v>
      </c>
      <c r="J114" s="7">
        <f>VLOOKUP(B114,[1]characters!$A:$I,9,FALSE)</f>
        <v>4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IFERROR(VLOOKUP(B114,input_433105!L:R,7,FALSE),VLOOKUP(tables_433105!C114,input_433105!A:H,8,FALSE))</f>
        <v>285641.57689000003</v>
      </c>
      <c r="P114" s="46">
        <f t="shared" ca="1" si="5"/>
        <v>2.4422159446861158E-2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input_433105!A$2</f>
        <v>433105</v>
      </c>
      <c r="B115" s="5">
        <v>240</v>
      </c>
      <c r="C115" s="7" t="str">
        <f t="shared" si="4"/>
        <v>Premium5color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轟炎の天使 ウリエル・スレイヤー</v>
      </c>
      <c r="I115" s="7" t="str">
        <f>VLOOKUP(B115,[1]characters!$A:$J,10,FALSE)</f>
        <v>PremiumS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IFERROR(VLOOKUP(B115,input_433105!L:R,7,FALSE),VLOOKUP(tables_433105!C115,input_433105!A:H,8,FALSE))</f>
        <v>554.45789000000002</v>
      </c>
      <c r="P115" s="46">
        <f t="shared" ca="1" si="5"/>
        <v>4.7405770348918211E-5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input_433105!A$2</f>
        <v>433105</v>
      </c>
      <c r="B116" s="5">
        <v>241</v>
      </c>
      <c r="C116" s="7" t="str">
        <f t="shared" si="4"/>
        <v>Premium3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ガブリエル</v>
      </c>
      <c r="I116" s="7" t="str">
        <f>VLOOKUP(B116,[1]characters!$A:$J,10,FALSE)</f>
        <v>PremiumS</v>
      </c>
      <c r="J116" s="7">
        <f>VLOOKUP(B116,[1]characters!$A:$I,9,FALSE)</f>
        <v>3</v>
      </c>
      <c r="K116" s="7" t="str">
        <f>VLOOKUP(B116,[1]characters!$A:$H,8,FALSE)</f>
        <v>green</v>
      </c>
      <c r="L116" s="7" t="str">
        <f>VLOOKUP(B116,[1]characters!$A:$K,11,FALSE)</f>
        <v>balance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IFERROR(VLOOKUP(B116,input_433105!L:R,7,FALSE),VLOOKUP(tables_433105!C116,input_433105!A:H,8,FALSE))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input_433105!A$2</f>
        <v>433105</v>
      </c>
      <c r="B117" s="5">
        <v>242</v>
      </c>
      <c r="C117" s="7" t="str">
        <f t="shared" si="4"/>
        <v>Premium4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百花の天使 ガブリエル</v>
      </c>
      <c r="I117" s="7" t="str">
        <f>VLOOKUP(B117,[1]characters!$A:$J,10,FALSE)</f>
        <v>PremiumS</v>
      </c>
      <c r="J117" s="7">
        <f>VLOOKUP(B117,[1]characters!$A:$I,9,FALSE)</f>
        <v>4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IFERROR(VLOOKUP(B117,input_433105!L:R,7,FALSE),VLOOKUP(tables_433105!C117,input_433105!A:H,8,FALSE))</f>
        <v>58210.748769999998</v>
      </c>
      <c r="P117" s="46">
        <f t="shared" ca="1" si="5"/>
        <v>4.9769792040098718E-3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input_433105!A$2</f>
        <v>433105</v>
      </c>
      <c r="B118" s="5">
        <v>243</v>
      </c>
      <c r="C118" s="7" t="str">
        <f t="shared" si="4"/>
        <v>Premium5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万花の天使 ガブリエル・ブルーム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IFERROR(VLOOKUP(B118,input_433105!L:R,7,FALSE),VLOOKUP(tables_433105!C118,input_433105!A:H,8,FALSE))</f>
        <v>475.65123</v>
      </c>
      <c r="P118" s="46">
        <f t="shared" ca="1" si="5"/>
        <v>4.0667854822230913E-5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input_433105!A$2</f>
        <v>433105</v>
      </c>
      <c r="B119" s="5">
        <v>244</v>
      </c>
      <c r="C119" s="7" t="str">
        <f t="shared" si="4"/>
        <v>Premium3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ラファエル</v>
      </c>
      <c r="I119" s="7" t="str">
        <f>VLOOKUP(B119,[1]characters!$A:$J,10,FALSE)</f>
        <v>PremiumS</v>
      </c>
      <c r="J119" s="7">
        <f>VLOOKUP(B119,[1]characters!$A:$I,9,FALSE)</f>
        <v>3</v>
      </c>
      <c r="K119" s="7" t="str">
        <f>VLOOKUP(B119,[1]characters!$A:$H,8,FALSE)</f>
        <v>blue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IFERROR(VLOOKUP(B119,input_433105!L:R,7,FALSE),VLOOKUP(tables_433105!C119,input_433105!A:H,8,FALSE))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input_433105!A$2</f>
        <v>433105</v>
      </c>
      <c r="B120" s="5">
        <v>245</v>
      </c>
      <c r="C120" s="7" t="str">
        <f t="shared" si="4"/>
        <v>Premium4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鎮癒の天使 ラファエル</v>
      </c>
      <c r="I120" s="7" t="str">
        <f>VLOOKUP(B120,[1]characters!$A:$J,10,FALSE)</f>
        <v>PremiumS</v>
      </c>
      <c r="J120" s="7">
        <f>VLOOKUP(B120,[1]characters!$A:$I,9,FALSE)</f>
        <v>4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IFERROR(VLOOKUP(B120,input_433105!L:R,7,FALSE),VLOOKUP(tables_433105!C120,input_433105!A:H,8,FALSE))</f>
        <v>58210.748769999998</v>
      </c>
      <c r="P120" s="46">
        <f t="shared" ca="1" si="5"/>
        <v>4.9769792040098718E-3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input_433105!A$2</f>
        <v>433105</v>
      </c>
      <c r="B121" s="5">
        <v>246</v>
      </c>
      <c r="C121" s="7" t="str">
        <f t="shared" si="4"/>
        <v>Premium5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真癒の天使 ラファエル・メディカ</v>
      </c>
      <c r="I121" s="7" t="str">
        <f>VLOOKUP(B121,[1]characters!$A:$J,10,FALSE)</f>
        <v>PremiumS</v>
      </c>
      <c r="J121" s="7">
        <f>VLOOKUP(B121,[1]characters!$A:$I,9,FALSE)</f>
        <v>5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IFERROR(VLOOKUP(B121,input_433105!L:R,7,FALSE),VLOOKUP(tables_433105!C121,input_433105!A:H,8,FALSE))</f>
        <v>475.65123</v>
      </c>
      <c r="P121" s="46">
        <f t="shared" ca="1" si="5"/>
        <v>4.0667854822230913E-5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input_433105!A$2</f>
        <v>433105</v>
      </c>
      <c r="B122" s="5">
        <v>247</v>
      </c>
      <c r="C122" s="7" t="str">
        <f t="shared" si="4"/>
        <v>Premium3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ミカエル</v>
      </c>
      <c r="I122" s="7" t="str">
        <f>VLOOKUP(B122,[1]characters!$A:$J,10,FALSE)</f>
        <v>PremiumS</v>
      </c>
      <c r="J122" s="7">
        <f>VLOOKUP(B122,[1]characters!$A:$I,9,FALSE)</f>
        <v>3</v>
      </c>
      <c r="K122" s="7" t="str">
        <f>VLOOKUP(B122,[1]characters!$A:$H,8,FALSE)</f>
        <v>yellow</v>
      </c>
      <c r="L122" s="7" t="str">
        <f>VLOOKUP(B122,[1]characters!$A:$K,11,FALSE)</f>
        <v>attack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IFERROR(VLOOKUP(B122,input_433105!L:R,7,FALSE),VLOOKUP(tables_433105!C122,input_433105!A:H,8,FALSE))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input_433105!A$2</f>
        <v>433105</v>
      </c>
      <c r="B123" s="5">
        <v>248</v>
      </c>
      <c r="C123" s="7" t="str">
        <f t="shared" si="4"/>
        <v>Premium4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彩電の天使 ミカエル</v>
      </c>
      <c r="I123" s="7" t="str">
        <f>VLOOKUP(B123,[1]characters!$A:$J,10,FALSE)</f>
        <v>PremiumS</v>
      </c>
      <c r="J123" s="7">
        <f>VLOOKUP(B123,[1]characters!$A:$I,9,FALSE)</f>
        <v>4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IFERROR(VLOOKUP(B123,input_433105!L:R,7,FALSE),VLOOKUP(tables_433105!C123,input_433105!A:H,8,FALSE))</f>
        <v>58210.748769999998</v>
      </c>
      <c r="P123" s="46">
        <f t="shared" ca="1" si="5"/>
        <v>4.9769792040098718E-3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input_433105!A$2</f>
        <v>433105</v>
      </c>
      <c r="B124" s="6">
        <v>249</v>
      </c>
      <c r="C124" s="7" t="str">
        <f t="shared" si="4"/>
        <v>Premium5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雷電の天使 ミカエル・ゲイナー</v>
      </c>
      <c r="I124" s="7" t="str">
        <f>VLOOKUP(B124,[1]characters!$A:$J,10,FALSE)</f>
        <v>PremiumS</v>
      </c>
      <c r="J124" s="7">
        <f>VLOOKUP(B124,[1]characters!$A:$I,9,FALSE)</f>
        <v>5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IFERROR(VLOOKUP(B124,input_433105!L:R,7,FALSE),VLOOKUP(tables_433105!C124,input_433105!A:H,8,FALSE))</f>
        <v>475.65123</v>
      </c>
      <c r="P124" s="46">
        <f t="shared" ca="1" si="5"/>
        <v>4.0667854822230913E-5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input_433105!A$2</f>
        <v>433105</v>
      </c>
      <c r="B125" s="6">
        <v>250</v>
      </c>
      <c r="C125" s="7" t="str">
        <f t="shared" si="4"/>
        <v>Premium3color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>color</v>
      </c>
      <c r="H125" s="7" t="str">
        <f>VLOOKUP(B125,[1]characters!$A:$C,3,FALSE)</f>
        <v>マンモン</v>
      </c>
      <c r="I125" s="7" t="str">
        <f>VLOOKUP(B125,[1]characters!$A:$J,10,FALSE)</f>
        <v>PremiumS</v>
      </c>
      <c r="J125" s="7">
        <f>VLOOKUP(B125,[1]characters!$A:$I,9,FALSE)</f>
        <v>3</v>
      </c>
      <c r="K125" s="7" t="str">
        <f>VLOOKUP(B125,[1]characters!$A:$H,8,FALSE)</f>
        <v>red</v>
      </c>
      <c r="L125" s="7" t="str">
        <f>VLOOKUP(B125,[1]characters!$A:$K,11,FALSE)</f>
        <v>balance</v>
      </c>
      <c r="M125" s="7" t="str">
        <f>VLOOKUP(B125,[1]characters!$A:$M,13,FALSE)</f>
        <v>god</v>
      </c>
      <c r="N125" s="7" t="str">
        <f>VLOOKUP(B125,[1]characters!$A:$G,7,FALSE)</f>
        <v>女性</v>
      </c>
      <c r="O125" s="45">
        <f ca="1">IFERROR(VLOOKUP(B125,input_433105!L:R,7,FALSE),VLOOKUP(tables_433105!C125,input_433105!A:H,8,FALSE))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input_433105!A$2</f>
        <v>433105</v>
      </c>
      <c r="B126" s="6">
        <v>251</v>
      </c>
      <c r="C126" s="7" t="str">
        <f t="shared" si="4"/>
        <v>Premium4color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強欲 マンモン</v>
      </c>
      <c r="I126" s="7" t="str">
        <f>VLOOKUP(B126,[1]characters!$A:$J,10,FALSE)</f>
        <v>PremiumS</v>
      </c>
      <c r="J126" s="7">
        <f>VLOOKUP(B126,[1]characters!$A:$I,9,FALSE)</f>
        <v>4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IFERROR(VLOOKUP(B126,input_433105!L:R,7,FALSE),VLOOKUP(tables_433105!C126,input_433105!A:H,8,FALSE))</f>
        <v>285641.57689000003</v>
      </c>
      <c r="P126" s="46">
        <f t="shared" ca="1" si="5"/>
        <v>2.4422159446861158E-2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input_433105!A$2</f>
        <v>433105</v>
      </c>
      <c r="B127" s="6">
        <v>252</v>
      </c>
      <c r="C127" s="7" t="str">
        <f t="shared" si="4"/>
        <v>Premium5color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強欲の沸騰 マンモン</v>
      </c>
      <c r="I127" s="7" t="str">
        <f>VLOOKUP(B127,[1]characters!$A:$J,10,FALSE)</f>
        <v>PremiumS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IFERROR(VLOOKUP(B127,input_433105!L:R,7,FALSE),VLOOKUP(tables_433105!C127,input_433105!A:H,8,FALSE))</f>
        <v>554.45789000000002</v>
      </c>
      <c r="P127" s="46">
        <f t="shared" ca="1" si="5"/>
        <v>4.7405770348918211E-5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input_433105!A$2</f>
        <v>433105</v>
      </c>
      <c r="B128" s="6">
        <v>253</v>
      </c>
      <c r="C128" s="7" t="str">
        <f t="shared" si="4"/>
        <v>Premium3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ベルフェゴール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green</v>
      </c>
      <c r="L128" s="7" t="str">
        <f>VLOOKUP(B128,[1]characters!$A:$K,11,FALSE)</f>
        <v>technical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IFERROR(VLOOKUP(B128,input_433105!L:R,7,FALSE),VLOOKUP(tables_433105!C128,input_433105!A:H,8,FALSE))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input_433105!A$2</f>
        <v>433105</v>
      </c>
      <c r="B129" s="6">
        <v>254</v>
      </c>
      <c r="C129" s="7" t="str">
        <f t="shared" si="4"/>
        <v>Premium4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怠惰 ベルフェゴール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IFERROR(VLOOKUP(B129,input_433105!L:R,7,FALSE),VLOOKUP(tables_433105!C129,input_433105!A:H,8,FALSE))</f>
        <v>58210.748769999998</v>
      </c>
      <c r="P129" s="46">
        <f t="shared" ca="1" si="5"/>
        <v>4.9769792040098718E-3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input_433105!A$2</f>
        <v>433105</v>
      </c>
      <c r="B130" s="6">
        <v>255</v>
      </c>
      <c r="C130" s="7" t="str">
        <f t="shared" ref="C130:C193" si="8">D130&amp;J130&amp;E130&amp;F130&amp;G130</f>
        <v>Premium5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怠惰の頂点 ベルフェゴール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IFERROR(VLOOKUP(B130,input_433105!L:R,7,FALSE),VLOOKUP(tables_433105!C130,input_433105!A:H,8,FALSE))</f>
        <v>475.65123</v>
      </c>
      <c r="P130" s="46">
        <f t="shared" ref="P130:P193" ca="1" si="9">O130/SUM(O:O)</f>
        <v>4.0667854822230913E-5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input_433105!A$2</f>
        <v>433105</v>
      </c>
      <c r="B131" s="6">
        <v>256</v>
      </c>
      <c r="C131" s="7" t="str">
        <f t="shared" si="8"/>
        <v>Premium3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アスモデウス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blue</v>
      </c>
      <c r="L131" s="7" t="str">
        <f>VLOOKUP(B131,[1]characters!$A:$K,11,FALSE)</f>
        <v>attack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IFERROR(VLOOKUP(B131,input_433105!L:R,7,FALSE),VLOOKUP(tables_433105!C131,input_433105!A:H,8,FALSE))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input_433105!A$2</f>
        <v>433105</v>
      </c>
      <c r="B132" s="6">
        <v>257</v>
      </c>
      <c r="C132" s="7" t="str">
        <f t="shared" si="8"/>
        <v>Premium4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色欲 アスモデウス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IFERROR(VLOOKUP(B132,input_433105!L:R,7,FALSE),VLOOKUP(tables_433105!C132,input_433105!A:H,8,FALSE))</f>
        <v>58210.748769999998</v>
      </c>
      <c r="P132" s="46">
        <f t="shared" ca="1" si="9"/>
        <v>4.9769792040098718E-3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input_433105!A$2</f>
        <v>433105</v>
      </c>
      <c r="B133" s="6">
        <v>258</v>
      </c>
      <c r="C133" s="7" t="str">
        <f t="shared" si="8"/>
        <v>Premium5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色欲の源流 アスモデウス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IFERROR(VLOOKUP(B133,input_433105!L:R,7,FALSE),VLOOKUP(tables_433105!C133,input_433105!A:H,8,FALSE))</f>
        <v>475.65123</v>
      </c>
      <c r="P133" s="46">
        <f t="shared" ca="1" si="9"/>
        <v>4.0667854822230913E-5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input_433105!A$2</f>
        <v>433105</v>
      </c>
      <c r="B134" s="6">
        <v>259</v>
      </c>
      <c r="C134" s="7" t="str">
        <f t="shared" si="8"/>
        <v>Premium3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ウロボロス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yellow</v>
      </c>
      <c r="L134" s="7" t="str">
        <f>VLOOKUP(B134,[1]characters!$A:$K,11,FALSE)</f>
        <v>balance</v>
      </c>
      <c r="M134" s="7" t="str">
        <f>VLOOKUP(B134,[1]characters!$A:$M,13,FALSE)</f>
        <v>dragon</v>
      </c>
      <c r="N134" s="7" t="str">
        <f>VLOOKUP(B134,[1]characters!$A:$G,7,FALSE)</f>
        <v>女性</v>
      </c>
      <c r="O134" s="45">
        <f ca="1">IFERROR(VLOOKUP(B134,input_433105!L:R,7,FALSE),VLOOKUP(tables_433105!C134,input_433105!A:H,8,FALSE))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input_433105!A$2</f>
        <v>433105</v>
      </c>
      <c r="B135" s="8">
        <v>260</v>
      </c>
      <c r="C135" s="7" t="str">
        <f t="shared" si="8"/>
        <v>Premium4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輪廻 ウロボロス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IFERROR(VLOOKUP(B135,input_433105!L:R,7,FALSE),VLOOKUP(tables_433105!C135,input_433105!A:H,8,FALSE))</f>
        <v>58210.748769999998</v>
      </c>
      <c r="P135" s="46">
        <f t="shared" ca="1" si="9"/>
        <v>4.9769792040098718E-3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input_433105!A$2</f>
        <v>433105</v>
      </c>
      <c r="B136" s="8">
        <v>261</v>
      </c>
      <c r="C136" s="7" t="str">
        <f t="shared" si="8"/>
        <v>Premium5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輪廻の蛇龍 ウロボロス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IFERROR(VLOOKUP(B136,input_433105!L:R,7,FALSE),VLOOKUP(tables_433105!C136,input_433105!A:H,8,FALSE))</f>
        <v>475.65123</v>
      </c>
      <c r="P136" s="46">
        <f t="shared" ca="1" si="9"/>
        <v>4.0667854822230913E-5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input_433105!A$2</f>
        <v>433105</v>
      </c>
      <c r="B137" s="6">
        <v>320</v>
      </c>
      <c r="C137" s="7" t="str">
        <f t="shared" si="8"/>
        <v>PremiumSS4color</v>
      </c>
      <c r="D137" s="7" t="str">
        <f t="shared" si="10"/>
        <v>PremiumSS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>color</v>
      </c>
      <c r="H137" s="7" t="str">
        <f>VLOOKUP(B137,[1]characters!$A:$C,3,FALSE)</f>
        <v>烈志士 近藤勇</v>
      </c>
      <c r="I137" s="7" t="str">
        <f>VLOOKUP(B137,[1]characters!$A:$J,10,FALSE)</f>
        <v>PremiumSS</v>
      </c>
      <c r="J137" s="7">
        <f>VLOOKUP(B137,[1]characters!$A:$I,9,FALSE)</f>
        <v>4</v>
      </c>
      <c r="K137" s="7" t="str">
        <f>VLOOKUP(B137,[1]characters!$A:$H,8,FALSE)</f>
        <v>red</v>
      </c>
      <c r="L137" s="7" t="str">
        <f>VLOOKUP(B137,[1]characters!$A:$K,11,FALSE)</f>
        <v>hp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45">
        <f ca="1">IFERROR(VLOOKUP(B137,input_433105!L:R,7,FALSE),VLOOKUP(tables_433105!C137,input_433105!A:H,8,FALSE))</f>
        <v>23809.71429</v>
      </c>
      <c r="P137" s="46">
        <f t="shared" ca="1" si="9"/>
        <v>2.0357142860841899E-3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input_433105!A$2</f>
        <v>433105</v>
      </c>
      <c r="B138" s="6">
        <v>321</v>
      </c>
      <c r="C138" s="7" t="str">
        <f t="shared" si="8"/>
        <v>PremiumSS5color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巌鉄の烈志士 近藤勇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IFERROR(VLOOKUP(B138,input_433105!L:R,7,FALSE),VLOOKUP(tables_433105!C138,input_433105!A:H,8,FALSE))</f>
        <v>1253.1428599999999</v>
      </c>
      <c r="P138" s="46">
        <f t="shared" ca="1" si="9"/>
        <v>1.0714285738732396E-4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input_433105!A$2</f>
        <v>433105</v>
      </c>
      <c r="B139" s="6">
        <v>322</v>
      </c>
      <c r="C139" s="7" t="str">
        <f t="shared" si="8"/>
        <v>PremiumSS4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愛志士 土方歳三</v>
      </c>
      <c r="I139" s="7" t="str">
        <f>VLOOKUP(B139,[1]characters!$A:$J,10,FALSE)</f>
        <v>PremiumSS</v>
      </c>
      <c r="J139" s="7">
        <f>VLOOKUP(B139,[1]characters!$A:$I,9,FALSE)</f>
        <v>4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human</v>
      </c>
      <c r="N139" s="7" t="str">
        <f>VLOOKUP(B139,[1]characters!$A:$G,7,FALSE)</f>
        <v>女性</v>
      </c>
      <c r="O139" s="45">
        <f ca="1">IFERROR(VLOOKUP(B139,input_433105!L:R,7,FALSE),VLOOKUP(tables_433105!C139,input_433105!A:H,8,FALSE))</f>
        <v>5168</v>
      </c>
      <c r="P139" s="46">
        <f t="shared" ca="1" si="9"/>
        <v>4.4186046511703405E-4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input_433105!A$2</f>
        <v>433105</v>
      </c>
      <c r="B140" s="6">
        <v>323</v>
      </c>
      <c r="C140" s="7" t="str">
        <f t="shared" si="8"/>
        <v>PremiumSS5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流麗の愛志士 土方歳三</v>
      </c>
      <c r="I140" s="7" t="str">
        <f>VLOOKUP(B140,[1]characters!$A:$J,10,FALSE)</f>
        <v>PremiumSS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IFERROR(VLOOKUP(B140,input_433105!L:R,7,FALSE),VLOOKUP(tables_433105!C140,input_433105!A:H,8,FALSE))</f>
        <v>272</v>
      </c>
      <c r="P140" s="46">
        <f t="shared" ca="1" si="9"/>
        <v>2.3255813953528107E-5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input_433105!A$2</f>
        <v>433105</v>
      </c>
      <c r="B141" s="6">
        <v>324</v>
      </c>
      <c r="C141" s="7" t="str">
        <f t="shared" si="8"/>
        <v>PremiumSS4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凛志士 沖田総司</v>
      </c>
      <c r="I141" s="7" t="str">
        <f>VLOOKUP(B141,[1]characters!$A:$J,10,FALSE)</f>
        <v>PremiumSS</v>
      </c>
      <c r="J141" s="7">
        <f>VLOOKUP(B141,[1]characters!$A:$I,9,FALSE)</f>
        <v>4</v>
      </c>
      <c r="K141" s="7" t="str">
        <f>VLOOKUP(B141,[1]characters!$A:$H,8,FALSE)</f>
        <v>blue</v>
      </c>
      <c r="L141" s="7" t="str">
        <f>VLOOKUP(B141,[1]characters!$A:$K,11,FALSE)</f>
        <v>balance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IFERROR(VLOOKUP(B141,input_433105!L:R,7,FALSE),VLOOKUP(tables_433105!C141,input_433105!A:H,8,FALSE))</f>
        <v>5168</v>
      </c>
      <c r="P141" s="46">
        <f t="shared" ca="1" si="9"/>
        <v>4.4186046511703405E-4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input_433105!A$2</f>
        <v>433105</v>
      </c>
      <c r="B142" s="6">
        <v>325</v>
      </c>
      <c r="C142" s="7" t="str">
        <f t="shared" si="8"/>
        <v>PremiumSS5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天賦の凛志士 沖田総司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IFERROR(VLOOKUP(B142,input_433105!L:R,7,FALSE),VLOOKUP(tables_433105!C142,input_433105!A:H,8,FALSE))</f>
        <v>272</v>
      </c>
      <c r="P142" s="46">
        <f t="shared" ca="1" si="9"/>
        <v>2.3255813953528107E-5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input_433105!A$2</f>
        <v>433105</v>
      </c>
      <c r="B143" s="6">
        <v>326</v>
      </c>
      <c r="C143" s="7" t="str">
        <f t="shared" si="8"/>
        <v>PremiumSS4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妖志士 斎藤一</v>
      </c>
      <c r="I143" s="7" t="str">
        <f>VLOOKUP(B143,[1]characters!$A:$J,10,FALSE)</f>
        <v>PremiumSS</v>
      </c>
      <c r="J143" s="7">
        <f>VLOOKUP(B143,[1]characters!$A:$I,9,FALSE)</f>
        <v>4</v>
      </c>
      <c r="K143" s="7" t="str">
        <f>VLOOKUP(B143,[1]characters!$A:$H,8,FALSE)</f>
        <v>yellow</v>
      </c>
      <c r="L143" s="7" t="str">
        <f>VLOOKUP(B143,[1]characters!$A:$K,11,FALSE)</f>
        <v>technical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IFERROR(VLOOKUP(B143,input_433105!L:R,7,FALSE),VLOOKUP(tables_433105!C143,input_433105!A:H,8,FALSE))</f>
        <v>5168</v>
      </c>
      <c r="P143" s="46">
        <f t="shared" ca="1" si="9"/>
        <v>4.4186046511703405E-4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input_433105!A$2</f>
        <v>433105</v>
      </c>
      <c r="B144" s="6">
        <v>327</v>
      </c>
      <c r="C144" s="7" t="str">
        <f t="shared" si="8"/>
        <v>PremiumSS5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千殺の妖志士 斎藤一</v>
      </c>
      <c r="I144" s="7" t="str">
        <f>VLOOKUP(B144,[1]characters!$A:$J,10,FALSE)</f>
        <v>PremiumSS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IFERROR(VLOOKUP(B144,input_433105!L:R,7,FALSE),VLOOKUP(tables_433105!C144,input_433105!A:H,8,FALSE))</f>
        <v>272</v>
      </c>
      <c r="P144" s="46">
        <f t="shared" ca="1" si="9"/>
        <v>2.3255813953528107E-5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input_433105!A$2</f>
        <v>433105</v>
      </c>
      <c r="B145" s="6">
        <v>380</v>
      </c>
      <c r="C145" s="7" t="str">
        <f t="shared" si="8"/>
        <v>Premium3color</v>
      </c>
      <c r="D145" s="7" t="str">
        <f t="shared" si="10"/>
        <v>Premium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>color</v>
      </c>
      <c r="H145" s="7" t="str">
        <f>VLOOKUP(B145,[1]characters!$A:$C,3,FALSE)</f>
        <v>バハムート</v>
      </c>
      <c r="I145" s="7" t="str">
        <f>VLOOKUP(B145,[1]characters!$A:$J,10,FALSE)</f>
        <v>PremiumS</v>
      </c>
      <c r="J145" s="7">
        <f>VLOOKUP(B145,[1]characters!$A:$I,9,FALSE)</f>
        <v>3</v>
      </c>
      <c r="K145" s="7" t="str">
        <f>VLOOKUP(B145,[1]characters!$A:$H,8,FALSE)</f>
        <v>red</v>
      </c>
      <c r="L145" s="7" t="str">
        <f>VLOOKUP(B145,[1]characters!$A:$K,11,FALSE)</f>
        <v>technical</v>
      </c>
      <c r="M145" s="7" t="str">
        <f>VLOOKUP(B145,[1]characters!$A:$M,13,FALSE)</f>
        <v>dragon</v>
      </c>
      <c r="N145" s="7" t="str">
        <f>VLOOKUP(B145,[1]characters!$A:$G,7,FALSE)</f>
        <v>女性</v>
      </c>
      <c r="O145" s="45">
        <f ca="1">IFERROR(VLOOKUP(B145,input_433105!L:R,7,FALSE),VLOOKUP(tables_433105!C145,input_433105!A:H,8,FALSE))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input_433105!A$2</f>
        <v>433105</v>
      </c>
      <c r="B146" s="6">
        <v>381</v>
      </c>
      <c r="C146" s="7" t="str">
        <f t="shared" si="8"/>
        <v>Premium4color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肉食の恋火 バハムート</v>
      </c>
      <c r="I146" s="7" t="str">
        <f>VLOOKUP(B146,[1]characters!$A:$J,10,FALSE)</f>
        <v>PremiumS</v>
      </c>
      <c r="J146" s="7">
        <f>VLOOKUP(B146,[1]characters!$A:$I,9,FALSE)</f>
        <v>4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IFERROR(VLOOKUP(B146,input_433105!L:R,7,FALSE),VLOOKUP(tables_433105!C146,input_433105!A:H,8,FALSE))</f>
        <v>285641.57689000003</v>
      </c>
      <c r="P146" s="46">
        <f t="shared" ca="1" si="9"/>
        <v>2.4422159446861158E-2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input_433105!A$2</f>
        <v>433105</v>
      </c>
      <c r="B147" s="6">
        <v>382</v>
      </c>
      <c r="C147" s="7" t="str">
        <f t="shared" si="8"/>
        <v>Premium5color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激情の愛炎 バハムート</v>
      </c>
      <c r="I147" s="7" t="str">
        <f>VLOOKUP(B147,[1]characters!$A:$J,10,FALSE)</f>
        <v>PremiumS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IFERROR(VLOOKUP(B147,input_433105!L:R,7,FALSE),VLOOKUP(tables_433105!C147,input_433105!A:H,8,FALSE))</f>
        <v>554.45789000000002</v>
      </c>
      <c r="P147" s="46">
        <f t="shared" ca="1" si="9"/>
        <v>4.7405770348918211E-5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input_433105!A$2</f>
        <v>433105</v>
      </c>
      <c r="B148" s="6">
        <v>383</v>
      </c>
      <c r="C148" s="7" t="str">
        <f t="shared" si="8"/>
        <v>PremiumSS4</v>
      </c>
      <c r="D148" s="7" t="str">
        <f t="shared" si="10"/>
        <v>PremiumSS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酒宴の蟒蛇 ヤマタノオロチ</v>
      </c>
      <c r="I148" s="7" t="str">
        <f>VLOOKUP(B148,[1]characters!$A:$J,10,FALSE)</f>
        <v>PremiumSS</v>
      </c>
      <c r="J148" s="7">
        <f>VLOOKUP(B148,[1]characters!$A:$I,9,FALSE)</f>
        <v>4</v>
      </c>
      <c r="K148" s="7" t="str">
        <f>VLOOKUP(B148,[1]characters!$A:$H,8,FALSE)</f>
        <v>green</v>
      </c>
      <c r="L148" s="7" t="str">
        <f>VLOOKUP(B148,[1]characters!$A:$K,11,FALSE)</f>
        <v>hp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IFERROR(VLOOKUP(B148,input_433105!L:R,7,FALSE),VLOOKUP(tables_433105!C148,input_433105!A:H,8,FALSE))</f>
        <v>5168</v>
      </c>
      <c r="P148" s="46">
        <f t="shared" ca="1" si="9"/>
        <v>4.4186046511703405E-4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input_433105!A$2</f>
        <v>433105</v>
      </c>
      <c r="B149" s="6">
        <v>384</v>
      </c>
      <c r="C149" s="7" t="str">
        <f t="shared" si="8"/>
        <v>PremiumSS5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破国の呑龍 ヤマタノオロチ</v>
      </c>
      <c r="I149" s="7" t="str">
        <f>VLOOKUP(B149,[1]characters!$A:$J,10,FALSE)</f>
        <v>PremiumSS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IFERROR(VLOOKUP(B149,input_433105!L:R,7,FALSE),VLOOKUP(tables_433105!C149,input_433105!A:H,8,FALSE))</f>
        <v>272</v>
      </c>
      <c r="P149" s="46">
        <f t="shared" ca="1" si="9"/>
        <v>2.3255813953528107E-5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input_433105!A$2</f>
        <v>433105</v>
      </c>
      <c r="B150" s="6">
        <v>385</v>
      </c>
      <c r="C150" s="7" t="str">
        <f t="shared" si="8"/>
        <v>PremiumSS4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波烈の出奔 リヴァイアサン</v>
      </c>
      <c r="I150" s="7" t="str">
        <f>VLOOKUP(B150,[1]characters!$A:$J,10,FALSE)</f>
        <v>PremiumSS</v>
      </c>
      <c r="J150" s="7">
        <f>VLOOKUP(B150,[1]characters!$A:$I,9,FALSE)</f>
        <v>4</v>
      </c>
      <c r="K150" s="7" t="str">
        <f>VLOOKUP(B150,[1]characters!$A:$H,8,FALSE)</f>
        <v>blue</v>
      </c>
      <c r="L150" s="7" t="str">
        <f>VLOOKUP(B150,[1]characters!$A:$K,11,FALSE)</f>
        <v>balance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IFERROR(VLOOKUP(B150,input_433105!L:R,7,FALSE),VLOOKUP(tables_433105!C150,input_433105!A:H,8,FALSE))</f>
        <v>5168</v>
      </c>
      <c r="P150" s="46">
        <f t="shared" ca="1" si="9"/>
        <v>4.4186046511703405E-4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input_433105!A$2</f>
        <v>433105</v>
      </c>
      <c r="B151" s="6">
        <v>386</v>
      </c>
      <c r="C151" s="7" t="str">
        <f t="shared" si="8"/>
        <v>PremiumSS5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氾乱の海龍 リヴァイアサン</v>
      </c>
      <c r="I151" s="7" t="str">
        <f>VLOOKUP(B151,[1]characters!$A:$J,10,FALSE)</f>
        <v>PremiumSS</v>
      </c>
      <c r="J151" s="7">
        <f>VLOOKUP(B151,[1]characters!$A:$I,9,FALSE)</f>
        <v>5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IFERROR(VLOOKUP(B151,input_433105!L:R,7,FALSE),VLOOKUP(tables_433105!C151,input_433105!A:H,8,FALSE))</f>
        <v>272</v>
      </c>
      <c r="P151" s="46">
        <f t="shared" ca="1" si="9"/>
        <v>2.3255813953528107E-5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input_433105!A$2</f>
        <v>433105</v>
      </c>
      <c r="B152" s="6">
        <v>387</v>
      </c>
      <c r="C152" s="7" t="str">
        <f t="shared" si="8"/>
        <v>Premium3</v>
      </c>
      <c r="D152" s="7" t="str">
        <f t="shared" si="10"/>
        <v>Premium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スフィンクス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yellow</v>
      </c>
      <c r="L152" s="7" t="str">
        <f>VLOOKUP(B152,[1]characters!$A:$K,11,FALSE)</f>
        <v>heal</v>
      </c>
      <c r="M152" s="7" t="str">
        <f>VLOOKUP(B152,[1]characters!$A:$M,13,FALSE)</f>
        <v>animal</v>
      </c>
      <c r="N152" s="7" t="str">
        <f>VLOOKUP(B152,[1]characters!$A:$G,7,FALSE)</f>
        <v>女性</v>
      </c>
      <c r="O152" s="45">
        <f ca="1">IFERROR(VLOOKUP(B152,input_433105!L:R,7,FALSE),VLOOKUP(tables_433105!C152,input_433105!A:H,8,FALSE))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input_433105!A$2</f>
        <v>433105</v>
      </c>
      <c r="B153" s="6">
        <v>388</v>
      </c>
      <c r="C153" s="7" t="str">
        <f t="shared" si="8"/>
        <v>Premium4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神円の恋姫 スフィンクス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IFERROR(VLOOKUP(B153,input_433105!L:R,7,FALSE),VLOOKUP(tables_433105!C153,input_433105!A:H,8,FALSE))</f>
        <v>58210.748769999998</v>
      </c>
      <c r="P153" s="46">
        <f t="shared" ca="1" si="9"/>
        <v>4.9769792040098718E-3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input_433105!A$2</f>
        <v>433105</v>
      </c>
      <c r="B154" s="6">
        <v>389</v>
      </c>
      <c r="C154" s="7" t="str">
        <f t="shared" si="8"/>
        <v>Premium5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操神の愛姫 スフィンクス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IFERROR(VLOOKUP(B154,input_433105!L:R,7,FALSE),VLOOKUP(tables_433105!C154,input_433105!A:H,8,FALSE))</f>
        <v>475.65123</v>
      </c>
      <c r="P154" s="46">
        <f t="shared" ca="1" si="9"/>
        <v>4.0667854822230913E-5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input_433105!A$2</f>
        <v>433105</v>
      </c>
      <c r="B155" s="6">
        <v>390</v>
      </c>
      <c r="C155" s="7" t="str">
        <f t="shared" si="8"/>
        <v>PremiumSS4color</v>
      </c>
      <c r="D155" s="7" t="str">
        <f t="shared" si="10"/>
        <v>PremiumSS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>color</v>
      </c>
      <c r="H155" s="7" t="str">
        <f>VLOOKUP(B155,[1]characters!$A:$C,3,FALSE)</f>
        <v>華環の旅客 親指姫</v>
      </c>
      <c r="I155" s="7" t="str">
        <f>VLOOKUP(B155,[1]characters!$A:$J,10,FALSE)</f>
        <v>PremiumSS</v>
      </c>
      <c r="J155" s="7">
        <f>VLOOKUP(B155,[1]characters!$A:$I,9,FALSE)</f>
        <v>4</v>
      </c>
      <c r="K155" s="7" t="str">
        <f>VLOOKUP(B155,[1]characters!$A:$H,8,FALSE)</f>
        <v>red</v>
      </c>
      <c r="L155" s="7" t="str">
        <f>VLOOKUP(B155,[1]characters!$A:$K,11,FALSE)</f>
        <v>heal</v>
      </c>
      <c r="M155" s="7" t="str">
        <f>VLOOKUP(B155,[1]characters!$A:$M,13,FALSE)</f>
        <v>human</v>
      </c>
      <c r="N155" s="7" t="str">
        <f>VLOOKUP(B155,[1]characters!$A:$G,7,FALSE)</f>
        <v>女性</v>
      </c>
      <c r="O155" s="45">
        <f ca="1">IFERROR(VLOOKUP(B155,input_433105!L:R,7,FALSE),VLOOKUP(tables_433105!C155,input_433105!A:H,8,FALSE))</f>
        <v>23809.71429</v>
      </c>
      <c r="P155" s="46">
        <f t="shared" ca="1" si="9"/>
        <v>2.0357142860841899E-3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input_433105!A$2</f>
        <v>433105</v>
      </c>
      <c r="B156" s="6">
        <v>391</v>
      </c>
      <c r="C156" s="7" t="str">
        <f t="shared" si="8"/>
        <v>PremiumSS5color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燕翼の旅人 親指姫</v>
      </c>
      <c r="I156" s="7" t="str">
        <f>VLOOKUP(B156,[1]characters!$A:$J,10,FALSE)</f>
        <v>PremiumSS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IFERROR(VLOOKUP(B156,input_433105!L:R,7,FALSE),VLOOKUP(tables_433105!C156,input_433105!A:H,8,FALSE))</f>
        <v>1253.1428599999999</v>
      </c>
      <c r="P156" s="46">
        <f t="shared" ca="1" si="9"/>
        <v>1.0714285738732396E-4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input_433105!A$2</f>
        <v>433105</v>
      </c>
      <c r="B157" s="6">
        <v>392</v>
      </c>
      <c r="C157" s="7" t="str">
        <f t="shared" si="8"/>
        <v>Premium3</v>
      </c>
      <c r="D157" s="7" t="str">
        <f t="shared" si="10"/>
        <v>Premium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ピーターパン</v>
      </c>
      <c r="I157" s="7" t="str">
        <f>VLOOKUP(B157,[1]characters!$A:$J,10,FALSE)</f>
        <v>PremiumS</v>
      </c>
      <c r="J157" s="7">
        <f>VLOOKUP(B157,[1]characters!$A:$I,9,FALSE)</f>
        <v>3</v>
      </c>
      <c r="K157" s="7" t="str">
        <f>VLOOKUP(B157,[1]characters!$A:$H,8,FALSE)</f>
        <v>green</v>
      </c>
      <c r="L157" s="7" t="str">
        <f>VLOOKUP(B157,[1]characters!$A:$K,11,FALSE)</f>
        <v>attack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ca="1">IFERROR(VLOOKUP(B157,input_433105!L:R,7,FALSE),VLOOKUP(tables_433105!C157,input_433105!A:H,8,FALSE))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input_433105!A$2</f>
        <v>433105</v>
      </c>
      <c r="B158" s="6">
        <v>393</v>
      </c>
      <c r="C158" s="7" t="str">
        <f t="shared" si="8"/>
        <v>Premium4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影縫い ピーターパン</v>
      </c>
      <c r="I158" s="7" t="str">
        <f>VLOOKUP(B158,[1]characters!$A:$J,10,FALSE)</f>
        <v>PremiumS</v>
      </c>
      <c r="J158" s="7">
        <f>VLOOKUP(B158,[1]characters!$A:$I,9,FALSE)</f>
        <v>4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IFERROR(VLOOKUP(B158,input_433105!L:R,7,FALSE),VLOOKUP(tables_433105!C158,input_433105!A:H,8,FALSE))</f>
        <v>58210.748769999998</v>
      </c>
      <c r="P158" s="46">
        <f t="shared" ca="1" si="9"/>
        <v>4.9769792040098718E-3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input_433105!A$2</f>
        <v>433105</v>
      </c>
      <c r="B159" s="6">
        <v>394</v>
      </c>
      <c r="C159" s="7" t="str">
        <f t="shared" si="8"/>
        <v>Premium5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影求の悪童 ピーターパン</v>
      </c>
      <c r="I159" s="7" t="str">
        <f>VLOOKUP(B159,[1]characters!$A:$J,10,FALSE)</f>
        <v>PremiumS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IFERROR(VLOOKUP(B159,input_433105!L:R,7,FALSE),VLOOKUP(tables_433105!C159,input_433105!A:H,8,FALSE))</f>
        <v>475.65123</v>
      </c>
      <c r="P159" s="46">
        <f t="shared" ca="1" si="9"/>
        <v>4.0667854822230913E-5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input_433105!A$2</f>
        <v>433105</v>
      </c>
      <c r="B160" s="6">
        <v>395</v>
      </c>
      <c r="C160" s="7" t="str">
        <f t="shared" si="8"/>
        <v>Premium3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乙姫</v>
      </c>
      <c r="I160" s="7" t="str">
        <f>VLOOKUP(B160,[1]characters!$A:$J,10,FALSE)</f>
        <v>PremiumS</v>
      </c>
      <c r="J160" s="7">
        <f>VLOOKUP(B160,[1]characters!$A:$I,9,FALSE)</f>
        <v>3</v>
      </c>
      <c r="K160" s="7" t="str">
        <f>VLOOKUP(B160,[1]characters!$A:$H,8,FALSE)</f>
        <v>blue</v>
      </c>
      <c r="L160" s="7" t="str">
        <f>VLOOKUP(B160,[1]characters!$A:$K,11,FALSE)</f>
        <v>hp</v>
      </c>
      <c r="M160" s="7" t="str">
        <f>VLOOKUP(B160,[1]characters!$A:$M,13,FALSE)</f>
        <v>human</v>
      </c>
      <c r="N160" s="7" t="str">
        <f>VLOOKUP(B160,[1]characters!$A:$G,7,FALSE)</f>
        <v>女性</v>
      </c>
      <c r="O160" s="45">
        <f ca="1">IFERROR(VLOOKUP(B160,input_433105!L:R,7,FALSE),VLOOKUP(tables_433105!C160,input_433105!A:H,8,FALSE))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input_433105!A$2</f>
        <v>433105</v>
      </c>
      <c r="B161" s="6">
        <v>396</v>
      </c>
      <c r="C161" s="7" t="str">
        <f t="shared" si="8"/>
        <v>Premium4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竜宮の水雷 乙姫</v>
      </c>
      <c r="I161" s="7" t="str">
        <f>VLOOKUP(B161,[1]characters!$A:$J,10,FALSE)</f>
        <v>PremiumS</v>
      </c>
      <c r="J161" s="7">
        <f>VLOOKUP(B161,[1]characters!$A:$I,9,FALSE)</f>
        <v>4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IFERROR(VLOOKUP(B161,input_433105!L:R,7,FALSE),VLOOKUP(tables_433105!C161,input_433105!A:H,8,FALSE))</f>
        <v>58210.748769999998</v>
      </c>
      <c r="P161" s="46">
        <f t="shared" ca="1" si="9"/>
        <v>4.9769792040098718E-3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input_433105!A$2</f>
        <v>433105</v>
      </c>
      <c r="B162" s="6">
        <v>397</v>
      </c>
      <c r="C162" s="7" t="str">
        <f t="shared" si="8"/>
        <v>Premium5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禁断の追箱 乙姫</v>
      </c>
      <c r="I162" s="7" t="str">
        <f>VLOOKUP(B162,[1]characters!$A:$J,10,FALSE)</f>
        <v>PremiumS</v>
      </c>
      <c r="J162" s="7">
        <f>VLOOKUP(B162,[1]characters!$A:$I,9,FALSE)</f>
        <v>5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IFERROR(VLOOKUP(B162,input_433105!L:R,7,FALSE),VLOOKUP(tables_433105!C162,input_433105!A:H,8,FALSE))</f>
        <v>475.65123</v>
      </c>
      <c r="P162" s="46">
        <f t="shared" ca="1" si="9"/>
        <v>4.0667854822230913E-5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input_433105!A$2</f>
        <v>433105</v>
      </c>
      <c r="B163" s="6">
        <v>398</v>
      </c>
      <c r="C163" s="7" t="str">
        <f t="shared" si="8"/>
        <v>PremiumSS4</v>
      </c>
      <c r="D163" s="7" t="str">
        <f t="shared" si="10"/>
        <v>PremiumSS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ヘンゼル＆グレーテル</v>
      </c>
      <c r="I163" s="7" t="str">
        <f>VLOOKUP(B163,[1]characters!$A:$J,10,FALSE)</f>
        <v>PremiumSS</v>
      </c>
      <c r="J163" s="7">
        <f>VLOOKUP(B163,[1]characters!$A:$I,9,FALSE)</f>
        <v>4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IFERROR(VLOOKUP(B163,input_433105!L:R,7,FALSE),VLOOKUP(tables_433105!C163,input_433105!A:H,8,FALSE))</f>
        <v>5168</v>
      </c>
      <c r="P163" s="46">
        <f t="shared" ca="1" si="9"/>
        <v>4.4186046511703405E-4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input_433105!A$2</f>
        <v>433105</v>
      </c>
      <c r="B164" s="6">
        <v>399</v>
      </c>
      <c r="C164" s="7" t="str">
        <f t="shared" si="8"/>
        <v>PremiumSS5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信愛の兄妹 ヘンゼル＆グレーテル</v>
      </c>
      <c r="I164" s="7" t="str">
        <f>VLOOKUP(B164,[1]characters!$A:$J,10,FALSE)</f>
        <v>PremiumSS</v>
      </c>
      <c r="J164" s="7">
        <f>VLOOKUP(B164,[1]characters!$A:$I,9,FALSE)</f>
        <v>5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IFERROR(VLOOKUP(B164,input_433105!L:R,7,FALSE),VLOOKUP(tables_433105!C164,input_433105!A:H,8,FALSE))</f>
        <v>272</v>
      </c>
      <c r="P164" s="46">
        <f t="shared" ca="1" si="9"/>
        <v>2.3255813953528107E-5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input_433105!A$2</f>
        <v>433105</v>
      </c>
      <c r="B165" s="6">
        <v>400</v>
      </c>
      <c r="C165" s="7" t="str">
        <f t="shared" si="8"/>
        <v>Premium3color</v>
      </c>
      <c r="D165" s="7" t="str">
        <f t="shared" si="10"/>
        <v>Premium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>color</v>
      </c>
      <c r="H165" s="7" t="str">
        <f>VLOOKUP(B165,[1]characters!$A:$C,3,FALSE)</f>
        <v>フェンリル</v>
      </c>
      <c r="I165" s="7" t="str">
        <f>VLOOKUP(B165,[1]characters!$A:$J,10,FALSE)</f>
        <v>PremiumS</v>
      </c>
      <c r="J165" s="7">
        <f>VLOOKUP(B165,[1]characters!$A:$I,9,FALSE)</f>
        <v>3</v>
      </c>
      <c r="K165" s="7" t="str">
        <f>VLOOKUP(B165,[1]characters!$A:$H,8,FALSE)</f>
        <v>red</v>
      </c>
      <c r="L165" s="7" t="str">
        <f>VLOOKUP(B165,[1]characters!$A:$K,11,FALSE)</f>
        <v>attack</v>
      </c>
      <c r="M165" s="7" t="str">
        <f>VLOOKUP(B165,[1]characters!$A:$M,13,FALSE)</f>
        <v>animal</v>
      </c>
      <c r="N165" s="7" t="str">
        <f>VLOOKUP(B165,[1]characters!$A:$G,7,FALSE)</f>
        <v>女性</v>
      </c>
      <c r="O165" s="45">
        <f ca="1">IFERROR(VLOOKUP(B165,input_433105!L:R,7,FALSE),VLOOKUP(tables_433105!C165,input_433105!A:H,8,FALSE))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input_433105!A$2</f>
        <v>433105</v>
      </c>
      <c r="B166" s="6">
        <v>401</v>
      </c>
      <c r="C166" s="7" t="str">
        <f t="shared" si="8"/>
        <v>Premium4color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紅銀の孤狼 フェンリル</v>
      </c>
      <c r="I166" s="7" t="str">
        <f>VLOOKUP(B166,[1]characters!$A:$J,10,FALSE)</f>
        <v>PremiumS</v>
      </c>
      <c r="J166" s="7">
        <f>VLOOKUP(B166,[1]characters!$A:$I,9,FALSE)</f>
        <v>4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IFERROR(VLOOKUP(B166,input_433105!L:R,7,FALSE),VLOOKUP(tables_433105!C166,input_433105!A:H,8,FALSE))</f>
        <v>285641.57689000003</v>
      </c>
      <c r="P166" s="46">
        <f t="shared" ca="1" si="9"/>
        <v>2.4422159446861158E-2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input_433105!A$2</f>
        <v>433105</v>
      </c>
      <c r="B167" s="6">
        <v>402</v>
      </c>
      <c r="C167" s="7" t="str">
        <f t="shared" si="8"/>
        <v>Premium5color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天災の神狼 フェンリル</v>
      </c>
      <c r="I167" s="7" t="str">
        <f>VLOOKUP(B167,[1]characters!$A:$J,10,FALSE)</f>
        <v>PremiumS</v>
      </c>
      <c r="J167" s="7">
        <f>VLOOKUP(B167,[1]characters!$A:$I,9,FALSE)</f>
        <v>5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IFERROR(VLOOKUP(B167,input_433105!L:R,7,FALSE),VLOOKUP(tables_433105!C167,input_433105!A:H,8,FALSE))</f>
        <v>554.45789000000002</v>
      </c>
      <c r="P167" s="46">
        <f t="shared" ca="1" si="9"/>
        <v>4.7405770348918211E-5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input_433105!A$2</f>
        <v>433105</v>
      </c>
      <c r="B168" s="6">
        <v>403</v>
      </c>
      <c r="C168" s="7" t="str">
        <f t="shared" si="8"/>
        <v>PremiumSS4</v>
      </c>
      <c r="D168" s="7" t="str">
        <f t="shared" si="10"/>
        <v>PremiumSS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静撃の翠眼 八咫烏</v>
      </c>
      <c r="I168" s="7" t="str">
        <f>VLOOKUP(B168,[1]characters!$A:$J,10,FALSE)</f>
        <v>PremiumSS</v>
      </c>
      <c r="J168" s="7">
        <f>VLOOKUP(B168,[1]characters!$A:$I,9,FALSE)</f>
        <v>4</v>
      </c>
      <c r="K168" s="7" t="str">
        <f>VLOOKUP(B168,[1]characters!$A:$H,8,FALSE)</f>
        <v>green</v>
      </c>
      <c r="L168" s="7" t="str">
        <f>VLOOKUP(B168,[1]characters!$A:$K,11,FALSE)</f>
        <v>balance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IFERROR(VLOOKUP(B168,input_433105!L:R,7,FALSE),VLOOKUP(tables_433105!C168,input_433105!A:H,8,FALSE))</f>
        <v>5168</v>
      </c>
      <c r="P168" s="46">
        <f t="shared" ca="1" si="9"/>
        <v>4.4186046511703405E-4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input_433105!A$2</f>
        <v>433105</v>
      </c>
      <c r="B169" s="6">
        <v>404</v>
      </c>
      <c r="C169" s="7" t="str">
        <f t="shared" si="8"/>
        <v>PremiumSS5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空襲の神眼 八咫烏</v>
      </c>
      <c r="I169" s="7" t="str">
        <f>VLOOKUP(B169,[1]characters!$A:$J,10,FALSE)</f>
        <v>PremiumSS</v>
      </c>
      <c r="J169" s="7">
        <f>VLOOKUP(B169,[1]characters!$A:$I,9,FALSE)</f>
        <v>5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IFERROR(VLOOKUP(B169,input_433105!L:R,7,FALSE),VLOOKUP(tables_433105!C169,input_433105!A:H,8,FALSE))</f>
        <v>272</v>
      </c>
      <c r="P169" s="46">
        <f t="shared" ca="1" si="9"/>
        <v>2.3255813953528107E-5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input_433105!A$2</f>
        <v>433105</v>
      </c>
      <c r="B170" s="6">
        <v>405</v>
      </c>
      <c r="C170" s="7" t="str">
        <f t="shared" si="8"/>
        <v>Premium3</v>
      </c>
      <c r="D170" s="7" t="str">
        <f t="shared" si="10"/>
        <v>Premium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エキドナ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blue</v>
      </c>
      <c r="L170" s="7" t="str">
        <f>VLOOKUP(B170,[1]characters!$A:$K,11,FALSE)</f>
        <v>technical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IFERROR(VLOOKUP(B170,input_433105!L:R,7,FALSE),VLOOKUP(tables_433105!C170,input_433105!A:H,8,FALSE))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input_433105!A$2</f>
        <v>433105</v>
      </c>
      <c r="B171" s="6">
        <v>406</v>
      </c>
      <c r="C171" s="7" t="str">
        <f t="shared" si="8"/>
        <v>Premium4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美笑の蒼蛇 エキドナ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IFERROR(VLOOKUP(B171,input_433105!L:R,7,FALSE),VLOOKUP(tables_433105!C171,input_433105!A:H,8,FALSE))</f>
        <v>58210.748769999998</v>
      </c>
      <c r="P171" s="46">
        <f t="shared" ca="1" si="9"/>
        <v>4.9769792040098718E-3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input_433105!A$2</f>
        <v>433105</v>
      </c>
      <c r="B172" s="6">
        <v>407</v>
      </c>
      <c r="C172" s="7" t="str">
        <f t="shared" si="8"/>
        <v>Premium5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蠱惑の飛刀 エキドナ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IFERROR(VLOOKUP(B172,input_433105!L:R,7,FALSE),VLOOKUP(tables_433105!C172,input_433105!A:H,8,FALSE))</f>
        <v>475.65123</v>
      </c>
      <c r="P172" s="46">
        <f t="shared" ca="1" si="9"/>
        <v>4.0667854822230913E-5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input_433105!A$2</f>
        <v>433105</v>
      </c>
      <c r="B173" s="6">
        <v>408</v>
      </c>
      <c r="C173" s="7" t="str">
        <f t="shared" si="8"/>
        <v>PremiumSS4</v>
      </c>
      <c r="D173" s="7" t="str">
        <f t="shared" si="10"/>
        <v>PremiumSS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皇魔 アスタロト</v>
      </c>
      <c r="I173" s="7" t="str">
        <f>VLOOKUP(B173,[1]characters!$A:$J,10,FALSE)</f>
        <v>PremiumSS</v>
      </c>
      <c r="J173" s="7">
        <f>VLOOKUP(B173,[1]characters!$A:$I,9,FALSE)</f>
        <v>4</v>
      </c>
      <c r="K173" s="7" t="str">
        <f>VLOOKUP(B173,[1]characters!$A:$H,8,FALSE)</f>
        <v>yellow</v>
      </c>
      <c r="L173" s="7" t="str">
        <f>VLOOKUP(B173,[1]characters!$A:$K,11,FALSE)</f>
        <v>attack</v>
      </c>
      <c r="M173" s="7" t="str">
        <f>VLOOKUP(B173,[1]characters!$A:$M,13,FALSE)</f>
        <v>god</v>
      </c>
      <c r="N173" s="7" t="str">
        <f>VLOOKUP(B173,[1]characters!$A:$G,7,FALSE)</f>
        <v>男性</v>
      </c>
      <c r="O173" s="45">
        <f ca="1">IFERROR(VLOOKUP(B173,input_433105!L:R,7,FALSE),VLOOKUP(tables_433105!C173,input_433105!A:H,8,FALSE))</f>
        <v>5168</v>
      </c>
      <c r="P173" s="46">
        <f t="shared" ca="1" si="9"/>
        <v>4.4186046511703405E-4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input_433105!A$2</f>
        <v>433105</v>
      </c>
      <c r="B174" s="6">
        <v>409</v>
      </c>
      <c r="C174" s="7" t="str">
        <f t="shared" si="8"/>
        <v>PremiumSS5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天眼の皇貴魔 アスタロト</v>
      </c>
      <c r="I174" s="7" t="str">
        <f>VLOOKUP(B174,[1]characters!$A:$J,10,FALSE)</f>
        <v>PremiumSS</v>
      </c>
      <c r="J174" s="7">
        <f>VLOOKUP(B174,[1]characters!$A:$I,9,FALSE)</f>
        <v>5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IFERROR(VLOOKUP(B174,input_433105!L:R,7,FALSE),VLOOKUP(tables_433105!C174,input_433105!A:H,8,FALSE))</f>
        <v>272</v>
      </c>
      <c r="P174" s="46">
        <f t="shared" ca="1" si="9"/>
        <v>2.3255813953528107E-5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input_433105!A$2</f>
        <v>433105</v>
      </c>
      <c r="B175" s="6">
        <v>434</v>
      </c>
      <c r="C175" s="7" t="str">
        <f t="shared" si="8"/>
        <v>PremiumSS4color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>color</v>
      </c>
      <c r="H175" s="7" t="str">
        <f>VLOOKUP(B175,[1]characters!$A:$C,3,FALSE)</f>
        <v>D.R.T.H.</v>
      </c>
      <c r="I175" s="7" t="str">
        <f>VLOOKUP(B175,[1]characters!$A:$J,10,FALSE)</f>
        <v>PremiumSS</v>
      </c>
      <c r="J175" s="7">
        <f>VLOOKUP(B175,[1]characters!$A:$I,9,FALSE)</f>
        <v>4</v>
      </c>
      <c r="K175" s="7" t="str">
        <f>VLOOKUP(B175,[1]characters!$A:$H,8,FALSE)</f>
        <v>red</v>
      </c>
      <c r="L175" s="7" t="str">
        <f>VLOOKUP(B175,[1]characters!$A:$K,11,FALSE)</f>
        <v>balance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IFERROR(VLOOKUP(B175,input_433105!L:R,7,FALSE),VLOOKUP(tables_433105!C175,input_433105!A:H,8,FALSE))</f>
        <v>23809.71429</v>
      </c>
      <c r="P175" s="46">
        <f t="shared" ca="1" si="9"/>
        <v>2.0357142860841899E-3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input_433105!A$2</f>
        <v>433105</v>
      </c>
      <c r="B176" s="6">
        <v>435</v>
      </c>
      <c r="C176" s="7" t="str">
        <f t="shared" si="8"/>
        <v>PremiumSS5color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曝弾の密偵 D.R.T.H.</v>
      </c>
      <c r="I176" s="7" t="str">
        <f>VLOOKUP(B176,[1]characters!$A:$J,10,FALSE)</f>
        <v>PremiumSS</v>
      </c>
      <c r="J176" s="7">
        <f>VLOOKUP(B176,[1]characters!$A:$I,9,FALSE)</f>
        <v>5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IFERROR(VLOOKUP(B176,input_433105!L:R,7,FALSE),VLOOKUP(tables_433105!C176,input_433105!A:H,8,FALSE))</f>
        <v>1253.1428599999999</v>
      </c>
      <c r="P176" s="46">
        <f t="shared" ca="1" si="9"/>
        <v>1.0714285738732396E-4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input_433105!A$2</f>
        <v>433105</v>
      </c>
      <c r="B177" s="6">
        <v>436</v>
      </c>
      <c r="C177" s="7" t="str">
        <f t="shared" si="8"/>
        <v>Premium3</v>
      </c>
      <c r="D177" s="7" t="str">
        <f t="shared" si="10"/>
        <v>Premium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カカシ</v>
      </c>
      <c r="I177" s="7" t="str">
        <f>VLOOKUP(B177,[1]characters!$A:$J,10,FALSE)</f>
        <v>PremiumS</v>
      </c>
      <c r="J177" s="7">
        <f>VLOOKUP(B177,[1]characters!$A:$I,9,FALSE)</f>
        <v>3</v>
      </c>
      <c r="K177" s="7" t="str">
        <f>VLOOKUP(B177,[1]characters!$A:$H,8,FALSE)</f>
        <v>green</v>
      </c>
      <c r="L177" s="7" t="str">
        <f>VLOOKUP(B177,[1]characters!$A:$K,11,FALSE)</f>
        <v>technical</v>
      </c>
      <c r="M177" s="7" t="str">
        <f>VLOOKUP(B177,[1]characters!$A:$M,13,FALSE)</f>
        <v>human</v>
      </c>
      <c r="N177" s="7" t="str">
        <f>VLOOKUP(B177,[1]characters!$A:$G,7,FALSE)</f>
        <v>男性</v>
      </c>
      <c r="O177" s="45">
        <f ca="1">IFERROR(VLOOKUP(B177,input_433105!L:R,7,FALSE),VLOOKUP(tables_433105!C177,input_433105!A:H,8,FALSE))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input_433105!A$2</f>
        <v>433105</v>
      </c>
      <c r="B178" s="6">
        <v>437</v>
      </c>
      <c r="C178" s="7" t="str">
        <f t="shared" si="8"/>
        <v>Premium4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忘却者 カカシ</v>
      </c>
      <c r="I178" s="7" t="str">
        <f>VLOOKUP(B178,[1]characters!$A:$J,10,FALSE)</f>
        <v>PremiumS</v>
      </c>
      <c r="J178" s="7">
        <f>VLOOKUP(B178,[1]characters!$A:$I,9,FALSE)</f>
        <v>4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IFERROR(VLOOKUP(B178,input_433105!L:R,7,FALSE),VLOOKUP(tables_433105!C178,input_433105!A:H,8,FALSE))</f>
        <v>58210.748769999998</v>
      </c>
      <c r="P178" s="46">
        <f t="shared" ca="1" si="9"/>
        <v>4.9769792040098718E-3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input_433105!A$2</f>
        <v>433105</v>
      </c>
      <c r="B179" s="6">
        <v>438</v>
      </c>
      <c r="C179" s="7" t="str">
        <f t="shared" si="8"/>
        <v>Premium5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記憶の奪還 カカシ</v>
      </c>
      <c r="I179" s="7" t="str">
        <f>VLOOKUP(B179,[1]characters!$A:$J,10,FALSE)</f>
        <v>PremiumS</v>
      </c>
      <c r="J179" s="7">
        <f>VLOOKUP(B179,[1]characters!$A:$I,9,FALSE)</f>
        <v>5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IFERROR(VLOOKUP(B179,input_433105!L:R,7,FALSE),VLOOKUP(tables_433105!C179,input_433105!A:H,8,FALSE))</f>
        <v>475.65123</v>
      </c>
      <c r="P179" s="46">
        <f t="shared" ca="1" si="9"/>
        <v>4.0667854822230913E-5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input_433105!A$2</f>
        <v>433105</v>
      </c>
      <c r="B180" s="6">
        <v>439</v>
      </c>
      <c r="C180" s="7" t="str">
        <f t="shared" si="8"/>
        <v>Premium3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ブリキロガー</v>
      </c>
      <c r="I180" s="7" t="str">
        <f>VLOOKUP(B180,[1]characters!$A:$J,10,FALSE)</f>
        <v>PremiumS</v>
      </c>
      <c r="J180" s="7">
        <f>VLOOKUP(B180,[1]characters!$A:$I,9,FALSE)</f>
        <v>3</v>
      </c>
      <c r="K180" s="7" t="str">
        <f>VLOOKUP(B180,[1]characters!$A:$H,8,FALSE)</f>
        <v>blue</v>
      </c>
      <c r="L180" s="7" t="str">
        <f>VLOOKUP(B180,[1]characters!$A:$K,11,FALSE)</f>
        <v>attack</v>
      </c>
      <c r="M180" s="7" t="str">
        <f>VLOOKUP(B180,[1]characters!$A:$M,13,FALSE)</f>
        <v>machine</v>
      </c>
      <c r="N180" s="7" t="str">
        <f>VLOOKUP(B180,[1]characters!$A:$G,7,FALSE)</f>
        <v>不明</v>
      </c>
      <c r="O180" s="45">
        <f ca="1">IFERROR(VLOOKUP(B180,input_433105!L:R,7,FALSE),VLOOKUP(tables_433105!C180,input_433105!A:H,8,FALSE))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input_433105!A$2</f>
        <v>433105</v>
      </c>
      <c r="B181" s="6">
        <v>440</v>
      </c>
      <c r="C181" s="7" t="str">
        <f t="shared" si="8"/>
        <v>Premium4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改良型 ブリキロガー</v>
      </c>
      <c r="I181" s="7" t="str">
        <f>VLOOKUP(B181,[1]characters!$A:$J,10,FALSE)</f>
        <v>PremiumS</v>
      </c>
      <c r="J181" s="7">
        <f>VLOOKUP(B181,[1]characters!$A:$I,9,FALSE)</f>
        <v>4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IFERROR(VLOOKUP(B181,input_433105!L:R,7,FALSE),VLOOKUP(tables_433105!C181,input_433105!A:H,8,FALSE))</f>
        <v>58210.748769999998</v>
      </c>
      <c r="P181" s="46">
        <f t="shared" ca="1" si="9"/>
        <v>4.9769792040098718E-3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input_433105!A$2</f>
        <v>433105</v>
      </c>
      <c r="B182" s="6">
        <v>441</v>
      </c>
      <c r="C182" s="7" t="str">
        <f t="shared" si="8"/>
        <v>Premium5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求心の錻装 ブリキロガー</v>
      </c>
      <c r="I182" s="7" t="str">
        <f>VLOOKUP(B182,[1]characters!$A:$J,10,FALSE)</f>
        <v>PremiumS</v>
      </c>
      <c r="J182" s="7">
        <f>VLOOKUP(B182,[1]characters!$A:$I,9,FALSE)</f>
        <v>5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IFERROR(VLOOKUP(B182,input_433105!L:R,7,FALSE),VLOOKUP(tables_433105!C182,input_433105!A:H,8,FALSE))</f>
        <v>475.65123</v>
      </c>
      <c r="P182" s="46">
        <f t="shared" ca="1" si="9"/>
        <v>4.0667854822230913E-5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input_433105!A$2</f>
        <v>433105</v>
      </c>
      <c r="B183" s="6">
        <v>442</v>
      </c>
      <c r="C183" s="7" t="str">
        <f t="shared" si="8"/>
        <v>PremiumSS4</v>
      </c>
      <c r="D183" s="7" t="str">
        <f t="shared" si="10"/>
        <v>PremiumSS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ブレイブリー・ライオン</v>
      </c>
      <c r="I183" s="7" t="str">
        <f>VLOOKUP(B183,[1]characters!$A:$J,10,FALSE)</f>
        <v>PremiumSS</v>
      </c>
      <c r="J183" s="7">
        <f>VLOOKUP(B183,[1]characters!$A:$I,9,FALSE)</f>
        <v>4</v>
      </c>
      <c r="K183" s="7" t="str">
        <f>VLOOKUP(B183,[1]characters!$A:$H,8,FALSE)</f>
        <v>yellow</v>
      </c>
      <c r="L183" s="7" t="str">
        <f>VLOOKUP(B183,[1]characters!$A:$K,11,FALSE)</f>
        <v>hp</v>
      </c>
      <c r="M183" s="7" t="str">
        <f>VLOOKUP(B183,[1]characters!$A:$M,13,FALSE)</f>
        <v>animal</v>
      </c>
      <c r="N183" s="7" t="str">
        <f>VLOOKUP(B183,[1]characters!$A:$G,7,FALSE)</f>
        <v>不明</v>
      </c>
      <c r="O183" s="45">
        <f ca="1">IFERROR(VLOOKUP(B183,input_433105!L:R,7,FALSE),VLOOKUP(tables_433105!C183,input_433105!A:H,8,FALSE))</f>
        <v>5168</v>
      </c>
      <c r="P183" s="46">
        <f t="shared" ca="1" si="9"/>
        <v>4.4186046511703405E-4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input_433105!A$2</f>
        <v>433105</v>
      </c>
      <c r="B184" s="6">
        <v>443</v>
      </c>
      <c r="C184" s="7" t="str">
        <f t="shared" si="8"/>
        <v>PremiumSS5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勇機結集 ブレイブリー・ライオン</v>
      </c>
      <c r="I184" s="7" t="str">
        <f>VLOOKUP(B184,[1]characters!$A:$J,10,FALSE)</f>
        <v>PremiumSS</v>
      </c>
      <c r="J184" s="7">
        <f>VLOOKUP(B184,[1]characters!$A:$I,9,FALSE)</f>
        <v>5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IFERROR(VLOOKUP(B184,input_433105!L:R,7,FALSE),VLOOKUP(tables_433105!C184,input_433105!A:H,8,FALSE))</f>
        <v>272</v>
      </c>
      <c r="P184" s="46">
        <f t="shared" ca="1" si="9"/>
        <v>2.3255813953528107E-5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input_433105!A$2</f>
        <v>433105</v>
      </c>
      <c r="B185" s="8">
        <v>462</v>
      </c>
      <c r="C185" s="7" t="str">
        <f t="shared" si="8"/>
        <v>Premium3color</v>
      </c>
      <c r="D185" s="7" t="str">
        <f t="shared" si="10"/>
        <v>Premium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>color</v>
      </c>
      <c r="H185" s="7" t="str">
        <f>VLOOKUP(B185,[1]characters!$A:$C,3,FALSE)</f>
        <v>ガウェイン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red</v>
      </c>
      <c r="L185" s="7" t="str">
        <f>VLOOKUP(B185,[1]characters!$A:$K,11,FALSE)</f>
        <v>hp</v>
      </c>
      <c r="M185" s="7" t="str">
        <f>VLOOKUP(B185,[1]characters!$A:$M,13,FALSE)</f>
        <v>human</v>
      </c>
      <c r="N185" s="7" t="str">
        <f>VLOOKUP(B185,[1]characters!$A:$G,7,FALSE)</f>
        <v>男性</v>
      </c>
      <c r="O185" s="45">
        <f ca="1">IFERROR(VLOOKUP(B185,input_433105!L:R,7,FALSE),VLOOKUP(tables_433105!C185,input_433105!A:H,8,FALSE))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input_433105!A$2</f>
        <v>433105</v>
      </c>
      <c r="B186" s="8">
        <v>463</v>
      </c>
      <c r="C186" s="7" t="str">
        <f t="shared" si="8"/>
        <v>Premium4color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燻銀 ガウェイン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IFERROR(VLOOKUP(B186,input_433105!L:R,7,FALSE),VLOOKUP(tables_433105!C186,input_433105!A:H,8,FALSE))</f>
        <v>285641.57689000003</v>
      </c>
      <c r="P186" s="46">
        <f t="shared" ca="1" si="9"/>
        <v>2.4422159446861158E-2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input_433105!A$2</f>
        <v>433105</v>
      </c>
      <c r="B187" s="8">
        <v>464</v>
      </c>
      <c r="C187" s="7" t="str">
        <f t="shared" si="8"/>
        <v>Premium5color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円熟の弾導 ガウェイン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IFERROR(VLOOKUP(B187,input_433105!L:R,7,FALSE),VLOOKUP(tables_433105!C187,input_433105!A:H,8,FALSE))</f>
        <v>554.45789000000002</v>
      </c>
      <c r="P187" s="46">
        <f t="shared" ca="1" si="9"/>
        <v>4.7405770348918211E-5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input_433105!A$2</f>
        <v>433105</v>
      </c>
      <c r="B188" s="8">
        <v>465</v>
      </c>
      <c r="C188" s="7" t="str">
        <f t="shared" si="8"/>
        <v>PremiumSS4</v>
      </c>
      <c r="D188" s="7" t="str">
        <f t="shared" si="10"/>
        <v>PremiumSS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真撃 ランスロット</v>
      </c>
      <c r="I188" s="7" t="str">
        <f>VLOOKUP(B188,[1]characters!$A:$J,10,FALSE)</f>
        <v>PremiumSS</v>
      </c>
      <c r="J188" s="7">
        <f>VLOOKUP(B188,[1]characters!$A:$I,9,FALSE)</f>
        <v>4</v>
      </c>
      <c r="K188" s="7" t="str">
        <f>VLOOKUP(B188,[1]characters!$A:$H,8,FALSE)</f>
        <v>green</v>
      </c>
      <c r="L188" s="7" t="str">
        <f>VLOOKUP(B188,[1]characters!$A:$K,11,FALSE)</f>
        <v>balance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IFERROR(VLOOKUP(B188,input_433105!L:R,7,FALSE),VLOOKUP(tables_433105!C188,input_433105!A:H,8,FALSE))</f>
        <v>5168</v>
      </c>
      <c r="P188" s="46">
        <f t="shared" ca="1" si="9"/>
        <v>4.4186046511703405E-4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input_433105!A$2</f>
        <v>433105</v>
      </c>
      <c r="B189" s="6">
        <v>466</v>
      </c>
      <c r="C189" s="7" t="str">
        <f t="shared" si="8"/>
        <v>PremiumSS5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真断の勇覇 ランスロット</v>
      </c>
      <c r="I189" s="7" t="str">
        <f>VLOOKUP(B189,[1]characters!$A:$J,10,FALSE)</f>
        <v>PremiumSS</v>
      </c>
      <c r="J189" s="7">
        <f>VLOOKUP(B189,[1]characters!$A:$I,9,FALSE)</f>
        <v>5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IFERROR(VLOOKUP(B189,input_433105!L:R,7,FALSE),VLOOKUP(tables_433105!C189,input_433105!A:H,8,FALSE))</f>
        <v>272</v>
      </c>
      <c r="P189" s="46">
        <f t="shared" ca="1" si="9"/>
        <v>2.3255813953528107E-5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input_433105!A$2</f>
        <v>433105</v>
      </c>
      <c r="B190" s="6">
        <v>467</v>
      </c>
      <c r="C190" s="7" t="str">
        <f t="shared" si="8"/>
        <v>PremiumSS4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報復 モルドレッド</v>
      </c>
      <c r="I190" s="7" t="str">
        <f>VLOOKUP(B190,[1]characters!$A:$J,10,FALSE)</f>
        <v>PremiumSS</v>
      </c>
      <c r="J190" s="7">
        <f>VLOOKUP(B190,[1]characters!$A:$I,9,FALSE)</f>
        <v>4</v>
      </c>
      <c r="K190" s="7" t="str">
        <f>VLOOKUP(B190,[1]characters!$A:$H,8,FALSE)</f>
        <v>blue</v>
      </c>
      <c r="L190" s="7" t="str">
        <f>VLOOKUP(B190,[1]characters!$A:$K,11,FALSE)</f>
        <v>technical</v>
      </c>
      <c r="M190" s="7" t="str">
        <f>VLOOKUP(B190,[1]characters!$A:$M,13,FALSE)</f>
        <v>human</v>
      </c>
      <c r="N190" s="7" t="str">
        <f>VLOOKUP(B190,[1]characters!$A:$G,7,FALSE)</f>
        <v>女性</v>
      </c>
      <c r="O190" s="45">
        <f ca="1">IFERROR(VLOOKUP(B190,input_433105!L:R,7,FALSE),VLOOKUP(tables_433105!C190,input_433105!A:H,8,FALSE))</f>
        <v>5168</v>
      </c>
      <c r="P190" s="46">
        <f t="shared" ca="1" si="9"/>
        <v>4.4186046511703405E-4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input_433105!A$2</f>
        <v>433105</v>
      </c>
      <c r="B191" s="6">
        <v>468</v>
      </c>
      <c r="C191" s="7" t="str">
        <f t="shared" si="8"/>
        <v>PremiumSS5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憎愛の尖鋒 モルドレッド</v>
      </c>
      <c r="I191" s="7" t="str">
        <f>VLOOKUP(B191,[1]characters!$A:$J,10,FALSE)</f>
        <v>PremiumSS</v>
      </c>
      <c r="J191" s="7">
        <f>VLOOKUP(B191,[1]characters!$A:$I,9,FALSE)</f>
        <v>5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IFERROR(VLOOKUP(B191,input_433105!L:R,7,FALSE),VLOOKUP(tables_433105!C191,input_433105!A:H,8,FALSE))</f>
        <v>272</v>
      </c>
      <c r="P191" s="46">
        <f t="shared" ca="1" si="9"/>
        <v>2.3255813953528107E-5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input_433105!A$2</f>
        <v>433105</v>
      </c>
      <c r="B192" s="6">
        <v>469</v>
      </c>
      <c r="C192" s="7" t="str">
        <f t="shared" si="8"/>
        <v>Premium3</v>
      </c>
      <c r="D192" s="7" t="str">
        <f t="shared" si="10"/>
        <v>Premium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トリスタン</v>
      </c>
      <c r="I192" s="7" t="str">
        <f>VLOOKUP(B192,[1]characters!$A:$J,10,FALSE)</f>
        <v>PremiumS</v>
      </c>
      <c r="J192" s="7">
        <f>VLOOKUP(B192,[1]characters!$A:$I,9,FALSE)</f>
        <v>3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IFERROR(VLOOKUP(B192,input_433105!L:R,7,FALSE),VLOOKUP(tables_433105!C192,input_433105!A:H,8,FALSE))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input_433105!A$2</f>
        <v>433105</v>
      </c>
      <c r="B193" s="6">
        <v>470</v>
      </c>
      <c r="C193" s="7" t="str">
        <f t="shared" si="8"/>
        <v>Premium4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純心 トリスタン</v>
      </c>
      <c r="I193" s="7" t="str">
        <f>VLOOKUP(B193,[1]characters!$A:$J,10,FALSE)</f>
        <v>PremiumS</v>
      </c>
      <c r="J193" s="7">
        <f>VLOOKUP(B193,[1]characters!$A:$I,9,FALSE)</f>
        <v>4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IFERROR(VLOOKUP(B193,input_433105!L:R,7,FALSE),VLOOKUP(tables_433105!C193,input_433105!A:H,8,FALSE))</f>
        <v>58210.748769999998</v>
      </c>
      <c r="P193" s="46">
        <f t="shared" ca="1" si="9"/>
        <v>4.9769792040098718E-3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input_433105!A$2</f>
        <v>433105</v>
      </c>
      <c r="B194" s="6">
        <v>471</v>
      </c>
      <c r="C194" s="7" t="str">
        <f t="shared" ref="C194:C257" si="12">D194&amp;J194&amp;E194&amp;F194&amp;G194</f>
        <v>Premium5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不可避の爆激 トリスタン</v>
      </c>
      <c r="I194" s="7" t="str">
        <f>VLOOKUP(B194,[1]characters!$A:$J,10,FALSE)</f>
        <v>PremiumS</v>
      </c>
      <c r="J194" s="7">
        <f>VLOOKUP(B194,[1]characters!$A:$I,9,FALSE)</f>
        <v>5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IFERROR(VLOOKUP(B194,input_433105!L:R,7,FALSE),VLOOKUP(tables_433105!C194,input_433105!A:H,8,FALSE))</f>
        <v>475.65123</v>
      </c>
      <c r="P194" s="46">
        <f t="shared" ref="P194:P257" ca="1" si="13">O194/SUM(O:O)</f>
        <v>4.0667854822230913E-5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input_433105!A$2</f>
        <v>433105</v>
      </c>
      <c r="B195" s="6">
        <v>474</v>
      </c>
      <c r="C195" s="7" t="str">
        <f t="shared" si="12"/>
        <v>PremiumSS4color</v>
      </c>
      <c r="D195" s="7" t="str">
        <f t="shared" ref="D195:D258" si="14">IF(OR(I195="PremiumSS",I195="PremiumSSw"),"PremiumSS",IF(I195="PremiumSSS",I195,IF(I195="PremiumW",I195,"Premium")))</f>
        <v>PremiumSS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>color</v>
      </c>
      <c r="H195" s="7" t="str">
        <f>VLOOKUP(B195,[1]characters!$A:$C,3,FALSE)</f>
        <v>キング・ドライグ</v>
      </c>
      <c r="I195" s="7" t="str">
        <f>VLOOKUP(B195,[1]characters!$A:$J,10,FALSE)</f>
        <v>PremiumSS</v>
      </c>
      <c r="J195" s="7">
        <f>VLOOKUP(B195,[1]characters!$A:$I,9,FALSE)</f>
        <v>4</v>
      </c>
      <c r="K195" s="7" t="str">
        <f>VLOOKUP(B195,[1]characters!$A:$H,8,FALSE)</f>
        <v>red</v>
      </c>
      <c r="L195" s="7" t="str">
        <f>VLOOKUP(B195,[1]characters!$A:$K,11,FALSE)</f>
        <v>attack</v>
      </c>
      <c r="M195" s="7" t="str">
        <f>VLOOKUP(B195,[1]characters!$A:$M,13,FALSE)</f>
        <v>dragon</v>
      </c>
      <c r="N195" s="7" t="str">
        <f>VLOOKUP(B195,[1]characters!$A:$G,7,FALSE)</f>
        <v>不明</v>
      </c>
      <c r="O195" s="45">
        <f ca="1">IFERROR(VLOOKUP(B195,input_433105!L:R,7,FALSE),VLOOKUP(tables_433105!C195,input_433105!A:H,8,FALSE))</f>
        <v>23809.71429</v>
      </c>
      <c r="P195" s="46">
        <f t="shared" ca="1" si="13"/>
        <v>2.0357142860841899E-3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input_433105!A$2</f>
        <v>433105</v>
      </c>
      <c r="B196" s="6">
        <v>475</v>
      </c>
      <c r="C196" s="7" t="str">
        <f t="shared" si="12"/>
        <v>PremiumSS5color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緋王 キング・ドライグ</v>
      </c>
      <c r="I196" s="7" t="str">
        <f>VLOOKUP(B196,[1]characters!$A:$J,10,FALSE)</f>
        <v>PremiumSS</v>
      </c>
      <c r="J196" s="7">
        <f>VLOOKUP(B196,[1]characters!$A:$I,9,FALSE)</f>
        <v>5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IFERROR(VLOOKUP(B196,input_433105!L:R,7,FALSE),VLOOKUP(tables_433105!C196,input_433105!A:H,8,FALSE))</f>
        <v>1253.1428599999999</v>
      </c>
      <c r="P196" s="46">
        <f t="shared" ca="1" si="13"/>
        <v>1.0714285738732396E-4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input_433105!A$2</f>
        <v>433105</v>
      </c>
      <c r="B197" s="6">
        <v>476</v>
      </c>
      <c r="C197" s="7" t="str">
        <f t="shared" si="12"/>
        <v>Premium3</v>
      </c>
      <c r="D197" s="7" t="str">
        <f t="shared" si="14"/>
        <v>Premium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ファータ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green</v>
      </c>
      <c r="L197" s="7" t="str">
        <f>VLOOKUP(B197,[1]characters!$A:$K,11,FALSE)</f>
        <v>heal</v>
      </c>
      <c r="M197" s="7" t="str">
        <f>VLOOKUP(B197,[1]characters!$A:$M,13,FALSE)</f>
        <v>unknown</v>
      </c>
      <c r="N197" s="7" t="str">
        <f>VLOOKUP(B197,[1]characters!$A:$G,7,FALSE)</f>
        <v>女性</v>
      </c>
      <c r="O197" s="45">
        <f ca="1">IFERROR(VLOOKUP(B197,input_433105!L:R,7,FALSE),VLOOKUP(tables_433105!C197,input_433105!A:H,8,FALSE))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input_433105!A$2</f>
        <v>433105</v>
      </c>
      <c r="B198" s="6">
        <v>477</v>
      </c>
      <c r="C198" s="7" t="str">
        <f t="shared" si="12"/>
        <v>Premium4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愛羽妖精 ファータ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IFERROR(VLOOKUP(B198,input_433105!L:R,7,FALSE),VLOOKUP(tables_433105!C198,input_433105!A:H,8,FALSE))</f>
        <v>58210.748769999998</v>
      </c>
      <c r="P198" s="46">
        <f t="shared" ca="1" si="13"/>
        <v>4.9769792040098718E-3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input_433105!A$2</f>
        <v>433105</v>
      </c>
      <c r="B199" s="6">
        <v>478</v>
      </c>
      <c r="C199" s="7" t="str">
        <f t="shared" si="12"/>
        <v>Premium5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時計仕掛けの愛羽妖精 ファータ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IFERROR(VLOOKUP(B199,input_433105!L:R,7,FALSE),VLOOKUP(tables_433105!C199,input_433105!A:H,8,FALSE))</f>
        <v>475.65123</v>
      </c>
      <c r="P199" s="46">
        <f t="shared" ca="1" si="13"/>
        <v>4.0667854822230913E-5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input_433105!A$2</f>
        <v>433105</v>
      </c>
      <c r="B200" s="6">
        <v>479</v>
      </c>
      <c r="C200" s="7" t="str">
        <f t="shared" si="12"/>
        <v>PremiumSS4</v>
      </c>
      <c r="D200" s="7" t="str">
        <f t="shared" si="14"/>
        <v>PremiumSS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フール</v>
      </c>
      <c r="I200" s="7" t="str">
        <f>VLOOKUP(B200,[1]characters!$A:$J,10,FALSE)</f>
        <v>PremiumSS</v>
      </c>
      <c r="J200" s="7">
        <f>VLOOKUP(B200,[1]characters!$A:$I,9,FALSE)</f>
        <v>4</v>
      </c>
      <c r="K200" s="7" t="str">
        <f>VLOOKUP(B200,[1]characters!$A:$H,8,FALSE)</f>
        <v>blue</v>
      </c>
      <c r="L200" s="7" t="str">
        <f>VLOOKUP(B200,[1]characters!$A:$K,11,FALSE)</f>
        <v>technical</v>
      </c>
      <c r="M200" s="7" t="str">
        <f>VLOOKUP(B200,[1]characters!$A:$M,13,FALSE)</f>
        <v>god</v>
      </c>
      <c r="N200" s="7" t="str">
        <f>VLOOKUP(B200,[1]characters!$A:$G,7,FALSE)</f>
        <v>男性</v>
      </c>
      <c r="O200" s="45">
        <f ca="1">IFERROR(VLOOKUP(B200,input_433105!L:R,7,FALSE),VLOOKUP(tables_433105!C200,input_433105!A:H,8,FALSE))</f>
        <v>5168</v>
      </c>
      <c r="P200" s="46">
        <f t="shared" ca="1" si="13"/>
        <v>4.4186046511703405E-4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input_433105!A$2</f>
        <v>433105</v>
      </c>
      <c r="B201" s="6">
        <v>480</v>
      </c>
      <c r="C201" s="7" t="str">
        <f t="shared" si="12"/>
        <v>PremiumSS5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夢幻の愚者フール</v>
      </c>
      <c r="I201" s="7" t="str">
        <f>VLOOKUP(B201,[1]characters!$A:$J,10,FALSE)</f>
        <v>PremiumSS</v>
      </c>
      <c r="J201" s="7">
        <f>VLOOKUP(B201,[1]characters!$A:$I,9,FALSE)</f>
        <v>5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IFERROR(VLOOKUP(B201,input_433105!L:R,7,FALSE),VLOOKUP(tables_433105!C201,input_433105!A:H,8,FALSE))</f>
        <v>272</v>
      </c>
      <c r="P201" s="46">
        <f t="shared" ca="1" si="13"/>
        <v>2.3255813953528107E-5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input_433105!A$2</f>
        <v>433105</v>
      </c>
      <c r="B202" s="6">
        <v>481</v>
      </c>
      <c r="C202" s="7" t="str">
        <f t="shared" si="12"/>
        <v>Premium3</v>
      </c>
      <c r="D202" s="7" t="str">
        <f t="shared" si="14"/>
        <v>Premium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沢庵宗彭</v>
      </c>
      <c r="I202" s="7" t="str">
        <f>VLOOKUP(B202,[1]characters!$A:$J,10,FALSE)</f>
        <v>PremiumS</v>
      </c>
      <c r="J202" s="7">
        <f>VLOOKUP(B202,[1]characters!$A:$I,9,FALSE)</f>
        <v>3</v>
      </c>
      <c r="K202" s="7" t="str">
        <f>VLOOKUP(B202,[1]characters!$A:$H,8,FALSE)</f>
        <v>yellow</v>
      </c>
      <c r="L202" s="7" t="str">
        <f>VLOOKUP(B202,[1]characters!$A:$K,11,FALSE)</f>
        <v>hp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IFERROR(VLOOKUP(B202,input_433105!L:R,7,FALSE),VLOOKUP(tables_433105!C202,input_433105!A:H,8,FALSE))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input_433105!A$2</f>
        <v>433105</v>
      </c>
      <c r="B203" s="6">
        <v>482</v>
      </c>
      <c r="C203" s="7" t="str">
        <f t="shared" si="12"/>
        <v>Premium4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魁僧 沢庵宗彭</v>
      </c>
      <c r="I203" s="7" t="str">
        <f>VLOOKUP(B203,[1]characters!$A:$J,10,FALSE)</f>
        <v>PremiumS</v>
      </c>
      <c r="J203" s="7">
        <f>VLOOKUP(B203,[1]characters!$A:$I,9,FALSE)</f>
        <v>4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IFERROR(VLOOKUP(B203,input_433105!L:R,7,FALSE),VLOOKUP(tables_433105!C203,input_433105!A:H,8,FALSE))</f>
        <v>58210.748769999998</v>
      </c>
      <c r="P203" s="46">
        <f t="shared" ca="1" si="13"/>
        <v>4.9769792040098718E-3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input_433105!A$2</f>
        <v>433105</v>
      </c>
      <c r="B204" s="6">
        <v>483</v>
      </c>
      <c r="C204" s="7" t="str">
        <f t="shared" si="12"/>
        <v>Premium5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 xml:space="preserve">命経死遂 沢庵宗彭 </v>
      </c>
      <c r="I204" s="7" t="str">
        <f>VLOOKUP(B204,[1]characters!$A:$J,10,FALSE)</f>
        <v>PremiumS</v>
      </c>
      <c r="J204" s="7">
        <f>VLOOKUP(B204,[1]characters!$A:$I,9,FALSE)</f>
        <v>5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IFERROR(VLOOKUP(B204,input_433105!L:R,7,FALSE),VLOOKUP(tables_433105!C204,input_433105!A:H,8,FALSE))</f>
        <v>475.65123</v>
      </c>
      <c r="P204" s="46">
        <f t="shared" ca="1" si="13"/>
        <v>4.0667854822230913E-5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input_433105!A$2</f>
        <v>433105</v>
      </c>
      <c r="B205" s="6">
        <v>492</v>
      </c>
      <c r="C205" s="7" t="str">
        <f t="shared" si="12"/>
        <v>PremiumSS4color</v>
      </c>
      <c r="D205" s="7" t="str">
        <f t="shared" si="14"/>
        <v>PremiumSS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>color</v>
      </c>
      <c r="H205" s="7" t="str">
        <f>VLOOKUP(B205,[1]characters!$A:$C,3,FALSE)</f>
        <v>ブートレグ・ペロー</v>
      </c>
      <c r="I205" s="7" t="str">
        <f>VLOOKUP(B205,[1]characters!$A:$J,10,FALSE)</f>
        <v>PremiumSS</v>
      </c>
      <c r="J205" s="7">
        <f>VLOOKUP(B205,[1]characters!$A:$I,9,FALSE)</f>
        <v>4</v>
      </c>
      <c r="K205" s="7" t="str">
        <f>VLOOKUP(B205,[1]characters!$A:$H,8,FALSE)</f>
        <v>red</v>
      </c>
      <c r="L205" s="7" t="str">
        <f>VLOOKUP(B205,[1]characters!$A:$K,11,FALSE)</f>
        <v>hp</v>
      </c>
      <c r="M205" s="7" t="str">
        <f>VLOOKUP(B205,[1]characters!$A:$M,13,FALSE)</f>
        <v>animal</v>
      </c>
      <c r="N205" s="7" t="str">
        <f>VLOOKUP(B205,[1]characters!$A:$G,7,FALSE)</f>
        <v>不明</v>
      </c>
      <c r="O205" s="45">
        <f ca="1">IFERROR(VLOOKUP(B205,input_433105!L:R,7,FALSE),VLOOKUP(tables_433105!C205,input_433105!A:H,8,FALSE))</f>
        <v>23809.71429</v>
      </c>
      <c r="P205" s="46">
        <f t="shared" ca="1" si="13"/>
        <v>2.0357142860841899E-3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input_433105!A$2</f>
        <v>433105</v>
      </c>
      <c r="B206" s="6">
        <v>493</v>
      </c>
      <c r="C206" s="7" t="str">
        <f t="shared" si="12"/>
        <v>PremiumSS5color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跋扈の機脚 ブートレグ・ペロー</v>
      </c>
      <c r="I206" s="7" t="str">
        <f>VLOOKUP(B206,[1]characters!$A:$J,10,FALSE)</f>
        <v>PremiumSS</v>
      </c>
      <c r="J206" s="7">
        <f>VLOOKUP(B206,[1]characters!$A:$I,9,FALSE)</f>
        <v>5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IFERROR(VLOOKUP(B206,input_433105!L:R,7,FALSE),VLOOKUP(tables_433105!C206,input_433105!A:H,8,FALSE))</f>
        <v>1253.1428599999999</v>
      </c>
      <c r="P206" s="46">
        <f t="shared" ca="1" si="13"/>
        <v>1.0714285738732396E-4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input_433105!A$2</f>
        <v>433105</v>
      </c>
      <c r="B207" s="6">
        <v>494</v>
      </c>
      <c r="C207" s="7" t="str">
        <f t="shared" si="12"/>
        <v>PremiumSS4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ハーメルン</v>
      </c>
      <c r="I207" s="7" t="str">
        <f>VLOOKUP(B207,[1]characters!$A:$J,10,FALSE)</f>
        <v>PremiumSS</v>
      </c>
      <c r="J207" s="7">
        <f>VLOOKUP(B207,[1]characters!$A:$I,9,FALSE)</f>
        <v>4</v>
      </c>
      <c r="K207" s="7" t="str">
        <f>VLOOKUP(B207,[1]characters!$A:$H,8,FALSE)</f>
        <v>green</v>
      </c>
      <c r="L207" s="7" t="str">
        <f>VLOOKUP(B207,[1]characters!$A:$K,11,FALSE)</f>
        <v>technical</v>
      </c>
      <c r="M207" s="7" t="str">
        <f>VLOOKUP(B207,[1]characters!$A:$M,13,FALSE)</f>
        <v>human</v>
      </c>
      <c r="N207" s="7" t="str">
        <f>VLOOKUP(B207,[1]characters!$A:$G,7,FALSE)</f>
        <v>男性</v>
      </c>
      <c r="O207" s="45">
        <f ca="1">IFERROR(VLOOKUP(B207,input_433105!L:R,7,FALSE),VLOOKUP(tables_433105!C207,input_433105!A:H,8,FALSE))</f>
        <v>5168</v>
      </c>
      <c r="P207" s="46">
        <f t="shared" ca="1" si="13"/>
        <v>4.4186046511703405E-4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input_433105!A$2</f>
        <v>433105</v>
      </c>
      <c r="B208" s="6">
        <v>495</v>
      </c>
      <c r="C208" s="7" t="str">
        <f t="shared" si="12"/>
        <v>PremiumSS5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鼠災呼ぶ笛音 ハーメルン</v>
      </c>
      <c r="I208" s="7" t="str">
        <f>VLOOKUP(B208,[1]characters!$A:$J,10,FALSE)</f>
        <v>PremiumSS</v>
      </c>
      <c r="J208" s="7">
        <f>VLOOKUP(B208,[1]characters!$A:$I,9,FALSE)</f>
        <v>5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IFERROR(VLOOKUP(B208,input_433105!L:R,7,FALSE),VLOOKUP(tables_433105!C208,input_433105!A:H,8,FALSE))</f>
        <v>272</v>
      </c>
      <c r="P208" s="46">
        <f t="shared" ca="1" si="13"/>
        <v>2.3255813953528107E-5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input_433105!A$2</f>
        <v>433105</v>
      </c>
      <c r="B209" s="6">
        <v>496</v>
      </c>
      <c r="C209" s="7" t="str">
        <f t="shared" si="12"/>
        <v>Premium3</v>
      </c>
      <c r="D209" s="7" t="str">
        <f t="shared" si="14"/>
        <v>Premium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エスタブ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blue</v>
      </c>
      <c r="L209" s="7" t="str">
        <f>VLOOKUP(B209,[1]characters!$A:$K,11,FALSE)</f>
        <v>attack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IFERROR(VLOOKUP(B209,input_433105!L:R,7,FALSE),VLOOKUP(tables_433105!C209,input_433105!A:H,8,FALSE))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input_433105!A$2</f>
        <v>433105</v>
      </c>
      <c r="B210" s="6">
        <v>497</v>
      </c>
      <c r="C210" s="7" t="str">
        <f t="shared" si="12"/>
        <v>Premium4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偏愛の野獣 エスタブ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IFERROR(VLOOKUP(B210,input_433105!L:R,7,FALSE),VLOOKUP(tables_433105!C210,input_433105!A:H,8,FALSE))</f>
        <v>58210.748769999998</v>
      </c>
      <c r="P210" s="46">
        <f t="shared" ca="1" si="13"/>
        <v>4.9769792040098718E-3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input_433105!A$2</f>
        <v>433105</v>
      </c>
      <c r="B211" s="6">
        <v>498</v>
      </c>
      <c r="C211" s="7" t="str">
        <f t="shared" si="12"/>
        <v>Premium5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自愛の高魔 エスタブ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IFERROR(VLOOKUP(B211,input_433105!L:R,7,FALSE),VLOOKUP(tables_433105!C211,input_433105!A:H,8,FALSE))</f>
        <v>475.65123</v>
      </c>
      <c r="P211" s="46">
        <f t="shared" ca="1" si="13"/>
        <v>4.0667854822230913E-5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input_433105!A$2</f>
        <v>433105</v>
      </c>
      <c r="B212" s="6">
        <v>499</v>
      </c>
      <c r="C212" s="7" t="str">
        <f t="shared" si="12"/>
        <v>PremiumSS4</v>
      </c>
      <c r="D212" s="7" t="str">
        <f t="shared" si="14"/>
        <v>PremiumSS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ラプンツェル</v>
      </c>
      <c r="I212" s="7" t="str">
        <f>VLOOKUP(B212,[1]characters!$A:$J,10,FALSE)</f>
        <v>PremiumSS</v>
      </c>
      <c r="J212" s="7">
        <f>VLOOKUP(B212,[1]characters!$A:$I,9,FALSE)</f>
        <v>4</v>
      </c>
      <c r="K212" s="7" t="str">
        <f>VLOOKUP(B212,[1]characters!$A:$H,8,FALSE)</f>
        <v>yellow</v>
      </c>
      <c r="L212" s="7" t="str">
        <f>VLOOKUP(B212,[1]characters!$A:$K,11,FALSE)</f>
        <v>balance</v>
      </c>
      <c r="M212" s="7" t="str">
        <f>VLOOKUP(B212,[1]characters!$A:$M,13,FALSE)</f>
        <v>human</v>
      </c>
      <c r="N212" s="7" t="str">
        <f>VLOOKUP(B212,[1]characters!$A:$G,7,FALSE)</f>
        <v>女性</v>
      </c>
      <c r="O212" s="45">
        <f ca="1">IFERROR(VLOOKUP(B212,input_433105!L:R,7,FALSE),VLOOKUP(tables_433105!C212,input_433105!A:H,8,FALSE))</f>
        <v>5168</v>
      </c>
      <c r="P212" s="46">
        <f t="shared" ca="1" si="13"/>
        <v>4.4186046511703405E-4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input_433105!A$2</f>
        <v>433105</v>
      </c>
      <c r="B213" s="6">
        <v>500</v>
      </c>
      <c r="C213" s="7" t="str">
        <f t="shared" si="12"/>
        <v>PremiumSS5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脈動の禁髪 ラプンツェル</v>
      </c>
      <c r="I213" s="7" t="str">
        <f>VLOOKUP(B213,[1]characters!$A:$J,10,FALSE)</f>
        <v>PremiumSS</v>
      </c>
      <c r="J213" s="7">
        <f>VLOOKUP(B213,[1]characters!$A:$I,9,FALSE)</f>
        <v>5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IFERROR(VLOOKUP(B213,input_433105!L:R,7,FALSE),VLOOKUP(tables_433105!C213,input_433105!A:H,8,FALSE))</f>
        <v>272</v>
      </c>
      <c r="P213" s="46">
        <f t="shared" ca="1" si="13"/>
        <v>2.3255813953528107E-5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input_433105!A$2</f>
        <v>433105</v>
      </c>
      <c r="B214" s="6">
        <v>586</v>
      </c>
      <c r="C214" s="7" t="str">
        <f t="shared" si="12"/>
        <v>PremiumSS4color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>color</v>
      </c>
      <c r="H214" s="7" t="str">
        <f>VLOOKUP(B214,[1]characters!$A:$C,3,FALSE)</f>
        <v>ユミル</v>
      </c>
      <c r="I214" s="7" t="str">
        <f>VLOOKUP(B214,[1]characters!$A:$J,10,FALSE)</f>
        <v>PremiumSS</v>
      </c>
      <c r="J214" s="7">
        <f>VLOOKUP(B214,[1]characters!$A:$I,9,FALSE)</f>
        <v>4</v>
      </c>
      <c r="K214" s="7" t="str">
        <f>VLOOKUP(B214,[1]characters!$A:$H,8,FALSE)</f>
        <v>red</v>
      </c>
      <c r="L214" s="7" t="str">
        <f>VLOOKUP(B214,[1]characters!$A:$K,11,FALSE)</f>
        <v>hp</v>
      </c>
      <c r="M214" s="7" t="str">
        <f>VLOOKUP(B214,[1]characters!$A:$M,13,FALSE)</f>
        <v>machine</v>
      </c>
      <c r="N214" s="7" t="str">
        <f>VLOOKUP(B214,[1]characters!$A:$G,7,FALSE)</f>
        <v>不明</v>
      </c>
      <c r="O214" s="45">
        <f ca="1">IFERROR(VLOOKUP(B214,input_433105!L:R,7,FALSE),VLOOKUP(tables_433105!C214,input_433105!A:H,8,FALSE))</f>
        <v>23809.71429</v>
      </c>
      <c r="P214" s="46">
        <f t="shared" ca="1" si="13"/>
        <v>2.0357142860841899E-3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input_433105!A$2</f>
        <v>433105</v>
      </c>
      <c r="B215" s="6">
        <v>587</v>
      </c>
      <c r="C215" s="7" t="str">
        <f t="shared" si="12"/>
        <v>PremiumSS5color</v>
      </c>
      <c r="D215" s="7" t="str">
        <f t="shared" si="14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原初の煉鋼巨刃 ユミル</v>
      </c>
      <c r="I215" s="7" t="str">
        <f>VLOOKUP(B215,[1]characters!$A:$J,10,FALSE)</f>
        <v>PremiumSS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IFERROR(VLOOKUP(B215,input_433105!L:R,7,FALSE),VLOOKUP(tables_433105!C215,input_433105!A:H,8,FALSE))</f>
        <v>1253.1428599999999</v>
      </c>
      <c r="P215" s="46">
        <f t="shared" ca="1" si="13"/>
        <v>1.0714285738732396E-4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input_433105!A$2</f>
        <v>433105</v>
      </c>
      <c r="B216" s="6">
        <v>588</v>
      </c>
      <c r="C216" s="7" t="str">
        <f t="shared" si="12"/>
        <v>Premium3</v>
      </c>
      <c r="D216" s="7" t="str">
        <f t="shared" si="14"/>
        <v>Premium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ニーベルゲン</v>
      </c>
      <c r="I216" s="7" t="str">
        <f>VLOOKUP(B216,[1]characters!$A:$J,10,FALSE)</f>
        <v>PremiumS</v>
      </c>
      <c r="J216" s="7">
        <f>VLOOKUP(B216,[1]characters!$A:$I,9,FALSE)</f>
        <v>3</v>
      </c>
      <c r="K216" s="7" t="str">
        <f>VLOOKUP(B216,[1]characters!$A:$H,8,FALSE)</f>
        <v>green</v>
      </c>
      <c r="L216" s="7" t="str">
        <f>VLOOKUP(B216,[1]characters!$A:$K,11,FALSE)</f>
        <v>balance</v>
      </c>
      <c r="M216" s="7" t="str">
        <f>VLOOKUP(B216,[1]characters!$A:$M,13,FALSE)</f>
        <v>unknown</v>
      </c>
      <c r="N216" s="7" t="str">
        <f>VLOOKUP(B216,[1]characters!$A:$G,7,FALSE)</f>
        <v>女性</v>
      </c>
      <c r="O216" s="45">
        <f ca="1">IFERROR(VLOOKUP(B216,input_433105!L:R,7,FALSE),VLOOKUP(tables_433105!C216,input_433105!A:H,8,FALSE))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input_433105!A$2</f>
        <v>433105</v>
      </c>
      <c r="B217" s="6">
        <v>589</v>
      </c>
      <c r="C217" s="7" t="str">
        <f t="shared" si="12"/>
        <v>Premium4</v>
      </c>
      <c r="D217" s="7" t="str">
        <f t="shared" si="14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不幸の円環 ニーベルゲン</v>
      </c>
      <c r="I217" s="7" t="str">
        <f>VLOOKUP(B217,[1]characters!$A:$J,10,FALSE)</f>
        <v>PremiumS</v>
      </c>
      <c r="J217" s="7">
        <f>VLOOKUP(B217,[1]characters!$A:$I,9,FALSE)</f>
        <v>4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IFERROR(VLOOKUP(B217,input_433105!L:R,7,FALSE),VLOOKUP(tables_433105!C217,input_433105!A:H,8,FALSE))</f>
        <v>58210.748769999998</v>
      </c>
      <c r="P217" s="46">
        <f t="shared" ca="1" si="13"/>
        <v>4.9769792040098718E-3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input_433105!A$2</f>
        <v>433105</v>
      </c>
      <c r="B218" s="6">
        <v>590</v>
      </c>
      <c r="C218" s="7" t="str">
        <f t="shared" si="12"/>
        <v>Premium5</v>
      </c>
      <c r="D218" s="7" t="str">
        <f t="shared" si="14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永遠を廻る呪い ニーベルゲン</v>
      </c>
      <c r="I218" s="7" t="str">
        <f>VLOOKUP(B218,[1]characters!$A:$J,10,FALSE)</f>
        <v>PremiumS</v>
      </c>
      <c r="J218" s="7">
        <f>VLOOKUP(B218,[1]characters!$A:$I,9,FALSE)</f>
        <v>5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IFERROR(VLOOKUP(B218,input_433105!L:R,7,FALSE),VLOOKUP(tables_433105!C218,input_433105!A:H,8,FALSE))</f>
        <v>475.65123</v>
      </c>
      <c r="P218" s="46">
        <f t="shared" ca="1" si="13"/>
        <v>4.0667854822230913E-5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input_433105!A$2</f>
        <v>433105</v>
      </c>
      <c r="B219" s="6">
        <v>591</v>
      </c>
      <c r="C219" s="7" t="str">
        <f t="shared" si="12"/>
        <v>Premium3</v>
      </c>
      <c r="D219" s="7" t="str">
        <f t="shared" si="14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ファフニール</v>
      </c>
      <c r="I219" s="7" t="str">
        <f>VLOOKUP(B219,[1]characters!$A:$J,10,FALSE)</f>
        <v>PremiumS</v>
      </c>
      <c r="J219" s="7">
        <f>VLOOKUP(B219,[1]characters!$A:$I,9,FALSE)</f>
        <v>3</v>
      </c>
      <c r="K219" s="7" t="str">
        <f>VLOOKUP(B219,[1]characters!$A:$H,8,FALSE)</f>
        <v>blue</v>
      </c>
      <c r="L219" s="7" t="str">
        <f>VLOOKUP(B219,[1]characters!$A:$K,11,FALSE)</f>
        <v>technical</v>
      </c>
      <c r="M219" s="7" t="str">
        <f>VLOOKUP(B219,[1]characters!$A:$M,13,FALSE)</f>
        <v>dragon</v>
      </c>
      <c r="N219" s="7" t="str">
        <f>VLOOKUP(B219,[1]characters!$A:$G,7,FALSE)</f>
        <v>不明</v>
      </c>
      <c r="O219" s="45">
        <f ca="1">IFERROR(VLOOKUP(B219,input_433105!L:R,7,FALSE),VLOOKUP(tables_433105!C219,input_433105!A:H,8,FALSE))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input_433105!A$2</f>
        <v>433105</v>
      </c>
      <c r="B220" s="6">
        <v>592</v>
      </c>
      <c r="C220" s="7" t="str">
        <f t="shared" si="12"/>
        <v>Premium4</v>
      </c>
      <c r="D220" s="7" t="str">
        <f t="shared" si="14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財宝への執着 ファフニール</v>
      </c>
      <c r="I220" s="7" t="str">
        <f>VLOOKUP(B220,[1]characters!$A:$J,10,FALSE)</f>
        <v>PremiumS</v>
      </c>
      <c r="J220" s="7">
        <f>VLOOKUP(B220,[1]characters!$A:$I,9,FALSE)</f>
        <v>4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IFERROR(VLOOKUP(B220,input_433105!L:R,7,FALSE),VLOOKUP(tables_433105!C220,input_433105!A:H,8,FALSE))</f>
        <v>58210.748769999998</v>
      </c>
      <c r="P220" s="46">
        <f t="shared" ca="1" si="13"/>
        <v>4.9769792040098718E-3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input_433105!A$2</f>
        <v>433105</v>
      </c>
      <c r="B221" s="6">
        <v>593</v>
      </c>
      <c r="C221" s="7" t="str">
        <f t="shared" si="12"/>
        <v>Premium5</v>
      </c>
      <c r="D221" s="7" t="str">
        <f t="shared" si="14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妄執する邪毒龍 ファフニール</v>
      </c>
      <c r="I221" s="7" t="str">
        <f>VLOOKUP(B221,[1]characters!$A:$J,10,FALSE)</f>
        <v>PremiumS</v>
      </c>
      <c r="J221" s="7">
        <f>VLOOKUP(B221,[1]characters!$A:$I,9,FALSE)</f>
        <v>5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IFERROR(VLOOKUP(B221,input_433105!L:R,7,FALSE),VLOOKUP(tables_433105!C221,input_433105!A:H,8,FALSE))</f>
        <v>475.65123</v>
      </c>
      <c r="P221" s="46">
        <f t="shared" ca="1" si="13"/>
        <v>4.0667854822230913E-5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input_433105!A$2</f>
        <v>433105</v>
      </c>
      <c r="B222" s="6">
        <v>594</v>
      </c>
      <c r="C222" s="7" t="str">
        <f t="shared" si="12"/>
        <v>PremiumSS4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アルフヘイム</v>
      </c>
      <c r="I222" s="7" t="str">
        <f>VLOOKUP(B222,[1]characters!$A:$J,10,FALSE)</f>
        <v>PremiumSS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attack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IFERROR(VLOOKUP(B222,input_433105!L:R,7,FALSE),VLOOKUP(tables_433105!C222,input_433105!A:H,8,FALSE))</f>
        <v>5168</v>
      </c>
      <c r="P222" s="46">
        <f t="shared" ca="1" si="13"/>
        <v>4.4186046511703405E-4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input_433105!A$2</f>
        <v>433105</v>
      </c>
      <c r="B223" s="6">
        <v>595</v>
      </c>
      <c r="C223" s="7" t="str">
        <f t="shared" si="12"/>
        <v>PremiumSS5</v>
      </c>
      <c r="D223" s="7" t="str">
        <f t="shared" si="14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光華なる神域 アルフヘイム</v>
      </c>
      <c r="I223" s="7" t="str">
        <f>VLOOKUP(B223,[1]characters!$A:$J,10,FALSE)</f>
        <v>PremiumSS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IFERROR(VLOOKUP(B223,input_433105!L:R,7,FALSE),VLOOKUP(tables_433105!C223,input_433105!A:H,8,FALSE))</f>
        <v>272</v>
      </c>
      <c r="P223" s="46">
        <f t="shared" ca="1" si="13"/>
        <v>2.3255813953528107E-5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input_433105!A$2</f>
        <v>433105</v>
      </c>
      <c r="B224" s="6">
        <v>596</v>
      </c>
      <c r="C224" s="7" t="str">
        <f t="shared" si="12"/>
        <v>Premium3color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ムスペルヘイム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balance</v>
      </c>
      <c r="M224" s="7" t="str">
        <f>VLOOKUP(B224,[1]characters!$A:$M,13,FALSE)</f>
        <v>human</v>
      </c>
      <c r="N224" s="7" t="str">
        <f>VLOOKUP(B224,[1]characters!$A:$G,7,FALSE)</f>
        <v>男性</v>
      </c>
      <c r="O224" s="45">
        <f ca="1">IFERROR(VLOOKUP(B224,input_433105!L:R,7,FALSE),VLOOKUP(tables_433105!C224,input_433105!A:H,8,FALSE))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input_433105!A$2</f>
        <v>433105</v>
      </c>
      <c r="B225" s="6">
        <v>597</v>
      </c>
      <c r="C225" s="7" t="str">
        <f t="shared" si="12"/>
        <v>Premium4color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灼熱の魂 ムスペルヘイム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IFERROR(VLOOKUP(B225,input_433105!L:R,7,FALSE),VLOOKUP(tables_433105!C225,input_433105!A:H,8,FALSE))</f>
        <v>285641.57689000003</v>
      </c>
      <c r="P225" s="46">
        <f t="shared" ca="1" si="13"/>
        <v>2.4422159446861158E-2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input_433105!A$2</f>
        <v>433105</v>
      </c>
      <c r="B226" s="6">
        <v>598</v>
      </c>
      <c r="C226" s="7" t="str">
        <f t="shared" si="12"/>
        <v>Premium5color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焼燃の情熱 ムスペルヘイム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IFERROR(VLOOKUP(B226,input_433105!L:R,7,FALSE),VLOOKUP(tables_433105!C226,input_433105!A:H,8,FALSE))</f>
        <v>554.45789000000002</v>
      </c>
      <c r="P226" s="46">
        <f t="shared" ca="1" si="13"/>
        <v>4.7405770348918211E-5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input_433105!A$2</f>
        <v>433105</v>
      </c>
      <c r="B227" s="6">
        <v>599</v>
      </c>
      <c r="C227" s="7" t="str">
        <f t="shared" si="12"/>
        <v>Premium3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ニーズヘッグ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IFERROR(VLOOKUP(B227,input_433105!L:R,7,FALSE),VLOOKUP(tables_433105!C227,input_433105!A:H,8,FALSE))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input_433105!A$2</f>
        <v>433105</v>
      </c>
      <c r="B228" s="6">
        <v>600</v>
      </c>
      <c r="C228" s="7" t="str">
        <f t="shared" si="12"/>
        <v>Premium4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界下に潜む蛇 ニーズヘッグ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IFERROR(VLOOKUP(B228,input_433105!L:R,7,FALSE),VLOOKUP(tables_433105!C228,input_433105!A:H,8,FALSE))</f>
        <v>58210.748769999998</v>
      </c>
      <c r="P228" s="46">
        <f t="shared" ca="1" si="13"/>
        <v>4.9769792040098718E-3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input_433105!A$2</f>
        <v>433105</v>
      </c>
      <c r="B229" s="6">
        <v>601</v>
      </c>
      <c r="C229" s="7" t="str">
        <f t="shared" si="12"/>
        <v>Premium5</v>
      </c>
      <c r="D229" s="7" t="str">
        <f t="shared" si="14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界根蝕む悪食 ニーズヘッグ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IFERROR(VLOOKUP(B229,input_433105!L:R,7,FALSE),VLOOKUP(tables_433105!C229,input_433105!A:H,8,FALSE))</f>
        <v>475.65123</v>
      </c>
      <c r="P229" s="46">
        <f t="shared" ca="1" si="13"/>
        <v>4.0667854822230913E-5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input_433105!A$2</f>
        <v>433105</v>
      </c>
      <c r="B230" s="6">
        <v>602</v>
      </c>
      <c r="C230" s="7" t="str">
        <f t="shared" si="12"/>
        <v>PremiumSS4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フレイヤ</v>
      </c>
      <c r="I230" s="7" t="str">
        <f>VLOOKUP(B230,[1]characters!$A:$J,10,FALSE)</f>
        <v>PremiumSS</v>
      </c>
      <c r="J230" s="7">
        <f>VLOOKUP(B230,[1]characters!$A:$I,9,FALSE)</f>
        <v>4</v>
      </c>
      <c r="K230" s="7" t="str">
        <f>VLOOKUP(B230,[1]characters!$A:$H,8,FALSE)</f>
        <v>blue</v>
      </c>
      <c r="L230" s="7" t="str">
        <f>VLOOKUP(B230,[1]characters!$A:$K,11,FALSE)</f>
        <v>heal</v>
      </c>
      <c r="M230" s="7" t="str">
        <f>VLOOKUP(B230,[1]characters!$A:$M,13,FALSE)</f>
        <v>animal</v>
      </c>
      <c r="N230" s="7" t="str">
        <f>VLOOKUP(B230,[1]characters!$A:$G,7,FALSE)</f>
        <v>女性</v>
      </c>
      <c r="O230" s="45">
        <f ca="1">IFERROR(VLOOKUP(B230,input_433105!L:R,7,FALSE),VLOOKUP(tables_433105!C230,input_433105!A:H,8,FALSE))</f>
        <v>5168</v>
      </c>
      <c r="P230" s="46">
        <f t="shared" ca="1" si="13"/>
        <v>4.4186046511703405E-4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input_433105!A$2</f>
        <v>433105</v>
      </c>
      <c r="B231" s="6">
        <v>603</v>
      </c>
      <c r="C231" s="7" t="str">
        <f t="shared" si="12"/>
        <v>PremiumSS5</v>
      </c>
      <c r="D231" s="7" t="str">
        <f t="shared" si="14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掌愛の豊穣女神 フレイヤ</v>
      </c>
      <c r="I231" s="7" t="str">
        <f>VLOOKUP(B231,[1]characters!$A:$J,10,FALSE)</f>
        <v>PremiumSS</v>
      </c>
      <c r="J231" s="7">
        <f>VLOOKUP(B231,[1]characters!$A:$I,9,FALSE)</f>
        <v>5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IFERROR(VLOOKUP(B231,input_433105!L:R,7,FALSE),VLOOKUP(tables_433105!C231,input_433105!A:H,8,FALSE))</f>
        <v>272</v>
      </c>
      <c r="P231" s="46">
        <f t="shared" ca="1" si="13"/>
        <v>2.3255813953528107E-5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input_433105!A$2</f>
        <v>433105</v>
      </c>
      <c r="B232" s="6">
        <v>604</v>
      </c>
      <c r="C232" s="7" t="str">
        <f t="shared" si="12"/>
        <v>Premium3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バルドル</v>
      </c>
      <c r="I232" s="7" t="str">
        <f>VLOOKUP(B232,[1]characters!$A:$J,10,FALSE)</f>
        <v>PremiumS</v>
      </c>
      <c r="J232" s="7">
        <f>VLOOKUP(B232,[1]characters!$A:$I,9,FALSE)</f>
        <v>3</v>
      </c>
      <c r="K232" s="7" t="str">
        <f>VLOOKUP(B232,[1]characters!$A:$H,8,FALSE)</f>
        <v>yellow</v>
      </c>
      <c r="L232" s="7" t="str">
        <f>VLOOKUP(B232,[1]characters!$A:$K,11,FALSE)</f>
        <v>heal</v>
      </c>
      <c r="M232" s="7" t="str">
        <f>VLOOKUP(B232,[1]characters!$A:$M,13,FALSE)</f>
        <v>god</v>
      </c>
      <c r="N232" s="7" t="str">
        <f>VLOOKUP(B232,[1]characters!$A:$G,7,FALSE)</f>
        <v>男性</v>
      </c>
      <c r="O232" s="45">
        <f ca="1">IFERROR(VLOOKUP(B232,input_433105!L:R,7,FALSE),VLOOKUP(tables_433105!C232,input_433105!A:H,8,FALSE))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input_433105!A$2</f>
        <v>433105</v>
      </c>
      <c r="B233" s="6">
        <v>605</v>
      </c>
      <c r="C233" s="7" t="str">
        <f t="shared" si="12"/>
        <v>Premium4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祝福される光耀 バルドル</v>
      </c>
      <c r="I233" s="7" t="str">
        <f>VLOOKUP(B233,[1]characters!$A:$J,10,FALSE)</f>
        <v>PremiumS</v>
      </c>
      <c r="J233" s="7">
        <f>VLOOKUP(B233,[1]characters!$A:$I,9,FALSE)</f>
        <v>4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IFERROR(VLOOKUP(B233,input_433105!L:R,7,FALSE),VLOOKUP(tables_433105!C233,input_433105!A:H,8,FALSE))</f>
        <v>58210.748769999998</v>
      </c>
      <c r="P233" s="46">
        <f t="shared" ca="1" si="13"/>
        <v>4.9769792040098718E-3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input_433105!A$2</f>
        <v>433105</v>
      </c>
      <c r="B234" s="6">
        <v>606</v>
      </c>
      <c r="C234" s="7" t="str">
        <f t="shared" si="12"/>
        <v>Premium5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冀望の光芒 バルドル</v>
      </c>
      <c r="I234" s="7" t="str">
        <f>VLOOKUP(B234,[1]characters!$A:$J,10,FALSE)</f>
        <v>PremiumS</v>
      </c>
      <c r="J234" s="7">
        <f>VLOOKUP(B234,[1]characters!$A:$I,9,FALSE)</f>
        <v>5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IFERROR(VLOOKUP(B234,input_433105!L:R,7,FALSE),VLOOKUP(tables_433105!C234,input_433105!A:H,8,FALSE))</f>
        <v>475.65123</v>
      </c>
      <c r="P234" s="46">
        <f t="shared" ca="1" si="13"/>
        <v>4.0667854822230913E-5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input_433105!A$2</f>
        <v>433105</v>
      </c>
      <c r="B235" s="6">
        <v>658</v>
      </c>
      <c r="C235" s="7" t="str">
        <f t="shared" si="12"/>
        <v>PremiumSS4color</v>
      </c>
      <c r="D235" s="7" t="str">
        <f t="shared" si="14"/>
        <v>PremiumSS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猫又 クルミ</v>
      </c>
      <c r="I235" s="7" t="str">
        <f>VLOOKUP(B235,[1]characters!$A:$J,10,FALSE)</f>
        <v>PremiumSS</v>
      </c>
      <c r="J235" s="7">
        <f>VLOOKUP(B235,[1]characters!$A:$I,9,FALSE)</f>
        <v>4</v>
      </c>
      <c r="K235" s="7" t="str">
        <f>VLOOKUP(B235,[1]characters!$A:$H,8,FALSE)</f>
        <v>red</v>
      </c>
      <c r="L235" s="7" t="str">
        <f>VLOOKUP(B235,[1]characters!$A:$K,11,FALSE)</f>
        <v>attack</v>
      </c>
      <c r="M235" s="7" t="str">
        <f>VLOOKUP(B235,[1]characters!$A:$M,13,FALSE)</f>
        <v>animal</v>
      </c>
      <c r="N235" s="7" t="str">
        <f>VLOOKUP(B235,[1]characters!$A:$G,7,FALSE)</f>
        <v>女性</v>
      </c>
      <c r="O235" s="45">
        <f ca="1">IFERROR(VLOOKUP(B235,input_433105!L:R,7,FALSE),VLOOKUP(tables_433105!C235,input_433105!A:H,8,FALSE))</f>
        <v>23809.71429</v>
      </c>
      <c r="P235" s="46">
        <f t="shared" ca="1" si="13"/>
        <v>2.0357142860841899E-3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input_433105!A$2</f>
        <v>433105</v>
      </c>
      <c r="B236" s="6">
        <v>659</v>
      </c>
      <c r="C236" s="7" t="str">
        <f t="shared" si="12"/>
        <v>PremiumSS5color</v>
      </c>
      <c r="D236" s="7" t="str">
        <f t="shared" si="14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跳梁する化猫 クルミ</v>
      </c>
      <c r="I236" s="7" t="str">
        <f>VLOOKUP(B236,[1]characters!$A:$J,10,FALSE)</f>
        <v>PremiumSS</v>
      </c>
      <c r="J236" s="7">
        <f>VLOOKUP(B236,[1]characters!$A:$I,9,FALSE)</f>
        <v>5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IFERROR(VLOOKUP(B236,input_433105!L:R,7,FALSE),VLOOKUP(tables_433105!C236,input_433105!A:H,8,FALSE))</f>
        <v>1253.1428599999999</v>
      </c>
      <c r="P236" s="46">
        <f t="shared" ca="1" si="13"/>
        <v>1.0714285738732396E-4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input_433105!A$2</f>
        <v>433105</v>
      </c>
      <c r="B237" s="6">
        <v>660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烏天狗 フウガ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green</v>
      </c>
      <c r="L237" s="7" t="str">
        <f>VLOOKUP(B237,[1]characters!$A:$K,11,FALSE)</f>
        <v>balance</v>
      </c>
      <c r="M237" s="7" t="str">
        <f>VLOOKUP(B237,[1]characters!$A:$M,13,FALSE)</f>
        <v>animal</v>
      </c>
      <c r="N237" s="7" t="str">
        <f>VLOOKUP(B237,[1]characters!$A:$G,7,FALSE)</f>
        <v>男性</v>
      </c>
      <c r="O237" s="45">
        <f ca="1">IFERROR(VLOOKUP(B237,input_433105!L:R,7,FALSE),VLOOKUP(tables_433105!C237,input_433105!A:H,8,FALSE))</f>
        <v>5168</v>
      </c>
      <c r="P237" s="46">
        <f t="shared" ca="1" si="13"/>
        <v>4.4186046511703405E-4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input_433105!A$2</f>
        <v>433105</v>
      </c>
      <c r="B238" s="6">
        <v>661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疾風の天狗礫 フウガ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IFERROR(VLOOKUP(B238,input_433105!L:R,7,FALSE),VLOOKUP(tables_433105!C238,input_433105!A:H,8,FALSE))</f>
        <v>272</v>
      </c>
      <c r="P238" s="46">
        <f t="shared" ca="1" si="13"/>
        <v>2.3255813953528107E-5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input_433105!A$2</f>
        <v>433105</v>
      </c>
      <c r="B239" s="6">
        <v>662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ダイダラ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blue</v>
      </c>
      <c r="L239" s="7" t="str">
        <f>VLOOKUP(B239,[1]characters!$A:$K,11,FALSE)</f>
        <v>hp</v>
      </c>
      <c r="M239" s="7" t="str">
        <f>VLOOKUP(B239,[1]characters!$A:$M,13,FALSE)</f>
        <v>unknown</v>
      </c>
      <c r="N239" s="7" t="str">
        <f>VLOOKUP(B239,[1]characters!$A:$G,7,FALSE)</f>
        <v>不明</v>
      </c>
      <c r="O239" s="45">
        <f ca="1">IFERROR(VLOOKUP(B239,input_433105!L:R,7,FALSE),VLOOKUP(tables_433105!C239,input_433105!A:H,8,FALSE))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input_433105!A$2</f>
        <v>433105</v>
      </c>
      <c r="B240" s="6">
        <v>663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都揺らす地響き ダイダラ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IFERROR(VLOOKUP(B240,input_433105!L:R,7,FALSE),VLOOKUP(tables_433105!C240,input_433105!A:H,8,FALSE))</f>
        <v>58210.748769999998</v>
      </c>
      <c r="P240" s="46">
        <f t="shared" ca="1" si="13"/>
        <v>4.9769792040098718E-3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input_433105!A$2</f>
        <v>433105</v>
      </c>
      <c r="B241" s="6">
        <v>664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山掴み国造り ダイダラ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IFERROR(VLOOKUP(B241,input_433105!L:R,7,FALSE),VLOOKUP(tables_433105!C241,input_433105!A:H,8,FALSE))</f>
        <v>475.65123</v>
      </c>
      <c r="P241" s="46">
        <f t="shared" ca="1" si="13"/>
        <v>4.0667854822230913E-5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input_433105!A$2</f>
        <v>433105</v>
      </c>
      <c r="B242" s="6">
        <v>665</v>
      </c>
      <c r="C242" s="7" t="str">
        <f t="shared" si="12"/>
        <v>Premium3</v>
      </c>
      <c r="D242" s="7" t="str">
        <f t="shared" si="14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座敷童子 テマリ</v>
      </c>
      <c r="I242" s="7" t="str">
        <f>VLOOKUP(B242,[1]characters!$A:$J,10,FALSE)</f>
        <v>PremiumS</v>
      </c>
      <c r="J242" s="7">
        <f>VLOOKUP(B242,[1]characters!$A:$I,9,FALSE)</f>
        <v>3</v>
      </c>
      <c r="K242" s="7" t="str">
        <f>VLOOKUP(B242,[1]characters!$A:$H,8,FALSE)</f>
        <v>yellow</v>
      </c>
      <c r="L242" s="7" t="str">
        <f>VLOOKUP(B242,[1]characters!$A:$K,11,FALSE)</f>
        <v>balance</v>
      </c>
      <c r="M242" s="7" t="str">
        <f>VLOOKUP(B242,[1]characters!$A:$M,13,FALSE)</f>
        <v>unknown</v>
      </c>
      <c r="N242" s="7" t="str">
        <f>VLOOKUP(B242,[1]characters!$A:$G,7,FALSE)</f>
        <v>女性</v>
      </c>
      <c r="O242" s="45">
        <f ca="1">IFERROR(VLOOKUP(B242,input_433105!L:R,7,FALSE),VLOOKUP(tables_433105!C242,input_433105!A:H,8,FALSE))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input_433105!A$2</f>
        <v>433105</v>
      </c>
      <c r="B243" s="6">
        <v>666</v>
      </c>
      <c r="C243" s="7" t="str">
        <f t="shared" si="12"/>
        <v>Premium4</v>
      </c>
      <c r="D243" s="7" t="str">
        <f t="shared" si="14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拡散する幸福 テマリ</v>
      </c>
      <c r="I243" s="7" t="str">
        <f>VLOOKUP(B243,[1]characters!$A:$J,10,FALSE)</f>
        <v>PremiumS</v>
      </c>
      <c r="J243" s="7">
        <f>VLOOKUP(B243,[1]characters!$A:$I,9,FALSE)</f>
        <v>4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IFERROR(VLOOKUP(B243,input_433105!L:R,7,FALSE),VLOOKUP(tables_433105!C243,input_433105!A:H,8,FALSE))</f>
        <v>58210.748769999998</v>
      </c>
      <c r="P243" s="46">
        <f t="shared" ca="1" si="13"/>
        <v>4.9769792040098718E-3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input_433105!A$2</f>
        <v>433105</v>
      </c>
      <c r="B244" s="6">
        <v>667</v>
      </c>
      <c r="C244" s="7" t="str">
        <f t="shared" si="12"/>
        <v>Premium5</v>
      </c>
      <c r="D244" s="7" t="str">
        <f t="shared" si="14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最幸運の妖童 テマリ</v>
      </c>
      <c r="I244" s="7" t="str">
        <f>VLOOKUP(B244,[1]characters!$A:$J,10,FALSE)</f>
        <v>PremiumS</v>
      </c>
      <c r="J244" s="7">
        <f>VLOOKUP(B244,[1]characters!$A:$I,9,FALSE)</f>
        <v>5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IFERROR(VLOOKUP(B244,input_433105!L:R,7,FALSE),VLOOKUP(tables_433105!C244,input_433105!A:H,8,FALSE))</f>
        <v>475.65123</v>
      </c>
      <c r="P244" s="46">
        <f t="shared" ca="1" si="13"/>
        <v>4.0667854822230913E-5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input_433105!A$2</f>
        <v>433105</v>
      </c>
      <c r="B245" s="60">
        <v>668</v>
      </c>
      <c r="C245" s="7" t="str">
        <f t="shared" si="12"/>
        <v>Premium3color</v>
      </c>
      <c r="D245" s="7" t="str">
        <f t="shared" si="14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アグニ</v>
      </c>
      <c r="I245" s="7" t="str">
        <f>VLOOKUP(B245,[1]characters!$A:$J,10,FALSE)</f>
        <v>PremiumS</v>
      </c>
      <c r="J245" s="7">
        <f>VLOOKUP(B245,[1]characters!$A:$I,9,FALSE)</f>
        <v>3</v>
      </c>
      <c r="K245" s="7" t="str">
        <f>VLOOKUP(B245,[1]characters!$A:$H,8,FALSE)</f>
        <v>red</v>
      </c>
      <c r="L245" s="7" t="str">
        <f>VLOOKUP(B245,[1]characters!$A:$K,11,FALSE)</f>
        <v>hp</v>
      </c>
      <c r="M245" s="7" t="str">
        <f>VLOOKUP(B245,[1]characters!$A:$M,13,FALSE)</f>
        <v>god</v>
      </c>
      <c r="N245" s="7" t="str">
        <f>VLOOKUP(B245,[1]characters!$A:$G,7,FALSE)</f>
        <v>男性</v>
      </c>
      <c r="O245" s="45">
        <f ca="1">IFERROR(VLOOKUP(B245,input_433105!L:R,7,FALSE),VLOOKUP(tables_433105!C245,input_433105!A:H,8,FALSE))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input_433105!A$2</f>
        <v>433105</v>
      </c>
      <c r="B246" s="60">
        <v>669</v>
      </c>
      <c r="C246" s="7" t="str">
        <f t="shared" si="12"/>
        <v>Premium4color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天地の仲界 アグニ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IFERROR(VLOOKUP(B246,input_433105!L:R,7,FALSE),VLOOKUP(tables_433105!C246,input_433105!A:H,8,FALSE))</f>
        <v>285641.57689000003</v>
      </c>
      <c r="P246" s="46">
        <f t="shared" ca="1" si="13"/>
        <v>2.4422159446861158E-2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input_433105!A$2</f>
        <v>433105</v>
      </c>
      <c r="B247" s="60">
        <v>670</v>
      </c>
      <c r="C247" s="7" t="str">
        <f t="shared" si="12"/>
        <v>Premium5color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陽天の噴煙 アグニ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IFERROR(VLOOKUP(B247,input_433105!L:R,7,FALSE),VLOOKUP(tables_433105!C247,input_433105!A:H,8,FALSE))</f>
        <v>554.45789000000002</v>
      </c>
      <c r="P247" s="46">
        <f t="shared" ca="1" si="13"/>
        <v>4.7405770348918211E-5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input_433105!A$2</f>
        <v>433105</v>
      </c>
      <c r="B248" s="60">
        <v>671</v>
      </c>
      <c r="C248" s="7" t="str">
        <f t="shared" si="12"/>
        <v>Premium3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ハヌマーン</v>
      </c>
      <c r="I248" s="7" t="str">
        <f>VLOOKUP(B248,[1]characters!$A:$J,10,FALSE)</f>
        <v>PremiumS</v>
      </c>
      <c r="J248" s="7">
        <f>VLOOKUP(B248,[1]characters!$A:$I,9,FALSE)</f>
        <v>3</v>
      </c>
      <c r="K248" s="7" t="str">
        <f>VLOOKUP(B248,[1]characters!$A:$H,8,FALSE)</f>
        <v>green</v>
      </c>
      <c r="L248" s="7" t="str">
        <f>VLOOKUP(B248,[1]characters!$A:$K,11,FALSE)</f>
        <v>attack</v>
      </c>
      <c r="M248" s="7" t="str">
        <f>VLOOKUP(B248,[1]characters!$A:$M,13,FALSE)</f>
        <v>animal</v>
      </c>
      <c r="N248" s="7" t="str">
        <f>VLOOKUP(B248,[1]characters!$A:$G,7,FALSE)</f>
        <v>男性</v>
      </c>
      <c r="O248" s="45">
        <f ca="1">IFERROR(VLOOKUP(B248,input_433105!L:R,7,FALSE),VLOOKUP(tables_433105!C248,input_433105!A:H,8,FALSE))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input_433105!A$2</f>
        <v>433105</v>
      </c>
      <c r="B249" s="60">
        <v>672</v>
      </c>
      <c r="C249" s="7" t="str">
        <f t="shared" si="12"/>
        <v>Premium4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西遊韋駄天 ハヌマーン</v>
      </c>
      <c r="I249" s="7" t="str">
        <f>VLOOKUP(B249,[1]characters!$A:$J,10,FALSE)</f>
        <v>PremiumS</v>
      </c>
      <c r="J249" s="7">
        <f>VLOOKUP(B249,[1]characters!$A:$I,9,FALSE)</f>
        <v>4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IFERROR(VLOOKUP(B249,input_433105!L:R,7,FALSE),VLOOKUP(tables_433105!C249,input_433105!A:H,8,FALSE))</f>
        <v>58210.748769999998</v>
      </c>
      <c r="P249" s="46">
        <f t="shared" ca="1" si="13"/>
        <v>4.9769792040098718E-3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input_433105!A$2</f>
        <v>433105</v>
      </c>
      <c r="B250" s="60">
        <v>673</v>
      </c>
      <c r="C250" s="7" t="str">
        <f t="shared" si="12"/>
        <v>Premium5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変幻自在の猿王 ハヌマーン</v>
      </c>
      <c r="I250" s="7" t="str">
        <f>VLOOKUP(B250,[1]characters!$A:$J,10,FALSE)</f>
        <v>PremiumS</v>
      </c>
      <c r="J250" s="7">
        <f>VLOOKUP(B250,[1]characters!$A:$I,9,FALSE)</f>
        <v>5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IFERROR(VLOOKUP(B250,input_433105!L:R,7,FALSE),VLOOKUP(tables_433105!C250,input_433105!A:H,8,FALSE))</f>
        <v>475.65123</v>
      </c>
      <c r="P250" s="46">
        <f t="shared" ca="1" si="13"/>
        <v>4.0667854822230913E-5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input_433105!A$2</f>
        <v>433105</v>
      </c>
      <c r="B251" s="60">
        <v>674</v>
      </c>
      <c r="C251" s="7" t="str">
        <f t="shared" si="12"/>
        <v>PremiumSS4</v>
      </c>
      <c r="D251" s="7" t="str">
        <f t="shared" si="14"/>
        <v>PremiumSS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サラスヴァティ</v>
      </c>
      <c r="I251" s="7" t="str">
        <f>VLOOKUP(B251,[1]characters!$A:$J,10,FALSE)</f>
        <v>PremiumSS</v>
      </c>
      <c r="J251" s="7">
        <f>VLOOKUP(B251,[1]characters!$A:$I,9,FALSE)</f>
        <v>4</v>
      </c>
      <c r="K251" s="7" t="str">
        <f>VLOOKUP(B251,[1]characters!$A:$H,8,FALSE)</f>
        <v>blue</v>
      </c>
      <c r="L251" s="7" t="str">
        <f>VLOOKUP(B251,[1]characters!$A:$K,11,FALSE)</f>
        <v>balance</v>
      </c>
      <c r="M251" s="7" t="str">
        <f>VLOOKUP(B251,[1]characters!$A:$M,13,FALSE)</f>
        <v>god</v>
      </c>
      <c r="N251" s="7" t="str">
        <f>VLOOKUP(B251,[1]characters!$A:$G,7,FALSE)</f>
        <v>女性</v>
      </c>
      <c r="O251" s="45">
        <f ca="1">IFERROR(VLOOKUP(B251,input_433105!L:R,7,FALSE),VLOOKUP(tables_433105!C251,input_433105!A:H,8,FALSE))</f>
        <v>5168</v>
      </c>
      <c r="P251" s="46">
        <f t="shared" ca="1" si="13"/>
        <v>4.4186046511703405E-4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input_433105!A$2</f>
        <v>433105</v>
      </c>
      <c r="B252" s="60">
        <v>675</v>
      </c>
      <c r="C252" s="7" t="str">
        <f t="shared" si="12"/>
        <v>PremiumSS5</v>
      </c>
      <c r="D252" s="7" t="str">
        <f t="shared" si="14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芸楽の奔流 サラスヴァティ</v>
      </c>
      <c r="I252" s="7" t="str">
        <f>VLOOKUP(B252,[1]characters!$A:$J,10,FALSE)</f>
        <v>PremiumSS</v>
      </c>
      <c r="J252" s="7">
        <f>VLOOKUP(B252,[1]characters!$A:$I,9,FALSE)</f>
        <v>5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IFERROR(VLOOKUP(B252,input_433105!L:R,7,FALSE),VLOOKUP(tables_433105!C252,input_433105!A:H,8,FALSE))</f>
        <v>272</v>
      </c>
      <c r="P252" s="46">
        <f t="shared" ca="1" si="13"/>
        <v>2.3255813953528107E-5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input_433105!A$2</f>
        <v>433105</v>
      </c>
      <c r="B253" s="60">
        <v>676</v>
      </c>
      <c r="C253" s="7" t="str">
        <f t="shared" si="12"/>
        <v>PremiumSS4</v>
      </c>
      <c r="D253" s="7" t="str">
        <f t="shared" si="14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ヴィシュヌ</v>
      </c>
      <c r="I253" s="7" t="str">
        <f>VLOOKUP(B253,[1]characters!$A:$J,10,FALSE)</f>
        <v>PremiumSS</v>
      </c>
      <c r="J253" s="7">
        <f>VLOOKUP(B253,[1]characters!$A:$I,9,FALSE)</f>
        <v>4</v>
      </c>
      <c r="K253" s="7" t="str">
        <f>VLOOKUP(B253,[1]characters!$A:$H,8,FALSE)</f>
        <v>yellow</v>
      </c>
      <c r="L253" s="7" t="str">
        <f>VLOOKUP(B253,[1]characters!$A:$K,11,FALSE)</f>
        <v>attack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IFERROR(VLOOKUP(B253,input_433105!L:R,7,FALSE),VLOOKUP(tables_433105!C253,input_433105!A:H,8,FALSE))</f>
        <v>5168</v>
      </c>
      <c r="P253" s="46">
        <f t="shared" ca="1" si="13"/>
        <v>4.4186046511703405E-4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input_433105!A$2</f>
        <v>433105</v>
      </c>
      <c r="B254" s="60">
        <v>677</v>
      </c>
      <c r="C254" s="7" t="str">
        <f t="shared" si="12"/>
        <v>PremiumSS5</v>
      </c>
      <c r="D254" s="7" t="str">
        <f t="shared" si="14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武遊闊歩 ヴィシュヌ</v>
      </c>
      <c r="I254" s="7" t="str">
        <f>VLOOKUP(B254,[1]characters!$A:$J,10,FALSE)</f>
        <v>PremiumSS</v>
      </c>
      <c r="J254" s="7">
        <f>VLOOKUP(B254,[1]characters!$A:$I,9,FALSE)</f>
        <v>5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IFERROR(VLOOKUP(B254,input_433105!L:R,7,FALSE),VLOOKUP(tables_433105!C254,input_433105!A:H,8,FALSE))</f>
        <v>272</v>
      </c>
      <c r="P254" s="46">
        <f t="shared" ca="1" si="13"/>
        <v>2.3255813953528107E-5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input_433105!A$2</f>
        <v>433105</v>
      </c>
      <c r="B255" s="60">
        <v>728</v>
      </c>
      <c r="C255" s="7" t="str">
        <f t="shared" si="12"/>
        <v>Premium4R3lesscolor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>R3less</v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井伊直虎</v>
      </c>
      <c r="I255" s="7" t="str">
        <f>VLOOKUP(B255,[1]characters!$A:$J,10,FALSE)</f>
        <v>PremiumS</v>
      </c>
      <c r="J255" s="7">
        <f>VLOOKUP(B255,[1]characters!$A:$I,9,FALSE)</f>
        <v>4</v>
      </c>
      <c r="K255" s="7" t="str">
        <f>VLOOKUP(B255,[1]characters!$A:$H,8,FALSE)</f>
        <v>red</v>
      </c>
      <c r="L255" s="7" t="str">
        <f>VLOOKUP(B255,[1]characters!$A:$K,11,FALSE)</f>
        <v>balance</v>
      </c>
      <c r="M255" s="7" t="str">
        <f>VLOOKUP(B255,[1]characters!$A:$M,13,FALSE)</f>
        <v>human</v>
      </c>
      <c r="N255" s="7" t="str">
        <f>VLOOKUP(B255,[1]characters!$A:$G,7,FALSE)</f>
        <v>女性</v>
      </c>
      <c r="O255" s="45">
        <f ca="1">IFERROR(VLOOKUP(B255,input_433105!L:R,7,FALSE),VLOOKUP(tables_433105!C255,input_433105!A:H,8,FALSE))</f>
        <v>213874.07303999999</v>
      </c>
      <c r="P255" s="46">
        <f t="shared" ca="1" si="13"/>
        <v>1.8286086956255592E-2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input_433105!A$2</f>
        <v>433105</v>
      </c>
      <c r="B256" s="60">
        <v>729</v>
      </c>
      <c r="C256" s="7" t="str">
        <f t="shared" si="12"/>
        <v>Premium5R3lesscolor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暗厄の双刀 井伊直虎</v>
      </c>
      <c r="I256" s="7" t="str">
        <f>VLOOKUP(B256,[1]characters!$A:$J,10,FALSE)</f>
        <v>PremiumS</v>
      </c>
      <c r="J256" s="7">
        <f>VLOOKUP(B256,[1]characters!$A:$I,9,FALSE)</f>
        <v>5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IFERROR(VLOOKUP(B256,input_433105!L:R,7,FALSE),VLOOKUP(tables_433105!C256,input_433105!A:H,8,FALSE))</f>
        <v>14309.801740000001</v>
      </c>
      <c r="P256" s="46">
        <f t="shared" ca="1" si="13"/>
        <v>1.2234782609460029E-3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input_433105!A$2</f>
        <v>433105</v>
      </c>
      <c r="B257" s="60">
        <v>730</v>
      </c>
      <c r="C257" s="7" t="str">
        <f t="shared" si="12"/>
        <v>Premium4R3less</v>
      </c>
      <c r="D257" s="7" t="str">
        <f t="shared" si="14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ガラシャ</v>
      </c>
      <c r="I257" s="7" t="str">
        <f>VLOOKUP(B257,[1]characters!$A:$J,10,FALSE)</f>
        <v>PremiumS</v>
      </c>
      <c r="J257" s="7">
        <f>VLOOKUP(B257,[1]characters!$A:$I,9,FALSE)</f>
        <v>4</v>
      </c>
      <c r="K257" s="7" t="str">
        <f>VLOOKUP(B257,[1]characters!$A:$H,8,FALSE)</f>
        <v>green</v>
      </c>
      <c r="L257" s="7" t="str">
        <f>VLOOKUP(B257,[1]characters!$A:$K,11,FALSE)</f>
        <v>heal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IFERROR(VLOOKUP(B257,input_433105!L:R,7,FALSE),VLOOKUP(tables_433105!C257,input_433105!A:H,8,FALSE))</f>
        <v>90313.76</v>
      </c>
      <c r="P257" s="46">
        <f t="shared" ca="1" si="13"/>
        <v>7.7217647058955459E-3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input_433105!A$2</f>
        <v>433105</v>
      </c>
      <c r="B258" s="60">
        <v>731</v>
      </c>
      <c r="C258" s="7" t="str">
        <f t="shared" ref="C258:C300" si="16">D258&amp;J258&amp;E258&amp;F258&amp;G258</f>
        <v>Premium5R3less</v>
      </c>
      <c r="D258" s="7" t="str">
        <f t="shared" si="14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敬虔なる追銃 ガラシャ</v>
      </c>
      <c r="I258" s="7" t="str">
        <f>VLOOKUP(B258,[1]characters!$A:$J,10,FALSE)</f>
        <v>PremiumS</v>
      </c>
      <c r="J258" s="7">
        <f>VLOOKUP(B258,[1]characters!$A:$I,9,FALSE)</f>
        <v>5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IFERROR(VLOOKUP(B258,input_433105!L:R,7,FALSE),VLOOKUP(tables_433105!C258,input_433105!A:H,8,FALSE))</f>
        <v>3226.72</v>
      </c>
      <c r="P258" s="46">
        <f t="shared" ref="P258:P305" ca="1" si="17">O258/SUM(O:O)</f>
        <v>2.7588235294164783E-4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input_433105!A$2</f>
        <v>433105</v>
      </c>
      <c r="B259" s="60">
        <v>732</v>
      </c>
      <c r="C259" s="7" t="str">
        <f t="shared" si="16"/>
        <v>PremiumSS5R5only</v>
      </c>
      <c r="D259" s="7" t="str">
        <f t="shared" ref="D259:D305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>R5only</v>
      </c>
      <c r="F259" s="7" t="str">
        <f>IF(COUNTIF('R6開放'!A:A,B259)&gt;0,"R6release","")</f>
        <v/>
      </c>
      <c r="G259" s="7" t="str">
        <f t="shared" ref="G259:G322" si="19">IF(K259="red","color","")</f>
        <v/>
      </c>
      <c r="H259" s="7" t="str">
        <f>VLOOKUP(B259,[1]characters!$A:$C,3,FALSE)</f>
        <v>上杉謙信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attack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IFERROR(VLOOKUP(B259,input_433105!L:R,7,FALSE),VLOOKUP(tables_433105!C259,input_433105!A:H,8,FALSE))</f>
        <v>5440</v>
      </c>
      <c r="P259" s="46">
        <f t="shared" ca="1" si="17"/>
        <v>4.6511627907056213E-4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input_433105!A$2</f>
        <v>433105</v>
      </c>
      <c r="B260" s="60">
        <v>734</v>
      </c>
      <c r="C260" s="7" t="str">
        <f t="shared" si="16"/>
        <v>PremiumSS5R5only</v>
      </c>
      <c r="D260" s="7" t="str">
        <f t="shared" si="18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伊達政宗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yellow</v>
      </c>
      <c r="L260" s="7" t="str">
        <f>VLOOKUP(B260,[1]characters!$A:$K,11,FALSE)</f>
        <v>balance</v>
      </c>
      <c r="M260" s="7" t="str">
        <f>VLOOKUP(B260,[1]characters!$A:$M,13,FALSE)</f>
        <v>human</v>
      </c>
      <c r="N260" s="7" t="str">
        <f>VLOOKUP(B260,[1]characters!$A:$G,7,FALSE)</f>
        <v>男性</v>
      </c>
      <c r="O260" s="45">
        <f ca="1">IFERROR(VLOOKUP(B260,input_433105!L:R,7,FALSE),VLOOKUP(tables_433105!C260,input_433105!A:H,8,FALSE))</f>
        <v>5440</v>
      </c>
      <c r="P260" s="46">
        <f t="shared" ca="1" si="17"/>
        <v>4.6511627907056213E-4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input_433105!A$2</f>
        <v>433105</v>
      </c>
      <c r="B261" s="60">
        <v>770</v>
      </c>
      <c r="C261" s="7" t="str">
        <f t="shared" si="16"/>
        <v>PremiumSS4color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ハヅル</v>
      </c>
      <c r="I261" s="7" t="str">
        <f>VLOOKUP(B261,[1]characters!$A:$J,10,FALSE)</f>
        <v>PremiumSS</v>
      </c>
      <c r="J261" s="7">
        <f>VLOOKUP(B261,[1]characters!$A:$I,9,FALSE)</f>
        <v>4</v>
      </c>
      <c r="K261" s="7" t="str">
        <f>VLOOKUP(B261,[1]characters!$A:$H,8,FALSE)</f>
        <v>red</v>
      </c>
      <c r="L261" s="7" t="str">
        <f>VLOOKUP(B261,[1]characters!$A:$K,11,FALSE)</f>
        <v>balance</v>
      </c>
      <c r="M261" s="7" t="str">
        <f>VLOOKUP(B261,[1]characters!$A:$M,13,FALSE)</f>
        <v>animal</v>
      </c>
      <c r="N261" s="7" t="str">
        <f>VLOOKUP(B261,[1]characters!$A:$G,7,FALSE)</f>
        <v>女性</v>
      </c>
      <c r="O261" s="45">
        <f ca="1">IFERROR(VLOOKUP(B261,input_433105!L:R,7,FALSE),VLOOKUP(tables_433105!C261,input_433105!A:H,8,FALSE))</f>
        <v>23809.71429</v>
      </c>
      <c r="P261" s="46">
        <f t="shared" ca="1" si="17"/>
        <v>2.0357142860841899E-3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input_433105!A$2</f>
        <v>433105</v>
      </c>
      <c r="B262" s="60">
        <v>771</v>
      </c>
      <c r="C262" s="7" t="str">
        <f t="shared" si="16"/>
        <v>PremiumSS5color</v>
      </c>
      <c r="D262" s="7" t="str">
        <f t="shared" si="18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天織羽鶴 ハヅル</v>
      </c>
      <c r="I262" s="7" t="str">
        <f>VLOOKUP(B262,[1]characters!$A:$J,10,FALSE)</f>
        <v>PremiumSS</v>
      </c>
      <c r="J262" s="7">
        <f>VLOOKUP(B262,[1]characters!$A:$I,9,FALSE)</f>
        <v>5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IFERROR(VLOOKUP(B262,input_433105!L:R,7,FALSE),VLOOKUP(tables_433105!C262,input_433105!A:H,8,FALSE))</f>
        <v>1253.1428599999999</v>
      </c>
      <c r="P262" s="46">
        <f t="shared" ca="1" si="17"/>
        <v>1.0714285738732396E-4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input_433105!A$2</f>
        <v>433105</v>
      </c>
      <c r="B263" s="60">
        <v>772</v>
      </c>
      <c r="C263" s="7" t="str">
        <f t="shared" si="16"/>
        <v>PremiumSS4</v>
      </c>
      <c r="D263" s="7" t="str">
        <f t="shared" si="18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イナバ</v>
      </c>
      <c r="I263" s="7" t="str">
        <f>VLOOKUP(B263,[1]characters!$A:$J,10,FALSE)</f>
        <v>PremiumSS</v>
      </c>
      <c r="J263" s="7">
        <f>VLOOKUP(B263,[1]characters!$A:$I,9,FALSE)</f>
        <v>4</v>
      </c>
      <c r="K263" s="7" t="str">
        <f>VLOOKUP(B263,[1]characters!$A:$H,8,FALSE)</f>
        <v>green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IFERROR(VLOOKUP(B263,input_433105!L:R,7,FALSE),VLOOKUP(tables_433105!C263,input_433105!A:H,8,FALSE))</f>
        <v>5168</v>
      </c>
      <c r="P263" s="46">
        <f t="shared" ca="1" si="17"/>
        <v>4.4186046511703405E-4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input_433105!A$2</f>
        <v>433105</v>
      </c>
      <c r="B264" s="60">
        <v>773</v>
      </c>
      <c r="C264" s="7" t="str">
        <f t="shared" si="16"/>
        <v>PremiumSS5</v>
      </c>
      <c r="D264" s="7" t="str">
        <f t="shared" si="18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浮跳天兎 イナバ</v>
      </c>
      <c r="I264" s="7" t="str">
        <f>VLOOKUP(B264,[1]characters!$A:$J,10,FALSE)</f>
        <v>PremiumSS</v>
      </c>
      <c r="J264" s="7">
        <f>VLOOKUP(B264,[1]characters!$A:$I,9,FALSE)</f>
        <v>5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IFERROR(VLOOKUP(B264,input_433105!L:R,7,FALSE),VLOOKUP(tables_433105!C264,input_433105!A:H,8,FALSE))</f>
        <v>272</v>
      </c>
      <c r="P264" s="46">
        <f t="shared" ca="1" si="17"/>
        <v>2.3255813953528107E-5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input_433105!A$2</f>
        <v>433105</v>
      </c>
      <c r="B265" s="60">
        <v>774</v>
      </c>
      <c r="C265" s="7" t="str">
        <f t="shared" si="16"/>
        <v>Premium3</v>
      </c>
      <c r="D265" s="7" t="str">
        <f t="shared" si="18"/>
        <v>Premium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ミズチ</v>
      </c>
      <c r="I265" s="7" t="str">
        <f>VLOOKUP(B265,[1]characters!$A:$J,10,FALSE)</f>
        <v>PremiumS</v>
      </c>
      <c r="J265" s="7">
        <f>VLOOKUP(B265,[1]characters!$A:$I,9,FALSE)</f>
        <v>3</v>
      </c>
      <c r="K265" s="7" t="str">
        <f>VLOOKUP(B265,[1]characters!$A:$H,8,FALSE)</f>
        <v>blue</v>
      </c>
      <c r="L265" s="7" t="str">
        <f>VLOOKUP(B265,[1]characters!$A:$K,11,FALSE)</f>
        <v>heal</v>
      </c>
      <c r="M265" s="7" t="str">
        <f>VLOOKUP(B265,[1]characters!$A:$M,13,FALSE)</f>
        <v>dragon</v>
      </c>
      <c r="N265" s="7" t="str">
        <f>VLOOKUP(B265,[1]characters!$A:$G,7,FALSE)</f>
        <v>不明</v>
      </c>
      <c r="O265" s="45">
        <f ca="1">IFERROR(VLOOKUP(B265,input_433105!L:R,7,FALSE),VLOOKUP(tables_433105!C265,input_433105!A:H,8,FALSE))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input_433105!A$2</f>
        <v>433105</v>
      </c>
      <c r="B266" s="60">
        <v>775</v>
      </c>
      <c r="C266" s="7" t="str">
        <f t="shared" si="16"/>
        <v>Premium4</v>
      </c>
      <c r="D266" s="7" t="str">
        <f t="shared" si="18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水底霊竜 ミズチ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IFERROR(VLOOKUP(B266,input_433105!L:R,7,FALSE),VLOOKUP(tables_433105!C266,input_433105!A:H,8,FALSE))</f>
        <v>58210.748769999998</v>
      </c>
      <c r="P266" s="46">
        <f t="shared" ca="1" si="17"/>
        <v>4.9769792040098718E-3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input_433105!A$2</f>
        <v>433105</v>
      </c>
      <c r="B267" s="60">
        <v>776</v>
      </c>
      <c r="C267" s="7" t="str">
        <f t="shared" si="16"/>
        <v>Premium5</v>
      </c>
      <c r="D267" s="7" t="str">
        <f t="shared" si="18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水竜底主 ミズチ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IFERROR(VLOOKUP(B267,input_433105!L:R,7,FALSE),VLOOKUP(tables_433105!C267,input_433105!A:H,8,FALSE))</f>
        <v>475.65123</v>
      </c>
      <c r="P267" s="46">
        <f t="shared" ca="1" si="17"/>
        <v>4.0667854822230913E-5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input_433105!A$2</f>
        <v>433105</v>
      </c>
      <c r="B268" s="60">
        <v>777</v>
      </c>
      <c r="C268" s="7" t="str">
        <f t="shared" si="16"/>
        <v>Premium3</v>
      </c>
      <c r="D268" s="7" t="str">
        <f t="shared" si="18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ガメック</v>
      </c>
      <c r="I268" s="7" t="str">
        <f>VLOOKUP(B268,[1]characters!$A:$J,10,FALSE)</f>
        <v>PremiumS</v>
      </c>
      <c r="J268" s="7">
        <f>VLOOKUP(B268,[1]characters!$A:$I,9,FALSE)</f>
        <v>3</v>
      </c>
      <c r="K268" s="7" t="str">
        <f>VLOOKUP(B268,[1]characters!$A:$H,8,FALSE)</f>
        <v>yellow</v>
      </c>
      <c r="L268" s="7" t="str">
        <f>VLOOKUP(B268,[1]characters!$A:$K,11,FALSE)</f>
        <v>hp</v>
      </c>
      <c r="M268" s="7" t="str">
        <f>VLOOKUP(B268,[1]characters!$A:$M,13,FALSE)</f>
        <v>animal</v>
      </c>
      <c r="N268" s="7" t="str">
        <f>VLOOKUP(B268,[1]characters!$A:$G,7,FALSE)</f>
        <v>不明</v>
      </c>
      <c r="O268" s="45">
        <f ca="1">IFERROR(VLOOKUP(B268,input_433105!L:R,7,FALSE),VLOOKUP(tables_433105!C268,input_433105!A:H,8,FALSE))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input_433105!A$2</f>
        <v>433105</v>
      </c>
      <c r="B269" s="60">
        <v>778</v>
      </c>
      <c r="C269" s="7" t="str">
        <f t="shared" si="16"/>
        <v>Premium4</v>
      </c>
      <c r="D269" s="7" t="str">
        <f t="shared" si="18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一亀懸明 ガメック</v>
      </c>
      <c r="I269" s="7" t="str">
        <f>VLOOKUP(B269,[1]characters!$A:$J,10,FALSE)</f>
        <v>PremiumS</v>
      </c>
      <c r="J269" s="7">
        <f>VLOOKUP(B269,[1]characters!$A:$I,9,FALSE)</f>
        <v>4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IFERROR(VLOOKUP(B269,input_433105!L:R,7,FALSE),VLOOKUP(tables_433105!C269,input_433105!A:H,8,FALSE))</f>
        <v>58210.748769999998</v>
      </c>
      <c r="P269" s="46">
        <f t="shared" ca="1" si="17"/>
        <v>4.9769792040098718E-3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input_433105!A$2</f>
        <v>433105</v>
      </c>
      <c r="B270" s="60">
        <v>779</v>
      </c>
      <c r="C270" s="7" t="str">
        <f t="shared" si="16"/>
        <v>Premium5</v>
      </c>
      <c r="D270" s="7" t="str">
        <f t="shared" si="18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頑堅咬亀 ガメック</v>
      </c>
      <c r="I270" s="7" t="str">
        <f>VLOOKUP(B270,[1]characters!$A:$J,10,FALSE)</f>
        <v>PremiumS</v>
      </c>
      <c r="J270" s="7">
        <f>VLOOKUP(B270,[1]characters!$A:$I,9,FALSE)</f>
        <v>5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IFERROR(VLOOKUP(B270,input_433105!L:R,7,FALSE),VLOOKUP(tables_433105!C270,input_433105!A:H,8,FALSE))</f>
        <v>475.65123</v>
      </c>
      <c r="P270" s="46">
        <f t="shared" ca="1" si="17"/>
        <v>4.0667854822230913E-5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input_433105!A$2</f>
        <v>433105</v>
      </c>
      <c r="B271" s="82">
        <v>848</v>
      </c>
      <c r="C271" s="7" t="str">
        <f t="shared" si="16"/>
        <v>PremiumSS5R5onlycolor</v>
      </c>
      <c r="D271" s="7" t="str">
        <f t="shared" si="18"/>
        <v>PremiumSS</v>
      </c>
      <c r="E271" s="7" t="str">
        <f>IF(COUNTIF('R6追加前'!A:A,B271)=0,IF(OR(I271="PremiumSS",I271="PremiumSSw"),"R5only","R3less"),"")</f>
        <v>R5only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メタトロン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red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IFERROR(VLOOKUP(B271,input_433105!L:R,7,FALSE),VLOOKUP(tables_433105!C271,input_433105!A:H,8,FALSE))</f>
        <v>25062.85714</v>
      </c>
      <c r="P271" s="46">
        <f t="shared" ca="1" si="17"/>
        <v>2.1428571426165203E-3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input_433105!A$2</f>
        <v>433105</v>
      </c>
      <c r="B272" s="82">
        <v>850</v>
      </c>
      <c r="C272" s="7" t="str">
        <f t="shared" si="16"/>
        <v>PremiumSS5R5only</v>
      </c>
      <c r="D272" s="7" t="str">
        <f t="shared" si="18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バアル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green</v>
      </c>
      <c r="L272" s="7" t="str">
        <f>VLOOKUP(B272,[1]characters!$A:$K,11,FALSE)</f>
        <v>technical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IFERROR(VLOOKUP(B272,input_433105!L:R,7,FALSE),VLOOKUP(tables_433105!C272,input_433105!A:H,8,FALSE))</f>
        <v>5440</v>
      </c>
      <c r="P272" s="46">
        <f t="shared" ca="1" si="17"/>
        <v>4.6511627907056213E-4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input_433105!A$2</f>
        <v>433105</v>
      </c>
      <c r="B273" s="82">
        <v>852</v>
      </c>
      <c r="C273" s="7" t="str">
        <f t="shared" si="16"/>
        <v>Premium4R3less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サキエル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blue</v>
      </c>
      <c r="L273" s="7" t="str">
        <f>VLOOKUP(B273,[1]characters!$A:$K,11,FALSE)</f>
        <v>hp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IFERROR(VLOOKUP(B273,input_433105!L:R,7,FALSE),VLOOKUP(tables_433105!C273,input_433105!A:H,8,FALSE))</f>
        <v>90313.76</v>
      </c>
      <c r="P273" s="46">
        <f t="shared" ca="1" si="17"/>
        <v>7.7217647058955459E-3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input_433105!A$2</f>
        <v>433105</v>
      </c>
      <c r="B274" s="82">
        <v>853</v>
      </c>
      <c r="C274" s="7" t="str">
        <f t="shared" si="16"/>
        <v>Premium5R3less</v>
      </c>
      <c r="D274" s="7" t="str">
        <f t="shared" si="18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裂爪の天使 サキエル・ティア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IFERROR(VLOOKUP(B274,input_433105!L:R,7,FALSE),VLOOKUP(tables_433105!C274,input_433105!A:H,8,FALSE))</f>
        <v>3226.72</v>
      </c>
      <c r="P274" s="46">
        <f t="shared" ca="1" si="17"/>
        <v>2.7588235294164783E-4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input_433105!A$2</f>
        <v>433105</v>
      </c>
      <c r="B275" s="82">
        <v>854</v>
      </c>
      <c r="C275" s="7" t="str">
        <f t="shared" si="16"/>
        <v>Premium4R3less</v>
      </c>
      <c r="D275" s="7" t="str">
        <f t="shared" si="18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フラウロス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yellow</v>
      </c>
      <c r="L275" s="7" t="str">
        <f>VLOOKUP(B275,[1]characters!$A:$K,11,FALSE)</f>
        <v>attack</v>
      </c>
      <c r="M275" s="7" t="str">
        <f>VLOOKUP(B275,[1]characters!$A:$M,13,FALSE)</f>
        <v>animal</v>
      </c>
      <c r="N275" s="7" t="str">
        <f>VLOOKUP(B275,[1]characters!$A:$G,7,FALSE)</f>
        <v>男性</v>
      </c>
      <c r="O275" s="45">
        <f ca="1">IFERROR(VLOOKUP(B275,input_433105!L:R,7,FALSE),VLOOKUP(tables_433105!C275,input_433105!A:H,8,FALSE))</f>
        <v>90313.76</v>
      </c>
      <c r="P275" s="46">
        <f t="shared" ca="1" si="17"/>
        <v>7.7217647058955459E-3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input_433105!A$2</f>
        <v>433105</v>
      </c>
      <c r="B276" s="82">
        <v>855</v>
      </c>
      <c r="C276" s="7" t="str">
        <f t="shared" si="16"/>
        <v>Premium5R3less</v>
      </c>
      <c r="D276" s="7" t="str">
        <f t="shared" si="18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豹魔の侠客 フラウロス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IFERROR(VLOOKUP(B276,input_433105!L:R,7,FALSE),VLOOKUP(tables_433105!C276,input_433105!A:H,8,FALSE))</f>
        <v>3226.72</v>
      </c>
      <c r="P276" s="46">
        <f t="shared" ca="1" si="17"/>
        <v>2.7588235294164783E-4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input_433105!A$2</f>
        <v>433105</v>
      </c>
      <c r="B277" s="82">
        <v>862</v>
      </c>
      <c r="C277" s="7" t="str">
        <f t="shared" si="16"/>
        <v>Premium4R3lesscolor</v>
      </c>
      <c r="D277" s="7" t="str">
        <f t="shared" si="18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IFERROR(VLOOKUP(B277,input_433105!L:R,7,FALSE),VLOOKUP(tables_433105!C277,input_433105!A:H,8,FALSE))</f>
        <v>213874.07303999999</v>
      </c>
      <c r="P277" s="46">
        <f t="shared" ca="1" si="17"/>
        <v>1.8286086956255592E-2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input_433105!A$2</f>
        <v>433105</v>
      </c>
      <c r="B278" s="82">
        <v>863</v>
      </c>
      <c r="C278" s="7" t="str">
        <f t="shared" si="16"/>
        <v>Premium5R3lesscolor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IFERROR(VLOOKUP(B278,input_433105!L:R,7,FALSE),VLOOKUP(tables_433105!C278,input_433105!A:H,8,FALSE))</f>
        <v>14309.801740000001</v>
      </c>
      <c r="P278" s="46">
        <f t="shared" ca="1" si="17"/>
        <v>1.2234782609460029E-3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input_433105!A$2</f>
        <v>433105</v>
      </c>
      <c r="B279" s="82">
        <v>864</v>
      </c>
      <c r="C279" s="7" t="str">
        <f t="shared" si="16"/>
        <v>Premium4R3less</v>
      </c>
      <c r="D279" s="7" t="str">
        <f t="shared" si="18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IFERROR(VLOOKUP(B279,input_433105!L:R,7,FALSE),VLOOKUP(tables_433105!C279,input_433105!A:H,8,FALSE))</f>
        <v>90313.76</v>
      </c>
      <c r="P279" s="46">
        <f t="shared" ca="1" si="17"/>
        <v>7.7217647058955459E-3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input_433105!A$2</f>
        <v>433105</v>
      </c>
      <c r="B280" s="82">
        <v>865</v>
      </c>
      <c r="C280" s="7" t="str">
        <f t="shared" si="16"/>
        <v>Premium5R3less</v>
      </c>
      <c r="D280" s="7" t="str">
        <f t="shared" si="18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IFERROR(VLOOKUP(B280,input_433105!L:R,7,FALSE),VLOOKUP(tables_433105!C280,input_433105!A:H,8,FALSE))</f>
        <v>3226.72</v>
      </c>
      <c r="P280" s="46">
        <f t="shared" ca="1" si="17"/>
        <v>2.7588235294164783E-4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input_433105!A$2</f>
        <v>433105</v>
      </c>
      <c r="B281" s="82">
        <v>866</v>
      </c>
      <c r="C281" s="7" t="str">
        <f t="shared" si="16"/>
        <v>PremiumSS5R5only</v>
      </c>
      <c r="D281" s="7" t="str">
        <f t="shared" si="18"/>
        <v>PremiumSS</v>
      </c>
      <c r="E281" s="7" t="str">
        <f>IF(COUNTIF('R6追加前'!A:A,B281)=0,IF(OR(I281="PremiumSS",I281="PremiumSSw"),"R5only","R3less"),"")</f>
        <v>R5only</v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IFERROR(VLOOKUP(B281,input_433105!L:R,7,FALSE),VLOOKUP(tables_433105!C281,input_433105!A:H,8,FALSE))</f>
        <v>5440</v>
      </c>
      <c r="P281" s="46">
        <f t="shared" ca="1" si="17"/>
        <v>4.6511627907056213E-4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input_433105!A$2</f>
        <v>433105</v>
      </c>
      <c r="B282" s="82">
        <v>868</v>
      </c>
      <c r="C282" s="7" t="str">
        <f t="shared" si="16"/>
        <v>PremiumSS5R5only</v>
      </c>
      <c r="D282" s="7" t="str">
        <f t="shared" si="18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IFERROR(VLOOKUP(B282,input_433105!L:R,7,FALSE),VLOOKUP(tables_433105!C282,input_433105!A:H,8,FALSE))</f>
        <v>5440</v>
      </c>
      <c r="P282" s="46">
        <f t="shared" ca="1" si="17"/>
        <v>4.6511627907056213E-4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input_433105!A$2</f>
        <v>433105</v>
      </c>
      <c r="B283" s="5">
        <v>742</v>
      </c>
      <c r="C283" s="7" t="str">
        <f t="shared" si="16"/>
        <v>PremiumSS5R5onlycolor</v>
      </c>
      <c r="D283" s="7" t="str">
        <f t="shared" si="18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9"/>
        <v>color</v>
      </c>
      <c r="H283" s="7" t="str">
        <f>VLOOKUP(B283,[1]characters!$A:$C,3,FALSE)</f>
        <v>アポロン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red</v>
      </c>
      <c r="L283" s="7" t="str">
        <f>VLOOKUP(B283,[1]characters!$A:$K,11,FALSE)</f>
        <v>attack</v>
      </c>
      <c r="M283" s="7" t="str">
        <f>VLOOKUP(B283,[1]characters!$A:$M,13,FALSE)</f>
        <v>god</v>
      </c>
      <c r="N283" s="7" t="str">
        <f>VLOOKUP(B283,[1]characters!$A:$G,7,FALSE)</f>
        <v>男性</v>
      </c>
      <c r="O283" s="45">
        <f ca="1">IFERROR(VLOOKUP(B283,input_433105!L:R,7,FALSE),VLOOKUP(tables_433105!C283,input_433105!A:H,8,FALSE))</f>
        <v>25062.85714</v>
      </c>
      <c r="P283" s="46">
        <f t="shared" ca="1" si="17"/>
        <v>2.1428571426165203E-3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input_433105!A$2</f>
        <v>433105</v>
      </c>
      <c r="B284" s="5">
        <v>744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ヘルメス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green</v>
      </c>
      <c r="L284" s="7" t="str">
        <f>VLOOKUP(B284,[1]characters!$A:$K,11,FALSE)</f>
        <v>technical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IFERROR(VLOOKUP(B284,input_433105!L:R,7,FALSE),VLOOKUP(tables_433105!C284,input_433105!A:H,8,FALSE))</f>
        <v>5440</v>
      </c>
      <c r="P284" s="46">
        <f t="shared" ca="1" si="17"/>
        <v>4.6511627907056213E-4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input_433105!A$2</f>
        <v>433105</v>
      </c>
      <c r="B285" s="5">
        <v>746</v>
      </c>
      <c r="C285" s="7" t="str">
        <f t="shared" si="16"/>
        <v>Premium4R3less</v>
      </c>
      <c r="D285" s="7" t="str">
        <f t="shared" si="18"/>
        <v>Premium</v>
      </c>
      <c r="E285" s="7" t="str">
        <f>IF(COUNTIF('R6追加前'!A:A,B285)=0,IF(OR(I285="PremiumSS",I285="PremiumSSw"),"R5only","R3less"),"")</f>
        <v>R3less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ノルン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IFERROR(VLOOKUP(B285,input_433105!L:R,7,FALSE),VLOOKUP(tables_433105!C285,input_433105!A:H,8,FALSE))</f>
        <v>90313.76</v>
      </c>
      <c r="P285" s="46">
        <f t="shared" ca="1" si="17"/>
        <v>7.7217647058955459E-3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input_433105!A$2</f>
        <v>433105</v>
      </c>
      <c r="B286" s="5">
        <v>747</v>
      </c>
      <c r="C286" s="7" t="str">
        <f t="shared" si="16"/>
        <v>Premium5R3less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IFERROR(VLOOKUP(B286,input_433105!L:R,7,FALSE),VLOOKUP(tables_433105!C286,input_433105!A:H,8,FALSE))</f>
        <v>3226.72</v>
      </c>
      <c r="P286" s="46">
        <f t="shared" ca="1" si="17"/>
        <v>2.7588235294164783E-4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input_433105!A$2</f>
        <v>433105</v>
      </c>
      <c r="B287" s="5">
        <v>748</v>
      </c>
      <c r="C287" s="7" t="str">
        <f t="shared" si="16"/>
        <v>Premium4R3less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パーン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IFERROR(VLOOKUP(B287,input_433105!L:R,7,FALSE),VLOOKUP(tables_433105!C287,input_433105!A:H,8,FALSE))</f>
        <v>90313.76</v>
      </c>
      <c r="P287" s="46">
        <f t="shared" ca="1" si="17"/>
        <v>7.7217647058955459E-3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input_433105!A$2</f>
        <v>433105</v>
      </c>
      <c r="B288" s="5">
        <v>749</v>
      </c>
      <c r="C288" s="7" t="str">
        <f t="shared" si="16"/>
        <v>Premium5R3less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光喜の牧童 パーン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IFERROR(VLOOKUP(B288,input_433105!L:R,7,FALSE),VLOOKUP(tables_433105!C288,input_433105!A:H,8,FALSE))</f>
        <v>3226.72</v>
      </c>
      <c r="P288" s="46">
        <f t="shared" ca="1" si="17"/>
        <v>2.7588235294164783E-4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input_433105!A$2</f>
        <v>433105</v>
      </c>
      <c r="B289" s="5">
        <v>937</v>
      </c>
      <c r="C289" s="7" t="str">
        <f t="shared" si="16"/>
        <v>PremiumSS5R5onlycolor</v>
      </c>
      <c r="D289" s="7" t="str">
        <f t="shared" si="18"/>
        <v>PremiumSS</v>
      </c>
      <c r="E289" s="7" t="str">
        <f>IF(COUNTIF('R6追加前'!A:A,B289)=0,IF(OR(I289="PremiumSS",I289="PremiumSSw"),"R5only","R3less"),"")</f>
        <v>R5only</v>
      </c>
      <c r="F289" s="7" t="str">
        <f>IF(COUNTIF('R6開放'!A:A,B289)&gt;0,"R6release","")</f>
        <v/>
      </c>
      <c r="G289" s="7" t="str">
        <f t="shared" si="19"/>
        <v>color</v>
      </c>
      <c r="H289" s="7" t="str">
        <f>VLOOKUP(B289,[1]characters!$A:$C,3,FALSE)</f>
        <v>ナポレオン</v>
      </c>
      <c r="I289" s="7" t="str">
        <f>VLOOKUP(B289,[1]characters!$A:$J,10,FALSE)</f>
        <v>PremiumSS</v>
      </c>
      <c r="J289" s="7">
        <f>VLOOKUP(B289,[1]characters!$A:$I,9,FALSE)</f>
        <v>5</v>
      </c>
      <c r="K289" s="7" t="str">
        <f>VLOOKUP(B289,[1]characters!$A:$H,8,FALSE)</f>
        <v>red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男性</v>
      </c>
      <c r="O289" s="45">
        <f ca="1">IFERROR(VLOOKUP(B289,input_433105!L:R,7,FALSE),VLOOKUP(tables_433105!C289,input_433105!A:H,8,FALSE))</f>
        <v>25062.85714</v>
      </c>
      <c r="P289" s="46">
        <f t="shared" ca="1" si="17"/>
        <v>2.1428571426165203E-3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input_433105!A$2</f>
        <v>433105</v>
      </c>
      <c r="B290" s="5">
        <v>939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バスティーユ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hp</v>
      </c>
      <c r="M290" s="7" t="str">
        <f>VLOOKUP(B290,[1]characters!$A:$M,13,FALSE)</f>
        <v>unknown</v>
      </c>
      <c r="N290" s="7" t="str">
        <f>VLOOKUP(B290,[1]characters!$A:$G,7,FALSE)</f>
        <v>男性</v>
      </c>
      <c r="O290" s="45">
        <f ca="1">IFERROR(VLOOKUP(B290,input_433105!L:R,7,FALSE),VLOOKUP(tables_433105!C290,input_433105!A:H,8,FALSE))</f>
        <v>90313.76</v>
      </c>
      <c r="P290" s="46">
        <f t="shared" ca="1" si="17"/>
        <v>7.7217647058955459E-3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input_433105!A$2</f>
        <v>433105</v>
      </c>
      <c r="B291" s="5">
        <v>940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不壊の大要塞 バスティーユ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IFERROR(VLOOKUP(B291,input_433105!L:R,7,FALSE),VLOOKUP(tables_433105!C291,input_433105!A:H,8,FALSE))</f>
        <v>3226.72</v>
      </c>
      <c r="P291" s="46">
        <f t="shared" ca="1" si="17"/>
        <v>2.7588235294164783E-4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input_433105!A$2</f>
        <v>433105</v>
      </c>
      <c r="B292" s="5">
        <v>941</v>
      </c>
      <c r="C292" s="7" t="str">
        <f t="shared" si="16"/>
        <v>PremiumSS5R5only</v>
      </c>
      <c r="D292" s="7" t="str">
        <f t="shared" si="18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アントワネット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blue</v>
      </c>
      <c r="L292" s="7" t="str">
        <f>VLOOKUP(B292,[1]characters!$A:$K,11,FALSE)</f>
        <v>technical</v>
      </c>
      <c r="M292" s="7" t="str">
        <f>VLOOKUP(B292,[1]characters!$A:$M,13,FALSE)</f>
        <v>human</v>
      </c>
      <c r="N292" s="7" t="str">
        <f>VLOOKUP(B292,[1]characters!$A:$G,7,FALSE)</f>
        <v>男性</v>
      </c>
      <c r="O292" s="45">
        <f ca="1">IFERROR(VLOOKUP(B292,input_433105!L:R,7,FALSE),VLOOKUP(tables_433105!C292,input_433105!A:H,8,FALSE))</f>
        <v>5440</v>
      </c>
      <c r="P292" s="46">
        <f t="shared" ca="1" si="17"/>
        <v>4.6511627907056213E-4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input_433105!A$2</f>
        <v>433105</v>
      </c>
      <c r="B293" s="5">
        <v>943</v>
      </c>
      <c r="C293" s="7" t="str">
        <f t="shared" si="16"/>
        <v>PremiumSS5R5only</v>
      </c>
      <c r="D293" s="7" t="str">
        <f t="shared" si="18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サンソン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yellow</v>
      </c>
      <c r="L293" s="7" t="str">
        <f>VLOOKUP(B293,[1]characters!$A:$K,11,FALSE)</f>
        <v>attack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IFERROR(VLOOKUP(B293,input_433105!L:R,7,FALSE),VLOOKUP(tables_433105!C293,input_433105!A:H,8,FALSE))</f>
        <v>5440</v>
      </c>
      <c r="P293" s="46">
        <f t="shared" ca="1" si="17"/>
        <v>4.6511627907056213E-4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input_433105!A$2</f>
        <v>433105</v>
      </c>
      <c r="B294" s="5">
        <v>1012</v>
      </c>
      <c r="C294" s="7" t="str">
        <f t="shared" si="16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ラー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red</v>
      </c>
      <c r="L294" s="7" t="str">
        <f>VLOOKUP(B294,[1]characters!$A:$K,11,FALSE)</f>
        <v>balance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5">
        <f ca="1">IFERROR(VLOOKUP(B294,input_433105!L:R,7,FALSE),VLOOKUP(tables_433105!C294,input_433105!A:H,8,FALSE))</f>
        <v>25062.85714</v>
      </c>
      <c r="P294" s="46">
        <f t="shared" ca="1" si="17"/>
        <v>2.1428571426165203E-3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input_433105!A$2</f>
        <v>433105</v>
      </c>
      <c r="B295" s="5">
        <v>1014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イシス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green</v>
      </c>
      <c r="L295" s="7" t="str">
        <f>VLOOKUP(B295,[1]characters!$A:$K,11,FALSE)</f>
        <v>hp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IFERROR(VLOOKUP(B295,input_433105!L:R,7,FALSE),VLOOKUP(tables_433105!C295,input_433105!A:H,8,FALSE))</f>
        <v>5440</v>
      </c>
      <c r="P295" s="46">
        <f t="shared" ca="1" si="17"/>
        <v>4.6511627907056213E-4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input_433105!A$2</f>
        <v>433105</v>
      </c>
      <c r="B296" s="5">
        <v>1016</v>
      </c>
      <c r="C296" s="7" t="str">
        <f t="shared" si="16"/>
        <v>Premium4R3less</v>
      </c>
      <c r="D296" s="7" t="str">
        <f t="shared" si="18"/>
        <v>Premium</v>
      </c>
      <c r="E296" s="7" t="str">
        <f>IF(COUNTIF('R6追加前'!A:A,B296)=0,IF(OR(I296="PremiumSS",I296="PremiumSSw"),"R5only","R3less"),"")</f>
        <v>R3less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ハトホル</v>
      </c>
      <c r="I296" s="7" t="str">
        <f>VLOOKUP(B296,[1]characters!$A:$J,10,FALSE)</f>
        <v>PremiumS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heal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IFERROR(VLOOKUP(B296,input_433105!L:R,7,FALSE),VLOOKUP(tables_433105!C296,input_433105!A:H,8,FALSE))</f>
        <v>90313.76</v>
      </c>
      <c r="P296" s="46">
        <f t="shared" ca="1" si="17"/>
        <v>7.7217647058955459E-3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input_433105!A$2</f>
        <v>433105</v>
      </c>
      <c r="B297" s="5">
        <v>1017</v>
      </c>
      <c r="C297" s="7" t="str">
        <f t="shared" si="16"/>
        <v>Premium5R3less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命瞳の慈母神 ハトホル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IFERROR(VLOOKUP(B297,input_433105!L:R,7,FALSE),VLOOKUP(tables_433105!C297,input_433105!A:H,8,FALSE))</f>
        <v>3226.72</v>
      </c>
      <c r="P297" s="46">
        <f t="shared" ca="1" si="17"/>
        <v>2.7588235294164783E-4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input_433105!A$2</f>
        <v>433105</v>
      </c>
      <c r="B298" s="5">
        <v>1018</v>
      </c>
      <c r="C298" s="7" t="str">
        <f t="shared" si="16"/>
        <v>PremiumSS5R5only</v>
      </c>
      <c r="D298" s="7" t="str">
        <f t="shared" si="18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バステト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attack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IFERROR(VLOOKUP(B298,input_433105!L:R,7,FALSE),VLOOKUP(tables_433105!C298,input_433105!A:H,8,FALSE))</f>
        <v>5440</v>
      </c>
      <c r="P298" s="46">
        <f t="shared" ca="1" si="17"/>
        <v>4.6511627907056213E-4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input_433105!A$2</f>
        <v>433105</v>
      </c>
      <c r="B299" s="5">
        <v>1026</v>
      </c>
      <c r="C299" s="7" t="str">
        <f t="shared" si="16"/>
        <v>Premium4R3lesscolor</v>
      </c>
      <c r="D299" s="7" t="str">
        <f t="shared" si="18"/>
        <v>Premium</v>
      </c>
      <c r="E299" s="7" t="str">
        <f>IF(COUNTIF('R6追加前'!A:A,B299)=0,IF(OR(I299="PremiumSS",I299="PremiumSSw"),"R5only","R3less"),"")</f>
        <v>R3less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蝉丸</v>
      </c>
      <c r="I299" s="7" t="str">
        <f>VLOOKUP(B299,[1]characters!$A:$J,10,FALSE)</f>
        <v>PremiumS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attack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IFERROR(VLOOKUP(B299,input_433105!L:R,7,FALSE),VLOOKUP(tables_433105!C299,input_433105!A:H,8,FALSE))</f>
        <v>213874.07303999999</v>
      </c>
      <c r="P299" s="46">
        <f t="shared" ca="1" si="17"/>
        <v>1.8286086956255592E-2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input_433105!A$2</f>
        <v>433105</v>
      </c>
      <c r="B300" s="5">
        <v>1027</v>
      </c>
      <c r="C300" s="7" t="str">
        <f t="shared" si="16"/>
        <v>Premium5R3lesscolor</v>
      </c>
      <c r="D300" s="7" t="str">
        <f t="shared" si="18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9"/>
        <v>color</v>
      </c>
      <c r="H300" s="7" t="str">
        <f>VLOOKUP(B300,[1]characters!$A:$C,3,FALSE)</f>
        <v>弾丸多重奏 蝉丸</v>
      </c>
      <c r="I300" s="7" t="str">
        <f>VLOOKUP(B300,[1]characters!$A:$J,10,FALSE)</f>
        <v>PremiumS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IFERROR(VLOOKUP(B300,input_433105!L:R,7,FALSE),VLOOKUP(tables_433105!C300,input_433105!A:H,8,FALSE))</f>
        <v>14309.801740000001</v>
      </c>
      <c r="P300" s="46">
        <f t="shared" ca="1" si="17"/>
        <v>1.2234782609460029E-3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input_433105!A$2</f>
        <v>433105</v>
      </c>
      <c r="B301" s="5">
        <v>1028</v>
      </c>
      <c r="C301" s="7" t="str">
        <f t="shared" ref="C301:C305" si="20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牛若丸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green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IFERROR(VLOOKUP(B301,input_433105!L:R,7,FALSE),VLOOKUP(tables_433105!C301,input_433105!A:H,8,FALSE))</f>
        <v>5440</v>
      </c>
      <c r="P301" s="46">
        <f t="shared" ca="1" si="17"/>
        <v>4.6511627907056213E-4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input_433105!A$2</f>
        <v>433105</v>
      </c>
      <c r="B302" s="5">
        <v>1031</v>
      </c>
      <c r="C302" s="7" t="str">
        <f t="shared" si="20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紫式部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IFERROR(VLOOKUP(B302,input_433105!L:R,7,FALSE),VLOOKUP(tables_433105!C302,input_433105!A:H,8,FALSE))</f>
        <v>5440</v>
      </c>
      <c r="P302" s="46">
        <f t="shared" ca="1" si="17"/>
        <v>4.6511627907056213E-4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input_433105!A$2</f>
        <v>433105</v>
      </c>
      <c r="B303" s="5">
        <v>1033</v>
      </c>
      <c r="C303" s="7" t="str">
        <f t="shared" si="20"/>
        <v>PremiumSS5R5only</v>
      </c>
      <c r="D303" s="7" t="str">
        <f t="shared" si="18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清少納言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heal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IFERROR(VLOOKUP(B303,input_433105!L:R,7,FALSE),VLOOKUP(tables_433105!C303,input_433105!A:H,8,FALSE))</f>
        <v>5440</v>
      </c>
      <c r="P303" s="46">
        <f t="shared" ca="1" si="17"/>
        <v>4.6511627907056213E-4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input_433105!A$2</f>
        <v>433105</v>
      </c>
      <c r="B304" s="5">
        <v>1067</v>
      </c>
      <c r="C304" s="7" t="str">
        <f t="shared" si="20"/>
        <v>Premium4R3lesscolor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ウシュムガル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red</v>
      </c>
      <c r="L304" s="7" t="str">
        <f>VLOOKUP(B304,[1]characters!$A:$K,11,FALSE)</f>
        <v>balance</v>
      </c>
      <c r="M304" s="7" t="str">
        <f>VLOOKUP(B304,[1]characters!$A:$M,13,FALSE)</f>
        <v>dragon</v>
      </c>
      <c r="N304" s="7" t="str">
        <f>VLOOKUP(B304,[1]characters!$A:$G,7,FALSE)</f>
        <v>男性</v>
      </c>
      <c r="O304" s="45">
        <f ca="1">IFERROR(VLOOKUP(B304,input_433105!L:R,7,FALSE),VLOOKUP(tables_433105!C304,input_433105!A:H,8,FALSE))</f>
        <v>213874.07303999999</v>
      </c>
      <c r="P304" s="46">
        <f t="shared" ca="1" si="17"/>
        <v>1.8286086956255592E-2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input_433105!A$2</f>
        <v>433105</v>
      </c>
      <c r="B305" s="5">
        <v>1068</v>
      </c>
      <c r="C305" s="7" t="str">
        <f t="shared" si="20"/>
        <v>Premium5R3lesscolor</v>
      </c>
      <c r="D305" s="7" t="str">
        <f t="shared" si="18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9"/>
        <v>color</v>
      </c>
      <c r="H305" s="7" t="str">
        <f>VLOOKUP(B305,[1]characters!$A:$C,3,FALSE)</f>
        <v>想母の羽龍 ウシュムガル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IFERROR(VLOOKUP(B305,input_433105!L:R,7,FALSE),VLOOKUP(tables_433105!C305,input_433105!A:H,8,FALSE))</f>
        <v>14309.801740000001</v>
      </c>
      <c r="P305" s="46">
        <f t="shared" ca="1" si="17"/>
        <v>1.2234782609460029E-3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input_433105!A$2</f>
        <v>433105</v>
      </c>
      <c r="B306" s="5">
        <v>1069</v>
      </c>
      <c r="C306" s="7" t="str">
        <f t="shared" ref="C306:C310" si="21">D306&amp;J306&amp;E306&amp;F306&amp;G306</f>
        <v>PremiumSS5R5only</v>
      </c>
      <c r="D306" s="7" t="str">
        <f t="shared" ref="D306:D310" si="22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イシュタル</v>
      </c>
      <c r="I306" s="7" t="str">
        <f>VLOOKUP(B306,[1]characters!$A:$J,10,FALSE)</f>
        <v>PremiumSS</v>
      </c>
      <c r="J306" s="7">
        <f>VLOOKUP(B306,[1]characters!$A:$I,9,FALSE)</f>
        <v>5</v>
      </c>
      <c r="K306" s="7" t="str">
        <f>VLOOKUP(B306,[1]characters!$A:$H,8,FALSE)</f>
        <v>green</v>
      </c>
      <c r="L306" s="7" t="str">
        <f>VLOOKUP(B306,[1]characters!$A:$K,11,FALSE)</f>
        <v>technical</v>
      </c>
      <c r="M306" s="7" t="str">
        <f>VLOOKUP(B306,[1]characters!$A:$M,13,FALSE)</f>
        <v>god</v>
      </c>
      <c r="N306" s="7" t="str">
        <f>VLOOKUP(B306,[1]characters!$A:$G,7,FALSE)</f>
        <v>男性</v>
      </c>
      <c r="O306" s="45">
        <f ca="1">IFERROR(VLOOKUP(B306,input_433105!L:R,7,FALSE),VLOOKUP(tables_433105!C306,input_433105!A:H,8,FALSE))</f>
        <v>5440</v>
      </c>
      <c r="P306" s="46">
        <f t="shared" ref="P306:P310" ca="1" si="23">O306/SUM(O:O)</f>
        <v>4.6511627907056213E-4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input_433105!A$2</f>
        <v>433105</v>
      </c>
      <c r="B307" s="5">
        <v>1072</v>
      </c>
      <c r="C307" s="7" t="str">
        <f t="shared" si="21"/>
        <v>PremiumSS5R5only</v>
      </c>
      <c r="D307" s="7" t="str">
        <f t="shared" si="22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エンキドゥ</v>
      </c>
      <c r="I307" s="7" t="str">
        <f>VLOOKUP(B307,[1]characters!$A:$J,10,FALSE)</f>
        <v>PremiumSSw</v>
      </c>
      <c r="J307" s="7">
        <f>VLOOKUP(B307,[1]characters!$A:$I,9,FALSE)</f>
        <v>5</v>
      </c>
      <c r="K307" s="7" t="str">
        <f>VLOOKUP(B307,[1]characters!$A:$H,8,FALSE)</f>
        <v>blue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IFERROR(VLOOKUP(B307,input_433105!L:R,7,FALSE),VLOOKUP(tables_433105!C307,input_433105!A:H,8,FALSE))</f>
        <v>5440</v>
      </c>
      <c r="P307" s="46">
        <f t="shared" ca="1" si="23"/>
        <v>4.6511627907056213E-4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input_433105!A$2</f>
        <v>433105</v>
      </c>
      <c r="B308" s="5">
        <v>1074</v>
      </c>
      <c r="C308" s="7" t="str">
        <f t="shared" si="21"/>
        <v>PremiumSS5R5only</v>
      </c>
      <c r="D308" s="7" t="str">
        <f t="shared" si="22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マルドゥク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yellow</v>
      </c>
      <c r="L308" s="7" t="str">
        <f>VLOOKUP(B308,[1]characters!$A:$K,11,FALSE)</f>
        <v>technical</v>
      </c>
      <c r="M308" s="7" t="str">
        <f>VLOOKUP(B308,[1]characters!$A:$M,13,FALSE)</f>
        <v>god</v>
      </c>
      <c r="N308" s="7" t="str">
        <f>VLOOKUP(B308,[1]characters!$A:$G,7,FALSE)</f>
        <v>男性</v>
      </c>
      <c r="O308" s="45">
        <f ca="1">IFERROR(VLOOKUP(B308,input_433105!L:R,7,FALSE),VLOOKUP(tables_433105!C308,input_433105!A:H,8,FALSE))</f>
        <v>5440</v>
      </c>
      <c r="P308" s="46">
        <f t="shared" ca="1" si="23"/>
        <v>4.6511627907056213E-4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input_433105!A$2</f>
        <v>433105</v>
      </c>
      <c r="B309" s="5">
        <v>1104</v>
      </c>
      <c r="C309" s="7" t="str">
        <f t="shared" si="21"/>
        <v>Premium4R3less</v>
      </c>
      <c r="D309" s="7" t="str">
        <f t="shared" si="22"/>
        <v>Premium</v>
      </c>
      <c r="E309" s="7" t="str">
        <f>IF(COUNTIF('R6追加前'!A:A,B309)=0,IF(OR(I309="PremiumSS",I309="PremiumSSw"),"R5only","R3less"),"")</f>
        <v>R3less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クリムト</v>
      </c>
      <c r="I309" s="7" t="str">
        <f>VLOOKUP(B309,[1]characters!$A:$J,10,FALSE)</f>
        <v>PremiumS</v>
      </c>
      <c r="J309" s="7">
        <f>VLOOKUP(B309,[1]characters!$A:$I,9,FALSE)</f>
        <v>4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不明</v>
      </c>
      <c r="O309" s="45">
        <f ca="1">IFERROR(VLOOKUP(B309,input_433105!L:R,7,FALSE),VLOOKUP(tables_433105!C309,input_433105!A:H,8,FALSE))</f>
        <v>90313.76</v>
      </c>
      <c r="P309" s="46">
        <f t="shared" ca="1" si="23"/>
        <v>7.7217647058955459E-3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input_433105!A$2</f>
        <v>433105</v>
      </c>
      <c r="B310" s="5">
        <v>1105</v>
      </c>
      <c r="C310" s="7" t="str">
        <f t="shared" si="21"/>
        <v>Premium5R3less</v>
      </c>
      <c r="D310" s="7" t="str">
        <f t="shared" si="22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甘美なる背徳 クリムト</v>
      </c>
      <c r="I310" s="7" t="str">
        <f>VLOOKUP(B310,[1]characters!$A:$J,10,FALSE)</f>
        <v>PremiumS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IFERROR(VLOOKUP(B310,input_433105!L:R,7,FALSE),VLOOKUP(tables_433105!C310,input_433105!A:H,8,FALSE))</f>
        <v>3226.72</v>
      </c>
      <c r="P310" s="46">
        <f t="shared" ca="1" si="23"/>
        <v>2.7588235294164783E-4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input_433105!A$2</f>
        <v>433105</v>
      </c>
      <c r="B311" s="5">
        <v>1106</v>
      </c>
      <c r="C311" s="7" t="str">
        <f t="shared" ref="C311:C319" si="24">D311&amp;J311&amp;E311&amp;F311&amp;G311</f>
        <v>PremiumSS5R5only</v>
      </c>
      <c r="D311" s="7" t="str">
        <f t="shared" ref="D311:D319" si="25">IF(OR(I311="PremiumSS",I311="PremiumSSw"),"PremiumSS",IF(I311="PremiumSSS",I311,IF(I311="PremiumW",I311,"Premium")))</f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ラファエロ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yellow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IFERROR(VLOOKUP(B311,input_433105!L:R,7,FALSE),VLOOKUP(tables_433105!C311,input_433105!A:H,8,FALSE))</f>
        <v>5440</v>
      </c>
      <c r="P311" s="46">
        <f t="shared" ref="P311:P319" ca="1" si="26">O311/SUM(O:O)</f>
        <v>4.6511627907056213E-4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input_433105!A$2</f>
        <v>433105</v>
      </c>
      <c r="B312" s="5">
        <v>1102</v>
      </c>
      <c r="C312" s="7" t="str">
        <f t="shared" si="24"/>
        <v>PremiumSS5R5only</v>
      </c>
      <c r="D312" s="7" t="str">
        <f t="shared" si="25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IFERROR(VLOOKUP(B312,input_433105!L:R,7,FALSE),VLOOKUP(tables_433105!C312,input_433105!A:H,8,FALSE))</f>
        <v>5440</v>
      </c>
      <c r="P312" s="46">
        <f t="shared" ca="1" si="26"/>
        <v>4.6511627907056213E-4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input_433105!A$2</f>
        <v>433105</v>
      </c>
      <c r="B313" s="5">
        <v>1100</v>
      </c>
      <c r="C313" s="7" t="str">
        <f t="shared" si="24"/>
        <v>PremiumSS5R5onlycolor</v>
      </c>
      <c r="D313" s="7" t="str">
        <f t="shared" si="25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北斎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red</v>
      </c>
      <c r="L313" s="7" t="str">
        <f>VLOOKUP(B313,[1]characters!$A:$K,11,FALSE)</f>
        <v>attack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IFERROR(VLOOKUP(B313,input_433105!L:R,7,FALSE),VLOOKUP(tables_433105!C313,input_433105!A:H,8,FALSE))</f>
        <v>25062.85714</v>
      </c>
      <c r="P313" s="46">
        <f t="shared" ca="1" si="26"/>
        <v>2.1428571426165203E-3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input_433105!A$2</f>
        <v>433105</v>
      </c>
      <c r="B314" s="5">
        <v>1137</v>
      </c>
      <c r="C314" s="7" t="str">
        <f t="shared" si="24"/>
        <v>PremiumSS5R5onlycolor</v>
      </c>
      <c r="D314" s="7" t="str">
        <f t="shared" si="25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諸葛亮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technical</v>
      </c>
      <c r="M314" s="7" t="str">
        <f>VLOOKUP(B314,[1]characters!$A:$M,13,FALSE)</f>
        <v>samurai</v>
      </c>
      <c r="N314" s="7" t="str">
        <f>VLOOKUP(B314,[1]characters!$A:$G,7,FALSE)</f>
        <v>不明</v>
      </c>
      <c r="O314" s="45">
        <f ca="1">IFERROR(VLOOKUP(B314,input_433105!L:R,7,FALSE),VLOOKUP(tables_433105!C314,input_433105!A:H,8,FALSE))</f>
        <v>25062.85714</v>
      </c>
      <c r="P314" s="46">
        <f t="shared" ca="1" si="26"/>
        <v>2.1428571426165203E-3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input_433105!A$2</f>
        <v>433105</v>
      </c>
      <c r="B315" s="5">
        <v>1139</v>
      </c>
      <c r="C315" s="7" t="str">
        <f t="shared" si="24"/>
        <v>PremiumSS5R5only</v>
      </c>
      <c r="D315" s="7" t="str">
        <f t="shared" si="25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趙雲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IFERROR(VLOOKUP(B315,input_433105!L:R,7,FALSE),VLOOKUP(tables_433105!C315,input_433105!A:H,8,FALSE))</f>
        <v>5440</v>
      </c>
      <c r="P315" s="46">
        <f t="shared" ca="1" si="26"/>
        <v>4.6511627907056213E-4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input_433105!A$2</f>
        <v>433105</v>
      </c>
      <c r="B316" s="5">
        <v>1141</v>
      </c>
      <c r="C316" s="7" t="str">
        <f t="shared" si="24"/>
        <v>PremiumSS5R5only</v>
      </c>
      <c r="D316" s="7" t="str">
        <f t="shared" si="25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月英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IFERROR(VLOOKUP(B316,input_433105!L:R,7,FALSE),VLOOKUP(tables_433105!C316,input_433105!A:H,8,FALSE))</f>
        <v>5440</v>
      </c>
      <c r="P316" s="46">
        <f t="shared" ca="1" si="26"/>
        <v>4.6511627907056213E-4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input_433105!A$2</f>
        <v>433105</v>
      </c>
      <c r="B317" s="5">
        <v>1143</v>
      </c>
      <c r="C317" s="7" t="str">
        <f t="shared" si="24"/>
        <v>Premium4R3less</v>
      </c>
      <c r="D317" s="7" t="str">
        <f t="shared" si="25"/>
        <v>Premium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黄忠</v>
      </c>
      <c r="I317" s="7" t="str">
        <f>VLOOKUP(B317,[1]characters!$A:$J,10,FALSE)</f>
        <v>PremiumS</v>
      </c>
      <c r="J317" s="7">
        <f>VLOOKUP(B317,[1]characters!$A:$I,9,FALSE)</f>
        <v>4</v>
      </c>
      <c r="K317" s="7" t="str">
        <f>VLOOKUP(B317,[1]characters!$A:$H,8,FALSE)</f>
        <v>yellow</v>
      </c>
      <c r="L317" s="7" t="str">
        <f>VLOOKUP(B317,[1]characters!$A:$K,11,FALSE)</f>
        <v>technical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IFERROR(VLOOKUP(B317,input_433105!L:R,7,FALSE),VLOOKUP(tables_433105!C317,input_433105!A:H,8,FALSE))</f>
        <v>90313.76</v>
      </c>
      <c r="P317" s="46">
        <f t="shared" ca="1" si="26"/>
        <v>7.7217647058955459E-3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input_433105!A$2</f>
        <v>433105</v>
      </c>
      <c r="B318" s="5">
        <v>1144</v>
      </c>
      <c r="C318" s="7" t="str">
        <f t="shared" si="24"/>
        <v>Premium5R3less</v>
      </c>
      <c r="D318" s="7" t="str">
        <f t="shared" si="25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白星を射る老将 黄忠</v>
      </c>
      <c r="I318" s="7" t="str">
        <f>VLOOKUP(B318,[1]characters!$A:$J,10,FALSE)</f>
        <v>PremiumS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IFERROR(VLOOKUP(B318,input_433105!L:R,7,FALSE),VLOOKUP(tables_433105!C318,input_433105!A:H,8,FALSE))</f>
        <v>3226.72</v>
      </c>
      <c r="P318" s="46">
        <f t="shared" ca="1" si="26"/>
        <v>2.7588235294164783E-4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input_433105!A$2</f>
        <v>433105</v>
      </c>
      <c r="B319" s="5">
        <v>1153</v>
      </c>
      <c r="C319" s="7" t="str">
        <f t="shared" si="24"/>
        <v>PremiumSS5R5only</v>
      </c>
      <c r="D319" s="7" t="str">
        <f t="shared" si="25"/>
        <v>PremiumSS</v>
      </c>
      <c r="E319" s="7" t="str">
        <f>IF(COUNTIF('R6追加前'!A:A,B319)=0,IF(OR(I319="PremiumSS",I319="PremiumSSw"),"R5only","R3less"),"")</f>
        <v>R5only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ラクシュミー</v>
      </c>
      <c r="I319" s="7" t="str">
        <f>VLOOKUP(B319,[1]characters!$A:$J,10,FALSE)</f>
        <v>PremiumSSW</v>
      </c>
      <c r="J319" s="7">
        <f>VLOOKUP(B319,[1]characters!$A:$I,9,FALSE)</f>
        <v>5</v>
      </c>
      <c r="K319" s="7" t="str">
        <f>VLOOKUP(B319,[1]characters!$A:$H,8,FALSE)</f>
        <v>green</v>
      </c>
      <c r="L319" s="7" t="str">
        <f>VLOOKUP(B319,[1]characters!$A:$K,11,FALSE)</f>
        <v>hp</v>
      </c>
      <c r="M319" s="7" t="str">
        <f>VLOOKUP(B319,[1]characters!$A:$M,13,FALSE)</f>
        <v>god</v>
      </c>
      <c r="N319" s="7" t="str">
        <f>VLOOKUP(B319,[1]characters!$A:$G,7,FALSE)</f>
        <v>不明</v>
      </c>
      <c r="O319" s="45">
        <f ca="1">IFERROR(VLOOKUP(B319,input_433105!L:R,7,FALSE),VLOOKUP(tables_433105!C319,input_433105!A:H,8,FALSE))</f>
        <v>5440</v>
      </c>
      <c r="P319" s="46">
        <f t="shared" ca="1" si="26"/>
        <v>4.6511627907056213E-4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input_433105!A$2</f>
        <v>433105</v>
      </c>
      <c r="B320" s="5">
        <v>1155</v>
      </c>
      <c r="C320" s="7" t="str">
        <f t="shared" ref="C320:C324" si="27">D320&amp;J320&amp;E320&amp;F320&amp;G320</f>
        <v>PremiumSS5R5only</v>
      </c>
      <c r="D320" s="7" t="str">
        <f t="shared" ref="D320:D324" si="28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ドゥルガー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blue</v>
      </c>
      <c r="L320" s="7" t="str">
        <f>VLOOKUP(B320,[1]characters!$A:$K,11,FALSE)</f>
        <v>balance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IFERROR(VLOOKUP(B320,input_433105!L:R,7,FALSE),VLOOKUP(tables_433105!C320,input_433105!A:H,8,FALSE))</f>
        <v>5440</v>
      </c>
      <c r="P320" s="46">
        <f t="shared" ref="P320:P324" ca="1" si="29">O320/SUM(O:O)</f>
        <v>4.6511627907056213E-4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input_433105!A$2</f>
        <v>433105</v>
      </c>
      <c r="B321" s="5">
        <v>1157</v>
      </c>
      <c r="C321" s="7" t="str">
        <f t="shared" si="27"/>
        <v>PremiumSS5R5only</v>
      </c>
      <c r="D321" s="7" t="str">
        <f t="shared" si="2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インドラ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yellow</v>
      </c>
      <c r="L321" s="7" t="str">
        <f>VLOOKUP(B321,[1]characters!$A:$K,11,FALSE)</f>
        <v>attack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IFERROR(VLOOKUP(B321,input_433105!L:R,7,FALSE),VLOOKUP(tables_433105!C321,input_433105!A:H,8,FALSE))</f>
        <v>5440</v>
      </c>
      <c r="P321" s="46">
        <f t="shared" ca="1" si="29"/>
        <v>4.6511627907056213E-4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input_433105!A$2</f>
        <v>433105</v>
      </c>
      <c r="B322" s="5">
        <v>1151</v>
      </c>
      <c r="C322" s="7" t="str">
        <f t="shared" si="27"/>
        <v>Premium4R3lesscolor</v>
      </c>
      <c r="D322" s="7" t="str">
        <f t="shared" si="28"/>
        <v>Premium</v>
      </c>
      <c r="E322" s="7" t="str">
        <f>IF(COUNTIF('R6追加前'!A:A,B322)=0,IF(OR(I322="PremiumSS",I322="PremiumSSw"),"R5only","R3less"),"")</f>
        <v>R3less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ガネーシャ</v>
      </c>
      <c r="I322" s="7" t="str">
        <f>VLOOKUP(B322,[1]characters!$A:$J,10,FALSE)</f>
        <v>PremiumS</v>
      </c>
      <c r="J322" s="7">
        <f>VLOOKUP(B322,[1]characters!$A:$I,9,FALSE)</f>
        <v>4</v>
      </c>
      <c r="K322" s="7" t="str">
        <f>VLOOKUP(B322,[1]characters!$A:$H,8,FALSE)</f>
        <v>red</v>
      </c>
      <c r="L322" s="7" t="str">
        <f>VLOOKUP(B322,[1]characters!$A:$K,11,FALSE)</f>
        <v>heal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IFERROR(VLOOKUP(B322,input_433105!L:R,7,FALSE),VLOOKUP(tables_433105!C322,input_433105!A:H,8,FALSE))</f>
        <v>213874.07303999999</v>
      </c>
      <c r="P322" s="46">
        <f t="shared" ca="1" si="29"/>
        <v>1.8286086956255592E-2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input_433105!A$2</f>
        <v>433105</v>
      </c>
      <c r="B323" s="5">
        <v>1152</v>
      </c>
      <c r="C323" s="7" t="str">
        <f t="shared" si="27"/>
        <v>Premium5R3lesscolor</v>
      </c>
      <c r="D323" s="7" t="str">
        <f t="shared" si="28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 t="str">
        <f t="shared" ref="G323:G324" si="30">IF(K323="red","color","")</f>
        <v>color</v>
      </c>
      <c r="H323" s="7" t="str">
        <f>VLOOKUP(B323,[1]characters!$A:$C,3,FALSE)</f>
        <v>衆知の富益神 ガネーシャ</v>
      </c>
      <c r="I323" s="7" t="str">
        <f>VLOOKUP(B323,[1]characters!$A:$J,10,FALSE)</f>
        <v>PremiumS</v>
      </c>
      <c r="J323" s="7">
        <f>VLOOKUP(B323,[1]characters!$A:$I,9,FALSE)</f>
        <v>5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IFERROR(VLOOKUP(B323,input_433105!L:R,7,FALSE),VLOOKUP(tables_433105!C323,input_433105!A:H,8,FALSE))</f>
        <v>14309.801740000001</v>
      </c>
      <c r="P323" s="46">
        <f t="shared" ca="1" si="29"/>
        <v>1.2234782609460029E-3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input_433105!A$2</f>
        <v>433105</v>
      </c>
      <c r="B324" s="1">
        <v>955</v>
      </c>
      <c r="C324" s="7" t="str">
        <f t="shared" si="27"/>
        <v>PremiumSSS5R3lesscolor</v>
      </c>
      <c r="D324" s="7" t="str">
        <f t="shared" si="28"/>
        <v>PremiumSSS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0"/>
        <v>color</v>
      </c>
      <c r="H324" s="7" t="str">
        <f>VLOOKUP(B324,[1]characters!$A:$C,3,FALSE)</f>
        <v>マクローリン</v>
      </c>
      <c r="I324" s="7" t="str">
        <f>VLOOKUP(B324,[1]characters!$A:$J,10,FALSE)</f>
        <v>PremiumSSS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technical</v>
      </c>
      <c r="M324" s="7" t="str">
        <f>VLOOKUP(B324,[1]characters!$A:$M,13,FALSE)</f>
        <v>academia</v>
      </c>
      <c r="N324" s="7" t="str">
        <f>VLOOKUP(B324,[1]characters!$A:$G,7,FALSE)</f>
        <v>男性</v>
      </c>
      <c r="O324" s="45">
        <f ca="1">IFERROR(VLOOKUP(B324,input_433105!L:R,7,FALSE),VLOOKUP(tables_433105!C324,input_433105!A:H,8,FALSE))</f>
        <v>140352</v>
      </c>
      <c r="P324" s="46">
        <f t="shared" ca="1" si="29"/>
        <v>1.2000000000020503E-2</v>
      </c>
      <c r="Q324" s="88">
        <v>80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tabSelected="1" topLeftCell="A11" workbookViewId="0">
      <selection activeCell="F63" sqref="F6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433100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VLOOKUP(L3,tables_433100!B:C,2,FALSE)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VLOOKUP(L4,tables_433100!B:C,2,FALSE)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4.6511627906976752E-4</v>
      </c>
      <c r="F5">
        <f>(COUNTIF(tables_433100!C:C,input_433100!A28)+COUNTIF(tables_433100!C:C,input_433100!A29))</f>
        <v>43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VLOOKUP(L5,tables_433100!B:C,2,FALSE)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2.142857142857143E-3</v>
      </c>
      <c r="F6">
        <f>(COUNTIF(tables_433100!C:C,input_433100!A43)+COUNTIF(tables_433100!C:C,input_433100!A44))</f>
        <v>14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VLOOKUP(L6,tables_433100!B:C,2,FALSE)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5.4705882352941177E-3</v>
      </c>
      <c r="F7">
        <f>(COUNTIF(tables_433100!C:C,input_433100!A25)+COUNTIF(tables_433100!C:C,input_433100!A18)+COUNTIF(tables_433100!C:C,input_433100!A20)+COUNTIF(tables_433100!C:C,input_433100!A22))</f>
        <v>68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VLOOKUP(L7,tables_433100!B:C,2,FALSE)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2.4260869565217388E-2</v>
      </c>
      <c r="F8">
        <f>(COUNTIF(tables_433100!C:C,input_433100!A40)+COUNTIF(tables_433100!C:C,input_433100!A33)+COUNTIF(tables_433100!C:C,input_433100!A35)+COUNTIF(tables_433100!C:C,input_433100!A37))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VLOOKUP(L8,tables_433100!B:C,2,FALSE)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VLOOKUP(L9,tables_433100!B:C,2,FALSE)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0.92999999999999994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VLOOKUP(L10,tables_433100!B:C,2,FALSE)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276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VLOOKUP(L11,tables_433100!B:C,2,FALSE)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VLOOKUP(L12,tables_433100!B:C,2,FALSE)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VLOOKUP(L13,tables_433100!B:C,2,FALSE)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VLOOKUP(L14,tables_433100!B:C,2,FALSE)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VLOOKUP(L15,tables_433100!B:C,2,FALSE)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VLOOKUP(L16,tables_433100!B:C,2,FALSE)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COUNTIF(tables_433100!C:C,input_433100!A17)-COUNTIF(Q:Q,A17)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8.2058823529411767E-2</v>
      </c>
      <c r="C18" s="86">
        <f t="shared" si="2"/>
        <v>0</v>
      </c>
      <c r="D18" s="75">
        <f t="shared" si="3"/>
        <v>8.2058823529411767E-2</v>
      </c>
      <c r="E18">
        <f>COUNTIF(tables_433100!C:C,input_433100!A18)-COUNTIF(Q:Q,A18)</f>
        <v>15</v>
      </c>
      <c r="F18" s="43">
        <f>IFERROR(B18/E18,0)</f>
        <v>5.4705882352941177E-3</v>
      </c>
      <c r="G18">
        <f t="shared" si="4"/>
        <v>959760</v>
      </c>
      <c r="H18">
        <f t="shared" si="5"/>
        <v>63984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COUNTIF(tables_433100!C:C,input_433100!A19)-COUNTIF(Q:Q,A19)</f>
        <v>40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3">
        <f>E$7*E20*B$6+F49-0.02-G64</f>
        <v>0.19336592008223377</v>
      </c>
      <c r="C20" s="86">
        <f t="shared" si="2"/>
        <v>0</v>
      </c>
      <c r="D20" s="75">
        <f t="shared" si="3"/>
        <v>0.19336592008223377</v>
      </c>
      <c r="E20">
        <f>COUNTIF(tables_433100!C:C,input_433100!A20)-COUNTIF(Q:Q,A20)</f>
        <v>40</v>
      </c>
      <c r="F20" s="43">
        <f t="shared" si="8"/>
        <v>4.8341480020558441E-3</v>
      </c>
      <c r="G20">
        <f t="shared" si="4"/>
        <v>2261607.8012818061</v>
      </c>
      <c r="H20">
        <f t="shared" si="5"/>
        <v>56540.195030000003</v>
      </c>
      <c r="I20">
        <f t="shared" si="6"/>
        <v>0.19503000000258908</v>
      </c>
      <c r="J20">
        <f t="shared" si="7"/>
        <v>5.1274162948609172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E$7*E21*B$7-F49+0.002</f>
        <v>4.5760933291415749E-4</v>
      </c>
      <c r="C21" s="86">
        <f t="shared" si="2"/>
        <v>0</v>
      </c>
      <c r="D21" s="75">
        <f t="shared" si="3"/>
        <v>4.5760933291415749E-4</v>
      </c>
      <c r="E21">
        <f>COUNTIF(tables_433100!C:C,input_433100!A21)-COUNTIF(Q:Q,A21)</f>
        <v>40</v>
      </c>
      <c r="F21" s="43">
        <f t="shared" si="8"/>
        <v>1.1440233322853938E-5</v>
      </c>
      <c r="G21">
        <f t="shared" si="4"/>
        <v>5352.1987577639857</v>
      </c>
      <c r="H21">
        <f t="shared" si="5"/>
        <v>133.80497</v>
      </c>
      <c r="I21">
        <f t="shared" si="6"/>
        <v>0.8049699999999973</v>
      </c>
      <c r="J21">
        <f t="shared" si="7"/>
        <v>1.2422823210802929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7.997058823529421E-2</v>
      </c>
      <c r="C22" s="86">
        <f t="shared" si="2"/>
        <v>0</v>
      </c>
      <c r="D22" s="75">
        <f t="shared" si="3"/>
        <v>7.997058823529421E-2</v>
      </c>
      <c r="E22">
        <f>COUNTIF(tables_433100!C:C,input_433100!A22)-COUNTIF(Q:Q,A22)</f>
        <v>10</v>
      </c>
      <c r="F22" s="43">
        <f t="shared" si="8"/>
        <v>7.9970588235294213E-3</v>
      </c>
      <c r="G22">
        <f t="shared" si="4"/>
        <v>935336.00000000105</v>
      </c>
      <c r="H22">
        <f t="shared" si="5"/>
        <v>93533.6</v>
      </c>
      <c r="I22">
        <f t="shared" si="6"/>
        <v>0.60000000000582077</v>
      </c>
      <c r="J22">
        <f t="shared" si="7"/>
        <v>1.6666666666504979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2.7352941176470589E-3</v>
      </c>
      <c r="C23" s="86">
        <f t="shared" si="2"/>
        <v>0</v>
      </c>
      <c r="D23" s="75">
        <f t="shared" si="3"/>
        <v>2.7352941176470589E-3</v>
      </c>
      <c r="E23">
        <f>COUNTIF(tables_433100!C:C,input_433100!A23)-COUNTIF(Q:Q,A23)</f>
        <v>10</v>
      </c>
      <c r="F23" s="43">
        <f t="shared" si="8"/>
        <v>2.7352941176470589E-4</v>
      </c>
      <c r="G23">
        <f t="shared" si="4"/>
        <v>31992</v>
      </c>
      <c r="H23">
        <f t="shared" si="5"/>
        <v>3199.2</v>
      </c>
      <c r="I23">
        <f t="shared" si="6"/>
        <v>0.1999999999998181</v>
      </c>
      <c r="J23">
        <f t="shared" si="7"/>
        <v>5.0000000000045475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COUNTIF(tables_433100!C:C,input_433100!A24)-COUNTIF(Q:Q,A24)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1.5591176470588233E-2</v>
      </c>
      <c r="C25" s="86">
        <f t="shared" si="2"/>
        <v>0</v>
      </c>
      <c r="D25" s="75">
        <f t="shared" si="3"/>
        <v>1.5591176470588233E-2</v>
      </c>
      <c r="E25">
        <f>COUNTIF(tables_433100!C:C,input_433100!A25)-COUNTIF(Q:Q,A25)</f>
        <v>3</v>
      </c>
      <c r="F25" s="43">
        <f t="shared" si="8"/>
        <v>5.1970588235294114E-3</v>
      </c>
      <c r="G25">
        <f t="shared" si="4"/>
        <v>182354.39999999997</v>
      </c>
      <c r="H25">
        <f t="shared" si="5"/>
        <v>60784.800000000003</v>
      </c>
      <c r="I25">
        <f t="shared" si="6"/>
        <v>0.80000000000291038</v>
      </c>
      <c r="J25">
        <f t="shared" si="7"/>
        <v>1.2499999999954525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8.2058823529411766E-4</v>
      </c>
      <c r="C26" s="86">
        <f t="shared" si="2"/>
        <v>0</v>
      </c>
      <c r="D26" s="75">
        <f t="shared" si="3"/>
        <v>8.2058823529411766E-4</v>
      </c>
      <c r="E26">
        <f>COUNTIF(tables_433100!C:C,input_433100!A26)-COUNTIF(Q:Q,A26)</f>
        <v>3</v>
      </c>
      <c r="F26" s="43">
        <f t="shared" si="8"/>
        <v>2.7352941176470589E-4</v>
      </c>
      <c r="G26">
        <f t="shared" si="4"/>
        <v>9597.6</v>
      </c>
      <c r="H26">
        <f t="shared" si="5"/>
        <v>3199.2</v>
      </c>
      <c r="I26">
        <f t="shared" si="6"/>
        <v>0.1999999999998181</v>
      </c>
      <c r="J26">
        <f t="shared" si="7"/>
        <v>5.0000000000045475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1.5837209298942344E-2</v>
      </c>
      <c r="C27" s="86">
        <f t="shared" si="2"/>
        <v>0</v>
      </c>
      <c r="D27" s="75">
        <f t="shared" si="3"/>
        <v>1.5837209298942344E-2</v>
      </c>
      <c r="E27">
        <f>COUNTIF(tables_433100!C:C,input_433100!A27)-COUNTIF(Q:Q,A27)</f>
        <v>20</v>
      </c>
      <c r="F27" s="43">
        <f>IFERROR(B27/E27,0)</f>
        <v>7.9186046494711718E-4</v>
      </c>
      <c r="G27">
        <f t="shared" si="4"/>
        <v>185231.99996042968</v>
      </c>
      <c r="H27">
        <f t="shared" si="5"/>
        <v>9261.6</v>
      </c>
      <c r="I27">
        <f t="shared" si="6"/>
        <v>0.6000000000003638</v>
      </c>
      <c r="J27">
        <f t="shared" si="7"/>
        <v>1.6666666666656562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4.6511627906976752E-4</v>
      </c>
      <c r="C28" s="86">
        <f t="shared" si="2"/>
        <v>0</v>
      </c>
      <c r="D28" s="75">
        <f t="shared" si="3"/>
        <v>4.6511627906976752E-4</v>
      </c>
      <c r="E28">
        <f>COUNTIF(tables_433100!C:C,input_433100!A28)-COUNTIF(Q:Q,A28)</f>
        <v>20</v>
      </c>
      <c r="F28" s="43">
        <f t="shared" si="8"/>
        <v>2.3255813953488377E-5</v>
      </c>
      <c r="G28">
        <f t="shared" si="4"/>
        <v>5440.0000000000009</v>
      </c>
      <c r="H28">
        <f t="shared" si="5"/>
        <v>272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E$5*E29-0.002</f>
        <v>8.6976744186046534E-3</v>
      </c>
      <c r="C29" s="86">
        <f t="shared" si="2"/>
        <v>0</v>
      </c>
      <c r="D29" s="75">
        <f t="shared" si="3"/>
        <v>8.6976744186046534E-3</v>
      </c>
      <c r="E29">
        <f>COUNTIF(tables_433100!C:C,input_433100!A29)-COUNTIF(Q:Q,A29)</f>
        <v>23</v>
      </c>
      <c r="F29" s="43">
        <f t="shared" si="8"/>
        <v>3.7815975733063709E-4</v>
      </c>
      <c r="G29">
        <f t="shared" si="4"/>
        <v>101728.00000000003</v>
      </c>
      <c r="H29">
        <f t="shared" si="5"/>
        <v>4422.9565199999997</v>
      </c>
      <c r="I29">
        <f t="shared" si="6"/>
        <v>0.95651999999972759</v>
      </c>
      <c r="J29">
        <f t="shared" si="7"/>
        <v>1.0454564462847455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COUNTIF(tables_433100!C:C,input_433100!A30)-COUNTIF(Q:Q,A30)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COUNTIF(tables_433100!C:C,input_433100!A31)-COUNTIF(Q:Q,A31)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3">
        <f>B$5*0.6-B34-B39</f>
        <v>0</v>
      </c>
      <c r="C32" s="86">
        <f t="shared" si="2"/>
        <v>0</v>
      </c>
      <c r="D32" s="75">
        <f t="shared" si="3"/>
        <v>0</v>
      </c>
      <c r="E32">
        <f>COUNTIF(tables_433100!C:C,input_433100!A32)-COUNTIF(Q:Q,A32)</f>
        <v>4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0.14130434782608695</v>
      </c>
      <c r="C33" s="86">
        <f t="shared" si="2"/>
        <v>0</v>
      </c>
      <c r="D33" s="75">
        <f t="shared" si="3"/>
        <v>0.14130434782608695</v>
      </c>
      <c r="E33">
        <f>COUNTIF(tables_433100!C:C,input_433100!A33)-COUNTIF(Q:Q,A33)</f>
        <v>5</v>
      </c>
      <c r="F33" s="43">
        <f>IFERROR(B33/E33,0)</f>
        <v>2.8260869565217388E-2</v>
      </c>
      <c r="G33">
        <f t="shared" si="4"/>
        <v>1652695.6521739129</v>
      </c>
      <c r="H33">
        <f t="shared" si="5"/>
        <v>330539.13043000002</v>
      </c>
      <c r="I33">
        <f t="shared" si="6"/>
        <v>0.13043000001925975</v>
      </c>
      <c r="J33">
        <f t="shared" si="7"/>
        <v>7.6669477869534344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COUNTIF(tables_433100!C:C,input_433100!A34)-COUNTIF(Q:Q,A34)</f>
        <v>12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0.29529926374998927</v>
      </c>
      <c r="C35" s="86">
        <f t="shared" si="2"/>
        <v>0</v>
      </c>
      <c r="D35" s="75">
        <f t="shared" si="3"/>
        <v>0.29529926374998927</v>
      </c>
      <c r="E35">
        <f>COUNTIF(tables_433100!C:C,input_433100!A35)-COUNTIF(Q:Q,A35)</f>
        <v>12</v>
      </c>
      <c r="F35" s="43">
        <f t="shared" si="9"/>
        <v>2.4608271979165774E-2</v>
      </c>
      <c r="G35">
        <f t="shared" si="4"/>
        <v>3453820.1888198745</v>
      </c>
      <c r="H35">
        <f t="shared" si="5"/>
        <v>287818.34907</v>
      </c>
      <c r="I35">
        <f t="shared" si="6"/>
        <v>0.34906999999657273</v>
      </c>
      <c r="J35">
        <f t="shared" si="7"/>
        <v>2.8647549202447022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E$8*E36*B$7-E49+0.005</f>
        <v>8.3117103261931471E-4</v>
      </c>
      <c r="C36" s="86">
        <f t="shared" si="2"/>
        <v>0</v>
      </c>
      <c r="D36" s="75">
        <f t="shared" si="3"/>
        <v>8.3117103261931471E-4</v>
      </c>
      <c r="E36">
        <f>COUNTIF(tables_433100!C:C,input_433100!A36)-COUNTIF(Q:Q,A36)</f>
        <v>12</v>
      </c>
      <c r="F36" s="43">
        <f t="shared" si="9"/>
        <v>6.926425271827623E-5</v>
      </c>
      <c r="G36">
        <f t="shared" si="4"/>
        <v>9721.3763975155052</v>
      </c>
      <c r="H36">
        <f t="shared" si="5"/>
        <v>810.11469999999997</v>
      </c>
      <c r="I36">
        <f t="shared" si="6"/>
        <v>0.11469999999997071</v>
      </c>
      <c r="J36">
        <f t="shared" si="7"/>
        <v>8.7183958151722347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8.7239130434782486E-2</v>
      </c>
      <c r="C37" s="86">
        <f t="shared" si="2"/>
        <v>0</v>
      </c>
      <c r="D37" s="75">
        <f t="shared" si="3"/>
        <v>8.7239130434782486E-2</v>
      </c>
      <c r="E37">
        <f>COUNTIF(tables_433100!C:C,input_433100!A37)-COUNTIF(Q:Q,A37)</f>
        <v>5</v>
      </c>
      <c r="F37" s="43">
        <f t="shared" si="9"/>
        <v>1.7447826086956497E-2</v>
      </c>
      <c r="G37">
        <f t="shared" si="4"/>
        <v>1020348.869565216</v>
      </c>
      <c r="H37">
        <f t="shared" si="5"/>
        <v>204069.77390999999</v>
      </c>
      <c r="I37">
        <f t="shared" si="6"/>
        <v>0.77390999998897314</v>
      </c>
      <c r="J37">
        <f t="shared" si="7"/>
        <v>1.2921399129281805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6.0652173913043478E-3</v>
      </c>
      <c r="C38" s="86">
        <f t="shared" si="2"/>
        <v>0</v>
      </c>
      <c r="D38" s="75">
        <f t="shared" si="3"/>
        <v>6.0652173913043478E-3</v>
      </c>
      <c r="E38">
        <f>COUNTIF(tables_433100!C:C,input_433100!A38)-COUNTIF(Q:Q,A38)</f>
        <v>5</v>
      </c>
      <c r="F38" s="43">
        <f t="shared" si="9"/>
        <v>1.2130434782608695E-3</v>
      </c>
      <c r="G38">
        <f t="shared" si="4"/>
        <v>70938.782608695648</v>
      </c>
      <c r="H38">
        <f t="shared" si="5"/>
        <v>14187.756520000001</v>
      </c>
      <c r="I38">
        <f t="shared" si="6"/>
        <v>0.75652000000081898</v>
      </c>
      <c r="J38">
        <f t="shared" si="7"/>
        <v>1.3218421191758545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COUNTIF(tables_433100!C:C,input_433100!A39)-COUNTIF(Q:Q,A39)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2.3047826086956519E-2</v>
      </c>
      <c r="C40" s="86">
        <f t="shared" si="2"/>
        <v>0</v>
      </c>
      <c r="D40" s="75">
        <f t="shared" si="3"/>
        <v>2.3047826086956519E-2</v>
      </c>
      <c r="E40">
        <f>COUNTIF(tables_433100!C:C,input_433100!A40)-COUNTIF(Q:Q,A40)</f>
        <v>1</v>
      </c>
      <c r="F40" s="43">
        <f t="shared" si="9"/>
        <v>2.3047826086956519E-2</v>
      </c>
      <c r="G40">
        <f t="shared" si="4"/>
        <v>269567.37391304347</v>
      </c>
      <c r="H40">
        <f t="shared" si="5"/>
        <v>269567.37391000002</v>
      </c>
      <c r="I40">
        <f t="shared" si="6"/>
        <v>0.37391000002389774</v>
      </c>
      <c r="J40">
        <f t="shared" si="7"/>
        <v>2.6744403731809445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1.2130434782608695E-3</v>
      </c>
      <c r="C41" s="86">
        <f t="shared" si="2"/>
        <v>0</v>
      </c>
      <c r="D41" s="75">
        <f t="shared" si="3"/>
        <v>1.2130434782608695E-3</v>
      </c>
      <c r="E41">
        <f>COUNTIF(tables_433100!C:C,input_433100!A41)-COUNTIF(Q:Q,A41)</f>
        <v>1</v>
      </c>
      <c r="F41" s="43">
        <f t="shared" si="9"/>
        <v>1.2130434782608695E-3</v>
      </c>
      <c r="G41">
        <f t="shared" si="4"/>
        <v>14187.756521739129</v>
      </c>
      <c r="H41">
        <f t="shared" si="5"/>
        <v>14187.756520000001</v>
      </c>
      <c r="I41">
        <f t="shared" si="6"/>
        <v>0.75652000000081898</v>
      </c>
      <c r="J41">
        <f t="shared" si="7"/>
        <v>1.3218421191758545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1.6285714285714285E-2</v>
      </c>
      <c r="C42" s="86">
        <f t="shared" si="2"/>
        <v>0</v>
      </c>
      <c r="D42" s="75">
        <f t="shared" si="3"/>
        <v>1.6285714285714285E-2</v>
      </c>
      <c r="E42">
        <f>COUNTIF(tables_433100!C:C,input_433100!A42)-COUNTIF(Q:Q,A42)</f>
        <v>8</v>
      </c>
      <c r="F42" s="43">
        <f>IFERROR(B42/E42,0)</f>
        <v>2.0357142857142857E-3</v>
      </c>
      <c r="G42">
        <f t="shared" si="4"/>
        <v>190477.71428571429</v>
      </c>
      <c r="H42">
        <f t="shared" si="5"/>
        <v>23809.71429</v>
      </c>
      <c r="I42">
        <f t="shared" si="6"/>
        <v>0.71428999999989173</v>
      </c>
      <c r="J42">
        <f t="shared" si="7"/>
        <v>1.3999916000506119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8.5714285714285721E-4</v>
      </c>
      <c r="C43" s="86">
        <f t="shared" si="2"/>
        <v>0</v>
      </c>
      <c r="D43" s="75">
        <f t="shared" si="3"/>
        <v>8.5714285714285721E-4</v>
      </c>
      <c r="E43">
        <f>COUNTIF(tables_433100!C:C,input_433100!A43)-COUNTIF(Q:Q,A43)</f>
        <v>8</v>
      </c>
      <c r="F43" s="43">
        <f t="shared" ref="F43:F46" si="10">IFERROR(B43/E43,0)</f>
        <v>1.0714285714285715E-4</v>
      </c>
      <c r="G43">
        <f t="shared" si="4"/>
        <v>10025.142857142859</v>
      </c>
      <c r="H43">
        <f t="shared" si="5"/>
        <v>1253.1428599999999</v>
      </c>
      <c r="I43">
        <f t="shared" si="6"/>
        <v>0.14285999999992782</v>
      </c>
      <c r="J43">
        <f t="shared" si="7"/>
        <v>6.999860002803481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E$6*E44-0.005</f>
        <v>7.8571428571428577E-3</v>
      </c>
      <c r="C44" s="86">
        <f t="shared" si="2"/>
        <v>0</v>
      </c>
      <c r="D44" s="75">
        <f t="shared" si="3"/>
        <v>7.8571428571428577E-3</v>
      </c>
      <c r="E44">
        <f>COUNTIF(tables_433100!C:C,input_433100!A44)-COUNTIF(Q:Q,A44)</f>
        <v>6</v>
      </c>
      <c r="F44" s="43">
        <f t="shared" si="10"/>
        <v>1.3095238095238097E-3</v>
      </c>
      <c r="G44">
        <f t="shared" si="4"/>
        <v>91897.14285714287</v>
      </c>
      <c r="H44">
        <f t="shared" si="5"/>
        <v>15316.190479999999</v>
      </c>
      <c r="I44">
        <f t="shared" si="6"/>
        <v>0.19047999999929743</v>
      </c>
      <c r="J44">
        <f t="shared" si="7"/>
        <v>5.249895002119322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COUNTIF(tables_433100!C:C,input_433100!A45)-COUNTIF(Q:Q,A45)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0.02</v>
      </c>
      <c r="C46" s="86">
        <f t="shared" si="2"/>
        <v>0</v>
      </c>
      <c r="D46" s="75">
        <f t="shared" si="3"/>
        <v>0.02</v>
      </c>
      <c r="E46">
        <f>COUNTIF(tables_433100!C:C,input_433100!A46)-COUNTIF(Q:Q,A46)</f>
        <v>1</v>
      </c>
      <c r="F46" s="43">
        <f t="shared" si="10"/>
        <v>0.02</v>
      </c>
      <c r="G46">
        <f t="shared" si="4"/>
        <v>233920</v>
      </c>
      <c r="H46">
        <f t="shared" si="5"/>
        <v>233920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2">
        <f>SUM(B32:B46)</f>
        <v>0.59999999999999987</v>
      </c>
      <c r="E49" s="97">
        <f>G49*0.6</f>
        <v>1.8725350706511119E-2</v>
      </c>
      <c r="F49" s="107">
        <f>G49-E49</f>
        <v>1.2483567137674078E-2</v>
      </c>
      <c r="G49" s="106">
        <v>3.1208917844185197E-2</v>
      </c>
      <c r="H49" s="106">
        <v>1.5374936061381073E-2</v>
      </c>
    </row>
    <row r="50" spans="1:8" x14ac:dyDescent="0.15">
      <c r="A50" t="s">
        <v>74</v>
      </c>
      <c r="C50" s="92">
        <v>2.8000000000000101E-2</v>
      </c>
      <c r="D50" s="96"/>
      <c r="E50" s="97"/>
      <c r="F50" s="105"/>
      <c r="G50" s="108"/>
    </row>
    <row r="51" spans="1:8" x14ac:dyDescent="0.15">
      <c r="A51" s="31">
        <f>LCM(F5-I5,F7-I6)*1000*2*2</f>
        <v>11696000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4" t="s">
        <v>296</v>
      </c>
    </row>
    <row r="55" spans="1:8" x14ac:dyDescent="0.15">
      <c r="A55" s="33" t="s">
        <v>106</v>
      </c>
      <c r="B55">
        <f ca="1">SUMIF(tables_433100!C:C,input_433100!A55,tables_433100!O:O)</f>
        <v>0</v>
      </c>
      <c r="C55" s="54">
        <f t="shared" ref="C55:C61" ca="1" si="11">B55/B$62</f>
        <v>0</v>
      </c>
      <c r="E55">
        <v>3</v>
      </c>
      <c r="F55">
        <f ca="1">SUMIF(tables_433100!J:J,input_433100!E55,tables_433100!O:O)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SUMIF(tables_433100!C:C,input_433100!A56,tables_433100!O:O)</f>
        <v>2261607.8012000015</v>
      </c>
      <c r="C56" s="54">
        <f t="shared" ca="1" si="11"/>
        <v>0.92023858787646007</v>
      </c>
      <c r="E56">
        <v>4</v>
      </c>
      <c r="F56">
        <f ca="1">SUMIF(tables_433100!J:J,input_433100!E56,tables_433100!O:O)</f>
        <v>11111199.999969993</v>
      </c>
      <c r="G56">
        <f ca="1">F56/A51</f>
        <v>0.94999999999743445</v>
      </c>
      <c r="H56" s="55">
        <f>B18+B20+B22+B25+B27+B30+B33+B35+B37+B40+B42+B45</f>
        <v>0.94999999999999973</v>
      </c>
    </row>
    <row r="57" spans="1:8" x14ac:dyDescent="0.15">
      <c r="A57" s="33" t="s">
        <v>109</v>
      </c>
      <c r="B57">
        <f ca="1">SUMIF(tables_433100!C:C,input_433100!A57,tables_433100!O:O)</f>
        <v>185232.00000000006</v>
      </c>
      <c r="C57" s="54">
        <f t="shared" ca="1" si="11"/>
        <v>7.5370112368328523E-2</v>
      </c>
      <c r="E57">
        <v>5</v>
      </c>
      <c r="F57">
        <f ca="1">SUMIF(tables_433100!J:J,input_433100!E57,tables_433100!O:O)</f>
        <v>584800.00004000007</v>
      </c>
      <c r="G57">
        <f ca="1">F57/A51</f>
        <v>5.0000000003419975E-2</v>
      </c>
      <c r="H57" s="55">
        <f>B21+B23+B26+B28+B29+B31+B36+B38+B41+B43+B44+B46</f>
        <v>0.05</v>
      </c>
    </row>
    <row r="58" spans="1:8" x14ac:dyDescent="0.15">
      <c r="A58" s="33" t="s">
        <v>113</v>
      </c>
      <c r="B58">
        <f>SUMIF(tables_433100!C:C,input_433100!A58,tables_433100!O:O)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SUMIF(tables_433100!C:C,input_433100!A59,tables_433100!O:O)</f>
        <v>5352.1988000000028</v>
      </c>
      <c r="C59" s="54">
        <f t="shared" ca="1" si="11"/>
        <v>2.1777869103266883E-3</v>
      </c>
      <c r="E59" t="s">
        <v>55</v>
      </c>
      <c r="F59" s="55"/>
    </row>
    <row r="60" spans="1:8" x14ac:dyDescent="0.15">
      <c r="A60" s="33" t="s">
        <v>110</v>
      </c>
      <c r="B60">
        <f ca="1">SUMIF(tables_433100!C:C,input_433100!A60,tables_433100!O:O)</f>
        <v>5440</v>
      </c>
      <c r="C60" s="54">
        <f t="shared" ca="1" si="11"/>
        <v>2.2135128448848309E-3</v>
      </c>
      <c r="E60" t="s">
        <v>210</v>
      </c>
      <c r="F60" s="55">
        <f ca="1">SUMIF(tables_433100!I:I,input_433100!E60,tables_433100!P:P)</f>
        <v>0.22336317135326356</v>
      </c>
    </row>
    <row r="61" spans="1:8" x14ac:dyDescent="0.15">
      <c r="A61" s="33" t="s">
        <v>111</v>
      </c>
      <c r="B61">
        <f>SUMIF(tables_433100!C:C,input_433100!A61,tables_433100!O:O)</f>
        <v>0</v>
      </c>
      <c r="C61" s="54">
        <f t="shared" ca="1" si="11"/>
        <v>0</v>
      </c>
      <c r="E61" t="s">
        <v>211</v>
      </c>
      <c r="F61" s="55">
        <f ca="1">SUMIF(tables_433100!I:I,input_433100!E61,tables_433100!P:P)</f>
        <v>0.19690483802223283</v>
      </c>
    </row>
    <row r="62" spans="1:8" x14ac:dyDescent="0.15">
      <c r="A62" s="39" t="s">
        <v>60</v>
      </c>
      <c r="B62">
        <f ca="1">SUM(B55:B61)</f>
        <v>2457632.0000000014</v>
      </c>
      <c r="C62" s="55">
        <f ca="1">SUM(C55:C61)</f>
        <v>1.0000000000000002</v>
      </c>
      <c r="E62" t="s">
        <v>212</v>
      </c>
      <c r="F62" s="55">
        <f ca="1">SUMIF(tables_433100!I:I,input_433100!E62,tables_433100!P:P)</f>
        <v>0.50973199062114449</v>
      </c>
    </row>
    <row r="63" spans="1:8" x14ac:dyDescent="0.15">
      <c r="E63" t="s">
        <v>213</v>
      </c>
      <c r="F63" s="55">
        <f ca="1">SUMIF(tables_433100!I:I,input_433100!E63,tables_433100!P:P)</f>
        <v>4.7555996921983999E-2</v>
      </c>
    </row>
    <row r="64" spans="1:8" x14ac:dyDescent="0.15">
      <c r="E64" t="s">
        <v>283</v>
      </c>
      <c r="F64" s="55">
        <f ca="1">SUMIF(tables_433100!I:I,input_433100!E64,tables_433100!P:P)</f>
        <v>2.4440030813932625E-3</v>
      </c>
      <c r="G64" s="55">
        <v>6.9999999966167611E-3</v>
      </c>
    </row>
    <row r="65" spans="5:6" x14ac:dyDescent="0.15">
      <c r="E65" t="s">
        <v>285</v>
      </c>
      <c r="F65" s="55">
        <f ca="1">SUMIF(tables_433100!I:I,input_433100!E65,tables_433100!P:P)</f>
        <v>1.9999999999982927E-2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24"/>
  <sheetViews>
    <sheetView showGridLines="0" zoomScale="70" zoomScaleNormal="70" zoomScalePageLayoutView="70" workbookViewId="0">
      <pane ySplit="1" topLeftCell="A284" activePane="bottomLeft" state="frozen"/>
      <selection activeCell="Q291" sqref="Q291"/>
      <selection pane="bottomLeft" activeCell="K317" sqref="K31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input_433100!A$2</f>
        <v>433100</v>
      </c>
      <c r="B2" s="6">
        <v>127</v>
      </c>
      <c r="C2" s="7" t="str">
        <f t="shared" ref="C2:C65" si="0">D2&amp;J2&amp;E2&amp;F2&amp;G2</f>
        <v>PremiumW4color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IFERROR(VLOOKUP(B2,input_433100!L:R,7,FALSE),VLOOKUP(tables_433100!C2,input_433100!A:H,8,FALSE))</f>
        <v>330539.13043000002</v>
      </c>
      <c r="P2" s="46">
        <f t="shared" ref="P2:P65" ca="1" si="1">O2/SUM(O:O)</f>
        <v>2.8260869564784359E-2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input_433100!A$2</f>
        <v>433100</v>
      </c>
      <c r="B3" s="6">
        <v>128</v>
      </c>
      <c r="C3" s="7" t="str">
        <f t="shared" si="0"/>
        <v>PremiumW3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/>
      </c>
      <c r="H3" s="7" t="str">
        <f>VLOOKUP(B3,[1]characters!$A:$C,3,FALSE)</f>
        <v>野生児 アマラ</v>
      </c>
      <c r="I3" s="7" t="str">
        <f>VLOOKUP(B3,[1]characters!$A:$J,10,FALSE)</f>
        <v>PremiumW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IFERROR(VLOOKUP(B3,input_433100!L:R,7,FALSE),VLOOKUP(tables_433100!C3,input_433100!A:H,8,FALSE))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input_433100!A$2</f>
        <v>433100</v>
      </c>
      <c r="B4" s="6">
        <v>129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孤高の狼憑き アマラ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IFERROR(VLOOKUP(B4,input_433100!L:R,7,FALSE),VLOOKUP(tables_433100!C4,input_433100!A:H,8,FALSE))</f>
        <v>63984</v>
      </c>
      <c r="P4" s="46">
        <f t="shared" ca="1" si="1"/>
        <v>5.4705882352894478E-3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input_433100!A$2</f>
        <v>433100</v>
      </c>
      <c r="B5" s="6">
        <v>130</v>
      </c>
      <c r="C5" s="7" t="str">
        <f t="shared" si="0"/>
        <v>PremiumW3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狼男 ローレンス</v>
      </c>
      <c r="I5" s="7" t="str">
        <f>VLOOKUP(B5,[1]characters!$A:$J,10,FALSE)</f>
        <v>PremiumW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f ca="1">IFERROR(VLOOKUP(B5,input_433100!L:R,7,FALSE),VLOOKUP(tables_433100!C5,input_433100!A:H,8,FALSE))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input_433100!A$2</f>
        <v>433100</v>
      </c>
      <c r="B6" s="6">
        <v>131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月下の人狼 ローレンス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IFERROR(VLOOKUP(B6,input_433100!L:R,7,FALSE),VLOOKUP(tables_433100!C6,input_433100!A:H,8,FALSE))</f>
        <v>63984</v>
      </c>
      <c r="P6" s="46">
        <f t="shared" ca="1" si="1"/>
        <v>5.4705882352894478E-3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input_433100!A$2</f>
        <v>433100</v>
      </c>
      <c r="B7" s="6">
        <v>132</v>
      </c>
      <c r="C7" s="7" t="str">
        <f t="shared" si="0"/>
        <v>PremiumW3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鳥人ハヤト</v>
      </c>
      <c r="I7" s="7" t="str">
        <f>VLOOKUP(B7,[1]characters!$A:$J,10,FALSE)</f>
        <v>PremiumW</v>
      </c>
      <c r="J7" s="7">
        <f>VLOOKUP(B7,[1]characters!$A:$I,9,FALSE)</f>
        <v>3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f ca="1">IFERROR(VLOOKUP(B7,input_433100!L:R,7,FALSE),VLOOKUP(tables_433100!C7,input_433100!A:H,8,FALSE))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input_433100!A$2</f>
        <v>433100</v>
      </c>
      <c r="B8" s="6">
        <v>133</v>
      </c>
      <c r="C8" s="7" t="str">
        <f t="shared" si="0"/>
        <v>PremiumW4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迅雷の刀剣 ハヤト</v>
      </c>
      <c r="I8" s="7" t="str">
        <f>VLOOKUP(B8,[1]characters!$A:$J,10,FALSE)</f>
        <v>PremiumW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IFERROR(VLOOKUP(B8,input_433100!L:R,7,FALSE),VLOOKUP(tables_433100!C8,input_433100!A:H,8,FALSE))</f>
        <v>63984</v>
      </c>
      <c r="P8" s="46">
        <f t="shared" ca="1" si="1"/>
        <v>5.4705882352894478E-3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input_433100!A$2</f>
        <v>433100</v>
      </c>
      <c r="B9" s="6">
        <v>134</v>
      </c>
      <c r="C9" s="7" t="str">
        <f t="shared" si="0"/>
        <v>PremiumW3color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妖炎の夕霧</v>
      </c>
      <c r="I9" s="7" t="str">
        <f>VLOOKUP(B9,[1]characters!$A:$J,10,FALSE)</f>
        <v>PremiumW</v>
      </c>
      <c r="J9" s="7">
        <f>VLOOKUP(B9,[1]characters!$A:$I,9,FALSE)</f>
        <v>3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ca="1">IFERROR(VLOOKUP(B9,input_433100!L:R,7,FALSE),VLOOKUP(tables_433100!C9,input_433100!A:H,8,FALSE))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input_433100!A$2</f>
        <v>433100</v>
      </c>
      <c r="B10" s="6">
        <v>135</v>
      </c>
      <c r="C10" s="7" t="str">
        <f t="shared" si="0"/>
        <v>PremiumW4color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京の炎華夕霧</v>
      </c>
      <c r="I10" s="7" t="str">
        <f>VLOOKUP(B10,[1]characters!$A:$J,10,FALSE)</f>
        <v>PremiumW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IFERROR(VLOOKUP(B10,input_433100!L:R,7,FALSE),VLOOKUP(tables_433100!C10,input_433100!A:H,8,FALSE))</f>
        <v>330539.13043000002</v>
      </c>
      <c r="P10" s="46">
        <f t="shared" ca="1" si="1"/>
        <v>2.8260869564784359E-2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input_433100!A$2</f>
        <v>433100</v>
      </c>
      <c r="B11" s="8">
        <v>136</v>
      </c>
      <c r="C11" s="7" t="str">
        <f t="shared" si="0"/>
        <v>PremiumW3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お針子チハヤ</v>
      </c>
      <c r="I11" s="7" t="str">
        <f>VLOOKUP(B11,[1]characters!$A:$J,10,FALSE)</f>
        <v>PremiumW</v>
      </c>
      <c r="J11" s="7">
        <f>VLOOKUP(B11,[1]characters!$A:$I,9,FALSE)</f>
        <v>3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IFERROR(VLOOKUP(B11,input_433100!L:R,7,FALSE),VLOOKUP(tables_433100!C11,input_433100!A:H,8,FALSE))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input_433100!A$2</f>
        <v>433100</v>
      </c>
      <c r="B12" s="8">
        <v>137</v>
      </c>
      <c r="C12" s="7" t="str">
        <f t="shared" si="0"/>
        <v>PremiumW4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清福の仕立屋 チハヤ</v>
      </c>
      <c r="I12" s="7" t="str">
        <f>VLOOKUP(B12,[1]characters!$A:$J,10,FALSE)</f>
        <v>PremiumW</v>
      </c>
      <c r="J12" s="7">
        <f>VLOOKUP(B12,[1]characters!$A:$I,9,FALSE)</f>
        <v>4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IFERROR(VLOOKUP(B12,input_433100!L:R,7,FALSE),VLOOKUP(tables_433100!C12,input_433100!A:H,8,FALSE))</f>
        <v>63984</v>
      </c>
      <c r="P12" s="46">
        <f t="shared" ca="1" si="1"/>
        <v>5.4705882352894478E-3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input_433100!A$2</f>
        <v>433100</v>
      </c>
      <c r="B13" s="6">
        <v>138</v>
      </c>
      <c r="C13" s="7" t="str">
        <f t="shared" si="0"/>
        <v>PremiumW3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蒼薙のトモエ</v>
      </c>
      <c r="I13" s="7" t="str">
        <f>VLOOKUP(B13,[1]characters!$A:$J,10,FALSE)</f>
        <v>PremiumW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IFERROR(VLOOKUP(B13,input_433100!L:R,7,FALSE),VLOOKUP(tables_433100!C13,input_433100!A:H,8,FALSE))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input_433100!A$2</f>
        <v>433100</v>
      </c>
      <c r="B14" s="6">
        <v>139</v>
      </c>
      <c r="C14" s="7" t="str">
        <f t="shared" si="0"/>
        <v>PremiumW4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蒼昇刃姫 トモエ</v>
      </c>
      <c r="I14" s="7" t="str">
        <f>VLOOKUP(B14,[1]characters!$A:$J,10,FALSE)</f>
        <v>PremiumW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IFERROR(VLOOKUP(B14,input_433100!L:R,7,FALSE),VLOOKUP(tables_433100!C14,input_433100!A:H,8,FALSE))</f>
        <v>63984</v>
      </c>
      <c r="P14" s="46">
        <f t="shared" ca="1" si="1"/>
        <v>5.4705882352894478E-3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input_433100!A$2</f>
        <v>433100</v>
      </c>
      <c r="B15" s="10">
        <v>140</v>
      </c>
      <c r="C15" s="7" t="str">
        <f t="shared" si="0"/>
        <v>PremiumW3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秋祭のタマモ</v>
      </c>
      <c r="I15" s="7" t="str">
        <f>VLOOKUP(B15,[1]characters!$A:$J,10,FALSE)</f>
        <v>PremiumW</v>
      </c>
      <c r="J15" s="7">
        <f>VLOOKUP(B15,[1]characters!$A:$I,9,FALSE)</f>
        <v>3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ca="1">IFERROR(VLOOKUP(B15,input_433100!L:R,7,FALSE),VLOOKUP(tables_433100!C15,input_433100!A:H,8,FALSE))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input_433100!A$2</f>
        <v>433100</v>
      </c>
      <c r="B16" s="11">
        <v>141</v>
      </c>
      <c r="C16" s="7" t="str">
        <f t="shared" si="0"/>
        <v>PremiumW4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妖狐演舞 タマモ</v>
      </c>
      <c r="I16" s="7" t="str">
        <f>VLOOKUP(B16,[1]characters!$A:$J,10,FALSE)</f>
        <v>PremiumW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IFERROR(VLOOKUP(B16,input_433100!L:R,7,FALSE),VLOOKUP(tables_433100!C16,input_433100!A:H,8,FALSE))</f>
        <v>63984</v>
      </c>
      <c r="P16" s="46">
        <f t="shared" ca="1" si="1"/>
        <v>5.4705882352894478E-3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input_433100!A$2</f>
        <v>433100</v>
      </c>
      <c r="B17" s="6">
        <v>142</v>
      </c>
      <c r="C17" s="7" t="str">
        <f t="shared" si="0"/>
        <v>PremiumW3color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赤ずきん</v>
      </c>
      <c r="I17" s="7" t="str">
        <f>VLOOKUP(B17,[1]characters!$A:$J,10,FALSE)</f>
        <v>PremiumW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IFERROR(VLOOKUP(B17,input_433100!L:R,7,FALSE),VLOOKUP(tables_433100!C17,input_433100!A:H,8,FALSE))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input_433100!A$2</f>
        <v>433100</v>
      </c>
      <c r="B18" s="6">
        <v>143</v>
      </c>
      <c r="C18" s="7" t="str">
        <f t="shared" si="0"/>
        <v>PremiumW4color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深紅の死神 赤ずきん</v>
      </c>
      <c r="I18" s="7" t="str">
        <f>VLOOKUP(B18,[1]characters!$A:$J,10,FALSE)</f>
        <v>PremiumW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IFERROR(VLOOKUP(B18,input_433100!L:R,7,FALSE),VLOOKUP(tables_433100!C18,input_433100!A:H,8,FALSE))</f>
        <v>330539.13043000002</v>
      </c>
      <c r="P18" s="46">
        <f t="shared" ca="1" si="1"/>
        <v>2.8260869564784359E-2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input_433100!A$2</f>
        <v>433100</v>
      </c>
      <c r="B19" s="10">
        <v>144</v>
      </c>
      <c r="C19" s="7" t="str">
        <f t="shared" si="0"/>
        <v>PremiumW3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かぐや</v>
      </c>
      <c r="I19" s="7" t="str">
        <f>VLOOKUP(B19,[1]characters!$A:$J,10,FALSE)</f>
        <v>PremiumW</v>
      </c>
      <c r="J19" s="7">
        <f>VLOOKUP(B19,[1]characters!$A:$I,9,FALSE)</f>
        <v>3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IFERROR(VLOOKUP(B19,input_433100!L:R,7,FALSE),VLOOKUP(tables_433100!C19,input_433100!A:H,8,FALSE))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input_433100!A$2</f>
        <v>433100</v>
      </c>
      <c r="B20" s="6">
        <v>145</v>
      </c>
      <c r="C20" s="7" t="str">
        <f t="shared" si="0"/>
        <v>PremiumW4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魔性妖艶 かぐや</v>
      </c>
      <c r="I20" s="7" t="str">
        <f>VLOOKUP(B20,[1]characters!$A:$J,10,FALSE)</f>
        <v>PremiumW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IFERROR(VLOOKUP(B20,input_433100!L:R,7,FALSE),VLOOKUP(tables_433100!C20,input_433100!A:H,8,FALSE))</f>
        <v>63984</v>
      </c>
      <c r="P20" s="46">
        <f t="shared" ca="1" si="1"/>
        <v>5.4705882352894478E-3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input_433100!A$2</f>
        <v>433100</v>
      </c>
      <c r="B21" s="6">
        <v>146</v>
      </c>
      <c r="C21" s="7" t="str">
        <f t="shared" si="0"/>
        <v>PremiumW3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マーメイド</v>
      </c>
      <c r="I21" s="7" t="str">
        <f>VLOOKUP(B21,[1]characters!$A:$J,10,FALSE)</f>
        <v>PremiumW</v>
      </c>
      <c r="J21" s="7">
        <f>VLOOKUP(B21,[1]characters!$A:$I,9,FALSE)</f>
        <v>3</v>
      </c>
      <c r="K21" s="7" t="str">
        <f>VLOOKUP(B21,[1]characters!$A:$H,8,FALSE)</f>
        <v>blue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IFERROR(VLOOKUP(B21,input_433100!L:R,7,FALSE),VLOOKUP(tables_433100!C21,input_433100!A:H,8,FALSE))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input_433100!A$2</f>
        <v>433100</v>
      </c>
      <c r="B22" s="6">
        <v>147</v>
      </c>
      <c r="C22" s="7" t="str">
        <f t="shared" si="0"/>
        <v>PremiumW4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蒼き閃光 元マーメイド</v>
      </c>
      <c r="I22" s="7" t="str">
        <f>VLOOKUP(B22,[1]characters!$A:$J,10,FALSE)</f>
        <v>PremiumW</v>
      </c>
      <c r="J22" s="7">
        <f>VLOOKUP(B22,[1]characters!$A:$I,9,FALSE)</f>
        <v>4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IFERROR(VLOOKUP(B22,input_433100!L:R,7,FALSE),VLOOKUP(tables_433100!C22,input_433100!A:H,8,FALSE))</f>
        <v>63984</v>
      </c>
      <c r="P22" s="46">
        <f t="shared" ca="1" si="1"/>
        <v>5.4705882352894478E-3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input_433100!A$2</f>
        <v>433100</v>
      </c>
      <c r="B23" s="6">
        <v>148</v>
      </c>
      <c r="C23" s="7" t="str">
        <f t="shared" si="0"/>
        <v>PremiumW3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シンデレラ</v>
      </c>
      <c r="I23" s="7" t="str">
        <f>VLOOKUP(B23,[1]characters!$A:$J,10,FALSE)</f>
        <v>PremiumW</v>
      </c>
      <c r="J23" s="7">
        <f>VLOOKUP(B23,[1]characters!$A:$I,9,FALSE)</f>
        <v>3</v>
      </c>
      <c r="K23" s="7" t="str">
        <f>VLOOKUP(B23,[1]characters!$A:$H,8,FALSE)</f>
        <v>yellow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IFERROR(VLOOKUP(B23,input_433100!L:R,7,FALSE),VLOOKUP(tables_433100!C23,input_433100!A:H,8,FALSE))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input_433100!A$2</f>
        <v>433100</v>
      </c>
      <c r="B24" s="6">
        <v>149</v>
      </c>
      <c r="C24" s="7" t="str">
        <f t="shared" si="0"/>
        <v>PremiumW4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雷撃蹴技を極めし者 シンデレラ</v>
      </c>
      <c r="I24" s="7" t="str">
        <f>VLOOKUP(B24,[1]characters!$A:$J,10,FALSE)</f>
        <v>PremiumW</v>
      </c>
      <c r="J24" s="7">
        <f>VLOOKUP(B24,[1]characters!$A:$I,9,FALSE)</f>
        <v>4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IFERROR(VLOOKUP(B24,input_433100!L:R,7,FALSE),VLOOKUP(tables_433100!C24,input_433100!A:H,8,FALSE))</f>
        <v>63984</v>
      </c>
      <c r="P24" s="46">
        <f t="shared" ca="1" si="1"/>
        <v>5.4705882352894478E-3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input_433100!A$2</f>
        <v>433100</v>
      </c>
      <c r="B25" s="6">
        <v>150</v>
      </c>
      <c r="C25" s="7" t="str">
        <f t="shared" si="0"/>
        <v>PremiumW3color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ポイズンマスターサキ</v>
      </c>
      <c r="I25" s="7" t="str">
        <f>VLOOKUP(B25,[1]characters!$A:$J,10,FALSE)</f>
        <v>PremiumW</v>
      </c>
      <c r="J25" s="7">
        <f>VLOOKUP(B25,[1]characters!$A:$I,9,FALSE)</f>
        <v>3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IFERROR(VLOOKUP(B25,input_433100!L:R,7,FALSE),VLOOKUP(tables_433100!C25,input_433100!A:H,8,FALSE))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input_433100!A$2</f>
        <v>433100</v>
      </c>
      <c r="B26" s="6">
        <v>151</v>
      </c>
      <c r="C26" s="7" t="str">
        <f t="shared" si="0"/>
        <v>PremiumW4color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毒煙の処刑人サキ</v>
      </c>
      <c r="I26" s="7" t="str">
        <f>VLOOKUP(B26,[1]characters!$A:$J,10,FALSE)</f>
        <v>PremiumW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IFERROR(VLOOKUP(B26,input_433100!L:R,7,FALSE),VLOOKUP(tables_433100!C26,input_433100!A:H,8,FALSE))</f>
        <v>330539.13043000002</v>
      </c>
      <c r="P26" s="46">
        <f t="shared" ca="1" si="1"/>
        <v>2.8260869564784359E-2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input_433100!A$2</f>
        <v>433100</v>
      </c>
      <c r="B27" s="6">
        <v>152</v>
      </c>
      <c r="C27" s="7" t="str">
        <f t="shared" si="0"/>
        <v>PremiumW3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功夫少女ランラン</v>
      </c>
      <c r="I27" s="7" t="str">
        <f>VLOOKUP(B27,[1]characters!$A:$J,10,FALSE)</f>
        <v>PremiumW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IFERROR(VLOOKUP(B27,input_433100!L:R,7,FALSE),VLOOKUP(tables_433100!C27,input_433100!A:H,8,FALSE))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input_433100!A$2</f>
        <v>433100</v>
      </c>
      <c r="B28" s="6">
        <v>153</v>
      </c>
      <c r="C28" s="7" t="str">
        <f t="shared" si="0"/>
        <v>PremiumW4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拳聖ランラン</v>
      </c>
      <c r="I28" s="7" t="str">
        <f>VLOOKUP(B28,[1]characters!$A:$J,10,FALSE)</f>
        <v>PremiumW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IFERROR(VLOOKUP(B28,input_433100!L:R,7,FALSE),VLOOKUP(tables_433100!C28,input_433100!A:H,8,FALSE))</f>
        <v>63984</v>
      </c>
      <c r="P28" s="46">
        <f t="shared" ca="1" si="1"/>
        <v>5.4705882352894478E-3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input_433100!A$2</f>
        <v>433100</v>
      </c>
      <c r="B29" s="6">
        <v>154</v>
      </c>
      <c r="C29" s="7" t="str">
        <f t="shared" si="0"/>
        <v>PremiumW3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始末屋 ハンナ</v>
      </c>
      <c r="I29" s="7" t="str">
        <f>VLOOKUP(B29,[1]characters!$A:$J,10,FALSE)</f>
        <v>PremiumW</v>
      </c>
      <c r="J29" s="7">
        <f>VLOOKUP(B29,[1]characters!$A:$I,9,FALSE)</f>
        <v>3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IFERROR(VLOOKUP(B29,input_433100!L:R,7,FALSE),VLOOKUP(tables_433100!C29,input_433100!A:H,8,FALSE))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input_433100!A$2</f>
        <v>433100</v>
      </c>
      <c r="B30" s="6">
        <v>155</v>
      </c>
      <c r="C30" s="7" t="str">
        <f t="shared" si="0"/>
        <v>PremiumW4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隻眼の掃除屋 ハンナ</v>
      </c>
      <c r="I30" s="7" t="str">
        <f>VLOOKUP(B30,[1]characters!$A:$J,10,FALSE)</f>
        <v>PremiumW</v>
      </c>
      <c r="J30" s="7">
        <f>VLOOKUP(B30,[1]characters!$A:$I,9,FALSE)</f>
        <v>4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IFERROR(VLOOKUP(B30,input_433100!L:R,7,FALSE),VLOOKUP(tables_433100!C30,input_433100!A:H,8,FALSE))</f>
        <v>63984</v>
      </c>
      <c r="P30" s="46">
        <f t="shared" ca="1" si="1"/>
        <v>5.4705882352894478E-3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input_433100!A$2</f>
        <v>433100</v>
      </c>
      <c r="B31" s="6">
        <v>156</v>
      </c>
      <c r="C31" s="7" t="str">
        <f t="shared" si="0"/>
        <v>PremiumW3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踊り子 エレナ</v>
      </c>
      <c r="I31" s="7" t="str">
        <f>VLOOKUP(B31,[1]characters!$A:$J,10,FALSE)</f>
        <v>PremiumW</v>
      </c>
      <c r="J31" s="7">
        <f>VLOOKUP(B31,[1]characters!$A:$I,9,FALSE)</f>
        <v>3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IFERROR(VLOOKUP(B31,input_433100!L:R,7,FALSE),VLOOKUP(tables_433100!C31,input_433100!A:H,8,FALSE))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input_433100!A$2</f>
        <v>433100</v>
      </c>
      <c r="B32" s="6">
        <v>157</v>
      </c>
      <c r="C32" s="7" t="str">
        <f t="shared" si="0"/>
        <v>PremiumW4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雷光舞姫 エレナ</v>
      </c>
      <c r="I32" s="7" t="str">
        <f>VLOOKUP(B32,[1]characters!$A:$J,10,FALSE)</f>
        <v>PremiumW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IFERROR(VLOOKUP(B32,input_433100!L:R,7,FALSE),VLOOKUP(tables_433100!C32,input_433100!A:H,8,FALSE))</f>
        <v>63984</v>
      </c>
      <c r="P32" s="46">
        <f t="shared" ca="1" si="1"/>
        <v>5.4705882352894478E-3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input_433100!A$2</f>
        <v>433100</v>
      </c>
      <c r="B33" s="6">
        <v>158</v>
      </c>
      <c r="C33" s="7" t="str">
        <f t="shared" si="0"/>
        <v>PremiumW3color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>color</v>
      </c>
      <c r="H33" s="7" t="str">
        <f>VLOOKUP(B33,[1]characters!$A:$C,3,FALSE)</f>
        <v>シスター シャルロッテ</v>
      </c>
      <c r="I33" s="7" t="str">
        <f>VLOOKUP(B33,[1]characters!$A:$J,10,FALSE)</f>
        <v>PremiumW</v>
      </c>
      <c r="J33" s="7">
        <f>VLOOKUP(B33,[1]characters!$A:$I,9,FALSE)</f>
        <v>3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IFERROR(VLOOKUP(B33,input_433100!L:R,7,FALSE),VLOOKUP(tables_433100!C33,input_433100!A:H,8,FALSE))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input_433100!A$2</f>
        <v>433100</v>
      </c>
      <c r="B34" s="6">
        <v>159</v>
      </c>
      <c r="C34" s="7" t="str">
        <f t="shared" si="0"/>
        <v>PremiumW4color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邪を狩りし者 シャルロッテ</v>
      </c>
      <c r="I34" s="7" t="str">
        <f>VLOOKUP(B34,[1]characters!$A:$J,10,FALSE)</f>
        <v>PremiumW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IFERROR(VLOOKUP(B34,input_433100!L:R,7,FALSE),VLOOKUP(tables_433100!C34,input_433100!A:H,8,FALSE))</f>
        <v>330539.13043000002</v>
      </c>
      <c r="P34" s="46">
        <f t="shared" ca="1" si="1"/>
        <v>2.8260869564784359E-2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input_433100!A$2</f>
        <v>433100</v>
      </c>
      <c r="B35" s="6">
        <v>160</v>
      </c>
      <c r="C35" s="7" t="str">
        <f t="shared" si="0"/>
        <v>PremiumW3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反逆者 クリエ</v>
      </c>
      <c r="I35" s="7" t="str">
        <f>VLOOKUP(B35,[1]characters!$A:$J,10,FALSE)</f>
        <v>PremiumW</v>
      </c>
      <c r="J35" s="7">
        <f>VLOOKUP(B35,[1]characters!$A:$I,9,FALSE)</f>
        <v>3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IFERROR(VLOOKUP(B35,input_433100!L:R,7,FALSE),VLOOKUP(tables_433100!C35,input_433100!A:H,8,FALSE))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input_433100!A$2</f>
        <v>433100</v>
      </c>
      <c r="B36" s="6">
        <v>161</v>
      </c>
      <c r="C36" s="7" t="str">
        <f t="shared" si="0"/>
        <v>PremiumW4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咆哮の先導者 クリエ</v>
      </c>
      <c r="I36" s="7" t="str">
        <f>VLOOKUP(B36,[1]characters!$A:$J,10,FALSE)</f>
        <v>PremiumW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IFERROR(VLOOKUP(B36,input_433100!L:R,7,FALSE),VLOOKUP(tables_433100!C36,input_433100!A:H,8,FALSE))</f>
        <v>63984</v>
      </c>
      <c r="P36" s="46">
        <f t="shared" ca="1" si="1"/>
        <v>5.4705882352894478E-3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input_433100!A$2</f>
        <v>433100</v>
      </c>
      <c r="B37" s="6">
        <v>162</v>
      </c>
      <c r="C37" s="7" t="str">
        <f t="shared" si="0"/>
        <v>PremiumW3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狂女 クララ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IFERROR(VLOOKUP(B37,input_433100!L:R,7,FALSE),VLOOKUP(tables_433100!C37,input_433100!A:H,8,FALSE))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input_433100!A$2</f>
        <v>433100</v>
      </c>
      <c r="B38" s="6">
        <v>163</v>
      </c>
      <c r="C38" s="7" t="str">
        <f t="shared" si="0"/>
        <v>PremiumW4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冷酷な狂嬢 クララ</v>
      </c>
      <c r="I38" s="7" t="str">
        <f>VLOOKUP(B38,[1]characters!$A:$J,10,FALSE)</f>
        <v>PremiumW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IFERROR(VLOOKUP(B38,input_433100!L:R,7,FALSE),VLOOKUP(tables_433100!C38,input_433100!A:H,8,FALSE))</f>
        <v>63984</v>
      </c>
      <c r="P38" s="46">
        <f t="shared" ca="1" si="1"/>
        <v>5.4705882352894478E-3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input_433100!A$2</f>
        <v>433100</v>
      </c>
      <c r="B39" s="6">
        <v>164</v>
      </c>
      <c r="C39" s="7" t="str">
        <f t="shared" si="0"/>
        <v>PremiumW3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イブとトモダチ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yellow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IFERROR(VLOOKUP(B39,input_433100!L:R,7,FALSE),VLOOKUP(tables_433100!C39,input_433100!A:H,8,FALSE))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input_433100!A$2</f>
        <v>433100</v>
      </c>
      <c r="B40" s="6">
        <v>165</v>
      </c>
      <c r="C40" s="7" t="str">
        <f t="shared" si="0"/>
        <v>PremiumW4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イブとたったひとりのトモダチ</v>
      </c>
      <c r="I40" s="7" t="str">
        <f>VLOOKUP(B40,[1]characters!$A:$J,10,FALSE)</f>
        <v>PremiumW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IFERROR(VLOOKUP(B40,input_433100!L:R,7,FALSE),VLOOKUP(tables_433100!C40,input_433100!A:H,8,FALSE))</f>
        <v>63984</v>
      </c>
      <c r="P40" s="46">
        <f t="shared" ca="1" si="1"/>
        <v>5.4705882352894478E-3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input_433100!A$2</f>
        <v>433100</v>
      </c>
      <c r="B41" s="6">
        <v>166</v>
      </c>
      <c r="C41" s="7" t="str">
        <f t="shared" si="0"/>
        <v>Premium3R6releasecolor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>R6release</v>
      </c>
      <c r="G41" s="7" t="str">
        <f t="shared" si="3"/>
        <v>color</v>
      </c>
      <c r="H41" s="7" t="str">
        <f>VLOOKUP(B41,[1]characters!$A:$C,3,FALSE)</f>
        <v>ベリアル</v>
      </c>
      <c r="I41" s="7" t="str">
        <f>VLOOKUP(B41,[1]characters!$A:$J,10,FALSE)</f>
        <v>PremiumN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ca="1">IFERROR(VLOOKUP(B41,input_433100!L:R,7,FALSE),VLOOKUP(tables_433100!C41,input_433100!A:H,8,FALSE))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input_433100!A$2</f>
        <v>433100</v>
      </c>
      <c r="B42" s="6">
        <v>167</v>
      </c>
      <c r="C42" s="7" t="str">
        <f t="shared" si="0"/>
        <v>Premium4R6releasecolor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逆徒 ベリアル</v>
      </c>
      <c r="I42" s="7" t="str">
        <f>VLOOKUP(B42,[1]characters!$A:$J,10,FALSE)</f>
        <v>PremiumN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IFERROR(VLOOKUP(B42,input_433100!L:R,7,FALSE),VLOOKUP(tables_433100!C42,input_433100!A:H,8,FALSE))</f>
        <v>269567.37391000002</v>
      </c>
      <c r="P42" s="46">
        <f t="shared" ca="1" si="1"/>
        <v>2.3047826086676635E-2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input_433100!A$2</f>
        <v>433100</v>
      </c>
      <c r="B43" s="6">
        <v>168</v>
      </c>
      <c r="C43" s="7" t="str">
        <f t="shared" si="0"/>
        <v>Premium5R6releasecolor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猛進の大逆者 ベリアル</v>
      </c>
      <c r="I43" s="7" t="str">
        <f>VLOOKUP(B43,[1]characters!$A:$J,10,FALSE)</f>
        <v>PremiumN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IFERROR(VLOOKUP(B43,input_433100!L:R,7,FALSE),VLOOKUP(tables_433100!C43,input_433100!A:H,8,FALSE))</f>
        <v>14187.756520000001</v>
      </c>
      <c r="P43" s="46">
        <f t="shared" ca="1" si="1"/>
        <v>1.2130434781111397E-3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input_433100!A$2</f>
        <v>433100</v>
      </c>
      <c r="B44" s="6">
        <v>169</v>
      </c>
      <c r="C44" s="7" t="str">
        <f t="shared" si="0"/>
        <v>Premium3R6release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オセ</v>
      </c>
      <c r="I44" s="7" t="str">
        <f>VLOOKUP(B44,[1]characters!$A:$J,10,FALSE)</f>
        <v>PremiumN</v>
      </c>
      <c r="J44" s="7">
        <f>VLOOKUP(B44,[1]characters!$A:$I,9,FALSE)</f>
        <v>3</v>
      </c>
      <c r="K44" s="7" t="str">
        <f>VLOOKUP(B44,[1]characters!$A:$H,8,FALSE)</f>
        <v>green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f ca="1">IFERROR(VLOOKUP(B44,input_433100!L:R,7,FALSE),VLOOKUP(tables_433100!C44,input_433100!A:H,8,FALSE))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input_433100!A$2</f>
        <v>433100</v>
      </c>
      <c r="B45" s="6">
        <v>170</v>
      </c>
      <c r="C45" s="7" t="str">
        <f t="shared" si="0"/>
        <v>Premium4R6release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識徒 オセ</v>
      </c>
      <c r="I45" s="7" t="str">
        <f>VLOOKUP(B45,[1]characters!$A:$J,10,FALSE)</f>
        <v>PremiumN</v>
      </c>
      <c r="J45" s="7">
        <f>VLOOKUP(B45,[1]characters!$A:$I,9,FALSE)</f>
        <v>4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IFERROR(VLOOKUP(B45,input_433100!L:R,7,FALSE),VLOOKUP(tables_433100!C45,input_433100!A:H,8,FALSE))</f>
        <v>60784.800000000003</v>
      </c>
      <c r="P45" s="46">
        <f t="shared" ca="1" si="1"/>
        <v>5.1970588235249757E-3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input_433100!A$2</f>
        <v>433100</v>
      </c>
      <c r="B46" s="6">
        <v>171</v>
      </c>
      <c r="C46" s="7" t="str">
        <f t="shared" si="0"/>
        <v>Premium5R6release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精解の預知者 オセ</v>
      </c>
      <c r="I46" s="7" t="str">
        <f>VLOOKUP(B46,[1]characters!$A:$J,10,FALSE)</f>
        <v>PremiumN</v>
      </c>
      <c r="J46" s="7">
        <f>VLOOKUP(B46,[1]characters!$A:$I,9,FALSE)</f>
        <v>5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IFERROR(VLOOKUP(B46,input_433100!L:R,7,FALSE),VLOOKUP(tables_433100!C46,input_433100!A:H,8,FALSE))</f>
        <v>3199.2</v>
      </c>
      <c r="P46" s="46">
        <f t="shared" ca="1" si="1"/>
        <v>2.735294117644724E-4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input_433100!A$2</f>
        <v>433100</v>
      </c>
      <c r="B47" s="6">
        <v>172</v>
      </c>
      <c r="C47" s="7" t="str">
        <f t="shared" si="0"/>
        <v>Premium3R6release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フォルネウス</v>
      </c>
      <c r="I47" s="7" t="str">
        <f>VLOOKUP(B47,[1]characters!$A:$J,10,FALSE)</f>
        <v>PremiumN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IFERROR(VLOOKUP(B47,input_433100!L:R,7,FALSE),VLOOKUP(tables_433100!C47,input_433100!A:H,8,FALSE))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input_433100!A$2</f>
        <v>433100</v>
      </c>
      <c r="B48" s="6">
        <v>173</v>
      </c>
      <c r="C48" s="7" t="str">
        <f t="shared" si="0"/>
        <v>Premium4R6release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公爵 フォルネウス</v>
      </c>
      <c r="I48" s="7" t="str">
        <f>VLOOKUP(B48,[1]characters!$A:$J,10,FALSE)</f>
        <v>PremiumN</v>
      </c>
      <c r="J48" s="7">
        <f>VLOOKUP(B48,[1]characters!$A:$I,9,FALSE)</f>
        <v>4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IFERROR(VLOOKUP(B48,input_433100!L:R,7,FALSE),VLOOKUP(tables_433100!C48,input_433100!A:H,8,FALSE))</f>
        <v>60784.800000000003</v>
      </c>
      <c r="P48" s="46">
        <f t="shared" ca="1" si="1"/>
        <v>5.1970588235249757E-3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input_433100!A$2</f>
        <v>433100</v>
      </c>
      <c r="B49" s="6">
        <v>174</v>
      </c>
      <c r="C49" s="7" t="str">
        <f t="shared" si="0"/>
        <v>Premium5R6release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偽愛の大公爵 フォルネウス</v>
      </c>
      <c r="I49" s="7" t="str">
        <f>VLOOKUP(B49,[1]characters!$A:$J,10,FALSE)</f>
        <v>PremiumN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IFERROR(VLOOKUP(B49,input_433100!L:R,7,FALSE),VLOOKUP(tables_433100!C49,input_433100!A:H,8,FALSE))</f>
        <v>3199.2</v>
      </c>
      <c r="P49" s="46">
        <f t="shared" ca="1" si="1"/>
        <v>2.735294117644724E-4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input_433100!A$2</f>
        <v>433100</v>
      </c>
      <c r="B50" s="6">
        <v>175</v>
      </c>
      <c r="C50" s="7" t="str">
        <f t="shared" si="0"/>
        <v>Premium3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 t="str">
        <f t="shared" si="3"/>
        <v/>
      </c>
      <c r="H50" s="7" t="str">
        <f>VLOOKUP(B50,[1]characters!$A:$C,3,FALSE)</f>
        <v>バフォメット</v>
      </c>
      <c r="I50" s="7" t="str">
        <f>VLOOKUP(B50,[1]characters!$A:$J,10,FALSE)</f>
        <v>PremiumN</v>
      </c>
      <c r="J50" s="7">
        <f>VLOOKUP(B50,[1]characters!$A:$I,9,FALSE)</f>
        <v>3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IFERROR(VLOOKUP(B50,input_433100!L:R,7,FALSE),VLOOKUP(tables_433100!C50,input_433100!A:H,8,FALSE))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input_433100!A$2</f>
        <v>433100</v>
      </c>
      <c r="B51" s="6">
        <v>176</v>
      </c>
      <c r="C51" s="7" t="str">
        <f t="shared" si="0"/>
        <v>Premium4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異教徒 バフォメット</v>
      </c>
      <c r="I51" s="7" t="str">
        <f>VLOOKUP(B51,[1]characters!$A:$J,10,FALSE)</f>
        <v>PremiumN</v>
      </c>
      <c r="J51" s="7">
        <f>VLOOKUP(B51,[1]characters!$A:$I,9,FALSE)</f>
        <v>4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IFERROR(VLOOKUP(B51,input_433100!L:R,7,FALSE),VLOOKUP(tables_433100!C51,input_433100!A:H,8,FALSE))</f>
        <v>56540.195030000003</v>
      </c>
      <c r="P51" s="46">
        <f t="shared" ca="1" si="1"/>
        <v>4.8341480018768588E-3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input_433100!A$2</f>
        <v>433100</v>
      </c>
      <c r="B52" s="6">
        <v>177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黒魔の異端師 バフォメット</v>
      </c>
      <c r="I52" s="7" t="str">
        <f>VLOOKUP(B52,[1]characters!$A:$J,10,FALSE)</f>
        <v>PremiumN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IFERROR(VLOOKUP(B52,input_433100!L:R,7,FALSE),VLOOKUP(tables_433100!C52,input_433100!A:H,8,FALSE))</f>
        <v>133.80497</v>
      </c>
      <c r="P52" s="46">
        <f t="shared" ca="1" si="1"/>
        <v>1.144023341312293E-5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input_433100!A$2</f>
        <v>433100</v>
      </c>
      <c r="B53" s="6">
        <v>178</v>
      </c>
      <c r="C53" s="7" t="str">
        <f t="shared" si="0"/>
        <v>Premium3color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>color</v>
      </c>
      <c r="H53" s="7" t="str">
        <f>VLOOKUP(B53,[1]characters!$A:$C,3,FALSE)</f>
        <v>ケルベロス</v>
      </c>
      <c r="I53" s="7" t="str">
        <f>VLOOKUP(B53,[1]characters!$A:$J,10,FALSE)</f>
        <v>PremiumN</v>
      </c>
      <c r="J53" s="7">
        <f>VLOOKUP(B53,[1]characters!$A:$I,9,FALSE)</f>
        <v>3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f ca="1">IFERROR(VLOOKUP(B53,input_433100!L:R,7,FALSE),VLOOKUP(tables_433100!C53,input_433100!A:H,8,FALSE))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input_433100!A$2</f>
        <v>433100</v>
      </c>
      <c r="B54" s="6">
        <v>179</v>
      </c>
      <c r="C54" s="7" t="str">
        <f t="shared" si="0"/>
        <v>Premium4color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番犬 ケルベロス</v>
      </c>
      <c r="I54" s="7" t="str">
        <f>VLOOKUP(B54,[1]characters!$A:$J,10,FALSE)</f>
        <v>PremiumN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IFERROR(VLOOKUP(B54,input_433100!L:R,7,FALSE),VLOOKUP(tables_433100!C54,input_433100!A:H,8,FALSE))</f>
        <v>287818.34907</v>
      </c>
      <c r="P54" s="46">
        <f t="shared" ca="1" si="1"/>
        <v>2.4608271979288159E-2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input_433100!A$2</f>
        <v>433100</v>
      </c>
      <c r="B55" s="6">
        <v>180</v>
      </c>
      <c r="C55" s="7" t="str">
        <f t="shared" si="0"/>
        <v>Premium5color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地獄の大門番 ケルベロス</v>
      </c>
      <c r="I55" s="7" t="str">
        <f>VLOOKUP(B55,[1]characters!$A:$J,10,FALSE)</f>
        <v>PremiumN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IFERROR(VLOOKUP(B55,input_433100!L:R,7,FALSE),VLOOKUP(tables_433100!C55,input_433100!A:H,8,FALSE))</f>
        <v>810.11469999999997</v>
      </c>
      <c r="P55" s="46">
        <f t="shared" ca="1" si="1"/>
        <v>6.9264252735918991E-5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input_433100!A$2</f>
        <v>433100</v>
      </c>
      <c r="B56" s="6">
        <v>181</v>
      </c>
      <c r="C56" s="7" t="str">
        <f t="shared" si="0"/>
        <v>Premium3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ベヒモス</v>
      </c>
      <c r="I56" s="7" t="str">
        <f>VLOOKUP(B56,[1]characters!$A:$J,10,FALSE)</f>
        <v>PremiumN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IFERROR(VLOOKUP(B56,input_433100!L:R,7,FALSE),VLOOKUP(tables_433100!C56,input_433100!A:H,8,FALSE))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input_433100!A$2</f>
        <v>433100</v>
      </c>
      <c r="B57" s="6">
        <v>182</v>
      </c>
      <c r="C57" s="7" t="str">
        <f t="shared" si="0"/>
        <v>Premium4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放蕩者 ベヒモス</v>
      </c>
      <c r="I57" s="7" t="str">
        <f>VLOOKUP(B57,[1]characters!$A:$J,10,FALSE)</f>
        <v>PremiumN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IFERROR(VLOOKUP(B57,input_433100!L:R,7,FALSE),VLOOKUP(tables_433100!C57,input_433100!A:H,8,FALSE))</f>
        <v>56540.195030000003</v>
      </c>
      <c r="P57" s="46">
        <f t="shared" ca="1" si="1"/>
        <v>4.8341480018768588E-3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input_433100!A$2</f>
        <v>433100</v>
      </c>
      <c r="B58" s="6">
        <v>183</v>
      </c>
      <c r="C58" s="7" t="str">
        <f t="shared" si="0"/>
        <v>Premium5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鈍重な彷徨者 ベヒモス</v>
      </c>
      <c r="I58" s="7" t="str">
        <f>VLOOKUP(B58,[1]characters!$A:$J,10,FALSE)</f>
        <v>PremiumN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IFERROR(VLOOKUP(B58,input_433100!L:R,7,FALSE),VLOOKUP(tables_433100!C58,input_433100!A:H,8,FALSE))</f>
        <v>133.80497</v>
      </c>
      <c r="P58" s="46">
        <f t="shared" ca="1" si="1"/>
        <v>1.144023341312293E-5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input_433100!A$2</f>
        <v>433100</v>
      </c>
      <c r="B59" s="6">
        <v>184</v>
      </c>
      <c r="C59" s="7" t="str">
        <f t="shared" si="0"/>
        <v>Premium3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クラーケン</v>
      </c>
      <c r="I59" s="7" t="str">
        <f>VLOOKUP(B59,[1]characters!$A:$J,10,FALSE)</f>
        <v>PremiumN</v>
      </c>
      <c r="J59" s="7">
        <f>VLOOKUP(B59,[1]characters!$A:$I,9,FALSE)</f>
        <v>3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IFERROR(VLOOKUP(B59,input_433100!L:R,7,FALSE),VLOOKUP(tables_433100!C59,input_433100!A:H,8,FALSE))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input_433100!A$2</f>
        <v>433100</v>
      </c>
      <c r="B60" s="6">
        <v>185</v>
      </c>
      <c r="C60" s="7" t="str">
        <f t="shared" si="0"/>
        <v>Premium4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海姫 クラーケン</v>
      </c>
      <c r="I60" s="7" t="str">
        <f>VLOOKUP(B60,[1]characters!$A:$J,10,FALSE)</f>
        <v>PremiumN</v>
      </c>
      <c r="J60" s="7">
        <f>VLOOKUP(B60,[1]characters!$A:$I,9,FALSE)</f>
        <v>4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IFERROR(VLOOKUP(B60,input_433100!L:R,7,FALSE),VLOOKUP(tables_433100!C60,input_433100!A:H,8,FALSE))</f>
        <v>56540.195030000003</v>
      </c>
      <c r="P60" s="46">
        <f t="shared" ca="1" si="1"/>
        <v>4.8341480018768588E-3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input_433100!A$2</f>
        <v>433100</v>
      </c>
      <c r="B61" s="8">
        <v>186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誇り高き多触姫・クラーケン</v>
      </c>
      <c r="I61" s="7" t="str">
        <f>VLOOKUP(B61,[1]characters!$A:$J,10,FALSE)</f>
        <v>PremiumN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IFERROR(VLOOKUP(B61,input_433100!L:R,7,FALSE),VLOOKUP(tables_433100!C61,input_433100!A:H,8,FALSE))</f>
        <v>133.80497</v>
      </c>
      <c r="P61" s="46">
        <f t="shared" ca="1" si="1"/>
        <v>1.144023341312293E-5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input_433100!A$2</f>
        <v>433100</v>
      </c>
      <c r="B62" s="8">
        <v>187</v>
      </c>
      <c r="C62" s="7" t="str">
        <f t="shared" si="0"/>
        <v>Premium3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ホルス</v>
      </c>
      <c r="I62" s="7" t="str">
        <f>VLOOKUP(B62,[1]characters!$A:$J,10,FALSE)</f>
        <v>PremiumN</v>
      </c>
      <c r="J62" s="7">
        <f>VLOOKUP(B62,[1]characters!$A:$I,9,FALSE)</f>
        <v>3</v>
      </c>
      <c r="K62" s="7" t="str">
        <f>VLOOKUP(B62,[1]characters!$A:$H,8,FALSE)</f>
        <v>yellow</v>
      </c>
      <c r="L62" s="7" t="str">
        <f>VLOOKUP(B62,[1]characters!$A:$K,11,FALSE)</f>
        <v>attack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IFERROR(VLOOKUP(B62,input_433100!L:R,7,FALSE),VLOOKUP(tables_433100!C62,input_433100!A:H,8,FALSE))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input_433100!A$2</f>
        <v>433100</v>
      </c>
      <c r="B63" s="8">
        <v>188</v>
      </c>
      <c r="C63" s="7" t="str">
        <f t="shared" si="0"/>
        <v>Premium4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猛禽 ホルス</v>
      </c>
      <c r="I63" s="7" t="str">
        <f>VLOOKUP(B63,[1]characters!$A:$J,10,FALSE)</f>
        <v>PremiumN</v>
      </c>
      <c r="J63" s="7">
        <f>VLOOKUP(B63,[1]characters!$A:$I,9,FALSE)</f>
        <v>4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IFERROR(VLOOKUP(B63,input_433100!L:R,7,FALSE),VLOOKUP(tables_433100!C63,input_433100!A:H,8,FALSE))</f>
        <v>56540.195030000003</v>
      </c>
      <c r="P63" s="46">
        <f t="shared" ca="1" si="1"/>
        <v>4.8341480018768588E-3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input_433100!A$2</f>
        <v>433100</v>
      </c>
      <c r="B64" s="8">
        <v>189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迅雷の王禽 ホルス</v>
      </c>
      <c r="I64" s="7" t="str">
        <f>VLOOKUP(B64,[1]characters!$A:$J,10,FALSE)</f>
        <v>PremiumN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IFERROR(VLOOKUP(B64,input_433100!L:R,7,FALSE),VLOOKUP(tables_433100!C64,input_433100!A:H,8,FALSE))</f>
        <v>133.80497</v>
      </c>
      <c r="P64" s="46">
        <f t="shared" ca="1" si="1"/>
        <v>1.144023341312293E-5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input_433100!A$2</f>
        <v>433100</v>
      </c>
      <c r="B65" s="6">
        <v>190</v>
      </c>
      <c r="C65" s="7" t="str">
        <f t="shared" si="0"/>
        <v>Premium3color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>color</v>
      </c>
      <c r="H65" s="7" t="str">
        <f>VLOOKUP(B65,[1]characters!$A:$C,3,FALSE)</f>
        <v>卑弥呼</v>
      </c>
      <c r="I65" s="7" t="str">
        <f>VLOOKUP(B65,[1]characters!$A:$J,10,FALSE)</f>
        <v>PremiumN</v>
      </c>
      <c r="J65" s="7">
        <f>VLOOKUP(B65,[1]characters!$A:$I,9,FALSE)</f>
        <v>3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IFERROR(VLOOKUP(B65,input_433100!L:R,7,FALSE),VLOOKUP(tables_433100!C65,input_433100!A:H,8,FALSE))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input_433100!A$2</f>
        <v>433100</v>
      </c>
      <c r="B66" s="6">
        <v>191</v>
      </c>
      <c r="C66" s="7" t="str">
        <f t="shared" ref="C66:C129" si="4">D66&amp;J66&amp;E66&amp;F66&amp;G66</f>
        <v>Premium4color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始祖 卑弥呼</v>
      </c>
      <c r="I66" s="7" t="str">
        <f>VLOOKUP(B66,[1]characters!$A:$J,10,FALSE)</f>
        <v>PremiumN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IFERROR(VLOOKUP(B66,input_433100!L:R,7,FALSE),VLOOKUP(tables_433100!C66,input_433100!A:H,8,FALSE))</f>
        <v>287818.34907</v>
      </c>
      <c r="P66" s="46">
        <f t="shared" ref="P66:P129" ca="1" si="5">O66/SUM(O:O)</f>
        <v>2.4608271979288159E-2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input_433100!A$2</f>
        <v>433100</v>
      </c>
      <c r="B67" s="6">
        <v>192</v>
      </c>
      <c r="C67" s="7" t="str">
        <f t="shared" si="4"/>
        <v>Premium5color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荘厳なる始祖帝 卑弥呼</v>
      </c>
      <c r="I67" s="7" t="str">
        <f>VLOOKUP(B67,[1]characters!$A:$J,10,FALSE)</f>
        <v>PremiumN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IFERROR(VLOOKUP(B67,input_433100!L:R,7,FALSE),VLOOKUP(tables_433100!C67,input_433100!A:H,8,FALSE))</f>
        <v>810.11469999999997</v>
      </c>
      <c r="P67" s="46">
        <f t="shared" ca="1" si="5"/>
        <v>6.9264252735918991E-5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input_433100!A$2</f>
        <v>433100</v>
      </c>
      <c r="B68" s="6">
        <v>193</v>
      </c>
      <c r="C68" s="7" t="str">
        <f t="shared" si="4"/>
        <v>Premium3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ロビンフッド</v>
      </c>
      <c r="I68" s="7" t="str">
        <f>VLOOKUP(B68,[1]characters!$A:$J,10,FALSE)</f>
        <v>PremiumN</v>
      </c>
      <c r="J68" s="7">
        <f>VLOOKUP(B68,[1]characters!$A:$I,9,FALSE)</f>
        <v>3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IFERROR(VLOOKUP(B68,input_433100!L:R,7,FALSE),VLOOKUP(tables_433100!C68,input_433100!A:H,8,FALSE))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input_433100!A$2</f>
        <v>433100</v>
      </c>
      <c r="B69" s="10">
        <v>194</v>
      </c>
      <c r="C69" s="7" t="str">
        <f t="shared" si="4"/>
        <v>Premium4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スナイパー ロビンフッド</v>
      </c>
      <c r="I69" s="7" t="str">
        <f>VLOOKUP(B69,[1]characters!$A:$J,10,FALSE)</f>
        <v>PremiumN</v>
      </c>
      <c r="J69" s="7">
        <f>VLOOKUP(B69,[1]characters!$A:$I,9,FALSE)</f>
        <v>4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IFERROR(VLOOKUP(B69,input_433100!L:R,7,FALSE),VLOOKUP(tables_433100!C69,input_433100!A:H,8,FALSE))</f>
        <v>56540.195030000003</v>
      </c>
      <c r="P69" s="46">
        <f t="shared" ca="1" si="5"/>
        <v>4.8341480018768588E-3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input_433100!A$2</f>
        <v>433100</v>
      </c>
      <c r="B70" s="6">
        <v>195</v>
      </c>
      <c r="C70" s="7" t="str">
        <f t="shared" si="4"/>
        <v>Premium5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グランドハンター ロビンフッド</v>
      </c>
      <c r="I70" s="7" t="str">
        <f>VLOOKUP(B70,[1]characters!$A:$J,10,FALSE)</f>
        <v>PremiumN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IFERROR(VLOOKUP(B70,input_433100!L:R,7,FALSE),VLOOKUP(tables_433100!C70,input_433100!A:H,8,FALSE))</f>
        <v>133.80497</v>
      </c>
      <c r="P70" s="46">
        <f t="shared" ca="1" si="5"/>
        <v>1.144023341312293E-5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input_433100!A$2</f>
        <v>433100</v>
      </c>
      <c r="B71" s="10">
        <v>196</v>
      </c>
      <c r="C71" s="7" t="str">
        <f t="shared" si="4"/>
        <v>Premium3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アキレス</v>
      </c>
      <c r="I71" s="7" t="str">
        <f>VLOOKUP(B71,[1]characters!$A:$J,10,FALSE)</f>
        <v>PremiumN</v>
      </c>
      <c r="J71" s="7">
        <f>VLOOKUP(B71,[1]characters!$A:$I,9,FALSE)</f>
        <v>3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IFERROR(VLOOKUP(B71,input_433100!L:R,7,FALSE),VLOOKUP(tables_433100!C71,input_433100!A:H,8,FALSE))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input_433100!A$2</f>
        <v>433100</v>
      </c>
      <c r="B72" s="11">
        <v>197</v>
      </c>
      <c r="C72" s="7" t="str">
        <f t="shared" si="4"/>
        <v>Premium4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鉄腕 アキレス</v>
      </c>
      <c r="I72" s="7" t="str">
        <f>VLOOKUP(B72,[1]characters!$A:$J,10,FALSE)</f>
        <v>PremiumN</v>
      </c>
      <c r="J72" s="7">
        <f>VLOOKUP(B72,[1]characters!$A:$I,9,FALSE)</f>
        <v>4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IFERROR(VLOOKUP(B72,input_433100!L:R,7,FALSE),VLOOKUP(tables_433100!C72,input_433100!A:H,8,FALSE))</f>
        <v>56540.195030000003</v>
      </c>
      <c r="P72" s="46">
        <f t="shared" ca="1" si="5"/>
        <v>4.8341480018768588E-3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input_433100!A$2</f>
        <v>433100</v>
      </c>
      <c r="B73" s="6">
        <v>198</v>
      </c>
      <c r="C73" s="7" t="str">
        <f t="shared" si="4"/>
        <v>Premium5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砕骨の剛腕 アキレス</v>
      </c>
      <c r="I73" s="7" t="str">
        <f>VLOOKUP(B73,[1]characters!$A:$J,10,FALSE)</f>
        <v>PremiumN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IFERROR(VLOOKUP(B73,input_433100!L:R,7,FALSE),VLOOKUP(tables_433100!C73,input_433100!A:H,8,FALSE))</f>
        <v>133.80497</v>
      </c>
      <c r="P73" s="46">
        <f t="shared" ca="1" si="5"/>
        <v>1.144023341312293E-5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input_433100!A$2</f>
        <v>433100</v>
      </c>
      <c r="B74" s="6">
        <v>199</v>
      </c>
      <c r="C74" s="7" t="str">
        <f t="shared" si="4"/>
        <v>Premium3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ジークフリート</v>
      </c>
      <c r="I74" s="7" t="str">
        <f>VLOOKUP(B74,[1]characters!$A:$J,10,FALSE)</f>
        <v>PremiumN</v>
      </c>
      <c r="J74" s="7">
        <f>VLOOKUP(B74,[1]characters!$A:$I,9,FALSE)</f>
        <v>3</v>
      </c>
      <c r="K74" s="7" t="str">
        <f>VLOOKUP(B74,[1]characters!$A:$H,8,FALSE)</f>
        <v>blue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男性</v>
      </c>
      <c r="O74" s="45">
        <f ca="1">IFERROR(VLOOKUP(B74,input_433100!L:R,7,FALSE),VLOOKUP(tables_433100!C74,input_433100!A:H,8,FALSE))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input_433100!A$2</f>
        <v>433100</v>
      </c>
      <c r="B75" s="6">
        <v>200</v>
      </c>
      <c r="C75" s="7" t="str">
        <f t="shared" si="4"/>
        <v>Premium4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大剣士 ジークフリート</v>
      </c>
      <c r="I75" s="7" t="str">
        <f>VLOOKUP(B75,[1]characters!$A:$J,10,FALSE)</f>
        <v>PremiumN</v>
      </c>
      <c r="J75" s="7">
        <f>VLOOKUP(B75,[1]characters!$A:$I,9,FALSE)</f>
        <v>4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IFERROR(VLOOKUP(B75,input_433100!L:R,7,FALSE),VLOOKUP(tables_433100!C75,input_433100!A:H,8,FALSE))</f>
        <v>56540.195030000003</v>
      </c>
      <c r="P75" s="46">
        <f t="shared" ca="1" si="5"/>
        <v>4.8341480018768588E-3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input_433100!A$2</f>
        <v>433100</v>
      </c>
      <c r="B76" s="5">
        <v>201</v>
      </c>
      <c r="C76" s="7" t="str">
        <f t="shared" si="4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斬空の大破剣 ジークフリート</v>
      </c>
      <c r="I76" s="7" t="str">
        <f>VLOOKUP(B76,[1]characters!$A:$J,10,FALSE)</f>
        <v>PremiumN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IFERROR(VLOOKUP(B76,input_433100!L:R,7,FALSE),VLOOKUP(tables_433100!C76,input_433100!A:H,8,FALSE))</f>
        <v>133.80497</v>
      </c>
      <c r="P76" s="46">
        <f t="shared" ca="1" si="5"/>
        <v>1.144023341312293E-5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input_433100!A$2</f>
        <v>433100</v>
      </c>
      <c r="B77" s="5">
        <v>202</v>
      </c>
      <c r="C77" s="7" t="str">
        <f t="shared" si="4"/>
        <v>Premium3color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プロメテウス</v>
      </c>
      <c r="I77" s="7" t="str">
        <f>VLOOKUP(B77,[1]characters!$A:$J,10,FALSE)</f>
        <v>PremiumN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5">
        <f ca="1">IFERROR(VLOOKUP(B77,input_433100!L:R,7,FALSE),VLOOKUP(tables_433100!C77,input_433100!A:H,8,FALSE))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input_433100!A$2</f>
        <v>433100</v>
      </c>
      <c r="B78" s="5">
        <v>203</v>
      </c>
      <c r="C78" s="7" t="str">
        <f t="shared" si="4"/>
        <v>Premium4color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焔神 プロメテウス</v>
      </c>
      <c r="I78" s="7" t="str">
        <f>VLOOKUP(B78,[1]characters!$A:$J,10,FALSE)</f>
        <v>PremiumN</v>
      </c>
      <c r="J78" s="7">
        <f>VLOOKUP(B78,[1]characters!$A:$I,9,FALSE)</f>
        <v>4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IFERROR(VLOOKUP(B78,input_433100!L:R,7,FALSE),VLOOKUP(tables_433100!C78,input_433100!A:H,8,FALSE))</f>
        <v>287818.34907</v>
      </c>
      <c r="P78" s="46">
        <f t="shared" ca="1" si="5"/>
        <v>2.4608271979288159E-2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input_433100!A$2</f>
        <v>433100</v>
      </c>
      <c r="B79" s="5">
        <v>204</v>
      </c>
      <c r="C79" s="7" t="str">
        <f t="shared" si="4"/>
        <v>Premium5color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慟哭の巨焔 プロメテウス</v>
      </c>
      <c r="I79" s="7" t="str">
        <f>VLOOKUP(B79,[1]characters!$A:$J,10,FALSE)</f>
        <v>PremiumN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IFERROR(VLOOKUP(B79,input_433100!L:R,7,FALSE),VLOOKUP(tables_433100!C79,input_433100!A:H,8,FALSE))</f>
        <v>810.11469999999997</v>
      </c>
      <c r="P79" s="46">
        <f t="shared" ca="1" si="5"/>
        <v>6.9264252735918991E-5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input_433100!A$2</f>
        <v>433100</v>
      </c>
      <c r="B80" s="5">
        <v>205</v>
      </c>
      <c r="C80" s="7" t="str">
        <f t="shared" si="4"/>
        <v>Premium3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アフロディーテ</v>
      </c>
      <c r="I80" s="7" t="str">
        <f>VLOOKUP(B80,[1]characters!$A:$J,10,FALSE)</f>
        <v>PremiumN</v>
      </c>
      <c r="J80" s="7">
        <f>VLOOKUP(B80,[1]characters!$A:$I,9,FALSE)</f>
        <v>3</v>
      </c>
      <c r="K80" s="7" t="str">
        <f>VLOOKUP(B80,[1]characters!$A:$H,8,FALSE)</f>
        <v>green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ca="1">IFERROR(VLOOKUP(B80,input_433100!L:R,7,FALSE),VLOOKUP(tables_433100!C80,input_433100!A:H,8,FALSE))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input_433100!A$2</f>
        <v>433100</v>
      </c>
      <c r="B81" s="5">
        <v>206</v>
      </c>
      <c r="C81" s="7" t="str">
        <f t="shared" si="4"/>
        <v>Premium4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美神 アフロディーテ</v>
      </c>
      <c r="I81" s="7" t="str">
        <f>VLOOKUP(B81,[1]characters!$A:$J,10,FALSE)</f>
        <v>PremiumN</v>
      </c>
      <c r="J81" s="7">
        <f>VLOOKUP(B81,[1]characters!$A:$I,9,FALSE)</f>
        <v>4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IFERROR(VLOOKUP(B81,input_433100!L:R,7,FALSE),VLOOKUP(tables_433100!C81,input_433100!A:H,8,FALSE))</f>
        <v>56540.195030000003</v>
      </c>
      <c r="P81" s="46">
        <f t="shared" ca="1" si="5"/>
        <v>4.8341480018768588E-3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input_433100!A$2</f>
        <v>433100</v>
      </c>
      <c r="B82" s="5">
        <v>207</v>
      </c>
      <c r="C82" s="7" t="str">
        <f t="shared" si="4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豊穣の麗神・アフロディーテ</v>
      </c>
      <c r="I82" s="7" t="str">
        <f>VLOOKUP(B82,[1]characters!$A:$J,10,FALSE)</f>
        <v>PremiumN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IFERROR(VLOOKUP(B82,input_433100!L:R,7,FALSE),VLOOKUP(tables_433100!C82,input_433100!A:H,8,FALSE))</f>
        <v>133.80497</v>
      </c>
      <c r="P82" s="46">
        <f t="shared" ca="1" si="5"/>
        <v>1.144023341312293E-5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input_433100!A$2</f>
        <v>433100</v>
      </c>
      <c r="B83" s="5">
        <v>208</v>
      </c>
      <c r="C83" s="7" t="str">
        <f t="shared" si="4"/>
        <v>Premium3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テティス</v>
      </c>
      <c r="I83" s="7" t="str">
        <f>VLOOKUP(B83,[1]characters!$A:$J,10,FALSE)</f>
        <v>PremiumN</v>
      </c>
      <c r="J83" s="7">
        <f>VLOOKUP(B83,[1]characters!$A:$I,9,FALSE)</f>
        <v>3</v>
      </c>
      <c r="K83" s="7" t="str">
        <f>VLOOKUP(B83,[1]characters!$A:$H,8,FALSE)</f>
        <v>blue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IFERROR(VLOOKUP(B83,input_433100!L:R,7,FALSE),VLOOKUP(tables_433100!C83,input_433100!A:H,8,FALSE))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input_433100!A$2</f>
        <v>433100</v>
      </c>
      <c r="B84" s="5">
        <v>209</v>
      </c>
      <c r="C84" s="7" t="str">
        <f t="shared" si="4"/>
        <v>Premium4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孤神 テティス</v>
      </c>
      <c r="I84" s="7" t="str">
        <f>VLOOKUP(B84,[1]characters!$A:$J,10,FALSE)</f>
        <v>PremiumN</v>
      </c>
      <c r="J84" s="7">
        <f>VLOOKUP(B84,[1]characters!$A:$I,9,FALSE)</f>
        <v>4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IFERROR(VLOOKUP(B84,input_433100!L:R,7,FALSE),VLOOKUP(tables_433100!C84,input_433100!A:H,8,FALSE))</f>
        <v>56540.195030000003</v>
      </c>
      <c r="P84" s="46">
        <f t="shared" ca="1" si="5"/>
        <v>4.8341480018768588E-3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input_433100!A$2</f>
        <v>433100</v>
      </c>
      <c r="B85" s="5">
        <v>210</v>
      </c>
      <c r="C85" s="7" t="str">
        <f t="shared" si="4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海底の孤高神 テティス</v>
      </c>
      <c r="I85" s="7" t="str">
        <f>VLOOKUP(B85,[1]characters!$A:$J,10,FALSE)</f>
        <v>PremiumN</v>
      </c>
      <c r="J85" s="7">
        <f>VLOOKUP(B85,[1]characters!$A:$I,9,FALSE)</f>
        <v>5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IFERROR(VLOOKUP(B85,input_433100!L:R,7,FALSE),VLOOKUP(tables_433100!C85,input_433100!A:H,8,FALSE))</f>
        <v>133.80497</v>
      </c>
      <c r="P85" s="46">
        <f t="shared" ca="1" si="5"/>
        <v>1.144023341312293E-5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input_433100!A$2</f>
        <v>433100</v>
      </c>
      <c r="B86" s="5">
        <v>211</v>
      </c>
      <c r="C86" s="7" t="str">
        <f t="shared" si="4"/>
        <v>Premium3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アストライアー</v>
      </c>
      <c r="I86" s="7" t="str">
        <f>VLOOKUP(B86,[1]characters!$A:$J,10,FALSE)</f>
        <v>PremiumN</v>
      </c>
      <c r="J86" s="7">
        <f>VLOOKUP(B86,[1]characters!$A:$I,9,FALSE)</f>
        <v>3</v>
      </c>
      <c r="K86" s="7" t="str">
        <f>VLOOKUP(B86,[1]characters!$A:$H,8,FALSE)</f>
        <v>yellow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IFERROR(VLOOKUP(B86,input_433100!L:R,7,FALSE),VLOOKUP(tables_433100!C86,input_433100!A:H,8,FALSE))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input_433100!A$2</f>
        <v>433100</v>
      </c>
      <c r="B87" s="5">
        <v>212</v>
      </c>
      <c r="C87" s="7" t="str">
        <f t="shared" si="4"/>
        <v>Premium4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星神 アストライアー</v>
      </c>
      <c r="I87" s="7" t="str">
        <f>VLOOKUP(B87,[1]characters!$A:$J,10,FALSE)</f>
        <v>PremiumN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IFERROR(VLOOKUP(B87,input_433100!L:R,7,FALSE),VLOOKUP(tables_433100!C87,input_433100!A:H,8,FALSE))</f>
        <v>56540.195030000003</v>
      </c>
      <c r="P87" s="46">
        <f t="shared" ca="1" si="5"/>
        <v>4.8341480018768588E-3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input_433100!A$2</f>
        <v>433100</v>
      </c>
      <c r="B88" s="5">
        <v>213</v>
      </c>
      <c r="C88" s="7" t="str">
        <f t="shared" si="4"/>
        <v>Premium5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満天の星降神 アストライアー</v>
      </c>
      <c r="I88" s="7" t="str">
        <f>VLOOKUP(B88,[1]characters!$A:$J,10,FALSE)</f>
        <v>PremiumN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IFERROR(VLOOKUP(B88,input_433100!L:R,7,FALSE),VLOOKUP(tables_433100!C88,input_433100!A:H,8,FALSE))</f>
        <v>133.80497</v>
      </c>
      <c r="P88" s="46">
        <f t="shared" ca="1" si="5"/>
        <v>1.144023341312293E-5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input_433100!A$2</f>
        <v>433100</v>
      </c>
      <c r="B89" s="5">
        <v>214</v>
      </c>
      <c r="C89" s="7" t="str">
        <f t="shared" si="4"/>
        <v>Premium3color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>color</v>
      </c>
      <c r="H89" s="7" t="str">
        <f>VLOOKUP(B89,[1]characters!$A:$C,3,FALSE)</f>
        <v>アズラエル</v>
      </c>
      <c r="I89" s="7" t="str">
        <f>VLOOKUP(B89,[1]characters!$A:$J,10,FALSE)</f>
        <v>PremiumN</v>
      </c>
      <c r="J89" s="7">
        <f>VLOOKUP(B89,[1]characters!$A:$I,9,FALSE)</f>
        <v>3</v>
      </c>
      <c r="K89" s="7" t="str">
        <f>VLOOKUP(B89,[1]characters!$A:$H,8,FALSE)</f>
        <v>red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IFERROR(VLOOKUP(B89,input_433100!L:R,7,FALSE),VLOOKUP(tables_433100!C89,input_433100!A:H,8,FALSE))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input_433100!A$2</f>
        <v>433100</v>
      </c>
      <c r="B90" s="5">
        <v>215</v>
      </c>
      <c r="C90" s="7" t="str">
        <f t="shared" si="4"/>
        <v>Premium4color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死導者 アズラエル</v>
      </c>
      <c r="I90" s="7" t="str">
        <f>VLOOKUP(B90,[1]characters!$A:$J,10,FALSE)</f>
        <v>PremiumN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IFERROR(VLOOKUP(B90,input_433100!L:R,7,FALSE),VLOOKUP(tables_433100!C90,input_433100!A:H,8,FALSE))</f>
        <v>287818.34907</v>
      </c>
      <c r="P90" s="46">
        <f t="shared" ca="1" si="5"/>
        <v>2.4608271979288159E-2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input_433100!A$2</f>
        <v>433100</v>
      </c>
      <c r="B91" s="5">
        <v>216</v>
      </c>
      <c r="C91" s="7" t="str">
        <f t="shared" si="4"/>
        <v>Premium5color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百読の死導司書 アズラエル</v>
      </c>
      <c r="I91" s="7" t="str">
        <f>VLOOKUP(B91,[1]characters!$A:$J,10,FALSE)</f>
        <v>PremiumN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IFERROR(VLOOKUP(B91,input_433100!L:R,7,FALSE),VLOOKUP(tables_433100!C91,input_433100!A:H,8,FALSE))</f>
        <v>810.11469999999997</v>
      </c>
      <c r="P91" s="46">
        <f t="shared" ca="1" si="5"/>
        <v>6.9264252735918991E-5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input_433100!A$2</f>
        <v>433100</v>
      </c>
      <c r="B92" s="5">
        <v>217</v>
      </c>
      <c r="C92" s="7" t="str">
        <f t="shared" si="4"/>
        <v>Premium3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ケツァクアトル</v>
      </c>
      <c r="I92" s="7" t="str">
        <f>VLOOKUP(B92,[1]characters!$A:$J,10,FALSE)</f>
        <v>PremiumN</v>
      </c>
      <c r="J92" s="7">
        <f>VLOOKUP(B92,[1]characters!$A:$I,9,FALSE)</f>
        <v>3</v>
      </c>
      <c r="K92" s="7" t="str">
        <f>VLOOKUP(B92,[1]characters!$A:$H,8,FALSE)</f>
        <v>green</v>
      </c>
      <c r="L92" s="7" t="str">
        <f>VLOOKUP(B92,[1]characters!$A:$K,11,FALSE)</f>
        <v>hp</v>
      </c>
      <c r="M92" s="7" t="str">
        <f>VLOOKUP(B92,[1]characters!$A:$M,13,FALSE)</f>
        <v>dragon</v>
      </c>
      <c r="N92" s="7" t="str">
        <f>VLOOKUP(B92,[1]characters!$A:$G,7,FALSE)</f>
        <v>女性</v>
      </c>
      <c r="O92" s="45">
        <f ca="1">IFERROR(VLOOKUP(B92,input_433100!L:R,7,FALSE),VLOOKUP(tables_433100!C92,input_433100!A:H,8,FALSE))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input_433100!A$2</f>
        <v>433100</v>
      </c>
      <c r="B93" s="5">
        <v>218</v>
      </c>
      <c r="C93" s="7" t="str">
        <f t="shared" si="4"/>
        <v>Premium4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聖蛇 ケツァクアトル</v>
      </c>
      <c r="I93" s="7" t="str">
        <f>VLOOKUP(B93,[1]characters!$A:$J,10,FALSE)</f>
        <v>PremiumN</v>
      </c>
      <c r="J93" s="7">
        <f>VLOOKUP(B93,[1]characters!$A:$I,9,FALSE)</f>
        <v>4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IFERROR(VLOOKUP(B93,input_433100!L:R,7,FALSE),VLOOKUP(tables_433100!C93,input_433100!A:H,8,FALSE))</f>
        <v>56540.195030000003</v>
      </c>
      <c r="P93" s="46">
        <f t="shared" ca="1" si="5"/>
        <v>4.8341480018768588E-3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input_433100!A$2</f>
        <v>433100</v>
      </c>
      <c r="B94" s="5">
        <v>219</v>
      </c>
      <c r="C94" s="7" t="str">
        <f t="shared" si="4"/>
        <v>Premium5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覇翼の聖蛇竜 ケツァクアトル</v>
      </c>
      <c r="I94" s="7" t="str">
        <f>VLOOKUP(B94,[1]characters!$A:$J,10,FALSE)</f>
        <v>PremiumN</v>
      </c>
      <c r="J94" s="7">
        <f>VLOOKUP(B94,[1]characters!$A:$I,9,FALSE)</f>
        <v>5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IFERROR(VLOOKUP(B94,input_433100!L:R,7,FALSE),VLOOKUP(tables_433100!C94,input_433100!A:H,8,FALSE))</f>
        <v>133.80497</v>
      </c>
      <c r="P94" s="46">
        <f t="shared" ca="1" si="5"/>
        <v>1.144023341312293E-5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input_433100!A$2</f>
        <v>433100</v>
      </c>
      <c r="B95" s="5">
        <v>220</v>
      </c>
      <c r="C95" s="7" t="str">
        <f t="shared" si="4"/>
        <v>Premium3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ルキフグス</v>
      </c>
      <c r="I95" s="7" t="str">
        <f>VLOOKUP(B95,[1]characters!$A:$J,10,FALSE)</f>
        <v>PremiumN</v>
      </c>
      <c r="J95" s="7">
        <f>VLOOKUP(B95,[1]characters!$A:$I,9,FALSE)</f>
        <v>3</v>
      </c>
      <c r="K95" s="7" t="str">
        <f>VLOOKUP(B95,[1]characters!$A:$H,8,FALSE)</f>
        <v>blue</v>
      </c>
      <c r="L95" s="7" t="str">
        <f>VLOOKUP(B95,[1]characters!$A:$K,11,FALSE)</f>
        <v>balance</v>
      </c>
      <c r="M95" s="7" t="str">
        <f>VLOOKUP(B95,[1]characters!$A:$M,13,FALSE)</f>
        <v>god</v>
      </c>
      <c r="N95" s="7" t="str">
        <f>VLOOKUP(B95,[1]characters!$A:$G,7,FALSE)</f>
        <v>女性</v>
      </c>
      <c r="O95" s="45">
        <f ca="1">IFERROR(VLOOKUP(B95,input_433100!L:R,7,FALSE),VLOOKUP(tables_433100!C95,input_433100!A:H,8,FALSE))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input_433100!A$2</f>
        <v>433100</v>
      </c>
      <c r="B96" s="5">
        <v>221</v>
      </c>
      <c r="C96" s="7" t="str">
        <f t="shared" si="4"/>
        <v>Premium4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宰相 ルキフグス</v>
      </c>
      <c r="I96" s="7" t="str">
        <f>VLOOKUP(B96,[1]characters!$A:$J,10,FALSE)</f>
        <v>PremiumN</v>
      </c>
      <c r="J96" s="7">
        <f>VLOOKUP(B96,[1]characters!$A:$I,9,FALSE)</f>
        <v>4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IFERROR(VLOOKUP(B96,input_433100!L:R,7,FALSE),VLOOKUP(tables_433100!C96,input_433100!A:H,8,FALSE))</f>
        <v>56540.195030000003</v>
      </c>
      <c r="P96" s="46">
        <f t="shared" ca="1" si="5"/>
        <v>4.8341480018768588E-3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input_433100!A$2</f>
        <v>433100</v>
      </c>
      <c r="B97" s="5">
        <v>222</v>
      </c>
      <c r="C97" s="7" t="str">
        <f t="shared" si="4"/>
        <v>Premium5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避光の鉄鎖宰相 ルキフグス</v>
      </c>
      <c r="I97" s="7" t="str">
        <f>VLOOKUP(B97,[1]characters!$A:$J,10,FALSE)</f>
        <v>PremiumN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IFERROR(VLOOKUP(B97,input_433100!L:R,7,FALSE),VLOOKUP(tables_433100!C97,input_433100!A:H,8,FALSE))</f>
        <v>133.80497</v>
      </c>
      <c r="P97" s="46">
        <f t="shared" ca="1" si="5"/>
        <v>1.144023341312293E-5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input_433100!A$2</f>
        <v>433100</v>
      </c>
      <c r="B98" s="5">
        <v>223</v>
      </c>
      <c r="C98" s="7" t="str">
        <f t="shared" si="4"/>
        <v>Premium3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ヘラクレス</v>
      </c>
      <c r="I98" s="7" t="str">
        <f>VLOOKUP(B98,[1]characters!$A:$J,10,FALSE)</f>
        <v>PremiumN</v>
      </c>
      <c r="J98" s="7">
        <f>VLOOKUP(B98,[1]characters!$A:$I,9,FALSE)</f>
        <v>3</v>
      </c>
      <c r="K98" s="7" t="str">
        <f>VLOOKUP(B98,[1]characters!$A:$H,8,FALSE)</f>
        <v>yellow</v>
      </c>
      <c r="L98" s="7" t="str">
        <f>VLOOKUP(B98,[1]characters!$A:$K,11,FALSE)</f>
        <v>balance</v>
      </c>
      <c r="M98" s="7" t="str">
        <f>VLOOKUP(B98,[1]characters!$A:$M,13,FALSE)</f>
        <v>human</v>
      </c>
      <c r="N98" s="7" t="str">
        <f>VLOOKUP(B98,[1]characters!$A:$G,7,FALSE)</f>
        <v>男性</v>
      </c>
      <c r="O98" s="45">
        <f ca="1">IFERROR(VLOOKUP(B98,input_433100!L:R,7,FALSE),VLOOKUP(tables_433100!C98,input_433100!A:H,8,FALSE))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input_433100!A$2</f>
        <v>433100</v>
      </c>
      <c r="B99" s="5">
        <v>224</v>
      </c>
      <c r="C99" s="7" t="str">
        <f t="shared" si="4"/>
        <v>Premium4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巨腕 ヘラクレス</v>
      </c>
      <c r="I99" s="7" t="str">
        <f>VLOOKUP(B99,[1]characters!$A:$J,10,FALSE)</f>
        <v>PremiumN</v>
      </c>
      <c r="J99" s="7">
        <f>VLOOKUP(B99,[1]characters!$A:$I,9,FALSE)</f>
        <v>4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IFERROR(VLOOKUP(B99,input_433100!L:R,7,FALSE),VLOOKUP(tables_433100!C99,input_433100!A:H,8,FALSE))</f>
        <v>56540.195030000003</v>
      </c>
      <c r="P99" s="46">
        <f t="shared" ca="1" si="5"/>
        <v>4.8341480018768588E-3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input_433100!A$2</f>
        <v>433100</v>
      </c>
      <c r="B100" s="5">
        <v>225</v>
      </c>
      <c r="C100" s="7" t="str">
        <f t="shared" si="4"/>
        <v>Premium5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咆哮の巨獅腕 ヘラクレス</v>
      </c>
      <c r="I100" s="7" t="str">
        <f>VLOOKUP(B100,[1]characters!$A:$J,10,FALSE)</f>
        <v>PremiumN</v>
      </c>
      <c r="J100" s="7">
        <f>VLOOKUP(B100,[1]characters!$A:$I,9,FALSE)</f>
        <v>5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IFERROR(VLOOKUP(B100,input_433100!L:R,7,FALSE),VLOOKUP(tables_433100!C100,input_433100!A:H,8,FALSE))</f>
        <v>133.80497</v>
      </c>
      <c r="P100" s="46">
        <f t="shared" ca="1" si="5"/>
        <v>1.144023341312293E-5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input_433100!A$2</f>
        <v>433100</v>
      </c>
      <c r="B101" s="5">
        <v>226</v>
      </c>
      <c r="C101" s="7" t="str">
        <f t="shared" si="4"/>
        <v>Premium3color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>color</v>
      </c>
      <c r="H101" s="7" t="str">
        <f>VLOOKUP(B101,[1]characters!$A:$C,3,FALSE)</f>
        <v>アレス</v>
      </c>
      <c r="I101" s="7" t="str">
        <f>VLOOKUP(B101,[1]characters!$A:$J,10,FALSE)</f>
        <v>PremiumS</v>
      </c>
      <c r="J101" s="7">
        <f>VLOOKUP(B101,[1]characters!$A:$I,9,FALSE)</f>
        <v>3</v>
      </c>
      <c r="K101" s="7" t="str">
        <f>VLOOKUP(B101,[1]characters!$A:$H,8,FALSE)</f>
        <v>red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ca="1">IFERROR(VLOOKUP(B101,input_433100!L:R,7,FALSE),VLOOKUP(tables_433100!C101,input_433100!A:H,8,FALSE))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input_433100!A$2</f>
        <v>433100</v>
      </c>
      <c r="B102" s="5">
        <v>227</v>
      </c>
      <c r="C102" s="7" t="str">
        <f t="shared" si="4"/>
        <v>Premium4color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滅弾 アレス</v>
      </c>
      <c r="I102" s="7" t="str">
        <f>VLOOKUP(B102,[1]characters!$A:$J,10,FALSE)</f>
        <v>PremiumS</v>
      </c>
      <c r="J102" s="7">
        <f>VLOOKUP(B102,[1]characters!$A:$I,9,FALSE)</f>
        <v>4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IFERROR(VLOOKUP(B102,input_433100!L:R,7,FALSE),VLOOKUP(tables_433100!C102,input_433100!A:H,8,FALSE))</f>
        <v>287818.34907</v>
      </c>
      <c r="P102" s="46">
        <f t="shared" ca="1" si="5"/>
        <v>2.4608271979288159E-2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input_433100!A$2</f>
        <v>433100</v>
      </c>
      <c r="B103" s="5">
        <v>228</v>
      </c>
      <c r="C103" s="7" t="str">
        <f t="shared" si="4"/>
        <v>Premium5color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殲滅の掃射砲 アレス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IFERROR(VLOOKUP(B103,input_433100!L:R,7,FALSE),VLOOKUP(tables_433100!C103,input_433100!A:H,8,FALSE))</f>
        <v>810.11469999999997</v>
      </c>
      <c r="P103" s="46">
        <f t="shared" ca="1" si="5"/>
        <v>6.9264252735918991E-5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input_433100!A$2</f>
        <v>433100</v>
      </c>
      <c r="B104" s="5">
        <v>229</v>
      </c>
      <c r="C104" s="7" t="str">
        <f t="shared" si="4"/>
        <v>Premium3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ヨルムンガンド</v>
      </c>
      <c r="I104" s="7" t="str">
        <f>VLOOKUP(B104,[1]characters!$A:$J,10,FALSE)</f>
        <v>PremiumS</v>
      </c>
      <c r="J104" s="7">
        <f>VLOOKUP(B104,[1]characters!$A:$I,9,FALSE)</f>
        <v>3</v>
      </c>
      <c r="K104" s="7" t="str">
        <f>VLOOKUP(B104,[1]characters!$A:$H,8,FALSE)</f>
        <v>green</v>
      </c>
      <c r="L104" s="7" t="str">
        <f>VLOOKUP(B104,[1]characters!$A:$K,11,FALSE)</f>
        <v>technical</v>
      </c>
      <c r="M104" s="7" t="str">
        <f>VLOOKUP(B104,[1]characters!$A:$M,13,FALSE)</f>
        <v>dragon</v>
      </c>
      <c r="N104" s="7" t="str">
        <f>VLOOKUP(B104,[1]characters!$A:$G,7,FALSE)</f>
        <v>女性</v>
      </c>
      <c r="O104" s="45">
        <f ca="1">IFERROR(VLOOKUP(B104,input_433100!L:R,7,FALSE),VLOOKUP(tables_433100!C104,input_433100!A:H,8,FALSE))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input_433100!A$2</f>
        <v>433100</v>
      </c>
      <c r="B105" s="5">
        <v>230</v>
      </c>
      <c r="C105" s="7" t="str">
        <f t="shared" si="4"/>
        <v>Premium4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毒銃 ヨルムンガンド</v>
      </c>
      <c r="I105" s="7" t="str">
        <f>VLOOKUP(B105,[1]characters!$A:$J,10,FALSE)</f>
        <v>PremiumS</v>
      </c>
      <c r="J105" s="7">
        <f>VLOOKUP(B105,[1]characters!$A:$I,9,FALSE)</f>
        <v>4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IFERROR(VLOOKUP(B105,input_433100!L:R,7,FALSE),VLOOKUP(tables_433100!C105,input_433100!A:H,8,FALSE))</f>
        <v>56540.195030000003</v>
      </c>
      <c r="P105" s="46">
        <f t="shared" ca="1" si="5"/>
        <v>4.8341480018768588E-3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input_433100!A$2</f>
        <v>433100</v>
      </c>
      <c r="B106" s="5">
        <v>231</v>
      </c>
      <c r="C106" s="7" t="str">
        <f t="shared" si="4"/>
        <v>Premium5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必中の咬銃 ヨルムンガンド</v>
      </c>
      <c r="I106" s="7" t="str">
        <f>VLOOKUP(B106,[1]characters!$A:$J,10,FALSE)</f>
        <v>PremiumS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IFERROR(VLOOKUP(B106,input_433100!L:R,7,FALSE),VLOOKUP(tables_433100!C106,input_433100!A:H,8,FALSE))</f>
        <v>133.80497</v>
      </c>
      <c r="P106" s="46">
        <f t="shared" ca="1" si="5"/>
        <v>1.144023341312293E-5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input_433100!A$2</f>
        <v>433100</v>
      </c>
      <c r="B107" s="5">
        <v>232</v>
      </c>
      <c r="C107" s="7" t="str">
        <f t="shared" si="4"/>
        <v>Premium3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パーシヴァル</v>
      </c>
      <c r="I107" s="7" t="str">
        <f>VLOOKUP(B107,[1]characters!$A:$J,10,FALSE)</f>
        <v>PremiumS</v>
      </c>
      <c r="J107" s="7">
        <f>VLOOKUP(B107,[1]characters!$A:$I,9,FALSE)</f>
        <v>3</v>
      </c>
      <c r="K107" s="7" t="str">
        <f>VLOOKUP(B107,[1]characters!$A:$H,8,FALSE)</f>
        <v>blue</v>
      </c>
      <c r="L107" s="7" t="str">
        <f>VLOOKUP(B107,[1]characters!$A:$K,11,FALSE)</f>
        <v>technical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ca="1">IFERROR(VLOOKUP(B107,input_433100!L:R,7,FALSE),VLOOKUP(tables_433100!C107,input_433100!A:H,8,FALSE))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input_433100!A$2</f>
        <v>433100</v>
      </c>
      <c r="B108" s="5">
        <v>233</v>
      </c>
      <c r="C108" s="7" t="str">
        <f t="shared" si="4"/>
        <v>Premium4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遂行 パーシヴァル</v>
      </c>
      <c r="I108" s="7" t="str">
        <f>VLOOKUP(B108,[1]characters!$A:$J,10,FALSE)</f>
        <v>PremiumS</v>
      </c>
      <c r="J108" s="7">
        <f>VLOOKUP(B108,[1]characters!$A:$I,9,FALSE)</f>
        <v>4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IFERROR(VLOOKUP(B108,input_433100!L:R,7,FALSE),VLOOKUP(tables_433100!C108,input_433100!A:H,8,FALSE))</f>
        <v>56540.195030000003</v>
      </c>
      <c r="P108" s="46">
        <f t="shared" ca="1" si="5"/>
        <v>4.8341480018768588E-3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input_433100!A$2</f>
        <v>433100</v>
      </c>
      <c r="B109" s="5">
        <v>234</v>
      </c>
      <c r="C109" s="7" t="str">
        <f t="shared" si="4"/>
        <v>Premium5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精密なる照準 パーシヴァル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IFERROR(VLOOKUP(B109,input_433100!L:R,7,FALSE),VLOOKUP(tables_433100!C109,input_433100!A:H,8,FALSE))</f>
        <v>133.80497</v>
      </c>
      <c r="P109" s="46">
        <f t="shared" ca="1" si="5"/>
        <v>1.144023341312293E-5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input_433100!A$2</f>
        <v>433100</v>
      </c>
      <c r="B110" s="5">
        <v>235</v>
      </c>
      <c r="C110" s="7" t="str">
        <f t="shared" si="4"/>
        <v>Premium3R6release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>R6release</v>
      </c>
      <c r="G110" s="7" t="str">
        <f t="shared" si="7"/>
        <v/>
      </c>
      <c r="H110" s="7" t="str">
        <f>VLOOKUP(B110,[1]characters!$A:$C,3,FALSE)</f>
        <v>イザナミ</v>
      </c>
      <c r="I110" s="7" t="str">
        <f>VLOOKUP(B110,[1]characters!$A:$J,10,FALSE)</f>
        <v>PremiumS</v>
      </c>
      <c r="J110" s="7">
        <f>VLOOKUP(B110,[1]characters!$A:$I,9,FALSE)</f>
        <v>3</v>
      </c>
      <c r="K110" s="7" t="str">
        <f>VLOOKUP(B110,[1]characters!$A:$H,8,FALSE)</f>
        <v>yellow</v>
      </c>
      <c r="L110" s="7" t="str">
        <f>VLOOKUP(B110,[1]characters!$A:$K,11,FALSE)</f>
        <v>attack</v>
      </c>
      <c r="M110" s="7" t="str">
        <f>VLOOKUP(B110,[1]characters!$A:$M,13,FALSE)</f>
        <v>god</v>
      </c>
      <c r="N110" s="7" t="str">
        <f>VLOOKUP(B110,[1]characters!$A:$G,7,FALSE)</f>
        <v>女性</v>
      </c>
      <c r="O110" s="45">
        <f ca="1">IFERROR(VLOOKUP(B110,input_433100!L:R,7,FALSE),VLOOKUP(tables_433100!C110,input_433100!A:H,8,FALSE))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input_433100!A$2</f>
        <v>433100</v>
      </c>
      <c r="B111" s="5">
        <v>236</v>
      </c>
      <c r="C111" s="7" t="str">
        <f t="shared" si="4"/>
        <v>Premium4R6release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神産 イザナミ</v>
      </c>
      <c r="I111" s="7" t="str">
        <f>VLOOKUP(B111,[1]characters!$A:$J,10,FALSE)</f>
        <v>PremiumS</v>
      </c>
      <c r="J111" s="7">
        <f>VLOOKUP(B111,[1]characters!$A:$I,9,FALSE)</f>
        <v>4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IFERROR(VLOOKUP(B111,input_433100!L:R,7,FALSE),VLOOKUP(tables_433100!C111,input_433100!A:H,8,FALSE))</f>
        <v>60784.800000000003</v>
      </c>
      <c r="P111" s="46">
        <f t="shared" ca="1" si="5"/>
        <v>5.1970588235249757E-3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input_433100!A$2</f>
        <v>433100</v>
      </c>
      <c r="B112" s="5">
        <v>237</v>
      </c>
      <c r="C112" s="7" t="str">
        <f t="shared" si="4"/>
        <v>Premium5R6release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森羅万象の神母 イザナミ</v>
      </c>
      <c r="I112" s="7" t="str">
        <f>VLOOKUP(B112,[1]characters!$A:$J,10,FALSE)</f>
        <v>PremiumS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IFERROR(VLOOKUP(B112,input_433100!L:R,7,FALSE),VLOOKUP(tables_433100!C112,input_433100!A:H,8,FALSE))</f>
        <v>3199.2</v>
      </c>
      <c r="P112" s="46">
        <f t="shared" ca="1" si="5"/>
        <v>2.735294117644724E-4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input_433100!A$2</f>
        <v>433100</v>
      </c>
      <c r="B113" s="5">
        <v>238</v>
      </c>
      <c r="C113" s="7" t="str">
        <f t="shared" si="4"/>
        <v>Premium3color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 t="str">
        <f t="shared" si="7"/>
        <v>color</v>
      </c>
      <c r="H113" s="7" t="str">
        <f>VLOOKUP(B113,[1]characters!$A:$C,3,FALSE)</f>
        <v>ウリエル</v>
      </c>
      <c r="I113" s="7" t="str">
        <f>VLOOKUP(B113,[1]characters!$A:$J,10,FALSE)</f>
        <v>PremiumS</v>
      </c>
      <c r="J113" s="7">
        <f>VLOOKUP(B113,[1]characters!$A:$I,9,FALSE)</f>
        <v>3</v>
      </c>
      <c r="K113" s="7" t="str">
        <f>VLOOKUP(B113,[1]characters!$A:$H,8,FALSE)</f>
        <v>red</v>
      </c>
      <c r="L113" s="7" t="str">
        <f>VLOOKUP(B113,[1]characters!$A:$K,11,FALSE)</f>
        <v>hp</v>
      </c>
      <c r="M113" s="7" t="str">
        <f>VLOOKUP(B113,[1]characters!$A:$M,13,FALSE)</f>
        <v>machine</v>
      </c>
      <c r="N113" s="7" t="str">
        <f>VLOOKUP(B113,[1]characters!$A:$G,7,FALSE)</f>
        <v>女性</v>
      </c>
      <c r="O113" s="45">
        <f ca="1">IFERROR(VLOOKUP(B113,input_433100!L:R,7,FALSE),VLOOKUP(tables_433100!C113,input_433100!A:H,8,FALSE))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input_433100!A$2</f>
        <v>433100</v>
      </c>
      <c r="B114" s="5">
        <v>239</v>
      </c>
      <c r="C114" s="7" t="str">
        <f t="shared" si="4"/>
        <v>Premium4color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豪炎の天使 ウリエル</v>
      </c>
      <c r="I114" s="7" t="str">
        <f>VLOOKUP(B114,[1]characters!$A:$J,10,FALSE)</f>
        <v>PremiumS</v>
      </c>
      <c r="J114" s="7">
        <f>VLOOKUP(B114,[1]characters!$A:$I,9,FALSE)</f>
        <v>4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IFERROR(VLOOKUP(B114,input_433100!L:R,7,FALSE),VLOOKUP(tables_433100!C114,input_433100!A:H,8,FALSE))</f>
        <v>287818.34907</v>
      </c>
      <c r="P114" s="46">
        <f t="shared" ca="1" si="5"/>
        <v>2.4608271979288159E-2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input_433100!A$2</f>
        <v>433100</v>
      </c>
      <c r="B115" s="5">
        <v>240</v>
      </c>
      <c r="C115" s="7" t="str">
        <f t="shared" si="4"/>
        <v>Premium5color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轟炎の天使 ウリエル・スレイヤー</v>
      </c>
      <c r="I115" s="7" t="str">
        <f>VLOOKUP(B115,[1]characters!$A:$J,10,FALSE)</f>
        <v>PremiumS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IFERROR(VLOOKUP(B115,input_433100!L:R,7,FALSE),VLOOKUP(tables_433100!C115,input_433100!A:H,8,FALSE))</f>
        <v>810.11469999999997</v>
      </c>
      <c r="P115" s="46">
        <f t="shared" ca="1" si="5"/>
        <v>6.9264252735918991E-5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input_433100!A$2</f>
        <v>433100</v>
      </c>
      <c r="B116" s="5">
        <v>241</v>
      </c>
      <c r="C116" s="7" t="str">
        <f t="shared" si="4"/>
        <v>Premium3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ガブリエル</v>
      </c>
      <c r="I116" s="7" t="str">
        <f>VLOOKUP(B116,[1]characters!$A:$J,10,FALSE)</f>
        <v>PremiumS</v>
      </c>
      <c r="J116" s="7">
        <f>VLOOKUP(B116,[1]characters!$A:$I,9,FALSE)</f>
        <v>3</v>
      </c>
      <c r="K116" s="7" t="str">
        <f>VLOOKUP(B116,[1]characters!$A:$H,8,FALSE)</f>
        <v>green</v>
      </c>
      <c r="L116" s="7" t="str">
        <f>VLOOKUP(B116,[1]characters!$A:$K,11,FALSE)</f>
        <v>balance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IFERROR(VLOOKUP(B116,input_433100!L:R,7,FALSE),VLOOKUP(tables_433100!C116,input_433100!A:H,8,FALSE))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input_433100!A$2</f>
        <v>433100</v>
      </c>
      <c r="B117" s="5">
        <v>242</v>
      </c>
      <c r="C117" s="7" t="str">
        <f t="shared" si="4"/>
        <v>Premium4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百花の天使 ガブリエル</v>
      </c>
      <c r="I117" s="7" t="str">
        <f>VLOOKUP(B117,[1]characters!$A:$J,10,FALSE)</f>
        <v>PremiumS</v>
      </c>
      <c r="J117" s="7">
        <f>VLOOKUP(B117,[1]characters!$A:$I,9,FALSE)</f>
        <v>4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IFERROR(VLOOKUP(B117,input_433100!L:R,7,FALSE),VLOOKUP(tables_433100!C117,input_433100!A:H,8,FALSE))</f>
        <v>56540.195030000003</v>
      </c>
      <c r="P117" s="46">
        <f t="shared" ca="1" si="5"/>
        <v>4.8341480018768588E-3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input_433100!A$2</f>
        <v>433100</v>
      </c>
      <c r="B118" s="5">
        <v>243</v>
      </c>
      <c r="C118" s="7" t="str">
        <f t="shared" si="4"/>
        <v>Premium5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万花の天使 ガブリエル・ブルーム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IFERROR(VLOOKUP(B118,input_433100!L:R,7,FALSE),VLOOKUP(tables_433100!C118,input_433100!A:H,8,FALSE))</f>
        <v>133.80497</v>
      </c>
      <c r="P118" s="46">
        <f t="shared" ca="1" si="5"/>
        <v>1.144023341312293E-5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input_433100!A$2</f>
        <v>433100</v>
      </c>
      <c r="B119" s="5">
        <v>244</v>
      </c>
      <c r="C119" s="7" t="str">
        <f t="shared" si="4"/>
        <v>Premium3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ラファエル</v>
      </c>
      <c r="I119" s="7" t="str">
        <f>VLOOKUP(B119,[1]characters!$A:$J,10,FALSE)</f>
        <v>PremiumS</v>
      </c>
      <c r="J119" s="7">
        <f>VLOOKUP(B119,[1]characters!$A:$I,9,FALSE)</f>
        <v>3</v>
      </c>
      <c r="K119" s="7" t="str">
        <f>VLOOKUP(B119,[1]characters!$A:$H,8,FALSE)</f>
        <v>blue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IFERROR(VLOOKUP(B119,input_433100!L:R,7,FALSE),VLOOKUP(tables_433100!C119,input_433100!A:H,8,FALSE))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input_433100!A$2</f>
        <v>433100</v>
      </c>
      <c r="B120" s="5">
        <v>245</v>
      </c>
      <c r="C120" s="7" t="str">
        <f t="shared" si="4"/>
        <v>Premium4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鎮癒の天使 ラファエル</v>
      </c>
      <c r="I120" s="7" t="str">
        <f>VLOOKUP(B120,[1]characters!$A:$J,10,FALSE)</f>
        <v>PremiumS</v>
      </c>
      <c r="J120" s="7">
        <f>VLOOKUP(B120,[1]characters!$A:$I,9,FALSE)</f>
        <v>4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IFERROR(VLOOKUP(B120,input_433100!L:R,7,FALSE),VLOOKUP(tables_433100!C120,input_433100!A:H,8,FALSE))</f>
        <v>56540.195030000003</v>
      </c>
      <c r="P120" s="46">
        <f t="shared" ca="1" si="5"/>
        <v>4.8341480018768588E-3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input_433100!A$2</f>
        <v>433100</v>
      </c>
      <c r="B121" s="5">
        <v>246</v>
      </c>
      <c r="C121" s="7" t="str">
        <f t="shared" si="4"/>
        <v>Premium5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真癒の天使 ラファエル・メディカ</v>
      </c>
      <c r="I121" s="7" t="str">
        <f>VLOOKUP(B121,[1]characters!$A:$J,10,FALSE)</f>
        <v>PremiumS</v>
      </c>
      <c r="J121" s="7">
        <f>VLOOKUP(B121,[1]characters!$A:$I,9,FALSE)</f>
        <v>5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IFERROR(VLOOKUP(B121,input_433100!L:R,7,FALSE),VLOOKUP(tables_433100!C121,input_433100!A:H,8,FALSE))</f>
        <v>133.80497</v>
      </c>
      <c r="P121" s="46">
        <f t="shared" ca="1" si="5"/>
        <v>1.144023341312293E-5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input_433100!A$2</f>
        <v>433100</v>
      </c>
      <c r="B122" s="5">
        <v>247</v>
      </c>
      <c r="C122" s="7" t="str">
        <f t="shared" si="4"/>
        <v>Premium3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ミカエル</v>
      </c>
      <c r="I122" s="7" t="str">
        <f>VLOOKUP(B122,[1]characters!$A:$J,10,FALSE)</f>
        <v>PremiumS</v>
      </c>
      <c r="J122" s="7">
        <f>VLOOKUP(B122,[1]characters!$A:$I,9,FALSE)</f>
        <v>3</v>
      </c>
      <c r="K122" s="7" t="str">
        <f>VLOOKUP(B122,[1]characters!$A:$H,8,FALSE)</f>
        <v>yellow</v>
      </c>
      <c r="L122" s="7" t="str">
        <f>VLOOKUP(B122,[1]characters!$A:$K,11,FALSE)</f>
        <v>attack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IFERROR(VLOOKUP(B122,input_433100!L:R,7,FALSE),VLOOKUP(tables_433100!C122,input_433100!A:H,8,FALSE))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input_433100!A$2</f>
        <v>433100</v>
      </c>
      <c r="B123" s="5">
        <v>248</v>
      </c>
      <c r="C123" s="7" t="str">
        <f t="shared" si="4"/>
        <v>Premium4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彩電の天使 ミカエル</v>
      </c>
      <c r="I123" s="7" t="str">
        <f>VLOOKUP(B123,[1]characters!$A:$J,10,FALSE)</f>
        <v>PremiumS</v>
      </c>
      <c r="J123" s="7">
        <f>VLOOKUP(B123,[1]characters!$A:$I,9,FALSE)</f>
        <v>4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IFERROR(VLOOKUP(B123,input_433100!L:R,7,FALSE),VLOOKUP(tables_433100!C123,input_433100!A:H,8,FALSE))</f>
        <v>56540.195030000003</v>
      </c>
      <c r="P123" s="46">
        <f t="shared" ca="1" si="5"/>
        <v>4.8341480018768588E-3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input_433100!A$2</f>
        <v>433100</v>
      </c>
      <c r="B124" s="6">
        <v>249</v>
      </c>
      <c r="C124" s="7" t="str">
        <f t="shared" si="4"/>
        <v>Premium5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雷電の天使 ミカエル・ゲイナー</v>
      </c>
      <c r="I124" s="7" t="str">
        <f>VLOOKUP(B124,[1]characters!$A:$J,10,FALSE)</f>
        <v>PremiumS</v>
      </c>
      <c r="J124" s="7">
        <f>VLOOKUP(B124,[1]characters!$A:$I,9,FALSE)</f>
        <v>5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IFERROR(VLOOKUP(B124,input_433100!L:R,7,FALSE),VLOOKUP(tables_433100!C124,input_433100!A:H,8,FALSE))</f>
        <v>133.80497</v>
      </c>
      <c r="P124" s="46">
        <f t="shared" ca="1" si="5"/>
        <v>1.144023341312293E-5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input_433100!A$2</f>
        <v>433100</v>
      </c>
      <c r="B125" s="6">
        <v>250</v>
      </c>
      <c r="C125" s="7" t="str">
        <f t="shared" si="4"/>
        <v>Premium3color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>color</v>
      </c>
      <c r="H125" s="7" t="str">
        <f>VLOOKUP(B125,[1]characters!$A:$C,3,FALSE)</f>
        <v>マンモン</v>
      </c>
      <c r="I125" s="7" t="str">
        <f>VLOOKUP(B125,[1]characters!$A:$J,10,FALSE)</f>
        <v>PremiumS</v>
      </c>
      <c r="J125" s="7">
        <f>VLOOKUP(B125,[1]characters!$A:$I,9,FALSE)</f>
        <v>3</v>
      </c>
      <c r="K125" s="7" t="str">
        <f>VLOOKUP(B125,[1]characters!$A:$H,8,FALSE)</f>
        <v>red</v>
      </c>
      <c r="L125" s="7" t="str">
        <f>VLOOKUP(B125,[1]characters!$A:$K,11,FALSE)</f>
        <v>balance</v>
      </c>
      <c r="M125" s="7" t="str">
        <f>VLOOKUP(B125,[1]characters!$A:$M,13,FALSE)</f>
        <v>god</v>
      </c>
      <c r="N125" s="7" t="str">
        <f>VLOOKUP(B125,[1]characters!$A:$G,7,FALSE)</f>
        <v>女性</v>
      </c>
      <c r="O125" s="45">
        <f ca="1">IFERROR(VLOOKUP(B125,input_433100!L:R,7,FALSE),VLOOKUP(tables_433100!C125,input_433100!A:H,8,FALSE))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input_433100!A$2</f>
        <v>433100</v>
      </c>
      <c r="B126" s="6">
        <v>251</v>
      </c>
      <c r="C126" s="7" t="str">
        <f t="shared" si="4"/>
        <v>Premium4color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強欲 マンモン</v>
      </c>
      <c r="I126" s="7" t="str">
        <f>VLOOKUP(B126,[1]characters!$A:$J,10,FALSE)</f>
        <v>PremiumS</v>
      </c>
      <c r="J126" s="7">
        <f>VLOOKUP(B126,[1]characters!$A:$I,9,FALSE)</f>
        <v>4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IFERROR(VLOOKUP(B126,input_433100!L:R,7,FALSE),VLOOKUP(tables_433100!C126,input_433100!A:H,8,FALSE))</f>
        <v>287818.34907</v>
      </c>
      <c r="P126" s="46">
        <f t="shared" ca="1" si="5"/>
        <v>2.4608271979288159E-2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input_433100!A$2</f>
        <v>433100</v>
      </c>
      <c r="B127" s="6">
        <v>252</v>
      </c>
      <c r="C127" s="7" t="str">
        <f t="shared" si="4"/>
        <v>Premium5color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強欲の沸騰 マンモン</v>
      </c>
      <c r="I127" s="7" t="str">
        <f>VLOOKUP(B127,[1]characters!$A:$J,10,FALSE)</f>
        <v>PremiumS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IFERROR(VLOOKUP(B127,input_433100!L:R,7,FALSE),VLOOKUP(tables_433100!C127,input_433100!A:H,8,FALSE))</f>
        <v>810.11469999999997</v>
      </c>
      <c r="P127" s="46">
        <f t="shared" ca="1" si="5"/>
        <v>6.9264252735918991E-5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input_433100!A$2</f>
        <v>433100</v>
      </c>
      <c r="B128" s="6">
        <v>253</v>
      </c>
      <c r="C128" s="7" t="str">
        <f t="shared" si="4"/>
        <v>Premium3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ベルフェゴール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green</v>
      </c>
      <c r="L128" s="7" t="str">
        <f>VLOOKUP(B128,[1]characters!$A:$K,11,FALSE)</f>
        <v>technical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IFERROR(VLOOKUP(B128,input_433100!L:R,7,FALSE),VLOOKUP(tables_433100!C128,input_433100!A:H,8,FALSE))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input_433100!A$2</f>
        <v>433100</v>
      </c>
      <c r="B129" s="6">
        <v>254</v>
      </c>
      <c r="C129" s="7" t="str">
        <f t="shared" si="4"/>
        <v>Premium4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怠惰 ベルフェゴール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IFERROR(VLOOKUP(B129,input_433100!L:R,7,FALSE),VLOOKUP(tables_433100!C129,input_433100!A:H,8,FALSE))</f>
        <v>56540.195030000003</v>
      </c>
      <c r="P129" s="46">
        <f t="shared" ca="1" si="5"/>
        <v>4.8341480018768588E-3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input_433100!A$2</f>
        <v>433100</v>
      </c>
      <c r="B130" s="6">
        <v>255</v>
      </c>
      <c r="C130" s="7" t="str">
        <f t="shared" ref="C130:C193" si="8">D130&amp;J130&amp;E130&amp;F130&amp;G130</f>
        <v>Premium5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怠惰の頂点 ベルフェゴール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IFERROR(VLOOKUP(B130,input_433100!L:R,7,FALSE),VLOOKUP(tables_433100!C130,input_433100!A:H,8,FALSE))</f>
        <v>133.80497</v>
      </c>
      <c r="P130" s="46">
        <f t="shared" ref="P130:P193" ca="1" si="9">O130/SUM(O:O)</f>
        <v>1.144023341312293E-5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input_433100!A$2</f>
        <v>433100</v>
      </c>
      <c r="B131" s="6">
        <v>256</v>
      </c>
      <c r="C131" s="7" t="str">
        <f t="shared" si="8"/>
        <v>Premium3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アスモデウス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blue</v>
      </c>
      <c r="L131" s="7" t="str">
        <f>VLOOKUP(B131,[1]characters!$A:$K,11,FALSE)</f>
        <v>attack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IFERROR(VLOOKUP(B131,input_433100!L:R,7,FALSE),VLOOKUP(tables_433100!C131,input_433100!A:H,8,FALSE))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input_433100!A$2</f>
        <v>433100</v>
      </c>
      <c r="B132" s="6">
        <v>257</v>
      </c>
      <c r="C132" s="7" t="str">
        <f t="shared" si="8"/>
        <v>Premium4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色欲 アスモデウス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IFERROR(VLOOKUP(B132,input_433100!L:R,7,FALSE),VLOOKUP(tables_433100!C132,input_433100!A:H,8,FALSE))</f>
        <v>56540.195030000003</v>
      </c>
      <c r="P132" s="46">
        <f t="shared" ca="1" si="9"/>
        <v>4.8341480018768588E-3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input_433100!A$2</f>
        <v>433100</v>
      </c>
      <c r="B133" s="6">
        <v>258</v>
      </c>
      <c r="C133" s="7" t="str">
        <f t="shared" si="8"/>
        <v>Premium5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色欲の源流 アスモデウス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IFERROR(VLOOKUP(B133,input_433100!L:R,7,FALSE),VLOOKUP(tables_433100!C133,input_433100!A:H,8,FALSE))</f>
        <v>133.80497</v>
      </c>
      <c r="P133" s="46">
        <f t="shared" ca="1" si="9"/>
        <v>1.144023341312293E-5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input_433100!A$2</f>
        <v>433100</v>
      </c>
      <c r="B134" s="6">
        <v>259</v>
      </c>
      <c r="C134" s="7" t="str">
        <f t="shared" si="8"/>
        <v>Premium3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ウロボロス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yellow</v>
      </c>
      <c r="L134" s="7" t="str">
        <f>VLOOKUP(B134,[1]characters!$A:$K,11,FALSE)</f>
        <v>balance</v>
      </c>
      <c r="M134" s="7" t="str">
        <f>VLOOKUP(B134,[1]characters!$A:$M,13,FALSE)</f>
        <v>dragon</v>
      </c>
      <c r="N134" s="7" t="str">
        <f>VLOOKUP(B134,[1]characters!$A:$G,7,FALSE)</f>
        <v>女性</v>
      </c>
      <c r="O134" s="45">
        <f ca="1">IFERROR(VLOOKUP(B134,input_433100!L:R,7,FALSE),VLOOKUP(tables_433100!C134,input_433100!A:H,8,FALSE))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input_433100!A$2</f>
        <v>433100</v>
      </c>
      <c r="B135" s="8">
        <v>260</v>
      </c>
      <c r="C135" s="7" t="str">
        <f t="shared" si="8"/>
        <v>Premium4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輪廻 ウロボロス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IFERROR(VLOOKUP(B135,input_433100!L:R,7,FALSE),VLOOKUP(tables_433100!C135,input_433100!A:H,8,FALSE))</f>
        <v>56540.195030000003</v>
      </c>
      <c r="P135" s="46">
        <f t="shared" ca="1" si="9"/>
        <v>4.8341480018768588E-3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input_433100!A$2</f>
        <v>433100</v>
      </c>
      <c r="B136" s="8">
        <v>261</v>
      </c>
      <c r="C136" s="7" t="str">
        <f t="shared" si="8"/>
        <v>Premium5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輪廻の蛇龍 ウロボロス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IFERROR(VLOOKUP(B136,input_433100!L:R,7,FALSE),VLOOKUP(tables_433100!C136,input_433100!A:H,8,FALSE))</f>
        <v>133.80497</v>
      </c>
      <c r="P136" s="46">
        <f t="shared" ca="1" si="9"/>
        <v>1.144023341312293E-5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input_433100!A$2</f>
        <v>433100</v>
      </c>
      <c r="B137" s="6">
        <v>320</v>
      </c>
      <c r="C137" s="7" t="str">
        <f t="shared" si="8"/>
        <v>PremiumSS4color</v>
      </c>
      <c r="D137" s="7" t="str">
        <f t="shared" si="10"/>
        <v>PremiumSS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>color</v>
      </c>
      <c r="H137" s="7" t="str">
        <f>VLOOKUP(B137,[1]characters!$A:$C,3,FALSE)</f>
        <v>烈志士 近藤勇</v>
      </c>
      <c r="I137" s="7" t="str">
        <f>VLOOKUP(B137,[1]characters!$A:$J,10,FALSE)</f>
        <v>PremiumSS</v>
      </c>
      <c r="J137" s="7">
        <f>VLOOKUP(B137,[1]characters!$A:$I,9,FALSE)</f>
        <v>4</v>
      </c>
      <c r="K137" s="7" t="str">
        <f>VLOOKUP(B137,[1]characters!$A:$H,8,FALSE)</f>
        <v>red</v>
      </c>
      <c r="L137" s="7" t="str">
        <f>VLOOKUP(B137,[1]characters!$A:$K,11,FALSE)</f>
        <v>hp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45">
        <f ca="1">IFERROR(VLOOKUP(B137,input_433100!L:R,7,FALSE),VLOOKUP(tables_433100!C137,input_433100!A:H,8,FALSE))</f>
        <v>23809.71429</v>
      </c>
      <c r="P137" s="46">
        <f t="shared" ca="1" si="9"/>
        <v>2.0357142860789735E-3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input_433100!A$2</f>
        <v>433100</v>
      </c>
      <c r="B138" s="6">
        <v>321</v>
      </c>
      <c r="C138" s="7" t="str">
        <f t="shared" si="8"/>
        <v>PremiumSS5color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巌鉄の烈志士 近藤勇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IFERROR(VLOOKUP(B138,input_433100!L:R,7,FALSE),VLOOKUP(tables_433100!C138,input_433100!A:H,8,FALSE))</f>
        <v>1253.1428599999999</v>
      </c>
      <c r="P138" s="46">
        <f t="shared" ca="1" si="9"/>
        <v>1.0714285738704944E-4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input_433100!A$2</f>
        <v>433100</v>
      </c>
      <c r="B139" s="6">
        <v>322</v>
      </c>
      <c r="C139" s="7" t="str">
        <f t="shared" si="8"/>
        <v>PremiumSS4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愛志士 土方歳三</v>
      </c>
      <c r="I139" s="7" t="str">
        <f>VLOOKUP(B139,[1]characters!$A:$J,10,FALSE)</f>
        <v>PremiumSS</v>
      </c>
      <c r="J139" s="7">
        <f>VLOOKUP(B139,[1]characters!$A:$I,9,FALSE)</f>
        <v>4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human</v>
      </c>
      <c r="N139" s="7" t="str">
        <f>VLOOKUP(B139,[1]characters!$A:$G,7,FALSE)</f>
        <v>女性</v>
      </c>
      <c r="O139" s="45">
        <f ca="1">IFERROR(VLOOKUP(B139,input_433100!L:R,7,FALSE),VLOOKUP(tables_433100!C139,input_433100!A:H,8,FALSE))</f>
        <v>9261.6</v>
      </c>
      <c r="P139" s="46">
        <f t="shared" ca="1" si="9"/>
        <v>7.9186046511560317E-4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input_433100!A$2</f>
        <v>433100</v>
      </c>
      <c r="B140" s="6">
        <v>323</v>
      </c>
      <c r="C140" s="7" t="str">
        <f t="shared" si="8"/>
        <v>PremiumSS5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流麗の愛志士 土方歳三</v>
      </c>
      <c r="I140" s="7" t="str">
        <f>VLOOKUP(B140,[1]characters!$A:$J,10,FALSE)</f>
        <v>PremiumSS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IFERROR(VLOOKUP(B140,input_433100!L:R,7,FALSE),VLOOKUP(tables_433100!C140,input_433100!A:H,8,FALSE))</f>
        <v>272</v>
      </c>
      <c r="P140" s="46">
        <f t="shared" ca="1" si="9"/>
        <v>2.325581395346852E-5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input_433100!A$2</f>
        <v>433100</v>
      </c>
      <c r="B141" s="6">
        <v>324</v>
      </c>
      <c r="C141" s="7" t="str">
        <f t="shared" si="8"/>
        <v>PremiumSS4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凛志士 沖田総司</v>
      </c>
      <c r="I141" s="7" t="str">
        <f>VLOOKUP(B141,[1]characters!$A:$J,10,FALSE)</f>
        <v>PremiumSS</v>
      </c>
      <c r="J141" s="7">
        <f>VLOOKUP(B141,[1]characters!$A:$I,9,FALSE)</f>
        <v>4</v>
      </c>
      <c r="K141" s="7" t="str">
        <f>VLOOKUP(B141,[1]characters!$A:$H,8,FALSE)</f>
        <v>blue</v>
      </c>
      <c r="L141" s="7" t="str">
        <f>VLOOKUP(B141,[1]characters!$A:$K,11,FALSE)</f>
        <v>balance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IFERROR(VLOOKUP(B141,input_433100!L:R,7,FALSE),VLOOKUP(tables_433100!C141,input_433100!A:H,8,FALSE))</f>
        <v>9261.6</v>
      </c>
      <c r="P141" s="46">
        <f t="shared" ca="1" si="9"/>
        <v>7.9186046511560317E-4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input_433100!A$2</f>
        <v>433100</v>
      </c>
      <c r="B142" s="6">
        <v>325</v>
      </c>
      <c r="C142" s="7" t="str">
        <f t="shared" si="8"/>
        <v>PremiumSS5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天賦の凛志士 沖田総司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IFERROR(VLOOKUP(B142,input_433100!L:R,7,FALSE),VLOOKUP(tables_433100!C142,input_433100!A:H,8,FALSE))</f>
        <v>272</v>
      </c>
      <c r="P142" s="46">
        <f t="shared" ca="1" si="9"/>
        <v>2.325581395346852E-5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input_433100!A$2</f>
        <v>433100</v>
      </c>
      <c r="B143" s="6">
        <v>326</v>
      </c>
      <c r="C143" s="7" t="str">
        <f t="shared" si="8"/>
        <v>PremiumSS4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妖志士 斎藤一</v>
      </c>
      <c r="I143" s="7" t="str">
        <f>VLOOKUP(B143,[1]characters!$A:$J,10,FALSE)</f>
        <v>PremiumSS</v>
      </c>
      <c r="J143" s="7">
        <f>VLOOKUP(B143,[1]characters!$A:$I,9,FALSE)</f>
        <v>4</v>
      </c>
      <c r="K143" s="7" t="str">
        <f>VLOOKUP(B143,[1]characters!$A:$H,8,FALSE)</f>
        <v>yellow</v>
      </c>
      <c r="L143" s="7" t="str">
        <f>VLOOKUP(B143,[1]characters!$A:$K,11,FALSE)</f>
        <v>technical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IFERROR(VLOOKUP(B143,input_433100!L:R,7,FALSE),VLOOKUP(tables_433100!C143,input_433100!A:H,8,FALSE))</f>
        <v>9261.6</v>
      </c>
      <c r="P143" s="46">
        <f t="shared" ca="1" si="9"/>
        <v>7.9186046511560317E-4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input_433100!A$2</f>
        <v>433100</v>
      </c>
      <c r="B144" s="6">
        <v>327</v>
      </c>
      <c r="C144" s="7" t="str">
        <f t="shared" si="8"/>
        <v>PremiumSS5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千殺の妖志士 斎藤一</v>
      </c>
      <c r="I144" s="7" t="str">
        <f>VLOOKUP(B144,[1]characters!$A:$J,10,FALSE)</f>
        <v>PremiumSS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IFERROR(VLOOKUP(B144,input_433100!L:R,7,FALSE),VLOOKUP(tables_433100!C144,input_433100!A:H,8,FALSE))</f>
        <v>272</v>
      </c>
      <c r="P144" s="46">
        <f t="shared" ca="1" si="9"/>
        <v>2.325581395346852E-5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input_433100!A$2</f>
        <v>433100</v>
      </c>
      <c r="B145" s="6">
        <v>380</v>
      </c>
      <c r="C145" s="7" t="str">
        <f t="shared" si="8"/>
        <v>Premium3color</v>
      </c>
      <c r="D145" s="7" t="str">
        <f t="shared" si="10"/>
        <v>Premium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>color</v>
      </c>
      <c r="H145" s="7" t="str">
        <f>VLOOKUP(B145,[1]characters!$A:$C,3,FALSE)</f>
        <v>バハムート</v>
      </c>
      <c r="I145" s="7" t="str">
        <f>VLOOKUP(B145,[1]characters!$A:$J,10,FALSE)</f>
        <v>PremiumS</v>
      </c>
      <c r="J145" s="7">
        <f>VLOOKUP(B145,[1]characters!$A:$I,9,FALSE)</f>
        <v>3</v>
      </c>
      <c r="K145" s="7" t="str">
        <f>VLOOKUP(B145,[1]characters!$A:$H,8,FALSE)</f>
        <v>red</v>
      </c>
      <c r="L145" s="7" t="str">
        <f>VLOOKUP(B145,[1]characters!$A:$K,11,FALSE)</f>
        <v>technical</v>
      </c>
      <c r="M145" s="7" t="str">
        <f>VLOOKUP(B145,[1]characters!$A:$M,13,FALSE)</f>
        <v>dragon</v>
      </c>
      <c r="N145" s="7" t="str">
        <f>VLOOKUP(B145,[1]characters!$A:$G,7,FALSE)</f>
        <v>女性</v>
      </c>
      <c r="O145" s="45">
        <f ca="1">IFERROR(VLOOKUP(B145,input_433100!L:R,7,FALSE),VLOOKUP(tables_433100!C145,input_433100!A:H,8,FALSE))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input_433100!A$2</f>
        <v>433100</v>
      </c>
      <c r="B146" s="6">
        <v>381</v>
      </c>
      <c r="C146" s="7" t="str">
        <f t="shared" si="8"/>
        <v>Premium4color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肉食の恋火 バハムート</v>
      </c>
      <c r="I146" s="7" t="str">
        <f>VLOOKUP(B146,[1]characters!$A:$J,10,FALSE)</f>
        <v>PremiumS</v>
      </c>
      <c r="J146" s="7">
        <f>VLOOKUP(B146,[1]characters!$A:$I,9,FALSE)</f>
        <v>4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IFERROR(VLOOKUP(B146,input_433100!L:R,7,FALSE),VLOOKUP(tables_433100!C146,input_433100!A:H,8,FALSE))</f>
        <v>287818.34907</v>
      </c>
      <c r="P146" s="46">
        <f t="shared" ca="1" si="9"/>
        <v>2.4608271979288159E-2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input_433100!A$2</f>
        <v>433100</v>
      </c>
      <c r="B147" s="6">
        <v>382</v>
      </c>
      <c r="C147" s="7" t="str">
        <f t="shared" si="8"/>
        <v>Premium5color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激情の愛炎 バハムート</v>
      </c>
      <c r="I147" s="7" t="str">
        <f>VLOOKUP(B147,[1]characters!$A:$J,10,FALSE)</f>
        <v>PremiumS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IFERROR(VLOOKUP(B147,input_433100!L:R,7,FALSE),VLOOKUP(tables_433100!C147,input_433100!A:H,8,FALSE))</f>
        <v>810.11469999999997</v>
      </c>
      <c r="P147" s="46">
        <f t="shared" ca="1" si="9"/>
        <v>6.9264252735918991E-5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input_433100!A$2</f>
        <v>433100</v>
      </c>
      <c r="B148" s="6">
        <v>383</v>
      </c>
      <c r="C148" s="7" t="str">
        <f t="shared" si="8"/>
        <v>PremiumSS4</v>
      </c>
      <c r="D148" s="7" t="str">
        <f t="shared" si="10"/>
        <v>PremiumSS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酒宴の蟒蛇 ヤマタノオロチ</v>
      </c>
      <c r="I148" s="7" t="str">
        <f>VLOOKUP(B148,[1]characters!$A:$J,10,FALSE)</f>
        <v>PremiumSS</v>
      </c>
      <c r="J148" s="7">
        <f>VLOOKUP(B148,[1]characters!$A:$I,9,FALSE)</f>
        <v>4</v>
      </c>
      <c r="K148" s="7" t="str">
        <f>VLOOKUP(B148,[1]characters!$A:$H,8,FALSE)</f>
        <v>green</v>
      </c>
      <c r="L148" s="7" t="str">
        <f>VLOOKUP(B148,[1]characters!$A:$K,11,FALSE)</f>
        <v>hp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IFERROR(VLOOKUP(B148,input_433100!L:R,7,FALSE),VLOOKUP(tables_433100!C148,input_433100!A:H,8,FALSE))</f>
        <v>9261.6</v>
      </c>
      <c r="P148" s="46">
        <f t="shared" ca="1" si="9"/>
        <v>7.9186046511560317E-4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input_433100!A$2</f>
        <v>433100</v>
      </c>
      <c r="B149" s="6">
        <v>384</v>
      </c>
      <c r="C149" s="7" t="str">
        <f t="shared" si="8"/>
        <v>PremiumSS5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破国の呑龍 ヤマタノオロチ</v>
      </c>
      <c r="I149" s="7" t="str">
        <f>VLOOKUP(B149,[1]characters!$A:$J,10,FALSE)</f>
        <v>PremiumSS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IFERROR(VLOOKUP(B149,input_433100!L:R,7,FALSE),VLOOKUP(tables_433100!C149,input_433100!A:H,8,FALSE))</f>
        <v>272</v>
      </c>
      <c r="P149" s="46">
        <f t="shared" ca="1" si="9"/>
        <v>2.325581395346852E-5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input_433100!A$2</f>
        <v>433100</v>
      </c>
      <c r="B150" s="6">
        <v>385</v>
      </c>
      <c r="C150" s="7" t="str">
        <f t="shared" si="8"/>
        <v>PremiumSS4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波烈の出奔 リヴァイアサン</v>
      </c>
      <c r="I150" s="7" t="str">
        <f>VLOOKUP(B150,[1]characters!$A:$J,10,FALSE)</f>
        <v>PremiumSS</v>
      </c>
      <c r="J150" s="7">
        <f>VLOOKUP(B150,[1]characters!$A:$I,9,FALSE)</f>
        <v>4</v>
      </c>
      <c r="K150" s="7" t="str">
        <f>VLOOKUP(B150,[1]characters!$A:$H,8,FALSE)</f>
        <v>blue</v>
      </c>
      <c r="L150" s="7" t="str">
        <f>VLOOKUP(B150,[1]characters!$A:$K,11,FALSE)</f>
        <v>balance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IFERROR(VLOOKUP(B150,input_433100!L:R,7,FALSE),VLOOKUP(tables_433100!C150,input_433100!A:H,8,FALSE))</f>
        <v>9261.6</v>
      </c>
      <c r="P150" s="46">
        <f t="shared" ca="1" si="9"/>
        <v>7.9186046511560317E-4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input_433100!A$2</f>
        <v>433100</v>
      </c>
      <c r="B151" s="6">
        <v>386</v>
      </c>
      <c r="C151" s="7" t="str">
        <f t="shared" si="8"/>
        <v>PremiumSS5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氾乱の海龍 リヴァイアサン</v>
      </c>
      <c r="I151" s="7" t="str">
        <f>VLOOKUP(B151,[1]characters!$A:$J,10,FALSE)</f>
        <v>PremiumSS</v>
      </c>
      <c r="J151" s="7">
        <f>VLOOKUP(B151,[1]characters!$A:$I,9,FALSE)</f>
        <v>5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IFERROR(VLOOKUP(B151,input_433100!L:R,7,FALSE),VLOOKUP(tables_433100!C151,input_433100!A:H,8,FALSE))</f>
        <v>272</v>
      </c>
      <c r="P151" s="46">
        <f t="shared" ca="1" si="9"/>
        <v>2.325581395346852E-5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input_433100!A$2</f>
        <v>433100</v>
      </c>
      <c r="B152" s="6">
        <v>387</v>
      </c>
      <c r="C152" s="7" t="str">
        <f t="shared" si="8"/>
        <v>Premium3</v>
      </c>
      <c r="D152" s="7" t="str">
        <f t="shared" si="10"/>
        <v>Premium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スフィンクス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yellow</v>
      </c>
      <c r="L152" s="7" t="str">
        <f>VLOOKUP(B152,[1]characters!$A:$K,11,FALSE)</f>
        <v>heal</v>
      </c>
      <c r="M152" s="7" t="str">
        <f>VLOOKUP(B152,[1]characters!$A:$M,13,FALSE)</f>
        <v>animal</v>
      </c>
      <c r="N152" s="7" t="str">
        <f>VLOOKUP(B152,[1]characters!$A:$G,7,FALSE)</f>
        <v>女性</v>
      </c>
      <c r="O152" s="45">
        <f ca="1">IFERROR(VLOOKUP(B152,input_433100!L:R,7,FALSE),VLOOKUP(tables_433100!C152,input_433100!A:H,8,FALSE))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input_433100!A$2</f>
        <v>433100</v>
      </c>
      <c r="B153" s="6">
        <v>388</v>
      </c>
      <c r="C153" s="7" t="str">
        <f t="shared" si="8"/>
        <v>Premium4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神円の恋姫 スフィンクス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IFERROR(VLOOKUP(B153,input_433100!L:R,7,FALSE),VLOOKUP(tables_433100!C153,input_433100!A:H,8,FALSE))</f>
        <v>56540.195030000003</v>
      </c>
      <c r="P153" s="46">
        <f t="shared" ca="1" si="9"/>
        <v>4.8341480018768588E-3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input_433100!A$2</f>
        <v>433100</v>
      </c>
      <c r="B154" s="6">
        <v>389</v>
      </c>
      <c r="C154" s="7" t="str">
        <f t="shared" si="8"/>
        <v>Premium5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操神の愛姫 スフィンクス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IFERROR(VLOOKUP(B154,input_433100!L:R,7,FALSE),VLOOKUP(tables_433100!C154,input_433100!A:H,8,FALSE))</f>
        <v>133.80497</v>
      </c>
      <c r="P154" s="46">
        <f t="shared" ca="1" si="9"/>
        <v>1.144023341312293E-5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input_433100!A$2</f>
        <v>433100</v>
      </c>
      <c r="B155" s="6">
        <v>390</v>
      </c>
      <c r="C155" s="7" t="str">
        <f t="shared" si="8"/>
        <v>PremiumSS4color</v>
      </c>
      <c r="D155" s="7" t="str">
        <f t="shared" si="10"/>
        <v>PremiumSS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>color</v>
      </c>
      <c r="H155" s="7" t="str">
        <f>VLOOKUP(B155,[1]characters!$A:$C,3,FALSE)</f>
        <v>華環の旅客 親指姫</v>
      </c>
      <c r="I155" s="7" t="str">
        <f>VLOOKUP(B155,[1]characters!$A:$J,10,FALSE)</f>
        <v>PremiumSS</v>
      </c>
      <c r="J155" s="7">
        <f>VLOOKUP(B155,[1]characters!$A:$I,9,FALSE)</f>
        <v>4</v>
      </c>
      <c r="K155" s="7" t="str">
        <f>VLOOKUP(B155,[1]characters!$A:$H,8,FALSE)</f>
        <v>red</v>
      </c>
      <c r="L155" s="7" t="str">
        <f>VLOOKUP(B155,[1]characters!$A:$K,11,FALSE)</f>
        <v>heal</v>
      </c>
      <c r="M155" s="7" t="str">
        <f>VLOOKUP(B155,[1]characters!$A:$M,13,FALSE)</f>
        <v>human</v>
      </c>
      <c r="N155" s="7" t="str">
        <f>VLOOKUP(B155,[1]characters!$A:$G,7,FALSE)</f>
        <v>女性</v>
      </c>
      <c r="O155" s="45">
        <f ca="1">IFERROR(VLOOKUP(B155,input_433100!L:R,7,FALSE),VLOOKUP(tables_433100!C155,input_433100!A:H,8,FALSE))</f>
        <v>23809.71429</v>
      </c>
      <c r="P155" s="46">
        <f t="shared" ca="1" si="9"/>
        <v>2.0357142860789735E-3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input_433100!A$2</f>
        <v>433100</v>
      </c>
      <c r="B156" s="6">
        <v>391</v>
      </c>
      <c r="C156" s="7" t="str">
        <f t="shared" si="8"/>
        <v>PremiumSS5color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燕翼の旅人 親指姫</v>
      </c>
      <c r="I156" s="7" t="str">
        <f>VLOOKUP(B156,[1]characters!$A:$J,10,FALSE)</f>
        <v>PremiumSS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IFERROR(VLOOKUP(B156,input_433100!L:R,7,FALSE),VLOOKUP(tables_433100!C156,input_433100!A:H,8,FALSE))</f>
        <v>1253.1428599999999</v>
      </c>
      <c r="P156" s="46">
        <f t="shared" ca="1" si="9"/>
        <v>1.0714285738704944E-4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input_433100!A$2</f>
        <v>433100</v>
      </c>
      <c r="B157" s="6">
        <v>392</v>
      </c>
      <c r="C157" s="7" t="str">
        <f t="shared" si="8"/>
        <v>Premium3</v>
      </c>
      <c r="D157" s="7" t="str">
        <f t="shared" si="10"/>
        <v>Premium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ピーターパン</v>
      </c>
      <c r="I157" s="7" t="str">
        <f>VLOOKUP(B157,[1]characters!$A:$J,10,FALSE)</f>
        <v>PremiumS</v>
      </c>
      <c r="J157" s="7">
        <f>VLOOKUP(B157,[1]characters!$A:$I,9,FALSE)</f>
        <v>3</v>
      </c>
      <c r="K157" s="7" t="str">
        <f>VLOOKUP(B157,[1]characters!$A:$H,8,FALSE)</f>
        <v>green</v>
      </c>
      <c r="L157" s="7" t="str">
        <f>VLOOKUP(B157,[1]characters!$A:$K,11,FALSE)</f>
        <v>attack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ca="1">IFERROR(VLOOKUP(B157,input_433100!L:R,7,FALSE),VLOOKUP(tables_433100!C157,input_433100!A:H,8,FALSE))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input_433100!A$2</f>
        <v>433100</v>
      </c>
      <c r="B158" s="6">
        <v>393</v>
      </c>
      <c r="C158" s="7" t="str">
        <f t="shared" si="8"/>
        <v>Premium4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影縫い ピーターパン</v>
      </c>
      <c r="I158" s="7" t="str">
        <f>VLOOKUP(B158,[1]characters!$A:$J,10,FALSE)</f>
        <v>PremiumS</v>
      </c>
      <c r="J158" s="7">
        <f>VLOOKUP(B158,[1]characters!$A:$I,9,FALSE)</f>
        <v>4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IFERROR(VLOOKUP(B158,input_433100!L:R,7,FALSE),VLOOKUP(tables_433100!C158,input_433100!A:H,8,FALSE))</f>
        <v>56540.195030000003</v>
      </c>
      <c r="P158" s="46">
        <f t="shared" ca="1" si="9"/>
        <v>4.8341480018768588E-3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input_433100!A$2</f>
        <v>433100</v>
      </c>
      <c r="B159" s="6">
        <v>394</v>
      </c>
      <c r="C159" s="7" t="str">
        <f t="shared" si="8"/>
        <v>Premium5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影求の悪童 ピーターパン</v>
      </c>
      <c r="I159" s="7" t="str">
        <f>VLOOKUP(B159,[1]characters!$A:$J,10,FALSE)</f>
        <v>PremiumS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IFERROR(VLOOKUP(B159,input_433100!L:R,7,FALSE),VLOOKUP(tables_433100!C159,input_433100!A:H,8,FALSE))</f>
        <v>133.80497</v>
      </c>
      <c r="P159" s="46">
        <f t="shared" ca="1" si="9"/>
        <v>1.144023341312293E-5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input_433100!A$2</f>
        <v>433100</v>
      </c>
      <c r="B160" s="6">
        <v>395</v>
      </c>
      <c r="C160" s="7" t="str">
        <f t="shared" si="8"/>
        <v>Premium3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乙姫</v>
      </c>
      <c r="I160" s="7" t="str">
        <f>VLOOKUP(B160,[1]characters!$A:$J,10,FALSE)</f>
        <v>PremiumS</v>
      </c>
      <c r="J160" s="7">
        <f>VLOOKUP(B160,[1]characters!$A:$I,9,FALSE)</f>
        <v>3</v>
      </c>
      <c r="K160" s="7" t="str">
        <f>VLOOKUP(B160,[1]characters!$A:$H,8,FALSE)</f>
        <v>blue</v>
      </c>
      <c r="L160" s="7" t="str">
        <f>VLOOKUP(B160,[1]characters!$A:$K,11,FALSE)</f>
        <v>hp</v>
      </c>
      <c r="M160" s="7" t="str">
        <f>VLOOKUP(B160,[1]characters!$A:$M,13,FALSE)</f>
        <v>human</v>
      </c>
      <c r="N160" s="7" t="str">
        <f>VLOOKUP(B160,[1]characters!$A:$G,7,FALSE)</f>
        <v>女性</v>
      </c>
      <c r="O160" s="45">
        <f ca="1">IFERROR(VLOOKUP(B160,input_433100!L:R,7,FALSE),VLOOKUP(tables_433100!C160,input_433100!A:H,8,FALSE))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input_433100!A$2</f>
        <v>433100</v>
      </c>
      <c r="B161" s="6">
        <v>396</v>
      </c>
      <c r="C161" s="7" t="str">
        <f t="shared" si="8"/>
        <v>Premium4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竜宮の水雷 乙姫</v>
      </c>
      <c r="I161" s="7" t="str">
        <f>VLOOKUP(B161,[1]characters!$A:$J,10,FALSE)</f>
        <v>PremiumS</v>
      </c>
      <c r="J161" s="7">
        <f>VLOOKUP(B161,[1]characters!$A:$I,9,FALSE)</f>
        <v>4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IFERROR(VLOOKUP(B161,input_433100!L:R,7,FALSE),VLOOKUP(tables_433100!C161,input_433100!A:H,8,FALSE))</f>
        <v>56540.195030000003</v>
      </c>
      <c r="P161" s="46">
        <f t="shared" ca="1" si="9"/>
        <v>4.8341480018768588E-3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input_433100!A$2</f>
        <v>433100</v>
      </c>
      <c r="B162" s="6">
        <v>397</v>
      </c>
      <c r="C162" s="7" t="str">
        <f t="shared" si="8"/>
        <v>Premium5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禁断の追箱 乙姫</v>
      </c>
      <c r="I162" s="7" t="str">
        <f>VLOOKUP(B162,[1]characters!$A:$J,10,FALSE)</f>
        <v>PremiumS</v>
      </c>
      <c r="J162" s="7">
        <f>VLOOKUP(B162,[1]characters!$A:$I,9,FALSE)</f>
        <v>5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IFERROR(VLOOKUP(B162,input_433100!L:R,7,FALSE),VLOOKUP(tables_433100!C162,input_433100!A:H,8,FALSE))</f>
        <v>133.80497</v>
      </c>
      <c r="P162" s="46">
        <f t="shared" ca="1" si="9"/>
        <v>1.144023341312293E-5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input_433100!A$2</f>
        <v>433100</v>
      </c>
      <c r="B163" s="6">
        <v>398</v>
      </c>
      <c r="C163" s="7" t="str">
        <f t="shared" si="8"/>
        <v>PremiumSS4</v>
      </c>
      <c r="D163" s="7" t="str">
        <f t="shared" si="10"/>
        <v>PremiumSS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ヘンゼル＆グレーテル</v>
      </c>
      <c r="I163" s="7" t="str">
        <f>VLOOKUP(B163,[1]characters!$A:$J,10,FALSE)</f>
        <v>PremiumSS</v>
      </c>
      <c r="J163" s="7">
        <f>VLOOKUP(B163,[1]characters!$A:$I,9,FALSE)</f>
        <v>4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IFERROR(VLOOKUP(B163,input_433100!L:R,7,FALSE),VLOOKUP(tables_433100!C163,input_433100!A:H,8,FALSE))</f>
        <v>9261.6</v>
      </c>
      <c r="P163" s="46">
        <f t="shared" ca="1" si="9"/>
        <v>7.9186046511560317E-4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input_433100!A$2</f>
        <v>433100</v>
      </c>
      <c r="B164" s="6">
        <v>399</v>
      </c>
      <c r="C164" s="7" t="str">
        <f t="shared" si="8"/>
        <v>PremiumSS5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信愛の兄妹 ヘンゼル＆グレーテル</v>
      </c>
      <c r="I164" s="7" t="str">
        <f>VLOOKUP(B164,[1]characters!$A:$J,10,FALSE)</f>
        <v>PremiumSS</v>
      </c>
      <c r="J164" s="7">
        <f>VLOOKUP(B164,[1]characters!$A:$I,9,FALSE)</f>
        <v>5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IFERROR(VLOOKUP(B164,input_433100!L:R,7,FALSE),VLOOKUP(tables_433100!C164,input_433100!A:H,8,FALSE))</f>
        <v>272</v>
      </c>
      <c r="P164" s="46">
        <f t="shared" ca="1" si="9"/>
        <v>2.325581395346852E-5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input_433100!A$2</f>
        <v>433100</v>
      </c>
      <c r="B165" s="6">
        <v>400</v>
      </c>
      <c r="C165" s="7" t="str">
        <f t="shared" si="8"/>
        <v>Premium3color</v>
      </c>
      <c r="D165" s="7" t="str">
        <f t="shared" si="10"/>
        <v>Premium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>color</v>
      </c>
      <c r="H165" s="7" t="str">
        <f>VLOOKUP(B165,[1]characters!$A:$C,3,FALSE)</f>
        <v>フェンリル</v>
      </c>
      <c r="I165" s="7" t="str">
        <f>VLOOKUP(B165,[1]characters!$A:$J,10,FALSE)</f>
        <v>PremiumS</v>
      </c>
      <c r="J165" s="7">
        <f>VLOOKUP(B165,[1]characters!$A:$I,9,FALSE)</f>
        <v>3</v>
      </c>
      <c r="K165" s="7" t="str">
        <f>VLOOKUP(B165,[1]characters!$A:$H,8,FALSE)</f>
        <v>red</v>
      </c>
      <c r="L165" s="7" t="str">
        <f>VLOOKUP(B165,[1]characters!$A:$K,11,FALSE)</f>
        <v>attack</v>
      </c>
      <c r="M165" s="7" t="str">
        <f>VLOOKUP(B165,[1]characters!$A:$M,13,FALSE)</f>
        <v>animal</v>
      </c>
      <c r="N165" s="7" t="str">
        <f>VLOOKUP(B165,[1]characters!$A:$G,7,FALSE)</f>
        <v>女性</v>
      </c>
      <c r="O165" s="45">
        <f ca="1">IFERROR(VLOOKUP(B165,input_433100!L:R,7,FALSE),VLOOKUP(tables_433100!C165,input_433100!A:H,8,FALSE))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input_433100!A$2</f>
        <v>433100</v>
      </c>
      <c r="B166" s="6">
        <v>401</v>
      </c>
      <c r="C166" s="7" t="str">
        <f t="shared" si="8"/>
        <v>Premium4color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紅銀の孤狼 フェンリル</v>
      </c>
      <c r="I166" s="7" t="str">
        <f>VLOOKUP(B166,[1]characters!$A:$J,10,FALSE)</f>
        <v>PremiumS</v>
      </c>
      <c r="J166" s="7">
        <f>VLOOKUP(B166,[1]characters!$A:$I,9,FALSE)</f>
        <v>4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IFERROR(VLOOKUP(B166,input_433100!L:R,7,FALSE),VLOOKUP(tables_433100!C166,input_433100!A:H,8,FALSE))</f>
        <v>287818.34907</v>
      </c>
      <c r="P166" s="46">
        <f t="shared" ca="1" si="9"/>
        <v>2.4608271979288159E-2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input_433100!A$2</f>
        <v>433100</v>
      </c>
      <c r="B167" s="6">
        <v>402</v>
      </c>
      <c r="C167" s="7" t="str">
        <f t="shared" si="8"/>
        <v>Premium5color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天災の神狼 フェンリル</v>
      </c>
      <c r="I167" s="7" t="str">
        <f>VLOOKUP(B167,[1]characters!$A:$J,10,FALSE)</f>
        <v>PremiumS</v>
      </c>
      <c r="J167" s="7">
        <f>VLOOKUP(B167,[1]characters!$A:$I,9,FALSE)</f>
        <v>5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IFERROR(VLOOKUP(B167,input_433100!L:R,7,FALSE),VLOOKUP(tables_433100!C167,input_433100!A:H,8,FALSE))</f>
        <v>810.11469999999997</v>
      </c>
      <c r="P167" s="46">
        <f t="shared" ca="1" si="9"/>
        <v>6.9264252735918991E-5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input_433100!A$2</f>
        <v>433100</v>
      </c>
      <c r="B168" s="6">
        <v>403</v>
      </c>
      <c r="C168" s="7" t="str">
        <f t="shared" si="8"/>
        <v>PremiumSS4</v>
      </c>
      <c r="D168" s="7" t="str">
        <f t="shared" si="10"/>
        <v>PremiumSS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静撃の翠眼 八咫烏</v>
      </c>
      <c r="I168" s="7" t="str">
        <f>VLOOKUP(B168,[1]characters!$A:$J,10,FALSE)</f>
        <v>PremiumSS</v>
      </c>
      <c r="J168" s="7">
        <f>VLOOKUP(B168,[1]characters!$A:$I,9,FALSE)</f>
        <v>4</v>
      </c>
      <c r="K168" s="7" t="str">
        <f>VLOOKUP(B168,[1]characters!$A:$H,8,FALSE)</f>
        <v>green</v>
      </c>
      <c r="L168" s="7" t="str">
        <f>VLOOKUP(B168,[1]characters!$A:$K,11,FALSE)</f>
        <v>balance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IFERROR(VLOOKUP(B168,input_433100!L:R,7,FALSE),VLOOKUP(tables_433100!C168,input_433100!A:H,8,FALSE))</f>
        <v>9261.6</v>
      </c>
      <c r="P168" s="46">
        <f t="shared" ca="1" si="9"/>
        <v>7.9186046511560317E-4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input_433100!A$2</f>
        <v>433100</v>
      </c>
      <c r="B169" s="6">
        <v>404</v>
      </c>
      <c r="C169" s="7" t="str">
        <f t="shared" si="8"/>
        <v>PremiumSS5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空襲の神眼 八咫烏</v>
      </c>
      <c r="I169" s="7" t="str">
        <f>VLOOKUP(B169,[1]characters!$A:$J,10,FALSE)</f>
        <v>PremiumSS</v>
      </c>
      <c r="J169" s="7">
        <f>VLOOKUP(B169,[1]characters!$A:$I,9,FALSE)</f>
        <v>5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IFERROR(VLOOKUP(B169,input_433100!L:R,7,FALSE),VLOOKUP(tables_433100!C169,input_433100!A:H,8,FALSE))</f>
        <v>272</v>
      </c>
      <c r="P169" s="46">
        <f t="shared" ca="1" si="9"/>
        <v>2.325581395346852E-5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input_433100!A$2</f>
        <v>433100</v>
      </c>
      <c r="B170" s="6">
        <v>405</v>
      </c>
      <c r="C170" s="7" t="str">
        <f t="shared" si="8"/>
        <v>Premium3</v>
      </c>
      <c r="D170" s="7" t="str">
        <f t="shared" si="10"/>
        <v>Premium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エキドナ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blue</v>
      </c>
      <c r="L170" s="7" t="str">
        <f>VLOOKUP(B170,[1]characters!$A:$K,11,FALSE)</f>
        <v>technical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IFERROR(VLOOKUP(B170,input_433100!L:R,7,FALSE),VLOOKUP(tables_433100!C170,input_433100!A:H,8,FALSE))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input_433100!A$2</f>
        <v>433100</v>
      </c>
      <c r="B171" s="6">
        <v>406</v>
      </c>
      <c r="C171" s="7" t="str">
        <f t="shared" si="8"/>
        <v>Premium4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美笑の蒼蛇 エキドナ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IFERROR(VLOOKUP(B171,input_433100!L:R,7,FALSE),VLOOKUP(tables_433100!C171,input_433100!A:H,8,FALSE))</f>
        <v>56540.195030000003</v>
      </c>
      <c r="P171" s="46">
        <f t="shared" ca="1" si="9"/>
        <v>4.8341480018768588E-3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input_433100!A$2</f>
        <v>433100</v>
      </c>
      <c r="B172" s="6">
        <v>407</v>
      </c>
      <c r="C172" s="7" t="str">
        <f t="shared" si="8"/>
        <v>Premium5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蠱惑の飛刀 エキドナ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IFERROR(VLOOKUP(B172,input_433100!L:R,7,FALSE),VLOOKUP(tables_433100!C172,input_433100!A:H,8,FALSE))</f>
        <v>133.80497</v>
      </c>
      <c r="P172" s="46">
        <f t="shared" ca="1" si="9"/>
        <v>1.144023341312293E-5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input_433100!A$2</f>
        <v>433100</v>
      </c>
      <c r="B173" s="6">
        <v>408</v>
      </c>
      <c r="C173" s="7" t="str">
        <f t="shared" si="8"/>
        <v>PremiumSS4</v>
      </c>
      <c r="D173" s="7" t="str">
        <f t="shared" si="10"/>
        <v>PremiumSS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皇魔 アスタロト</v>
      </c>
      <c r="I173" s="7" t="str">
        <f>VLOOKUP(B173,[1]characters!$A:$J,10,FALSE)</f>
        <v>PremiumSS</v>
      </c>
      <c r="J173" s="7">
        <f>VLOOKUP(B173,[1]characters!$A:$I,9,FALSE)</f>
        <v>4</v>
      </c>
      <c r="K173" s="7" t="str">
        <f>VLOOKUP(B173,[1]characters!$A:$H,8,FALSE)</f>
        <v>yellow</v>
      </c>
      <c r="L173" s="7" t="str">
        <f>VLOOKUP(B173,[1]characters!$A:$K,11,FALSE)</f>
        <v>attack</v>
      </c>
      <c r="M173" s="7" t="str">
        <f>VLOOKUP(B173,[1]characters!$A:$M,13,FALSE)</f>
        <v>god</v>
      </c>
      <c r="N173" s="7" t="str">
        <f>VLOOKUP(B173,[1]characters!$A:$G,7,FALSE)</f>
        <v>男性</v>
      </c>
      <c r="O173" s="45">
        <f ca="1">IFERROR(VLOOKUP(B173,input_433100!L:R,7,FALSE),VLOOKUP(tables_433100!C173,input_433100!A:H,8,FALSE))</f>
        <v>9261.6</v>
      </c>
      <c r="P173" s="46">
        <f t="shared" ca="1" si="9"/>
        <v>7.9186046511560317E-4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input_433100!A$2</f>
        <v>433100</v>
      </c>
      <c r="B174" s="6">
        <v>409</v>
      </c>
      <c r="C174" s="7" t="str">
        <f t="shared" si="8"/>
        <v>PremiumSS5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天眼の皇貴魔 アスタロト</v>
      </c>
      <c r="I174" s="7" t="str">
        <f>VLOOKUP(B174,[1]characters!$A:$J,10,FALSE)</f>
        <v>PremiumSS</v>
      </c>
      <c r="J174" s="7">
        <f>VLOOKUP(B174,[1]characters!$A:$I,9,FALSE)</f>
        <v>5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IFERROR(VLOOKUP(B174,input_433100!L:R,7,FALSE),VLOOKUP(tables_433100!C174,input_433100!A:H,8,FALSE))</f>
        <v>272</v>
      </c>
      <c r="P174" s="46">
        <f t="shared" ca="1" si="9"/>
        <v>2.325581395346852E-5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input_433100!A$2</f>
        <v>433100</v>
      </c>
      <c r="B175" s="6">
        <v>434</v>
      </c>
      <c r="C175" s="7" t="str">
        <f t="shared" si="8"/>
        <v>PremiumSS4color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>color</v>
      </c>
      <c r="H175" s="7" t="str">
        <f>VLOOKUP(B175,[1]characters!$A:$C,3,FALSE)</f>
        <v>D.R.T.H.</v>
      </c>
      <c r="I175" s="7" t="str">
        <f>VLOOKUP(B175,[1]characters!$A:$J,10,FALSE)</f>
        <v>PremiumSS</v>
      </c>
      <c r="J175" s="7">
        <f>VLOOKUP(B175,[1]characters!$A:$I,9,FALSE)</f>
        <v>4</v>
      </c>
      <c r="K175" s="7" t="str">
        <f>VLOOKUP(B175,[1]characters!$A:$H,8,FALSE)</f>
        <v>red</v>
      </c>
      <c r="L175" s="7" t="str">
        <f>VLOOKUP(B175,[1]characters!$A:$K,11,FALSE)</f>
        <v>balance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IFERROR(VLOOKUP(B175,input_433100!L:R,7,FALSE),VLOOKUP(tables_433100!C175,input_433100!A:H,8,FALSE))</f>
        <v>23809.71429</v>
      </c>
      <c r="P175" s="46">
        <f t="shared" ca="1" si="9"/>
        <v>2.0357142860789735E-3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input_433100!A$2</f>
        <v>433100</v>
      </c>
      <c r="B176" s="6">
        <v>435</v>
      </c>
      <c r="C176" s="7" t="str">
        <f t="shared" si="8"/>
        <v>PremiumSS5color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曝弾の密偵 D.R.T.H.</v>
      </c>
      <c r="I176" s="7" t="str">
        <f>VLOOKUP(B176,[1]characters!$A:$J,10,FALSE)</f>
        <v>PremiumSS</v>
      </c>
      <c r="J176" s="7">
        <f>VLOOKUP(B176,[1]characters!$A:$I,9,FALSE)</f>
        <v>5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IFERROR(VLOOKUP(B176,input_433100!L:R,7,FALSE),VLOOKUP(tables_433100!C176,input_433100!A:H,8,FALSE))</f>
        <v>1253.1428599999999</v>
      </c>
      <c r="P176" s="46">
        <f t="shared" ca="1" si="9"/>
        <v>1.0714285738704944E-4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input_433100!A$2</f>
        <v>433100</v>
      </c>
      <c r="B177" s="6">
        <v>436</v>
      </c>
      <c r="C177" s="7" t="str">
        <f t="shared" si="8"/>
        <v>Premium3</v>
      </c>
      <c r="D177" s="7" t="str">
        <f t="shared" si="10"/>
        <v>Premium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カカシ</v>
      </c>
      <c r="I177" s="7" t="str">
        <f>VLOOKUP(B177,[1]characters!$A:$J,10,FALSE)</f>
        <v>PremiumS</v>
      </c>
      <c r="J177" s="7">
        <f>VLOOKUP(B177,[1]characters!$A:$I,9,FALSE)</f>
        <v>3</v>
      </c>
      <c r="K177" s="7" t="str">
        <f>VLOOKUP(B177,[1]characters!$A:$H,8,FALSE)</f>
        <v>green</v>
      </c>
      <c r="L177" s="7" t="str">
        <f>VLOOKUP(B177,[1]characters!$A:$K,11,FALSE)</f>
        <v>technical</v>
      </c>
      <c r="M177" s="7" t="str">
        <f>VLOOKUP(B177,[1]characters!$A:$M,13,FALSE)</f>
        <v>human</v>
      </c>
      <c r="N177" s="7" t="str">
        <f>VLOOKUP(B177,[1]characters!$A:$G,7,FALSE)</f>
        <v>男性</v>
      </c>
      <c r="O177" s="45">
        <f ca="1">IFERROR(VLOOKUP(B177,input_433100!L:R,7,FALSE),VLOOKUP(tables_433100!C177,input_433100!A:H,8,FALSE))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input_433100!A$2</f>
        <v>433100</v>
      </c>
      <c r="B178" s="6">
        <v>437</v>
      </c>
      <c r="C178" s="7" t="str">
        <f t="shared" si="8"/>
        <v>Premium4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忘却者 カカシ</v>
      </c>
      <c r="I178" s="7" t="str">
        <f>VLOOKUP(B178,[1]characters!$A:$J,10,FALSE)</f>
        <v>PremiumS</v>
      </c>
      <c r="J178" s="7">
        <f>VLOOKUP(B178,[1]characters!$A:$I,9,FALSE)</f>
        <v>4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IFERROR(VLOOKUP(B178,input_433100!L:R,7,FALSE),VLOOKUP(tables_433100!C178,input_433100!A:H,8,FALSE))</f>
        <v>56540.195030000003</v>
      </c>
      <c r="P178" s="46">
        <f t="shared" ca="1" si="9"/>
        <v>4.8341480018768588E-3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input_433100!A$2</f>
        <v>433100</v>
      </c>
      <c r="B179" s="6">
        <v>438</v>
      </c>
      <c r="C179" s="7" t="str">
        <f t="shared" si="8"/>
        <v>Premium5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記憶の奪還 カカシ</v>
      </c>
      <c r="I179" s="7" t="str">
        <f>VLOOKUP(B179,[1]characters!$A:$J,10,FALSE)</f>
        <v>PremiumS</v>
      </c>
      <c r="J179" s="7">
        <f>VLOOKUP(B179,[1]characters!$A:$I,9,FALSE)</f>
        <v>5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IFERROR(VLOOKUP(B179,input_433100!L:R,7,FALSE),VLOOKUP(tables_433100!C179,input_433100!A:H,8,FALSE))</f>
        <v>133.80497</v>
      </c>
      <c r="P179" s="46">
        <f t="shared" ca="1" si="9"/>
        <v>1.144023341312293E-5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input_433100!A$2</f>
        <v>433100</v>
      </c>
      <c r="B180" s="6">
        <v>439</v>
      </c>
      <c r="C180" s="7" t="str">
        <f t="shared" si="8"/>
        <v>Premium3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ブリキロガー</v>
      </c>
      <c r="I180" s="7" t="str">
        <f>VLOOKUP(B180,[1]characters!$A:$J,10,FALSE)</f>
        <v>PremiumS</v>
      </c>
      <c r="J180" s="7">
        <f>VLOOKUP(B180,[1]characters!$A:$I,9,FALSE)</f>
        <v>3</v>
      </c>
      <c r="K180" s="7" t="str">
        <f>VLOOKUP(B180,[1]characters!$A:$H,8,FALSE)</f>
        <v>blue</v>
      </c>
      <c r="L180" s="7" t="str">
        <f>VLOOKUP(B180,[1]characters!$A:$K,11,FALSE)</f>
        <v>attack</v>
      </c>
      <c r="M180" s="7" t="str">
        <f>VLOOKUP(B180,[1]characters!$A:$M,13,FALSE)</f>
        <v>machine</v>
      </c>
      <c r="N180" s="7" t="str">
        <f>VLOOKUP(B180,[1]characters!$A:$G,7,FALSE)</f>
        <v>不明</v>
      </c>
      <c r="O180" s="45">
        <f ca="1">IFERROR(VLOOKUP(B180,input_433100!L:R,7,FALSE),VLOOKUP(tables_433100!C180,input_433100!A:H,8,FALSE))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input_433100!A$2</f>
        <v>433100</v>
      </c>
      <c r="B181" s="6">
        <v>440</v>
      </c>
      <c r="C181" s="7" t="str">
        <f t="shared" si="8"/>
        <v>Premium4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改良型 ブリキロガー</v>
      </c>
      <c r="I181" s="7" t="str">
        <f>VLOOKUP(B181,[1]characters!$A:$J,10,FALSE)</f>
        <v>PremiumS</v>
      </c>
      <c r="J181" s="7">
        <f>VLOOKUP(B181,[1]characters!$A:$I,9,FALSE)</f>
        <v>4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IFERROR(VLOOKUP(B181,input_433100!L:R,7,FALSE),VLOOKUP(tables_433100!C181,input_433100!A:H,8,FALSE))</f>
        <v>56540.195030000003</v>
      </c>
      <c r="P181" s="46">
        <f t="shared" ca="1" si="9"/>
        <v>4.8341480018768588E-3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input_433100!A$2</f>
        <v>433100</v>
      </c>
      <c r="B182" s="6">
        <v>441</v>
      </c>
      <c r="C182" s="7" t="str">
        <f t="shared" si="8"/>
        <v>Premium5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求心の錻装 ブリキロガー</v>
      </c>
      <c r="I182" s="7" t="str">
        <f>VLOOKUP(B182,[1]characters!$A:$J,10,FALSE)</f>
        <v>PremiumS</v>
      </c>
      <c r="J182" s="7">
        <f>VLOOKUP(B182,[1]characters!$A:$I,9,FALSE)</f>
        <v>5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IFERROR(VLOOKUP(B182,input_433100!L:R,7,FALSE),VLOOKUP(tables_433100!C182,input_433100!A:H,8,FALSE))</f>
        <v>133.80497</v>
      </c>
      <c r="P182" s="46">
        <f t="shared" ca="1" si="9"/>
        <v>1.144023341312293E-5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input_433100!A$2</f>
        <v>433100</v>
      </c>
      <c r="B183" s="6">
        <v>442</v>
      </c>
      <c r="C183" s="7" t="str">
        <f t="shared" si="8"/>
        <v>PremiumSS4</v>
      </c>
      <c r="D183" s="7" t="str">
        <f t="shared" si="10"/>
        <v>PremiumSS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ブレイブリー・ライオン</v>
      </c>
      <c r="I183" s="7" t="str">
        <f>VLOOKUP(B183,[1]characters!$A:$J,10,FALSE)</f>
        <v>PremiumSS</v>
      </c>
      <c r="J183" s="7">
        <f>VLOOKUP(B183,[1]characters!$A:$I,9,FALSE)</f>
        <v>4</v>
      </c>
      <c r="K183" s="7" t="str">
        <f>VLOOKUP(B183,[1]characters!$A:$H,8,FALSE)</f>
        <v>yellow</v>
      </c>
      <c r="L183" s="7" t="str">
        <f>VLOOKUP(B183,[1]characters!$A:$K,11,FALSE)</f>
        <v>hp</v>
      </c>
      <c r="M183" s="7" t="str">
        <f>VLOOKUP(B183,[1]characters!$A:$M,13,FALSE)</f>
        <v>animal</v>
      </c>
      <c r="N183" s="7" t="str">
        <f>VLOOKUP(B183,[1]characters!$A:$G,7,FALSE)</f>
        <v>不明</v>
      </c>
      <c r="O183" s="45">
        <f ca="1">IFERROR(VLOOKUP(B183,input_433100!L:R,7,FALSE),VLOOKUP(tables_433100!C183,input_433100!A:H,8,FALSE))</f>
        <v>9261.6</v>
      </c>
      <c r="P183" s="46">
        <f t="shared" ca="1" si="9"/>
        <v>7.9186046511560317E-4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input_433100!A$2</f>
        <v>433100</v>
      </c>
      <c r="B184" s="6">
        <v>443</v>
      </c>
      <c r="C184" s="7" t="str">
        <f t="shared" si="8"/>
        <v>PremiumSS5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勇機結集 ブレイブリー・ライオン</v>
      </c>
      <c r="I184" s="7" t="str">
        <f>VLOOKUP(B184,[1]characters!$A:$J,10,FALSE)</f>
        <v>PremiumSS</v>
      </c>
      <c r="J184" s="7">
        <f>VLOOKUP(B184,[1]characters!$A:$I,9,FALSE)</f>
        <v>5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IFERROR(VLOOKUP(B184,input_433100!L:R,7,FALSE),VLOOKUP(tables_433100!C184,input_433100!A:H,8,FALSE))</f>
        <v>272</v>
      </c>
      <c r="P184" s="46">
        <f t="shared" ca="1" si="9"/>
        <v>2.325581395346852E-5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input_433100!A$2</f>
        <v>433100</v>
      </c>
      <c r="B185" s="8">
        <v>462</v>
      </c>
      <c r="C185" s="7" t="str">
        <f t="shared" si="8"/>
        <v>Premium3color</v>
      </c>
      <c r="D185" s="7" t="str">
        <f t="shared" si="10"/>
        <v>Premium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>color</v>
      </c>
      <c r="H185" s="7" t="str">
        <f>VLOOKUP(B185,[1]characters!$A:$C,3,FALSE)</f>
        <v>ガウェイン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red</v>
      </c>
      <c r="L185" s="7" t="str">
        <f>VLOOKUP(B185,[1]characters!$A:$K,11,FALSE)</f>
        <v>hp</v>
      </c>
      <c r="M185" s="7" t="str">
        <f>VLOOKUP(B185,[1]characters!$A:$M,13,FALSE)</f>
        <v>human</v>
      </c>
      <c r="N185" s="7" t="str">
        <f>VLOOKUP(B185,[1]characters!$A:$G,7,FALSE)</f>
        <v>男性</v>
      </c>
      <c r="O185" s="45">
        <f ca="1">IFERROR(VLOOKUP(B185,input_433100!L:R,7,FALSE),VLOOKUP(tables_433100!C185,input_433100!A:H,8,FALSE))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input_433100!A$2</f>
        <v>433100</v>
      </c>
      <c r="B186" s="8">
        <v>463</v>
      </c>
      <c r="C186" s="7" t="str">
        <f t="shared" si="8"/>
        <v>Premium4color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燻銀 ガウェイン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IFERROR(VLOOKUP(B186,input_433100!L:R,7,FALSE),VLOOKUP(tables_433100!C186,input_433100!A:H,8,FALSE))</f>
        <v>287818.34907</v>
      </c>
      <c r="P186" s="46">
        <f t="shared" ca="1" si="9"/>
        <v>2.4608271979288159E-2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input_433100!A$2</f>
        <v>433100</v>
      </c>
      <c r="B187" s="8">
        <v>464</v>
      </c>
      <c r="C187" s="7" t="str">
        <f t="shared" si="8"/>
        <v>Premium5color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円熟の弾導 ガウェイン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IFERROR(VLOOKUP(B187,input_433100!L:R,7,FALSE),VLOOKUP(tables_433100!C187,input_433100!A:H,8,FALSE))</f>
        <v>810.11469999999997</v>
      </c>
      <c r="P187" s="46">
        <f t="shared" ca="1" si="9"/>
        <v>6.9264252735918991E-5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input_433100!A$2</f>
        <v>433100</v>
      </c>
      <c r="B188" s="8">
        <v>465</v>
      </c>
      <c r="C188" s="7" t="str">
        <f t="shared" si="8"/>
        <v>PremiumSS4</v>
      </c>
      <c r="D188" s="7" t="str">
        <f t="shared" si="10"/>
        <v>PremiumSS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真撃 ランスロット</v>
      </c>
      <c r="I188" s="7" t="str">
        <f>VLOOKUP(B188,[1]characters!$A:$J,10,FALSE)</f>
        <v>PremiumSS</v>
      </c>
      <c r="J188" s="7">
        <f>VLOOKUP(B188,[1]characters!$A:$I,9,FALSE)</f>
        <v>4</v>
      </c>
      <c r="K188" s="7" t="str">
        <f>VLOOKUP(B188,[1]characters!$A:$H,8,FALSE)</f>
        <v>green</v>
      </c>
      <c r="L188" s="7" t="str">
        <f>VLOOKUP(B188,[1]characters!$A:$K,11,FALSE)</f>
        <v>balance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IFERROR(VLOOKUP(B188,input_433100!L:R,7,FALSE),VLOOKUP(tables_433100!C188,input_433100!A:H,8,FALSE))</f>
        <v>9261.6</v>
      </c>
      <c r="P188" s="46">
        <f t="shared" ca="1" si="9"/>
        <v>7.9186046511560317E-4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input_433100!A$2</f>
        <v>433100</v>
      </c>
      <c r="B189" s="6">
        <v>466</v>
      </c>
      <c r="C189" s="7" t="str">
        <f t="shared" si="8"/>
        <v>PremiumSS5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真断の勇覇 ランスロット</v>
      </c>
      <c r="I189" s="7" t="str">
        <f>VLOOKUP(B189,[1]characters!$A:$J,10,FALSE)</f>
        <v>PremiumSS</v>
      </c>
      <c r="J189" s="7">
        <f>VLOOKUP(B189,[1]characters!$A:$I,9,FALSE)</f>
        <v>5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IFERROR(VLOOKUP(B189,input_433100!L:R,7,FALSE),VLOOKUP(tables_433100!C189,input_433100!A:H,8,FALSE))</f>
        <v>272</v>
      </c>
      <c r="P189" s="46">
        <f t="shared" ca="1" si="9"/>
        <v>2.325581395346852E-5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input_433100!A$2</f>
        <v>433100</v>
      </c>
      <c r="B190" s="6">
        <v>467</v>
      </c>
      <c r="C190" s="7" t="str">
        <f t="shared" si="8"/>
        <v>PremiumSS4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報復 モルドレッド</v>
      </c>
      <c r="I190" s="7" t="str">
        <f>VLOOKUP(B190,[1]characters!$A:$J,10,FALSE)</f>
        <v>PremiumSS</v>
      </c>
      <c r="J190" s="7">
        <f>VLOOKUP(B190,[1]characters!$A:$I,9,FALSE)</f>
        <v>4</v>
      </c>
      <c r="K190" s="7" t="str">
        <f>VLOOKUP(B190,[1]characters!$A:$H,8,FALSE)</f>
        <v>blue</v>
      </c>
      <c r="L190" s="7" t="str">
        <f>VLOOKUP(B190,[1]characters!$A:$K,11,FALSE)</f>
        <v>technical</v>
      </c>
      <c r="M190" s="7" t="str">
        <f>VLOOKUP(B190,[1]characters!$A:$M,13,FALSE)</f>
        <v>human</v>
      </c>
      <c r="N190" s="7" t="str">
        <f>VLOOKUP(B190,[1]characters!$A:$G,7,FALSE)</f>
        <v>女性</v>
      </c>
      <c r="O190" s="45">
        <f ca="1">IFERROR(VLOOKUP(B190,input_433100!L:R,7,FALSE),VLOOKUP(tables_433100!C190,input_433100!A:H,8,FALSE))</f>
        <v>9261.6</v>
      </c>
      <c r="P190" s="46">
        <f t="shared" ca="1" si="9"/>
        <v>7.9186046511560317E-4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input_433100!A$2</f>
        <v>433100</v>
      </c>
      <c r="B191" s="6">
        <v>468</v>
      </c>
      <c r="C191" s="7" t="str">
        <f t="shared" si="8"/>
        <v>PremiumSS5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憎愛の尖鋒 モルドレッド</v>
      </c>
      <c r="I191" s="7" t="str">
        <f>VLOOKUP(B191,[1]characters!$A:$J,10,FALSE)</f>
        <v>PremiumSS</v>
      </c>
      <c r="J191" s="7">
        <f>VLOOKUP(B191,[1]characters!$A:$I,9,FALSE)</f>
        <v>5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IFERROR(VLOOKUP(B191,input_433100!L:R,7,FALSE),VLOOKUP(tables_433100!C191,input_433100!A:H,8,FALSE))</f>
        <v>272</v>
      </c>
      <c r="P191" s="46">
        <f t="shared" ca="1" si="9"/>
        <v>2.325581395346852E-5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input_433100!A$2</f>
        <v>433100</v>
      </c>
      <c r="B192" s="6">
        <v>469</v>
      </c>
      <c r="C192" s="7" t="str">
        <f t="shared" si="8"/>
        <v>Premium3</v>
      </c>
      <c r="D192" s="7" t="str">
        <f t="shared" si="10"/>
        <v>Premium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トリスタン</v>
      </c>
      <c r="I192" s="7" t="str">
        <f>VLOOKUP(B192,[1]characters!$A:$J,10,FALSE)</f>
        <v>PremiumS</v>
      </c>
      <c r="J192" s="7">
        <f>VLOOKUP(B192,[1]characters!$A:$I,9,FALSE)</f>
        <v>3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IFERROR(VLOOKUP(B192,input_433100!L:R,7,FALSE),VLOOKUP(tables_433100!C192,input_433100!A:H,8,FALSE))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input_433100!A$2</f>
        <v>433100</v>
      </c>
      <c r="B193" s="6">
        <v>470</v>
      </c>
      <c r="C193" s="7" t="str">
        <f t="shared" si="8"/>
        <v>Premium4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純心 トリスタン</v>
      </c>
      <c r="I193" s="7" t="str">
        <f>VLOOKUP(B193,[1]characters!$A:$J,10,FALSE)</f>
        <v>PremiumS</v>
      </c>
      <c r="J193" s="7">
        <f>VLOOKUP(B193,[1]characters!$A:$I,9,FALSE)</f>
        <v>4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IFERROR(VLOOKUP(B193,input_433100!L:R,7,FALSE),VLOOKUP(tables_433100!C193,input_433100!A:H,8,FALSE))</f>
        <v>56540.195030000003</v>
      </c>
      <c r="P193" s="46">
        <f t="shared" ca="1" si="9"/>
        <v>4.8341480018768588E-3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input_433100!A$2</f>
        <v>433100</v>
      </c>
      <c r="B194" s="6">
        <v>471</v>
      </c>
      <c r="C194" s="7" t="str">
        <f t="shared" ref="C194:C257" si="12">D194&amp;J194&amp;E194&amp;F194&amp;G194</f>
        <v>Premium5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不可避の爆激 トリスタン</v>
      </c>
      <c r="I194" s="7" t="str">
        <f>VLOOKUP(B194,[1]characters!$A:$J,10,FALSE)</f>
        <v>PremiumS</v>
      </c>
      <c r="J194" s="7">
        <f>VLOOKUP(B194,[1]characters!$A:$I,9,FALSE)</f>
        <v>5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IFERROR(VLOOKUP(B194,input_433100!L:R,7,FALSE),VLOOKUP(tables_433100!C194,input_433100!A:H,8,FALSE))</f>
        <v>133.80497</v>
      </c>
      <c r="P194" s="46">
        <f t="shared" ref="P194:P257" ca="1" si="13">O194/SUM(O:O)</f>
        <v>1.144023341312293E-5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input_433100!A$2</f>
        <v>433100</v>
      </c>
      <c r="B195" s="6">
        <v>474</v>
      </c>
      <c r="C195" s="7" t="str">
        <f t="shared" si="12"/>
        <v>PremiumSS4color</v>
      </c>
      <c r="D195" s="7" t="str">
        <f t="shared" ref="D195:D258" si="14">IF(OR(I195="PremiumSS",I195="PremiumSSw"),"PremiumSS",IF(I195="PremiumSSS",I195,IF(I195="PremiumW",I195,"Premium")))</f>
        <v>PremiumSS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>color</v>
      </c>
      <c r="H195" s="7" t="str">
        <f>VLOOKUP(B195,[1]characters!$A:$C,3,FALSE)</f>
        <v>キング・ドライグ</v>
      </c>
      <c r="I195" s="7" t="str">
        <f>VLOOKUP(B195,[1]characters!$A:$J,10,FALSE)</f>
        <v>PremiumSS</v>
      </c>
      <c r="J195" s="7">
        <f>VLOOKUP(B195,[1]characters!$A:$I,9,FALSE)</f>
        <v>4</v>
      </c>
      <c r="K195" s="7" t="str">
        <f>VLOOKUP(B195,[1]characters!$A:$H,8,FALSE)</f>
        <v>red</v>
      </c>
      <c r="L195" s="7" t="str">
        <f>VLOOKUP(B195,[1]characters!$A:$K,11,FALSE)</f>
        <v>attack</v>
      </c>
      <c r="M195" s="7" t="str">
        <f>VLOOKUP(B195,[1]characters!$A:$M,13,FALSE)</f>
        <v>dragon</v>
      </c>
      <c r="N195" s="7" t="str">
        <f>VLOOKUP(B195,[1]characters!$A:$G,7,FALSE)</f>
        <v>不明</v>
      </c>
      <c r="O195" s="45">
        <f ca="1">IFERROR(VLOOKUP(B195,input_433100!L:R,7,FALSE),VLOOKUP(tables_433100!C195,input_433100!A:H,8,FALSE))</f>
        <v>23809.71429</v>
      </c>
      <c r="P195" s="46">
        <f t="shared" ca="1" si="13"/>
        <v>2.0357142860789735E-3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input_433100!A$2</f>
        <v>433100</v>
      </c>
      <c r="B196" s="6">
        <v>475</v>
      </c>
      <c r="C196" s="7" t="str">
        <f t="shared" si="12"/>
        <v>PremiumSS5color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緋王 キング・ドライグ</v>
      </c>
      <c r="I196" s="7" t="str">
        <f>VLOOKUP(B196,[1]characters!$A:$J,10,FALSE)</f>
        <v>PremiumSS</v>
      </c>
      <c r="J196" s="7">
        <f>VLOOKUP(B196,[1]characters!$A:$I,9,FALSE)</f>
        <v>5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IFERROR(VLOOKUP(B196,input_433100!L:R,7,FALSE),VLOOKUP(tables_433100!C196,input_433100!A:H,8,FALSE))</f>
        <v>1253.1428599999999</v>
      </c>
      <c r="P196" s="46">
        <f t="shared" ca="1" si="13"/>
        <v>1.0714285738704944E-4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input_433100!A$2</f>
        <v>433100</v>
      </c>
      <c r="B197" s="6">
        <v>476</v>
      </c>
      <c r="C197" s="7" t="str">
        <f t="shared" si="12"/>
        <v>Premium3</v>
      </c>
      <c r="D197" s="7" t="str">
        <f t="shared" si="14"/>
        <v>Premium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ファータ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green</v>
      </c>
      <c r="L197" s="7" t="str">
        <f>VLOOKUP(B197,[1]characters!$A:$K,11,FALSE)</f>
        <v>heal</v>
      </c>
      <c r="M197" s="7" t="str">
        <f>VLOOKUP(B197,[1]characters!$A:$M,13,FALSE)</f>
        <v>unknown</v>
      </c>
      <c r="N197" s="7" t="str">
        <f>VLOOKUP(B197,[1]characters!$A:$G,7,FALSE)</f>
        <v>女性</v>
      </c>
      <c r="O197" s="45">
        <f ca="1">IFERROR(VLOOKUP(B197,input_433100!L:R,7,FALSE),VLOOKUP(tables_433100!C197,input_433100!A:H,8,FALSE))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input_433100!A$2</f>
        <v>433100</v>
      </c>
      <c r="B198" s="6">
        <v>477</v>
      </c>
      <c r="C198" s="7" t="str">
        <f t="shared" si="12"/>
        <v>Premium4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愛羽妖精 ファータ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IFERROR(VLOOKUP(B198,input_433100!L:R,7,FALSE),VLOOKUP(tables_433100!C198,input_433100!A:H,8,FALSE))</f>
        <v>56540.195030000003</v>
      </c>
      <c r="P198" s="46">
        <f t="shared" ca="1" si="13"/>
        <v>4.8341480018768588E-3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input_433100!A$2</f>
        <v>433100</v>
      </c>
      <c r="B199" s="6">
        <v>478</v>
      </c>
      <c r="C199" s="7" t="str">
        <f t="shared" si="12"/>
        <v>Premium5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時計仕掛けの愛羽妖精 ファータ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IFERROR(VLOOKUP(B199,input_433100!L:R,7,FALSE),VLOOKUP(tables_433100!C199,input_433100!A:H,8,FALSE))</f>
        <v>133.80497</v>
      </c>
      <c r="P199" s="46">
        <f t="shared" ca="1" si="13"/>
        <v>1.144023341312293E-5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input_433100!A$2</f>
        <v>433100</v>
      </c>
      <c r="B200" s="6">
        <v>479</v>
      </c>
      <c r="C200" s="7" t="str">
        <f t="shared" si="12"/>
        <v>PremiumSS4</v>
      </c>
      <c r="D200" s="7" t="str">
        <f t="shared" si="14"/>
        <v>PremiumSS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フール</v>
      </c>
      <c r="I200" s="7" t="str">
        <f>VLOOKUP(B200,[1]characters!$A:$J,10,FALSE)</f>
        <v>PremiumSS</v>
      </c>
      <c r="J200" s="7">
        <f>VLOOKUP(B200,[1]characters!$A:$I,9,FALSE)</f>
        <v>4</v>
      </c>
      <c r="K200" s="7" t="str">
        <f>VLOOKUP(B200,[1]characters!$A:$H,8,FALSE)</f>
        <v>blue</v>
      </c>
      <c r="L200" s="7" t="str">
        <f>VLOOKUP(B200,[1]characters!$A:$K,11,FALSE)</f>
        <v>technical</v>
      </c>
      <c r="M200" s="7" t="str">
        <f>VLOOKUP(B200,[1]characters!$A:$M,13,FALSE)</f>
        <v>god</v>
      </c>
      <c r="N200" s="7" t="str">
        <f>VLOOKUP(B200,[1]characters!$A:$G,7,FALSE)</f>
        <v>男性</v>
      </c>
      <c r="O200" s="45">
        <f ca="1">IFERROR(VLOOKUP(B200,input_433100!L:R,7,FALSE),VLOOKUP(tables_433100!C200,input_433100!A:H,8,FALSE))</f>
        <v>9261.6</v>
      </c>
      <c r="P200" s="46">
        <f t="shared" ca="1" si="13"/>
        <v>7.9186046511560317E-4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input_433100!A$2</f>
        <v>433100</v>
      </c>
      <c r="B201" s="6">
        <v>480</v>
      </c>
      <c r="C201" s="7" t="str">
        <f t="shared" si="12"/>
        <v>PremiumSS5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夢幻の愚者フール</v>
      </c>
      <c r="I201" s="7" t="str">
        <f>VLOOKUP(B201,[1]characters!$A:$J,10,FALSE)</f>
        <v>PremiumSS</v>
      </c>
      <c r="J201" s="7">
        <f>VLOOKUP(B201,[1]characters!$A:$I,9,FALSE)</f>
        <v>5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IFERROR(VLOOKUP(B201,input_433100!L:R,7,FALSE),VLOOKUP(tables_433100!C201,input_433100!A:H,8,FALSE))</f>
        <v>272</v>
      </c>
      <c r="P201" s="46">
        <f t="shared" ca="1" si="13"/>
        <v>2.325581395346852E-5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input_433100!A$2</f>
        <v>433100</v>
      </c>
      <c r="B202" s="6">
        <v>481</v>
      </c>
      <c r="C202" s="7" t="str">
        <f t="shared" si="12"/>
        <v>Premium3</v>
      </c>
      <c r="D202" s="7" t="str">
        <f t="shared" si="14"/>
        <v>Premium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沢庵宗彭</v>
      </c>
      <c r="I202" s="7" t="str">
        <f>VLOOKUP(B202,[1]characters!$A:$J,10,FALSE)</f>
        <v>PremiumS</v>
      </c>
      <c r="J202" s="7">
        <f>VLOOKUP(B202,[1]characters!$A:$I,9,FALSE)</f>
        <v>3</v>
      </c>
      <c r="K202" s="7" t="str">
        <f>VLOOKUP(B202,[1]characters!$A:$H,8,FALSE)</f>
        <v>yellow</v>
      </c>
      <c r="L202" s="7" t="str">
        <f>VLOOKUP(B202,[1]characters!$A:$K,11,FALSE)</f>
        <v>hp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IFERROR(VLOOKUP(B202,input_433100!L:R,7,FALSE),VLOOKUP(tables_433100!C202,input_433100!A:H,8,FALSE))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input_433100!A$2</f>
        <v>433100</v>
      </c>
      <c r="B203" s="6">
        <v>482</v>
      </c>
      <c r="C203" s="7" t="str">
        <f t="shared" si="12"/>
        <v>Premium4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魁僧 沢庵宗彭</v>
      </c>
      <c r="I203" s="7" t="str">
        <f>VLOOKUP(B203,[1]characters!$A:$J,10,FALSE)</f>
        <v>PremiumS</v>
      </c>
      <c r="J203" s="7">
        <f>VLOOKUP(B203,[1]characters!$A:$I,9,FALSE)</f>
        <v>4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IFERROR(VLOOKUP(B203,input_433100!L:R,7,FALSE),VLOOKUP(tables_433100!C203,input_433100!A:H,8,FALSE))</f>
        <v>56540.195030000003</v>
      </c>
      <c r="P203" s="46">
        <f t="shared" ca="1" si="13"/>
        <v>4.8341480018768588E-3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input_433100!A$2</f>
        <v>433100</v>
      </c>
      <c r="B204" s="6">
        <v>483</v>
      </c>
      <c r="C204" s="7" t="str">
        <f t="shared" si="12"/>
        <v>Premium5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 xml:space="preserve">命経死遂 沢庵宗彭 </v>
      </c>
      <c r="I204" s="7" t="str">
        <f>VLOOKUP(B204,[1]characters!$A:$J,10,FALSE)</f>
        <v>PremiumS</v>
      </c>
      <c r="J204" s="7">
        <f>VLOOKUP(B204,[1]characters!$A:$I,9,FALSE)</f>
        <v>5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IFERROR(VLOOKUP(B204,input_433100!L:R,7,FALSE),VLOOKUP(tables_433100!C204,input_433100!A:H,8,FALSE))</f>
        <v>133.80497</v>
      </c>
      <c r="P204" s="46">
        <f t="shared" ca="1" si="13"/>
        <v>1.144023341312293E-5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input_433100!A$2</f>
        <v>433100</v>
      </c>
      <c r="B205" s="6">
        <v>492</v>
      </c>
      <c r="C205" s="7" t="str">
        <f t="shared" si="12"/>
        <v>PremiumSS4color</v>
      </c>
      <c r="D205" s="7" t="str">
        <f t="shared" si="14"/>
        <v>PremiumSS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>color</v>
      </c>
      <c r="H205" s="7" t="str">
        <f>VLOOKUP(B205,[1]characters!$A:$C,3,FALSE)</f>
        <v>ブートレグ・ペロー</v>
      </c>
      <c r="I205" s="7" t="str">
        <f>VLOOKUP(B205,[1]characters!$A:$J,10,FALSE)</f>
        <v>PremiumSS</v>
      </c>
      <c r="J205" s="7">
        <f>VLOOKUP(B205,[1]characters!$A:$I,9,FALSE)</f>
        <v>4</v>
      </c>
      <c r="K205" s="7" t="str">
        <f>VLOOKUP(B205,[1]characters!$A:$H,8,FALSE)</f>
        <v>red</v>
      </c>
      <c r="L205" s="7" t="str">
        <f>VLOOKUP(B205,[1]characters!$A:$K,11,FALSE)</f>
        <v>hp</v>
      </c>
      <c r="M205" s="7" t="str">
        <f>VLOOKUP(B205,[1]characters!$A:$M,13,FALSE)</f>
        <v>animal</v>
      </c>
      <c r="N205" s="7" t="str">
        <f>VLOOKUP(B205,[1]characters!$A:$G,7,FALSE)</f>
        <v>不明</v>
      </c>
      <c r="O205" s="45">
        <f ca="1">IFERROR(VLOOKUP(B205,input_433100!L:R,7,FALSE),VLOOKUP(tables_433100!C205,input_433100!A:H,8,FALSE))</f>
        <v>23809.71429</v>
      </c>
      <c r="P205" s="46">
        <f t="shared" ca="1" si="13"/>
        <v>2.0357142860789735E-3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input_433100!A$2</f>
        <v>433100</v>
      </c>
      <c r="B206" s="6">
        <v>493</v>
      </c>
      <c r="C206" s="7" t="str">
        <f t="shared" si="12"/>
        <v>PremiumSS5color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跋扈の機脚 ブートレグ・ペロー</v>
      </c>
      <c r="I206" s="7" t="str">
        <f>VLOOKUP(B206,[1]characters!$A:$J,10,FALSE)</f>
        <v>PremiumSS</v>
      </c>
      <c r="J206" s="7">
        <f>VLOOKUP(B206,[1]characters!$A:$I,9,FALSE)</f>
        <v>5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IFERROR(VLOOKUP(B206,input_433100!L:R,7,FALSE),VLOOKUP(tables_433100!C206,input_433100!A:H,8,FALSE))</f>
        <v>1253.1428599999999</v>
      </c>
      <c r="P206" s="46">
        <f t="shared" ca="1" si="13"/>
        <v>1.0714285738704944E-4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input_433100!A$2</f>
        <v>433100</v>
      </c>
      <c r="B207" s="6">
        <v>494</v>
      </c>
      <c r="C207" s="7" t="str">
        <f t="shared" si="12"/>
        <v>PremiumSS4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ハーメルン</v>
      </c>
      <c r="I207" s="7" t="str">
        <f>VLOOKUP(B207,[1]characters!$A:$J,10,FALSE)</f>
        <v>PremiumSS</v>
      </c>
      <c r="J207" s="7">
        <f>VLOOKUP(B207,[1]characters!$A:$I,9,FALSE)</f>
        <v>4</v>
      </c>
      <c r="K207" s="7" t="str">
        <f>VLOOKUP(B207,[1]characters!$A:$H,8,FALSE)</f>
        <v>green</v>
      </c>
      <c r="L207" s="7" t="str">
        <f>VLOOKUP(B207,[1]characters!$A:$K,11,FALSE)</f>
        <v>technical</v>
      </c>
      <c r="M207" s="7" t="str">
        <f>VLOOKUP(B207,[1]characters!$A:$M,13,FALSE)</f>
        <v>human</v>
      </c>
      <c r="N207" s="7" t="str">
        <f>VLOOKUP(B207,[1]characters!$A:$G,7,FALSE)</f>
        <v>男性</v>
      </c>
      <c r="O207" s="45">
        <f ca="1">IFERROR(VLOOKUP(B207,input_433100!L:R,7,FALSE),VLOOKUP(tables_433100!C207,input_433100!A:H,8,FALSE))</f>
        <v>9261.6</v>
      </c>
      <c r="P207" s="46">
        <f t="shared" ca="1" si="13"/>
        <v>7.9186046511560317E-4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input_433100!A$2</f>
        <v>433100</v>
      </c>
      <c r="B208" s="6">
        <v>495</v>
      </c>
      <c r="C208" s="7" t="str">
        <f t="shared" si="12"/>
        <v>PremiumSS5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鼠災呼ぶ笛音 ハーメルン</v>
      </c>
      <c r="I208" s="7" t="str">
        <f>VLOOKUP(B208,[1]characters!$A:$J,10,FALSE)</f>
        <v>PremiumSS</v>
      </c>
      <c r="J208" s="7">
        <f>VLOOKUP(B208,[1]characters!$A:$I,9,FALSE)</f>
        <v>5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IFERROR(VLOOKUP(B208,input_433100!L:R,7,FALSE),VLOOKUP(tables_433100!C208,input_433100!A:H,8,FALSE))</f>
        <v>272</v>
      </c>
      <c r="P208" s="46">
        <f t="shared" ca="1" si="13"/>
        <v>2.325581395346852E-5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input_433100!A$2</f>
        <v>433100</v>
      </c>
      <c r="B209" s="6">
        <v>496</v>
      </c>
      <c r="C209" s="7" t="str">
        <f t="shared" si="12"/>
        <v>Premium3</v>
      </c>
      <c r="D209" s="7" t="str">
        <f t="shared" si="14"/>
        <v>Premium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エスタブ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blue</v>
      </c>
      <c r="L209" s="7" t="str">
        <f>VLOOKUP(B209,[1]characters!$A:$K,11,FALSE)</f>
        <v>attack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IFERROR(VLOOKUP(B209,input_433100!L:R,7,FALSE),VLOOKUP(tables_433100!C209,input_433100!A:H,8,FALSE))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input_433100!A$2</f>
        <v>433100</v>
      </c>
      <c r="B210" s="6">
        <v>497</v>
      </c>
      <c r="C210" s="7" t="str">
        <f t="shared" si="12"/>
        <v>Premium4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偏愛の野獣 エスタブ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IFERROR(VLOOKUP(B210,input_433100!L:R,7,FALSE),VLOOKUP(tables_433100!C210,input_433100!A:H,8,FALSE))</f>
        <v>56540.195030000003</v>
      </c>
      <c r="P210" s="46">
        <f t="shared" ca="1" si="13"/>
        <v>4.8341480018768588E-3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input_433100!A$2</f>
        <v>433100</v>
      </c>
      <c r="B211" s="6">
        <v>498</v>
      </c>
      <c r="C211" s="7" t="str">
        <f t="shared" si="12"/>
        <v>Premium5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自愛の高魔 エスタブ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IFERROR(VLOOKUP(B211,input_433100!L:R,7,FALSE),VLOOKUP(tables_433100!C211,input_433100!A:H,8,FALSE))</f>
        <v>133.80497</v>
      </c>
      <c r="P211" s="46">
        <f t="shared" ca="1" si="13"/>
        <v>1.144023341312293E-5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input_433100!A$2</f>
        <v>433100</v>
      </c>
      <c r="B212" s="6">
        <v>499</v>
      </c>
      <c r="C212" s="7" t="str">
        <f t="shared" si="12"/>
        <v>PremiumSS4</v>
      </c>
      <c r="D212" s="7" t="str">
        <f t="shared" si="14"/>
        <v>PremiumSS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ラプンツェル</v>
      </c>
      <c r="I212" s="7" t="str">
        <f>VLOOKUP(B212,[1]characters!$A:$J,10,FALSE)</f>
        <v>PremiumSS</v>
      </c>
      <c r="J212" s="7">
        <f>VLOOKUP(B212,[1]characters!$A:$I,9,FALSE)</f>
        <v>4</v>
      </c>
      <c r="K212" s="7" t="str">
        <f>VLOOKUP(B212,[1]characters!$A:$H,8,FALSE)</f>
        <v>yellow</v>
      </c>
      <c r="L212" s="7" t="str">
        <f>VLOOKUP(B212,[1]characters!$A:$K,11,FALSE)</f>
        <v>balance</v>
      </c>
      <c r="M212" s="7" t="str">
        <f>VLOOKUP(B212,[1]characters!$A:$M,13,FALSE)</f>
        <v>human</v>
      </c>
      <c r="N212" s="7" t="str">
        <f>VLOOKUP(B212,[1]characters!$A:$G,7,FALSE)</f>
        <v>女性</v>
      </c>
      <c r="O212" s="45">
        <f ca="1">IFERROR(VLOOKUP(B212,input_433100!L:R,7,FALSE),VLOOKUP(tables_433100!C212,input_433100!A:H,8,FALSE))</f>
        <v>9261.6</v>
      </c>
      <c r="P212" s="46">
        <f t="shared" ca="1" si="13"/>
        <v>7.9186046511560317E-4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input_433100!A$2</f>
        <v>433100</v>
      </c>
      <c r="B213" s="6">
        <v>500</v>
      </c>
      <c r="C213" s="7" t="str">
        <f t="shared" si="12"/>
        <v>PremiumSS5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脈動の禁髪 ラプンツェル</v>
      </c>
      <c r="I213" s="7" t="str">
        <f>VLOOKUP(B213,[1]characters!$A:$J,10,FALSE)</f>
        <v>PremiumSS</v>
      </c>
      <c r="J213" s="7">
        <f>VLOOKUP(B213,[1]characters!$A:$I,9,FALSE)</f>
        <v>5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IFERROR(VLOOKUP(B213,input_433100!L:R,7,FALSE),VLOOKUP(tables_433100!C213,input_433100!A:H,8,FALSE))</f>
        <v>272</v>
      </c>
      <c r="P213" s="46">
        <f t="shared" ca="1" si="13"/>
        <v>2.325581395346852E-5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input_433100!A$2</f>
        <v>433100</v>
      </c>
      <c r="B214" s="6">
        <v>586</v>
      </c>
      <c r="C214" s="7" t="str">
        <f t="shared" si="12"/>
        <v>PremiumSS4color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>color</v>
      </c>
      <c r="H214" s="7" t="str">
        <f>VLOOKUP(B214,[1]characters!$A:$C,3,FALSE)</f>
        <v>ユミル</v>
      </c>
      <c r="I214" s="7" t="str">
        <f>VLOOKUP(B214,[1]characters!$A:$J,10,FALSE)</f>
        <v>PremiumSS</v>
      </c>
      <c r="J214" s="7">
        <f>VLOOKUP(B214,[1]characters!$A:$I,9,FALSE)</f>
        <v>4</v>
      </c>
      <c r="K214" s="7" t="str">
        <f>VLOOKUP(B214,[1]characters!$A:$H,8,FALSE)</f>
        <v>red</v>
      </c>
      <c r="L214" s="7" t="str">
        <f>VLOOKUP(B214,[1]characters!$A:$K,11,FALSE)</f>
        <v>hp</v>
      </c>
      <c r="M214" s="7" t="str">
        <f>VLOOKUP(B214,[1]characters!$A:$M,13,FALSE)</f>
        <v>machine</v>
      </c>
      <c r="N214" s="7" t="str">
        <f>VLOOKUP(B214,[1]characters!$A:$G,7,FALSE)</f>
        <v>不明</v>
      </c>
      <c r="O214" s="45">
        <f ca="1">IFERROR(VLOOKUP(B214,input_433100!L:R,7,FALSE),VLOOKUP(tables_433100!C214,input_433100!A:H,8,FALSE))</f>
        <v>23809.71429</v>
      </c>
      <c r="P214" s="46">
        <f t="shared" ca="1" si="13"/>
        <v>2.0357142860789735E-3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input_433100!A$2</f>
        <v>433100</v>
      </c>
      <c r="B215" s="6">
        <v>587</v>
      </c>
      <c r="C215" s="7" t="str">
        <f t="shared" si="12"/>
        <v>PremiumSS5color</v>
      </c>
      <c r="D215" s="7" t="str">
        <f t="shared" si="14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原初の煉鋼巨刃 ユミル</v>
      </c>
      <c r="I215" s="7" t="str">
        <f>VLOOKUP(B215,[1]characters!$A:$J,10,FALSE)</f>
        <v>PremiumSS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IFERROR(VLOOKUP(B215,input_433100!L:R,7,FALSE),VLOOKUP(tables_433100!C215,input_433100!A:H,8,FALSE))</f>
        <v>1253.1428599999999</v>
      </c>
      <c r="P215" s="46">
        <f t="shared" ca="1" si="13"/>
        <v>1.0714285738704944E-4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input_433100!A$2</f>
        <v>433100</v>
      </c>
      <c r="B216" s="6">
        <v>588</v>
      </c>
      <c r="C216" s="7" t="str">
        <f t="shared" si="12"/>
        <v>Premium3</v>
      </c>
      <c r="D216" s="7" t="str">
        <f t="shared" si="14"/>
        <v>Premium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ニーベルゲン</v>
      </c>
      <c r="I216" s="7" t="str">
        <f>VLOOKUP(B216,[1]characters!$A:$J,10,FALSE)</f>
        <v>PremiumS</v>
      </c>
      <c r="J216" s="7">
        <f>VLOOKUP(B216,[1]characters!$A:$I,9,FALSE)</f>
        <v>3</v>
      </c>
      <c r="K216" s="7" t="str">
        <f>VLOOKUP(B216,[1]characters!$A:$H,8,FALSE)</f>
        <v>green</v>
      </c>
      <c r="L216" s="7" t="str">
        <f>VLOOKUP(B216,[1]characters!$A:$K,11,FALSE)</f>
        <v>balance</v>
      </c>
      <c r="M216" s="7" t="str">
        <f>VLOOKUP(B216,[1]characters!$A:$M,13,FALSE)</f>
        <v>unknown</v>
      </c>
      <c r="N216" s="7" t="str">
        <f>VLOOKUP(B216,[1]characters!$A:$G,7,FALSE)</f>
        <v>女性</v>
      </c>
      <c r="O216" s="45">
        <f ca="1">IFERROR(VLOOKUP(B216,input_433100!L:R,7,FALSE),VLOOKUP(tables_433100!C216,input_433100!A:H,8,FALSE))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input_433100!A$2</f>
        <v>433100</v>
      </c>
      <c r="B217" s="6">
        <v>589</v>
      </c>
      <c r="C217" s="7" t="str">
        <f t="shared" si="12"/>
        <v>Premium4</v>
      </c>
      <c r="D217" s="7" t="str">
        <f t="shared" si="14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不幸の円環 ニーベルゲン</v>
      </c>
      <c r="I217" s="7" t="str">
        <f>VLOOKUP(B217,[1]characters!$A:$J,10,FALSE)</f>
        <v>PremiumS</v>
      </c>
      <c r="J217" s="7">
        <f>VLOOKUP(B217,[1]characters!$A:$I,9,FALSE)</f>
        <v>4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IFERROR(VLOOKUP(B217,input_433100!L:R,7,FALSE),VLOOKUP(tables_433100!C217,input_433100!A:H,8,FALSE))</f>
        <v>56540.195030000003</v>
      </c>
      <c r="P217" s="46">
        <f t="shared" ca="1" si="13"/>
        <v>4.8341480018768588E-3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input_433100!A$2</f>
        <v>433100</v>
      </c>
      <c r="B218" s="6">
        <v>590</v>
      </c>
      <c r="C218" s="7" t="str">
        <f t="shared" si="12"/>
        <v>Premium5</v>
      </c>
      <c r="D218" s="7" t="str">
        <f t="shared" si="14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永遠を廻る呪い ニーベルゲン</v>
      </c>
      <c r="I218" s="7" t="str">
        <f>VLOOKUP(B218,[1]characters!$A:$J,10,FALSE)</f>
        <v>PremiumS</v>
      </c>
      <c r="J218" s="7">
        <f>VLOOKUP(B218,[1]characters!$A:$I,9,FALSE)</f>
        <v>5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IFERROR(VLOOKUP(B218,input_433100!L:R,7,FALSE),VLOOKUP(tables_433100!C218,input_433100!A:H,8,FALSE))</f>
        <v>133.80497</v>
      </c>
      <c r="P218" s="46">
        <f t="shared" ca="1" si="13"/>
        <v>1.144023341312293E-5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input_433100!A$2</f>
        <v>433100</v>
      </c>
      <c r="B219" s="6">
        <v>591</v>
      </c>
      <c r="C219" s="7" t="str">
        <f t="shared" si="12"/>
        <v>Premium3</v>
      </c>
      <c r="D219" s="7" t="str">
        <f t="shared" si="14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ファフニール</v>
      </c>
      <c r="I219" s="7" t="str">
        <f>VLOOKUP(B219,[1]characters!$A:$J,10,FALSE)</f>
        <v>PremiumS</v>
      </c>
      <c r="J219" s="7">
        <f>VLOOKUP(B219,[1]characters!$A:$I,9,FALSE)</f>
        <v>3</v>
      </c>
      <c r="K219" s="7" t="str">
        <f>VLOOKUP(B219,[1]characters!$A:$H,8,FALSE)</f>
        <v>blue</v>
      </c>
      <c r="L219" s="7" t="str">
        <f>VLOOKUP(B219,[1]characters!$A:$K,11,FALSE)</f>
        <v>technical</v>
      </c>
      <c r="M219" s="7" t="str">
        <f>VLOOKUP(B219,[1]characters!$A:$M,13,FALSE)</f>
        <v>dragon</v>
      </c>
      <c r="N219" s="7" t="str">
        <f>VLOOKUP(B219,[1]characters!$A:$G,7,FALSE)</f>
        <v>不明</v>
      </c>
      <c r="O219" s="45">
        <f ca="1">IFERROR(VLOOKUP(B219,input_433100!L:R,7,FALSE),VLOOKUP(tables_433100!C219,input_433100!A:H,8,FALSE))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input_433100!A$2</f>
        <v>433100</v>
      </c>
      <c r="B220" s="6">
        <v>592</v>
      </c>
      <c r="C220" s="7" t="str">
        <f t="shared" si="12"/>
        <v>Premium4</v>
      </c>
      <c r="D220" s="7" t="str">
        <f t="shared" si="14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財宝への執着 ファフニール</v>
      </c>
      <c r="I220" s="7" t="str">
        <f>VLOOKUP(B220,[1]characters!$A:$J,10,FALSE)</f>
        <v>PremiumS</v>
      </c>
      <c r="J220" s="7">
        <f>VLOOKUP(B220,[1]characters!$A:$I,9,FALSE)</f>
        <v>4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IFERROR(VLOOKUP(B220,input_433100!L:R,7,FALSE),VLOOKUP(tables_433100!C220,input_433100!A:H,8,FALSE))</f>
        <v>56540.195030000003</v>
      </c>
      <c r="P220" s="46">
        <f t="shared" ca="1" si="13"/>
        <v>4.8341480018768588E-3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input_433100!A$2</f>
        <v>433100</v>
      </c>
      <c r="B221" s="6">
        <v>593</v>
      </c>
      <c r="C221" s="7" t="str">
        <f t="shared" si="12"/>
        <v>Premium5</v>
      </c>
      <c r="D221" s="7" t="str">
        <f t="shared" si="14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妄執する邪毒龍 ファフニール</v>
      </c>
      <c r="I221" s="7" t="str">
        <f>VLOOKUP(B221,[1]characters!$A:$J,10,FALSE)</f>
        <v>PremiumS</v>
      </c>
      <c r="J221" s="7">
        <f>VLOOKUP(B221,[1]characters!$A:$I,9,FALSE)</f>
        <v>5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IFERROR(VLOOKUP(B221,input_433100!L:R,7,FALSE),VLOOKUP(tables_433100!C221,input_433100!A:H,8,FALSE))</f>
        <v>133.80497</v>
      </c>
      <c r="P221" s="46">
        <f t="shared" ca="1" si="13"/>
        <v>1.144023341312293E-5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input_433100!A$2</f>
        <v>433100</v>
      </c>
      <c r="B222" s="6">
        <v>594</v>
      </c>
      <c r="C222" s="7" t="str">
        <f t="shared" si="12"/>
        <v>PremiumSS4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アルフヘイム</v>
      </c>
      <c r="I222" s="7" t="str">
        <f>VLOOKUP(B222,[1]characters!$A:$J,10,FALSE)</f>
        <v>PremiumSS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attack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IFERROR(VLOOKUP(B222,input_433100!L:R,7,FALSE),VLOOKUP(tables_433100!C222,input_433100!A:H,8,FALSE))</f>
        <v>9261.6</v>
      </c>
      <c r="P222" s="46">
        <f t="shared" ca="1" si="13"/>
        <v>7.9186046511560317E-4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input_433100!A$2</f>
        <v>433100</v>
      </c>
      <c r="B223" s="6">
        <v>595</v>
      </c>
      <c r="C223" s="7" t="str">
        <f t="shared" si="12"/>
        <v>PremiumSS5</v>
      </c>
      <c r="D223" s="7" t="str">
        <f t="shared" si="14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光華なる神域 アルフヘイム</v>
      </c>
      <c r="I223" s="7" t="str">
        <f>VLOOKUP(B223,[1]characters!$A:$J,10,FALSE)</f>
        <v>PremiumSS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IFERROR(VLOOKUP(B223,input_433100!L:R,7,FALSE),VLOOKUP(tables_433100!C223,input_433100!A:H,8,FALSE))</f>
        <v>272</v>
      </c>
      <c r="P223" s="46">
        <f t="shared" ca="1" si="13"/>
        <v>2.325581395346852E-5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input_433100!A$2</f>
        <v>433100</v>
      </c>
      <c r="B224" s="6">
        <v>596</v>
      </c>
      <c r="C224" s="7" t="str">
        <f t="shared" si="12"/>
        <v>Premium3color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ムスペルヘイム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balance</v>
      </c>
      <c r="M224" s="7" t="str">
        <f>VLOOKUP(B224,[1]characters!$A:$M,13,FALSE)</f>
        <v>human</v>
      </c>
      <c r="N224" s="7" t="str">
        <f>VLOOKUP(B224,[1]characters!$A:$G,7,FALSE)</f>
        <v>男性</v>
      </c>
      <c r="O224" s="45">
        <f ca="1">IFERROR(VLOOKUP(B224,input_433100!L:R,7,FALSE),VLOOKUP(tables_433100!C224,input_433100!A:H,8,FALSE))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input_433100!A$2</f>
        <v>433100</v>
      </c>
      <c r="B225" s="6">
        <v>597</v>
      </c>
      <c r="C225" s="7" t="str">
        <f t="shared" si="12"/>
        <v>Premium4color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灼熱の魂 ムスペルヘイム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IFERROR(VLOOKUP(B225,input_433100!L:R,7,FALSE),VLOOKUP(tables_433100!C225,input_433100!A:H,8,FALSE))</f>
        <v>287818.34907</v>
      </c>
      <c r="P225" s="46">
        <f t="shared" ca="1" si="13"/>
        <v>2.4608271979288159E-2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input_433100!A$2</f>
        <v>433100</v>
      </c>
      <c r="B226" s="6">
        <v>598</v>
      </c>
      <c r="C226" s="7" t="str">
        <f t="shared" si="12"/>
        <v>Premium5color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焼燃の情熱 ムスペルヘイム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IFERROR(VLOOKUP(B226,input_433100!L:R,7,FALSE),VLOOKUP(tables_433100!C226,input_433100!A:H,8,FALSE))</f>
        <v>810.11469999999997</v>
      </c>
      <c r="P226" s="46">
        <f t="shared" ca="1" si="13"/>
        <v>6.9264252735918991E-5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input_433100!A$2</f>
        <v>433100</v>
      </c>
      <c r="B227" s="6">
        <v>599</v>
      </c>
      <c r="C227" s="7" t="str">
        <f t="shared" si="12"/>
        <v>Premium3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ニーズヘッグ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IFERROR(VLOOKUP(B227,input_433100!L:R,7,FALSE),VLOOKUP(tables_433100!C227,input_433100!A:H,8,FALSE))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input_433100!A$2</f>
        <v>433100</v>
      </c>
      <c r="B228" s="6">
        <v>600</v>
      </c>
      <c r="C228" s="7" t="str">
        <f t="shared" si="12"/>
        <v>Premium4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界下に潜む蛇 ニーズヘッグ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IFERROR(VLOOKUP(B228,input_433100!L:R,7,FALSE),VLOOKUP(tables_433100!C228,input_433100!A:H,8,FALSE))</f>
        <v>56540.195030000003</v>
      </c>
      <c r="P228" s="46">
        <f t="shared" ca="1" si="13"/>
        <v>4.8341480018768588E-3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input_433100!A$2</f>
        <v>433100</v>
      </c>
      <c r="B229" s="6">
        <v>601</v>
      </c>
      <c r="C229" s="7" t="str">
        <f t="shared" si="12"/>
        <v>Premium5</v>
      </c>
      <c r="D229" s="7" t="str">
        <f t="shared" si="14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界根蝕む悪食 ニーズヘッグ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IFERROR(VLOOKUP(B229,input_433100!L:R,7,FALSE),VLOOKUP(tables_433100!C229,input_433100!A:H,8,FALSE))</f>
        <v>133.80497</v>
      </c>
      <c r="P229" s="46">
        <f t="shared" ca="1" si="13"/>
        <v>1.144023341312293E-5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input_433100!A$2</f>
        <v>433100</v>
      </c>
      <c r="B230" s="6">
        <v>602</v>
      </c>
      <c r="C230" s="7" t="str">
        <f t="shared" si="12"/>
        <v>PremiumSS4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フレイヤ</v>
      </c>
      <c r="I230" s="7" t="str">
        <f>VLOOKUP(B230,[1]characters!$A:$J,10,FALSE)</f>
        <v>PremiumSS</v>
      </c>
      <c r="J230" s="7">
        <f>VLOOKUP(B230,[1]characters!$A:$I,9,FALSE)</f>
        <v>4</v>
      </c>
      <c r="K230" s="7" t="str">
        <f>VLOOKUP(B230,[1]characters!$A:$H,8,FALSE)</f>
        <v>blue</v>
      </c>
      <c r="L230" s="7" t="str">
        <f>VLOOKUP(B230,[1]characters!$A:$K,11,FALSE)</f>
        <v>heal</v>
      </c>
      <c r="M230" s="7" t="str">
        <f>VLOOKUP(B230,[1]characters!$A:$M,13,FALSE)</f>
        <v>animal</v>
      </c>
      <c r="N230" s="7" t="str">
        <f>VLOOKUP(B230,[1]characters!$A:$G,7,FALSE)</f>
        <v>女性</v>
      </c>
      <c r="O230" s="45">
        <f ca="1">IFERROR(VLOOKUP(B230,input_433100!L:R,7,FALSE),VLOOKUP(tables_433100!C230,input_433100!A:H,8,FALSE))</f>
        <v>9261.6</v>
      </c>
      <c r="P230" s="46">
        <f t="shared" ca="1" si="13"/>
        <v>7.9186046511560317E-4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input_433100!A$2</f>
        <v>433100</v>
      </c>
      <c r="B231" s="6">
        <v>603</v>
      </c>
      <c r="C231" s="7" t="str">
        <f t="shared" si="12"/>
        <v>PremiumSS5</v>
      </c>
      <c r="D231" s="7" t="str">
        <f t="shared" si="14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掌愛の豊穣女神 フレイヤ</v>
      </c>
      <c r="I231" s="7" t="str">
        <f>VLOOKUP(B231,[1]characters!$A:$J,10,FALSE)</f>
        <v>PremiumSS</v>
      </c>
      <c r="J231" s="7">
        <f>VLOOKUP(B231,[1]characters!$A:$I,9,FALSE)</f>
        <v>5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IFERROR(VLOOKUP(B231,input_433100!L:R,7,FALSE),VLOOKUP(tables_433100!C231,input_433100!A:H,8,FALSE))</f>
        <v>272</v>
      </c>
      <c r="P231" s="46">
        <f t="shared" ca="1" si="13"/>
        <v>2.325581395346852E-5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input_433100!A$2</f>
        <v>433100</v>
      </c>
      <c r="B232" s="6">
        <v>604</v>
      </c>
      <c r="C232" s="7" t="str">
        <f t="shared" si="12"/>
        <v>Premium3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バルドル</v>
      </c>
      <c r="I232" s="7" t="str">
        <f>VLOOKUP(B232,[1]characters!$A:$J,10,FALSE)</f>
        <v>PremiumS</v>
      </c>
      <c r="J232" s="7">
        <f>VLOOKUP(B232,[1]characters!$A:$I,9,FALSE)</f>
        <v>3</v>
      </c>
      <c r="K232" s="7" t="str">
        <f>VLOOKUP(B232,[1]characters!$A:$H,8,FALSE)</f>
        <v>yellow</v>
      </c>
      <c r="L232" s="7" t="str">
        <f>VLOOKUP(B232,[1]characters!$A:$K,11,FALSE)</f>
        <v>heal</v>
      </c>
      <c r="M232" s="7" t="str">
        <f>VLOOKUP(B232,[1]characters!$A:$M,13,FALSE)</f>
        <v>god</v>
      </c>
      <c r="N232" s="7" t="str">
        <f>VLOOKUP(B232,[1]characters!$A:$G,7,FALSE)</f>
        <v>男性</v>
      </c>
      <c r="O232" s="45">
        <f ca="1">IFERROR(VLOOKUP(B232,input_433100!L:R,7,FALSE),VLOOKUP(tables_433100!C232,input_433100!A:H,8,FALSE))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input_433100!A$2</f>
        <v>433100</v>
      </c>
      <c r="B233" s="6">
        <v>605</v>
      </c>
      <c r="C233" s="7" t="str">
        <f t="shared" si="12"/>
        <v>Premium4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祝福される光耀 バルドル</v>
      </c>
      <c r="I233" s="7" t="str">
        <f>VLOOKUP(B233,[1]characters!$A:$J,10,FALSE)</f>
        <v>PremiumS</v>
      </c>
      <c r="J233" s="7">
        <f>VLOOKUP(B233,[1]characters!$A:$I,9,FALSE)</f>
        <v>4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IFERROR(VLOOKUP(B233,input_433100!L:R,7,FALSE),VLOOKUP(tables_433100!C233,input_433100!A:H,8,FALSE))</f>
        <v>56540.195030000003</v>
      </c>
      <c r="P233" s="46">
        <f t="shared" ca="1" si="13"/>
        <v>4.8341480018768588E-3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input_433100!A$2</f>
        <v>433100</v>
      </c>
      <c r="B234" s="6">
        <v>606</v>
      </c>
      <c r="C234" s="7" t="str">
        <f t="shared" si="12"/>
        <v>Premium5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冀望の光芒 バルドル</v>
      </c>
      <c r="I234" s="7" t="str">
        <f>VLOOKUP(B234,[1]characters!$A:$J,10,FALSE)</f>
        <v>PremiumS</v>
      </c>
      <c r="J234" s="7">
        <f>VLOOKUP(B234,[1]characters!$A:$I,9,FALSE)</f>
        <v>5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IFERROR(VLOOKUP(B234,input_433100!L:R,7,FALSE),VLOOKUP(tables_433100!C234,input_433100!A:H,8,FALSE))</f>
        <v>133.80497</v>
      </c>
      <c r="P234" s="46">
        <f t="shared" ca="1" si="13"/>
        <v>1.144023341312293E-5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input_433100!A$2</f>
        <v>433100</v>
      </c>
      <c r="B235" s="6">
        <v>658</v>
      </c>
      <c r="C235" s="7" t="str">
        <f t="shared" si="12"/>
        <v>PremiumSS4color</v>
      </c>
      <c r="D235" s="7" t="str">
        <f t="shared" si="14"/>
        <v>PremiumSS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猫又 クルミ</v>
      </c>
      <c r="I235" s="7" t="str">
        <f>VLOOKUP(B235,[1]characters!$A:$J,10,FALSE)</f>
        <v>PremiumSS</v>
      </c>
      <c r="J235" s="7">
        <f>VLOOKUP(B235,[1]characters!$A:$I,9,FALSE)</f>
        <v>4</v>
      </c>
      <c r="K235" s="7" t="str">
        <f>VLOOKUP(B235,[1]characters!$A:$H,8,FALSE)</f>
        <v>red</v>
      </c>
      <c r="L235" s="7" t="str">
        <f>VLOOKUP(B235,[1]characters!$A:$K,11,FALSE)</f>
        <v>attack</v>
      </c>
      <c r="M235" s="7" t="str">
        <f>VLOOKUP(B235,[1]characters!$A:$M,13,FALSE)</f>
        <v>animal</v>
      </c>
      <c r="N235" s="7" t="str">
        <f>VLOOKUP(B235,[1]characters!$A:$G,7,FALSE)</f>
        <v>女性</v>
      </c>
      <c r="O235" s="45">
        <f ca="1">IFERROR(VLOOKUP(B235,input_433100!L:R,7,FALSE),VLOOKUP(tables_433100!C235,input_433100!A:H,8,FALSE))</f>
        <v>23809.71429</v>
      </c>
      <c r="P235" s="46">
        <f t="shared" ca="1" si="13"/>
        <v>2.0357142860789735E-3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input_433100!A$2</f>
        <v>433100</v>
      </c>
      <c r="B236" s="6">
        <v>659</v>
      </c>
      <c r="C236" s="7" t="str">
        <f t="shared" si="12"/>
        <v>PremiumSS5color</v>
      </c>
      <c r="D236" s="7" t="str">
        <f t="shared" si="14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跳梁する化猫 クルミ</v>
      </c>
      <c r="I236" s="7" t="str">
        <f>VLOOKUP(B236,[1]characters!$A:$J,10,FALSE)</f>
        <v>PremiumSS</v>
      </c>
      <c r="J236" s="7">
        <f>VLOOKUP(B236,[1]characters!$A:$I,9,FALSE)</f>
        <v>5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IFERROR(VLOOKUP(B236,input_433100!L:R,7,FALSE),VLOOKUP(tables_433100!C236,input_433100!A:H,8,FALSE))</f>
        <v>1253.1428599999999</v>
      </c>
      <c r="P236" s="46">
        <f t="shared" ca="1" si="13"/>
        <v>1.0714285738704944E-4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input_433100!A$2</f>
        <v>433100</v>
      </c>
      <c r="B237" s="6">
        <v>660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烏天狗 フウガ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green</v>
      </c>
      <c r="L237" s="7" t="str">
        <f>VLOOKUP(B237,[1]characters!$A:$K,11,FALSE)</f>
        <v>balance</v>
      </c>
      <c r="M237" s="7" t="str">
        <f>VLOOKUP(B237,[1]characters!$A:$M,13,FALSE)</f>
        <v>animal</v>
      </c>
      <c r="N237" s="7" t="str">
        <f>VLOOKUP(B237,[1]characters!$A:$G,7,FALSE)</f>
        <v>男性</v>
      </c>
      <c r="O237" s="45">
        <f ca="1">IFERROR(VLOOKUP(B237,input_433100!L:R,7,FALSE),VLOOKUP(tables_433100!C237,input_433100!A:H,8,FALSE))</f>
        <v>9261.6</v>
      </c>
      <c r="P237" s="46">
        <f t="shared" ca="1" si="13"/>
        <v>7.9186046511560317E-4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input_433100!A$2</f>
        <v>433100</v>
      </c>
      <c r="B238" s="6">
        <v>661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疾風の天狗礫 フウガ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IFERROR(VLOOKUP(B238,input_433100!L:R,7,FALSE),VLOOKUP(tables_433100!C238,input_433100!A:H,8,FALSE))</f>
        <v>272</v>
      </c>
      <c r="P238" s="46">
        <f t="shared" ca="1" si="13"/>
        <v>2.325581395346852E-5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input_433100!A$2</f>
        <v>433100</v>
      </c>
      <c r="B239" s="6">
        <v>662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ダイダラ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blue</v>
      </c>
      <c r="L239" s="7" t="str">
        <f>VLOOKUP(B239,[1]characters!$A:$K,11,FALSE)</f>
        <v>hp</v>
      </c>
      <c r="M239" s="7" t="str">
        <f>VLOOKUP(B239,[1]characters!$A:$M,13,FALSE)</f>
        <v>unknown</v>
      </c>
      <c r="N239" s="7" t="str">
        <f>VLOOKUP(B239,[1]characters!$A:$G,7,FALSE)</f>
        <v>不明</v>
      </c>
      <c r="O239" s="45">
        <f ca="1">IFERROR(VLOOKUP(B239,input_433100!L:R,7,FALSE),VLOOKUP(tables_433100!C239,input_433100!A:H,8,FALSE))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input_433100!A$2</f>
        <v>433100</v>
      </c>
      <c r="B240" s="6">
        <v>663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都揺らす地響き ダイダラ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IFERROR(VLOOKUP(B240,input_433100!L:R,7,FALSE),VLOOKUP(tables_433100!C240,input_433100!A:H,8,FALSE))</f>
        <v>56540.195030000003</v>
      </c>
      <c r="P240" s="46">
        <f t="shared" ca="1" si="13"/>
        <v>4.8341480018768588E-3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input_433100!A$2</f>
        <v>433100</v>
      </c>
      <c r="B241" s="6">
        <v>664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山掴み国造り ダイダラ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IFERROR(VLOOKUP(B241,input_433100!L:R,7,FALSE),VLOOKUP(tables_433100!C241,input_433100!A:H,8,FALSE))</f>
        <v>133.80497</v>
      </c>
      <c r="P241" s="46">
        <f t="shared" ca="1" si="13"/>
        <v>1.144023341312293E-5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input_433100!A$2</f>
        <v>433100</v>
      </c>
      <c r="B242" s="6">
        <v>665</v>
      </c>
      <c r="C242" s="7" t="str">
        <f t="shared" si="12"/>
        <v>Premium3</v>
      </c>
      <c r="D242" s="7" t="str">
        <f t="shared" si="14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座敷童子 テマリ</v>
      </c>
      <c r="I242" s="7" t="str">
        <f>VLOOKUP(B242,[1]characters!$A:$J,10,FALSE)</f>
        <v>PremiumS</v>
      </c>
      <c r="J242" s="7">
        <f>VLOOKUP(B242,[1]characters!$A:$I,9,FALSE)</f>
        <v>3</v>
      </c>
      <c r="K242" s="7" t="str">
        <f>VLOOKUP(B242,[1]characters!$A:$H,8,FALSE)</f>
        <v>yellow</v>
      </c>
      <c r="L242" s="7" t="str">
        <f>VLOOKUP(B242,[1]characters!$A:$K,11,FALSE)</f>
        <v>balance</v>
      </c>
      <c r="M242" s="7" t="str">
        <f>VLOOKUP(B242,[1]characters!$A:$M,13,FALSE)</f>
        <v>unknown</v>
      </c>
      <c r="N242" s="7" t="str">
        <f>VLOOKUP(B242,[1]characters!$A:$G,7,FALSE)</f>
        <v>女性</v>
      </c>
      <c r="O242" s="45">
        <f ca="1">IFERROR(VLOOKUP(B242,input_433100!L:R,7,FALSE),VLOOKUP(tables_433100!C242,input_433100!A:H,8,FALSE))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input_433100!A$2</f>
        <v>433100</v>
      </c>
      <c r="B243" s="6">
        <v>666</v>
      </c>
      <c r="C243" s="7" t="str">
        <f t="shared" si="12"/>
        <v>Premium4</v>
      </c>
      <c r="D243" s="7" t="str">
        <f t="shared" si="14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拡散する幸福 テマリ</v>
      </c>
      <c r="I243" s="7" t="str">
        <f>VLOOKUP(B243,[1]characters!$A:$J,10,FALSE)</f>
        <v>PremiumS</v>
      </c>
      <c r="J243" s="7">
        <f>VLOOKUP(B243,[1]characters!$A:$I,9,FALSE)</f>
        <v>4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IFERROR(VLOOKUP(B243,input_433100!L:R,7,FALSE),VLOOKUP(tables_433100!C243,input_433100!A:H,8,FALSE))</f>
        <v>56540.195030000003</v>
      </c>
      <c r="P243" s="46">
        <f t="shared" ca="1" si="13"/>
        <v>4.8341480018768588E-3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input_433100!A$2</f>
        <v>433100</v>
      </c>
      <c r="B244" s="6">
        <v>667</v>
      </c>
      <c r="C244" s="7" t="str">
        <f t="shared" si="12"/>
        <v>Premium5</v>
      </c>
      <c r="D244" s="7" t="str">
        <f t="shared" si="14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最幸運の妖童 テマリ</v>
      </c>
      <c r="I244" s="7" t="str">
        <f>VLOOKUP(B244,[1]characters!$A:$J,10,FALSE)</f>
        <v>PremiumS</v>
      </c>
      <c r="J244" s="7">
        <f>VLOOKUP(B244,[1]characters!$A:$I,9,FALSE)</f>
        <v>5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IFERROR(VLOOKUP(B244,input_433100!L:R,7,FALSE),VLOOKUP(tables_433100!C244,input_433100!A:H,8,FALSE))</f>
        <v>133.80497</v>
      </c>
      <c r="P244" s="46">
        <f t="shared" ca="1" si="13"/>
        <v>1.144023341312293E-5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input_433100!A$2</f>
        <v>433100</v>
      </c>
      <c r="B245" s="60">
        <v>668</v>
      </c>
      <c r="C245" s="7" t="str">
        <f t="shared" si="12"/>
        <v>Premium3color</v>
      </c>
      <c r="D245" s="7" t="str">
        <f t="shared" si="14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アグニ</v>
      </c>
      <c r="I245" s="7" t="str">
        <f>VLOOKUP(B245,[1]characters!$A:$J,10,FALSE)</f>
        <v>PremiumS</v>
      </c>
      <c r="J245" s="7">
        <f>VLOOKUP(B245,[1]characters!$A:$I,9,FALSE)</f>
        <v>3</v>
      </c>
      <c r="K245" s="7" t="str">
        <f>VLOOKUP(B245,[1]characters!$A:$H,8,FALSE)</f>
        <v>red</v>
      </c>
      <c r="L245" s="7" t="str">
        <f>VLOOKUP(B245,[1]characters!$A:$K,11,FALSE)</f>
        <v>hp</v>
      </c>
      <c r="M245" s="7" t="str">
        <f>VLOOKUP(B245,[1]characters!$A:$M,13,FALSE)</f>
        <v>god</v>
      </c>
      <c r="N245" s="7" t="str">
        <f>VLOOKUP(B245,[1]characters!$A:$G,7,FALSE)</f>
        <v>男性</v>
      </c>
      <c r="O245" s="45">
        <f ca="1">IFERROR(VLOOKUP(B245,input_433100!L:R,7,FALSE),VLOOKUP(tables_433100!C245,input_433100!A:H,8,FALSE))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input_433100!A$2</f>
        <v>433100</v>
      </c>
      <c r="B246" s="60">
        <v>669</v>
      </c>
      <c r="C246" s="7" t="str">
        <f t="shared" si="12"/>
        <v>Premium4color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天地の仲界 アグニ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IFERROR(VLOOKUP(B246,input_433100!L:R,7,FALSE),VLOOKUP(tables_433100!C246,input_433100!A:H,8,FALSE))</f>
        <v>287818.34907</v>
      </c>
      <c r="P246" s="46">
        <f t="shared" ca="1" si="13"/>
        <v>2.4608271979288159E-2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input_433100!A$2</f>
        <v>433100</v>
      </c>
      <c r="B247" s="60">
        <v>670</v>
      </c>
      <c r="C247" s="7" t="str">
        <f t="shared" si="12"/>
        <v>Premium5color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陽天の噴煙 アグニ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IFERROR(VLOOKUP(B247,input_433100!L:R,7,FALSE),VLOOKUP(tables_433100!C247,input_433100!A:H,8,FALSE))</f>
        <v>810.11469999999997</v>
      </c>
      <c r="P247" s="46">
        <f t="shared" ca="1" si="13"/>
        <v>6.9264252735918991E-5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input_433100!A$2</f>
        <v>433100</v>
      </c>
      <c r="B248" s="60">
        <v>671</v>
      </c>
      <c r="C248" s="7" t="str">
        <f t="shared" si="12"/>
        <v>Premium3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ハヌマーン</v>
      </c>
      <c r="I248" s="7" t="str">
        <f>VLOOKUP(B248,[1]characters!$A:$J,10,FALSE)</f>
        <v>PremiumS</v>
      </c>
      <c r="J248" s="7">
        <f>VLOOKUP(B248,[1]characters!$A:$I,9,FALSE)</f>
        <v>3</v>
      </c>
      <c r="K248" s="7" t="str">
        <f>VLOOKUP(B248,[1]characters!$A:$H,8,FALSE)</f>
        <v>green</v>
      </c>
      <c r="L248" s="7" t="str">
        <f>VLOOKUP(B248,[1]characters!$A:$K,11,FALSE)</f>
        <v>attack</v>
      </c>
      <c r="M248" s="7" t="str">
        <f>VLOOKUP(B248,[1]characters!$A:$M,13,FALSE)</f>
        <v>animal</v>
      </c>
      <c r="N248" s="7" t="str">
        <f>VLOOKUP(B248,[1]characters!$A:$G,7,FALSE)</f>
        <v>男性</v>
      </c>
      <c r="O248" s="45">
        <f ca="1">IFERROR(VLOOKUP(B248,input_433100!L:R,7,FALSE),VLOOKUP(tables_433100!C248,input_433100!A:H,8,FALSE))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input_433100!A$2</f>
        <v>433100</v>
      </c>
      <c r="B249" s="60">
        <v>672</v>
      </c>
      <c r="C249" s="7" t="str">
        <f t="shared" si="12"/>
        <v>Premium4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西遊韋駄天 ハヌマーン</v>
      </c>
      <c r="I249" s="7" t="str">
        <f>VLOOKUP(B249,[1]characters!$A:$J,10,FALSE)</f>
        <v>PremiumS</v>
      </c>
      <c r="J249" s="7">
        <f>VLOOKUP(B249,[1]characters!$A:$I,9,FALSE)</f>
        <v>4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IFERROR(VLOOKUP(B249,input_433100!L:R,7,FALSE),VLOOKUP(tables_433100!C249,input_433100!A:H,8,FALSE))</f>
        <v>56540.195030000003</v>
      </c>
      <c r="P249" s="46">
        <f t="shared" ca="1" si="13"/>
        <v>4.8341480018768588E-3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input_433100!A$2</f>
        <v>433100</v>
      </c>
      <c r="B250" s="60">
        <v>673</v>
      </c>
      <c r="C250" s="7" t="str">
        <f t="shared" si="12"/>
        <v>Premium5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変幻自在の猿王 ハヌマーン</v>
      </c>
      <c r="I250" s="7" t="str">
        <f>VLOOKUP(B250,[1]characters!$A:$J,10,FALSE)</f>
        <v>PremiumS</v>
      </c>
      <c r="J250" s="7">
        <f>VLOOKUP(B250,[1]characters!$A:$I,9,FALSE)</f>
        <v>5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IFERROR(VLOOKUP(B250,input_433100!L:R,7,FALSE),VLOOKUP(tables_433100!C250,input_433100!A:H,8,FALSE))</f>
        <v>133.80497</v>
      </c>
      <c r="P250" s="46">
        <f t="shared" ca="1" si="13"/>
        <v>1.144023341312293E-5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input_433100!A$2</f>
        <v>433100</v>
      </c>
      <c r="B251" s="60">
        <v>674</v>
      </c>
      <c r="C251" s="7" t="str">
        <f t="shared" si="12"/>
        <v>PremiumSS4</v>
      </c>
      <c r="D251" s="7" t="str">
        <f t="shared" si="14"/>
        <v>PremiumSS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サラスヴァティ</v>
      </c>
      <c r="I251" s="7" t="str">
        <f>VLOOKUP(B251,[1]characters!$A:$J,10,FALSE)</f>
        <v>PremiumSS</v>
      </c>
      <c r="J251" s="7">
        <f>VLOOKUP(B251,[1]characters!$A:$I,9,FALSE)</f>
        <v>4</v>
      </c>
      <c r="K251" s="7" t="str">
        <f>VLOOKUP(B251,[1]characters!$A:$H,8,FALSE)</f>
        <v>blue</v>
      </c>
      <c r="L251" s="7" t="str">
        <f>VLOOKUP(B251,[1]characters!$A:$K,11,FALSE)</f>
        <v>balance</v>
      </c>
      <c r="M251" s="7" t="str">
        <f>VLOOKUP(B251,[1]characters!$A:$M,13,FALSE)</f>
        <v>god</v>
      </c>
      <c r="N251" s="7" t="str">
        <f>VLOOKUP(B251,[1]characters!$A:$G,7,FALSE)</f>
        <v>女性</v>
      </c>
      <c r="O251" s="45">
        <f ca="1">IFERROR(VLOOKUP(B251,input_433100!L:R,7,FALSE),VLOOKUP(tables_433100!C251,input_433100!A:H,8,FALSE))</f>
        <v>9261.6</v>
      </c>
      <c r="P251" s="46">
        <f t="shared" ca="1" si="13"/>
        <v>7.9186046511560317E-4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input_433100!A$2</f>
        <v>433100</v>
      </c>
      <c r="B252" s="60">
        <v>675</v>
      </c>
      <c r="C252" s="7" t="str">
        <f t="shared" si="12"/>
        <v>PremiumSS5</v>
      </c>
      <c r="D252" s="7" t="str">
        <f t="shared" si="14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芸楽の奔流 サラスヴァティ</v>
      </c>
      <c r="I252" s="7" t="str">
        <f>VLOOKUP(B252,[1]characters!$A:$J,10,FALSE)</f>
        <v>PremiumSS</v>
      </c>
      <c r="J252" s="7">
        <f>VLOOKUP(B252,[1]characters!$A:$I,9,FALSE)</f>
        <v>5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IFERROR(VLOOKUP(B252,input_433100!L:R,7,FALSE),VLOOKUP(tables_433100!C252,input_433100!A:H,8,FALSE))</f>
        <v>272</v>
      </c>
      <c r="P252" s="46">
        <f t="shared" ca="1" si="13"/>
        <v>2.325581395346852E-5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input_433100!A$2</f>
        <v>433100</v>
      </c>
      <c r="B253" s="60">
        <v>676</v>
      </c>
      <c r="C253" s="7" t="str">
        <f t="shared" si="12"/>
        <v>PremiumSS4</v>
      </c>
      <c r="D253" s="7" t="str">
        <f t="shared" si="14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ヴィシュヌ</v>
      </c>
      <c r="I253" s="7" t="str">
        <f>VLOOKUP(B253,[1]characters!$A:$J,10,FALSE)</f>
        <v>PremiumSS</v>
      </c>
      <c r="J253" s="7">
        <f>VLOOKUP(B253,[1]characters!$A:$I,9,FALSE)</f>
        <v>4</v>
      </c>
      <c r="K253" s="7" t="str">
        <f>VLOOKUP(B253,[1]characters!$A:$H,8,FALSE)</f>
        <v>yellow</v>
      </c>
      <c r="L253" s="7" t="str">
        <f>VLOOKUP(B253,[1]characters!$A:$K,11,FALSE)</f>
        <v>attack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IFERROR(VLOOKUP(B253,input_433100!L:R,7,FALSE),VLOOKUP(tables_433100!C253,input_433100!A:H,8,FALSE))</f>
        <v>9261.6</v>
      </c>
      <c r="P253" s="46">
        <f t="shared" ca="1" si="13"/>
        <v>7.9186046511560317E-4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input_433100!A$2</f>
        <v>433100</v>
      </c>
      <c r="B254" s="60">
        <v>677</v>
      </c>
      <c r="C254" s="7" t="str">
        <f t="shared" si="12"/>
        <v>PremiumSS5</v>
      </c>
      <c r="D254" s="7" t="str">
        <f t="shared" si="14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武遊闊歩 ヴィシュヌ</v>
      </c>
      <c r="I254" s="7" t="str">
        <f>VLOOKUP(B254,[1]characters!$A:$J,10,FALSE)</f>
        <v>PremiumSS</v>
      </c>
      <c r="J254" s="7">
        <f>VLOOKUP(B254,[1]characters!$A:$I,9,FALSE)</f>
        <v>5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IFERROR(VLOOKUP(B254,input_433100!L:R,7,FALSE),VLOOKUP(tables_433100!C254,input_433100!A:H,8,FALSE))</f>
        <v>272</v>
      </c>
      <c r="P254" s="46">
        <f t="shared" ca="1" si="13"/>
        <v>2.325581395346852E-5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input_433100!A$2</f>
        <v>433100</v>
      </c>
      <c r="B255" s="60">
        <v>728</v>
      </c>
      <c r="C255" s="7" t="str">
        <f t="shared" si="12"/>
        <v>Premium4R3lesscolor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>R3less</v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井伊直虎</v>
      </c>
      <c r="I255" s="7" t="str">
        <f>VLOOKUP(B255,[1]characters!$A:$J,10,FALSE)</f>
        <v>PremiumS</v>
      </c>
      <c r="J255" s="7">
        <f>VLOOKUP(B255,[1]characters!$A:$I,9,FALSE)</f>
        <v>4</v>
      </c>
      <c r="K255" s="7" t="str">
        <f>VLOOKUP(B255,[1]characters!$A:$H,8,FALSE)</f>
        <v>red</v>
      </c>
      <c r="L255" s="7" t="str">
        <f>VLOOKUP(B255,[1]characters!$A:$K,11,FALSE)</f>
        <v>balance</v>
      </c>
      <c r="M255" s="7" t="str">
        <f>VLOOKUP(B255,[1]characters!$A:$M,13,FALSE)</f>
        <v>human</v>
      </c>
      <c r="N255" s="7" t="str">
        <f>VLOOKUP(B255,[1]characters!$A:$G,7,FALSE)</f>
        <v>女性</v>
      </c>
      <c r="O255" s="45">
        <f ca="1">IFERROR(VLOOKUP(B255,input_433100!L:R,7,FALSE),VLOOKUP(tables_433100!C255,input_433100!A:H,8,FALSE))</f>
        <v>204069.77390999999</v>
      </c>
      <c r="P255" s="46">
        <f t="shared" ca="1" si="13"/>
        <v>1.7447826086681412E-2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input_433100!A$2</f>
        <v>433100</v>
      </c>
      <c r="B256" s="60">
        <v>729</v>
      </c>
      <c r="C256" s="7" t="str">
        <f t="shared" si="12"/>
        <v>Premium5R3lesscolor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暗厄の双刀 井伊直虎</v>
      </c>
      <c r="I256" s="7" t="str">
        <f>VLOOKUP(B256,[1]characters!$A:$J,10,FALSE)</f>
        <v>PremiumS</v>
      </c>
      <c r="J256" s="7">
        <f>VLOOKUP(B256,[1]characters!$A:$I,9,FALSE)</f>
        <v>5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IFERROR(VLOOKUP(B256,input_433100!L:R,7,FALSE),VLOOKUP(tables_433100!C256,input_433100!A:H,8,FALSE))</f>
        <v>14187.756520000001</v>
      </c>
      <c r="P256" s="46">
        <f t="shared" ca="1" si="13"/>
        <v>1.2130434781111397E-3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input_433100!A$2</f>
        <v>433100</v>
      </c>
      <c r="B257" s="60">
        <v>730</v>
      </c>
      <c r="C257" s="7" t="str">
        <f t="shared" si="12"/>
        <v>Premium4R3less</v>
      </c>
      <c r="D257" s="7" t="str">
        <f t="shared" si="14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ガラシャ</v>
      </c>
      <c r="I257" s="7" t="str">
        <f>VLOOKUP(B257,[1]characters!$A:$J,10,FALSE)</f>
        <v>PremiumS</v>
      </c>
      <c r="J257" s="7">
        <f>VLOOKUP(B257,[1]characters!$A:$I,9,FALSE)</f>
        <v>4</v>
      </c>
      <c r="K257" s="7" t="str">
        <f>VLOOKUP(B257,[1]characters!$A:$H,8,FALSE)</f>
        <v>green</v>
      </c>
      <c r="L257" s="7" t="str">
        <f>VLOOKUP(B257,[1]characters!$A:$K,11,FALSE)</f>
        <v>heal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IFERROR(VLOOKUP(B257,input_433100!L:R,7,FALSE),VLOOKUP(tables_433100!C257,input_433100!A:H,8,FALSE))</f>
        <v>93533.6</v>
      </c>
      <c r="P257" s="46">
        <f t="shared" ca="1" si="13"/>
        <v>7.9970588235225865E-3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input_433100!A$2</f>
        <v>433100</v>
      </c>
      <c r="B258" s="60">
        <v>731</v>
      </c>
      <c r="C258" s="7" t="str">
        <f t="shared" ref="C258:C284" si="16">D258&amp;J258&amp;E258&amp;F258&amp;G258</f>
        <v>Premium5R3less</v>
      </c>
      <c r="D258" s="7" t="str">
        <f t="shared" si="14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敬虔なる追銃 ガラシャ</v>
      </c>
      <c r="I258" s="7" t="str">
        <f>VLOOKUP(B258,[1]characters!$A:$J,10,FALSE)</f>
        <v>PremiumS</v>
      </c>
      <c r="J258" s="7">
        <f>VLOOKUP(B258,[1]characters!$A:$I,9,FALSE)</f>
        <v>5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IFERROR(VLOOKUP(B258,input_433100!L:R,7,FALSE),VLOOKUP(tables_433100!C258,input_433100!A:H,8,FALSE))</f>
        <v>3199.2</v>
      </c>
      <c r="P258" s="46">
        <f t="shared" ref="P258:P305" ca="1" si="17">O258/SUM(O:O)</f>
        <v>2.735294117644724E-4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input_433100!A$2</f>
        <v>433100</v>
      </c>
      <c r="B259" s="60">
        <v>732</v>
      </c>
      <c r="C259" s="7" t="str">
        <f t="shared" si="16"/>
        <v>PremiumSS5R5only</v>
      </c>
      <c r="D259" s="7" t="str">
        <f t="shared" ref="D259:D305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>R5only</v>
      </c>
      <c r="F259" s="7" t="str">
        <f>IF(COUNTIF('R6開放'!A:A,B259)&gt;0,"R6release","")</f>
        <v/>
      </c>
      <c r="G259" s="7" t="str">
        <f t="shared" ref="G259:G319" si="19">IF(K259="red","color","")</f>
        <v/>
      </c>
      <c r="H259" s="7" t="str">
        <f>VLOOKUP(B259,[1]characters!$A:$C,3,FALSE)</f>
        <v>上杉謙信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attack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IFERROR(VLOOKUP(B259,input_433100!L:R,7,FALSE),VLOOKUP(tables_433100!C259,input_433100!A:H,8,FALSE))</f>
        <v>4422.9565199999997</v>
      </c>
      <c r="P259" s="46">
        <f t="shared" ca="1" si="17"/>
        <v>3.7815975718161974E-4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input_433100!A$2</f>
        <v>433100</v>
      </c>
      <c r="B260" s="60">
        <v>734</v>
      </c>
      <c r="C260" s="7" t="str">
        <f t="shared" si="16"/>
        <v>PremiumSS5R5only</v>
      </c>
      <c r="D260" s="7" t="str">
        <f t="shared" si="18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伊達政宗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yellow</v>
      </c>
      <c r="L260" s="7" t="str">
        <f>VLOOKUP(B260,[1]characters!$A:$K,11,FALSE)</f>
        <v>balance</v>
      </c>
      <c r="M260" s="7" t="str">
        <f>VLOOKUP(B260,[1]characters!$A:$M,13,FALSE)</f>
        <v>human</v>
      </c>
      <c r="N260" s="7" t="str">
        <f>VLOOKUP(B260,[1]characters!$A:$G,7,FALSE)</f>
        <v>男性</v>
      </c>
      <c r="O260" s="45">
        <f ca="1">IFERROR(VLOOKUP(B260,input_433100!L:R,7,FALSE),VLOOKUP(tables_433100!C260,input_433100!A:H,8,FALSE))</f>
        <v>4422.9565199999997</v>
      </c>
      <c r="P260" s="46">
        <f t="shared" ca="1" si="17"/>
        <v>3.7815975718161974E-4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input_433100!A$2</f>
        <v>433100</v>
      </c>
      <c r="B261" s="60">
        <v>770</v>
      </c>
      <c r="C261" s="7" t="str">
        <f t="shared" si="16"/>
        <v>PremiumSS4color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ハヅル</v>
      </c>
      <c r="I261" s="7" t="str">
        <f>VLOOKUP(B261,[1]characters!$A:$J,10,FALSE)</f>
        <v>PremiumSS</v>
      </c>
      <c r="J261" s="7">
        <f>VLOOKUP(B261,[1]characters!$A:$I,9,FALSE)</f>
        <v>4</v>
      </c>
      <c r="K261" s="7" t="str">
        <f>VLOOKUP(B261,[1]characters!$A:$H,8,FALSE)</f>
        <v>red</v>
      </c>
      <c r="L261" s="7" t="str">
        <f>VLOOKUP(B261,[1]characters!$A:$K,11,FALSE)</f>
        <v>balance</v>
      </c>
      <c r="M261" s="7" t="str">
        <f>VLOOKUP(B261,[1]characters!$A:$M,13,FALSE)</f>
        <v>animal</v>
      </c>
      <c r="N261" s="7" t="str">
        <f>VLOOKUP(B261,[1]characters!$A:$G,7,FALSE)</f>
        <v>女性</v>
      </c>
      <c r="O261" s="45">
        <f ca="1">IFERROR(VLOOKUP(B261,input_433100!L:R,7,FALSE),VLOOKUP(tables_433100!C261,input_433100!A:H,8,FALSE))</f>
        <v>23809.71429</v>
      </c>
      <c r="P261" s="46">
        <f t="shared" ca="1" si="17"/>
        <v>2.0357142860789735E-3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input_433100!A$2</f>
        <v>433100</v>
      </c>
      <c r="B262" s="60">
        <v>771</v>
      </c>
      <c r="C262" s="7" t="str">
        <f t="shared" si="16"/>
        <v>PremiumSS5color</v>
      </c>
      <c r="D262" s="7" t="str">
        <f t="shared" si="18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天織羽鶴 ハヅル</v>
      </c>
      <c r="I262" s="7" t="str">
        <f>VLOOKUP(B262,[1]characters!$A:$J,10,FALSE)</f>
        <v>PremiumSS</v>
      </c>
      <c r="J262" s="7">
        <f>VLOOKUP(B262,[1]characters!$A:$I,9,FALSE)</f>
        <v>5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IFERROR(VLOOKUP(B262,input_433100!L:R,7,FALSE),VLOOKUP(tables_433100!C262,input_433100!A:H,8,FALSE))</f>
        <v>1253.1428599999999</v>
      </c>
      <c r="P262" s="46">
        <f t="shared" ca="1" si="17"/>
        <v>1.0714285738704944E-4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input_433100!A$2</f>
        <v>433100</v>
      </c>
      <c r="B263" s="60">
        <v>772</v>
      </c>
      <c r="C263" s="7" t="str">
        <f t="shared" si="16"/>
        <v>PremiumSS4</v>
      </c>
      <c r="D263" s="7" t="str">
        <f t="shared" si="18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イナバ</v>
      </c>
      <c r="I263" s="7" t="str">
        <f>VLOOKUP(B263,[1]characters!$A:$J,10,FALSE)</f>
        <v>PremiumSS</v>
      </c>
      <c r="J263" s="7">
        <f>VLOOKUP(B263,[1]characters!$A:$I,9,FALSE)</f>
        <v>4</v>
      </c>
      <c r="K263" s="7" t="str">
        <f>VLOOKUP(B263,[1]characters!$A:$H,8,FALSE)</f>
        <v>green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IFERROR(VLOOKUP(B263,input_433100!L:R,7,FALSE),VLOOKUP(tables_433100!C263,input_433100!A:H,8,FALSE))</f>
        <v>9261.6</v>
      </c>
      <c r="P263" s="46">
        <f t="shared" ca="1" si="17"/>
        <v>7.9186046511560317E-4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input_433100!A$2</f>
        <v>433100</v>
      </c>
      <c r="B264" s="60">
        <v>773</v>
      </c>
      <c r="C264" s="7" t="str">
        <f t="shared" si="16"/>
        <v>PremiumSS5</v>
      </c>
      <c r="D264" s="7" t="str">
        <f t="shared" si="18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浮跳天兎 イナバ</v>
      </c>
      <c r="I264" s="7" t="str">
        <f>VLOOKUP(B264,[1]characters!$A:$J,10,FALSE)</f>
        <v>PremiumSS</v>
      </c>
      <c r="J264" s="7">
        <f>VLOOKUP(B264,[1]characters!$A:$I,9,FALSE)</f>
        <v>5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IFERROR(VLOOKUP(B264,input_433100!L:R,7,FALSE),VLOOKUP(tables_433100!C264,input_433100!A:H,8,FALSE))</f>
        <v>272</v>
      </c>
      <c r="P264" s="46">
        <f t="shared" ca="1" si="17"/>
        <v>2.325581395346852E-5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input_433100!A$2</f>
        <v>433100</v>
      </c>
      <c r="B265" s="60">
        <v>774</v>
      </c>
      <c r="C265" s="7" t="str">
        <f t="shared" si="16"/>
        <v>Premium3</v>
      </c>
      <c r="D265" s="7" t="str">
        <f t="shared" si="18"/>
        <v>Premium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ミズチ</v>
      </c>
      <c r="I265" s="7" t="str">
        <f>VLOOKUP(B265,[1]characters!$A:$J,10,FALSE)</f>
        <v>PremiumS</v>
      </c>
      <c r="J265" s="7">
        <f>VLOOKUP(B265,[1]characters!$A:$I,9,FALSE)</f>
        <v>3</v>
      </c>
      <c r="K265" s="7" t="str">
        <f>VLOOKUP(B265,[1]characters!$A:$H,8,FALSE)</f>
        <v>blue</v>
      </c>
      <c r="L265" s="7" t="str">
        <f>VLOOKUP(B265,[1]characters!$A:$K,11,FALSE)</f>
        <v>heal</v>
      </c>
      <c r="M265" s="7" t="str">
        <f>VLOOKUP(B265,[1]characters!$A:$M,13,FALSE)</f>
        <v>dragon</v>
      </c>
      <c r="N265" s="7" t="str">
        <f>VLOOKUP(B265,[1]characters!$A:$G,7,FALSE)</f>
        <v>不明</v>
      </c>
      <c r="O265" s="45">
        <f ca="1">IFERROR(VLOOKUP(B265,input_433100!L:R,7,FALSE),VLOOKUP(tables_433100!C265,input_433100!A:H,8,FALSE))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input_433100!A$2</f>
        <v>433100</v>
      </c>
      <c r="B266" s="60">
        <v>775</v>
      </c>
      <c r="C266" s="7" t="str">
        <f t="shared" si="16"/>
        <v>Premium4</v>
      </c>
      <c r="D266" s="7" t="str">
        <f t="shared" si="18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水底霊竜 ミズチ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IFERROR(VLOOKUP(B266,input_433100!L:R,7,FALSE),VLOOKUP(tables_433100!C266,input_433100!A:H,8,FALSE))</f>
        <v>56540.195030000003</v>
      </c>
      <c r="P266" s="46">
        <f t="shared" ca="1" si="17"/>
        <v>4.8341480018768588E-3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input_433100!A$2</f>
        <v>433100</v>
      </c>
      <c r="B267" s="60">
        <v>776</v>
      </c>
      <c r="C267" s="7" t="str">
        <f t="shared" si="16"/>
        <v>Premium5</v>
      </c>
      <c r="D267" s="7" t="str">
        <f t="shared" si="18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水竜底主 ミズチ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IFERROR(VLOOKUP(B267,input_433100!L:R,7,FALSE),VLOOKUP(tables_433100!C267,input_433100!A:H,8,FALSE))</f>
        <v>133.80497</v>
      </c>
      <c r="P267" s="46">
        <f t="shared" ca="1" si="17"/>
        <v>1.144023341312293E-5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input_433100!A$2</f>
        <v>433100</v>
      </c>
      <c r="B268" s="60">
        <v>777</v>
      </c>
      <c r="C268" s="7" t="str">
        <f t="shared" si="16"/>
        <v>Premium3</v>
      </c>
      <c r="D268" s="7" t="str">
        <f t="shared" si="18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ガメック</v>
      </c>
      <c r="I268" s="7" t="str">
        <f>VLOOKUP(B268,[1]characters!$A:$J,10,FALSE)</f>
        <v>PremiumS</v>
      </c>
      <c r="J268" s="7">
        <f>VLOOKUP(B268,[1]characters!$A:$I,9,FALSE)</f>
        <v>3</v>
      </c>
      <c r="K268" s="7" t="str">
        <f>VLOOKUP(B268,[1]characters!$A:$H,8,FALSE)</f>
        <v>yellow</v>
      </c>
      <c r="L268" s="7" t="str">
        <f>VLOOKUP(B268,[1]characters!$A:$K,11,FALSE)</f>
        <v>hp</v>
      </c>
      <c r="M268" s="7" t="str">
        <f>VLOOKUP(B268,[1]characters!$A:$M,13,FALSE)</f>
        <v>animal</v>
      </c>
      <c r="N268" s="7" t="str">
        <f>VLOOKUP(B268,[1]characters!$A:$G,7,FALSE)</f>
        <v>不明</v>
      </c>
      <c r="O268" s="45">
        <f ca="1">IFERROR(VLOOKUP(B268,input_433100!L:R,7,FALSE),VLOOKUP(tables_433100!C268,input_433100!A:H,8,FALSE))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input_433100!A$2</f>
        <v>433100</v>
      </c>
      <c r="B269" s="60">
        <v>778</v>
      </c>
      <c r="C269" s="7" t="str">
        <f t="shared" si="16"/>
        <v>Premium4</v>
      </c>
      <c r="D269" s="7" t="str">
        <f t="shared" si="18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一亀懸明 ガメック</v>
      </c>
      <c r="I269" s="7" t="str">
        <f>VLOOKUP(B269,[1]characters!$A:$J,10,FALSE)</f>
        <v>PremiumS</v>
      </c>
      <c r="J269" s="7">
        <f>VLOOKUP(B269,[1]characters!$A:$I,9,FALSE)</f>
        <v>4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IFERROR(VLOOKUP(B269,input_433100!L:R,7,FALSE),VLOOKUP(tables_433100!C269,input_433100!A:H,8,FALSE))</f>
        <v>56540.195030000003</v>
      </c>
      <c r="P269" s="46">
        <f t="shared" ca="1" si="17"/>
        <v>4.8341480018768588E-3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input_433100!A$2</f>
        <v>433100</v>
      </c>
      <c r="B270" s="60">
        <v>779</v>
      </c>
      <c r="C270" s="7" t="str">
        <f t="shared" si="16"/>
        <v>Premium5</v>
      </c>
      <c r="D270" s="7" t="str">
        <f t="shared" si="18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頑堅咬亀 ガメック</v>
      </c>
      <c r="I270" s="7" t="str">
        <f>VLOOKUP(B270,[1]characters!$A:$J,10,FALSE)</f>
        <v>PremiumS</v>
      </c>
      <c r="J270" s="7">
        <f>VLOOKUP(B270,[1]characters!$A:$I,9,FALSE)</f>
        <v>5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IFERROR(VLOOKUP(B270,input_433100!L:R,7,FALSE),VLOOKUP(tables_433100!C270,input_433100!A:H,8,FALSE))</f>
        <v>133.80497</v>
      </c>
      <c r="P270" s="46">
        <f t="shared" ca="1" si="17"/>
        <v>1.144023341312293E-5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input_433100!A$2</f>
        <v>433100</v>
      </c>
      <c r="B271" s="82">
        <v>848</v>
      </c>
      <c r="C271" s="7" t="str">
        <f t="shared" si="16"/>
        <v>PremiumSS5R5onlycolor</v>
      </c>
      <c r="D271" s="7" t="str">
        <f t="shared" si="18"/>
        <v>PremiumSS</v>
      </c>
      <c r="E271" s="7" t="str">
        <f>IF(COUNTIF('R6追加前'!A:A,B271)=0,IF(OR(I271="PremiumSS",I271="PremiumSSw"),"R5only","R3less"),"")</f>
        <v>R5only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メタトロン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red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IFERROR(VLOOKUP(B271,input_433100!L:R,7,FALSE),VLOOKUP(tables_433100!C271,input_433100!A:H,8,FALSE))</f>
        <v>15316.190479999999</v>
      </c>
      <c r="P271" s="46">
        <f t="shared" ca="1" si="17"/>
        <v>1.3095238098484033E-3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input_433100!A$2</f>
        <v>433100</v>
      </c>
      <c r="B272" s="82">
        <v>850</v>
      </c>
      <c r="C272" s="7" t="str">
        <f t="shared" si="16"/>
        <v>PremiumSS5R5only</v>
      </c>
      <c r="D272" s="7" t="str">
        <f t="shared" si="18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バアル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green</v>
      </c>
      <c r="L272" s="7" t="str">
        <f>VLOOKUP(B272,[1]characters!$A:$K,11,FALSE)</f>
        <v>technical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IFERROR(VLOOKUP(B272,input_433100!L:R,7,FALSE),VLOOKUP(tables_433100!C272,input_433100!A:H,8,FALSE))</f>
        <v>4422.9565199999997</v>
      </c>
      <c r="P272" s="46">
        <f t="shared" ca="1" si="17"/>
        <v>3.7815975718161974E-4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input_433100!A$2</f>
        <v>433100</v>
      </c>
      <c r="B273" s="82">
        <v>852</v>
      </c>
      <c r="C273" s="7" t="str">
        <f t="shared" si="16"/>
        <v>Premium4R3less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サキエル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blue</v>
      </c>
      <c r="L273" s="7" t="str">
        <f>VLOOKUP(B273,[1]characters!$A:$K,11,FALSE)</f>
        <v>hp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IFERROR(VLOOKUP(B273,input_433100!L:R,7,FALSE),VLOOKUP(tables_433100!C273,input_433100!A:H,8,FALSE))</f>
        <v>93533.6</v>
      </c>
      <c r="P273" s="46">
        <f t="shared" ca="1" si="17"/>
        <v>7.9970588235225865E-3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input_433100!A$2</f>
        <v>433100</v>
      </c>
      <c r="B274" s="82">
        <v>853</v>
      </c>
      <c r="C274" s="7" t="str">
        <f t="shared" si="16"/>
        <v>Premium5R3less</v>
      </c>
      <c r="D274" s="7" t="str">
        <f t="shared" si="18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裂爪の天使 サキエル・ティア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IFERROR(VLOOKUP(B274,input_433100!L:R,7,FALSE),VLOOKUP(tables_433100!C274,input_433100!A:H,8,FALSE))</f>
        <v>3199.2</v>
      </c>
      <c r="P274" s="46">
        <f t="shared" ca="1" si="17"/>
        <v>2.735294117644724E-4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input_433100!A$2</f>
        <v>433100</v>
      </c>
      <c r="B275" s="82">
        <v>854</v>
      </c>
      <c r="C275" s="7" t="str">
        <f t="shared" si="16"/>
        <v>Premium4R3less</v>
      </c>
      <c r="D275" s="7" t="str">
        <f t="shared" si="18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フラウロス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yellow</v>
      </c>
      <c r="L275" s="7" t="str">
        <f>VLOOKUP(B275,[1]characters!$A:$K,11,FALSE)</f>
        <v>attack</v>
      </c>
      <c r="M275" s="7" t="str">
        <f>VLOOKUP(B275,[1]characters!$A:$M,13,FALSE)</f>
        <v>animal</v>
      </c>
      <c r="N275" s="7" t="str">
        <f>VLOOKUP(B275,[1]characters!$A:$G,7,FALSE)</f>
        <v>男性</v>
      </c>
      <c r="O275" s="45">
        <f ca="1">IFERROR(VLOOKUP(B275,input_433100!L:R,7,FALSE),VLOOKUP(tables_433100!C275,input_433100!A:H,8,FALSE))</f>
        <v>93533.6</v>
      </c>
      <c r="P275" s="46">
        <f t="shared" ca="1" si="17"/>
        <v>7.9970588235225865E-3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input_433100!A$2</f>
        <v>433100</v>
      </c>
      <c r="B276" s="82">
        <v>855</v>
      </c>
      <c r="C276" s="7" t="str">
        <f t="shared" si="16"/>
        <v>Premium5R3less</v>
      </c>
      <c r="D276" s="7" t="str">
        <f t="shared" si="18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豹魔の侠客 フラウロス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IFERROR(VLOOKUP(B276,input_433100!L:R,7,FALSE),VLOOKUP(tables_433100!C276,input_433100!A:H,8,FALSE))</f>
        <v>3199.2</v>
      </c>
      <c r="P276" s="46">
        <f t="shared" ca="1" si="17"/>
        <v>2.735294117644724E-4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input_433100!A$2</f>
        <v>433100</v>
      </c>
      <c r="B277" s="82">
        <v>862</v>
      </c>
      <c r="C277" s="7" t="str">
        <f t="shared" si="16"/>
        <v>Premium4R3lesscolor</v>
      </c>
      <c r="D277" s="7" t="str">
        <f t="shared" si="18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IFERROR(VLOOKUP(B277,input_433100!L:R,7,FALSE),VLOOKUP(tables_433100!C277,input_433100!A:H,8,FALSE))</f>
        <v>204069.77390999999</v>
      </c>
      <c r="P277" s="46">
        <f t="shared" ca="1" si="17"/>
        <v>1.7447826086681412E-2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input_433100!A$2</f>
        <v>433100</v>
      </c>
      <c r="B278" s="82">
        <v>863</v>
      </c>
      <c r="C278" s="7" t="str">
        <f t="shared" si="16"/>
        <v>Premium5R3lesscolor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IFERROR(VLOOKUP(B278,input_433100!L:R,7,FALSE),VLOOKUP(tables_433100!C278,input_433100!A:H,8,FALSE))</f>
        <v>14187.756520000001</v>
      </c>
      <c r="P278" s="46">
        <f t="shared" ca="1" si="17"/>
        <v>1.2130434781111397E-3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input_433100!A$2</f>
        <v>433100</v>
      </c>
      <c r="B279" s="82">
        <v>864</v>
      </c>
      <c r="C279" s="7" t="str">
        <f t="shared" si="16"/>
        <v>Premium4R3less</v>
      </c>
      <c r="D279" s="7" t="str">
        <f t="shared" si="18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IFERROR(VLOOKUP(B279,input_433100!L:R,7,FALSE),VLOOKUP(tables_433100!C279,input_433100!A:H,8,FALSE))</f>
        <v>93533.6</v>
      </c>
      <c r="P279" s="46">
        <f t="shared" ca="1" si="17"/>
        <v>7.9970588235225865E-3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input_433100!A$2</f>
        <v>433100</v>
      </c>
      <c r="B280" s="82">
        <v>865</v>
      </c>
      <c r="C280" s="7" t="str">
        <f t="shared" si="16"/>
        <v>Premium5R3less</v>
      </c>
      <c r="D280" s="7" t="str">
        <f t="shared" si="18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IFERROR(VLOOKUP(B280,input_433100!L:R,7,FALSE),VLOOKUP(tables_433100!C280,input_433100!A:H,8,FALSE))</f>
        <v>3199.2</v>
      </c>
      <c r="P280" s="46">
        <f t="shared" ca="1" si="17"/>
        <v>2.735294117644724E-4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input_433100!A$2</f>
        <v>433100</v>
      </c>
      <c r="B281" s="82">
        <v>866</v>
      </c>
      <c r="C281" s="7" t="str">
        <f t="shared" si="16"/>
        <v>PremiumSS5R5only</v>
      </c>
      <c r="D281" s="7" t="str">
        <f t="shared" si="18"/>
        <v>PremiumSS</v>
      </c>
      <c r="E281" s="7" t="str">
        <f>IF(COUNTIF('R6追加前'!A:A,B281)=0,IF(OR(I281="PremiumSS",I281="PremiumSSw"),"R5only","R3less"),"")</f>
        <v>R5only</v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IFERROR(VLOOKUP(B281,input_433100!L:R,7,FALSE),VLOOKUP(tables_433100!C281,input_433100!A:H,8,FALSE))</f>
        <v>4422.9565199999997</v>
      </c>
      <c r="P281" s="46">
        <f t="shared" ca="1" si="17"/>
        <v>3.7815975718161974E-4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input_433100!A$2</f>
        <v>433100</v>
      </c>
      <c r="B282" s="82">
        <v>868</v>
      </c>
      <c r="C282" s="7" t="str">
        <f t="shared" si="16"/>
        <v>PremiumSS5R5only</v>
      </c>
      <c r="D282" s="7" t="str">
        <f t="shared" si="18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IFERROR(VLOOKUP(B282,input_433100!L:R,7,FALSE),VLOOKUP(tables_433100!C282,input_433100!A:H,8,FALSE))</f>
        <v>4422.9565199999997</v>
      </c>
      <c r="P282" s="46">
        <f t="shared" ca="1" si="17"/>
        <v>3.7815975718161974E-4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input_433100!A$2</f>
        <v>433100</v>
      </c>
      <c r="B283" s="5">
        <v>742</v>
      </c>
      <c r="C283" s="7" t="str">
        <f t="shared" si="16"/>
        <v>PremiumSS5R5onlycolor</v>
      </c>
      <c r="D283" s="7" t="str">
        <f t="shared" si="18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9"/>
        <v>color</v>
      </c>
      <c r="H283" s="7" t="str">
        <f>VLOOKUP(B283,[1]characters!$A:$C,3,FALSE)</f>
        <v>アポロン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red</v>
      </c>
      <c r="L283" s="7" t="str">
        <f>VLOOKUP(B283,[1]characters!$A:$K,11,FALSE)</f>
        <v>attack</v>
      </c>
      <c r="M283" s="7" t="str">
        <f>VLOOKUP(B283,[1]characters!$A:$M,13,FALSE)</f>
        <v>god</v>
      </c>
      <c r="N283" s="7" t="str">
        <f>VLOOKUP(B283,[1]characters!$A:$G,7,FALSE)</f>
        <v>男性</v>
      </c>
      <c r="O283" s="45">
        <f ca="1">IFERROR(VLOOKUP(B283,input_433100!L:R,7,FALSE),VLOOKUP(tables_433100!C283,input_433100!A:H,8,FALSE))</f>
        <v>15316.190479999999</v>
      </c>
      <c r="P283" s="46">
        <f t="shared" ca="1" si="17"/>
        <v>1.3095238098484033E-3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input_433100!A$2</f>
        <v>433100</v>
      </c>
      <c r="B284" s="5">
        <v>744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ヘルメス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green</v>
      </c>
      <c r="L284" s="7" t="str">
        <f>VLOOKUP(B284,[1]characters!$A:$K,11,FALSE)</f>
        <v>technical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IFERROR(VLOOKUP(B284,input_433100!L:R,7,FALSE),VLOOKUP(tables_433100!C284,input_433100!A:H,8,FALSE))</f>
        <v>4422.9565199999997</v>
      </c>
      <c r="P284" s="46">
        <f t="shared" ca="1" si="17"/>
        <v>3.7815975718161974E-4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input_433100!A$2</f>
        <v>433100</v>
      </c>
      <c r="B285" s="5">
        <v>746</v>
      </c>
      <c r="C285" s="7" t="str">
        <f t="shared" ref="C285:C290" si="20">D285&amp;J285&amp;E285&amp;F285&amp;G285</f>
        <v>Premium4R3less</v>
      </c>
      <c r="D285" s="7" t="str">
        <f t="shared" si="18"/>
        <v>Premium</v>
      </c>
      <c r="E285" s="7" t="str">
        <f>IF(COUNTIF('R6追加前'!A:A,B285)=0,IF(OR(I285="PremiumSS",I285="PremiumSSw"),"R5only","R3less"),"")</f>
        <v>R3less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ノルン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IFERROR(VLOOKUP(B285,input_433100!L:R,7,FALSE),VLOOKUP(tables_433100!C285,input_433100!A:H,8,FALSE))</f>
        <v>93533.6</v>
      </c>
      <c r="P285" s="46">
        <f t="shared" ca="1" si="17"/>
        <v>7.9970588235225865E-3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input_433100!A$2</f>
        <v>433100</v>
      </c>
      <c r="B286" s="5">
        <v>747</v>
      </c>
      <c r="C286" s="7" t="str">
        <f t="shared" si="20"/>
        <v>Premium5R3less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IFERROR(VLOOKUP(B286,input_433100!L:R,7,FALSE),VLOOKUP(tables_433100!C286,input_433100!A:H,8,FALSE))</f>
        <v>3199.2</v>
      </c>
      <c r="P286" s="46">
        <f t="shared" ca="1" si="17"/>
        <v>2.735294117644724E-4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input_433100!A$2</f>
        <v>433100</v>
      </c>
      <c r="B287" s="5">
        <v>748</v>
      </c>
      <c r="C287" s="7" t="str">
        <f t="shared" si="20"/>
        <v>Premium4R3less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パーン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IFERROR(VLOOKUP(B287,input_433100!L:R,7,FALSE),VLOOKUP(tables_433100!C287,input_433100!A:H,8,FALSE))</f>
        <v>93533.6</v>
      </c>
      <c r="P287" s="46">
        <f t="shared" ca="1" si="17"/>
        <v>7.9970588235225865E-3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input_433100!A$2</f>
        <v>433100</v>
      </c>
      <c r="B288" s="5">
        <v>749</v>
      </c>
      <c r="C288" s="7" t="str">
        <f t="shared" si="20"/>
        <v>Premium5R3less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光喜の牧童 パーン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IFERROR(VLOOKUP(B288,input_433100!L:R,7,FALSE),VLOOKUP(tables_433100!C288,input_433100!A:H,8,FALSE))</f>
        <v>3199.2</v>
      </c>
      <c r="P288" s="46">
        <f t="shared" ca="1" si="17"/>
        <v>2.735294117644724E-4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input_433100!A$2</f>
        <v>433100</v>
      </c>
      <c r="B289" s="5">
        <v>937</v>
      </c>
      <c r="C289" s="7" t="str">
        <f t="shared" si="20"/>
        <v>PremiumSS5R5onlycolor</v>
      </c>
      <c r="D289" s="7" t="str">
        <f t="shared" si="18"/>
        <v>PremiumSS</v>
      </c>
      <c r="E289" s="7" t="str">
        <f>IF(COUNTIF('R6追加前'!A:A,B289)=0,IF(OR(I289="PremiumSS",I289="PremiumSSw"),"R5only","R3less"),"")</f>
        <v>R5only</v>
      </c>
      <c r="F289" s="7" t="str">
        <f>IF(COUNTIF('R6開放'!A:A,B289)&gt;0,"R6release","")</f>
        <v/>
      </c>
      <c r="G289" s="7" t="str">
        <f t="shared" si="19"/>
        <v>color</v>
      </c>
      <c r="H289" s="7" t="str">
        <f>VLOOKUP(B289,[1]characters!$A:$C,3,FALSE)</f>
        <v>ナポレオン</v>
      </c>
      <c r="I289" s="7" t="str">
        <f>VLOOKUP(B289,[1]characters!$A:$J,10,FALSE)</f>
        <v>PremiumSS</v>
      </c>
      <c r="J289" s="7">
        <f>VLOOKUP(B289,[1]characters!$A:$I,9,FALSE)</f>
        <v>5</v>
      </c>
      <c r="K289" s="7" t="str">
        <f>VLOOKUP(B289,[1]characters!$A:$H,8,FALSE)</f>
        <v>red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男性</v>
      </c>
      <c r="O289" s="45">
        <f ca="1">IFERROR(VLOOKUP(B289,input_433100!L:R,7,FALSE),VLOOKUP(tables_433100!C289,input_433100!A:H,8,FALSE))</f>
        <v>15316.190479999999</v>
      </c>
      <c r="P289" s="46">
        <f t="shared" ca="1" si="17"/>
        <v>1.3095238098484033E-3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input_433100!A$2</f>
        <v>433100</v>
      </c>
      <c r="B290" s="5">
        <v>939</v>
      </c>
      <c r="C290" s="7" t="str">
        <f t="shared" si="20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バスティーユ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hp</v>
      </c>
      <c r="M290" s="7" t="str">
        <f>VLOOKUP(B290,[1]characters!$A:$M,13,FALSE)</f>
        <v>unknown</v>
      </c>
      <c r="N290" s="7" t="str">
        <f>VLOOKUP(B290,[1]characters!$A:$G,7,FALSE)</f>
        <v>男性</v>
      </c>
      <c r="O290" s="45">
        <f ca="1">IFERROR(VLOOKUP(B290,input_433100!L:R,7,FALSE),VLOOKUP(tables_433100!C290,input_433100!A:H,8,FALSE))</f>
        <v>93533.6</v>
      </c>
      <c r="P290" s="46">
        <f t="shared" ca="1" si="17"/>
        <v>7.9970588235225865E-3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input_433100!A$2</f>
        <v>433100</v>
      </c>
      <c r="B291" s="5">
        <v>940</v>
      </c>
      <c r="C291" s="7" t="str">
        <f t="shared" ref="C291:C300" si="21">D291&amp;J291&amp;E291&amp;F291&amp;G291</f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不壊の大要塞 バスティーユ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IFERROR(VLOOKUP(B291,input_433100!L:R,7,FALSE),VLOOKUP(tables_433100!C291,input_433100!A:H,8,FALSE))</f>
        <v>3199.2</v>
      </c>
      <c r="P291" s="46">
        <f t="shared" ca="1" si="17"/>
        <v>2.735294117644724E-4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input_433100!A$2</f>
        <v>433100</v>
      </c>
      <c r="B292" s="5">
        <v>941</v>
      </c>
      <c r="C292" s="7" t="str">
        <f t="shared" si="21"/>
        <v>PremiumSS5R5only</v>
      </c>
      <c r="D292" s="7" t="str">
        <f t="shared" si="18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アントワネット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blue</v>
      </c>
      <c r="L292" s="7" t="str">
        <f>VLOOKUP(B292,[1]characters!$A:$K,11,FALSE)</f>
        <v>technical</v>
      </c>
      <c r="M292" s="7" t="str">
        <f>VLOOKUP(B292,[1]characters!$A:$M,13,FALSE)</f>
        <v>human</v>
      </c>
      <c r="N292" s="7" t="str">
        <f>VLOOKUP(B292,[1]characters!$A:$G,7,FALSE)</f>
        <v>男性</v>
      </c>
      <c r="O292" s="45">
        <f ca="1">IFERROR(VLOOKUP(B292,input_433100!L:R,7,FALSE),VLOOKUP(tables_433100!C292,input_433100!A:H,8,FALSE))</f>
        <v>4422.9565199999997</v>
      </c>
      <c r="P292" s="46">
        <f t="shared" ca="1" si="17"/>
        <v>3.7815975718161974E-4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input_433100!A$2</f>
        <v>433100</v>
      </c>
      <c r="B293" s="5">
        <v>943</v>
      </c>
      <c r="C293" s="7" t="str">
        <f t="shared" si="21"/>
        <v>PremiumSS5R5only</v>
      </c>
      <c r="D293" s="7" t="str">
        <f t="shared" si="18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サンソン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yellow</v>
      </c>
      <c r="L293" s="7" t="str">
        <f>VLOOKUP(B293,[1]characters!$A:$K,11,FALSE)</f>
        <v>attack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IFERROR(VLOOKUP(B293,input_433100!L:R,7,FALSE),VLOOKUP(tables_433100!C293,input_433100!A:H,8,FALSE))</f>
        <v>4422.9565199999997</v>
      </c>
      <c r="P293" s="46">
        <f t="shared" ca="1" si="17"/>
        <v>3.7815975718161974E-4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input_433100!A$2</f>
        <v>433100</v>
      </c>
      <c r="B294" s="5">
        <v>1012</v>
      </c>
      <c r="C294" s="7" t="str">
        <f t="shared" si="21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ラー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red</v>
      </c>
      <c r="L294" s="7" t="str">
        <f>VLOOKUP(B294,[1]characters!$A:$K,11,FALSE)</f>
        <v>balance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5">
        <f ca="1">IFERROR(VLOOKUP(B294,input_433100!L:R,7,FALSE),VLOOKUP(tables_433100!C294,input_433100!A:H,8,FALSE))</f>
        <v>15316.190479999999</v>
      </c>
      <c r="P294" s="46">
        <f t="shared" ca="1" si="17"/>
        <v>1.3095238098484033E-3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input_433100!A$2</f>
        <v>433100</v>
      </c>
      <c r="B295" s="5">
        <v>1014</v>
      </c>
      <c r="C295" s="7" t="str">
        <f t="shared" si="21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イシス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green</v>
      </c>
      <c r="L295" s="7" t="str">
        <f>VLOOKUP(B295,[1]characters!$A:$K,11,FALSE)</f>
        <v>hp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IFERROR(VLOOKUP(B295,input_433100!L:R,7,FALSE),VLOOKUP(tables_433100!C295,input_433100!A:H,8,FALSE))</f>
        <v>4422.9565199999997</v>
      </c>
      <c r="P295" s="46">
        <f t="shared" ca="1" si="17"/>
        <v>3.7815975718161974E-4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input_433100!A$2</f>
        <v>433100</v>
      </c>
      <c r="B296" s="5">
        <v>1016</v>
      </c>
      <c r="C296" s="7" t="str">
        <f t="shared" si="21"/>
        <v>Premium4R3less</v>
      </c>
      <c r="D296" s="7" t="str">
        <f t="shared" si="18"/>
        <v>Premium</v>
      </c>
      <c r="E296" s="7" t="str">
        <f>IF(COUNTIF('R6追加前'!A:A,B296)=0,IF(OR(I296="PremiumSS",I296="PremiumSSw"),"R5only","R3less"),"")</f>
        <v>R3less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ハトホル</v>
      </c>
      <c r="I296" s="7" t="str">
        <f>VLOOKUP(B296,[1]characters!$A:$J,10,FALSE)</f>
        <v>PremiumS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heal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IFERROR(VLOOKUP(B296,input_433100!L:R,7,FALSE),VLOOKUP(tables_433100!C296,input_433100!A:H,8,FALSE))</f>
        <v>93533.6</v>
      </c>
      <c r="P296" s="46">
        <f t="shared" ca="1" si="17"/>
        <v>7.9970588235225865E-3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input_433100!A$2</f>
        <v>433100</v>
      </c>
      <c r="B297" s="5">
        <v>1017</v>
      </c>
      <c r="C297" s="7" t="str">
        <f t="shared" si="21"/>
        <v>Premium5R3less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命瞳の慈母神 ハトホル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IFERROR(VLOOKUP(B297,input_433100!L:R,7,FALSE),VLOOKUP(tables_433100!C297,input_433100!A:H,8,FALSE))</f>
        <v>3199.2</v>
      </c>
      <c r="P297" s="46">
        <f t="shared" ca="1" si="17"/>
        <v>2.735294117644724E-4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input_433100!A$2</f>
        <v>433100</v>
      </c>
      <c r="B298" s="5">
        <v>1018</v>
      </c>
      <c r="C298" s="7" t="str">
        <f t="shared" si="21"/>
        <v>PremiumSS5R5only</v>
      </c>
      <c r="D298" s="7" t="str">
        <f t="shared" si="18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バステト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attack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IFERROR(VLOOKUP(B298,input_433100!L:R,7,FALSE),VLOOKUP(tables_433100!C298,input_433100!A:H,8,FALSE))</f>
        <v>4422.9565199999997</v>
      </c>
      <c r="P298" s="46">
        <f t="shared" ca="1" si="17"/>
        <v>3.7815975718161974E-4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input_433100!A$2</f>
        <v>433100</v>
      </c>
      <c r="B299" s="5">
        <v>1026</v>
      </c>
      <c r="C299" s="7" t="str">
        <f t="shared" si="21"/>
        <v>Premium4R3lesscolor</v>
      </c>
      <c r="D299" s="7" t="str">
        <f t="shared" si="18"/>
        <v>Premium</v>
      </c>
      <c r="E299" s="7" t="str">
        <f>IF(COUNTIF('R6追加前'!A:A,B299)=0,IF(OR(I299="PremiumSS",I299="PremiumSSw"),"R5only","R3less"),"")</f>
        <v>R3less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蝉丸</v>
      </c>
      <c r="I299" s="7" t="str">
        <f>VLOOKUP(B299,[1]characters!$A:$J,10,FALSE)</f>
        <v>PremiumS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attack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IFERROR(VLOOKUP(B299,input_433100!L:R,7,FALSE),VLOOKUP(tables_433100!C299,input_433100!A:H,8,FALSE))</f>
        <v>204069.77390999999</v>
      </c>
      <c r="P299" s="46">
        <f t="shared" ca="1" si="17"/>
        <v>1.7447826086681412E-2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input_433100!A$2</f>
        <v>433100</v>
      </c>
      <c r="B300" s="5">
        <v>1027</v>
      </c>
      <c r="C300" s="7" t="str">
        <f t="shared" si="21"/>
        <v>Premium5R3lesscolor</v>
      </c>
      <c r="D300" s="7" t="str">
        <f t="shared" si="18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9"/>
        <v>color</v>
      </c>
      <c r="H300" s="7" t="str">
        <f>VLOOKUP(B300,[1]characters!$A:$C,3,FALSE)</f>
        <v>弾丸多重奏 蝉丸</v>
      </c>
      <c r="I300" s="7" t="str">
        <f>VLOOKUP(B300,[1]characters!$A:$J,10,FALSE)</f>
        <v>PremiumS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IFERROR(VLOOKUP(B300,input_433100!L:R,7,FALSE),VLOOKUP(tables_433100!C300,input_433100!A:H,8,FALSE))</f>
        <v>14187.756520000001</v>
      </c>
      <c r="P300" s="46">
        <f t="shared" ca="1" si="17"/>
        <v>1.2130434781111397E-3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input_433100!A$2</f>
        <v>433100</v>
      </c>
      <c r="B301" s="5">
        <v>1028</v>
      </c>
      <c r="C301" s="7" t="str">
        <f t="shared" ref="C301:C305" si="22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牛若丸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green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IFERROR(VLOOKUP(B301,input_433100!L:R,7,FALSE),VLOOKUP(tables_433100!C301,input_433100!A:H,8,FALSE))</f>
        <v>4422.9565199999997</v>
      </c>
      <c r="P301" s="46">
        <f t="shared" ca="1" si="17"/>
        <v>3.7815975718161974E-4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input_433100!A$2</f>
        <v>433100</v>
      </c>
      <c r="B302" s="5">
        <v>1031</v>
      </c>
      <c r="C302" s="7" t="str">
        <f t="shared" si="22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紫式部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IFERROR(VLOOKUP(B302,input_433100!L:R,7,FALSE),VLOOKUP(tables_433100!C302,input_433100!A:H,8,FALSE))</f>
        <v>4422.9565199999997</v>
      </c>
      <c r="P302" s="46">
        <f t="shared" ca="1" si="17"/>
        <v>3.7815975718161974E-4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input_433100!A$2</f>
        <v>433100</v>
      </c>
      <c r="B303" s="5">
        <v>1033</v>
      </c>
      <c r="C303" s="7" t="str">
        <f t="shared" si="22"/>
        <v>PremiumSS5R5only</v>
      </c>
      <c r="D303" s="7" t="str">
        <f t="shared" si="18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清少納言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heal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IFERROR(VLOOKUP(B303,input_433100!L:R,7,FALSE),VLOOKUP(tables_433100!C303,input_433100!A:H,8,FALSE))</f>
        <v>4422.9565199999997</v>
      </c>
      <c r="P303" s="46">
        <f t="shared" ca="1" si="17"/>
        <v>3.7815975718161974E-4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input_433100!A$2</f>
        <v>433100</v>
      </c>
      <c r="B304" s="5">
        <v>1067</v>
      </c>
      <c r="C304" s="7" t="str">
        <f t="shared" si="22"/>
        <v>Premium4R3lesscolor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ウシュムガル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red</v>
      </c>
      <c r="L304" s="7" t="str">
        <f>VLOOKUP(B304,[1]characters!$A:$K,11,FALSE)</f>
        <v>balance</v>
      </c>
      <c r="M304" s="7" t="str">
        <f>VLOOKUP(B304,[1]characters!$A:$M,13,FALSE)</f>
        <v>dragon</v>
      </c>
      <c r="N304" s="7" t="str">
        <f>VLOOKUP(B304,[1]characters!$A:$G,7,FALSE)</f>
        <v>男性</v>
      </c>
      <c r="O304" s="45">
        <f ca="1">IFERROR(VLOOKUP(B304,input_433100!L:R,7,FALSE),VLOOKUP(tables_433100!C304,input_433100!A:H,8,FALSE))</f>
        <v>204069.77390999999</v>
      </c>
      <c r="P304" s="46">
        <f t="shared" ca="1" si="17"/>
        <v>1.7447826086681412E-2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input_433100!A$2</f>
        <v>433100</v>
      </c>
      <c r="B305" s="5">
        <v>1068</v>
      </c>
      <c r="C305" s="7" t="str">
        <f t="shared" si="22"/>
        <v>Premium5R3lesscolor</v>
      </c>
      <c r="D305" s="7" t="str">
        <f t="shared" si="18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9"/>
        <v>color</v>
      </c>
      <c r="H305" s="7" t="str">
        <f>VLOOKUP(B305,[1]characters!$A:$C,3,FALSE)</f>
        <v>想母の羽龍 ウシュムガル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IFERROR(VLOOKUP(B305,input_433100!L:R,7,FALSE),VLOOKUP(tables_433100!C305,input_433100!A:H,8,FALSE))</f>
        <v>14187.756520000001</v>
      </c>
      <c r="P305" s="46">
        <f t="shared" ca="1" si="17"/>
        <v>1.2130434781111397E-3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input_433100!A$2</f>
        <v>433100</v>
      </c>
      <c r="B306" s="5">
        <v>1069</v>
      </c>
      <c r="C306" s="7" t="str">
        <f t="shared" ref="C306:C310" si="23">D306&amp;J306&amp;E306&amp;F306&amp;G306</f>
        <v>PremiumSS5R5only</v>
      </c>
      <c r="D306" s="7" t="str">
        <f t="shared" ref="D306:D310" si="24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イシュタル</v>
      </c>
      <c r="I306" s="7" t="str">
        <f>VLOOKUP(B306,[1]characters!$A:$J,10,FALSE)</f>
        <v>PremiumSS</v>
      </c>
      <c r="J306" s="7">
        <f>VLOOKUP(B306,[1]characters!$A:$I,9,FALSE)</f>
        <v>5</v>
      </c>
      <c r="K306" s="7" t="str">
        <f>VLOOKUP(B306,[1]characters!$A:$H,8,FALSE)</f>
        <v>green</v>
      </c>
      <c r="L306" s="7" t="str">
        <f>VLOOKUP(B306,[1]characters!$A:$K,11,FALSE)</f>
        <v>technical</v>
      </c>
      <c r="M306" s="7" t="str">
        <f>VLOOKUP(B306,[1]characters!$A:$M,13,FALSE)</f>
        <v>god</v>
      </c>
      <c r="N306" s="7" t="str">
        <f>VLOOKUP(B306,[1]characters!$A:$G,7,FALSE)</f>
        <v>男性</v>
      </c>
      <c r="O306" s="45">
        <f ca="1">IFERROR(VLOOKUP(B306,input_433100!L:R,7,FALSE),VLOOKUP(tables_433100!C306,input_433100!A:H,8,FALSE))</f>
        <v>4422.9565199999997</v>
      </c>
      <c r="P306" s="46">
        <f t="shared" ref="P306:P310" ca="1" si="25">O306/SUM(O:O)</f>
        <v>3.7815975718161974E-4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input_433100!A$2</f>
        <v>433100</v>
      </c>
      <c r="B307" s="5">
        <v>1072</v>
      </c>
      <c r="C307" s="7" t="str">
        <f t="shared" si="23"/>
        <v>PremiumSS5R5only</v>
      </c>
      <c r="D307" s="7" t="str">
        <f t="shared" si="2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エンキドゥ</v>
      </c>
      <c r="I307" s="7" t="str">
        <f>VLOOKUP(B307,[1]characters!$A:$J,10,FALSE)</f>
        <v>PremiumSSw</v>
      </c>
      <c r="J307" s="7">
        <f>VLOOKUP(B307,[1]characters!$A:$I,9,FALSE)</f>
        <v>5</v>
      </c>
      <c r="K307" s="7" t="str">
        <f>VLOOKUP(B307,[1]characters!$A:$H,8,FALSE)</f>
        <v>blue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IFERROR(VLOOKUP(B307,input_433100!L:R,7,FALSE),VLOOKUP(tables_433100!C307,input_433100!A:H,8,FALSE))</f>
        <v>4422.9565199999997</v>
      </c>
      <c r="P307" s="46">
        <f t="shared" ca="1" si="25"/>
        <v>3.7815975718161974E-4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input_433100!A$2</f>
        <v>433100</v>
      </c>
      <c r="B308" s="5">
        <v>1074</v>
      </c>
      <c r="C308" s="7" t="str">
        <f t="shared" si="23"/>
        <v>PremiumSS5R5only</v>
      </c>
      <c r="D308" s="7" t="str">
        <f t="shared" si="2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マルドゥク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yellow</v>
      </c>
      <c r="L308" s="7" t="str">
        <f>VLOOKUP(B308,[1]characters!$A:$K,11,FALSE)</f>
        <v>technical</v>
      </c>
      <c r="M308" s="7" t="str">
        <f>VLOOKUP(B308,[1]characters!$A:$M,13,FALSE)</f>
        <v>god</v>
      </c>
      <c r="N308" s="7" t="str">
        <f>VLOOKUP(B308,[1]characters!$A:$G,7,FALSE)</f>
        <v>男性</v>
      </c>
      <c r="O308" s="45">
        <f ca="1">IFERROR(VLOOKUP(B308,input_433100!L:R,7,FALSE),VLOOKUP(tables_433100!C308,input_433100!A:H,8,FALSE))</f>
        <v>4422.9565199999997</v>
      </c>
      <c r="P308" s="46">
        <f t="shared" ca="1" si="25"/>
        <v>3.7815975718161974E-4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input_433100!A$2</f>
        <v>433100</v>
      </c>
      <c r="B309" s="5">
        <v>1104</v>
      </c>
      <c r="C309" s="7" t="str">
        <f t="shared" si="23"/>
        <v>Premium4R3less</v>
      </c>
      <c r="D309" s="7" t="str">
        <f t="shared" si="24"/>
        <v>Premium</v>
      </c>
      <c r="E309" s="7" t="str">
        <f>IF(COUNTIF('R6追加前'!A:A,B309)=0,IF(OR(I309="PremiumSS",I309="PremiumSSw"),"R5only","R3less"),"")</f>
        <v>R3less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クリムト</v>
      </c>
      <c r="I309" s="7" t="str">
        <f>VLOOKUP(B309,[1]characters!$A:$J,10,FALSE)</f>
        <v>PremiumS</v>
      </c>
      <c r="J309" s="7">
        <f>VLOOKUP(B309,[1]characters!$A:$I,9,FALSE)</f>
        <v>4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不明</v>
      </c>
      <c r="O309" s="45">
        <f ca="1">IFERROR(VLOOKUP(B309,input_433100!L:R,7,FALSE),VLOOKUP(tables_433100!C309,input_433100!A:H,8,FALSE))</f>
        <v>93533.6</v>
      </c>
      <c r="P309" s="46">
        <f t="shared" ca="1" si="25"/>
        <v>7.9970588235225865E-3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input_433100!A$2</f>
        <v>433100</v>
      </c>
      <c r="B310" s="5">
        <v>1105</v>
      </c>
      <c r="C310" s="7" t="str">
        <f t="shared" si="23"/>
        <v>Premium5R3less</v>
      </c>
      <c r="D310" s="7" t="str">
        <f t="shared" si="2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甘美なる背徳 クリムト</v>
      </c>
      <c r="I310" s="7" t="str">
        <f>VLOOKUP(B310,[1]characters!$A:$J,10,FALSE)</f>
        <v>PremiumS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IFERROR(VLOOKUP(B310,input_433100!L:R,7,FALSE),VLOOKUP(tables_433100!C310,input_433100!A:H,8,FALSE))</f>
        <v>3199.2</v>
      </c>
      <c r="P310" s="46">
        <f t="shared" ca="1" si="25"/>
        <v>2.735294117644724E-4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input_433100!A$2</f>
        <v>433100</v>
      </c>
      <c r="B311" s="5">
        <v>1106</v>
      </c>
      <c r="C311" s="7" t="str">
        <f t="shared" ref="C311:C319" si="26">D311&amp;J311&amp;E311&amp;F311&amp;G311</f>
        <v>PremiumSS5R5only</v>
      </c>
      <c r="D311" s="7" t="str">
        <f t="shared" ref="D311:D319" si="27">IF(OR(I311="PremiumSS",I311="PremiumSSw"),"PremiumSS",IF(I311="PremiumSSS",I311,IF(I311="PremiumW",I311,"Premium")))</f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ラファエロ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yellow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IFERROR(VLOOKUP(B311,input_433100!L:R,7,FALSE),VLOOKUP(tables_433100!C311,input_433100!A:H,8,FALSE))</f>
        <v>4422.9565199999997</v>
      </c>
      <c r="P311" s="46">
        <f t="shared" ref="P311:P319" ca="1" si="28">O311/SUM(O:O)</f>
        <v>3.7815975718161974E-4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input_433100!A$2</f>
        <v>433100</v>
      </c>
      <c r="B312" s="5">
        <v>1102</v>
      </c>
      <c r="C312" s="7" t="str">
        <f t="shared" si="26"/>
        <v>PremiumSS5R5only</v>
      </c>
      <c r="D312" s="7" t="str">
        <f t="shared" si="27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IFERROR(VLOOKUP(B312,input_433100!L:R,7,FALSE),VLOOKUP(tables_433100!C312,input_433100!A:H,8,FALSE))</f>
        <v>4422.9565199999997</v>
      </c>
      <c r="P312" s="46">
        <f t="shared" ca="1" si="28"/>
        <v>3.7815975718161974E-4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input_433100!A$2</f>
        <v>433100</v>
      </c>
      <c r="B313" s="5">
        <v>1100</v>
      </c>
      <c r="C313" s="7" t="str">
        <f t="shared" si="26"/>
        <v>PremiumSS5R5onlycolor</v>
      </c>
      <c r="D313" s="7" t="str">
        <f t="shared" si="27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北斎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red</v>
      </c>
      <c r="L313" s="7" t="str">
        <f>VLOOKUP(B313,[1]characters!$A:$K,11,FALSE)</f>
        <v>attack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IFERROR(VLOOKUP(B313,input_433100!L:R,7,FALSE),VLOOKUP(tables_433100!C313,input_433100!A:H,8,FALSE))</f>
        <v>15316.190479999999</v>
      </c>
      <c r="P313" s="46">
        <f t="shared" ca="1" si="28"/>
        <v>1.3095238098484033E-3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input_433100!A$2</f>
        <v>433100</v>
      </c>
      <c r="B314" s="5">
        <v>1137</v>
      </c>
      <c r="C314" s="7" t="str">
        <f t="shared" si="26"/>
        <v>PremiumSS5R5onlycolor</v>
      </c>
      <c r="D314" s="7" t="str">
        <f t="shared" si="27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諸葛亮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technical</v>
      </c>
      <c r="M314" s="7" t="str">
        <f>VLOOKUP(B314,[1]characters!$A:$M,13,FALSE)</f>
        <v>samurai</v>
      </c>
      <c r="N314" s="7" t="str">
        <f>VLOOKUP(B314,[1]characters!$A:$G,7,FALSE)</f>
        <v>不明</v>
      </c>
      <c r="O314" s="45">
        <f ca="1">IFERROR(VLOOKUP(B314,input_433100!L:R,7,FALSE),VLOOKUP(tables_433100!C314,input_433100!A:H,8,FALSE))</f>
        <v>15316.190479999999</v>
      </c>
      <c r="P314" s="46">
        <f t="shared" ca="1" si="28"/>
        <v>1.3095238098484033E-3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input_433100!A$2</f>
        <v>433100</v>
      </c>
      <c r="B315" s="5">
        <v>1139</v>
      </c>
      <c r="C315" s="7" t="str">
        <f t="shared" si="26"/>
        <v>PremiumSS5R5only</v>
      </c>
      <c r="D315" s="7" t="str">
        <f t="shared" si="27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趙雲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IFERROR(VLOOKUP(B315,input_433100!L:R,7,FALSE),VLOOKUP(tables_433100!C315,input_433100!A:H,8,FALSE))</f>
        <v>4422.9565199999997</v>
      </c>
      <c r="P315" s="46">
        <f t="shared" ca="1" si="28"/>
        <v>3.7815975718161974E-4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input_433100!A$2</f>
        <v>433100</v>
      </c>
      <c r="B316" s="5">
        <v>1141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月英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IFERROR(VLOOKUP(B316,input_433100!L:R,7,FALSE),VLOOKUP(tables_433100!C316,input_433100!A:H,8,FALSE))</f>
        <v>4422.9565199999997</v>
      </c>
      <c r="P316" s="46">
        <f t="shared" ca="1" si="28"/>
        <v>3.7815975718161974E-4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input_433100!A$2</f>
        <v>433100</v>
      </c>
      <c r="B317" s="5">
        <v>1143</v>
      </c>
      <c r="C317" s="7" t="str">
        <f t="shared" si="26"/>
        <v>Premium4R3less</v>
      </c>
      <c r="D317" s="7" t="str">
        <f t="shared" si="27"/>
        <v>Premium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黄忠</v>
      </c>
      <c r="I317" s="7" t="str">
        <f>VLOOKUP(B317,[1]characters!$A:$J,10,FALSE)</f>
        <v>PremiumS</v>
      </c>
      <c r="J317" s="7">
        <f>VLOOKUP(B317,[1]characters!$A:$I,9,FALSE)</f>
        <v>4</v>
      </c>
      <c r="K317" s="7" t="str">
        <f>VLOOKUP(B317,[1]characters!$A:$H,8,FALSE)</f>
        <v>yellow</v>
      </c>
      <c r="L317" s="7" t="str">
        <f>VLOOKUP(B317,[1]characters!$A:$K,11,FALSE)</f>
        <v>technical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IFERROR(VLOOKUP(B317,input_433100!L:R,7,FALSE),VLOOKUP(tables_433100!C317,input_433100!A:H,8,FALSE))</f>
        <v>93533.6</v>
      </c>
      <c r="P317" s="46">
        <f t="shared" ca="1" si="28"/>
        <v>7.9970588235225865E-3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input_433100!A$2</f>
        <v>433100</v>
      </c>
      <c r="B318" s="5">
        <v>1144</v>
      </c>
      <c r="C318" s="7" t="str">
        <f t="shared" si="26"/>
        <v>Premium5R3less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白星を射る老将 黄忠</v>
      </c>
      <c r="I318" s="7" t="str">
        <f>VLOOKUP(B318,[1]characters!$A:$J,10,FALSE)</f>
        <v>PremiumS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IFERROR(VLOOKUP(B318,input_433100!L:R,7,FALSE),VLOOKUP(tables_433100!C318,input_433100!A:H,8,FALSE))</f>
        <v>3199.2</v>
      </c>
      <c r="P318" s="46">
        <f t="shared" ca="1" si="28"/>
        <v>2.735294117644724E-4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input_433100!A$2</f>
        <v>433100</v>
      </c>
      <c r="B319" s="5">
        <v>1153</v>
      </c>
      <c r="C319" s="7" t="str">
        <f t="shared" si="26"/>
        <v>PremiumSS5R5only</v>
      </c>
      <c r="D319" s="7" t="str">
        <f t="shared" si="27"/>
        <v>PremiumSS</v>
      </c>
      <c r="E319" s="7" t="str">
        <f>IF(COUNTIF('R6追加前'!A:A,B319)=0,IF(OR(I319="PremiumSS",I319="PremiumSSw"),"R5only","R3less"),"")</f>
        <v>R5only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ラクシュミー</v>
      </c>
      <c r="I319" s="7" t="str">
        <f>VLOOKUP(B319,[1]characters!$A:$J,10,FALSE)</f>
        <v>PremiumSSW</v>
      </c>
      <c r="J319" s="7">
        <f>VLOOKUP(B319,[1]characters!$A:$I,9,FALSE)</f>
        <v>5</v>
      </c>
      <c r="K319" s="7" t="str">
        <f>VLOOKUP(B319,[1]characters!$A:$H,8,FALSE)</f>
        <v>green</v>
      </c>
      <c r="L319" s="7" t="str">
        <f>VLOOKUP(B319,[1]characters!$A:$K,11,FALSE)</f>
        <v>hp</v>
      </c>
      <c r="M319" s="7" t="str">
        <f>VLOOKUP(B319,[1]characters!$A:$M,13,FALSE)</f>
        <v>god</v>
      </c>
      <c r="N319" s="7" t="str">
        <f>VLOOKUP(B319,[1]characters!$A:$G,7,FALSE)</f>
        <v>不明</v>
      </c>
      <c r="O319" s="45">
        <f ca="1">IFERROR(VLOOKUP(B319,input_433100!L:R,7,FALSE),VLOOKUP(tables_433100!C319,input_433100!A:H,8,FALSE))</f>
        <v>4422.9565199999997</v>
      </c>
      <c r="P319" s="46">
        <f t="shared" ca="1" si="28"/>
        <v>3.7815975718161974E-4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input_433100!A$2</f>
        <v>433100</v>
      </c>
      <c r="B320" s="5">
        <v>1155</v>
      </c>
      <c r="C320" s="7" t="str">
        <f t="shared" ref="C320:C324" si="29">D320&amp;J320&amp;E320&amp;F320&amp;G320</f>
        <v>PremiumSS5R5only</v>
      </c>
      <c r="D320" s="7" t="str">
        <f t="shared" ref="D320:D324" si="30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ref="G320:G324" si="31">IF(K320="red","color","")</f>
        <v/>
      </c>
      <c r="H320" s="7" t="str">
        <f>VLOOKUP(B320,[1]characters!$A:$C,3,FALSE)</f>
        <v>ドゥルガー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blue</v>
      </c>
      <c r="L320" s="7" t="str">
        <f>VLOOKUP(B320,[1]characters!$A:$K,11,FALSE)</f>
        <v>balance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IFERROR(VLOOKUP(B320,input_433100!L:R,7,FALSE),VLOOKUP(tables_433100!C320,input_433100!A:H,8,FALSE))</f>
        <v>4422.9565199999997</v>
      </c>
      <c r="P320" s="46">
        <f t="shared" ref="P320:P324" ca="1" si="32">O320/SUM(O:O)</f>
        <v>3.7815975718161974E-4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input_433100!A$2</f>
        <v>433100</v>
      </c>
      <c r="B321" s="5">
        <v>1157</v>
      </c>
      <c r="C321" s="7" t="str">
        <f t="shared" si="29"/>
        <v>PremiumSS5R5only</v>
      </c>
      <c r="D321" s="7" t="str">
        <f t="shared" si="30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31"/>
        <v/>
      </c>
      <c r="H321" s="7" t="str">
        <f>VLOOKUP(B321,[1]characters!$A:$C,3,FALSE)</f>
        <v>インドラ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yellow</v>
      </c>
      <c r="L321" s="7" t="str">
        <f>VLOOKUP(B321,[1]characters!$A:$K,11,FALSE)</f>
        <v>attack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IFERROR(VLOOKUP(B321,input_433100!L:R,7,FALSE),VLOOKUP(tables_433100!C321,input_433100!A:H,8,FALSE))</f>
        <v>4422.9565199999997</v>
      </c>
      <c r="P321" s="46">
        <f t="shared" ca="1" si="32"/>
        <v>3.7815975718161974E-4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input_433100!A$2</f>
        <v>433100</v>
      </c>
      <c r="B322" s="5">
        <v>1151</v>
      </c>
      <c r="C322" s="7" t="str">
        <f t="shared" si="29"/>
        <v>Premium4R3lesscolor</v>
      </c>
      <c r="D322" s="7" t="str">
        <f t="shared" si="30"/>
        <v>Premium</v>
      </c>
      <c r="E322" s="7" t="str">
        <f>IF(COUNTIF('R6追加前'!A:A,B322)=0,IF(OR(I322="PremiumSS",I322="PremiumSSw"),"R5only","R3less"),"")</f>
        <v>R3less</v>
      </c>
      <c r="F322" s="7" t="str">
        <f>IF(COUNTIF('R6開放'!A:A,B322)&gt;0,"R6release","")</f>
        <v/>
      </c>
      <c r="G322" s="7" t="str">
        <f t="shared" si="31"/>
        <v>color</v>
      </c>
      <c r="H322" s="7" t="str">
        <f>VLOOKUP(B322,[1]characters!$A:$C,3,FALSE)</f>
        <v>ガネーシャ</v>
      </c>
      <c r="I322" s="7" t="str">
        <f>VLOOKUP(B322,[1]characters!$A:$J,10,FALSE)</f>
        <v>PremiumS</v>
      </c>
      <c r="J322" s="7">
        <f>VLOOKUP(B322,[1]characters!$A:$I,9,FALSE)</f>
        <v>4</v>
      </c>
      <c r="K322" s="7" t="str">
        <f>VLOOKUP(B322,[1]characters!$A:$H,8,FALSE)</f>
        <v>red</v>
      </c>
      <c r="L322" s="7" t="str">
        <f>VLOOKUP(B322,[1]characters!$A:$K,11,FALSE)</f>
        <v>heal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IFERROR(VLOOKUP(B322,input_433100!L:R,7,FALSE),VLOOKUP(tables_433100!C322,input_433100!A:H,8,FALSE))</f>
        <v>204069.77390999999</v>
      </c>
      <c r="P322" s="46">
        <f t="shared" ca="1" si="32"/>
        <v>1.7447826086681412E-2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input_433100!A$2</f>
        <v>433100</v>
      </c>
      <c r="B323" s="5">
        <v>1152</v>
      </c>
      <c r="C323" s="7" t="str">
        <f t="shared" si="29"/>
        <v>Premium5R3lesscolor</v>
      </c>
      <c r="D323" s="7" t="str">
        <f t="shared" si="30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 t="str">
        <f t="shared" si="31"/>
        <v>color</v>
      </c>
      <c r="H323" s="7" t="str">
        <f>VLOOKUP(B323,[1]characters!$A:$C,3,FALSE)</f>
        <v>衆知の富益神 ガネーシャ</v>
      </c>
      <c r="I323" s="7" t="str">
        <f>VLOOKUP(B323,[1]characters!$A:$J,10,FALSE)</f>
        <v>PremiumS</v>
      </c>
      <c r="J323" s="7">
        <f>VLOOKUP(B323,[1]characters!$A:$I,9,FALSE)</f>
        <v>5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IFERROR(VLOOKUP(B323,input_433100!L:R,7,FALSE),VLOOKUP(tables_433100!C323,input_433100!A:H,8,FALSE))</f>
        <v>14187.756520000001</v>
      </c>
      <c r="P323" s="46">
        <f t="shared" ca="1" si="32"/>
        <v>1.2130434781111397E-3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input_433100!A$2</f>
        <v>433100</v>
      </c>
      <c r="B324" s="1">
        <v>955</v>
      </c>
      <c r="C324" s="7" t="str">
        <f t="shared" si="29"/>
        <v>PremiumSSS5R3lesscolor</v>
      </c>
      <c r="D324" s="7" t="str">
        <f t="shared" si="30"/>
        <v>PremiumSSS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1"/>
        <v>color</v>
      </c>
      <c r="H324" s="7" t="str">
        <f>VLOOKUP(B324,[1]characters!$A:$C,3,FALSE)</f>
        <v>マクローリン</v>
      </c>
      <c r="I324" s="7" t="str">
        <f>VLOOKUP(B324,[1]characters!$A:$J,10,FALSE)</f>
        <v>PremiumSSS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technical</v>
      </c>
      <c r="M324" s="7" t="str">
        <f>VLOOKUP(B324,[1]characters!$A:$M,13,FALSE)</f>
        <v>academia</v>
      </c>
      <c r="N324" s="7" t="str">
        <f>VLOOKUP(B324,[1]characters!$A:$G,7,FALSE)</f>
        <v>男性</v>
      </c>
      <c r="O324" s="45">
        <f ca="1">IFERROR(VLOOKUP(B324,input_433100!L:R,7,FALSE),VLOOKUP(tables_433100!C324,input_433100!A:H,8,FALSE))</f>
        <v>233920</v>
      </c>
      <c r="P324" s="46">
        <f t="shared" ca="1" si="32"/>
        <v>1.9999999999982927E-2</v>
      </c>
      <c r="Q324" s="88">
        <v>80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B4" sqref="B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286</v>
      </c>
      <c r="B2" s="79" t="s">
        <v>288</v>
      </c>
      <c r="C2" s="80" t="s">
        <v>268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270</v>
      </c>
      <c r="P2" s="80" t="s">
        <v>271</v>
      </c>
      <c r="Q2" s="81" t="s">
        <v>272</v>
      </c>
    </row>
    <row r="3" spans="1:17" ht="21" customHeight="1" x14ac:dyDescent="0.15">
      <c r="A3" s="79" t="s">
        <v>287</v>
      </c>
      <c r="B3" s="79" t="s">
        <v>289</v>
      </c>
      <c r="C3" s="1" t="s">
        <v>248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221</v>
      </c>
      <c r="O3" s="80" t="s">
        <v>269</v>
      </c>
      <c r="P3" s="80" t="s">
        <v>271</v>
      </c>
      <c r="Q3" s="81" t="s">
        <v>273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確率の考え方</vt:lpstr>
      <vt:lpstr>Sheet1</vt:lpstr>
      <vt:lpstr>output</vt:lpstr>
      <vt:lpstr>input_433101</vt:lpstr>
      <vt:lpstr>tables_433101</vt:lpstr>
      <vt:lpstr>input_433103</vt:lpstr>
      <vt:lpstr>tables_433103</vt:lpstr>
      <vt:lpstr>tables_settle_433103</vt:lpstr>
      <vt:lpstr>input_433104</vt:lpstr>
      <vt:lpstr>tables_433104</vt:lpstr>
      <vt:lpstr>input_433105</vt:lpstr>
      <vt:lpstr>tables_433105</vt:lpstr>
      <vt:lpstr>input_433100</vt:lpstr>
      <vt:lpstr>tables_433100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2016-10-19T06:06:02Z</dcterms:modified>
</cp:coreProperties>
</file>