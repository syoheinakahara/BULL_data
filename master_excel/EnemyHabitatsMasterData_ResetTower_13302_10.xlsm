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3560" yWindow="1380" windowWidth="38400" windowHeight="1688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1" l="1"/>
  <c r="O6" i="21"/>
  <c r="O7" i="21"/>
  <c r="O5" i="21"/>
  <c r="I7" i="21"/>
  <c r="G7" i="21"/>
  <c r="F7" i="21"/>
  <c r="D7" i="21"/>
  <c r="C7" i="21"/>
  <c r="I6" i="21"/>
  <c r="G6" i="21"/>
  <c r="F6" i="21"/>
  <c r="D6" i="21"/>
  <c r="C6" i="21"/>
  <c r="I5" i="21"/>
  <c r="G5" i="21"/>
  <c r="F5" i="21"/>
  <c r="D5" i="21"/>
  <c r="C5" i="21"/>
  <c r="C9" i="18"/>
  <c r="D9" i="18"/>
  <c r="C8" i="18"/>
  <c r="D8" i="18"/>
  <c r="C7" i="18"/>
  <c r="D7" i="18"/>
  <c r="J26" i="11"/>
  <c r="O26" i="9"/>
  <c r="N26" i="9"/>
  <c r="M26" i="9"/>
  <c r="L26" i="9"/>
  <c r="K26" i="9"/>
  <c r="J26" i="9"/>
  <c r="I26" i="9"/>
  <c r="H26" i="9"/>
  <c r="G26" i="9"/>
  <c r="E26" i="9"/>
  <c r="D26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O2" i="21"/>
  <c r="O3" i="21"/>
  <c r="O4" i="21"/>
  <c r="I4" i="21"/>
  <c r="G4" i="21"/>
  <c r="F4" i="21"/>
  <c r="D4" i="21"/>
  <c r="C4" i="21"/>
  <c r="I3" i="21"/>
  <c r="G3" i="21"/>
  <c r="F3" i="21"/>
  <c r="D3" i="21"/>
  <c r="C3" i="21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J25" i="11"/>
  <c r="O25" i="9"/>
  <c r="N25" i="9"/>
  <c r="M25" i="9"/>
  <c r="L25" i="9"/>
  <c r="K25" i="9"/>
  <c r="J25" i="9"/>
  <c r="I25" i="9"/>
  <c r="H25" i="9"/>
  <c r="G25" i="9"/>
  <c r="E25" i="9"/>
  <c r="D25" i="9"/>
  <c r="J15" i="11"/>
  <c r="O15" i="9"/>
  <c r="N15" i="9"/>
  <c r="M15" i="9"/>
  <c r="L15" i="9"/>
  <c r="K15" i="9"/>
  <c r="J15" i="9"/>
  <c r="I15" i="9"/>
  <c r="H15" i="9"/>
  <c r="G15" i="9"/>
  <c r="E15" i="9"/>
  <c r="D15" i="9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6" i="9"/>
  <c r="H6" i="9"/>
  <c r="I6" i="9"/>
  <c r="J6" i="9"/>
  <c r="K6" i="9"/>
  <c r="L6" i="9"/>
  <c r="M6" i="9"/>
  <c r="N6" i="9"/>
  <c r="J6" i="11"/>
  <c r="O6" i="9"/>
  <c r="G7" i="9"/>
  <c r="H7" i="9"/>
  <c r="I7" i="9"/>
  <c r="J7" i="9"/>
  <c r="K7" i="9"/>
  <c r="L7" i="9"/>
  <c r="M7" i="9"/>
  <c r="N7" i="9"/>
  <c r="J7" i="11"/>
  <c r="O7" i="9"/>
  <c r="G8" i="9"/>
  <c r="H8" i="9"/>
  <c r="I8" i="9"/>
  <c r="J8" i="9"/>
  <c r="K8" i="9"/>
  <c r="L8" i="9"/>
  <c r="M8" i="9"/>
  <c r="N8" i="9"/>
  <c r="J8" i="11"/>
  <c r="O8" i="9"/>
  <c r="G9" i="9"/>
  <c r="H9" i="9"/>
  <c r="I9" i="9"/>
  <c r="J9" i="9"/>
  <c r="K9" i="9"/>
  <c r="L9" i="9"/>
  <c r="M9" i="9"/>
  <c r="N9" i="9"/>
  <c r="J9" i="11"/>
  <c r="O9" i="9"/>
  <c r="G10" i="9"/>
  <c r="H10" i="9"/>
  <c r="I10" i="9"/>
  <c r="J10" i="9"/>
  <c r="K10" i="9"/>
  <c r="L10" i="9"/>
  <c r="M10" i="9"/>
  <c r="N10" i="9"/>
  <c r="J10" i="11"/>
  <c r="O10" i="9"/>
  <c r="G11" i="9"/>
  <c r="H11" i="9"/>
  <c r="I11" i="9"/>
  <c r="J11" i="9"/>
  <c r="K11" i="9"/>
  <c r="L11" i="9"/>
  <c r="M11" i="9"/>
  <c r="N11" i="9"/>
  <c r="J11" i="11"/>
  <c r="O11" i="9"/>
  <c r="G12" i="9"/>
  <c r="H12" i="9"/>
  <c r="I12" i="9"/>
  <c r="J12" i="9"/>
  <c r="K12" i="9"/>
  <c r="L12" i="9"/>
  <c r="M12" i="9"/>
  <c r="N12" i="9"/>
  <c r="J12" i="11"/>
  <c r="O12" i="9"/>
  <c r="G13" i="9"/>
  <c r="H13" i="9"/>
  <c r="I13" i="9"/>
  <c r="J13" i="9"/>
  <c r="K13" i="9"/>
  <c r="L13" i="9"/>
  <c r="M13" i="9"/>
  <c r="N13" i="9"/>
  <c r="J13" i="11"/>
  <c r="O13" i="9"/>
  <c r="G14" i="9"/>
  <c r="H14" i="9"/>
  <c r="I14" i="9"/>
  <c r="J14" i="9"/>
  <c r="K14" i="9"/>
  <c r="L14" i="9"/>
  <c r="M14" i="9"/>
  <c r="N14" i="9"/>
  <c r="J14" i="11"/>
  <c r="O14" i="9"/>
  <c r="G16" i="9"/>
  <c r="H16" i="9"/>
  <c r="I16" i="9"/>
  <c r="J16" i="9"/>
  <c r="K16" i="9"/>
  <c r="L16" i="9"/>
  <c r="M16" i="9"/>
  <c r="N16" i="9"/>
  <c r="J16" i="11"/>
  <c r="O16" i="9"/>
  <c r="G17" i="9"/>
  <c r="H17" i="9"/>
  <c r="I17" i="9"/>
  <c r="J17" i="9"/>
  <c r="K17" i="9"/>
  <c r="L17" i="9"/>
  <c r="M17" i="9"/>
  <c r="N17" i="9"/>
  <c r="J17" i="11"/>
  <c r="O17" i="9"/>
  <c r="G18" i="9"/>
  <c r="H18" i="9"/>
  <c r="I18" i="9"/>
  <c r="J18" i="9"/>
  <c r="K18" i="9"/>
  <c r="L18" i="9"/>
  <c r="M18" i="9"/>
  <c r="N18" i="9"/>
  <c r="J18" i="11"/>
  <c r="O18" i="9"/>
  <c r="G19" i="9"/>
  <c r="H19" i="9"/>
  <c r="I19" i="9"/>
  <c r="J19" i="9"/>
  <c r="K19" i="9"/>
  <c r="L19" i="9"/>
  <c r="M19" i="9"/>
  <c r="N19" i="9"/>
  <c r="J19" i="11"/>
  <c r="O19" i="9"/>
  <c r="G20" i="9"/>
  <c r="H20" i="9"/>
  <c r="I20" i="9"/>
  <c r="J20" i="9"/>
  <c r="K20" i="9"/>
  <c r="L20" i="9"/>
  <c r="M20" i="9"/>
  <c r="N20" i="9"/>
  <c r="J20" i="11"/>
  <c r="O20" i="9"/>
  <c r="G21" i="9"/>
  <c r="H21" i="9"/>
  <c r="I21" i="9"/>
  <c r="J21" i="9"/>
  <c r="K21" i="9"/>
  <c r="L21" i="9"/>
  <c r="M21" i="9"/>
  <c r="N21" i="9"/>
  <c r="J21" i="11"/>
  <c r="O21" i="9"/>
  <c r="G22" i="9"/>
  <c r="H22" i="9"/>
  <c r="I22" i="9"/>
  <c r="J22" i="9"/>
  <c r="K22" i="9"/>
  <c r="L22" i="9"/>
  <c r="M22" i="9"/>
  <c r="N22" i="9"/>
  <c r="J22" i="11"/>
  <c r="O22" i="9"/>
  <c r="G23" i="9"/>
  <c r="H23" i="9"/>
  <c r="I23" i="9"/>
  <c r="J23" i="9"/>
  <c r="K23" i="9"/>
  <c r="L23" i="9"/>
  <c r="M23" i="9"/>
  <c r="N23" i="9"/>
  <c r="J23" i="11"/>
  <c r="O23" i="9"/>
  <c r="G24" i="9"/>
  <c r="H24" i="9"/>
  <c r="I24" i="9"/>
  <c r="J24" i="9"/>
  <c r="K24" i="9"/>
  <c r="L24" i="9"/>
  <c r="M24" i="9"/>
  <c r="N24" i="9"/>
  <c r="J24" i="11"/>
  <c r="O24" i="9"/>
  <c r="D3" i="9"/>
  <c r="E3" i="9"/>
  <c r="D4" i="9"/>
  <c r="E4" i="9"/>
  <c r="D5" i="9"/>
  <c r="E5" i="9"/>
  <c r="D6" i="9"/>
  <c r="E6" i="9"/>
  <c r="D7" i="9"/>
  <c r="E7" i="9"/>
  <c r="D8" i="9"/>
  <c r="E8" i="9"/>
  <c r="D9" i="9"/>
  <c r="E9" i="9"/>
  <c r="D10" i="9"/>
  <c r="E10" i="9"/>
  <c r="D11" i="9"/>
  <c r="E11" i="9"/>
  <c r="D12" i="9"/>
  <c r="E12" i="9"/>
  <c r="D13" i="9"/>
  <c r="E13" i="9"/>
  <c r="D14" i="9"/>
  <c r="E14" i="9"/>
  <c r="D16" i="9"/>
  <c r="E16" i="9"/>
  <c r="D17" i="9"/>
  <c r="E17" i="9"/>
  <c r="D18" i="9"/>
  <c r="E18" i="9"/>
  <c r="D19" i="9"/>
  <c r="E19" i="9"/>
  <c r="D20" i="9"/>
  <c r="E20" i="9"/>
  <c r="D21" i="9"/>
  <c r="E21" i="9"/>
  <c r="D22" i="9"/>
  <c r="E22" i="9"/>
  <c r="D23" i="9"/>
  <c r="E23" i="9"/>
  <c r="D24" i="9"/>
  <c r="E24" i="9"/>
  <c r="G17" i="10"/>
  <c r="H17" i="10"/>
  <c r="I17" i="10"/>
  <c r="K17" i="10"/>
  <c r="J17" i="10"/>
  <c r="M17" i="10"/>
  <c r="T17" i="10"/>
  <c r="U17" i="10"/>
  <c r="V17" i="10"/>
  <c r="X17" i="10"/>
  <c r="W17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N3" i="22"/>
  <c r="G3" i="22"/>
  <c r="F3" i="22"/>
  <c r="D3" i="22"/>
  <c r="C3" i="22"/>
  <c r="A3" i="22"/>
  <c r="N2" i="22"/>
  <c r="G2" i="22"/>
  <c r="F2" i="22"/>
  <c r="D2" i="22"/>
  <c r="C2" i="22"/>
  <c r="A2" i="22"/>
  <c r="A5" i="9"/>
  <c r="A4" i="9"/>
  <c r="A3" i="9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C6" i="18"/>
  <c r="D6" i="18"/>
  <c r="C5" i="18"/>
  <c r="D5" i="18"/>
  <c r="C4" i="18"/>
  <c r="D4" i="18"/>
  <c r="C3" i="18"/>
  <c r="D3" i="18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AA3" i="7"/>
  <c r="W3" i="7"/>
  <c r="U3" i="7"/>
  <c r="R3" i="7"/>
  <c r="Q3" i="7"/>
  <c r="P3" i="7"/>
  <c r="O3" i="7"/>
  <c r="N3" i="7"/>
  <c r="H3" i="7"/>
  <c r="G2" i="2"/>
  <c r="A2" i="2"/>
  <c r="G3" i="2"/>
  <c r="A3" i="2"/>
  <c r="J3" i="7"/>
  <c r="I3" i="7"/>
  <c r="D3" i="7"/>
  <c r="F3" i="7"/>
  <c r="E3" i="7"/>
  <c r="A3" i="7"/>
  <c r="E2" i="9"/>
  <c r="X2" i="1"/>
  <c r="H3" i="2"/>
  <c r="E3" i="2"/>
  <c r="D3" i="2"/>
  <c r="H3" i="1"/>
  <c r="H2" i="1"/>
  <c r="B3" i="2"/>
  <c r="W2" i="7"/>
  <c r="U2" i="7"/>
  <c r="V3" i="1"/>
  <c r="V2" i="1"/>
  <c r="T2" i="1"/>
  <c r="E13" i="16"/>
  <c r="I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AA2" i="7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AC3" i="1"/>
  <c r="AC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3" i="1"/>
  <c r="A2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<sst xmlns="http://schemas.openxmlformats.org/spreadsheetml/2006/main" count="665" uniqueCount="355">
  <si>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</si>
  <si>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</si>
  <si>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</si>
  <si>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</si>
  <si>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</si>
  <si>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</si>
  <si>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</si>
  <si>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</si>
  <si>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</si>
  <si>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</si>
  <si>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</si>
  <si>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</si>
  <si>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</si>
  <si>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</si>
  <si>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</si>
  <si>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</si>
  <si>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</si>
  <si>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</si>
  <si>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</si>
  <si>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</si>
  <si>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</si>
  <si>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</si>
  <si>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</si>
  <si>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</si>
  <si>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</si>
  <si>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</si>
  <si>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</si>
  <si>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</si>
  <si>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</si>
  <si>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</si>
  <si>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</si>
  <si>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</si>
  <si>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</si>
  <si>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</si>
  <si>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</si>
  <si>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</si>
  <si>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</si>
  <si>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</si>
  <si>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</si>
  <si>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</si>
  <si>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</si>
  <si>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</si>
  <si>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</si>
  <si>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</si>
  <si>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</si>
  <si>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</si>
  <si>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</si>
  <si>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</si>
  <si>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</si>
  <si>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</si>
  <si>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</si>
  <si>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</si>
  <si>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</si>
  <si>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</si>
  <si>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</si>
  <si>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</si>
  <si>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</si>
  <si>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</si>
  <si>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</si>
  <si>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</si>
  <si>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</si>
  <si>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</si>
  <si>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</si>
  <si>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</si>
  <si>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</si>
  <si>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</si>
  <si>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</si>
  <si>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</si>
  <si>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</si>
  <si>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</si>
  <si>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</si>
  <si>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</si>
  <si>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</si>
  <si>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</si>
  <si>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</si>
  <si>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</si>
  <si>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</si>
  <si>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</si>
  <si>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</si>
  <si>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</si>
  <si>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</si>
  <si>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</si>
  <si>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</si>
  <si>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</si>
  <si>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</si>
  <si>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</si>
  <si>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</si>
  <si>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</si>
  <si>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</si>
  <si>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</si>
  <si>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</si>
  <si>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</si>
  <si>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</si>
  <si>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</si>
  <si>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</si>
  <si>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</si>
  <si>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</si>
  <si>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</si>
  <si>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</si>
  <si>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</si>
  <si>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</si>
  <si>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</si>
  <si>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</si>
  <si>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</si>
  <si>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</si>
  <si>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</si>
  <si>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</si>
  <si>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</si>
  <si>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</si>
  <si>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</si>
  <si>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</si>
  <si>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</si>
  <si>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</si>
  <si>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</si>
  <si>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</si>
  <si>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</si>
  <si>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</si>
  <si>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</si>
  <si>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</si>
  <si>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</si>
  <si>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</si>
  <si>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</si>
  <si>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</si>
  <si>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</si>
  <si>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</si>
  <si>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</si>
  <si>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</si>
  <si>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</si>
  <si>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</si>
  <si>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</si>
  <si>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</si>
  <si>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</si>
  <si>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</si>
  <si>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</si>
  <si>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</si>
  <si>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</si>
  <si>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</si>
  <si>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</si>
  <si>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</si>
  <si>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</si>
  <si>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</si>
  <si>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</si>
  <si>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</si>
  <si>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</si>
  <si>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</si>
  <si>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</si>
  <si>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</si>
  <si>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</si>
  <si>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</si>
  <si>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</si>
  <si>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</si>
  <si>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</si>
  <si>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</si>
  <si>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</si>
  <si>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</si>
  <si>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</si>
  <si>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</si>
  <si>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</si>
  <si>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</si>
  <si>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</si>
  <si>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</si>
  <si>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</si>
  <si>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</si>
  <si>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</si>
  <si>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</si>
  <si>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</si>
  <si>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</si>
  <si>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</si>
  <si>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</si>
  <si>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</si>
  <si>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</si>
  <si>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</si>
  <si>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</si>
  <si>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</si>
  <si>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</si>
  <si>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</si>
  <si>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</si>
  <si>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</si>
  <si>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</si>
  <si>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</si>
  <si>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</si>
  <si>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</si>
  <si>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</si>
  <si>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</si>
  <si>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</si>
  <si>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</si>
  <si>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</si>
  <si>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</si>
  <si>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</si>
  <si>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</si>
  <si>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</si>
  <si>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</si>
  <si>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</si>
  <si>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</si>
  <si>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</si>
  <si>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</si>
  <si>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</si>
  <si>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</si>
  <si>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</si>
  <si>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</si>
  <si>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</si>
  <si>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</si>
  <si>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</si>
  <si>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</si>
  <si>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</si>
  <si>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</si>
  <si>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</si>
  <si>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</si>
  <si>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</si>
  <si>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</si>
  <si>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</si>
  <si>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</si>
  <si>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</si>
  <si>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</si>
  <si>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</si>
  <si>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</si>
  <si>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</si>
  <si>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</si>
  <si>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</si>
  <si>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</si>
  <si>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</si>
  <si>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</si>
  <si>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</si>
  <si>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</si>
  <si>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</si>
  <si>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</si>
  <si>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</si>
  <si>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</si>
  <si>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</si>
  <si>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</si>
  <si>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</si>
  <si>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</si>
  <si>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</si>
  <si>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</si>
  <si>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</si>
  <si>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</si>
  <si>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</si>
  <si>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</si>
  <si>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</si>
  <si>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</si>
  <si>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</si>
  <si>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</si>
  <si>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</si>
  <si>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</si>
  <si>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</si>
  <si>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</si>
  <si>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</si>
  <si>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link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</si>
  <si>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</si>
  <si>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</si>
  <si>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</si>
  <si>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</si>
  <si>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null</t>
    <phoneticPr fontId="5"/>
  </si>
  <si>
    <t>13300900_13300901</t>
  </si>
  <si>
    <t>clear</t>
    <phoneticPr fontId="5"/>
  </si>
  <si>
    <t>2016-5-27 0:00:00</t>
    <phoneticPr fontId="5"/>
  </si>
  <si>
    <t>2970-01-01 09:00:00</t>
    <phoneticPr fontId="5"/>
  </si>
  <si>
    <t>bit</t>
    <phoneticPr fontId="5"/>
  </si>
  <si>
    <t>null</t>
    <phoneticPr fontId="5"/>
  </si>
  <si>
    <t>bit</t>
    <phoneticPr fontId="5"/>
  </si>
  <si>
    <t>singleonly</t>
    <phoneticPr fontId="5"/>
  </si>
  <si>
    <t>singleonly</t>
    <phoneticPr fontId="5"/>
  </si>
  <si>
    <t>null</t>
    <phoneticPr fontId="5"/>
  </si>
  <si>
    <t>null</t>
    <phoneticPr fontId="5"/>
  </si>
  <si>
    <t>enemy_habitat_S_</t>
    <phoneticPr fontId="5"/>
  </si>
  <si>
    <t>[effect:suicide, val:1, dead_type:escape, target:myself]</t>
    <phoneticPr fontId="5"/>
  </si>
  <si>
    <t>null</t>
    <phoneticPr fontId="5"/>
  </si>
  <si>
    <t>何かに怯えるように去っていった</t>
    <rPh sb="0" eb="1">
      <t>ナニカニ</t>
    </rPh>
    <rPh sb="3" eb="4">
      <t>オビエタ</t>
    </rPh>
    <rPh sb="9" eb="10">
      <t>サッテイッタ</t>
    </rPh>
    <phoneticPr fontId="5"/>
  </si>
  <si>
    <t>拡散する領域</t>
    <rPh sb="0" eb="2">
      <t>カクサン</t>
    </rPh>
    <rPh sb="4" eb="6">
      <t>リョウイキ</t>
    </rPh>
    <phoneticPr fontId="5"/>
  </si>
  <si>
    <t>更に拡散する領域</t>
    <rPh sb="0" eb="1">
      <t>サラニ</t>
    </rPh>
    <rPh sb="2" eb="4">
      <t>カクサン</t>
    </rPh>
    <rPh sb="6" eb="8">
      <t>リョウイキ</t>
    </rPh>
    <phoneticPr fontId="5"/>
  </si>
  <si>
    <t>2ターン超強力なウィルス</t>
    <rPh sb="4" eb="7">
      <t>チョウキョウリョクナ</t>
    </rPh>
    <phoneticPr fontId="5"/>
  </si>
  <si>
    <t>クリティカル！</t>
    <phoneticPr fontId="5"/>
  </si>
  <si>
    <t>ウィルス状態のユニットに大ダメージ</t>
    <rPh sb="4" eb="6">
      <t>ジョウタイ</t>
    </rPh>
    <rPh sb="12" eb="13">
      <t>ダイダメージ</t>
    </rPh>
    <phoneticPr fontId="5"/>
  </si>
  <si>
    <t>null</t>
    <phoneticPr fontId="5"/>
  </si>
  <si>
    <t>残りHPの70%ダメージ！</t>
    <rPh sb="0" eb="1">
      <t>ノコリ</t>
    </rPh>
    <phoneticPr fontId="5"/>
  </si>
  <si>
    <t>skip</t>
  </si>
  <si>
    <t>null</t>
    <phoneticPr fontId="5"/>
  </si>
  <si>
    <t>null</t>
    <phoneticPr fontId="5"/>
  </si>
  <si>
    <t>null</t>
    <phoneticPr fontId="5"/>
  </si>
  <si>
    <t>null</t>
    <phoneticPr fontId="5"/>
  </si>
  <si>
    <t>単体に2ターンウィルス＆攻撃</t>
    <rPh sb="0" eb="2">
      <t>タンタイニ</t>
    </rPh>
    <rPh sb="12" eb="14">
      <t>コウゲキ</t>
    </rPh>
    <phoneticPr fontId="5"/>
  </si>
  <si>
    <t>……！</t>
    <phoneticPr fontId="5"/>
  </si>
  <si>
    <t>下層が騒がしいので来てみれば…</t>
    <rPh sb="0" eb="2">
      <t>カソウ</t>
    </rPh>
    <rPh sb="3" eb="4">
      <t>サワガシイ</t>
    </rPh>
    <rPh sb="9" eb="10">
      <t>キテミレバ</t>
    </rPh>
    <phoneticPr fontId="5"/>
  </si>
  <si>
    <t>お前たちの未来を</t>
    <rPh sb="5" eb="7">
      <t>ミライヲ</t>
    </rPh>
    <phoneticPr fontId="5"/>
  </si>
  <si>
    <t>お前たちの意志を</t>
    <rPh sb="5" eb="7">
      <t>イシ</t>
    </rPh>
    <phoneticPr fontId="5"/>
  </si>
  <si>
    <t>お前たちの理性を</t>
    <rPh sb="5" eb="7">
      <t>リセイ</t>
    </rPh>
    <phoneticPr fontId="5"/>
  </si>
  <si>
    <t>お前たちの希望を</t>
    <rPh sb="5" eb="7">
      <t>キボウ</t>
    </rPh>
    <phoneticPr fontId="5"/>
  </si>
  <si>
    <t>やはり人間…お前たち蛮族の仕業だったのね</t>
    <rPh sb="3" eb="5">
      <t>ニンゲン</t>
    </rPh>
    <rPh sb="10" eb="12">
      <t>バンゾク</t>
    </rPh>
    <rPh sb="13" eb="15">
      <t>シワザ</t>
    </rPh>
    <phoneticPr fontId="5"/>
  </si>
  <si>
    <t>この塔は神聖なる領域よ</t>
    <rPh sb="2" eb="3">
      <t>トウ</t>
    </rPh>
    <rPh sb="4" eb="6">
      <t>シンセイナル</t>
    </rPh>
    <rPh sb="8" eb="10">
      <t>リョウイキ</t>
    </rPh>
    <phoneticPr fontId="5"/>
  </si>
  <si>
    <t>お前たちに許される場ではないわ</t>
    <rPh sb="5" eb="6">
      <t>ユルサレル</t>
    </rPh>
    <rPh sb="9" eb="10">
      <t>バ</t>
    </rPh>
    <phoneticPr fontId="5"/>
  </si>
  <si>
    <t>より効率的な殲滅手段を用意するわ</t>
    <rPh sb="2" eb="5">
      <t>コウリツテキナ</t>
    </rPh>
    <rPh sb="6" eb="8">
      <t>センメツ</t>
    </rPh>
    <rPh sb="8" eb="10">
      <t>シュダン</t>
    </rPh>
    <rPh sb="11" eb="13">
      <t>ヨウイ</t>
    </rPh>
    <phoneticPr fontId="5"/>
  </si>
  <si>
    <t>侵食の楔！</t>
    <rPh sb="0" eb="2">
      <t>シンショク</t>
    </rPh>
    <rPh sb="3" eb="4">
      <t>クサビ</t>
    </rPh>
    <phoneticPr fontId="5"/>
  </si>
  <si>
    <t>不純であれど
愚かでない事は知ってるわ</t>
    <rPh sb="0" eb="2">
      <t>フジュン</t>
    </rPh>
    <rPh sb="7" eb="8">
      <t>オロカ</t>
    </rPh>
    <rPh sb="12" eb="13">
      <t>コトハ</t>
    </rPh>
    <rPh sb="14" eb="15">
      <t>シッテオル</t>
    </rPh>
    <phoneticPr fontId="5"/>
  </si>
  <si>
    <t>更なる侵食が必要ね</t>
    <rPh sb="0" eb="1">
      <t>サラナル</t>
    </rPh>
    <rPh sb="3" eb="5">
      <t>シンショク</t>
    </rPh>
    <rPh sb="6" eb="8">
      <t>ヒツヨウカ</t>
    </rPh>
    <phoneticPr fontId="5"/>
  </si>
  <si>
    <t>そうまでして力が欲しいの？</t>
    <rPh sb="6" eb="7">
      <t>チカラヲ</t>
    </rPh>
    <rPh sb="8" eb="9">
      <t>ホッスル</t>
    </rPh>
    <phoneticPr fontId="5"/>
  </si>
  <si>
    <t>欲深き存在…その力で何をするつもり？</t>
    <rPh sb="0" eb="2">
      <t>ヨクブカキ</t>
    </rPh>
    <rPh sb="3" eb="5">
      <t>ソンザイ</t>
    </rPh>
    <rPh sb="10" eb="11">
      <t>ナニヲ</t>
    </rPh>
    <phoneticPr fontId="5"/>
  </si>
  <si>
    <t>かつては私も信じていたのよ</t>
    <rPh sb="4" eb="5">
      <t>ワタシモ</t>
    </rPh>
    <rPh sb="6" eb="7">
      <t>シンジテイタ</t>
    </rPh>
    <phoneticPr fontId="5"/>
  </si>
  <si>
    <t>フン…調子に乗らないことね</t>
    <rPh sb="3" eb="5">
      <t>チョウシニ</t>
    </rPh>
    <rPh sb="6" eb="7">
      <t>ノラナイコトネ</t>
    </rPh>
    <phoneticPr fontId="5"/>
  </si>
  <si>
    <t>私の核は最上階にある。
その舞台で次こそ葬ってあげる…！</t>
    <rPh sb="0" eb="1">
      <t>ワタシ</t>
    </rPh>
    <rPh sb="2" eb="3">
      <t>カクハ</t>
    </rPh>
    <rPh sb="4" eb="7">
      <t>サイジョウカイ</t>
    </rPh>
    <rPh sb="14" eb="16">
      <t>ブタイデ</t>
    </rPh>
    <rPh sb="17" eb="18">
      <t>ツギコソ</t>
    </rPh>
    <rPh sb="20" eb="21">
      <t>ホウムッテ</t>
    </rPh>
    <phoneticPr fontId="5"/>
  </si>
  <si>
    <t>そんなもの、存在しないというのに！</t>
    <rPh sb="6" eb="8">
      <t>ソンザイ</t>
    </rPh>
    <phoneticPr fontId="5"/>
  </si>
  <si>
    <t>だからこそのしぶとさ…醜いわね…</t>
    <rPh sb="11" eb="12">
      <t>ミニクサ</t>
    </rPh>
    <phoneticPr fontId="5"/>
  </si>
  <si>
    <t>complete</t>
  </si>
  <si>
    <t>ボナンザは女王と呼ばれる存在の一つです
人間をALICEにとっての外敵と認識し
その存在を抹消するために活動しています</t>
    <phoneticPr fontId="5"/>
  </si>
  <si>
    <t>ボナンザの正体</t>
    <phoneticPr fontId="5"/>
  </si>
  <si>
    <t>女王の監視塔</t>
    <rPh sb="0" eb="2">
      <t>ジョオウノ</t>
    </rPh>
    <rPh sb="3" eb="5">
      <t>カンシ</t>
    </rPh>
    <rPh sb="5" eb="6">
      <t>トウ</t>
    </rPh>
    <phoneticPr fontId="5"/>
  </si>
  <si>
    <t>ボナンザの力</t>
    <rPh sb="5" eb="6">
      <t>チカラ</t>
    </rPh>
    <phoneticPr fontId="5"/>
  </si>
  <si>
    <t>ボナンザは一時撤退しましたが
真の力はこんなものではありません
彼女の核が存在する最上階では
十分に警戒してください</t>
    <rPh sb="5" eb="7">
      <t>イチジ</t>
    </rPh>
    <rPh sb="7" eb="9">
      <t>テッタイ</t>
    </rPh>
    <rPh sb="15" eb="16">
      <t>シンノ</t>
    </rPh>
    <rPh sb="17" eb="18">
      <t>チカラハ</t>
    </rPh>
    <rPh sb="33" eb="35">
      <t>カノジョ</t>
    </rPh>
    <rPh sb="38" eb="40">
      <t>ソンザイ</t>
    </rPh>
    <rPh sb="42" eb="45">
      <t>サイジョウカイ</t>
    </rPh>
    <rPh sb="48" eb="50">
      <t>ジュウブンニ</t>
    </rPh>
    <rPh sb="51" eb="53">
      <t>ケイカイ</t>
    </rPh>
    <phoneticPr fontId="5"/>
  </si>
  <si>
    <t>状態異常耐性+青パネル無効</t>
    <rPh sb="7" eb="8">
      <t>アオ</t>
    </rPh>
    <rPh sb="11" eb="13">
      <t>ムコウ</t>
    </rPh>
    <phoneticPr fontId="5"/>
  </si>
  <si>
    <t>5ターンハートパネル無効+攻撃頻度UP</t>
    <rPh sb="10" eb="12">
      <t>ムコウ</t>
    </rPh>
    <rPh sb="13" eb="17">
      <t>コウゲキヒンド</t>
    </rPh>
    <phoneticPr fontId="5"/>
  </si>
  <si>
    <t>だんだん強くなるウィルス+クリティカル！</t>
    <rPh sb="4" eb="5">
      <t>ツヨクナル</t>
    </rPh>
    <phoneticPr fontId="5"/>
  </si>
  <si>
    <t>まずはお前だ。劣等種</t>
    <rPh sb="7" eb="10">
      <t>レットウシュ</t>
    </rPh>
    <phoneticPr fontId="5"/>
  </si>
  <si>
    <t>穢れよ、滅びなさい</t>
    <rPh sb="0" eb="1">
      <t>ケガレヨ</t>
    </rPh>
    <rPh sb="4" eb="5">
      <t>ホロベ</t>
    </rPh>
    <phoneticPr fontId="5"/>
  </si>
  <si>
    <t>這いつくばって命乞いなさい</t>
    <rPh sb="0" eb="1">
      <t>ハイツクバッテ</t>
    </rPh>
    <rPh sb="7" eb="9">
      <t>イノチゴイ</t>
    </rPh>
    <phoneticPr fontId="5"/>
  </si>
  <si>
    <t>ボナンザは終盤戦で徐々に強力になる
ウィルスを毎ターン使用します
解除が追いつかなくなる前に撃破しましょう</t>
    <rPh sb="5" eb="8">
      <t>シュウバンセン</t>
    </rPh>
    <rPh sb="27" eb="29">
      <t>シヨウ</t>
    </rPh>
    <rPh sb="34" eb="36">
      <t>カイジョガ</t>
    </rPh>
    <rPh sb="37" eb="38">
      <t>オイツカナクナル</t>
    </rPh>
    <rPh sb="45" eb="46">
      <t>マエニ</t>
    </rPh>
    <rPh sb="47" eb="49">
      <t>ゲキハ</t>
    </rPh>
    <phoneticPr fontId="5"/>
  </si>
  <si>
    <t>ボナンザは頻繁にウィルスを使用します
ウィルスを解除するスキルを用意するか
ウィルス無効を揃えて　戦いましょう</t>
    <rPh sb="13" eb="15">
      <t>シヨウ</t>
    </rPh>
    <rPh sb="33" eb="35">
      <t>ヨウイ</t>
    </rPh>
    <rPh sb="50" eb="51">
      <t>タタカエマス</t>
    </rPh>
    <phoneticPr fontId="5"/>
  </si>
  <si>
    <t>バチバチするよ！</t>
    <phoneticPr fontId="5"/>
  </si>
  <si>
    <t>青・緑パネルを吸収して攻撃</t>
    <rPh sb="0" eb="1">
      <t>アオ</t>
    </rPh>
    <rPh sb="2" eb="3">
      <t>ミドリ</t>
    </rPh>
    <rPh sb="7" eb="9">
      <t>キュウシュウ</t>
    </rPh>
    <rPh sb="11" eb="13">
      <t>コウゲキ</t>
    </rPh>
    <phoneticPr fontId="5"/>
  </si>
  <si>
    <t>犠牲…　秩序のためよ…</t>
    <rPh sb="4" eb="6">
      <t>チツジョ</t>
    </rPh>
    <phoneticPr fontId="5"/>
  </si>
  <si>
    <t>ボナンザは特定のタイミングで
5ターンハートパネル無効を使用します
解除スキルがあると安心です</t>
    <rPh sb="5" eb="7">
      <t>トクテイ</t>
    </rPh>
    <rPh sb="25" eb="27">
      <t>ムコウ</t>
    </rPh>
    <rPh sb="28" eb="30">
      <t>シヨウ</t>
    </rPh>
    <phoneticPr fontId="5"/>
  </si>
  <si>
    <t>タワーオブザクイーンは女王が該当区画を
支配・統括するためにビルドした監視塔です
そびえ立つ巨影は正に恐怖の象徴と言えます</t>
    <phoneticPr fontId="5"/>
  </si>
  <si>
    <t>単体に3ターン超強力なウィルス+5回連続攻撃</t>
    <rPh sb="0" eb="2">
      <t>タンタイ</t>
    </rPh>
    <phoneticPr fontId="5"/>
  </si>
  <si>
    <t>2ターンウィルス+全体攻撃+
防御力激烈UP</t>
    <rPh sb="15" eb="18">
      <t>ボウギョリョク</t>
    </rPh>
    <rPh sb="18" eb="20">
      <t>ゲキレツ</t>
    </rPh>
    <phoneticPr fontId="5"/>
  </si>
  <si>
    <t>5ターン確率で時限式ダメージパネルドロップ+
単体攻撃</t>
    <rPh sb="4" eb="6">
      <t>カクリツ</t>
    </rPh>
    <rPh sb="7" eb="10">
      <t>ジゲンシキ</t>
    </rPh>
    <rPh sb="23" eb="25">
      <t>タンタイ</t>
    </rPh>
    <rPh sb="25" eb="27">
      <t>コウゲキ</t>
    </rPh>
    <phoneticPr fontId="5"/>
  </si>
  <si>
    <t>赤パネルをハートパネルに変換+
青パネルを緑パネルに変換</t>
    <rPh sb="0" eb="1">
      <t>アカパネル</t>
    </rPh>
    <rPh sb="12" eb="14">
      <t>ヘンカン</t>
    </rPh>
    <rPh sb="16" eb="17">
      <t>アオ</t>
    </rPh>
    <rPh sb="21" eb="22">
      <t>ミドリ</t>
    </rPh>
    <rPh sb="26" eb="28">
      <t>ヘンカン</t>
    </rPh>
    <phoneticPr fontId="5"/>
  </si>
  <si>
    <t>[effect:enemy_message, val1:1.4, val2:2.2],[effect:fix_speed, target:myself, turn:1],[effect:hungup, target:unit_green, turn:30, rate:1, animation:hungup04]</t>
    <phoneticPr fontId="5"/>
  </si>
  <si>
    <t>緑属性に30ターンスキルバインド</t>
    <phoneticPr fontId="5"/>
  </si>
  <si>
    <t>[effect:enemy_message, val1:1.5, val2:0],[effect:suicide, val:1, dead_type:escape, target:myself]</t>
    <phoneticPr fontId="5"/>
  </si>
  <si>
    <t>表示しない</t>
    <phoneticPr fontId="5"/>
  </si>
  <si>
    <t>[effect:enemy_message, val1:1.7, val2:1.5],[effect:critical, val:2.5],[effect:fix_speed, target:myself, turn:1]</t>
    <phoneticPr fontId="5"/>
  </si>
  <si>
    <t>[effect:enemy_message, val1:1.7, val2:2.3],[effect:tolerance, target:myself, turn:-1, tolerance_effect:all, count:-1, animation:enemy_tolerance],[effect:fix_speed, target:myself, turn:2]</t>
    <phoneticPr fontId="5"/>
  </si>
  <si>
    <t>[effect:enemy_message, val1:1.7, val2:1.8],[effect:break_attack_fix, target:unit_one, val:315, lowest_val:5000, count:-1, color:green, block01:block_green, block02:block_blue]</t>
    <phoneticPr fontId="5"/>
  </si>
  <si>
    <t>[effect:enemy_message, val1:1.9, val2:2.1],[effect:tolerance, target:myself, turn:-1, tolerance_effect:all, count:-1, animation:enemy_tolerance],[effect:dis_panel, target:block_blue, turn:-1, animation:enemy_dis_blue],[effect:fix_speed, target:myself, turn:2]</t>
    <phoneticPr fontId="5"/>
  </si>
  <si>
    <t>[effect:enemy_message, val1:1.6, val2:2.3],[effect:dis_heart, turn:5, animation:enemy_dis_heart],[effect:freq_turn, target:myself, turn:5, val:1, animation:enemy_freq_turn]</t>
    <phoneticPr fontId="5"/>
  </si>
  <si>
    <t>[effect:enemy_message, val1:2, val2:2.6],[effect:drop_block, block_type:time_bomb, block_color:block_green, color:block_all, val:0.1, rate:0.3, turn:5, min_time_count:3, max_time_count:4, animation:time_bomb_influence04],[effect:critical, val:0.93]</t>
    <phoneticPr fontId="5"/>
  </si>
  <si>
    <t>[effect:enemy_message, val1:1.6, val2:2.2],[effect:tolerance, target:myself, turn:-1, tolerance_effect:all, count:-1, animation:enemy_tolerance],[effect:fix_speed, target:myself, turn:1]</t>
    <phoneticPr fontId="5"/>
  </si>
  <si>
    <t>[effect:enemy_message, val1:1.5, val2:2.2.2],[effect:rush, count:5, val:0.25],[effect:virus, target:unit_one, turn:3, rate:0.9, val:1, animation:enemy_virus]</t>
    <phoneticPr fontId="5"/>
  </si>
  <si>
    <t>[effect:enemy_message, val1:1.6, val2:2.6],[effect:force_change_block, new_block:block_heart, target:block_red, ignore01:crash, ignore02:crack_bomb, ignore03:time_bomb, count:0, val:0, animation:change_block],[effect:force_change_block, new_block:block_green, target:block_blue, ignore01:crash, ignore02:crack_bomb, ignore03:time_bomb, count:0, val:0, animation:change_block],[effect:fix_speed, target:myself, turn:1]</t>
    <phoneticPr fontId="5"/>
  </si>
  <si>
    <t>[effect:enemy_message, val1:1.6, val2:2.7, dead_type:escape]</t>
    <phoneticPr fontId="5"/>
  </si>
  <si>
    <t>力の片鱗を魅せてあげるわ</t>
    <rPh sb="0" eb="1">
      <t>チカラノ</t>
    </rPh>
    <rPh sb="2" eb="4">
      <t>ヘンリン</t>
    </rPh>
    <rPh sb="5" eb="6">
      <t>ミセテ</t>
    </rPh>
    <phoneticPr fontId="5"/>
  </si>
  <si>
    <t>[effect:enemy_message, val1:1.6, val2:1.9],[effect:damage_gravity, val:0.7, animation:fevergauge_down]</t>
    <phoneticPr fontId="5"/>
  </si>
  <si>
    <t>2ターンウィルス+全体攻撃</t>
    <phoneticPr fontId="5"/>
  </si>
  <si>
    <t>[effect:virus, target:unit_all, turn:2, rate:1, val:0.07, calc_type:target_all, animation:enemy_virus],[effect:spread, val:0.18],[effect:enhance_enemy, target:myself, turn:2, status:defense, val:100000, calc:add, animation:enemy_enhance_defense],[effect:fix_speed, target:myself, turn:2],[effect:enemy_message, val1:1.4, val2:2.7]</t>
    <phoneticPr fontId="5"/>
  </si>
  <si>
    <t>[effect:virus, target:unit_all, turn:2, rate:1, val:0.1.5, calc_type:target_all, animation:enemy_virus],[effect:spread, val:0.23],[effect:enemy_message, val1:1.4, val2:2.3]</t>
    <phoneticPr fontId="5"/>
  </si>
  <si>
    <t>[effect:enemy_message, val1:1.5, val2:1.8],[effect:virus, target:unit_all, turn:2, rate:1, val:0.55, calc_type:target_all, animation:enemy_virus]</t>
    <phoneticPr fontId="5"/>
  </si>
  <si>
    <t>2ターンウィルス+単体攻撃</t>
    <rPh sb="9" eb="11">
      <t>タンタイ</t>
    </rPh>
    <rPh sb="11" eb="13">
      <t>コウゲキ</t>
    </rPh>
    <phoneticPr fontId="5"/>
  </si>
  <si>
    <t>[effect:enemy_message, val1:1.5, val2:2.2],[effect:virus, target:unit_all, turn:2, rate:1, val:0.2, calc_type:target_all, animation:enemy_virus],[effect:critical, val:1.19]</t>
    <phoneticPr fontId="5"/>
  </si>
  <si>
    <t>[effect:enemy_message, val1:1.5, val2:2],[effect:damage_anti_abnormal, target:unit_one, target_effect01:virus, val1:1.35, val2:1.0],[effect:fix_speed, target:myself, turn:1]</t>
    <phoneticPr fontId="5"/>
  </si>
  <si>
    <t>[effect:enemy_message, val1:1.5, val2:2],[effect:virus, target:unit_all, turn:1, rate:1, val:0.10, calc_type:target_all, animation:enemy_virus],[effect:critical, val:1.00]</t>
    <phoneticPr fontId="5"/>
  </si>
  <si>
    <t>[effect:enemy_message, val1:1.5, val2:2],[effect:virus, target:unit_all, turn:1, rate:1, val:0.15, calc_type:target_all, animation:enemy_virus],[effect:critical, val:1.15]</t>
    <phoneticPr fontId="5"/>
  </si>
  <si>
    <t>[effect:enemy_message, val1:1.5, val2:2],[effect:virus, target:unit_all, turn:1, rate:1, val:0.20, calc_type:target_all, animation:enemy_virus],[effect:critical, val:1.30]</t>
    <phoneticPr fontId="5"/>
  </si>
  <si>
    <t>[effect:enemy_message, val1:1.5, val2:2],[effect:virus, target:unit_all, turn:1, rate:1, val:0.25, calc_type:target_all, animation:enemy_virus],[effect:critical, val:1.45]</t>
    <phoneticPr fontId="5"/>
  </si>
  <si>
    <t>[effect:enemy_message, val1:1.9, val2:2],[effect:virus, target:unit_all, turn:-1, rate:1, val:0.30, calc_type:target_all, animation:enemy_virus],[effect:critical, val:1.60]</t>
    <phoneticPr fontId="5"/>
  </si>
  <si>
    <t>[effect:enemy_message, val1:1.4, val2:2.1],[effect:damage_abnormal, target:unit_one, val:0.99, status:virus, turn:2, val_abnormal:0.5, animation:enemy_virus]</t>
    <phoneticPr fontId="5"/>
  </si>
  <si>
    <t>13302_10</t>
    <phoneticPr fontId="5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</si>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</sst>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4" fillId="13" borderId="6" xfId="0" applyFont="1" applyFill="1" applyBorder="1" applyAlignment="1">
      <alignment vertical="center"/>
    </xf>
    <xf numFmtId="9" fontId="16" fillId="13" borderId="7" xfId="0" applyNumberFormat="1" applyFont="1" applyFill="1" applyBorder="1" applyAlignment="1">
      <alignment horizontal="left" vertical="center" wrapText="1"/>
    </xf>
    <xf numFmtId="9" fontId="16" fillId="0" borderId="7" xfId="0" applyNumberFormat="1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25.664062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354</v>
      </c>
      <c r="B2" s="56" t="s">
        <v>107</v>
      </c>
      <c r="C2" s="61" t="s">
        <v>353</v>
      </c>
      <c r="D2" s="56" t="s">
        <v>108</v>
      </c>
      <c r="E2" s="55" t="str">
        <f>B2&amp;C2&amp;D2</f>
        <v>floors_13302_10.tmp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354</v>
      </c>
      <c r="B3" s="56" t="s">
        <v>110</v>
      </c>
      <c r="C3" s="61" t="s">
        <v>353</v>
      </c>
      <c r="D3" s="56" t="s">
        <v>108</v>
      </c>
      <c r="E3" s="55" t="str">
        <f>B3&amp;C3&amp;D3</f>
        <v>enemy_habitats_13302_10.tmp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60" t="s">
        <v>354</v>
      </c>
      <c r="B4" s="56" t="s">
        <v>264</v>
      </c>
      <c r="C4" s="61" t="s">
        <v>353</v>
      </c>
      <c r="D4" s="56" t="s">
        <v>108</v>
      </c>
      <c r="E4" s="55" t="str">
        <f>B4&amp;C4&amp;D4</f>
        <v>enemy_habitat_S_13302_10.tmp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275</v>
      </c>
      <c r="B5" s="56" t="s">
        <v>113</v>
      </c>
      <c r="C5" s="61" t="s">
        <v>353</v>
      </c>
      <c r="D5" s="56" t="s">
        <v>108</v>
      </c>
      <c r="E5" s="55" t="str">
        <f>B5&amp;C5&amp;D5</f>
        <v>enemy_skill_sets_13302_10.tmp</v>
      </c>
      <c r="F5" s="56" t="s">
        <v>114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275</v>
      </c>
      <c r="B6" s="56" t="s">
        <v>115</v>
      </c>
      <c r="C6" s="61" t="s">
        <v>353</v>
      </c>
      <c r="D6" s="56" t="s">
        <v>116</v>
      </c>
      <c r="E6" s="55" t="str">
        <f t="shared" ref="E6:E10" si="0">B6&amp;C6&amp;D6</f>
        <v>enemy_skills_tmp_13302_10.tmp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275</v>
      </c>
      <c r="B7" s="56" t="s">
        <v>117</v>
      </c>
      <c r="C7" s="61" t="s">
        <v>353</v>
      </c>
      <c r="D7" s="56" t="s">
        <v>108</v>
      </c>
      <c r="E7" s="55" t="str">
        <f>B7&amp;C7&amp;D7</f>
        <v>enemy_skills_i18n_13302_10.tmp</v>
      </c>
      <c r="F7" s="56" t="s">
        <v>118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275</v>
      </c>
      <c r="B8" s="56" t="s">
        <v>119</v>
      </c>
      <c r="C8" s="61" t="s">
        <v>353</v>
      </c>
      <c r="D8" s="56" t="s">
        <v>120</v>
      </c>
      <c r="E8" s="55" t="str">
        <f t="shared" si="0"/>
        <v>enemy_skill_triggers_13302_10.tmp</v>
      </c>
      <c r="F8" s="56" t="s">
        <v>121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122</v>
      </c>
      <c r="L8" s="57" t="s">
        <v>99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354</v>
      </c>
      <c r="B9" s="66" t="s">
        <v>176</v>
      </c>
      <c r="C9" s="61" t="s">
        <v>353</v>
      </c>
      <c r="D9" s="66" t="s">
        <v>170</v>
      </c>
      <c r="E9" s="67" t="str">
        <f t="shared" si="0"/>
        <v>stage_bug_bonuses_13302_10.tmp</v>
      </c>
      <c r="F9" s="66" t="s">
        <v>171</v>
      </c>
      <c r="G9" s="63" t="s">
        <v>150</v>
      </c>
      <c r="H9" s="63" t="s">
        <v>172</v>
      </c>
      <c r="I9" s="63" t="s">
        <v>173</v>
      </c>
      <c r="J9" s="65" t="s">
        <v>174</v>
      </c>
      <c r="K9" s="63" t="s">
        <v>175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275</v>
      </c>
      <c r="B10" s="66" t="s">
        <v>199</v>
      </c>
      <c r="C10" s="61" t="s">
        <v>353</v>
      </c>
      <c r="D10" s="66" t="s">
        <v>179</v>
      </c>
      <c r="E10" s="67" t="str">
        <f t="shared" si="0"/>
        <v>stage_hints_data_c_13302_10.tmp</v>
      </c>
      <c r="F10" s="66" t="s">
        <v>207</v>
      </c>
      <c r="G10" s="72" t="s">
        <v>180</v>
      </c>
      <c r="H10" s="72" t="s">
        <v>172</v>
      </c>
      <c r="I10" s="73" t="s">
        <v>181</v>
      </c>
      <c r="J10" s="65" t="s">
        <v>182</v>
      </c>
      <c r="K10" s="65" t="s">
        <v>183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4" customFormat="1" x14ac:dyDescent="0.15">
      <c r="A11" s="60" t="s">
        <v>354</v>
      </c>
      <c r="B11" s="66" t="s">
        <v>200</v>
      </c>
      <c r="C11" s="61" t="s">
        <v>353</v>
      </c>
      <c r="D11" s="66" t="s">
        <v>170</v>
      </c>
      <c r="E11" s="67" t="str">
        <f t="shared" ref="E11:E13" si="1">B11&amp;C11&amp;D11</f>
        <v>stage_hints_data_f_13302_10.tmp</v>
      </c>
      <c r="F11" s="66" t="s">
        <v>208</v>
      </c>
      <c r="G11" s="72" t="s">
        <v>180</v>
      </c>
      <c r="H11" s="72" t="s">
        <v>172</v>
      </c>
      <c r="I11" s="73" t="s">
        <v>181</v>
      </c>
      <c r="J11" s="65" t="s">
        <v>182</v>
      </c>
      <c r="K11" s="65" t="s">
        <v>183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4" customFormat="1" x14ac:dyDescent="0.15">
      <c r="A12" s="60" t="s">
        <v>354</v>
      </c>
      <c r="B12" s="66" t="s">
        <v>201</v>
      </c>
      <c r="C12" s="61" t="s">
        <v>353</v>
      </c>
      <c r="D12" s="66" t="s">
        <v>170</v>
      </c>
      <c r="E12" s="67" t="str">
        <f t="shared" si="1"/>
        <v>stage_hints_i18n_13302_10.tmp</v>
      </c>
      <c r="F12" s="66" t="s">
        <v>209</v>
      </c>
      <c r="G12" s="73" t="s">
        <v>202</v>
      </c>
      <c r="H12" s="92" t="s">
        <v>203</v>
      </c>
      <c r="I12" s="72" t="s">
        <v>204</v>
      </c>
      <c r="J12" s="96" t="s">
        <v>205</v>
      </c>
      <c r="K12" s="65" t="s">
        <v>206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4" customFormat="1" x14ac:dyDescent="0.15">
      <c r="A13" s="60" t="s">
        <v>354</v>
      </c>
      <c r="B13" s="66" t="s">
        <v>244</v>
      </c>
      <c r="C13" s="61" t="s">
        <v>353</v>
      </c>
      <c r="D13" s="66" t="s">
        <v>225</v>
      </c>
      <c r="E13" s="67" t="str">
        <f t="shared" si="1"/>
        <v>stage_bonuses_13302_10.tmp</v>
      </c>
      <c r="F13" s="66" t="s">
        <v>224</v>
      </c>
      <c r="G13" s="72" t="s">
        <v>226</v>
      </c>
      <c r="H13" s="72" t="s">
        <v>227</v>
      </c>
      <c r="I13" s="72" t="s">
        <v>228</v>
      </c>
      <c r="J13" s="72" t="s">
        <v>229</v>
      </c>
      <c r="K13" s="72" t="s">
        <v>230</v>
      </c>
      <c r="L13" s="72" t="s">
        <v>231</v>
      </c>
      <c r="M13" s="72" t="s">
        <v>232</v>
      </c>
      <c r="N13" s="72" t="s">
        <v>233</v>
      </c>
      <c r="O13" s="72" t="s">
        <v>234</v>
      </c>
      <c r="P13" s="72" t="s">
        <v>235</v>
      </c>
      <c r="Q13" s="72" t="s">
        <v>236</v>
      </c>
      <c r="R13" s="72" t="s">
        <v>237</v>
      </c>
      <c r="S13" s="72" t="s">
        <v>238</v>
      </c>
      <c r="T13" s="72" t="s">
        <v>239</v>
      </c>
      <c r="U13" s="72" t="s">
        <v>240</v>
      </c>
      <c r="V13" s="72" t="s">
        <v>241</v>
      </c>
      <c r="W13" s="72" t="s">
        <v>242</v>
      </c>
      <c r="X13" s="72" t="s">
        <v>243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zoomScale="110" zoomScaleNormal="110" zoomScalePageLayoutView="11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13302_10-1</v>
      </c>
      <c r="B2" s="15" t="str">
        <f>IF(COUNTIF(enemy_habitats!$H:$H,A2),"OK","NG")</f>
        <v>OK</v>
      </c>
      <c r="C2" s="7">
        <v>13302</v>
      </c>
      <c r="D2" s="10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7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10</v>
      </c>
      <c r="G2" s="22" t="str">
        <f>C2&amp;"_"&amp;F2</f>
        <v>13302_10</v>
      </c>
      <c r="H2" s="14" t="str">
        <f ca="1">VLOOKUP($G2,OFFSET([2]stages!$A$1,0,0,COUNTA([2]stages!$A:$A),MATCH(H$1,[2]stages!$2:$2,0)-MATCH($G$1,[2]stages!$2:$2,0)+1),MATCH(H$1,[2]stages!$2:$2,0)-MATCH($G$1,[2]stages!$2:$2,0)+1,FALSE)</f>
        <v>10階 ボナンザ 現る！</v>
      </c>
      <c r="I2" s="20">
        <v>1</v>
      </c>
      <c r="J2" s="11">
        <v>30</v>
      </c>
      <c r="K2" s="11">
        <v>30</v>
      </c>
    </row>
    <row r="3" spans="1:11" ht="21" customHeight="1" x14ac:dyDescent="0.15">
      <c r="A3" s="15" t="str">
        <f>G3&amp;"-"&amp;I3</f>
        <v>13302_10-2</v>
      </c>
      <c r="B3" s="15" t="str">
        <f>IF(COUNTIF(enemy_habitats!$H:$H,A3),"OK","NG")</f>
        <v>OK</v>
      </c>
      <c r="C3" s="7">
        <v>13302</v>
      </c>
      <c r="D3" s="10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7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10</v>
      </c>
      <c r="G3" s="22" t="str">
        <f>C3&amp;"_"&amp;F3</f>
        <v>13302_10</v>
      </c>
      <c r="H3" s="14" t="str">
        <f ca="1">VLOOKUP($G3,OFFSET([2]stages!$A$1,0,0,COUNTA([2]stages!$A:$A),MATCH(H$1,[2]stages!$2:$2,0)-MATCH($G$1,[2]stages!$2:$2,0)+1),MATCH(H$1,[2]stages!$2:$2,0)-MATCH($G$1,[2]stages!$2:$2,0)+1,FALSE)</f>
        <v>10階 ボナンザ 現る！</v>
      </c>
      <c r="I3" s="20">
        <v>2</v>
      </c>
      <c r="J3" s="11">
        <v>60</v>
      </c>
      <c r="K3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"/>
  <sheetViews>
    <sheetView showGridLines="0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97" t="s">
        <v>245</v>
      </c>
      <c r="U1" s="25" t="s">
        <v>50</v>
      </c>
      <c r="V1" s="97" t="s">
        <v>246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178</v>
      </c>
    </row>
    <row r="2" spans="1:42" ht="21" customHeight="1" x14ac:dyDescent="0.15">
      <c r="A2" s="15" t="str">
        <f ca="1">B2&amp;"_"&amp;C2&amp;"-"&amp;G2&amp;"/"&amp;L2&amp;"&lt;lv"&amp;R2&amp;"&gt;s"&amp;AC2</f>
        <v>13302_10-1/84&lt;lv80&gt;s2</v>
      </c>
      <c r="B2" s="21">
        <v>13302</v>
      </c>
      <c r="C2" s="20">
        <v>10</v>
      </c>
      <c r="D2" s="2" t="str">
        <f>B2&amp;"_"&amp;C2</f>
        <v>13302_10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10階 ボナンザ 現る！</v>
      </c>
      <c r="G2" s="20">
        <v>1</v>
      </c>
      <c r="H2" s="14" t="str">
        <f>B2&amp;"_"&amp;C2&amp;"-"&amp;G2</f>
        <v>13302_10-1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7" t="s">
        <v>53</v>
      </c>
      <c r="L2" s="19">
        <v>84</v>
      </c>
      <c r="M2" s="16" t="str">
        <f ca="1">VLOOKUP($L2,OFFSET([3]enemies!$A$1,0,0,COUNTA([3]enemies!$A:$A),MATCH(M$1,[3]enemies!$1:$1,0)-MATCH($L$1,[3]enemies!$1:$1,0)+1),MATCH(M$1,[3]enemies!$1:$1,0)-MATCH($L$1,[3]enemies!$1:$1,0)+1,FALSE)</f>
        <v>高速拡散性ニムダE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80</v>
      </c>
      <c r="S2" s="24">
        <v>0.4</v>
      </c>
      <c r="T2" s="9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33226</v>
      </c>
      <c r="U2" s="24">
        <v>1.2</v>
      </c>
      <c r="V2" s="9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7812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緑属性に30ターンスキルバインド</v>
      </c>
      <c r="Y2" s="100">
        <v>13301900</v>
      </c>
      <c r="Z2" s="6">
        <v>1</v>
      </c>
      <c r="AA2" s="6">
        <v>100</v>
      </c>
      <c r="AB2" s="6">
        <v>0</v>
      </c>
      <c r="AC2" s="16">
        <f ca="1">VLOOKUP($L2,OFFSET([3]enemies!$A$1,0,0,COUNTA([3]enemies!$A:$A),MATCH(AC$1,[3]enemies!$1:$1,0)-MATCH($L$1,[3]enemies!$1:$1,0)+1),MATCH(AC$1,[3]enemies!$1:$1,0)-MATCH($L$1,[3]enemies!$1:$1,0)+1,FALSE)</f>
        <v>2</v>
      </c>
      <c r="AD2" s="23">
        <f>L2</f>
        <v>84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高速拡散性ニムダE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DropWizW</v>
      </c>
      <c r="AH2" s="7">
        <v>1</v>
      </c>
      <c r="AI2" s="23">
        <v>4</v>
      </c>
      <c r="AJ2" s="109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5" t="str">
        <f ca="1">B3&amp;"_"&amp;C3&amp;"-"&amp;G3&amp;"/"&amp;L3&amp;"&lt;lv"&amp;R3&amp;"&gt;s"&amp;AC3</f>
        <v>13302_10-2/1114&lt;lv80&gt;s3</v>
      </c>
      <c r="B3" s="21">
        <v>13302</v>
      </c>
      <c r="C3" s="20">
        <v>10</v>
      </c>
      <c r="D3" s="2" t="str">
        <f>B3&amp;"_"&amp;C3</f>
        <v>13302_10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10階 ボナンザ 現る！</v>
      </c>
      <c r="G3" s="20">
        <v>2</v>
      </c>
      <c r="H3" s="14" t="str">
        <f>B3&amp;"_"&amp;C3&amp;"-"&amp;G3</f>
        <v>13302_10-2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19">
        <v>1114</v>
      </c>
      <c r="M3" s="16" t="str">
        <f ca="1">VLOOKUP($L3,OFFSET([3]enemies!$A$1,0,0,COUNTA([3]enemies!$A:$A),MATCH(M$1,[3]enemies!$1:$1,0)-MATCH($L$1,[3]enemies!$1:$1,0)+1),MATCH(M$1,[3]enemies!$1:$1,0)-MATCH($L$1,[3]enemies!$1:$1,0)+1,FALSE)</f>
        <v>ボナンザ</v>
      </c>
      <c r="N3" s="16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DropWizSSS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6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4">
        <v>6</v>
      </c>
      <c r="T3" s="9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763134</v>
      </c>
      <c r="U3" s="24">
        <v>1.2</v>
      </c>
      <c r="V3" s="9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10362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やはり人間…お前たち蛮族の仕業だったのね</v>
      </c>
      <c r="Y3" s="101">
        <v>13301910</v>
      </c>
      <c r="Z3" s="6">
        <v>1</v>
      </c>
      <c r="AA3" s="6">
        <v>100</v>
      </c>
      <c r="AB3" s="6">
        <v>1</v>
      </c>
      <c r="AC3" s="16">
        <f ca="1">VLOOKUP($L3,OFFSET([3]enemies!$A$1,0,0,COUNTA([3]enemies!$A:$A),MATCH(AC$1,[3]enemies!$1:$1,0)-MATCH($L$1,[3]enemies!$1:$1,0)+1),MATCH(AC$1,[3]enemies!$1:$1,0)-MATCH($L$1,[3]enemies!$1:$1,0)+1,FALSE)</f>
        <v>3</v>
      </c>
      <c r="AD3" s="23">
        <f>L3</f>
        <v>1114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ボナンザ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DropWizSSS</v>
      </c>
      <c r="AH3" s="7">
        <v>1</v>
      </c>
      <c r="AI3" s="23">
        <v>5</v>
      </c>
      <c r="AJ3" s="109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3"/>
  <sheetViews>
    <sheetView showGridLines="0" zoomScale="120" zoomScaleNormal="120" zoomScalePageLayoutView="12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7" t="s">
        <v>245</v>
      </c>
      <c r="V1" s="25" t="s">
        <v>50</v>
      </c>
      <c r="W1" s="97" t="s">
        <v>246</v>
      </c>
      <c r="X1" s="25" t="s">
        <v>52</v>
      </c>
      <c r="Y1" s="27" t="s">
        <v>129</v>
      </c>
      <c r="Z1" s="28" t="s">
        <v>128</v>
      </c>
      <c r="AA1" s="27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13302_10-2/1114&lt;lv80&gt;sq1st2</v>
      </c>
      <c r="B2" s="21">
        <v>13302</v>
      </c>
      <c r="C2" s="20">
        <v>10</v>
      </c>
      <c r="D2" s="2" t="str">
        <f>B2&amp;"_"&amp;C2</f>
        <v>13302_10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10階 ボナンザ 現る！</v>
      </c>
      <c r="G2" s="20">
        <v>2</v>
      </c>
      <c r="H2" s="14" t="str">
        <f>B2&amp;"_"&amp;C2&amp;"-"&amp;G2</f>
        <v>13302_10-2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1114</v>
      </c>
      <c r="N2" s="16" t="str">
        <f ca="1">VLOOKUP($M2,OFFSET([3]enemies!$A$1,0,0,COUNTA([3]enemies!$A:$A),MATCH(N$1,[3]enemies!$1:$1,0)-MATCH($M$1,[3]enemies!$1:$1,0)+1),MATCH(N$1,[3]enemies!$1:$1,0)-MATCH($M$1,[3]enemies!$1:$1,0)+1,FALSE)</f>
        <v>ボナンザ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DropWizSSS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4">
        <v>8.8000000000000007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1119263.2000000002</v>
      </c>
      <c r="V2" s="24">
        <v>1.3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11225.5</v>
      </c>
      <c r="X2" s="5">
        <v>0</v>
      </c>
      <c r="Y2" s="4"/>
      <c r="Z2" s="100">
        <v>13301920</v>
      </c>
      <c r="AA2" s="69">
        <f ca="1">VLOOKUP($M2,OFFSET([3]enemies!$A$1,0,0,COUNTA([3]enemies!$A:$A),MATCH(AA$1,[3]enemies!$1:$1,0)-MATCH($M$1,[3]enemies!$1:$1,0)+1),MATCH(AA$1,[3]enemies!$1:$1,0)-MATCH($M$1,[3]enemies!$1:$1,0)+1,FALSE)</f>
        <v>3</v>
      </c>
    </row>
    <row r="3" spans="1:27" ht="21" customHeight="1" x14ac:dyDescent="0.15">
      <c r="A3" s="15" t="str">
        <f>B3&amp;"_"&amp;C3&amp;"-"&amp;G3&amp;"/"&amp;M3&amp;"&lt;lv"&amp;S3&amp;"&gt;sq"&amp;K3&amp;"st"&amp;L3</f>
        <v>13302_10-2/1114&lt;lv80&gt;sq1st3</v>
      </c>
      <c r="B3" s="21">
        <v>13302</v>
      </c>
      <c r="C3" s="20">
        <v>10</v>
      </c>
      <c r="D3" s="2" t="str">
        <f>B3&amp;"_"&amp;C3</f>
        <v>13302_10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10階 ボナンザ 現る！</v>
      </c>
      <c r="G3" s="20">
        <v>2</v>
      </c>
      <c r="H3" s="14" t="str">
        <f>B3&amp;"_"&amp;C3&amp;"-"&amp;G3</f>
        <v>13302_10-2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37">
        <v>3</v>
      </c>
      <c r="M3" s="19">
        <v>1114</v>
      </c>
      <c r="N3" s="16" t="str">
        <f ca="1">VLOOKUP($M3,OFFSET([3]enemies!$A$1,0,0,COUNTA([3]enemies!$A:$A),MATCH(N$1,[3]enemies!$1:$1,0)-MATCH($M$1,[3]enemies!$1:$1,0)+1),MATCH(N$1,[3]enemies!$1:$1,0)-MATCH($M$1,[3]enemies!$1:$1,0)+1,FALSE)</f>
        <v>ボナンザ</v>
      </c>
      <c r="O3" s="1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DropWizSSS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4">
        <v>8.1999999999999993</v>
      </c>
      <c r="U3" s="98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1042949.7999999999</v>
      </c>
      <c r="V3" s="24">
        <v>1.5</v>
      </c>
      <c r="W3" s="98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12952.5</v>
      </c>
      <c r="X3" s="5">
        <v>0</v>
      </c>
      <c r="Y3" s="4"/>
      <c r="Z3" s="100">
        <v>13301930</v>
      </c>
      <c r="AA3" s="69">
        <f ca="1">VLOOKUP($M3,OFFSET([3]enemies!$A$1,0,0,COUNTA([3]enemies!$A:$A),MATCH(AA$1,[3]enemies!$1:$1,0)-MATCH($M$1,[3]enemies!$1:$1,0)+1),MATCH(AA$1,[3]enemies!$1:$1,0)-MATCH($M$1,[3]enemies!$1:$1,0)+1,FALSE)</f>
        <v>3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6"/>
  <sheetViews>
    <sheetView showGridLines="0" zoomScale="130" zoomScaleNormal="130" zoomScalePageLayoutView="13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13301900_13301901</v>
      </c>
      <c r="B2" s="46">
        <v>13301900</v>
      </c>
      <c r="C2" s="46">
        <v>13301901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バチバチするよ！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緑属性に30ターンスキルバインド</v>
      </c>
      <c r="F2" s="46">
        <v>13301901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5" si="1">B3&amp;"_"&amp;C3</f>
        <v>13301900_13301902</v>
      </c>
      <c r="B3" s="46">
        <v>13301900</v>
      </c>
      <c r="C3" s="46">
        <v>13301902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拡散する領域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2ターンウィルス+全体攻撃+_x000D_防御力激烈UP</v>
      </c>
      <c r="F3" s="46">
        <v>13301902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13301900_13301903</v>
      </c>
      <c r="B4" s="46">
        <v>13301900</v>
      </c>
      <c r="C4" s="46">
        <v>13301903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更に拡散する領域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2ターンウィルス+全体攻撃</v>
      </c>
      <c r="F4" s="46">
        <v>13301903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13301900_13301904</v>
      </c>
      <c r="B5" s="46">
        <v>13301900</v>
      </c>
      <c r="C5" s="46">
        <v>13301904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……！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何かに怯えるように去っていった</v>
      </c>
      <c r="F5" s="46">
        <v>13301904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">
        <v>253</v>
      </c>
      <c r="B6" s="102">
        <v>13301910</v>
      </c>
      <c r="C6" s="102">
        <v>13301911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下層が騒がしいので来てみれば…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やはり人間…お前たち蛮族の仕業だったのね</v>
      </c>
      <c r="F6" s="102">
        <v>13301911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">
        <v>253</v>
      </c>
      <c r="B7" s="102">
        <v>13301910</v>
      </c>
      <c r="C7" s="102">
        <v>13301912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この塔は神聖なる領域よ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2ターン超強力なウィルス</v>
      </c>
      <c r="F7" s="102">
        <v>13301912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">
        <v>253</v>
      </c>
      <c r="B8" s="102">
        <v>13301910</v>
      </c>
      <c r="C8" s="102">
        <v>13301913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お前たちに許される場ではないわ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102">
        <v>13301913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">
        <v>253</v>
      </c>
      <c r="B9" s="102">
        <v>13301910</v>
      </c>
      <c r="C9" s="102">
        <v>13301914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犠牲…　秩序のためよ…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9" s="102">
        <v>13301914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">
        <v>253</v>
      </c>
      <c r="B10" s="46">
        <v>13301920</v>
      </c>
      <c r="C10" s="46">
        <v>13301921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より効率的な殲滅手段を用意するわ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状態異常耐性+青パネル無効</v>
      </c>
      <c r="F10" s="46">
        <v>13301921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">
        <v>253</v>
      </c>
      <c r="B11" s="46">
        <v>13301920</v>
      </c>
      <c r="C11" s="46">
        <v>13301922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侵食の楔！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単体に2ターンウィルス＆攻撃</v>
      </c>
      <c r="F11" s="46">
        <v>13301922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">
        <v>253</v>
      </c>
      <c r="B12" s="46">
        <v>13301920</v>
      </c>
      <c r="C12" s="46">
        <v>13301923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不純であれど_x000D_愚かでない事は知ってるわ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5ターン確率で時限式ダメージパネルドロップ+_x000D_単体攻撃</v>
      </c>
      <c r="F12" s="46">
        <v>13301923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">
        <v>253</v>
      </c>
      <c r="B13" s="46">
        <v>13301920</v>
      </c>
      <c r="C13" s="46">
        <v>13301924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だからこそのしぶとさ…醜いわね…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青・緑パネルを吸収して攻撃</v>
      </c>
      <c r="F13" s="46">
        <v>13301924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65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">
        <v>253</v>
      </c>
      <c r="B14" s="46">
        <v>13301920</v>
      </c>
      <c r="C14" s="46">
        <v>13301925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更なる侵食が必要ね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2ターンウィルス+単体攻撃</v>
      </c>
      <c r="F14" s="46">
        <v>13301925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6"/>
      <c r="Q14" s="46"/>
      <c r="R14" s="46"/>
    </row>
    <row r="15" spans="1:18" ht="21" customHeight="1" x14ac:dyDescent="0.15">
      <c r="A15" s="38" t="s">
        <v>253</v>
      </c>
      <c r="B15" s="46">
        <v>13301920</v>
      </c>
      <c r="C15" s="46">
        <v>13301926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力の片鱗を魅せてあげるわ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5ターンハートパネル無効+攻撃頻度UP</v>
      </c>
      <c r="F15" s="46">
        <v>13301926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">
        <v>253</v>
      </c>
      <c r="B16" s="102">
        <v>13301930</v>
      </c>
      <c r="C16" s="102">
        <v>13301931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そうまでして力が欲しいの？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欲深き存在…その力で何をするつもり？</v>
      </c>
      <c r="F16" s="102">
        <v>13301931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">
        <v>253</v>
      </c>
      <c r="B17" s="102">
        <v>13301930</v>
      </c>
      <c r="C17" s="102">
        <v>13301932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まずはお前だ。劣等種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</v>
      </c>
      <c r="F17" s="102">
        <v>13301932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">
        <v>253</v>
      </c>
      <c r="B18" s="102">
        <v>13301930</v>
      </c>
      <c r="C18" s="102">
        <v>13301933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穢れよ、滅びなさい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単体に3ターン超強力なウィルス+5回連続攻撃</v>
      </c>
      <c r="F18" s="102">
        <v>13301933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">
        <v>253</v>
      </c>
      <c r="B19" s="102">
        <v>13301930</v>
      </c>
      <c r="C19" s="102">
        <v>13301934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かつては私も信じていたのよ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赤パネルをハートパネルに変換+_x000D_青パネルを緑パネルに変換</v>
      </c>
      <c r="F19" s="102">
        <v>13301934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">
        <v>253</v>
      </c>
      <c r="B20" s="102">
        <v>13301930</v>
      </c>
      <c r="C20" s="102">
        <v>13301935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お前たちの意志を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0" s="102">
        <v>13301935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209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">
        <v>253</v>
      </c>
      <c r="B21" s="102">
        <v>13301930</v>
      </c>
      <c r="C21" s="102">
        <v>13301936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お前たちの理性を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1" s="102">
        <v>13301936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208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">
        <v>253</v>
      </c>
      <c r="B22" s="102">
        <v>13301930</v>
      </c>
      <c r="C22" s="102">
        <v>13301937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お前たちの希望を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2" s="102">
        <v>13301937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207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">
        <v>253</v>
      </c>
      <c r="B23" s="102">
        <v>13301930</v>
      </c>
      <c r="C23" s="102">
        <v>13301938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お前たちの未来を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3" s="102">
        <v>13301938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206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">
        <v>253</v>
      </c>
      <c r="B24" s="102">
        <v>13301930</v>
      </c>
      <c r="C24" s="102">
        <v>13301939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そんなもの、存在しないというのに！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だんだん強くなるウィルス+クリティカル！</v>
      </c>
      <c r="F24" s="102">
        <v>13301939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205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">
        <v>253</v>
      </c>
      <c r="B25" s="102">
        <v>13301930</v>
      </c>
      <c r="C25" s="102">
        <v>13301940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這いつくばって命乞いなさい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残りHPの70%ダメージ！</v>
      </c>
      <c r="F25" s="102">
        <v>13301940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">
        <v>253</v>
      </c>
      <c r="B26" s="102">
        <v>13301930</v>
      </c>
      <c r="C26" s="102">
        <v>13301941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フン…調子に乗らないことね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私の核は最上階にある。_x000D_その舞台で次こそ葬ってあげる…！</v>
      </c>
      <c r="F26" s="102">
        <v>13301941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6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121" style="48" customWidth="1"/>
    <col min="3" max="4" width="5.6640625" style="48" customWidth="1"/>
    <col min="5" max="5" width="27.33203125" style="48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126</v>
      </c>
      <c r="E1" s="39" t="s">
        <v>82</v>
      </c>
      <c r="F1" s="39" t="s">
        <v>83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76</v>
      </c>
      <c r="AA1" s="40" t="s">
        <v>77</v>
      </c>
      <c r="AB1" s="40" t="s">
        <v>78</v>
      </c>
    </row>
    <row r="2" spans="1:28" ht="34" customHeight="1" x14ac:dyDescent="0.15">
      <c r="A2" s="46">
        <v>13301901</v>
      </c>
      <c r="B2" s="46" t="s">
        <v>324</v>
      </c>
      <c r="C2" s="49">
        <v>1</v>
      </c>
      <c r="D2" s="49" t="s">
        <v>127</v>
      </c>
      <c r="E2" s="50" t="s">
        <v>315</v>
      </c>
      <c r="F2" s="50" t="s">
        <v>325</v>
      </c>
      <c r="G2" s="62" t="str">
        <f>IFERROR(LEFT(B2,FIND("],",B2)),B2)</f>
        <v>[effect:enemy_message, val1:1.4, val2:2.2]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[effect:fix_speed, target:myself, turn:1],[effect:hungup, target:unit_green, turn:30, rate:1, animation:hungup04]</v>
      </c>
      <c r="N2" s="47" t="str">
        <f>IFERROR(LEFT(M2,FIND("],",M2)+S21),M2)</f>
        <v>[effect:fix_speed, target:myself, turn:1],[effect:hungup, target:unit_green, turn:30, rate:1, animation:hungup04]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33</v>
      </c>
      <c r="S2" s="62" t="str">
        <f>IFERROR(VLOOKUP(MID(N2,Q2,R2-Q2),[5]skilldef!$C:$D,2,FALSE),"-") &amp; " / " &amp; IFERROR(VLOOKUP(MID(N2,O2,P2-O2),[5]skilldef!$A:$B,2,FALSE),"-")</f>
        <v>自分自身に / 行動値設定</v>
      </c>
      <c r="T2" s="47" t="str">
        <f>IFERROR(RIGHT(M2,LEN(M2)-FIND("],",M2)-1),"none")</f>
        <v>[effect:hungup, target:unit_green, turn:30, rate:1, animation:hungup04]</v>
      </c>
      <c r="U2" s="62">
        <f>FIND("effect:",T2)+7</f>
        <v>9</v>
      </c>
      <c r="V2" s="62">
        <f>IFERROR(FIND(",",T2),LEN(T2))</f>
        <v>15</v>
      </c>
      <c r="W2" s="62">
        <f>FIND("target:",T2)+7</f>
        <v>24</v>
      </c>
      <c r="X2" s="62">
        <f>FIND(",",T2,V2+1)</f>
        <v>34</v>
      </c>
      <c r="Y2" s="62" t="str">
        <f>IFERROR(VLOOKUP(MID(T2,W2,X2-W2),[5]skilldef!$C:$D,2,FALSE),"-") &amp; " / " &amp; IFERROR(VLOOKUP(MID(T2,U2,V2-U2),[5]skilldef!$A:$B,2,FALSE),"-")</f>
        <v>緑の味方に / ハングアップ</v>
      </c>
      <c r="Z2" s="49"/>
      <c r="AA2" s="51"/>
      <c r="AB2" s="49"/>
    </row>
    <row r="3" spans="1:28" ht="34" customHeight="1" x14ac:dyDescent="0.15">
      <c r="A3" s="46">
        <v>13301902</v>
      </c>
      <c r="B3" s="46" t="s">
        <v>341</v>
      </c>
      <c r="C3" s="49">
        <v>1</v>
      </c>
      <c r="D3" s="49" t="s">
        <v>127</v>
      </c>
      <c r="E3" s="50" t="s">
        <v>268</v>
      </c>
      <c r="F3" s="50" t="s">
        <v>321</v>
      </c>
      <c r="G3" s="62" t="str">
        <f t="shared" ref="G3:G5" si="0">IFERROR(LEFT(B3,FIND("],",B3)),B3)</f>
        <v>[effect:virus, target:unit_all, turn:2, rate:1, val:0.07, calc_type:target_all, animation:enemy_virus]</v>
      </c>
      <c r="H3" s="62">
        <f t="shared" ref="H3:H5" si="1">FIND("effect:",G3)+7</f>
        <v>9</v>
      </c>
      <c r="I3" s="62">
        <f t="shared" ref="I3:I5" si="2">IFERROR(FIND(",",G3),LEN(G3))</f>
        <v>14</v>
      </c>
      <c r="J3" s="62">
        <f t="shared" ref="J3:J5" si="3">FIND("target:",G3)+7</f>
        <v>23</v>
      </c>
      <c r="K3" s="62">
        <f t="shared" ref="K3:K5" si="4">FIND(",",G3,I3+1)</f>
        <v>31</v>
      </c>
      <c r="L3" s="62" t="str">
        <f>IFERROR(VLOOKUP(MID(G3,J3,K3-J3),[5]skilldef!$C:$D,2,FALSE),"-") &amp; " / " &amp; IFERROR(VLOOKUP(MID(G3,H3,I3-H3),[5]skilldef!$A:$B,2,FALSE),"-")</f>
        <v>味方全体に / ウィルス</v>
      </c>
      <c r="M3" s="62" t="str">
        <f t="shared" ref="M3:M5" si="5">IFERROR(RIGHT(B3,LEN(B3)-FIND("],",B3)-1),"none")</f>
        <v>[effect:spread, val:0.18],[effect:enhance_enemy, target:myself, turn:2, status:defense, val:100000, calc:add, animation:enemy_enhance_defense],[effect:fix_speed, target:myself, turn:2],[effect:enemy_message, val1:1.4, val2:2.7]</v>
      </c>
      <c r="N3" s="47" t="str">
        <f>IFERROR(LEFT(M3,FIND("],",M3)+S22),M3)</f>
        <v>[effect:spread, val:0.18],[effect:enhance_enemy, target:myself, turn:2, status:defense, val:100000, calc:add, animation:enemy_enhance_defense],[effect:fix_speed, target:myself, turn:2],[effect:enemy_message, val1:1.4, val2:2.7]</v>
      </c>
      <c r="O3" s="62">
        <f t="shared" ref="O3:O5" si="6">FIND("effect:",N3)+7</f>
        <v>9</v>
      </c>
      <c r="P3" s="62">
        <f t="shared" ref="P3:P5" si="7">IFERROR(FIND(",",N3),LEN(N3))</f>
        <v>15</v>
      </c>
      <c r="Q3" s="62">
        <f t="shared" ref="Q3:Q5" si="8">FIND("target:",N3)+7</f>
        <v>57</v>
      </c>
      <c r="R3" s="62">
        <f t="shared" ref="R3:R5" si="9">FIND(",",N3,P3+1)</f>
        <v>26</v>
      </c>
      <c r="S3" s="62" t="str">
        <f>IFERROR(VLOOKUP(MID(N3,Q3,R3-Q3),[5]skilldef!$C:$D,2,FALSE),"-") &amp; " / " &amp; IFERROR(VLOOKUP(MID(N3,O3,P3-O3),[5]skilldef!$A:$B,2,FALSE),"-")</f>
        <v>- / 全体攻撃</v>
      </c>
      <c r="T3" s="47" t="str">
        <f t="shared" ref="T3:T5" si="10">IFERROR(RIGHT(M3,LEN(M3)-FIND("],",M3)-1),"none")</f>
        <v>[effect:enhance_enemy, target:myself, turn:2, status:defense, val:100000, calc:add, animation:enemy_enhance_defense],[effect:fix_speed, target:myself, turn:2],[effect:enemy_message, val1:1.4, val2:2.7]</v>
      </c>
      <c r="U3" s="62">
        <f t="shared" ref="U3:U5" si="11">FIND("effect:",T3)+7</f>
        <v>9</v>
      </c>
      <c r="V3" s="62">
        <f t="shared" ref="V3:V5" si="12">IFERROR(FIND(",",T3),LEN(T3))</f>
        <v>22</v>
      </c>
      <c r="W3" s="62">
        <f t="shared" ref="W3:W5" si="13">FIND("target:",T3)+7</f>
        <v>31</v>
      </c>
      <c r="X3" s="62">
        <f t="shared" ref="X3:X5" si="14">FIND(",",T3,V3+1)</f>
        <v>37</v>
      </c>
      <c r="Y3" s="62" t="str">
        <f>IFERROR(VLOOKUP(MID(T3,W3,X3-W3),[5]skilldef!$C:$D,2,FALSE),"-") &amp; " / " &amp; IFERROR(VLOOKUP(MID(T3,U3,V3-U3),[5]skilldef!$A:$B,2,FALSE),"-")</f>
        <v>自分自身に / ステータス強化</v>
      </c>
      <c r="Z3" s="49"/>
      <c r="AA3" s="51"/>
      <c r="AB3" s="49"/>
    </row>
    <row r="4" spans="1:28" ht="34" customHeight="1" x14ac:dyDescent="0.15">
      <c r="A4" s="46">
        <v>13301903</v>
      </c>
      <c r="B4" s="46" t="s">
        <v>342</v>
      </c>
      <c r="C4" s="49">
        <v>1</v>
      </c>
      <c r="D4" s="49" t="s">
        <v>127</v>
      </c>
      <c r="E4" s="50" t="s">
        <v>269</v>
      </c>
      <c r="F4" s="50" t="s">
        <v>340</v>
      </c>
      <c r="G4" s="62" t="str">
        <f t="shared" si="0"/>
        <v>[effect:virus, target:unit_all, turn:2, rate:1, val:0.1.5, calc_type:target_all, animation:enemy_virus]</v>
      </c>
      <c r="H4" s="62">
        <f t="shared" si="1"/>
        <v>9</v>
      </c>
      <c r="I4" s="62">
        <f t="shared" si="2"/>
        <v>14</v>
      </c>
      <c r="J4" s="62">
        <f t="shared" si="3"/>
        <v>23</v>
      </c>
      <c r="K4" s="62">
        <f t="shared" si="4"/>
        <v>31</v>
      </c>
      <c r="L4" s="62" t="str">
        <f>IFERROR(VLOOKUP(MID(G4,J4,K4-J4),[5]skilldef!$C:$D,2,FALSE),"-") &amp; " / " &amp; IFERROR(VLOOKUP(MID(G4,H4,I4-H4),[5]skilldef!$A:$B,2,FALSE),"-")</f>
        <v>味方全体に / ウィルス</v>
      </c>
      <c r="M4" s="62" t="str">
        <f t="shared" si="5"/>
        <v>[effect:spread, val:0.23],[effect:enemy_message, val1:1.4, val2:2.3]</v>
      </c>
      <c r="N4" s="47" t="str">
        <f>IFERROR(LEFT(M4,FIND("],",M4)+S23),M4)</f>
        <v>[effect:spread, val:0.23],[effect:enemy_message, val1:1.4, val2:2.3]</v>
      </c>
      <c r="O4" s="62">
        <f t="shared" si="6"/>
        <v>9</v>
      </c>
      <c r="P4" s="62">
        <f t="shared" si="7"/>
        <v>15</v>
      </c>
      <c r="Q4" s="62" t="e">
        <f t="shared" si="8"/>
        <v>#VALUE!</v>
      </c>
      <c r="R4" s="62">
        <f t="shared" si="9"/>
        <v>26</v>
      </c>
      <c r="S4" s="62" t="str">
        <f>IFERROR(VLOOKUP(MID(N4,Q4,R4-Q4),[5]skilldef!$C:$D,2,FALSE),"-") &amp; " / " &amp; IFERROR(VLOOKUP(MID(N4,O4,P4-O4),[5]skilldef!$A:$B,2,FALSE),"-")</f>
        <v>- / 全体攻撃</v>
      </c>
      <c r="T4" s="47" t="str">
        <f t="shared" si="10"/>
        <v>[effect:enemy_message, val1:1.4, val2:2.3]</v>
      </c>
      <c r="U4" s="62">
        <f t="shared" si="11"/>
        <v>9</v>
      </c>
      <c r="V4" s="62">
        <f t="shared" si="12"/>
        <v>22</v>
      </c>
      <c r="W4" s="62" t="e">
        <f t="shared" si="13"/>
        <v>#VALUE!</v>
      </c>
      <c r="X4" s="62">
        <f t="shared" si="14"/>
        <v>32</v>
      </c>
      <c r="Y4" s="62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34" customHeight="1" x14ac:dyDescent="0.15">
      <c r="A5" s="46">
        <v>13301904</v>
      </c>
      <c r="B5" s="46" t="s">
        <v>265</v>
      </c>
      <c r="C5" s="49">
        <v>1</v>
      </c>
      <c r="D5" s="49" t="s">
        <v>127</v>
      </c>
      <c r="E5" s="50" t="s">
        <v>281</v>
      </c>
      <c r="F5" s="50" t="s">
        <v>267</v>
      </c>
      <c r="G5" s="62" t="str">
        <f t="shared" si="0"/>
        <v>[effect:suicide, val:1, dead_type:escape, target:myself]</v>
      </c>
      <c r="H5" s="62">
        <f t="shared" si="1"/>
        <v>9</v>
      </c>
      <c r="I5" s="62">
        <f t="shared" si="2"/>
        <v>16</v>
      </c>
      <c r="J5" s="62">
        <f t="shared" si="3"/>
        <v>50</v>
      </c>
      <c r="K5" s="62">
        <f t="shared" si="4"/>
        <v>23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si="5"/>
        <v>none</v>
      </c>
      <c r="N5" s="47" t="str">
        <f>IFERROR(LEFT(M5,FIND("],",M5)+S24),M5)</f>
        <v>none</v>
      </c>
      <c r="O5" s="62" t="e">
        <f t="shared" si="6"/>
        <v>#VALUE!</v>
      </c>
      <c r="P5" s="62">
        <f t="shared" si="7"/>
        <v>4</v>
      </c>
      <c r="Q5" s="62" t="e">
        <f t="shared" si="8"/>
        <v>#VALUE!</v>
      </c>
      <c r="R5" s="62" t="e">
        <f t="shared" si="9"/>
        <v>#VALUE!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si="10"/>
        <v>none</v>
      </c>
      <c r="U5" s="62" t="e">
        <f t="shared" si="11"/>
        <v>#VALUE!</v>
      </c>
      <c r="V5" s="62">
        <f t="shared" si="12"/>
        <v>4</v>
      </c>
      <c r="W5" s="62" t="e">
        <f t="shared" si="13"/>
        <v>#VALUE!</v>
      </c>
      <c r="X5" s="62" t="e">
        <f t="shared" si="14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34" customHeight="1" x14ac:dyDescent="0.15">
      <c r="A6" s="102">
        <v>13301911</v>
      </c>
      <c r="B6" s="102" t="s">
        <v>329</v>
      </c>
      <c r="C6" s="103">
        <v>1</v>
      </c>
      <c r="D6" s="103" t="s">
        <v>127</v>
      </c>
      <c r="E6" s="104" t="s">
        <v>282</v>
      </c>
      <c r="F6" s="104" t="s">
        <v>287</v>
      </c>
      <c r="G6" s="62" t="str">
        <f>IFERROR(LEFT(B6,FIND("],",B6)),B6)</f>
        <v>[effect:enemy_message, val1:1.7, val2:2.3]</v>
      </c>
      <c r="H6" s="62">
        <f>FIND("effect:",G6)+7</f>
        <v>9</v>
      </c>
      <c r="I6" s="62">
        <f>IFERROR(FIND(",",G6),LEN(G6))</f>
        <v>22</v>
      </c>
      <c r="J6" s="62" t="e">
        <f>FIND("target:",G6)+7</f>
        <v>#VALUE!</v>
      </c>
      <c r="K6" s="62">
        <f>FIND(",",G6,I6+1)</f>
        <v>32</v>
      </c>
      <c r="L6" s="62" t="str">
        <f>IFERROR(VLOOKUP(MID(G6,J6,K6-J6),[5]skilldef!$C:$D,2,FALSE),"-") &amp; " / " &amp; IFERROR(VLOOKUP(MID(G6,H6,I6-H6),[5]skilldef!$A:$B,2,FALSE),"-")</f>
        <v>- / -</v>
      </c>
      <c r="M6" s="62" t="str">
        <f>IFERROR(RIGHT(B6,LEN(B6)-FIND("],",B6)-1),"none")</f>
        <v>[effect:tolerance, target:myself, turn:-1, tolerance_effect:all, count:-1, animation:enemy_tolerance],[effect:fix_speed, target:myself, turn:2]</v>
      </c>
      <c r="N6" s="47" t="str">
        <f>IFERROR(LEFT(M6,FIND("],",M6)+S23),M6)</f>
        <v>[effect:tolerance, target:myself, turn:-1, tolerance_effect:all, count:-1, animation:enemy_tolerance],[effect:fix_speed, target:myself, turn:2]</v>
      </c>
      <c r="O6" s="62">
        <f>FIND("effect:",N6)+7</f>
        <v>9</v>
      </c>
      <c r="P6" s="62">
        <f>IFERROR(FIND(",",N6),LEN(N6))</f>
        <v>18</v>
      </c>
      <c r="Q6" s="62">
        <f>FIND("target:",N6)+7</f>
        <v>27</v>
      </c>
      <c r="R6" s="62">
        <f>FIND(",",N6,P6+1)</f>
        <v>33</v>
      </c>
      <c r="S6" s="62" t="str">
        <f>IFERROR(VLOOKUP(MID(N6,Q6,R6-Q6),[5]skilldef!$C:$D,2,FALSE),"-") &amp; " / " &amp; IFERROR(VLOOKUP(MID(N6,O6,P6-O6),[5]skilldef!$A:$B,2,FALSE),"-")</f>
        <v>自分自身に / 状態異常耐性</v>
      </c>
      <c r="T6" s="47" t="str">
        <f>IFERROR(RIGHT(M6,LEN(M6)-FIND("],",M6)-1),"none")</f>
        <v>[effect:fix_speed, target:myself, turn:2]</v>
      </c>
      <c r="U6" s="62">
        <f>FIND("effect:",T6)+7</f>
        <v>9</v>
      </c>
      <c r="V6" s="62">
        <f>IFERROR(FIND(",",T6),LEN(T6))</f>
        <v>18</v>
      </c>
      <c r="W6" s="62">
        <f>FIND("target:",T6)+7</f>
        <v>27</v>
      </c>
      <c r="X6" s="62">
        <f>FIND(",",T6,V6+1)</f>
        <v>33</v>
      </c>
      <c r="Y6" s="62" t="str">
        <f>IFERROR(VLOOKUP(MID(T6,W6,X6-W6),[5]skilldef!$C:$D,2,FALSE),"-") &amp; " / " &amp; IFERROR(VLOOKUP(MID(T6,U6,V6-U6),[5]skilldef!$A:$B,2,FALSE),"-")</f>
        <v>自分自身に / 行動値設定</v>
      </c>
      <c r="Z6" s="49"/>
      <c r="AA6" s="51"/>
      <c r="AB6" s="49"/>
    </row>
    <row r="7" spans="1:28" ht="34" customHeight="1" x14ac:dyDescent="0.15">
      <c r="A7" s="102">
        <v>13301912</v>
      </c>
      <c r="B7" s="102" t="s">
        <v>343</v>
      </c>
      <c r="C7" s="103">
        <v>1</v>
      </c>
      <c r="D7" s="103" t="s">
        <v>127</v>
      </c>
      <c r="E7" s="104" t="s">
        <v>288</v>
      </c>
      <c r="F7" s="104" t="s">
        <v>270</v>
      </c>
      <c r="G7" s="62" t="str">
        <f t="shared" ref="G7:G9" si="15">IFERROR(LEFT(B7,FIND("],",B7)),B7)</f>
        <v>[effect:enemy_message, val1:1.5, val2:1.8]</v>
      </c>
      <c r="H7" s="62">
        <f t="shared" ref="H7:H9" si="16">FIND("effect:",G7)+7</f>
        <v>9</v>
      </c>
      <c r="I7" s="62">
        <f t="shared" ref="I7:I9" si="17">IFERROR(FIND(",",G7),LEN(G7))</f>
        <v>22</v>
      </c>
      <c r="J7" s="62" t="e">
        <f t="shared" ref="J7:J9" si="18">FIND("target:",G7)+7</f>
        <v>#VALUE!</v>
      </c>
      <c r="K7" s="62">
        <f t="shared" ref="K7:K9" si="19">FIND(",",G7,I7+1)</f>
        <v>32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 t="shared" ref="M7:M9" si="20">IFERROR(RIGHT(B7,LEN(B7)-FIND("],",B7)-1),"none")</f>
        <v>[effect:virus, target:unit_all, turn:2, rate:1, val:0.55, calc_type:target_all, animation:enemy_virus]</v>
      </c>
      <c r="N7" s="47" t="str">
        <f>IFERROR(LEFT(M7,FIND("],",M7)+S24),M7)</f>
        <v>[effect:virus, target:unit_all, turn:2, rate:1, val:0.55, calc_type:target_all, animation:enemy_virus]</v>
      </c>
      <c r="O7" s="62">
        <f t="shared" ref="O7:O9" si="21">FIND("effect:",N7)+7</f>
        <v>9</v>
      </c>
      <c r="P7" s="62">
        <f t="shared" ref="P7:P9" si="22">IFERROR(FIND(",",N7),LEN(N7))</f>
        <v>14</v>
      </c>
      <c r="Q7" s="62">
        <f t="shared" ref="Q7:Q9" si="23">FIND("target:",N7)+7</f>
        <v>23</v>
      </c>
      <c r="R7" s="62">
        <f t="shared" ref="R7:R9" si="24">FIND(",",N7,P7+1)</f>
        <v>31</v>
      </c>
      <c r="S7" s="62" t="str">
        <f>IFERROR(VLOOKUP(MID(N7,Q7,R7-Q7),[5]skilldef!$C:$D,2,FALSE),"-") &amp; " / " &amp; IFERROR(VLOOKUP(MID(N7,O7,P7-O7),[5]skilldef!$A:$B,2,FALSE),"-")</f>
        <v>味方全体に / ウィルス</v>
      </c>
      <c r="T7" s="47" t="str">
        <f t="shared" ref="T7:T9" si="25">IFERROR(RIGHT(M7,LEN(M7)-FIND("],",M7)-1),"none")</f>
        <v>none</v>
      </c>
      <c r="U7" s="62" t="e">
        <f t="shared" ref="U7:U9" si="26">FIND("effect:",T7)+7</f>
        <v>#VALUE!</v>
      </c>
      <c r="V7" s="62">
        <f t="shared" ref="V7:V9" si="27">IFERROR(FIND(",",T7),LEN(T7))</f>
        <v>4</v>
      </c>
      <c r="W7" s="62" t="e">
        <f t="shared" ref="W7:W9" si="28">FIND("target:",T7)+7</f>
        <v>#VALUE!</v>
      </c>
      <c r="X7" s="62" t="e">
        <f t="shared" ref="X7:X9" si="29">FIND(",",T7,V7+1)</f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34" customHeight="1" x14ac:dyDescent="0.15">
      <c r="A8" s="102">
        <v>13301913</v>
      </c>
      <c r="B8" s="102" t="s">
        <v>328</v>
      </c>
      <c r="C8" s="103">
        <v>1</v>
      </c>
      <c r="D8" s="103" t="s">
        <v>127</v>
      </c>
      <c r="E8" s="110" t="s">
        <v>289</v>
      </c>
      <c r="F8" s="104" t="s">
        <v>271</v>
      </c>
      <c r="G8" s="62" t="str">
        <f t="shared" si="15"/>
        <v>[effect:enemy_message, val1:1.7, val2:1.5]</v>
      </c>
      <c r="H8" s="62">
        <f t="shared" si="16"/>
        <v>9</v>
      </c>
      <c r="I8" s="62">
        <f t="shared" si="17"/>
        <v>22</v>
      </c>
      <c r="J8" s="62" t="e">
        <f t="shared" si="18"/>
        <v>#VALUE!</v>
      </c>
      <c r="K8" s="62">
        <f t="shared" si="19"/>
        <v>32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20"/>
        <v>[effect:critical, val:2.5],[effect:fix_speed, target:myself, turn:1]</v>
      </c>
      <c r="N8" s="47" t="str">
        <f>IFERROR(LEFT(M8,FIND("],",M8)+#REF!),M8)</f>
        <v>[effect:critical, val:2.5],[effect:fix_speed, target:myself, turn:1]</v>
      </c>
      <c r="O8" s="62">
        <f t="shared" si="21"/>
        <v>9</v>
      </c>
      <c r="P8" s="62">
        <f t="shared" si="22"/>
        <v>17</v>
      </c>
      <c r="Q8" s="62">
        <f t="shared" si="23"/>
        <v>54</v>
      </c>
      <c r="R8" s="62">
        <f t="shared" si="24"/>
        <v>27</v>
      </c>
      <c r="S8" s="62" t="str">
        <f>IFERROR(VLOOKUP(MID(N8,Q8,R8-Q8),[5]skilldef!$C:$D,2,FALSE),"-") &amp; " / " &amp; IFERROR(VLOOKUP(MID(N8,O8,P8-O8),[5]skilldef!$A:$B,2,FALSE),"-")</f>
        <v>- / 大攻撃</v>
      </c>
      <c r="T8" s="47" t="str">
        <f t="shared" si="25"/>
        <v>[effect:fix_speed, target:myself, turn:1]</v>
      </c>
      <c r="U8" s="62">
        <f t="shared" si="26"/>
        <v>9</v>
      </c>
      <c r="V8" s="62">
        <f t="shared" si="27"/>
        <v>18</v>
      </c>
      <c r="W8" s="62">
        <f t="shared" si="28"/>
        <v>27</v>
      </c>
      <c r="X8" s="62">
        <f t="shared" si="29"/>
        <v>33</v>
      </c>
      <c r="Y8" s="62" t="str">
        <f>IFERROR(VLOOKUP(MID(T8,W8,X8-W8),[5]skilldef!$C:$D,2,FALSE),"-") &amp; " / " &amp; IFERROR(VLOOKUP(MID(T8,U8,V8-U8),[5]skilldef!$A:$B,2,FALSE),"-")</f>
        <v>自分自身に / 行動値設定</v>
      </c>
      <c r="Z8" s="49"/>
      <c r="AA8" s="51"/>
      <c r="AB8" s="49"/>
    </row>
    <row r="9" spans="1:28" ht="34" customHeight="1" x14ac:dyDescent="0.15">
      <c r="A9" s="102">
        <v>13301914</v>
      </c>
      <c r="B9" s="102" t="s">
        <v>326</v>
      </c>
      <c r="C9" s="103">
        <v>1</v>
      </c>
      <c r="D9" s="103" t="s">
        <v>127</v>
      </c>
      <c r="E9" s="110" t="s">
        <v>317</v>
      </c>
      <c r="F9" s="104" t="s">
        <v>327</v>
      </c>
      <c r="G9" s="62" t="str">
        <f t="shared" si="15"/>
        <v>[effect:enemy_message, val1:1.5, val2:0]</v>
      </c>
      <c r="H9" s="62">
        <f t="shared" si="16"/>
        <v>9</v>
      </c>
      <c r="I9" s="62">
        <f t="shared" si="17"/>
        <v>22</v>
      </c>
      <c r="J9" s="62" t="e">
        <f t="shared" si="18"/>
        <v>#VALUE!</v>
      </c>
      <c r="K9" s="62">
        <f t="shared" si="19"/>
        <v>32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 t="shared" si="20"/>
        <v>[effect:suicide, val:1, dead_type:escape, target:myself]</v>
      </c>
      <c r="N9" s="47" t="str">
        <f>IFERROR(LEFT(M9,FIND("],",M9)+#REF!),M9)</f>
        <v>[effect:suicide, val:1, dead_type:escape, target:myself]</v>
      </c>
      <c r="O9" s="62">
        <f t="shared" si="21"/>
        <v>9</v>
      </c>
      <c r="P9" s="62">
        <f t="shared" si="22"/>
        <v>16</v>
      </c>
      <c r="Q9" s="62">
        <f t="shared" si="23"/>
        <v>50</v>
      </c>
      <c r="R9" s="62">
        <f t="shared" si="24"/>
        <v>23</v>
      </c>
      <c r="S9" s="62" t="str">
        <f>IFERROR(VLOOKUP(MID(N9,Q9,R9-Q9),[5]skilldef!$C:$D,2,FALSE),"-") &amp; " / " &amp; IFERROR(VLOOKUP(MID(N9,O9,P9-O9),[5]skilldef!$A:$B,2,FALSE),"-")</f>
        <v>- / -</v>
      </c>
      <c r="T9" s="47" t="str">
        <f t="shared" si="25"/>
        <v>none</v>
      </c>
      <c r="U9" s="62" t="e">
        <f t="shared" si="26"/>
        <v>#VALUE!</v>
      </c>
      <c r="V9" s="62">
        <f t="shared" si="27"/>
        <v>4</v>
      </c>
      <c r="W9" s="62" t="e">
        <f t="shared" si="28"/>
        <v>#VALUE!</v>
      </c>
      <c r="X9" s="62" t="e">
        <f t="shared" si="29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34" customHeight="1" x14ac:dyDescent="0.15">
      <c r="A10" s="46">
        <v>13301921</v>
      </c>
      <c r="B10" s="46" t="s">
        <v>331</v>
      </c>
      <c r="C10" s="49">
        <v>1</v>
      </c>
      <c r="D10" s="49" t="s">
        <v>127</v>
      </c>
      <c r="E10" s="50" t="s">
        <v>290</v>
      </c>
      <c r="F10" s="50" t="s">
        <v>307</v>
      </c>
      <c r="G10" s="62" t="str">
        <f>IFERROR(LEFT(B10,FIND("],",B10)),B10)</f>
        <v>[effect:enemy_message, val1:1.9, val2:2.1]</v>
      </c>
      <c r="H10" s="62">
        <f>FIND("effect:",G10)+7</f>
        <v>9</v>
      </c>
      <c r="I10" s="62">
        <f>IFERROR(FIND(",",G10),LEN(G10))</f>
        <v>22</v>
      </c>
      <c r="J10" s="62" t="e">
        <f>FIND("target:",G10)+7</f>
        <v>#VALUE!</v>
      </c>
      <c r="K10" s="62">
        <f>FIND(",",G10,I10+1)</f>
        <v>32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>IFERROR(RIGHT(B10,LEN(B10)-FIND("],",B10)-1),"none")</f>
        <v>[effect:tolerance, target:myself, turn:-1, tolerance_effect:all, count:-1, animation:enemy_tolerance],[effect:dis_panel, target:block_blue, turn:-1, animation:enemy_dis_blue],[effect:fix_speed, target:myself, turn:2]</v>
      </c>
      <c r="N10" s="47" t="str">
        <f>IFERROR(LEFT(M10,FIND("],",M10)+#REF!),M10)</f>
        <v>[effect:tolerance, target:myself, turn:-1, tolerance_effect:all, count:-1, animation:enemy_tolerance],[effect:dis_panel, target:block_blue, turn:-1, animation:enemy_dis_blue],[effect:fix_speed, target:myself, turn:2]</v>
      </c>
      <c r="O10" s="62">
        <f>FIND("effect:",N10)+7</f>
        <v>9</v>
      </c>
      <c r="P10" s="62">
        <f>IFERROR(FIND(",",N10),LEN(N10))</f>
        <v>18</v>
      </c>
      <c r="Q10" s="62">
        <f>FIND("target:",N10)+7</f>
        <v>27</v>
      </c>
      <c r="R10" s="62">
        <f>FIND(",",N10,P10+1)</f>
        <v>33</v>
      </c>
      <c r="S10" s="62" t="str">
        <f>IFERROR(VLOOKUP(MID(N10,Q10,R10-Q10),[5]skilldef!$C:$D,2,FALSE),"-") &amp; " / " &amp; IFERROR(VLOOKUP(MID(N10,O10,P10-O10),[5]skilldef!$A:$B,2,FALSE),"-")</f>
        <v>自分自身に / 状態異常耐性</v>
      </c>
      <c r="T10" s="47" t="str">
        <f>IFERROR(RIGHT(M10,LEN(M10)-FIND("],",M10)-1),"none")</f>
        <v>[effect:dis_panel, target:block_blue, turn:-1, animation:enemy_dis_blue],[effect:fix_speed, target:myself, turn:2]</v>
      </c>
      <c r="U10" s="62">
        <f>FIND("effect:",T10)+7</f>
        <v>9</v>
      </c>
      <c r="V10" s="62">
        <f>IFERROR(FIND(",",T10),LEN(T10))</f>
        <v>18</v>
      </c>
      <c r="W10" s="62">
        <f>FIND("target:",T10)+7</f>
        <v>27</v>
      </c>
      <c r="X10" s="62">
        <f>FIND(",",T10,V10+1)</f>
        <v>37</v>
      </c>
      <c r="Y10" s="62" t="str">
        <f>IFERROR(VLOOKUP(MID(T10,W10,X10-W10),[5]skilldef!$C:$D,2,FALSE),"-") &amp; " / " &amp; IFERROR(VLOOKUP(MID(T10,U10,V10-U10),[5]skilldef!$A:$B,2,FALSE),"-")</f>
        <v>青パネルを / ディスパネル</v>
      </c>
      <c r="Z10" s="49"/>
      <c r="AA10" s="51"/>
      <c r="AB10" s="49"/>
    </row>
    <row r="11" spans="1:28" ht="34" customHeight="1" x14ac:dyDescent="0.15">
      <c r="A11" s="46">
        <v>13301922</v>
      </c>
      <c r="B11" s="46" t="s">
        <v>352</v>
      </c>
      <c r="C11" s="49">
        <v>1</v>
      </c>
      <c r="D11" s="49" t="s">
        <v>127</v>
      </c>
      <c r="E11" s="50" t="s">
        <v>291</v>
      </c>
      <c r="F11" s="50" t="s">
        <v>280</v>
      </c>
      <c r="G11" s="62" t="str">
        <f t="shared" ref="G11:G14" si="30">IFERROR(LEFT(B11,FIND("],",B11)),B11)</f>
        <v>[effect:enemy_message, val1:1.4, val2:2.1]</v>
      </c>
      <c r="H11" s="62">
        <f t="shared" ref="H11:H14" si="31">FIND("effect:",G11)+7</f>
        <v>9</v>
      </c>
      <c r="I11" s="62">
        <f t="shared" ref="I11:I14" si="32">IFERROR(FIND(",",G11),LEN(G11))</f>
        <v>22</v>
      </c>
      <c r="J11" s="62" t="e">
        <f t="shared" ref="J11:J14" si="33">FIND("target:",G11)+7</f>
        <v>#VALUE!</v>
      </c>
      <c r="K11" s="62">
        <f t="shared" ref="K11:K14" si="34">FIND(",",G11,I11+1)</f>
        <v>32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ref="M11:M14" si="35">IFERROR(RIGHT(B11,LEN(B11)-FIND("],",B11)-1),"none")</f>
        <v>[effect:damage_abnormal, target:unit_one, val:0.99, status:virus, turn:2, val_abnormal:0.5, animation:enemy_virus]</v>
      </c>
      <c r="N11" s="47" t="str">
        <f>IFERROR(LEFT(M11,FIND("],",M11)+#REF!),M11)</f>
        <v>[effect:damage_abnormal, target:unit_one, val:0.99, status:virus, turn:2, val_abnormal:0.5, animation:enemy_virus]</v>
      </c>
      <c r="O11" s="62">
        <f t="shared" ref="O11:O14" si="36">FIND("effect:",N11)+7</f>
        <v>9</v>
      </c>
      <c r="P11" s="62">
        <f t="shared" ref="P11:P14" si="37">IFERROR(FIND(",",N11),LEN(N11))</f>
        <v>24</v>
      </c>
      <c r="Q11" s="62">
        <f t="shared" ref="Q11:Q14" si="38">FIND("target:",N11)+7</f>
        <v>33</v>
      </c>
      <c r="R11" s="62">
        <f t="shared" ref="R11:R14" si="39">FIND(",",N11,P11+1)</f>
        <v>41</v>
      </c>
      <c r="S11" s="62" t="str">
        <f>IFERROR(VLOOKUP(MID(N11,Q11,R11-Q11),[5]skilldef!$C:$D,2,FALSE),"-") &amp; " / " &amp; IFERROR(VLOOKUP(MID(N11,O11,P11-O11),[5]skilldef!$A:$B,2,FALSE),"-")</f>
        <v>味方単体に / -</v>
      </c>
      <c r="T11" s="47" t="str">
        <f t="shared" ref="T11:T14" si="40">IFERROR(RIGHT(M11,LEN(M11)-FIND("],",M11)-1),"none")</f>
        <v>none</v>
      </c>
      <c r="U11" s="62" t="e">
        <f t="shared" ref="U11:U14" si="41">FIND("effect:",T11)+7</f>
        <v>#VALUE!</v>
      </c>
      <c r="V11" s="62">
        <f t="shared" ref="V11:V14" si="42">IFERROR(FIND(",",T11),LEN(T11))</f>
        <v>4</v>
      </c>
      <c r="W11" s="62" t="e">
        <f t="shared" ref="W11:W14" si="43">FIND("target:",T11)+7</f>
        <v>#VALUE!</v>
      </c>
      <c r="X11" s="62" t="e">
        <f t="shared" ref="X11:X14" si="44">FIND(",",T11,V11+1)</f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34" customHeight="1" x14ac:dyDescent="0.15">
      <c r="A12" s="46">
        <v>13301923</v>
      </c>
      <c r="B12" s="46" t="s">
        <v>333</v>
      </c>
      <c r="C12" s="49">
        <v>1</v>
      </c>
      <c r="D12" s="49" t="s">
        <v>127</v>
      </c>
      <c r="E12" s="111" t="s">
        <v>292</v>
      </c>
      <c r="F12" s="50" t="s">
        <v>322</v>
      </c>
      <c r="G12" s="62" t="str">
        <f t="shared" si="30"/>
        <v>[effect:enemy_message, val1:2, val2:2.6]</v>
      </c>
      <c r="H12" s="62">
        <f t="shared" si="31"/>
        <v>9</v>
      </c>
      <c r="I12" s="62">
        <f t="shared" si="32"/>
        <v>22</v>
      </c>
      <c r="J12" s="62" t="e">
        <f t="shared" si="33"/>
        <v>#VALUE!</v>
      </c>
      <c r="K12" s="62">
        <f t="shared" si="34"/>
        <v>30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35"/>
        <v>[effect:drop_block, block_type:time_bomb, block_color:block_green, color:block_all, val:0.1, rate:0.3, turn:5, min_time_count:3, max_time_count:4, animation:time_bomb_influence04],[effect:critical, val:0.93]</v>
      </c>
      <c r="N12" s="47" t="str">
        <f>IFERROR(LEFT(M12,FIND("],",M12)+#REF!),M12)</f>
        <v>[effect:drop_block, block_type:time_bomb, block_color:block_green, color:block_all, val:0.1, rate:0.3, turn:5, min_time_count:3, max_time_count:4, animation:time_bomb_influence04],[effect:critical, val:0.93]</v>
      </c>
      <c r="O12" s="62">
        <f t="shared" si="36"/>
        <v>9</v>
      </c>
      <c r="P12" s="62">
        <f t="shared" si="37"/>
        <v>19</v>
      </c>
      <c r="Q12" s="62" t="e">
        <f t="shared" si="38"/>
        <v>#VALUE!</v>
      </c>
      <c r="R12" s="62">
        <f t="shared" si="39"/>
        <v>41</v>
      </c>
      <c r="S12" s="62" t="str">
        <f>IFERROR(VLOOKUP(MID(N12,Q12,R12-Q12),[5]skilldef!$C:$D,2,FALSE),"-") &amp; " / " &amp; IFERROR(VLOOKUP(MID(N12,O12,P12-O12),[5]skilldef!$A:$B,2,FALSE),"-")</f>
        <v>- / 特定ブロックの割合ドロップ</v>
      </c>
      <c r="T12" s="47" t="str">
        <f t="shared" si="40"/>
        <v>[effect:critical, val:0.93]</v>
      </c>
      <c r="U12" s="62">
        <f t="shared" si="41"/>
        <v>9</v>
      </c>
      <c r="V12" s="62">
        <f t="shared" si="42"/>
        <v>17</v>
      </c>
      <c r="W12" s="62" t="e">
        <f t="shared" si="43"/>
        <v>#VALUE!</v>
      </c>
      <c r="X12" s="62" t="e">
        <f t="shared" si="44"/>
        <v>#VALUE!</v>
      </c>
      <c r="Y12" s="62" t="str">
        <f>IFERROR(VLOOKUP(MID(T12,W12,X12-W12),[5]skilldef!$C:$D,2,FALSE),"-") &amp; " / " &amp; IFERROR(VLOOKUP(MID(T12,U12,V12-U12),[5]skilldef!$A:$B,2,FALSE),"-")</f>
        <v>- / 大攻撃</v>
      </c>
      <c r="Z12" s="49"/>
      <c r="AA12" s="51"/>
      <c r="AB12" s="49"/>
    </row>
    <row r="13" spans="1:28" ht="34" customHeight="1" x14ac:dyDescent="0.15">
      <c r="A13" s="46">
        <v>13301924</v>
      </c>
      <c r="B13" s="46" t="s">
        <v>330</v>
      </c>
      <c r="C13" s="49">
        <v>1</v>
      </c>
      <c r="D13" s="49" t="s">
        <v>127</v>
      </c>
      <c r="E13" s="111" t="s">
        <v>300</v>
      </c>
      <c r="F13" s="50" t="s">
        <v>316</v>
      </c>
      <c r="G13" s="62" t="str">
        <f t="shared" si="30"/>
        <v>[effect:enemy_message, val1:1.7, val2:1.8]</v>
      </c>
      <c r="H13" s="62">
        <f t="shared" si="31"/>
        <v>9</v>
      </c>
      <c r="I13" s="62">
        <f t="shared" si="32"/>
        <v>22</v>
      </c>
      <c r="J13" s="62" t="e">
        <f t="shared" si="33"/>
        <v>#VALUE!</v>
      </c>
      <c r="K13" s="62">
        <f t="shared" si="34"/>
        <v>32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si="35"/>
        <v>[effect:break_attack_fix, target:unit_one, val:315, lowest_val:5000, count:-1, color:green, block01:block_green, block02:block_blue]</v>
      </c>
      <c r="N13" s="47" t="str">
        <f>IFERROR(LEFT(M13,FIND("],",M13)+#REF!),M13)</f>
        <v>[effect:break_attack_fix, target:unit_one, val:315, lowest_val:5000, count:-1, color:green, block01:block_green, block02:block_blue]</v>
      </c>
      <c r="O13" s="62">
        <f t="shared" si="36"/>
        <v>9</v>
      </c>
      <c r="P13" s="62">
        <f t="shared" si="37"/>
        <v>25</v>
      </c>
      <c r="Q13" s="62">
        <f t="shared" si="38"/>
        <v>34</v>
      </c>
      <c r="R13" s="62">
        <f t="shared" si="39"/>
        <v>42</v>
      </c>
      <c r="S13" s="62" t="str">
        <f>IFERROR(VLOOKUP(MID(N13,Q13,R13-Q13),[5]skilldef!$C:$D,2,FALSE),"-") &amp; " / " &amp; IFERROR(VLOOKUP(MID(N13,O13,P13-O13),[5]skilldef!$A:$B,2,FALSE),"-")</f>
        <v>味方単体に / -</v>
      </c>
      <c r="T13" s="47" t="str">
        <f t="shared" si="40"/>
        <v>none</v>
      </c>
      <c r="U13" s="62" t="e">
        <f t="shared" si="41"/>
        <v>#VALUE!</v>
      </c>
      <c r="V13" s="62">
        <f t="shared" si="42"/>
        <v>4</v>
      </c>
      <c r="W13" s="62" t="e">
        <f t="shared" si="43"/>
        <v>#VALUE!</v>
      </c>
      <c r="X13" s="62" t="e">
        <f t="shared" si="44"/>
        <v>#VALUE!</v>
      </c>
      <c r="Y13" s="62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34" customHeight="1" x14ac:dyDescent="0.15">
      <c r="A14" s="46">
        <v>13301925</v>
      </c>
      <c r="B14" s="46" t="s">
        <v>345</v>
      </c>
      <c r="C14" s="49">
        <v>1</v>
      </c>
      <c r="D14" s="49" t="s">
        <v>127</v>
      </c>
      <c r="E14" s="50" t="s">
        <v>293</v>
      </c>
      <c r="F14" s="50" t="s">
        <v>344</v>
      </c>
      <c r="G14" s="62" t="str">
        <f t="shared" si="30"/>
        <v>[effect:enemy_message, val1:1.5, val2:2.2]</v>
      </c>
      <c r="H14" s="62">
        <f t="shared" si="31"/>
        <v>9</v>
      </c>
      <c r="I14" s="62">
        <f t="shared" si="32"/>
        <v>22</v>
      </c>
      <c r="J14" s="62" t="e">
        <f t="shared" si="33"/>
        <v>#VALUE!</v>
      </c>
      <c r="K14" s="62">
        <f t="shared" si="34"/>
        <v>32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si="35"/>
        <v>[effect:virus, target:unit_all, turn:2, rate:1, val:0.2, calc_type:target_all, animation:enemy_virus],[effect:critical, val:1.19]</v>
      </c>
      <c r="N14" s="47" t="str">
        <f>IFERROR(LEFT(M14,FIND("],",M14)+S25),M14)</f>
        <v>[effect:virus, target:unit_all, turn:2, rate:1, val:0.2, calc_type:target_all, animation:enemy_virus],[effect:critical, val:1.19]</v>
      </c>
      <c r="O14" s="62">
        <f t="shared" si="36"/>
        <v>9</v>
      </c>
      <c r="P14" s="62">
        <f t="shared" si="37"/>
        <v>14</v>
      </c>
      <c r="Q14" s="62">
        <f t="shared" si="38"/>
        <v>23</v>
      </c>
      <c r="R14" s="62">
        <f t="shared" si="39"/>
        <v>31</v>
      </c>
      <c r="S14" s="62" t="str">
        <f>IFERROR(VLOOKUP(MID(N14,Q14,R14-Q14),[5]skilldef!$C:$D,2,FALSE),"-") &amp; " / " &amp; IFERROR(VLOOKUP(MID(N14,O14,P14-O14),[5]skilldef!$A:$B,2,FALSE),"-")</f>
        <v>味方全体に / ウィルス</v>
      </c>
      <c r="T14" s="47" t="str">
        <f t="shared" si="40"/>
        <v>[effect:critical, val:1.19]</v>
      </c>
      <c r="U14" s="62">
        <f t="shared" si="41"/>
        <v>9</v>
      </c>
      <c r="V14" s="62">
        <f t="shared" si="42"/>
        <v>17</v>
      </c>
      <c r="W14" s="62" t="e">
        <f t="shared" si="43"/>
        <v>#VALUE!</v>
      </c>
      <c r="X14" s="62" t="e">
        <f t="shared" si="44"/>
        <v>#VALUE!</v>
      </c>
      <c r="Y14" s="62" t="str">
        <f>IFERROR(VLOOKUP(MID(T14,W14,X14-W14),[5]skilldef!$C:$D,2,FALSE),"-") &amp; " / " &amp; IFERROR(VLOOKUP(MID(T14,U14,V14-U14),[5]skilldef!$A:$B,2,FALSE),"-")</f>
        <v>- / 大攻撃</v>
      </c>
      <c r="Z14" s="49"/>
      <c r="AA14" s="51"/>
      <c r="AB14" s="49"/>
    </row>
    <row r="15" spans="1:28" ht="34" customHeight="1" x14ac:dyDescent="0.15">
      <c r="A15" s="46">
        <v>13301926</v>
      </c>
      <c r="B15" s="46" t="s">
        <v>332</v>
      </c>
      <c r="C15" s="49">
        <v>1</v>
      </c>
      <c r="D15" s="49" t="s">
        <v>127</v>
      </c>
      <c r="E15" s="50" t="s">
        <v>338</v>
      </c>
      <c r="F15" s="50" t="s">
        <v>308</v>
      </c>
      <c r="G15" s="62" t="str">
        <f t="shared" ref="G15" si="45">IFERROR(LEFT(B15,FIND("],",B15)),B15)</f>
        <v>[effect:enemy_message, val1:1.6, val2:2.3]</v>
      </c>
      <c r="H15" s="62">
        <f t="shared" ref="H15" si="46">FIND("effect:",G15)+7</f>
        <v>9</v>
      </c>
      <c r="I15" s="62">
        <f t="shared" ref="I15" si="47">IFERROR(FIND(",",G15),LEN(G15))</f>
        <v>22</v>
      </c>
      <c r="J15" s="62" t="e">
        <f t="shared" ref="J15" si="48">FIND("target:",G15)+7</f>
        <v>#VALUE!</v>
      </c>
      <c r="K15" s="62">
        <f t="shared" ref="K15" si="49">FIND(",",G15,I15+1)</f>
        <v>32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ref="M15" si="50">IFERROR(RIGHT(B15,LEN(B15)-FIND("],",B15)-1),"none")</f>
        <v>[effect:dis_heart, turn:5, animation:enemy_dis_heart],[effect:freq_turn, target:myself, turn:5, val:1, animation:enemy_freq_turn]</v>
      </c>
      <c r="N15" s="47" t="str">
        <f>IFERROR(LEFT(M15,FIND("],",M15)+S26),M15)</f>
        <v>[effect:dis_heart, turn:5, animation:enemy_dis_heart],[effect:freq_turn, target:myself, turn:5, val:1, animation:enemy_freq_turn]</v>
      </c>
      <c r="O15" s="62">
        <f t="shared" ref="O15" si="51">FIND("effect:",N15)+7</f>
        <v>9</v>
      </c>
      <c r="P15" s="62">
        <f t="shared" ref="P15" si="52">IFERROR(FIND(",",N15),LEN(N15))</f>
        <v>18</v>
      </c>
      <c r="Q15" s="62">
        <f t="shared" ref="Q15" si="53">FIND("target:",N15)+7</f>
        <v>81</v>
      </c>
      <c r="R15" s="62">
        <f t="shared" ref="R15" si="54">FIND(",",N15,P15+1)</f>
        <v>26</v>
      </c>
      <c r="S15" s="62" t="str">
        <f>IFERROR(VLOOKUP(MID(N15,Q15,R15-Q15),[5]skilldef!$C:$D,2,FALSE),"-") &amp; " / " &amp; IFERROR(VLOOKUP(MID(N15,O15,P15-O15),[5]skilldef!$A:$B,2,FALSE),"-")</f>
        <v>- / ディスハート</v>
      </c>
      <c r="T15" s="47" t="str">
        <f t="shared" ref="T15" si="55">IFERROR(RIGHT(M15,LEN(M15)-FIND("],",M15)-1),"none")</f>
        <v>[effect:freq_turn, target:myself, turn:5, val:1, animation:enemy_freq_turn]</v>
      </c>
      <c r="U15" s="62">
        <f t="shared" ref="U15" si="56">FIND("effect:",T15)+7</f>
        <v>9</v>
      </c>
      <c r="V15" s="62">
        <f t="shared" ref="V15" si="57">IFERROR(FIND(",",T15),LEN(T15))</f>
        <v>18</v>
      </c>
      <c r="W15" s="62">
        <f t="shared" ref="W15" si="58">FIND("target:",T15)+7</f>
        <v>27</v>
      </c>
      <c r="X15" s="62">
        <f t="shared" ref="X15" si="59">FIND(",",T15,V15+1)</f>
        <v>33</v>
      </c>
      <c r="Y15" s="62" t="str">
        <f>IFERROR(VLOOKUP(MID(T15,W15,X15-W15),[5]skilldef!$C:$D,2,FALSE),"-") &amp; " / " &amp; IFERROR(VLOOKUP(MID(T15,U15,V15-U15),[5]skilldef!$A:$B,2,FALSE),"-")</f>
        <v>自分自身に / 攻撃頻度がUP</v>
      </c>
      <c r="Z15" s="49"/>
      <c r="AA15" s="51"/>
      <c r="AB15" s="49"/>
    </row>
    <row r="16" spans="1:28" ht="34" customHeight="1" x14ac:dyDescent="0.15">
      <c r="A16" s="102">
        <v>13301931</v>
      </c>
      <c r="B16" s="102" t="s">
        <v>334</v>
      </c>
      <c r="C16" s="103">
        <v>1</v>
      </c>
      <c r="D16" s="103" t="s">
        <v>127</v>
      </c>
      <c r="E16" s="104" t="s">
        <v>294</v>
      </c>
      <c r="F16" s="104" t="s">
        <v>295</v>
      </c>
      <c r="G16" s="62" t="str">
        <f>IFERROR(LEFT(B16,FIND("],",B16)),B16)</f>
        <v>[effect:enemy_message, val1:1.6, val2:2.2]</v>
      </c>
      <c r="H16" s="62">
        <f>FIND("effect:",G16)+7</f>
        <v>9</v>
      </c>
      <c r="I16" s="62">
        <f>IFERROR(FIND(",",G16),LEN(G16))</f>
        <v>22</v>
      </c>
      <c r="J16" s="62" t="e">
        <f>FIND("target:",G16)+7</f>
        <v>#VALUE!</v>
      </c>
      <c r="K16" s="62">
        <f>FIND(",",G16,I16+1)</f>
        <v>32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>IFERROR(RIGHT(B16,LEN(B16)-FIND("],",B16)-1),"none")</f>
        <v>[effect:tolerance, target:myself, turn:-1, tolerance_effect:all, count:-1, animation:enemy_tolerance],[effect:fix_speed, target:myself, turn:1]</v>
      </c>
      <c r="N16" s="47" t="str">
        <f>IFERROR(LEFT(M16,FIND("],",M16)+#REF!),M16)</f>
        <v>[effect:tolerance, target:myself, turn:-1, tolerance_effect:all, count:-1, animation:enemy_tolerance],[effect:fix_speed, target:myself, turn:1]</v>
      </c>
      <c r="O16" s="62">
        <f>FIND("effect:",N16)+7</f>
        <v>9</v>
      </c>
      <c r="P16" s="62">
        <f>IFERROR(FIND(",",N16),LEN(N16))</f>
        <v>18</v>
      </c>
      <c r="Q16" s="62">
        <f>FIND("target:",N16)+7</f>
        <v>27</v>
      </c>
      <c r="R16" s="62">
        <f>FIND(",",N16,P16+1)</f>
        <v>33</v>
      </c>
      <c r="S16" s="62" t="str">
        <f>IFERROR(VLOOKUP(MID(N16,Q16,R16-Q16),[5]skilldef!$C:$D,2,FALSE),"-") &amp; " / " &amp; IFERROR(VLOOKUP(MID(N16,O16,P16-O16),[5]skilldef!$A:$B,2,FALSE),"-")</f>
        <v>自分自身に / 状態異常耐性</v>
      </c>
      <c r="T16" s="47" t="str">
        <f>IFERROR(RIGHT(M16,LEN(M16)-FIND("],",M16)-1),"none")</f>
        <v>[effect:fix_speed, target:myself, turn:1]</v>
      </c>
      <c r="U16" s="62">
        <f>FIND("effect:",T16)+7</f>
        <v>9</v>
      </c>
      <c r="V16" s="62">
        <f>IFERROR(FIND(",",T16),LEN(T16))</f>
        <v>18</v>
      </c>
      <c r="W16" s="62">
        <f>FIND("target:",T16)+7</f>
        <v>27</v>
      </c>
      <c r="X16" s="62">
        <f>FIND(",",T16,V16+1)</f>
        <v>33</v>
      </c>
      <c r="Y16" s="62" t="str">
        <f>IFERROR(VLOOKUP(MID(T16,W16,X16-W16),[5]skilldef!$C:$D,2,FALSE),"-") &amp; " / " &amp; IFERROR(VLOOKUP(MID(T16,U16,V16-U16),[5]skilldef!$A:$B,2,FALSE),"-")</f>
        <v>自分自身に / 行動値設定</v>
      </c>
      <c r="Z16" s="49"/>
      <c r="AA16" s="51"/>
      <c r="AB16" s="49"/>
    </row>
    <row r="17" spans="1:28" ht="34" customHeight="1" x14ac:dyDescent="0.15">
      <c r="A17" s="102">
        <v>13301932</v>
      </c>
      <c r="B17" s="102" t="s">
        <v>346</v>
      </c>
      <c r="C17" s="103">
        <v>1</v>
      </c>
      <c r="D17" s="103" t="s">
        <v>127</v>
      </c>
      <c r="E17" s="104" t="s">
        <v>310</v>
      </c>
      <c r="F17" s="104" t="s">
        <v>272</v>
      </c>
      <c r="G17" s="62" t="str">
        <f>IFERROR(LEFT(B17,FIND("],",B17)),B17)</f>
        <v>[effect:enemy_message, val1:1.5, val2:2]</v>
      </c>
      <c r="H17" s="62">
        <f>FIND("effect:",G17)+7</f>
        <v>9</v>
      </c>
      <c r="I17" s="62">
        <f>IFERROR(FIND(",",G17),LEN(G17))</f>
        <v>22</v>
      </c>
      <c r="J17" s="62" t="e">
        <f>FIND("target:",G17)+7</f>
        <v>#VALUE!</v>
      </c>
      <c r="K17" s="62">
        <f>FIND(",",G17,I17+1)</f>
        <v>32</v>
      </c>
      <c r="L17" s="62"/>
      <c r="M17" s="62" t="str">
        <f>IFERROR(RIGHT(B17,LEN(B17)-FIND("],",B17)-1),"none")</f>
        <v>[effect:damage_anti_abnormal, target:unit_one, target_effect01:virus, val1:1.35, val2:1.0],[effect:fix_speed, target:myself, turn:1]</v>
      </c>
      <c r="N17" s="47"/>
      <c r="O17" s="62"/>
      <c r="P17" s="62"/>
      <c r="Q17" s="62"/>
      <c r="R17" s="62"/>
      <c r="S17" s="62"/>
      <c r="T17" s="47" t="str">
        <f>IFERROR(RIGHT(M17,LEN(M17)-FIND("],",M17)-1),"none")</f>
        <v>[effect:fix_speed, target:myself, turn:1]</v>
      </c>
      <c r="U17" s="62">
        <f>FIND("effect:",T17)+7</f>
        <v>9</v>
      </c>
      <c r="V17" s="62">
        <f>IFERROR(FIND(",",T17),LEN(T17))</f>
        <v>18</v>
      </c>
      <c r="W17" s="62">
        <f>FIND("target:",T17)+7</f>
        <v>27</v>
      </c>
      <c r="X17" s="62">
        <f>FIND(",",T17,V17+1)</f>
        <v>33</v>
      </c>
      <c r="Y17" s="62"/>
      <c r="Z17" s="49"/>
      <c r="AA17" s="51"/>
      <c r="AB17" s="49"/>
    </row>
    <row r="18" spans="1:28" ht="34" customHeight="1" x14ac:dyDescent="0.15">
      <c r="A18" s="102">
        <v>13301933</v>
      </c>
      <c r="B18" s="102" t="s">
        <v>335</v>
      </c>
      <c r="C18" s="103">
        <v>1</v>
      </c>
      <c r="D18" s="103" t="s">
        <v>127</v>
      </c>
      <c r="E18" s="104" t="s">
        <v>311</v>
      </c>
      <c r="F18" s="104" t="s">
        <v>320</v>
      </c>
      <c r="G18" s="62" t="str">
        <f t="shared" ref="G18:G21" si="60">IFERROR(LEFT(B18,FIND("],",B18)),B18)</f>
        <v>[effect:enemy_message, val1:1.5, val2:2.2.2]</v>
      </c>
      <c r="H18" s="62">
        <f t="shared" ref="H18:H24" si="61">FIND("effect:",G18)+7</f>
        <v>9</v>
      </c>
      <c r="I18" s="62">
        <f t="shared" ref="I18:I21" si="62">IFERROR(FIND(",",G18),LEN(G18))</f>
        <v>22</v>
      </c>
      <c r="J18" s="62" t="e">
        <f t="shared" ref="J18:J21" si="63">FIND("target:",G18)+7</f>
        <v>#VALUE!</v>
      </c>
      <c r="K18" s="62">
        <f t="shared" ref="K18:K21" si="64">FIND(",",G18,I18+1)</f>
        <v>32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ref="M18:M21" si="65">IFERROR(RIGHT(B18,LEN(B18)-FIND("],",B18)-1),"none")</f>
        <v>[effect:rush, count:5, val:0.25],[effect:virus, target:unit_one, turn:3, rate:0.9, val:1, animation:enemy_virus]</v>
      </c>
      <c r="N18" s="47" t="str">
        <f>IFERROR(LEFT(M18,FIND("],",M18)+#REF!),M18)</f>
        <v>[effect:rush, count:5, val:0.25],[effect:virus, target:unit_one, turn:3, rate:0.9, val:1, animation:enemy_virus]</v>
      </c>
      <c r="O18" s="62">
        <f t="shared" ref="O18:O24" si="66">FIND("effect:",N18)+7</f>
        <v>9</v>
      </c>
      <c r="P18" s="62">
        <f t="shared" ref="P18:P21" si="67">IFERROR(FIND(",",N18),LEN(N18))</f>
        <v>13</v>
      </c>
      <c r="Q18" s="62">
        <f t="shared" ref="Q18:Q21" si="68">FIND("target:",N18)+7</f>
        <v>56</v>
      </c>
      <c r="R18" s="62">
        <f t="shared" ref="R18:R21" si="69">FIND(",",N18,P18+1)</f>
        <v>22</v>
      </c>
      <c r="S18" s="62" t="str">
        <f>IFERROR(VLOOKUP(MID(N18,Q18,R18-Q18),[5]skilldef!$C:$D,2,FALSE),"-") &amp; " / " &amp; IFERROR(VLOOKUP(MID(N18,O18,P18-O18),[5]skilldef!$A:$B,2,FALSE),"-")</f>
        <v>- / 連続攻撃</v>
      </c>
      <c r="T18" s="47" t="str">
        <f t="shared" ref="T18:T21" si="70">IFERROR(RIGHT(M18,LEN(M18)-FIND("],",M18)-1),"none")</f>
        <v>[effect:virus, target:unit_one, turn:3, rate:0.9, val:1, animation:enemy_virus]</v>
      </c>
      <c r="U18" s="62">
        <f t="shared" ref="U18:U24" si="71">FIND("effect:",T18)+7</f>
        <v>9</v>
      </c>
      <c r="V18" s="62">
        <f t="shared" ref="V18:V21" si="72">IFERROR(FIND(",",T18),LEN(T18))</f>
        <v>14</v>
      </c>
      <c r="W18" s="62">
        <f t="shared" ref="W18:W21" si="73">FIND("target:",T18)+7</f>
        <v>23</v>
      </c>
      <c r="X18" s="62">
        <f t="shared" ref="X18:X21" si="74">FIND(",",T18,V18+1)</f>
        <v>31</v>
      </c>
      <c r="Y18" s="62" t="str">
        <f>IFERROR(VLOOKUP(MID(T18,W18,X18-W18),[5]skilldef!$C:$D,2,FALSE),"-") &amp; " / " &amp; IFERROR(VLOOKUP(MID(T18,U18,V18-U18),[5]skilldef!$A:$B,2,FALSE),"-")</f>
        <v>味方単体に / ウィルス</v>
      </c>
      <c r="Z18" s="49"/>
      <c r="AA18" s="51"/>
      <c r="AB18" s="49"/>
    </row>
    <row r="19" spans="1:28" ht="34" customHeight="1" x14ac:dyDescent="0.15">
      <c r="A19" s="102">
        <v>13301934</v>
      </c>
      <c r="B19" s="102" t="s">
        <v>336</v>
      </c>
      <c r="C19" s="103">
        <v>1</v>
      </c>
      <c r="D19" s="103" t="s">
        <v>127</v>
      </c>
      <c r="E19" s="104" t="s">
        <v>296</v>
      </c>
      <c r="F19" s="104" t="s">
        <v>323</v>
      </c>
      <c r="G19" s="62" t="str">
        <f t="shared" si="60"/>
        <v>[effect:enemy_message, val1:1.6, val2:2.6]</v>
      </c>
      <c r="H19" s="62">
        <f t="shared" si="61"/>
        <v>9</v>
      </c>
      <c r="I19" s="62">
        <f t="shared" si="62"/>
        <v>22</v>
      </c>
      <c r="J19" s="62" t="e">
        <f t="shared" si="63"/>
        <v>#VALUE!</v>
      </c>
      <c r="K19" s="62">
        <f t="shared" si="64"/>
        <v>32</v>
      </c>
      <c r="L19" s="62" t="str">
        <f>IFERROR(VLOOKUP(MID(G19,J19,K19-J19),[5]skilldef!$C:$D,2,FALSE),"-") &amp; " / " &amp; IFERROR(VLOOKUP(MID(G19,H19,I19-H19),[5]skilldef!$A:$B,2,FALSE),"-")</f>
        <v>- / -</v>
      </c>
      <c r="M19" s="62" t="str">
        <f t="shared" si="65"/>
        <v>[effect:force_change_block, new_block:block_heart, target:block_red, ignore01:crash, ignore02:crack_bomb, ignore03:time_bomb, count:0, val:0, animation:change_block],[effect:force_change_block, new_block:block_green, target:block_blue, ignore01:crash, ignore02:crack_bomb, ignore03:time_bomb, count:0, val:0, animation:change_block],[effect:fix_speed, target:myself, turn:1]</v>
      </c>
      <c r="N19" s="47" t="str">
        <f t="shared" ref="N19:N24" si="75">IFERROR(LEFT(M19,FIND("],",M19)+S25),M19)</f>
        <v>[effect:force_change_block, new_block:block_heart, target:block_red, ignore01:crash, ignore02:crack_bomb, ignore03:time_bomb, count:0, val:0, animation:change_block],[effect:force_change_block, new_block:block_green, target:block_blue, ignore01:crash, ignore02:crack_bomb, ignore03:time_bomb, count:0, val:0, animation:change_block],[effect:fix_speed, target:myself, turn:1]</v>
      </c>
      <c r="O19" s="62">
        <f t="shared" si="66"/>
        <v>9</v>
      </c>
      <c r="P19" s="62">
        <f t="shared" si="67"/>
        <v>27</v>
      </c>
      <c r="Q19" s="62">
        <f t="shared" si="68"/>
        <v>59</v>
      </c>
      <c r="R19" s="62">
        <f t="shared" si="69"/>
        <v>50</v>
      </c>
      <c r="S19" s="62" t="str">
        <f>IFERROR(VLOOKUP(MID(N19,Q19,R19-Q19),[5]skilldef!$C:$D,2,FALSE),"-") &amp; " / " &amp; IFERROR(VLOOKUP(MID(N19,O19,P19-O19),[5]skilldef!$A:$B,2,FALSE),"-")</f>
        <v>- / -</v>
      </c>
      <c r="T19" s="47" t="str">
        <f t="shared" si="70"/>
        <v>[effect:force_change_block, new_block:block_green, target:block_blue, ignore01:crash, ignore02:crack_bomb, ignore03:time_bomb, count:0, val:0, animation:change_block],[effect:fix_speed, target:myself, turn:1]</v>
      </c>
      <c r="U19" s="62">
        <f t="shared" si="71"/>
        <v>9</v>
      </c>
      <c r="V19" s="62">
        <f t="shared" si="72"/>
        <v>27</v>
      </c>
      <c r="W19" s="62">
        <f t="shared" si="73"/>
        <v>59</v>
      </c>
      <c r="X19" s="62">
        <f t="shared" si="74"/>
        <v>50</v>
      </c>
      <c r="Y19" s="62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34" customHeight="1" x14ac:dyDescent="0.15">
      <c r="A20" s="102">
        <v>13301935</v>
      </c>
      <c r="B20" s="102" t="s">
        <v>347</v>
      </c>
      <c r="C20" s="103">
        <v>1</v>
      </c>
      <c r="D20" s="103" t="s">
        <v>127</v>
      </c>
      <c r="E20" s="104" t="s">
        <v>284</v>
      </c>
      <c r="F20" s="104" t="s">
        <v>309</v>
      </c>
      <c r="G20" s="62" t="str">
        <f t="shared" si="60"/>
        <v>[effect:enemy_message, val1:1.5, val2:2]</v>
      </c>
      <c r="H20" s="62">
        <f t="shared" si="61"/>
        <v>9</v>
      </c>
      <c r="I20" s="62">
        <f t="shared" si="62"/>
        <v>22</v>
      </c>
      <c r="J20" s="62" t="e">
        <f t="shared" si="63"/>
        <v>#VALUE!</v>
      </c>
      <c r="K20" s="62">
        <f t="shared" si="64"/>
        <v>32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si="65"/>
        <v>[effect:virus, target:unit_all, turn:1, rate:1, val:0.10, calc_type:target_all, animation:enemy_virus],[effect:critical, val:1.00]</v>
      </c>
      <c r="N20" s="47" t="str">
        <f t="shared" si="75"/>
        <v>[effect:virus, target:unit_all, turn:1, rate:1, val:0.10, calc_type:target_all, animation:enemy_virus],[effect:critical, val:1.00]</v>
      </c>
      <c r="O20" s="62">
        <f t="shared" si="66"/>
        <v>9</v>
      </c>
      <c r="P20" s="62">
        <f t="shared" si="67"/>
        <v>14</v>
      </c>
      <c r="Q20" s="62">
        <f t="shared" si="68"/>
        <v>23</v>
      </c>
      <c r="R20" s="62">
        <f t="shared" si="69"/>
        <v>31</v>
      </c>
      <c r="S20" s="62" t="str">
        <f>IFERROR(VLOOKUP(MID(N20,Q20,R20-Q20),[5]skilldef!$C:$D,2,FALSE),"-") &amp; " / " &amp; IFERROR(VLOOKUP(MID(N20,O20,P20-O20),[5]skilldef!$A:$B,2,FALSE),"-")</f>
        <v>味方全体に / ウィルス</v>
      </c>
      <c r="T20" s="47" t="str">
        <f t="shared" si="70"/>
        <v>[effect:critical, val:1.00]</v>
      </c>
      <c r="U20" s="62">
        <f t="shared" si="71"/>
        <v>9</v>
      </c>
      <c r="V20" s="62">
        <f t="shared" si="72"/>
        <v>17</v>
      </c>
      <c r="W20" s="62" t="e">
        <f t="shared" si="73"/>
        <v>#VALUE!</v>
      </c>
      <c r="X20" s="62" t="e">
        <f t="shared" si="74"/>
        <v>#VALUE!</v>
      </c>
      <c r="Y20" s="62" t="str">
        <f>IFERROR(VLOOKUP(MID(T20,W20,X20-W20),[5]skilldef!$C:$D,2,FALSE),"-") &amp; " / " &amp; IFERROR(VLOOKUP(MID(T20,U20,V20-U20),[5]skilldef!$A:$B,2,FALSE),"-")</f>
        <v>- / 大攻撃</v>
      </c>
      <c r="Z20" s="49"/>
      <c r="AA20" s="51"/>
      <c r="AB20" s="49"/>
    </row>
    <row r="21" spans="1:28" ht="34" customHeight="1" x14ac:dyDescent="0.15">
      <c r="A21" s="102">
        <v>13301936</v>
      </c>
      <c r="B21" s="102" t="s">
        <v>348</v>
      </c>
      <c r="C21" s="103">
        <v>1</v>
      </c>
      <c r="D21" s="103" t="s">
        <v>127</v>
      </c>
      <c r="E21" s="104" t="s">
        <v>285</v>
      </c>
      <c r="F21" s="104" t="s">
        <v>309</v>
      </c>
      <c r="G21" s="62" t="str">
        <f t="shared" si="60"/>
        <v>[effect:enemy_message, val1:1.5, val2:2]</v>
      </c>
      <c r="H21" s="62">
        <f t="shared" si="61"/>
        <v>9</v>
      </c>
      <c r="I21" s="62">
        <f t="shared" si="62"/>
        <v>22</v>
      </c>
      <c r="J21" s="62" t="e">
        <f t="shared" si="63"/>
        <v>#VALUE!</v>
      </c>
      <c r="K21" s="62">
        <f t="shared" si="64"/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65"/>
        <v>[effect:virus, target:unit_all, turn:1, rate:1, val:0.15, calc_type:target_all, animation:enemy_virus],[effect:critical, val:1.15]</v>
      </c>
      <c r="N21" s="47" t="str">
        <f t="shared" si="75"/>
        <v>[effect:virus, target:unit_all, turn:1, rate:1, val:0.15, calc_type:target_all, animation:enemy_virus]</v>
      </c>
      <c r="O21" s="62">
        <f t="shared" si="66"/>
        <v>9</v>
      </c>
      <c r="P21" s="62">
        <f t="shared" si="67"/>
        <v>14</v>
      </c>
      <c r="Q21" s="62">
        <f t="shared" si="68"/>
        <v>23</v>
      </c>
      <c r="R21" s="62">
        <f t="shared" si="69"/>
        <v>31</v>
      </c>
      <c r="S21" s="62" t="str">
        <f>IFERROR(VLOOKUP(MID(N21,Q21,R21-Q21),[5]skilldef!$C:$D,2,FALSE),"-") &amp; " / " &amp; IFERROR(VLOOKUP(MID(N21,O21,P21-O21),[5]skilldef!$A:$B,2,FALSE),"-")</f>
        <v>味方全体に / ウィルス</v>
      </c>
      <c r="T21" s="47" t="str">
        <f t="shared" si="70"/>
        <v>[effect:critical, val:1.15]</v>
      </c>
      <c r="U21" s="62">
        <f t="shared" si="71"/>
        <v>9</v>
      </c>
      <c r="V21" s="62">
        <f t="shared" si="72"/>
        <v>17</v>
      </c>
      <c r="W21" s="62" t="e">
        <f t="shared" si="73"/>
        <v>#VALUE!</v>
      </c>
      <c r="X21" s="62" t="e">
        <f t="shared" si="74"/>
        <v>#VALUE!</v>
      </c>
      <c r="Y21" s="62" t="str">
        <f>IFERROR(VLOOKUP(MID(T21,W21,X21-W21),[5]skilldef!$C:$D,2,FALSE),"-") &amp; " / " &amp; IFERROR(VLOOKUP(MID(T21,U21,V21-U21),[5]skilldef!$A:$B,2,FALSE),"-")</f>
        <v>- / 大攻撃</v>
      </c>
      <c r="Z21" s="49"/>
      <c r="AA21" s="51"/>
      <c r="AB21" s="49"/>
    </row>
    <row r="22" spans="1:28" ht="34" customHeight="1" x14ac:dyDescent="0.15">
      <c r="A22" s="102">
        <v>13301937</v>
      </c>
      <c r="B22" s="102" t="s">
        <v>349</v>
      </c>
      <c r="C22" s="103">
        <v>1</v>
      </c>
      <c r="D22" s="103" t="s">
        <v>127</v>
      </c>
      <c r="E22" s="104" t="s">
        <v>286</v>
      </c>
      <c r="F22" s="104" t="s">
        <v>309</v>
      </c>
      <c r="G22" s="62" t="str">
        <f t="shared" ref="G22:G24" si="76">IFERROR(LEFT(B22,FIND("],",B22)),B22)</f>
        <v>[effect:enemy_message, val1:1.5, val2:2]</v>
      </c>
      <c r="H22" s="62">
        <f t="shared" si="61"/>
        <v>9</v>
      </c>
      <c r="I22" s="62">
        <f t="shared" ref="I22:I24" si="77">IFERROR(FIND(",",G22),LEN(G22))</f>
        <v>22</v>
      </c>
      <c r="J22" s="62" t="e">
        <f t="shared" ref="J22:J24" si="78">FIND("target:",G22)+7</f>
        <v>#VALUE!</v>
      </c>
      <c r="K22" s="62">
        <f t="shared" ref="K22:K24" si="79">FIND(",",G22,I22+1)</f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ref="M22:M24" si="80">IFERROR(RIGHT(B22,LEN(B22)-FIND("],",B22)-1),"none")</f>
        <v>[effect:virus, target:unit_all, turn:1, rate:1, val:0.20, calc_type:target_all, animation:enemy_virus],[effect:critical, val:1.30]</v>
      </c>
      <c r="N22" s="47" t="str">
        <f t="shared" si="75"/>
        <v>[effect:virus, target:unit_all, turn:1, rate:1, val:0.20, calc_type:target_all, animation:enemy_virus]</v>
      </c>
      <c r="O22" s="62">
        <f t="shared" si="66"/>
        <v>9</v>
      </c>
      <c r="P22" s="62">
        <f t="shared" ref="P22:P24" si="81">IFERROR(FIND(",",N22),LEN(N22))</f>
        <v>14</v>
      </c>
      <c r="Q22" s="62">
        <f t="shared" ref="Q22:Q24" si="82">FIND("target:",N22)+7</f>
        <v>23</v>
      </c>
      <c r="R22" s="62">
        <f t="shared" ref="R22:R24" si="83">FIND(",",N22,P22+1)</f>
        <v>31</v>
      </c>
      <c r="S22" s="62" t="str">
        <f>IFERROR(VLOOKUP(MID(N22,Q22,R22-Q22),[5]skilldef!$C:$D,2,FALSE),"-") &amp; " / " &amp; IFERROR(VLOOKUP(MID(N22,O22,P22-O22),[5]skilldef!$A:$B,2,FALSE),"-")</f>
        <v>味方全体に / ウィルス</v>
      </c>
      <c r="T22" s="47" t="str">
        <f t="shared" ref="T22:T24" si="84">IFERROR(RIGHT(M22,LEN(M22)-FIND("],",M22)-1),"none")</f>
        <v>[effect:critical, val:1.30]</v>
      </c>
      <c r="U22" s="62">
        <f t="shared" si="71"/>
        <v>9</v>
      </c>
      <c r="V22" s="62">
        <f t="shared" ref="V22:V24" si="85">IFERROR(FIND(",",T22),LEN(T22))</f>
        <v>17</v>
      </c>
      <c r="W22" s="62" t="e">
        <f t="shared" ref="W22:W24" si="86">FIND("target:",T22)+7</f>
        <v>#VALUE!</v>
      </c>
      <c r="X22" s="62" t="e">
        <f t="shared" ref="X22:X24" si="87">FIND(",",T22,V22+1)</f>
        <v>#VALUE!</v>
      </c>
      <c r="Y22" s="62" t="str">
        <f>IFERROR(VLOOKUP(MID(T22,W22,X22-W22),[5]skilldef!$C:$D,2,FALSE),"-") &amp; " / " &amp; IFERROR(VLOOKUP(MID(T22,U22,V22-U22),[5]skilldef!$A:$B,2,FALSE),"-")</f>
        <v>- / 大攻撃</v>
      </c>
      <c r="Z22" s="49"/>
      <c r="AA22" s="51"/>
      <c r="AB22" s="49"/>
    </row>
    <row r="23" spans="1:28" ht="34" customHeight="1" x14ac:dyDescent="0.15">
      <c r="A23" s="102">
        <v>13301938</v>
      </c>
      <c r="B23" s="102" t="s">
        <v>350</v>
      </c>
      <c r="C23" s="103">
        <v>1</v>
      </c>
      <c r="D23" s="103" t="s">
        <v>127</v>
      </c>
      <c r="E23" s="104" t="s">
        <v>283</v>
      </c>
      <c r="F23" s="104" t="s">
        <v>309</v>
      </c>
      <c r="G23" s="62" t="str">
        <f t="shared" si="76"/>
        <v>[effect:enemy_message, val1:1.5, val2:2]</v>
      </c>
      <c r="H23" s="62">
        <f t="shared" si="61"/>
        <v>9</v>
      </c>
      <c r="I23" s="62">
        <f t="shared" si="77"/>
        <v>22</v>
      </c>
      <c r="J23" s="62" t="e">
        <f t="shared" si="78"/>
        <v>#VALUE!</v>
      </c>
      <c r="K23" s="62">
        <f t="shared" si="79"/>
        <v>32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80"/>
        <v>[effect:virus, target:unit_all, turn:1, rate:1, val:0.25, calc_type:target_all, animation:enemy_virus],[effect:critical, val:1.45]</v>
      </c>
      <c r="N23" s="47" t="str">
        <f t="shared" si="75"/>
        <v>[effect:virus, target:unit_all, turn:1, rate:1, val:0.25, calc_type:target_all, animation:enemy_virus]</v>
      </c>
      <c r="O23" s="62">
        <f t="shared" si="66"/>
        <v>9</v>
      </c>
      <c r="P23" s="62">
        <f t="shared" si="81"/>
        <v>14</v>
      </c>
      <c r="Q23" s="62">
        <f t="shared" si="82"/>
        <v>23</v>
      </c>
      <c r="R23" s="62">
        <f t="shared" si="83"/>
        <v>31</v>
      </c>
      <c r="S23" s="62" t="str">
        <f>IFERROR(VLOOKUP(MID(N23,Q23,R23-Q23),[5]skilldef!$C:$D,2,FALSE),"-") &amp; " / " &amp; IFERROR(VLOOKUP(MID(N23,O23,P23-O23),[5]skilldef!$A:$B,2,FALSE),"-")</f>
        <v>味方全体に / ウィルス</v>
      </c>
      <c r="T23" s="47" t="str">
        <f t="shared" si="84"/>
        <v>[effect:critical, val:1.45]</v>
      </c>
      <c r="U23" s="62">
        <f t="shared" si="71"/>
        <v>9</v>
      </c>
      <c r="V23" s="62">
        <f t="shared" si="85"/>
        <v>17</v>
      </c>
      <c r="W23" s="62" t="e">
        <f t="shared" si="86"/>
        <v>#VALUE!</v>
      </c>
      <c r="X23" s="62" t="e">
        <f t="shared" si="87"/>
        <v>#VALUE!</v>
      </c>
      <c r="Y23" s="62" t="str">
        <f>IFERROR(VLOOKUP(MID(T23,W23,X23-W23),[5]skilldef!$C:$D,2,FALSE),"-") &amp; " / " &amp; IFERROR(VLOOKUP(MID(T23,U23,V23-U23),[5]skilldef!$A:$B,2,FALSE),"-")</f>
        <v>- / 大攻撃</v>
      </c>
      <c r="Z23" s="49"/>
      <c r="AA23" s="51"/>
      <c r="AB23" s="49"/>
    </row>
    <row r="24" spans="1:28" ht="34" customHeight="1" x14ac:dyDescent="0.15">
      <c r="A24" s="102">
        <v>13301939</v>
      </c>
      <c r="B24" s="102" t="s">
        <v>351</v>
      </c>
      <c r="C24" s="103">
        <v>1</v>
      </c>
      <c r="D24" s="103" t="s">
        <v>127</v>
      </c>
      <c r="E24" s="104" t="s">
        <v>299</v>
      </c>
      <c r="F24" s="104" t="s">
        <v>309</v>
      </c>
      <c r="G24" s="62" t="str">
        <f t="shared" si="76"/>
        <v>[effect:enemy_message, val1:1.9, val2:2]</v>
      </c>
      <c r="H24" s="62">
        <f t="shared" si="61"/>
        <v>9</v>
      </c>
      <c r="I24" s="62">
        <f t="shared" si="77"/>
        <v>22</v>
      </c>
      <c r="J24" s="62" t="e">
        <f t="shared" si="78"/>
        <v>#VALUE!</v>
      </c>
      <c r="K24" s="62">
        <f t="shared" si="79"/>
        <v>32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si="80"/>
        <v>[effect:virus, target:unit_all, turn:-1, rate:1, val:0.30, calc_type:target_all, animation:enemy_virus],[effect:critical, val:1.60]</v>
      </c>
      <c r="N24" s="47" t="str">
        <f t="shared" si="75"/>
        <v>[effect:virus, target:unit_all, turn:-1, rate:1, val:0.30, calc_type:target_all, animation:enemy_virus]</v>
      </c>
      <c r="O24" s="62">
        <f t="shared" si="66"/>
        <v>9</v>
      </c>
      <c r="P24" s="62">
        <f t="shared" si="81"/>
        <v>14</v>
      </c>
      <c r="Q24" s="62">
        <f t="shared" si="82"/>
        <v>23</v>
      </c>
      <c r="R24" s="62">
        <f t="shared" si="83"/>
        <v>31</v>
      </c>
      <c r="S24" s="62" t="str">
        <f>IFERROR(VLOOKUP(MID(N24,Q24,R24-Q24),[5]skilldef!$C:$D,2,FALSE),"-") &amp; " / " &amp; IFERROR(VLOOKUP(MID(N24,O24,P24-O24),[5]skilldef!$A:$B,2,FALSE),"-")</f>
        <v>味方全体に / ウィルス</v>
      </c>
      <c r="T24" s="47" t="str">
        <f t="shared" si="84"/>
        <v>[effect:critical, val:1.60]</v>
      </c>
      <c r="U24" s="62">
        <f t="shared" si="71"/>
        <v>9</v>
      </c>
      <c r="V24" s="62">
        <f t="shared" si="85"/>
        <v>17</v>
      </c>
      <c r="W24" s="62" t="e">
        <f t="shared" si="86"/>
        <v>#VALUE!</v>
      </c>
      <c r="X24" s="62" t="e">
        <f t="shared" si="87"/>
        <v>#VALUE!</v>
      </c>
      <c r="Y24" s="62" t="str">
        <f>IFERROR(VLOOKUP(MID(T24,W24,X24-W24),[5]skilldef!$C:$D,2,FALSE),"-") &amp; " / " &amp; IFERROR(VLOOKUP(MID(T24,U24,V24-U24),[5]skilldef!$A:$B,2,FALSE),"-")</f>
        <v>- / 大攻撃</v>
      </c>
      <c r="Z24" s="49"/>
      <c r="AA24" s="51"/>
      <c r="AB24" s="49"/>
    </row>
    <row r="25" spans="1:28" ht="34" customHeight="1" x14ac:dyDescent="0.15">
      <c r="A25" s="102">
        <v>13301940</v>
      </c>
      <c r="B25" s="102" t="s">
        <v>339</v>
      </c>
      <c r="C25" s="103">
        <v>1</v>
      </c>
      <c r="D25" s="103" t="s">
        <v>127</v>
      </c>
      <c r="E25" s="104" t="s">
        <v>312</v>
      </c>
      <c r="F25" s="104" t="s">
        <v>274</v>
      </c>
      <c r="G25" s="62" t="str">
        <f t="shared" ref="G25" si="88">IFERROR(LEFT(B25,FIND("],",B25)),B25)</f>
        <v>[effect:enemy_message, val1:1.6, val2:1.9]</v>
      </c>
      <c r="H25" s="62">
        <f t="shared" ref="H25" si="89">FIND("effect:",G25)+7</f>
        <v>9</v>
      </c>
      <c r="I25" s="62">
        <f t="shared" ref="I25" si="90">IFERROR(FIND(",",G25),LEN(G25))</f>
        <v>22</v>
      </c>
      <c r="J25" s="62" t="e">
        <f t="shared" ref="J25" si="91">FIND("target:",G25)+7</f>
        <v>#VALUE!</v>
      </c>
      <c r="K25" s="62">
        <f t="shared" ref="K25" si="92">FIND(",",G25,I25+1)</f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ref="M25" si="93">IFERROR(RIGHT(B25,LEN(B25)-FIND("],",B25)-1),"none")</f>
        <v>[effect:damage_gravity, val:0.7, animation:fevergauge_down]</v>
      </c>
      <c r="N25" s="47" t="str">
        <f t="shared" ref="N25" si="94">IFERROR(LEFT(M25,FIND("],",M25)+S31),M25)</f>
        <v>[effect:damage_gravity, val:0.7, animation:fevergauge_down]</v>
      </c>
      <c r="O25" s="62">
        <f t="shared" ref="O25" si="95">FIND("effect:",N25)+7</f>
        <v>9</v>
      </c>
      <c r="P25" s="62">
        <f t="shared" ref="P25" si="96">IFERROR(FIND(",",N25),LEN(N25))</f>
        <v>23</v>
      </c>
      <c r="Q25" s="62" t="e">
        <f t="shared" ref="Q25" si="97">FIND("target:",N25)+7</f>
        <v>#VALUE!</v>
      </c>
      <c r="R25" s="62">
        <f t="shared" ref="R25" si="98">FIND(",",N25,P25+1)</f>
        <v>32</v>
      </c>
      <c r="S25" s="62" t="str">
        <f>IFERROR(VLOOKUP(MID(N25,Q25,R25-Q25),[5]skilldef!$C:$D,2,FALSE),"-") &amp; " / " &amp; IFERROR(VLOOKUP(MID(N25,O25,P25-O25),[5]skilldef!$A:$B,2,FALSE),"-")</f>
        <v>- / 割合ダメージ</v>
      </c>
      <c r="T25" s="47" t="str">
        <f t="shared" ref="T25" si="99">IFERROR(RIGHT(M25,LEN(M25)-FIND("],",M25)-1),"none")</f>
        <v>none</v>
      </c>
      <c r="U25" s="62" t="e">
        <f t="shared" ref="U25" si="100">FIND("effect:",T25)+7</f>
        <v>#VALUE!</v>
      </c>
      <c r="V25" s="62">
        <f t="shared" ref="V25" si="101">IFERROR(FIND(",",T25),LEN(T25))</f>
        <v>4</v>
      </c>
      <c r="W25" s="62" t="e">
        <f t="shared" ref="W25" si="102">FIND("target:",T25)+7</f>
        <v>#VALUE!</v>
      </c>
      <c r="X25" s="62" t="e">
        <f t="shared" ref="X25" si="103">FIND(",",T25,V25+1)</f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34" customHeight="1" x14ac:dyDescent="0.15">
      <c r="A26" s="102">
        <v>13301941</v>
      </c>
      <c r="B26" s="102" t="s">
        <v>337</v>
      </c>
      <c r="C26" s="103">
        <v>1</v>
      </c>
      <c r="D26" s="103" t="s">
        <v>127</v>
      </c>
      <c r="E26" s="104" t="s">
        <v>297</v>
      </c>
      <c r="F26" s="104" t="s">
        <v>298</v>
      </c>
      <c r="G26" s="62" t="str">
        <f t="shared" ref="G26" si="104">IFERROR(LEFT(B26,FIND("],",B26)),B26)</f>
        <v>[effect:enemy_message, val1:1.6, val2:2.7, dead_type:escape]</v>
      </c>
      <c r="H26" s="62">
        <f t="shared" ref="H26" si="105">FIND("effect:",G26)+7</f>
        <v>9</v>
      </c>
      <c r="I26" s="62">
        <f t="shared" ref="I26" si="106">IFERROR(FIND(",",G26),LEN(G26))</f>
        <v>22</v>
      </c>
      <c r="J26" s="62" t="e">
        <f t="shared" ref="J26" si="107">FIND("target:",G26)+7</f>
        <v>#VALUE!</v>
      </c>
      <c r="K26" s="62">
        <f t="shared" ref="K26" si="108">FIND(",",G26,I26+1)</f>
        <v>32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ref="M26" si="109">IFERROR(RIGHT(B26,LEN(B26)-FIND("],",B26)-1),"none")</f>
        <v>none</v>
      </c>
      <c r="N26" s="47" t="str">
        <f t="shared" ref="N26" si="110">IFERROR(LEFT(M26,FIND("],",M26)+S32),M26)</f>
        <v>none</v>
      </c>
      <c r="O26" s="62" t="e">
        <f t="shared" ref="O26" si="111">FIND("effect:",N26)+7</f>
        <v>#VALUE!</v>
      </c>
      <c r="P26" s="62">
        <f t="shared" ref="P26" si="112">IFERROR(FIND(",",N26),LEN(N26))</f>
        <v>4</v>
      </c>
      <c r="Q26" s="62" t="e">
        <f t="shared" ref="Q26" si="113">FIND("target:",N26)+7</f>
        <v>#VALUE!</v>
      </c>
      <c r="R26" s="62" t="e">
        <f t="shared" ref="R26" si="114">FIND(",",N26,P26+1)</f>
        <v>#VALUE!</v>
      </c>
      <c r="S26" s="62" t="str">
        <f>IFERROR(VLOOKUP(MID(N26,Q26,R26-Q26),[5]skilldef!$C:$D,2,FALSE),"-") &amp; " / " &amp; IFERROR(VLOOKUP(MID(N26,O26,P26-O26),[5]skilldef!$A:$B,2,FALSE),"-")</f>
        <v>- / -</v>
      </c>
      <c r="T26" s="47" t="str">
        <f t="shared" ref="T26" si="115">IFERROR(RIGHT(M26,LEN(M26)-FIND("],",M26)-1),"none")</f>
        <v>none</v>
      </c>
      <c r="U26" s="62" t="e">
        <f t="shared" ref="U26" si="116">FIND("effect:",T26)+7</f>
        <v>#VALUE!</v>
      </c>
      <c r="V26" s="62">
        <f t="shared" ref="V26" si="117">IFERROR(FIND(",",T26),LEN(T26))</f>
        <v>4</v>
      </c>
      <c r="W26" s="62" t="e">
        <f t="shared" ref="W26" si="118">FIND("target:",T26)+7</f>
        <v>#VALUE!</v>
      </c>
      <c r="X26" s="62" t="e">
        <f t="shared" ref="X26" si="119">FIND(",",T26,V26+1)</f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6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13301901</v>
      </c>
      <c r="B2" s="46">
        <v>1</v>
      </c>
      <c r="C2" s="46" t="s">
        <v>89</v>
      </c>
      <c r="D2" s="46">
        <v>100</v>
      </c>
      <c r="E2" s="46" t="s">
        <v>90</v>
      </c>
      <c r="F2" s="46" t="s">
        <v>90</v>
      </c>
      <c r="G2" s="46">
        <v>1</v>
      </c>
      <c r="H2" s="46" t="s">
        <v>90</v>
      </c>
      <c r="I2" s="46" t="s">
        <v>90</v>
      </c>
      <c r="J2" s="47">
        <f t="shared" ref="J2" si="0">D2</f>
        <v>100</v>
      </c>
    </row>
    <row r="3" spans="1:11" ht="21" customHeight="1" x14ac:dyDescent="0.15">
      <c r="A3" s="46">
        <v>13301902</v>
      </c>
      <c r="B3" s="46">
        <v>0</v>
      </c>
      <c r="C3" s="46">
        <v>100</v>
      </c>
      <c r="D3" s="46">
        <v>100</v>
      </c>
      <c r="E3" s="46" t="s">
        <v>90</v>
      </c>
      <c r="F3" s="46" t="s">
        <v>90</v>
      </c>
      <c r="G3" s="46">
        <v>1</v>
      </c>
      <c r="H3" s="46" t="s">
        <v>90</v>
      </c>
      <c r="I3" s="46" t="s">
        <v>90</v>
      </c>
      <c r="J3" s="47">
        <f t="shared" ref="J3:J5" si="1">D3</f>
        <v>100</v>
      </c>
    </row>
    <row r="4" spans="1:11" ht="21" customHeight="1" x14ac:dyDescent="0.15">
      <c r="A4" s="46">
        <v>13301903</v>
      </c>
      <c r="B4" s="46">
        <v>0</v>
      </c>
      <c r="C4" s="46">
        <v>90</v>
      </c>
      <c r="D4" s="46">
        <v>100</v>
      </c>
      <c r="E4" s="46" t="s">
        <v>90</v>
      </c>
      <c r="F4" s="46" t="s">
        <v>90</v>
      </c>
      <c r="G4" s="46">
        <v>1</v>
      </c>
      <c r="H4" s="46" t="s">
        <v>90</v>
      </c>
      <c r="I4" s="46" t="s">
        <v>90</v>
      </c>
      <c r="J4" s="47">
        <f t="shared" si="1"/>
        <v>100</v>
      </c>
    </row>
    <row r="5" spans="1:11" ht="21" customHeight="1" x14ac:dyDescent="0.15">
      <c r="A5" s="46">
        <v>13301904</v>
      </c>
      <c r="B5" s="46">
        <v>0</v>
      </c>
      <c r="C5" s="46">
        <v>80</v>
      </c>
      <c r="D5" s="46">
        <v>100</v>
      </c>
      <c r="E5" s="46" t="s">
        <v>90</v>
      </c>
      <c r="F5" s="46" t="s">
        <v>90</v>
      </c>
      <c r="G5" s="46">
        <v>1</v>
      </c>
      <c r="H5" s="46" t="s">
        <v>90</v>
      </c>
      <c r="I5" s="46" t="s">
        <v>90</v>
      </c>
      <c r="J5" s="47">
        <f t="shared" si="1"/>
        <v>100</v>
      </c>
    </row>
    <row r="6" spans="1:11" ht="21" customHeight="1" x14ac:dyDescent="0.15">
      <c r="A6" s="102">
        <v>13301911</v>
      </c>
      <c r="B6" s="102">
        <v>1</v>
      </c>
      <c r="C6" s="102" t="s">
        <v>89</v>
      </c>
      <c r="D6" s="102">
        <v>100</v>
      </c>
      <c r="E6" s="102" t="s">
        <v>90</v>
      </c>
      <c r="F6" s="102" t="s">
        <v>90</v>
      </c>
      <c r="G6" s="102">
        <v>1</v>
      </c>
      <c r="H6" s="102" t="s">
        <v>90</v>
      </c>
      <c r="I6" s="102" t="s">
        <v>90</v>
      </c>
      <c r="J6" s="47">
        <f t="shared" ref="J6:J9" si="2">D6</f>
        <v>100</v>
      </c>
    </row>
    <row r="7" spans="1:11" ht="21" customHeight="1" x14ac:dyDescent="0.15">
      <c r="A7" s="102">
        <v>13301912</v>
      </c>
      <c r="B7" s="102">
        <v>0</v>
      </c>
      <c r="C7" s="102">
        <v>120</v>
      </c>
      <c r="D7" s="102">
        <v>100</v>
      </c>
      <c r="E7" s="102" t="s">
        <v>90</v>
      </c>
      <c r="F7" s="102" t="s">
        <v>90</v>
      </c>
      <c r="G7" s="102">
        <v>1</v>
      </c>
      <c r="H7" s="102" t="s">
        <v>90</v>
      </c>
      <c r="I7" s="102" t="s">
        <v>90</v>
      </c>
      <c r="J7" s="47">
        <f t="shared" si="2"/>
        <v>100</v>
      </c>
    </row>
    <row r="8" spans="1:11" ht="21" customHeight="1" x14ac:dyDescent="0.15">
      <c r="A8" s="102">
        <v>13301913</v>
      </c>
      <c r="B8" s="102">
        <v>0</v>
      </c>
      <c r="C8" s="102">
        <v>110</v>
      </c>
      <c r="D8" s="102">
        <v>100</v>
      </c>
      <c r="E8" s="102" t="s">
        <v>266</v>
      </c>
      <c r="F8" s="102" t="s">
        <v>90</v>
      </c>
      <c r="G8" s="102">
        <v>1</v>
      </c>
      <c r="H8" s="102" t="s">
        <v>90</v>
      </c>
      <c r="I8" s="102" t="s">
        <v>90</v>
      </c>
      <c r="J8" s="47">
        <f t="shared" si="2"/>
        <v>100</v>
      </c>
    </row>
    <row r="9" spans="1:11" ht="21" customHeight="1" x14ac:dyDescent="0.15">
      <c r="A9" s="102">
        <v>13301914</v>
      </c>
      <c r="B9" s="102">
        <v>0</v>
      </c>
      <c r="C9" s="102">
        <v>100</v>
      </c>
      <c r="D9" s="102">
        <v>100</v>
      </c>
      <c r="E9" s="102" t="s">
        <v>266</v>
      </c>
      <c r="F9" s="102" t="s">
        <v>90</v>
      </c>
      <c r="G9" s="102">
        <v>1</v>
      </c>
      <c r="H9" s="102" t="s">
        <v>90</v>
      </c>
      <c r="I9" s="102" t="s">
        <v>90</v>
      </c>
      <c r="J9" s="47">
        <f t="shared" si="2"/>
        <v>100</v>
      </c>
    </row>
    <row r="10" spans="1:11" ht="21" customHeight="1" x14ac:dyDescent="0.15">
      <c r="A10" s="46">
        <v>13301921</v>
      </c>
      <c r="B10" s="46">
        <v>1</v>
      </c>
      <c r="C10" s="46" t="s">
        <v>89</v>
      </c>
      <c r="D10" s="46">
        <v>100</v>
      </c>
      <c r="E10" s="46" t="s">
        <v>90</v>
      </c>
      <c r="F10" s="46" t="s">
        <v>90</v>
      </c>
      <c r="G10" s="46">
        <v>1</v>
      </c>
      <c r="H10" s="46" t="s">
        <v>90</v>
      </c>
      <c r="I10" s="46" t="s">
        <v>90</v>
      </c>
      <c r="J10" s="47">
        <f t="shared" ref="J10:J14" si="3">D10</f>
        <v>100</v>
      </c>
    </row>
    <row r="11" spans="1:11" ht="21" customHeight="1" x14ac:dyDescent="0.15">
      <c r="A11" s="46">
        <v>13301922</v>
      </c>
      <c r="B11" s="46">
        <v>0</v>
      </c>
      <c r="C11" s="46">
        <v>100</v>
      </c>
      <c r="D11" s="46">
        <v>100</v>
      </c>
      <c r="E11" s="46" t="s">
        <v>90</v>
      </c>
      <c r="F11" s="46" t="s">
        <v>90</v>
      </c>
      <c r="G11" s="46" t="s">
        <v>262</v>
      </c>
      <c r="H11" s="46" t="s">
        <v>90</v>
      </c>
      <c r="I11" s="46" t="s">
        <v>90</v>
      </c>
      <c r="J11" s="47">
        <f t="shared" si="3"/>
        <v>100</v>
      </c>
    </row>
    <row r="12" spans="1:11" ht="21" customHeight="1" x14ac:dyDescent="0.15">
      <c r="A12" s="46">
        <v>13301923</v>
      </c>
      <c r="B12" s="46">
        <v>0</v>
      </c>
      <c r="C12" s="46">
        <v>210</v>
      </c>
      <c r="D12" s="46">
        <v>100</v>
      </c>
      <c r="E12" s="46">
        <v>70</v>
      </c>
      <c r="F12" s="46" t="s">
        <v>90</v>
      </c>
      <c r="G12" s="46">
        <v>1</v>
      </c>
      <c r="H12" s="46" t="s">
        <v>90</v>
      </c>
      <c r="I12" s="46" t="s">
        <v>90</v>
      </c>
      <c r="J12" s="47">
        <f t="shared" si="3"/>
        <v>100</v>
      </c>
    </row>
    <row r="13" spans="1:11" ht="21" customHeight="1" x14ac:dyDescent="0.15">
      <c r="A13" s="46">
        <v>13301924</v>
      </c>
      <c r="B13" s="46">
        <v>0</v>
      </c>
      <c r="C13" s="46">
        <v>200</v>
      </c>
      <c r="D13" s="46">
        <v>100</v>
      </c>
      <c r="E13" s="46">
        <v>65</v>
      </c>
      <c r="F13" s="46" t="s">
        <v>90</v>
      </c>
      <c r="G13" s="46">
        <v>1</v>
      </c>
      <c r="H13" s="46" t="s">
        <v>90</v>
      </c>
      <c r="I13" s="46" t="s">
        <v>90</v>
      </c>
      <c r="J13" s="47">
        <f t="shared" si="3"/>
        <v>100</v>
      </c>
    </row>
    <row r="14" spans="1:11" ht="21" customHeight="1" x14ac:dyDescent="0.15">
      <c r="A14" s="46">
        <v>13301925</v>
      </c>
      <c r="B14" s="46">
        <v>0</v>
      </c>
      <c r="C14" s="46">
        <v>190</v>
      </c>
      <c r="D14" s="46">
        <v>50</v>
      </c>
      <c r="E14" s="46">
        <v>60</v>
      </c>
      <c r="F14" s="46" t="s">
        <v>90</v>
      </c>
      <c r="G14" s="46">
        <v>1</v>
      </c>
      <c r="H14" s="46" t="s">
        <v>90</v>
      </c>
      <c r="I14" s="46" t="s">
        <v>90</v>
      </c>
      <c r="J14" s="47">
        <f t="shared" si="3"/>
        <v>50</v>
      </c>
    </row>
    <row r="15" spans="1:11" ht="21" customHeight="1" x14ac:dyDescent="0.15">
      <c r="A15" s="46">
        <v>13301926</v>
      </c>
      <c r="B15" s="46">
        <v>0</v>
      </c>
      <c r="C15" s="46">
        <v>220</v>
      </c>
      <c r="D15" s="46">
        <v>100</v>
      </c>
      <c r="E15" s="46" t="s">
        <v>273</v>
      </c>
      <c r="F15" s="46" t="s">
        <v>89</v>
      </c>
      <c r="G15" s="46">
        <v>1</v>
      </c>
      <c r="H15" s="46">
        <v>3</v>
      </c>
      <c r="I15" s="46" t="s">
        <v>89</v>
      </c>
      <c r="J15" s="47">
        <f t="shared" ref="J15" si="4">D15</f>
        <v>100</v>
      </c>
    </row>
    <row r="16" spans="1:11" ht="21" customHeight="1" x14ac:dyDescent="0.15">
      <c r="A16" s="102">
        <v>13301931</v>
      </c>
      <c r="B16" s="102">
        <v>1</v>
      </c>
      <c r="C16" s="102" t="s">
        <v>89</v>
      </c>
      <c r="D16" s="102">
        <v>100</v>
      </c>
      <c r="E16" s="102" t="s">
        <v>90</v>
      </c>
      <c r="F16" s="102" t="s">
        <v>90</v>
      </c>
      <c r="G16" s="102">
        <v>1</v>
      </c>
      <c r="H16" s="102" t="s">
        <v>90</v>
      </c>
      <c r="I16" s="102" t="s">
        <v>90</v>
      </c>
      <c r="J16" s="47">
        <f t="shared" ref="J16:J20" si="5">D16</f>
        <v>100</v>
      </c>
    </row>
    <row r="17" spans="1:10" ht="21" customHeight="1" x14ac:dyDescent="0.15">
      <c r="A17" s="102">
        <v>13301932</v>
      </c>
      <c r="B17" s="102">
        <v>0</v>
      </c>
      <c r="C17" s="102">
        <v>100</v>
      </c>
      <c r="D17" s="102">
        <v>100</v>
      </c>
      <c r="E17" s="102" t="s">
        <v>90</v>
      </c>
      <c r="F17" s="102">
        <v>50</v>
      </c>
      <c r="G17" s="102" t="s">
        <v>252</v>
      </c>
      <c r="H17" s="102">
        <v>1</v>
      </c>
      <c r="I17" s="102" t="s">
        <v>90</v>
      </c>
      <c r="J17" s="47">
        <f t="shared" si="5"/>
        <v>100</v>
      </c>
    </row>
    <row r="18" spans="1:10" ht="21" customHeight="1" x14ac:dyDescent="0.15">
      <c r="A18" s="102">
        <v>13301933</v>
      </c>
      <c r="B18" s="102">
        <v>0</v>
      </c>
      <c r="C18" s="102">
        <v>110</v>
      </c>
      <c r="D18" s="102">
        <v>100</v>
      </c>
      <c r="E18" s="102" t="s">
        <v>90</v>
      </c>
      <c r="F18" s="102">
        <v>50</v>
      </c>
      <c r="G18" s="102" t="s">
        <v>263</v>
      </c>
      <c r="H18" s="102">
        <v>2</v>
      </c>
      <c r="I18" s="102" t="s">
        <v>90</v>
      </c>
      <c r="J18" s="47">
        <f t="shared" si="5"/>
        <v>100</v>
      </c>
    </row>
    <row r="19" spans="1:10" ht="21" customHeight="1" x14ac:dyDescent="0.15">
      <c r="A19" s="102">
        <v>13301934</v>
      </c>
      <c r="B19" s="102">
        <v>0</v>
      </c>
      <c r="C19" s="102">
        <v>210</v>
      </c>
      <c r="D19" s="102">
        <v>100</v>
      </c>
      <c r="E19" s="102">
        <v>50</v>
      </c>
      <c r="F19" s="102" t="s">
        <v>90</v>
      </c>
      <c r="G19" s="102">
        <v>1</v>
      </c>
      <c r="H19" s="102" t="s">
        <v>90</v>
      </c>
      <c r="I19" s="102" t="s">
        <v>90</v>
      </c>
      <c r="J19" s="47">
        <f t="shared" si="5"/>
        <v>100</v>
      </c>
    </row>
    <row r="20" spans="1:10" ht="21" customHeight="1" x14ac:dyDescent="0.15">
      <c r="A20" s="102">
        <v>13301935</v>
      </c>
      <c r="B20" s="102">
        <v>0</v>
      </c>
      <c r="C20" s="102">
        <v>209</v>
      </c>
      <c r="D20" s="102">
        <v>100</v>
      </c>
      <c r="E20" s="102">
        <v>50</v>
      </c>
      <c r="F20" s="102" t="s">
        <v>90</v>
      </c>
      <c r="G20" s="102">
        <v>1</v>
      </c>
      <c r="H20" s="102" t="s">
        <v>90</v>
      </c>
      <c r="I20" s="102" t="s">
        <v>90</v>
      </c>
      <c r="J20" s="47">
        <f t="shared" si="5"/>
        <v>100</v>
      </c>
    </row>
    <row r="21" spans="1:10" ht="21" customHeight="1" x14ac:dyDescent="0.15">
      <c r="A21" s="102">
        <v>13301936</v>
      </c>
      <c r="B21" s="102">
        <v>0</v>
      </c>
      <c r="C21" s="102">
        <v>208</v>
      </c>
      <c r="D21" s="102">
        <v>100</v>
      </c>
      <c r="E21" s="102">
        <v>50</v>
      </c>
      <c r="F21" s="102" t="s">
        <v>90</v>
      </c>
      <c r="G21" s="102">
        <v>1</v>
      </c>
      <c r="H21" s="102" t="s">
        <v>90</v>
      </c>
      <c r="I21" s="102" t="s">
        <v>90</v>
      </c>
      <c r="J21" s="47">
        <f t="shared" ref="J21:J24" si="6">D21</f>
        <v>100</v>
      </c>
    </row>
    <row r="22" spans="1:10" ht="21" customHeight="1" x14ac:dyDescent="0.15">
      <c r="A22" s="102">
        <v>13301937</v>
      </c>
      <c r="B22" s="102">
        <v>0</v>
      </c>
      <c r="C22" s="102">
        <v>207</v>
      </c>
      <c r="D22" s="102">
        <v>100</v>
      </c>
      <c r="E22" s="102">
        <v>50</v>
      </c>
      <c r="F22" s="102" t="s">
        <v>90</v>
      </c>
      <c r="G22" s="102">
        <v>1</v>
      </c>
      <c r="H22" s="102" t="s">
        <v>90</v>
      </c>
      <c r="I22" s="102" t="s">
        <v>90</v>
      </c>
      <c r="J22" s="47">
        <f t="shared" si="6"/>
        <v>100</v>
      </c>
    </row>
    <row r="23" spans="1:10" ht="21" customHeight="1" x14ac:dyDescent="0.15">
      <c r="A23" s="102">
        <v>13301938</v>
      </c>
      <c r="B23" s="102">
        <v>0</v>
      </c>
      <c r="C23" s="102">
        <v>206</v>
      </c>
      <c r="D23" s="102">
        <v>100</v>
      </c>
      <c r="E23" s="102">
        <v>50</v>
      </c>
      <c r="F23" s="102" t="s">
        <v>90</v>
      </c>
      <c r="G23" s="102">
        <v>1</v>
      </c>
      <c r="H23" s="102" t="s">
        <v>90</v>
      </c>
      <c r="I23" s="102" t="s">
        <v>90</v>
      </c>
      <c r="J23" s="47">
        <f t="shared" si="6"/>
        <v>100</v>
      </c>
    </row>
    <row r="24" spans="1:10" ht="21" customHeight="1" x14ac:dyDescent="0.15">
      <c r="A24" s="102">
        <v>13301939</v>
      </c>
      <c r="B24" s="102">
        <v>0</v>
      </c>
      <c r="C24" s="102">
        <v>205</v>
      </c>
      <c r="D24" s="102">
        <v>100</v>
      </c>
      <c r="E24" s="102">
        <v>50</v>
      </c>
      <c r="F24" s="102" t="s">
        <v>90</v>
      </c>
      <c r="G24" s="102" t="s">
        <v>276</v>
      </c>
      <c r="H24" s="102" t="s">
        <v>90</v>
      </c>
      <c r="I24" s="102" t="s">
        <v>90</v>
      </c>
      <c r="J24" s="47">
        <f t="shared" si="6"/>
        <v>100</v>
      </c>
    </row>
    <row r="25" spans="1:10" ht="21" customHeight="1" x14ac:dyDescent="0.15">
      <c r="A25" s="102">
        <v>13301940</v>
      </c>
      <c r="B25" s="102">
        <v>0</v>
      </c>
      <c r="C25" s="102">
        <v>220</v>
      </c>
      <c r="D25" s="102">
        <v>100</v>
      </c>
      <c r="E25" s="102">
        <v>75</v>
      </c>
      <c r="F25" s="102" t="s">
        <v>89</v>
      </c>
      <c r="G25" s="102">
        <v>1</v>
      </c>
      <c r="H25" s="102">
        <v>1</v>
      </c>
      <c r="I25" s="102" t="s">
        <v>89</v>
      </c>
      <c r="J25" s="47">
        <f t="shared" ref="J25" si="7">D25</f>
        <v>100</v>
      </c>
    </row>
    <row r="26" spans="1:10" ht="21" customHeight="1" x14ac:dyDescent="0.15">
      <c r="A26" s="102">
        <v>13301941</v>
      </c>
      <c r="B26" s="102">
        <v>0</v>
      </c>
      <c r="C26" s="102" t="s">
        <v>277</v>
      </c>
      <c r="D26" s="102">
        <v>100</v>
      </c>
      <c r="E26" s="102" t="s">
        <v>53</v>
      </c>
      <c r="F26" s="102" t="s">
        <v>53</v>
      </c>
      <c r="G26" s="102">
        <v>0</v>
      </c>
      <c r="H26" s="102" t="s">
        <v>278</v>
      </c>
      <c r="I26" s="102">
        <v>0</v>
      </c>
      <c r="J26" s="47">
        <f t="shared" ref="J26" si="8">D26</f>
        <v>100</v>
      </c>
    </row>
  </sheetData>
  <autoFilter ref="A1:G1"/>
  <phoneticPr fontId="5"/>
  <conditionalFormatting sqref="K27:K1048576 K7:K14 K1:K3 K5 K16:K20">
    <cfRule type="duplicateValues" dxfId="6" priority="8"/>
  </conditionalFormatting>
  <conditionalFormatting sqref="K4">
    <cfRule type="duplicateValues" dxfId="5" priority="7"/>
  </conditionalFormatting>
  <conditionalFormatting sqref="K6">
    <cfRule type="duplicateValues" dxfId="4" priority="5"/>
  </conditionalFormatting>
  <conditionalFormatting sqref="K21:K24">
    <cfRule type="duplicateValues" dxfId="3" priority="12"/>
  </conditionalFormatting>
  <conditionalFormatting sqref="K15">
    <cfRule type="duplicateValues" dxfId="2" priority="3"/>
  </conditionalFormatting>
  <conditionalFormatting sqref="K25">
    <cfRule type="duplicateValues" dxfId="1" priority="2"/>
  </conditionalFormatting>
  <conditionalFormatting sqref="K2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9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1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v>13302</v>
      </c>
      <c r="B2" s="56">
        <v>10</v>
      </c>
      <c r="C2" s="70" t="str">
        <f>A2&amp; "_"&amp;B2</f>
        <v>13302_10</v>
      </c>
      <c r="D2" s="10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6">
        <v>1</v>
      </c>
      <c r="F2" s="56" t="s">
        <v>248</v>
      </c>
      <c r="G2" s="56">
        <v>122</v>
      </c>
      <c r="H2" s="56">
        <v>1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20</v>
      </c>
      <c r="Q2" s="56" t="s">
        <v>168</v>
      </c>
      <c r="R2" s="56" t="s">
        <v>169</v>
      </c>
    </row>
    <row r="3" spans="1:18" x14ac:dyDescent="0.15">
      <c r="A3" s="56">
        <v>13302</v>
      </c>
      <c r="B3" s="56">
        <v>10</v>
      </c>
      <c r="C3" s="70" t="str">
        <f t="shared" ref="C3:C6" si="0">A3&amp; "_"&amp;B3</f>
        <v>13302_10</v>
      </c>
      <c r="D3" s="10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6">
        <v>2</v>
      </c>
      <c r="F3" s="56" t="s">
        <v>249</v>
      </c>
      <c r="G3" s="56">
        <v>608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310</v>
      </c>
      <c r="Q3" s="56" t="s">
        <v>168</v>
      </c>
      <c r="R3" s="56" t="s">
        <v>169</v>
      </c>
    </row>
    <row r="4" spans="1:18" x14ac:dyDescent="0.15">
      <c r="A4" s="56">
        <v>13302</v>
      </c>
      <c r="B4" s="56">
        <v>10</v>
      </c>
      <c r="C4" s="70" t="str">
        <f t="shared" si="0"/>
        <v>13302_10</v>
      </c>
      <c r="D4" s="10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6">
        <v>3</v>
      </c>
      <c r="F4" s="56" t="s">
        <v>250</v>
      </c>
      <c r="G4" s="56">
        <v>612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40</v>
      </c>
      <c r="Q4" s="56" t="s">
        <v>168</v>
      </c>
      <c r="R4" s="56" t="s">
        <v>169</v>
      </c>
    </row>
    <row r="5" spans="1:18" x14ac:dyDescent="0.15">
      <c r="A5" s="56">
        <v>13302</v>
      </c>
      <c r="B5" s="56">
        <v>10</v>
      </c>
      <c r="C5" s="70" t="str">
        <f t="shared" si="0"/>
        <v>13302_10</v>
      </c>
      <c r="D5" s="10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6">
        <v>4</v>
      </c>
      <c r="F5" s="56" t="s">
        <v>251</v>
      </c>
      <c r="G5" s="56">
        <v>125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50</v>
      </c>
      <c r="Q5" s="56" t="s">
        <v>168</v>
      </c>
      <c r="R5" s="56" t="s">
        <v>169</v>
      </c>
    </row>
    <row r="6" spans="1:18" x14ac:dyDescent="0.15">
      <c r="A6" s="56">
        <v>13302</v>
      </c>
      <c r="B6" s="56">
        <v>10</v>
      </c>
      <c r="C6" s="70" t="str">
        <f t="shared" si="0"/>
        <v>13302_10</v>
      </c>
      <c r="D6" s="10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6">
        <v>5</v>
      </c>
      <c r="F6" s="56" t="s">
        <v>248</v>
      </c>
      <c r="G6" s="56">
        <v>610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30</v>
      </c>
      <c r="Q6" s="56" t="s">
        <v>168</v>
      </c>
      <c r="R6" s="56" t="s">
        <v>169</v>
      </c>
    </row>
    <row r="7" spans="1:18" x14ac:dyDescent="0.15">
      <c r="A7" s="56">
        <v>13302</v>
      </c>
      <c r="B7" s="56">
        <v>10</v>
      </c>
      <c r="C7" s="70" t="str">
        <f t="shared" ref="C7:C9" si="1">A7&amp; "_"&amp;B7</f>
        <v>13302_10</v>
      </c>
      <c r="D7" s="10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6">
        <v>6</v>
      </c>
      <c r="F7" s="56" t="s">
        <v>247</v>
      </c>
      <c r="G7" s="56">
        <v>500</v>
      </c>
      <c r="H7" s="56" t="s">
        <v>279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220</v>
      </c>
      <c r="Q7" s="56" t="s">
        <v>168</v>
      </c>
      <c r="R7" s="56" t="s">
        <v>169</v>
      </c>
    </row>
    <row r="8" spans="1:18" x14ac:dyDescent="0.15">
      <c r="A8" s="56">
        <v>13302</v>
      </c>
      <c r="B8" s="56">
        <v>10</v>
      </c>
      <c r="C8" s="70" t="str">
        <f t="shared" si="1"/>
        <v>13302_10</v>
      </c>
      <c r="D8" s="10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6">
        <v>7</v>
      </c>
      <c r="F8" s="56" t="s">
        <v>248</v>
      </c>
      <c r="G8" s="56">
        <v>346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50</v>
      </c>
      <c r="Q8" s="56" t="s">
        <v>168</v>
      </c>
      <c r="R8" s="56" t="s">
        <v>169</v>
      </c>
    </row>
    <row r="9" spans="1:18" x14ac:dyDescent="0.15">
      <c r="A9" s="56">
        <v>13302</v>
      </c>
      <c r="B9" s="56">
        <v>10</v>
      </c>
      <c r="C9" s="70" t="str">
        <f t="shared" si="1"/>
        <v>13302_10</v>
      </c>
      <c r="D9" s="10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6">
        <v>8</v>
      </c>
      <c r="F9" s="56" t="s">
        <v>248</v>
      </c>
      <c r="G9" s="56">
        <v>347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280</v>
      </c>
      <c r="Q9" s="56" t="s">
        <v>168</v>
      </c>
      <c r="R9" s="56" t="s">
        <v>169</v>
      </c>
    </row>
  </sheetData>
  <phoneticPr fontId="5"/>
  <dataValidations count="1">
    <dataValidation type="list" allowBlank="1" showInputMessage="1" showErrorMessage="1" sqref="F2:F9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2" t="s">
        <v>187</v>
      </c>
      <c r="C1" s="76" t="s">
        <v>188</v>
      </c>
      <c r="D1" s="76" t="s">
        <v>33</v>
      </c>
      <c r="E1" s="72" t="s">
        <v>189</v>
      </c>
      <c r="F1" s="76" t="s">
        <v>190</v>
      </c>
      <c r="G1" s="76" t="s">
        <v>33</v>
      </c>
      <c r="H1" s="72" t="s">
        <v>191</v>
      </c>
      <c r="I1" s="90" t="s">
        <v>193</v>
      </c>
      <c r="J1" s="78" t="s">
        <v>126</v>
      </c>
      <c r="K1" s="77" t="s">
        <v>185</v>
      </c>
      <c r="L1" s="91" t="s">
        <v>184</v>
      </c>
      <c r="M1" s="79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7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186</v>
      </c>
      <c r="B1" s="72" t="s">
        <v>150</v>
      </c>
      <c r="C1" s="76" t="s">
        <v>188</v>
      </c>
      <c r="D1" s="76" t="s">
        <v>33</v>
      </c>
      <c r="E1" s="72" t="s">
        <v>189</v>
      </c>
      <c r="F1" s="76" t="s">
        <v>18</v>
      </c>
      <c r="G1" s="76" t="s">
        <v>33</v>
      </c>
      <c r="H1" s="72" t="s">
        <v>191</v>
      </c>
      <c r="I1" s="88" t="s">
        <v>192</v>
      </c>
      <c r="J1" s="90" t="s">
        <v>193</v>
      </c>
      <c r="K1" s="78" t="s">
        <v>126</v>
      </c>
      <c r="L1" s="77" t="s">
        <v>185</v>
      </c>
      <c r="M1" s="91" t="s">
        <v>184</v>
      </c>
      <c r="N1" s="79" t="s">
        <v>194</v>
      </c>
    </row>
    <row r="2" spans="1:15" ht="56" x14ac:dyDescent="0.15">
      <c r="A2" s="80" t="s">
        <v>195</v>
      </c>
      <c r="B2" s="81">
        <v>13302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10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10階 ボナンザ 現る！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>
        <v>2</v>
      </c>
      <c r="I2" s="89">
        <f>ROW()-1</f>
        <v>1</v>
      </c>
      <c r="J2" s="85">
        <v>13302901</v>
      </c>
      <c r="K2" s="83" t="s">
        <v>196</v>
      </c>
      <c r="L2" s="86" t="s">
        <v>197</v>
      </c>
      <c r="M2" s="112" t="s">
        <v>314</v>
      </c>
      <c r="N2" s="56" t="s">
        <v>198</v>
      </c>
      <c r="O2">
        <f t="shared" ref="O2:O7" si="0">LEN(M2)</f>
        <v>56</v>
      </c>
    </row>
    <row r="3" spans="1:15" ht="56" x14ac:dyDescent="0.15">
      <c r="A3" s="80" t="s">
        <v>195</v>
      </c>
      <c r="B3" s="81">
        <v>13302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10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10階 ボナンザ 現る！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>
        <v>2</v>
      </c>
      <c r="I3" s="89">
        <f t="shared" ref="I3:I7" si="1">ROW()-1</f>
        <v>2</v>
      </c>
      <c r="J3" s="85">
        <v>13302902</v>
      </c>
      <c r="K3" s="83" t="s">
        <v>127</v>
      </c>
      <c r="L3" s="86" t="s">
        <v>197</v>
      </c>
      <c r="M3" s="112" t="s">
        <v>318</v>
      </c>
      <c r="N3" s="56" t="s">
        <v>198</v>
      </c>
      <c r="O3">
        <f t="shared" si="0"/>
        <v>48</v>
      </c>
    </row>
    <row r="4" spans="1:15" ht="56" x14ac:dyDescent="0.15">
      <c r="A4" s="80" t="s">
        <v>195</v>
      </c>
      <c r="B4" s="81">
        <v>13302</v>
      </c>
      <c r="C4" s="82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2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3">
        <v>10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10階 ボナンザ 現る！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4">
        <v>2</v>
      </c>
      <c r="I4" s="89">
        <f t="shared" si="1"/>
        <v>3</v>
      </c>
      <c r="J4" s="85">
        <v>13302903</v>
      </c>
      <c r="K4" s="83" t="s">
        <v>127</v>
      </c>
      <c r="L4" s="86" t="s">
        <v>197</v>
      </c>
      <c r="M4" s="112" t="s">
        <v>313</v>
      </c>
      <c r="N4" s="56" t="s">
        <v>198</v>
      </c>
      <c r="O4">
        <f t="shared" si="0"/>
        <v>54</v>
      </c>
    </row>
    <row r="5" spans="1:15" ht="56" x14ac:dyDescent="0.15">
      <c r="A5" s="80" t="s">
        <v>301</v>
      </c>
      <c r="B5" s="81">
        <v>13302</v>
      </c>
      <c r="C5" s="82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2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3">
        <v>10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10階 ボナンザ 現る！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4">
        <v>0</v>
      </c>
      <c r="I5" s="89">
        <f t="shared" si="1"/>
        <v>4</v>
      </c>
      <c r="J5" s="85">
        <v>13302904</v>
      </c>
      <c r="K5" s="83" t="s">
        <v>127</v>
      </c>
      <c r="L5" s="86" t="s">
        <v>303</v>
      </c>
      <c r="M5" s="112" t="s">
        <v>302</v>
      </c>
      <c r="N5" s="56" t="s">
        <v>198</v>
      </c>
      <c r="O5">
        <f t="shared" si="0"/>
        <v>60</v>
      </c>
    </row>
    <row r="6" spans="1:15" ht="70" x14ac:dyDescent="0.15">
      <c r="A6" s="80" t="s">
        <v>301</v>
      </c>
      <c r="B6" s="81">
        <v>13302</v>
      </c>
      <c r="C6" s="82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2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3">
        <v>10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10階 ボナンザ 現る！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4">
        <v>0</v>
      </c>
      <c r="I6" s="89">
        <f t="shared" si="1"/>
        <v>5</v>
      </c>
      <c r="J6" s="85">
        <v>13302905</v>
      </c>
      <c r="K6" s="83" t="s">
        <v>127</v>
      </c>
      <c r="L6" s="86" t="s">
        <v>305</v>
      </c>
      <c r="M6" s="112" t="s">
        <v>306</v>
      </c>
      <c r="N6" s="56" t="s">
        <v>198</v>
      </c>
      <c r="O6">
        <f t="shared" si="0"/>
        <v>59</v>
      </c>
    </row>
    <row r="7" spans="1:15" ht="56" x14ac:dyDescent="0.15">
      <c r="A7" s="80" t="s">
        <v>301</v>
      </c>
      <c r="B7" s="81">
        <v>13302</v>
      </c>
      <c r="C7" s="82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2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3">
        <v>10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10階 ボナンザ 現る！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4">
        <v>0</v>
      </c>
      <c r="I7" s="89">
        <f t="shared" si="1"/>
        <v>6</v>
      </c>
      <c r="J7" s="85">
        <v>13302906</v>
      </c>
      <c r="K7" s="83" t="s">
        <v>127</v>
      </c>
      <c r="L7" s="86" t="s">
        <v>304</v>
      </c>
      <c r="M7" s="112" t="s">
        <v>319</v>
      </c>
      <c r="N7" s="56" t="s">
        <v>198</v>
      </c>
      <c r="O7">
        <f t="shared" si="0"/>
        <v>62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210</v>
      </c>
      <c r="B1" s="94" t="s">
        <v>211</v>
      </c>
      <c r="C1" s="76" t="s">
        <v>212</v>
      </c>
      <c r="D1" s="76" t="s">
        <v>33</v>
      </c>
      <c r="E1" s="94" t="s">
        <v>213</v>
      </c>
      <c r="F1" s="76" t="s">
        <v>214</v>
      </c>
      <c r="G1" s="76" t="s">
        <v>33</v>
      </c>
      <c r="H1" s="94" t="s">
        <v>215</v>
      </c>
      <c r="I1" s="94" t="s">
        <v>216</v>
      </c>
      <c r="J1" s="94" t="s">
        <v>217</v>
      </c>
      <c r="K1" s="72" t="s">
        <v>218</v>
      </c>
      <c r="L1" s="72" t="s">
        <v>219</v>
      </c>
      <c r="M1" s="72" t="s">
        <v>156</v>
      </c>
      <c r="N1" s="76" t="s">
        <v>16</v>
      </c>
      <c r="O1" s="72" t="s">
        <v>220</v>
      </c>
      <c r="P1" s="72" t="s">
        <v>57</v>
      </c>
      <c r="Q1" s="72" t="s">
        <v>221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222</v>
      </c>
      <c r="X1" s="72" t="s">
        <v>223</v>
      </c>
    </row>
    <row r="2" spans="1:24" x14ac:dyDescent="0.15">
      <c r="A2" s="105" t="str">
        <f>B2&amp;"_"&amp;E2&amp;"_"&amp;H2&amp;"_"&amp;I2&amp;"_"&amp;J2</f>
        <v>13302_10_singleonly_clear_1</v>
      </c>
      <c r="B2" s="81">
        <v>13302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10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10階 ボナンザ 現る！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 t="s">
        <v>260</v>
      </c>
      <c r="I2" s="83" t="s">
        <v>254</v>
      </c>
      <c r="J2" s="83">
        <v>1</v>
      </c>
      <c r="K2" s="83">
        <v>550</v>
      </c>
      <c r="L2" s="83" t="s">
        <v>257</v>
      </c>
      <c r="M2" s="83">
        <v>21000</v>
      </c>
      <c r="N2" s="10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3" t="s">
        <v>258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107" t="s">
        <v>255</v>
      </c>
      <c r="X2" s="108" t="s">
        <v>256</v>
      </c>
    </row>
    <row r="3" spans="1:24" x14ac:dyDescent="0.15">
      <c r="A3" s="105" t="str">
        <f>B3&amp;"_"&amp;E3&amp;"_"&amp;H3&amp;"_"&amp;I3&amp;"_"&amp;J3</f>
        <v>13302_10_singleonly_clear_2</v>
      </c>
      <c r="B3" s="81">
        <v>13302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10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10階 ボナンザ 現る！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 t="s">
        <v>261</v>
      </c>
      <c r="I3" s="83" t="s">
        <v>254</v>
      </c>
      <c r="J3" s="83">
        <v>2</v>
      </c>
      <c r="K3" s="83">
        <v>450</v>
      </c>
      <c r="L3" s="83" t="s">
        <v>259</v>
      </c>
      <c r="M3" s="83">
        <v>56000</v>
      </c>
      <c r="N3" s="10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3" t="s">
        <v>258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107" t="s">
        <v>255</v>
      </c>
      <c r="X3" s="108" t="s">
        <v>256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2016-12-02T11:33:43Z</dcterms:modified>
</cp:coreProperties>
</file>