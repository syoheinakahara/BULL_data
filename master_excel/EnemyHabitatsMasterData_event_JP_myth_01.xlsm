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0" yWindow="460" windowWidth="31180" windowHeight="1628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54" i="10" l="1"/>
  <c r="AC35" i="10"/>
  <c r="AC16" i="10"/>
  <c r="L82" i="19"/>
  <c r="K82" i="19"/>
  <c r="G82" i="19"/>
  <c r="F82" i="19"/>
  <c r="D82" i="19"/>
  <c r="C82" i="19"/>
  <c r="L81" i="19"/>
  <c r="K81" i="19"/>
  <c r="G81" i="19"/>
  <c r="F81" i="19"/>
  <c r="D81" i="19"/>
  <c r="C81" i="19"/>
  <c r="L80" i="19"/>
  <c r="K80" i="19"/>
  <c r="G80" i="19"/>
  <c r="F80" i="19"/>
  <c r="D80" i="19"/>
  <c r="C80" i="19"/>
  <c r="L79" i="19"/>
  <c r="K79" i="19"/>
  <c r="G79" i="19"/>
  <c r="F79" i="19"/>
  <c r="D79" i="19"/>
  <c r="C79" i="19"/>
  <c r="L78" i="19"/>
  <c r="K78" i="19"/>
  <c r="G78" i="19"/>
  <c r="F78" i="19"/>
  <c r="D78" i="19"/>
  <c r="C78" i="19"/>
  <c r="L77" i="19"/>
  <c r="K77" i="19"/>
  <c r="G77" i="19"/>
  <c r="F77" i="19"/>
  <c r="D77" i="19"/>
  <c r="C77" i="19"/>
  <c r="L76" i="19"/>
  <c r="K76" i="19"/>
  <c r="G76" i="19"/>
  <c r="F76" i="19"/>
  <c r="D76" i="19"/>
  <c r="C76" i="19"/>
  <c r="L75" i="19"/>
  <c r="K75" i="19"/>
  <c r="G75" i="19"/>
  <c r="F75" i="19"/>
  <c r="D75" i="19"/>
  <c r="C75" i="19"/>
  <c r="L74" i="19"/>
  <c r="K74" i="19"/>
  <c r="G74" i="19"/>
  <c r="F74" i="19"/>
  <c r="D74" i="19"/>
  <c r="C74" i="19"/>
  <c r="L73" i="19"/>
  <c r="K73" i="19"/>
  <c r="G73" i="19"/>
  <c r="F73" i="19"/>
  <c r="D73" i="19"/>
  <c r="C73" i="19"/>
  <c r="L72" i="19"/>
  <c r="K72" i="19"/>
  <c r="G72" i="19"/>
  <c r="F72" i="19"/>
  <c r="D72" i="19"/>
  <c r="C72" i="19"/>
  <c r="L71" i="19"/>
  <c r="K71" i="19"/>
  <c r="G71" i="19"/>
  <c r="F71" i="19"/>
  <c r="D71" i="19"/>
  <c r="C71" i="19"/>
  <c r="L70" i="19"/>
  <c r="K70" i="19"/>
  <c r="G70" i="19"/>
  <c r="F70" i="19"/>
  <c r="D70" i="19"/>
  <c r="C70" i="19"/>
  <c r="L69" i="19"/>
  <c r="K69" i="19"/>
  <c r="G69" i="19"/>
  <c r="F69" i="19"/>
  <c r="D69" i="19"/>
  <c r="C69" i="19"/>
  <c r="L68" i="19"/>
  <c r="K68" i="19"/>
  <c r="G68" i="19"/>
  <c r="F68" i="19"/>
  <c r="D68" i="19"/>
  <c r="C68" i="19"/>
  <c r="L67" i="19"/>
  <c r="K67" i="19"/>
  <c r="G67" i="19"/>
  <c r="F67" i="19"/>
  <c r="D67" i="19"/>
  <c r="C67" i="19"/>
  <c r="L66" i="19"/>
  <c r="K66" i="19"/>
  <c r="G66" i="19"/>
  <c r="F66" i="19"/>
  <c r="D66" i="19"/>
  <c r="C66" i="19"/>
  <c r="L65" i="19"/>
  <c r="K65" i="19"/>
  <c r="G65" i="19"/>
  <c r="F65" i="19"/>
  <c r="D65" i="19"/>
  <c r="C65" i="19"/>
  <c r="L64" i="19"/>
  <c r="K64" i="19"/>
  <c r="G64" i="19"/>
  <c r="F64" i="19"/>
  <c r="D64" i="19"/>
  <c r="C64" i="19"/>
  <c r="L63" i="19"/>
  <c r="K63" i="19"/>
  <c r="G63" i="19"/>
  <c r="F63" i="19"/>
  <c r="D63" i="19"/>
  <c r="C63" i="19"/>
  <c r="L62" i="19"/>
  <c r="K62" i="19"/>
  <c r="G62" i="19"/>
  <c r="F62" i="19"/>
  <c r="D62" i="19"/>
  <c r="C62" i="19"/>
  <c r="L61" i="19"/>
  <c r="K61" i="19"/>
  <c r="G61" i="19"/>
  <c r="F61" i="19"/>
  <c r="D61" i="19"/>
  <c r="C61" i="19"/>
  <c r="L60" i="19"/>
  <c r="K60" i="19"/>
  <c r="G60" i="19"/>
  <c r="F60" i="19"/>
  <c r="D60" i="19"/>
  <c r="C60" i="19"/>
  <c r="L59" i="19"/>
  <c r="K59" i="19"/>
  <c r="G59" i="19"/>
  <c r="F59" i="19"/>
  <c r="D59" i="19"/>
  <c r="C59" i="19"/>
  <c r="L58" i="19"/>
  <c r="K58" i="19"/>
  <c r="G58" i="19"/>
  <c r="F58" i="19"/>
  <c r="D58" i="19"/>
  <c r="C58" i="19"/>
  <c r="L57" i="19"/>
  <c r="K57" i="19"/>
  <c r="G57" i="19"/>
  <c r="F57" i="19"/>
  <c r="D57" i="19"/>
  <c r="C57" i="19"/>
  <c r="L56" i="19"/>
  <c r="K56" i="19"/>
  <c r="G56" i="19"/>
  <c r="F56" i="19"/>
  <c r="D56" i="19"/>
  <c r="C56" i="19"/>
  <c r="L55" i="19"/>
  <c r="K55" i="19"/>
  <c r="G55" i="19"/>
  <c r="F55" i="19"/>
  <c r="D55" i="19"/>
  <c r="C55" i="19"/>
  <c r="L54" i="19"/>
  <c r="K54" i="19"/>
  <c r="G54" i="19"/>
  <c r="F54" i="19"/>
  <c r="D54" i="19"/>
  <c r="C54" i="19"/>
  <c r="L53" i="19"/>
  <c r="K53" i="19"/>
  <c r="G53" i="19"/>
  <c r="F53" i="19"/>
  <c r="D53" i="19"/>
  <c r="C53" i="19"/>
  <c r="L52" i="19"/>
  <c r="K52" i="19"/>
  <c r="G52" i="19"/>
  <c r="F52" i="19"/>
  <c r="D52" i="19"/>
  <c r="C52" i="19"/>
  <c r="L51" i="19"/>
  <c r="K51" i="19"/>
  <c r="G51" i="19"/>
  <c r="F51" i="19"/>
  <c r="D51" i="19"/>
  <c r="C51" i="19"/>
  <c r="L50" i="19"/>
  <c r="K50" i="19"/>
  <c r="G50" i="19"/>
  <c r="F50" i="19"/>
  <c r="D50" i="19"/>
  <c r="C50" i="19"/>
  <c r="L49" i="19"/>
  <c r="K49" i="19"/>
  <c r="G49" i="19"/>
  <c r="F49" i="19"/>
  <c r="D49" i="19"/>
  <c r="C49" i="19"/>
  <c r="L48" i="19"/>
  <c r="K48" i="19"/>
  <c r="G48" i="19"/>
  <c r="F48" i="19"/>
  <c r="D48" i="19"/>
  <c r="C48" i="19"/>
  <c r="L47" i="19"/>
  <c r="K47" i="19"/>
  <c r="G47" i="19"/>
  <c r="F47" i="19"/>
  <c r="D47" i="19"/>
  <c r="C47" i="19"/>
  <c r="L46" i="19"/>
  <c r="K46" i="19"/>
  <c r="G46" i="19"/>
  <c r="F46" i="19"/>
  <c r="D46" i="19"/>
  <c r="C46" i="19"/>
  <c r="L45" i="19"/>
  <c r="K45" i="19"/>
  <c r="G45" i="19"/>
  <c r="F45" i="19"/>
  <c r="D45" i="19"/>
  <c r="C45" i="19"/>
  <c r="L44" i="19"/>
  <c r="K44" i="19"/>
  <c r="G44" i="19"/>
  <c r="F44" i="19"/>
  <c r="D44" i="19"/>
  <c r="C44" i="19"/>
  <c r="L43" i="19"/>
  <c r="K43" i="19"/>
  <c r="G43" i="19"/>
  <c r="F43" i="19"/>
  <c r="D43" i="19"/>
  <c r="C43" i="19"/>
  <c r="L42" i="19"/>
  <c r="K42" i="19"/>
  <c r="G42" i="19"/>
  <c r="F42" i="19"/>
  <c r="D42" i="19"/>
  <c r="C42" i="19"/>
  <c r="L41" i="19"/>
  <c r="K41" i="19"/>
  <c r="G41" i="19"/>
  <c r="F41" i="19"/>
  <c r="D41" i="19"/>
  <c r="C41" i="19"/>
  <c r="L40" i="19"/>
  <c r="K40" i="19"/>
  <c r="G40" i="19"/>
  <c r="F40" i="19"/>
  <c r="D40" i="19"/>
  <c r="C40" i="19"/>
  <c r="L39" i="19"/>
  <c r="K39" i="19"/>
  <c r="G39" i="19"/>
  <c r="F39" i="19"/>
  <c r="D39" i="19"/>
  <c r="C39" i="19"/>
  <c r="L38" i="19"/>
  <c r="K38" i="19"/>
  <c r="G38" i="19"/>
  <c r="F38" i="19"/>
  <c r="D38" i="19"/>
  <c r="C38" i="19"/>
  <c r="L37" i="19"/>
  <c r="K37" i="19"/>
  <c r="G37" i="19"/>
  <c r="F37" i="19"/>
  <c r="D37" i="19"/>
  <c r="C37" i="19"/>
  <c r="L36" i="19"/>
  <c r="K36" i="19"/>
  <c r="G36" i="19"/>
  <c r="F36" i="19"/>
  <c r="D36" i="19"/>
  <c r="C36" i="19"/>
  <c r="L35" i="19"/>
  <c r="K35" i="19"/>
  <c r="G35" i="19"/>
  <c r="F35" i="19"/>
  <c r="D35" i="19"/>
  <c r="C35" i="19"/>
  <c r="L34" i="19"/>
  <c r="K34" i="19"/>
  <c r="G34" i="19"/>
  <c r="F34" i="19"/>
  <c r="D34" i="19"/>
  <c r="C34" i="19"/>
  <c r="L33" i="19"/>
  <c r="K33" i="19"/>
  <c r="G33" i="19"/>
  <c r="F33" i="19"/>
  <c r="D33" i="19"/>
  <c r="C33" i="19"/>
  <c r="L32" i="19"/>
  <c r="K32" i="19"/>
  <c r="G32" i="19"/>
  <c r="F32" i="19"/>
  <c r="D32" i="19"/>
  <c r="C32" i="19"/>
  <c r="L31" i="19"/>
  <c r="K31" i="19"/>
  <c r="G31" i="19"/>
  <c r="F31" i="19"/>
  <c r="D31" i="19"/>
  <c r="C31" i="19"/>
  <c r="L30" i="19"/>
  <c r="K30" i="19"/>
  <c r="G30" i="19"/>
  <c r="F30" i="19"/>
  <c r="D30" i="19"/>
  <c r="C30" i="19"/>
  <c r="L29" i="19"/>
  <c r="K29" i="19"/>
  <c r="G29" i="19"/>
  <c r="F29" i="19"/>
  <c r="D29" i="19"/>
  <c r="C29" i="19"/>
  <c r="L28" i="19"/>
  <c r="K28" i="19"/>
  <c r="G28" i="19"/>
  <c r="F28" i="19"/>
  <c r="D28" i="19"/>
  <c r="C28" i="19"/>
  <c r="L27" i="19"/>
  <c r="K27" i="19"/>
  <c r="G27" i="19"/>
  <c r="F27" i="19"/>
  <c r="D27" i="19"/>
  <c r="C27" i="19"/>
  <c r="L26" i="19"/>
  <c r="K26" i="19"/>
  <c r="G26" i="19"/>
  <c r="F26" i="19"/>
  <c r="D26" i="19"/>
  <c r="C26" i="19"/>
  <c r="L25" i="19"/>
  <c r="K25" i="19"/>
  <c r="G25" i="19"/>
  <c r="F25" i="19"/>
  <c r="D25" i="19"/>
  <c r="C25" i="19"/>
  <c r="L24" i="19"/>
  <c r="K24" i="19"/>
  <c r="G24" i="19"/>
  <c r="F24" i="19"/>
  <c r="D24" i="19"/>
  <c r="C24" i="19"/>
  <c r="L23" i="19"/>
  <c r="K23" i="19"/>
  <c r="G23" i="19"/>
  <c r="F23" i="19"/>
  <c r="D23" i="19"/>
  <c r="C23" i="19"/>
  <c r="L22" i="19"/>
  <c r="K22" i="19"/>
  <c r="G22" i="19"/>
  <c r="F22" i="19"/>
  <c r="D22" i="19"/>
  <c r="C22" i="19"/>
  <c r="L21" i="19"/>
  <c r="K21" i="19"/>
  <c r="G21" i="19"/>
  <c r="F21" i="19"/>
  <c r="D21" i="19"/>
  <c r="C21" i="19"/>
  <c r="L20" i="19"/>
  <c r="K20" i="19"/>
  <c r="G20" i="19"/>
  <c r="F20" i="19"/>
  <c r="D20" i="19"/>
  <c r="C20" i="19"/>
  <c r="L19" i="19"/>
  <c r="K19" i="19"/>
  <c r="G19" i="19"/>
  <c r="F19" i="19"/>
  <c r="D19" i="19"/>
  <c r="C19" i="19"/>
  <c r="L18" i="19"/>
  <c r="K18" i="19"/>
  <c r="G18" i="19"/>
  <c r="F18" i="19"/>
  <c r="D18" i="19"/>
  <c r="C18" i="19"/>
  <c r="L17" i="19"/>
  <c r="K17" i="19"/>
  <c r="G17" i="19"/>
  <c r="F17" i="19"/>
  <c r="D17" i="19"/>
  <c r="C17" i="19"/>
  <c r="L16" i="19"/>
  <c r="K16" i="19"/>
  <c r="G16" i="19"/>
  <c r="F16" i="19"/>
  <c r="D16" i="19"/>
  <c r="C16" i="19"/>
  <c r="L15" i="19"/>
  <c r="K15" i="19"/>
  <c r="G15" i="19"/>
  <c r="F15" i="19"/>
  <c r="D15" i="19"/>
  <c r="C15" i="19"/>
  <c r="L14" i="19"/>
  <c r="K14" i="19"/>
  <c r="G14" i="19"/>
  <c r="F14" i="19"/>
  <c r="D14" i="19"/>
  <c r="C14" i="19"/>
  <c r="L13" i="19"/>
  <c r="K13" i="19"/>
  <c r="G13" i="19"/>
  <c r="F13" i="19"/>
  <c r="D13" i="19"/>
  <c r="C13" i="19"/>
  <c r="L12" i="19"/>
  <c r="K12" i="19"/>
  <c r="G12" i="19"/>
  <c r="F12" i="19"/>
  <c r="D12" i="19"/>
  <c r="C12" i="19"/>
  <c r="L11" i="19"/>
  <c r="K11" i="19"/>
  <c r="G11" i="19"/>
  <c r="F11" i="19"/>
  <c r="D11" i="19"/>
  <c r="C11" i="19"/>
  <c r="L10" i="19"/>
  <c r="K10" i="19"/>
  <c r="G10" i="19"/>
  <c r="F10" i="19"/>
  <c r="D10" i="19"/>
  <c r="C10" i="19"/>
  <c r="L9" i="19"/>
  <c r="K9" i="19"/>
  <c r="G9" i="19"/>
  <c r="F9" i="19"/>
  <c r="D9" i="19"/>
  <c r="C9" i="19"/>
  <c r="L8" i="19"/>
  <c r="K8" i="19"/>
  <c r="G8" i="19"/>
  <c r="F8" i="19"/>
  <c r="D8" i="19"/>
  <c r="C8" i="19"/>
  <c r="L7" i="19"/>
  <c r="K7" i="19"/>
  <c r="G7" i="19"/>
  <c r="F7" i="19"/>
  <c r="D7" i="19"/>
  <c r="C7" i="19"/>
  <c r="L6" i="19"/>
  <c r="K6" i="19"/>
  <c r="G6" i="19"/>
  <c r="F6" i="19"/>
  <c r="D6" i="19"/>
  <c r="C6" i="19"/>
  <c r="L5" i="19"/>
  <c r="K5" i="19"/>
  <c r="G5" i="19"/>
  <c r="F5" i="19"/>
  <c r="D5" i="19"/>
  <c r="C5" i="19"/>
  <c r="L4" i="19"/>
  <c r="K4" i="19"/>
  <c r="G4" i="19"/>
  <c r="F4" i="19"/>
  <c r="D4" i="19"/>
  <c r="C4" i="19"/>
  <c r="L3" i="19"/>
  <c r="K3" i="19"/>
  <c r="G3" i="19"/>
  <c r="F3" i="19"/>
  <c r="D3" i="19"/>
  <c r="C3" i="19"/>
  <c r="L2" i="19"/>
  <c r="K2" i="19"/>
  <c r="G2" i="19"/>
  <c r="F2" i="19"/>
  <c r="D2" i="19"/>
  <c r="C2" i="19"/>
  <c r="AC57" i="10"/>
  <c r="AC55" i="10"/>
  <c r="AC52" i="10"/>
  <c r="AC46" i="10"/>
  <c r="AC44" i="10"/>
  <c r="AC40" i="10"/>
  <c r="AC38" i="10"/>
  <c r="AC36" i="10"/>
  <c r="AC33" i="10"/>
  <c r="AC27" i="10"/>
  <c r="AC25" i="10"/>
  <c r="AC21" i="10"/>
  <c r="AC19" i="10"/>
  <c r="AC23" i="10"/>
  <c r="AC17" i="10"/>
  <c r="AC14" i="10"/>
  <c r="AC8" i="10"/>
  <c r="AC6" i="10"/>
  <c r="AC2" i="10"/>
  <c r="AC3" i="10"/>
  <c r="AC11" i="10"/>
  <c r="AC15" i="10"/>
  <c r="AC22" i="10"/>
  <c r="AC30" i="10"/>
  <c r="AC34" i="10"/>
  <c r="AC53" i="10"/>
  <c r="AC49" i="10"/>
  <c r="AC41" i="10"/>
  <c r="AC26" i="10"/>
  <c r="AC31" i="10"/>
  <c r="AC37" i="10"/>
  <c r="AC32" i="10"/>
  <c r="AC29" i="10"/>
  <c r="AC24" i="10"/>
  <c r="E32" i="9"/>
  <c r="X13" i="1"/>
  <c r="AC18" i="10"/>
  <c r="AC7" i="10"/>
  <c r="AC12" i="10"/>
  <c r="B19" i="21"/>
  <c r="I19" i="21"/>
  <c r="J19" i="21"/>
  <c r="G19" i="21"/>
  <c r="F19" i="21"/>
  <c r="D19" i="21"/>
  <c r="C19" i="21"/>
  <c r="B13" i="21"/>
  <c r="I13" i="21"/>
  <c r="J13" i="21"/>
  <c r="G13" i="21"/>
  <c r="F13" i="21"/>
  <c r="D13" i="21"/>
  <c r="C13" i="21"/>
  <c r="O3" i="21"/>
  <c r="O4" i="21"/>
  <c r="O5" i="21"/>
  <c r="O6" i="21"/>
  <c r="O7" i="21"/>
  <c r="O2" i="21"/>
  <c r="B7" i="21"/>
  <c r="I7" i="21"/>
  <c r="J7" i="21"/>
  <c r="G7" i="21"/>
  <c r="F7" i="21"/>
  <c r="D7" i="21"/>
  <c r="C7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A33" i="18"/>
  <c r="C33" i="18"/>
  <c r="D33" i="18"/>
  <c r="A32" i="18"/>
  <c r="C32" i="18"/>
  <c r="D32" i="18"/>
  <c r="A22" i="18"/>
  <c r="C22" i="18"/>
  <c r="D22" i="18"/>
  <c r="A21" i="18"/>
  <c r="C21" i="18"/>
  <c r="D21" i="18"/>
  <c r="A11" i="18"/>
  <c r="C11" i="18"/>
  <c r="D11" i="18"/>
  <c r="A31" i="18"/>
  <c r="A30" i="18"/>
  <c r="A29" i="18"/>
  <c r="A28" i="18"/>
  <c r="A27" i="18"/>
  <c r="A26" i="18"/>
  <c r="A25" i="18"/>
  <c r="A24" i="18"/>
  <c r="A23" i="18"/>
  <c r="A20" i="18"/>
  <c r="A19" i="18"/>
  <c r="A18" i="18"/>
  <c r="A17" i="18"/>
  <c r="A16" i="18"/>
  <c r="A15" i="18"/>
  <c r="A14" i="18"/>
  <c r="A13" i="18"/>
  <c r="A12" i="18"/>
  <c r="A10" i="18"/>
  <c r="A9" i="18"/>
  <c r="A8" i="18"/>
  <c r="A7" i="18"/>
  <c r="A6" i="18"/>
  <c r="A5" i="18"/>
  <c r="A4" i="18"/>
  <c r="A3" i="18"/>
  <c r="A2" i="18"/>
  <c r="C31" i="18"/>
  <c r="D31" i="18"/>
  <c r="C30" i="18"/>
  <c r="D30" i="18"/>
  <c r="C29" i="18"/>
  <c r="D29" i="18"/>
  <c r="C28" i="18"/>
  <c r="D28" i="18"/>
  <c r="C27" i="18"/>
  <c r="D27" i="18"/>
  <c r="C26" i="18"/>
  <c r="D26" i="18"/>
  <c r="C25" i="18"/>
  <c r="D25" i="18"/>
  <c r="C24" i="18"/>
  <c r="D24" i="18"/>
  <c r="C23" i="18"/>
  <c r="D23" i="18"/>
  <c r="C20" i="18"/>
  <c r="D20" i="18"/>
  <c r="C19" i="18"/>
  <c r="D19" i="18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AC13" i="10"/>
  <c r="AC10" i="10"/>
  <c r="AC9" i="10"/>
  <c r="AC5" i="10"/>
  <c r="AC4" i="10"/>
  <c r="AC56" i="10"/>
  <c r="AC51" i="10"/>
  <c r="AC50" i="10"/>
  <c r="AC48" i="10"/>
  <c r="AC47" i="10"/>
  <c r="AC45" i="10"/>
  <c r="AC43" i="10"/>
  <c r="AC42" i="10"/>
  <c r="AC28" i="10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AC58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AC39" i="10"/>
  <c r="M39" i="10"/>
  <c r="T39" i="10"/>
  <c r="W39" i="10"/>
  <c r="V39" i="10"/>
  <c r="X39" i="10"/>
  <c r="U39" i="10"/>
  <c r="Y39" i="10"/>
  <c r="M50" i="10"/>
  <c r="N50" i="10"/>
  <c r="Q50" i="10"/>
  <c r="P50" i="10"/>
  <c r="R50" i="10"/>
  <c r="O50" i="10"/>
  <c r="S50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AC20" i="10"/>
  <c r="M20" i="10"/>
  <c r="T20" i="10"/>
  <c r="W20" i="10"/>
  <c r="V20" i="10"/>
  <c r="X20" i="10"/>
  <c r="U20" i="10"/>
  <c r="Y20" i="10"/>
  <c r="M53" i="10"/>
  <c r="N53" i="10"/>
  <c r="Q53" i="10"/>
  <c r="P53" i="10"/>
  <c r="R53" i="10"/>
  <c r="O53" i="10"/>
  <c r="S53" i="10"/>
  <c r="M42" i="10"/>
  <c r="N42" i="10"/>
  <c r="Q42" i="10"/>
  <c r="P42" i="10"/>
  <c r="R42" i="10"/>
  <c r="O42" i="10"/>
  <c r="S42" i="10"/>
  <c r="M31" i="10"/>
  <c r="N31" i="10"/>
  <c r="Q31" i="10"/>
  <c r="P31" i="10"/>
  <c r="R31" i="10"/>
  <c r="O31" i="10"/>
  <c r="S31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J57" i="11"/>
  <c r="O57" i="9"/>
  <c r="N57" i="9"/>
  <c r="M57" i="9"/>
  <c r="L57" i="9"/>
  <c r="K57" i="9"/>
  <c r="J57" i="9"/>
  <c r="I57" i="9"/>
  <c r="H57" i="9"/>
  <c r="G57" i="9"/>
  <c r="J56" i="11"/>
  <c r="O56" i="9"/>
  <c r="N56" i="9"/>
  <c r="M56" i="9"/>
  <c r="L56" i="9"/>
  <c r="K56" i="9"/>
  <c r="J56" i="9"/>
  <c r="I56" i="9"/>
  <c r="H56" i="9"/>
  <c r="G56" i="9"/>
  <c r="J55" i="11"/>
  <c r="O55" i="9"/>
  <c r="N55" i="9"/>
  <c r="M55" i="9"/>
  <c r="L55" i="9"/>
  <c r="K55" i="9"/>
  <c r="J55" i="9"/>
  <c r="I55" i="9"/>
  <c r="H55" i="9"/>
  <c r="G55" i="9"/>
  <c r="E57" i="9"/>
  <c r="D57" i="9"/>
  <c r="E56" i="9"/>
  <c r="D56" i="9"/>
  <c r="E55" i="9"/>
  <c r="D55" i="9"/>
  <c r="A57" i="9"/>
  <c r="A56" i="9"/>
  <c r="A55" i="9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6" i="11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T50" i="10"/>
  <c r="W50" i="10"/>
  <c r="V50" i="10"/>
  <c r="X50" i="10"/>
  <c r="U50" i="10"/>
  <c r="Y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6" i="10"/>
  <c r="T6" i="10"/>
  <c r="W6" i="10"/>
  <c r="V6" i="10"/>
  <c r="X6" i="10"/>
  <c r="U6" i="10"/>
  <c r="Y6" i="10"/>
  <c r="M17" i="10"/>
  <c r="N17" i="10"/>
  <c r="Q17" i="10"/>
  <c r="P17" i="10"/>
  <c r="R17" i="10"/>
  <c r="O17" i="10"/>
  <c r="S17" i="10"/>
  <c r="N6" i="10"/>
  <c r="Q6" i="10"/>
  <c r="P6" i="10"/>
  <c r="R6" i="10"/>
  <c r="O6" i="10"/>
  <c r="S6" i="10"/>
  <c r="G6" i="10"/>
  <c r="J6" i="10"/>
  <c r="I6" i="10"/>
  <c r="K6" i="10"/>
  <c r="H6" i="10"/>
  <c r="L6" i="10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AC18" i="1"/>
  <c r="AC12" i="1"/>
  <c r="E2" i="9"/>
  <c r="Y4" i="7"/>
  <c r="Y3" i="7"/>
  <c r="Y2" i="7"/>
  <c r="X19" i="1"/>
  <c r="X18" i="1"/>
  <c r="X17" i="1"/>
  <c r="X16" i="1"/>
  <c r="X15" i="1"/>
  <c r="X14" i="1"/>
  <c r="X12" i="1"/>
  <c r="X11" i="1"/>
  <c r="X10" i="1"/>
  <c r="X9" i="1"/>
  <c r="X8" i="1"/>
  <c r="X7" i="1"/>
  <c r="X6" i="1"/>
  <c r="X5" i="1"/>
  <c r="X4" i="1"/>
  <c r="X3" i="1"/>
  <c r="X2" i="1"/>
  <c r="W4" i="7"/>
  <c r="U4" i="7"/>
  <c r="R4" i="7"/>
  <c r="Q4" i="7"/>
  <c r="P4" i="7"/>
  <c r="O4" i="7"/>
  <c r="N4" i="7"/>
  <c r="H4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F19" i="1"/>
  <c r="AI19" i="1"/>
  <c r="AG19" i="1"/>
  <c r="AE19" i="1"/>
  <c r="V19" i="1"/>
  <c r="T19" i="1"/>
  <c r="Q19" i="1"/>
  <c r="P19" i="1"/>
  <c r="O19" i="1"/>
  <c r="N19" i="1"/>
  <c r="M19" i="1"/>
  <c r="H19" i="1"/>
  <c r="J19" i="1"/>
  <c r="I19" i="1"/>
  <c r="D19" i="1"/>
  <c r="F19" i="1"/>
  <c r="E19" i="1"/>
  <c r="A19" i="1"/>
  <c r="AF18" i="1"/>
  <c r="AI18" i="1"/>
  <c r="AG18" i="1"/>
  <c r="AE18" i="1"/>
  <c r="V18" i="1"/>
  <c r="T18" i="1"/>
  <c r="Q18" i="1"/>
  <c r="P18" i="1"/>
  <c r="O18" i="1"/>
  <c r="N18" i="1"/>
  <c r="M18" i="1"/>
  <c r="H18" i="1"/>
  <c r="J18" i="1"/>
  <c r="I18" i="1"/>
  <c r="D18" i="1"/>
  <c r="F18" i="1"/>
  <c r="E18" i="1"/>
  <c r="A18" i="1"/>
  <c r="AF17" i="1"/>
  <c r="AI17" i="1"/>
  <c r="AG17" i="1"/>
  <c r="AE17" i="1"/>
  <c r="V17" i="1"/>
  <c r="T17" i="1"/>
  <c r="Q17" i="1"/>
  <c r="P17" i="1"/>
  <c r="O17" i="1"/>
  <c r="N17" i="1"/>
  <c r="M17" i="1"/>
  <c r="H17" i="1"/>
  <c r="J17" i="1"/>
  <c r="I17" i="1"/>
  <c r="D17" i="1"/>
  <c r="F17" i="1"/>
  <c r="E17" i="1"/>
  <c r="A17" i="1"/>
  <c r="AF16" i="1"/>
  <c r="AI16" i="1"/>
  <c r="AG16" i="1"/>
  <c r="AE16" i="1"/>
  <c r="V16" i="1"/>
  <c r="T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I15" i="1"/>
  <c r="AG15" i="1"/>
  <c r="AE15" i="1"/>
  <c r="V15" i="1"/>
  <c r="T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V14" i="1"/>
  <c r="T14" i="1"/>
  <c r="Q14" i="1"/>
  <c r="P14" i="1"/>
  <c r="O14" i="1"/>
  <c r="N14" i="1"/>
  <c r="M14" i="1"/>
  <c r="H14" i="1"/>
  <c r="J14" i="1"/>
  <c r="I14" i="1"/>
  <c r="D14" i="1"/>
  <c r="F14" i="1"/>
  <c r="E14" i="1"/>
  <c r="A14" i="1"/>
  <c r="AF13" i="1"/>
  <c r="AI13" i="1"/>
  <c r="AG13" i="1"/>
  <c r="AE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F12" i="1"/>
  <c r="AI12" i="1"/>
  <c r="AG12" i="1"/>
  <c r="AE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F11" i="1"/>
  <c r="AI11" i="1"/>
  <c r="AG11" i="1"/>
  <c r="AE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F10" i="1"/>
  <c r="AI10" i="1"/>
  <c r="AG10" i="1"/>
  <c r="AE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F9" i="1"/>
  <c r="AI9" i="1"/>
  <c r="AG9" i="1"/>
  <c r="AE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F6" i="1"/>
  <c r="AI6" i="1"/>
  <c r="AG6" i="1"/>
  <c r="AE6" i="1"/>
  <c r="AC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13" i="2"/>
  <c r="E13" i="2"/>
  <c r="D13" i="2"/>
  <c r="H2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B2" i="21"/>
  <c r="I2" i="21"/>
  <c r="J2" i="21"/>
  <c r="G2" i="21"/>
  <c r="F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G2" i="1"/>
  <c r="AF2" i="1"/>
  <c r="AE2" i="1"/>
  <c r="Q2" i="1"/>
  <c r="P2" i="1"/>
  <c r="O2" i="1"/>
  <c r="N2" i="1"/>
  <c r="M2" i="1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  <c r="M19" i="10"/>
  <c r="T19" i="10"/>
  <c r="W19" i="10"/>
  <c r="V19" i="10"/>
  <c r="X19" i="10"/>
  <c r="U19" i="10"/>
  <c r="Y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T17" i="10"/>
  <c r="W17" i="10"/>
  <c r="V17" i="10"/>
  <c r="X17" i="10"/>
  <c r="U17" i="10"/>
  <c r="Y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19" i="10"/>
  <c r="Q19" i="10"/>
  <c r="P19" i="10"/>
  <c r="R19" i="10"/>
  <c r="O19" i="10"/>
  <c r="S1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18" i="10"/>
  <c r="Q18" i="10"/>
  <c r="P18" i="10"/>
  <c r="R18" i="10"/>
  <c r="O18" i="10"/>
  <c r="S1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5" i="10"/>
  <c r="T5" i="10"/>
  <c r="W5" i="10"/>
  <c r="V5" i="10"/>
  <c r="X5" i="10"/>
  <c r="U5" i="10"/>
  <c r="Y5" i="10"/>
  <c r="N16" i="10"/>
  <c r="Q16" i="10"/>
  <c r="P16" i="10"/>
  <c r="R16" i="10"/>
  <c r="O16" i="10"/>
  <c r="S16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15" i="10"/>
  <c r="Q15" i="10"/>
  <c r="P15" i="10"/>
  <c r="R15" i="10"/>
  <c r="O15" i="10"/>
  <c r="S15" i="10"/>
  <c r="N4" i="10"/>
  <c r="Q4" i="10"/>
  <c r="P4" i="10"/>
  <c r="R4" i="10"/>
  <c r="O4" i="10"/>
  <c r="S4" i="10"/>
  <c r="G4" i="10"/>
  <c r="J4" i="10"/>
  <c r="I4" i="10"/>
  <c r="K4" i="10"/>
  <c r="H4" i="10"/>
  <c r="L4" i="10"/>
  <c r="G2" i="10"/>
  <c r="J2" i="10"/>
  <c r="I2" i="10"/>
  <c r="K2" i="10"/>
  <c r="H2" i="10"/>
  <c r="L2" i="10"/>
  <c r="M2" i="10"/>
  <c r="N13" i="10"/>
  <c r="Q13" i="10"/>
  <c r="P13" i="10"/>
  <c r="R13" i="10"/>
  <c r="O13" i="10"/>
  <c r="S13" i="10"/>
  <c r="N2" i="10"/>
  <c r="Q2" i="10"/>
  <c r="P2" i="10"/>
  <c r="R2" i="10"/>
  <c r="O2" i="10"/>
  <c r="S2" i="10"/>
  <c r="T2" i="10"/>
  <c r="W2" i="10"/>
  <c r="V2" i="10"/>
  <c r="X2" i="10"/>
  <c r="U2" i="10"/>
  <c r="Y2" i="10"/>
  <c r="G3" i="10"/>
  <c r="J3" i="10"/>
  <c r="I3" i="10"/>
  <c r="K3" i="10"/>
  <c r="H3" i="10"/>
  <c r="L3" i="10"/>
  <c r="M3" i="10"/>
  <c r="N14" i="10"/>
  <c r="Q14" i="10"/>
  <c r="P14" i="10"/>
  <c r="R14" i="10"/>
  <c r="O14" i="10"/>
  <c r="S14" i="10"/>
  <c r="N3" i="10"/>
  <c r="Q3" i="10"/>
  <c r="P3" i="10"/>
  <c r="R3" i="10"/>
  <c r="O3" i="10"/>
  <c r="S3" i="10"/>
  <c r="T3" i="10"/>
  <c r="W3" i="10"/>
  <c r="V3" i="10"/>
  <c r="X3" i="10"/>
  <c r="U3" i="10"/>
  <c r="Y3" i="10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<sst xmlns="http://schemas.openxmlformats.org/spreadsheetml/2006/main" count="1467" uniqueCount="524">
  <si>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</si>
  <si>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</si>
  <si>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</si>
  <si>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</si>
  <si>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</si>
  <si>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</si>
  <si>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</si>
  <si>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</si>
  <si>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</si>
  <si>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</si>
  <si>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</si>
  <si>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</si>
  <si>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</si>
  <si>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</si>
  <si>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</si>
  <si>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</si>
  <si>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</si>
  <si>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</si>
  <si>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</si>
  <si>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</si>
  <si>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</si>
  <si>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</si>
  <si>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</si>
  <si>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</si>
  <si>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</si>
  <si>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</si>
  <si>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</si>
  <si>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</si>
  <si>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</si>
  <si>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</si>
  <si>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</si>
  <si>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</si>
  <si>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</si>
  <si>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</si>
  <si>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</si>
  <si>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</si>
  <si>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</si>
  <si>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</si>
  <si>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</si>
  <si>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</si>
  <si>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</si>
  <si>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</si>
  <si>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</si>
  <si>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</si>
  <si>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</si>
  <si>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</si>
  <si>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</si>
  <si>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</si>
  <si>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</si>
  <si>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</si>
  <si>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</si>
  <si>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</si>
  <si>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</si>
  <si>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</si>
  <si>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</si>
  <si>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</si>
  <si>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</si>
  <si>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</si>
  <si>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</si>
  <si>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</si>
  <si>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</si>
  <si>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</si>
  <si>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</si>
  <si>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</si>
  <si>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</si>
  <si>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</si>
  <si>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</si>
  <si>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</si>
  <si>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</si>
  <si>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</si>
  <si>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</si>
  <si>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</si>
  <si>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</si>
  <si>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</si>
  <si>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</si>
  <si>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</si>
  <si>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</si>
  <si>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</si>
  <si>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</si>
  <si>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</si>
  <si>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</si>
  <si>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</si>
  <si>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</si>
  <si>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</si>
  <si>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</si>
  <si>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</si>
  <si>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</si>
  <si>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</si>
  <si>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</si>
  <si>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</si>
  <si>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</si>
  <si>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</si>
  <si>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</si>
  <si>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</si>
  <si>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</si>
  <si>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</si>
  <si>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</si>
  <si>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</si>
  <si>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</si>
  <si>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</si>
  <si>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</si>
  <si>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</si>
  <si>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</si>
  <si>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</si>
  <si>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</si>
  <si>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</si>
  <si>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</si>
  <si>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</si>
  <si>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</si>
  <si>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</si>
  <si>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</si>
  <si>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</si>
  <si>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</si>
  <si>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</si>
  <si>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</si>
  <si>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</si>
  <si>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</si>
  <si>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</si>
  <si>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</si>
  <si>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</si>
  <si>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</si>
  <si>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</si>
  <si>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</si>
  <si>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</si>
  <si>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</si>
  <si>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</si>
  <si>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</si>
  <si>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</si>
  <si>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</si>
  <si>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</si>
  <si>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</si>
  <si>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</si>
  <si>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</si>
  <si>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</si>
  <si>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</si>
  <si>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</si>
  <si>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</si>
  <si>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</si>
  <si>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</si>
  <si>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</si>
  <si>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</si>
  <si>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</si>
  <si>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</si>
  <si>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</si>
  <si>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</si>
  <si>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</si>
  <si>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</si>
  <si>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</si>
  <si>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</si>
  <si>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</si>
  <si>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</si>
  <si>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</si>
  <si>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</si>
  <si>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</si>
  <si>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</si>
  <si>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</si>
  <si>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</si>
  <si>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</si>
  <si>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</si>
  <si>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</si>
  <si>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</si>
  <si>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</si>
  <si>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</si>
  <si>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</si>
  <si>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</si>
  <si>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</si>
  <si>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</si>
  <si>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</si>
  <si>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</si>
  <si>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</si>
  <si>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</si>
  <si>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</si>
  <si>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</si>
  <si>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</si>
  <si>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</si>
  <si>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</si>
  <si>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</si>
  <si>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</si>
  <si>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</si>
  <si>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</si>
  <si>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</si>
  <si>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</si>
  <si>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</si>
  <si>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</si>
  <si>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</si>
  <si>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</si>
  <si>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</si>
  <si>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</si>
  <si>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</si>
  <si>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</si>
  <si>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</si>
  <si>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</si>
  <si>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</si>
  <si>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</si>
  <si>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</si>
  <si>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</si>
  <si>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</si>
  <si>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</si>
  <si>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</si>
  <si>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</si>
  <si>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</si>
  <si>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</si>
  <si>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</si>
  <si>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</si>
  <si>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</si>
  <si>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</si>
  <si>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</si>
  <si>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</si>
  <si>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</si>
  <si>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</si>
  <si>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</si>
  <si>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</si>
  <si>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</si>
  <si>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</si>
  <si>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</si>
  <si>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</si>
  <si>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</si>
  <si>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</si>
  <si>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</si>
  <si>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</si>
  <si>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</si>
  <si>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</si>
  <si>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</si>
  <si>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</si>
  <si>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</si>
  <si>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</si>
  <si>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</si>
  <si>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</si>
  <si>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</si>
  <si>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</si>
  <si>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</si>
  <si>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</si>
  <si>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</si>
  <si>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</si>
  <si>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</si>
  <si>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</si>
  <si>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</si>
  <si>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</si>
  <si>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</si>
  <si>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</si>
  <si>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</si>
  <si>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</si>
  <si>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</si>
  <si>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</si>
  <si>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</si>
  <si>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</si>
  <si>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</si>
  <si>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</si>
  <si>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  <phoneticPr fontId="5"/>
  </si>
  <si>
    <t>null</t>
    <phoneticPr fontId="5"/>
  </si>
  <si>
    <t>old</t>
  </si>
  <si>
    <t>ゆらら</t>
  </si>
  <si>
    <t>クロウ</t>
  </si>
  <si>
    <t>クロウ</t>
    <phoneticPr fontId="5"/>
  </si>
  <si>
    <t>enemy_skill_id</t>
    <phoneticPr fontId="5"/>
  </si>
  <si>
    <t>緑パネルをプロテクト(最大3個)+攻撃</t>
  </si>
  <si>
    <t>緑パネルをプロテクト(最大3個)+攻撃</t>
    <rPh sb="0" eb="1">
      <t>ミドリパネル</t>
    </rPh>
    <rPh sb="11" eb="13">
      <t>サイダイ</t>
    </rPh>
    <rPh sb="14" eb="15">
      <t>コ</t>
    </rPh>
    <rPh sb="17" eb="19">
      <t>コウゲキ</t>
    </rPh>
    <phoneticPr fontId="5"/>
  </si>
  <si>
    <t>バショー:1</t>
  </si>
  <si>
    <t>バショー:1</t>
    <phoneticPr fontId="5"/>
  </si>
  <si>
    <t>バショー:2</t>
  </si>
  <si>
    <t>バショー:2</t>
    <phoneticPr fontId="5"/>
  </si>
  <si>
    <t>ランダムに緑パネルに変換(最大3個)</t>
  </si>
  <si>
    <t>ランダムに緑パネルに変換(最大3個)</t>
    <rPh sb="5" eb="6">
      <t>ミドリパネルニ</t>
    </rPh>
    <rPh sb="10" eb="12">
      <t>ヘンカン</t>
    </rPh>
    <rPh sb="13" eb="15">
      <t>サイダイ</t>
    </rPh>
    <rPh sb="16" eb="17">
      <t>コ</t>
    </rPh>
    <phoneticPr fontId="5"/>
  </si>
  <si>
    <t>ゆらら</t>
    <phoneticPr fontId="5"/>
  </si>
  <si>
    <t>クリティカル!</t>
  </si>
  <si>
    <t>クリティカル!</t>
    <phoneticPr fontId="5"/>
  </si>
  <si>
    <t>緑パネルをプロテクト+攻撃</t>
  </si>
  <si>
    <t>緑パネルをプロテクト+攻撃</t>
    <rPh sb="0" eb="1">
      <t>ミドリパネル</t>
    </rPh>
    <rPh sb="11" eb="13">
      <t>コウゲキ</t>
    </rPh>
    <phoneticPr fontId="5"/>
  </si>
  <si>
    <t>3ターン全体の回復力30%DOWN</t>
  </si>
  <si>
    <t>3ターン全体の回復力30%DOWN</t>
    <rPh sb="4" eb="6">
      <t>ゼンタイノ</t>
    </rPh>
    <rPh sb="7" eb="10">
      <t>カイフクリョク</t>
    </rPh>
    <phoneticPr fontId="5"/>
  </si>
  <si>
    <t>玄武:1</t>
    <rPh sb="0" eb="2">
      <t>ゲンブ</t>
    </rPh>
    <phoneticPr fontId="5"/>
  </si>
  <si>
    <t>玄武:2:HP50%以下1回</t>
    <rPh sb="0" eb="2">
      <t>ゲンブ</t>
    </rPh>
    <rPh sb="10" eb="12">
      <t>イカ</t>
    </rPh>
    <rPh sb="13" eb="14">
      <t>カイ</t>
    </rPh>
    <phoneticPr fontId="5"/>
  </si>
  <si>
    <t>ハートパネルをプロテクト(最大3個)+攻撃</t>
  </si>
  <si>
    <t>ハートパネルをプロテクト(最大3個)+攻撃</t>
    <rPh sb="13" eb="15">
      <t>サイダイ</t>
    </rPh>
    <rPh sb="16" eb="17">
      <t>コ</t>
    </rPh>
    <rPh sb="19" eb="21">
      <t>コウゲキ</t>
    </rPh>
    <phoneticPr fontId="5"/>
  </si>
  <si>
    <t>かぐや:1:開幕</t>
  </si>
  <si>
    <t>かぐや:1:開幕</t>
    <rPh sb="6" eb="8">
      <t>カイマク</t>
    </rPh>
    <phoneticPr fontId="5"/>
  </si>
  <si>
    <t>かぐや:2</t>
  </si>
  <si>
    <t>かぐや:2</t>
    <phoneticPr fontId="5"/>
  </si>
  <si>
    <t>かぐや:3</t>
  </si>
  <si>
    <t>かぐや:3</t>
    <phoneticPr fontId="5"/>
  </si>
  <si>
    <t>緑パネルをプロテクト</t>
  </si>
  <si>
    <t>緑パネルをプロテクト</t>
    <rPh sb="0" eb="1">
      <t>ミドリ</t>
    </rPh>
    <phoneticPr fontId="5"/>
  </si>
  <si>
    <t>緑パネルを吸収して攻撃</t>
  </si>
  <si>
    <t>緑パネルを吸収して攻撃</t>
    <rPh sb="0" eb="1">
      <t>ミドリパネルヲ</t>
    </rPh>
    <rPh sb="5" eb="7">
      <t>キュウシュウシテ</t>
    </rPh>
    <rPh sb="9" eb="11">
      <t>コウゲキ</t>
    </rPh>
    <phoneticPr fontId="5"/>
  </si>
  <si>
    <t>かぐや:4:HP50%以下1回</t>
  </si>
  <si>
    <t>かぐや:4:HP50%以下1回</t>
    <rPh sb="11" eb="13">
      <t>イカ</t>
    </rPh>
    <rPh sb="14" eb="15">
      <t>カイ</t>
    </rPh>
    <phoneticPr fontId="5"/>
  </si>
  <si>
    <t>3ターン全体の攻撃力30%DOWN</t>
  </si>
  <si>
    <t>3ターン全体の攻撃力30%DOWN</t>
    <rPh sb="4" eb="6">
      <t>ゼンタイノ</t>
    </rPh>
    <rPh sb="7" eb="10">
      <t>コウゲキリョク</t>
    </rPh>
    <phoneticPr fontId="5"/>
  </si>
  <si>
    <t>アウリ1:2</t>
  </si>
  <si>
    <t>アウリ1:3</t>
  </si>
  <si>
    <t>アウリ2:1:開幕</t>
  </si>
  <si>
    <t>アウリ2:1:開幕</t>
    <rPh sb="7" eb="9">
      <t>カイマク</t>
    </rPh>
    <phoneticPr fontId="5"/>
  </si>
  <si>
    <t>アウリ2:2:HP50%以上</t>
  </si>
  <si>
    <t>アウリ2:2:HP50%以上</t>
    <rPh sb="12" eb="14">
      <t>イジョウ</t>
    </rPh>
    <phoneticPr fontId="5"/>
  </si>
  <si>
    <t>アウリ2:3:HP50%以下1回</t>
  </si>
  <si>
    <t>アウリ2:3:HP50%以下1回</t>
    <rPh sb="12" eb="14">
      <t>イカ</t>
    </rPh>
    <rPh sb="15" eb="16">
      <t>カイ</t>
    </rPh>
    <phoneticPr fontId="5"/>
  </si>
  <si>
    <t>アウリ2:4:HP50%以下</t>
  </si>
  <si>
    <t>アウリ2:4:HP50%以下</t>
    <rPh sb="12" eb="14">
      <t>イカ</t>
    </rPh>
    <phoneticPr fontId="5"/>
  </si>
  <si>
    <t>アウリ1:1:開幕</t>
  </si>
  <si>
    <t>アウリ1:1:開幕</t>
    <rPh sb="7" eb="9">
      <t>カイマク</t>
    </rPh>
    <phoneticPr fontId="5"/>
  </si>
  <si>
    <t>アウリ1:2</t>
    <phoneticPr fontId="5"/>
  </si>
  <si>
    <t>アウリ1:3</t>
    <phoneticPr fontId="5"/>
  </si>
  <si>
    <t>緑パネルの出現率をUP</t>
  </si>
  <si>
    <t>緑パネルの出現率をUP</t>
    <rPh sb="0" eb="1">
      <t>ミドリパネル</t>
    </rPh>
    <rPh sb="5" eb="8">
      <t>シュツゲンリツヲ</t>
    </rPh>
    <phoneticPr fontId="5"/>
  </si>
  <si>
    <t>緑パネルをプロテクト+攻撃</t>
    <rPh sb="0" eb="1">
      <t>ミドリパネルヲ</t>
    </rPh>
    <rPh sb="11" eb="13">
      <t>コウゲキ</t>
    </rPh>
    <phoneticPr fontId="5"/>
  </si>
  <si>
    <t>全パネルの出現率を元に戻す</t>
  </si>
  <si>
    <t>全パネルの出現率を元に戻す</t>
    <rPh sb="0" eb="1">
      <t>ゼン</t>
    </rPh>
    <rPh sb="9" eb="10">
      <t>モトニ</t>
    </rPh>
    <rPh sb="11" eb="12">
      <t>モドス</t>
    </rPh>
    <phoneticPr fontId="5"/>
  </si>
  <si>
    <t>ランダムにパネルを5個プロテクト+攻撃</t>
  </si>
  <si>
    <t>ランダムにパネルを5個プロテクト+攻撃</t>
    <rPh sb="10" eb="11">
      <t>コ</t>
    </rPh>
    <rPh sb="17" eb="19">
      <t>コウゲキ</t>
    </rPh>
    <phoneticPr fontId="5"/>
  </si>
  <si>
    <t>ランダムにパネルを7個プロテクト+攻撃</t>
  </si>
  <si>
    <t>ランダムにパネルを7個プロテクト+攻撃</t>
    <rPh sb="10" eb="11">
      <t>コ</t>
    </rPh>
    <rPh sb="17" eb="19">
      <t>コウゲキ</t>
    </rPh>
    <phoneticPr fontId="5"/>
  </si>
  <si>
    <t>ランダムにパネルを20個プロテクト+
2ターン攻撃力UP</t>
  </si>
  <si>
    <t>ランダムにパネルを20個プロテクト+
2ターン攻撃力UP</t>
    <rPh sb="11" eb="12">
      <t>コ</t>
    </rPh>
    <rPh sb="23" eb="25">
      <t>コウゲキ</t>
    </rPh>
    <rPh sb="25" eb="26">
      <t>リョク</t>
    </rPh>
    <phoneticPr fontId="5"/>
  </si>
  <si>
    <t>デッドタイプ
(逃亡演出時のみescape記載)</t>
    <rPh sb="8" eb="13">
      <t>トウボウエンシュツジ</t>
    </rPh>
    <rPh sb="21" eb="23">
      <t>キサイ</t>
    </rPh>
    <phoneticPr fontId="5"/>
  </si>
  <si>
    <t>メッセージ表示時間算出</t>
    <rPh sb="5" eb="9">
      <t>ヒョウジジカン</t>
    </rPh>
    <rPh sb="9" eb="11">
      <t>サンシュツ</t>
    </rPh>
    <phoneticPr fontId="5"/>
  </si>
  <si>
    <t>消さない</t>
    <rPh sb="0" eb="1">
      <t>ケサナイ</t>
    </rPh>
    <phoneticPr fontId="5"/>
  </si>
  <si>
    <t>玄武:2</t>
  </si>
  <si>
    <t>玄武:2</t>
    <rPh sb="0" eb="2">
      <t>ゲンブ</t>
    </rPh>
    <phoneticPr fontId="5"/>
  </si>
  <si>
    <t>玄武:3:HP50%以下1回</t>
  </si>
  <si>
    <t>玄武:3:HP50%以下1回</t>
    <rPh sb="0" eb="2">
      <t>ゲンブ</t>
    </rPh>
    <rPh sb="10" eb="12">
      <t>イカ</t>
    </rPh>
    <rPh sb="13" eb="14">
      <t>カイ</t>
    </rPh>
    <phoneticPr fontId="5"/>
  </si>
  <si>
    <t>2ターン防御力UP+
全パネルの出現率を元に戻す</t>
  </si>
  <si>
    <t>2ターン防御力UP+
全パネルの出現率を元に戻す</t>
    <rPh sb="4" eb="7">
      <t>ボウギョリョク</t>
    </rPh>
    <phoneticPr fontId="5"/>
  </si>
  <si>
    <t>ja</t>
  </si>
  <si>
    <t>玄武:1:開幕</t>
  </si>
  <si>
    <t>玄武:1:開幕</t>
    <rPh sb="0" eb="2">
      <t>ゲンブ</t>
    </rPh>
    <rPh sb="5" eb="7">
      <t>カイマク</t>
    </rPh>
    <phoneticPr fontId="5"/>
  </si>
  <si>
    <t>null</t>
  </si>
  <si>
    <t>上の句</t>
    <rPh sb="0" eb="1">
      <t>カミノク</t>
    </rPh>
    <phoneticPr fontId="5"/>
  </si>
  <si>
    <t>下の句</t>
    <rPh sb="0" eb="1">
      <t>シモノク</t>
    </rPh>
    <phoneticPr fontId="5"/>
  </si>
  <si>
    <t>北方七宿異撃・翠固</t>
  </si>
  <si>
    <t>北方七宿異撃・翠固</t>
    <rPh sb="4" eb="5">
      <t>イタン</t>
    </rPh>
    <rPh sb="8" eb="9">
      <t>コテイ</t>
    </rPh>
    <phoneticPr fontId="5"/>
  </si>
  <si>
    <t>抗心の音色</t>
  </si>
  <si>
    <t>抗心の音色</t>
    <rPh sb="0" eb="1">
      <t>テイコウ</t>
    </rPh>
    <rPh sb="1" eb="2">
      <t>ココロ</t>
    </rPh>
    <rPh sb="3" eb="5">
      <t>ネイロ</t>
    </rPh>
    <phoneticPr fontId="5"/>
  </si>
  <si>
    <t>上の句</t>
  </si>
  <si>
    <t>下の句</t>
  </si>
  <si>
    <t>月食</t>
  </si>
  <si>
    <t>月食</t>
    <rPh sb="0" eb="2">
      <t>ゲッショク</t>
    </rPh>
    <phoneticPr fontId="5"/>
  </si>
  <si>
    <t>守緑の舞</t>
  </si>
  <si>
    <t>守緑の舞</t>
    <rPh sb="1" eb="2">
      <t>シンリョクノ</t>
    </rPh>
    <rPh sb="3" eb="4">
      <t>マイ</t>
    </rPh>
    <phoneticPr fontId="5"/>
  </si>
  <si>
    <t>たしかアタイ…アンタ達に…</t>
  </si>
  <si>
    <t>たしかアタイ…アンタ達に…</t>
    <rPh sb="10" eb="11">
      <t>タチニ</t>
    </rPh>
    <phoneticPr fontId="5"/>
  </si>
  <si>
    <t>アウリ2:5:死亡時セリフ</t>
    <rPh sb="7" eb="10">
      <t>シボウジ</t>
    </rPh>
    <phoneticPr fontId="5"/>
  </si>
  <si>
    <t>null</t>
    <phoneticPr fontId="5"/>
  </si>
  <si>
    <t>null</t>
    <phoneticPr fontId="5"/>
  </si>
  <si>
    <t>link</t>
  </si>
  <si>
    <t>unit</t>
  </si>
  <si>
    <t>攻略のヒント</t>
  </si>
  <si>
    <t>攻略のヒント</t>
    <rPh sb="0" eb="2">
      <t>コウリャクノ</t>
    </rPh>
    <phoneticPr fontId="5"/>
  </si>
  <si>
    <t>バショーは緑パネルプロテクトと
緑パネル変換を交互に使用します</t>
    <rPh sb="5" eb="6">
      <t>ミドリパネル</t>
    </rPh>
    <rPh sb="16" eb="17">
      <t>ミドリパネルヘンカンヲ</t>
    </rPh>
    <rPh sb="23" eb="25">
      <t>コウゴニ</t>
    </rPh>
    <rPh sb="26" eb="28">
      <t>シヨウシマス</t>
    </rPh>
    <phoneticPr fontId="5"/>
  </si>
  <si>
    <t>かぐやは緑パネルプロテクトと
緑パネル吸収攻撃を交互に使用します</t>
    <rPh sb="4" eb="5">
      <t>ミドリパネル</t>
    </rPh>
    <rPh sb="15" eb="16">
      <t>ミドリパネル</t>
    </rPh>
    <rPh sb="19" eb="23">
      <t>キュウシュウコウゲキヲ</t>
    </rPh>
    <rPh sb="24" eb="26">
      <t>コウゴニ</t>
    </rPh>
    <rPh sb="27" eb="29">
      <t>シヨウシマス</t>
    </rPh>
    <phoneticPr fontId="5"/>
  </si>
  <si>
    <t>アウリの1ゲージ目は緑パネルプロテクトと
緑パネル吸収攻撃を交互に使用します</t>
    <rPh sb="8" eb="9">
      <t>メ</t>
    </rPh>
    <rPh sb="10" eb="11">
      <t>ミドリパネル</t>
    </rPh>
    <rPh sb="21" eb="22">
      <t>ミドリパネル</t>
    </rPh>
    <rPh sb="25" eb="29">
      <t>キュウシュウコウゲキ</t>
    </rPh>
    <rPh sb="30" eb="32">
      <t>コウゴニシヨウシマス</t>
    </rPh>
    <phoneticPr fontId="5"/>
  </si>
  <si>
    <t>玄武は緑パネルをプロテクトし
クロウはハートパネルをプロテクトします</t>
    <rPh sb="0" eb="2">
      <t>ゲンブハ</t>
    </rPh>
    <rPh sb="3" eb="4">
      <t>ミドリパネル</t>
    </rPh>
    <phoneticPr fontId="5"/>
  </si>
  <si>
    <t>アウリの2ゲージ目は
属性パネルをランダムにプロテクトします</t>
    <rPh sb="8" eb="9">
      <t>メ</t>
    </rPh>
    <rPh sb="11" eb="13">
      <t>ゾクセイ</t>
    </rPh>
    <phoneticPr fontId="5"/>
  </si>
  <si>
    <t>アウリは2ゲージ目のHPが50%以下の時
たくさんの属性パネルを
ランダムにプロテクトします</t>
    <rPh sb="8" eb="9">
      <t>メ</t>
    </rPh>
    <rPh sb="16" eb="18">
      <t>イカ</t>
    </rPh>
    <rPh sb="26" eb="28">
      <t>ゾクセイ</t>
    </rPh>
    <phoneticPr fontId="5"/>
  </si>
  <si>
    <t>玄武は緑パネルをプロテクトし
クロウはハートパネルをプロテクトします</t>
    <phoneticPr fontId="5"/>
  </si>
  <si>
    <t>玄武は緑パネルをプロテクトし
クロウはハートパネルをプロテクトします</t>
    <phoneticPr fontId="5"/>
  </si>
  <si>
    <t>緑パネルプロテクト(最大1個)+
単体攻撃</t>
    <rPh sb="0" eb="1">
      <t>ミドリパネル</t>
    </rPh>
    <rPh sb="10" eb="12">
      <t>サイダイ</t>
    </rPh>
    <rPh sb="13" eb="14">
      <t>コ</t>
    </rPh>
    <rPh sb="17" eb="19">
      <t>タンタイ</t>
    </rPh>
    <rPh sb="19" eb="21">
      <t>コウゲキ</t>
    </rPh>
    <phoneticPr fontId="5"/>
  </si>
  <si>
    <t>緑パネルドロップ率UP</t>
    <rPh sb="0" eb="1">
      <t>ミドリパネル</t>
    </rPh>
    <rPh sb="8" eb="9">
      <t>リツ</t>
    </rPh>
    <phoneticPr fontId="5"/>
  </si>
  <si>
    <t>ハートパネルプロテクト(最大1個)+
単体攻撃</t>
    <rPh sb="12" eb="14">
      <t>サイダイ</t>
    </rPh>
    <rPh sb="15" eb="16">
      <t>コ</t>
    </rPh>
    <rPh sb="19" eb="21">
      <t>タンタイ</t>
    </rPh>
    <rPh sb="21" eb="23">
      <t>コウゲキ</t>
    </rPh>
    <phoneticPr fontId="5"/>
  </si>
  <si>
    <t>緑パネルドロップ率を元に戻す</t>
    <rPh sb="0" eb="1">
      <t>ミドリ</t>
    </rPh>
    <rPh sb="10" eb="11">
      <t>モトニモドス</t>
    </rPh>
    <phoneticPr fontId="5"/>
  </si>
  <si>
    <t>ランダムでパネルプロテクト(最大2個)+
単体攻撃</t>
    <rPh sb="14" eb="16">
      <t>サイダイ</t>
    </rPh>
    <rPh sb="21" eb="23">
      <t>タンタイ</t>
    </rPh>
    <rPh sb="23" eb="25">
      <t>コウゲキ</t>
    </rPh>
    <phoneticPr fontId="5"/>
  </si>
  <si>
    <t>ランダムでパネルプロテクト(最大3個)+
単体攻撃</t>
    <rPh sb="14" eb="16">
      <t>サイダイ</t>
    </rPh>
    <rPh sb="21" eb="23">
      <t>タンタイ</t>
    </rPh>
    <rPh sb="23" eb="25">
      <t>コウゲキ</t>
    </rPh>
    <phoneticPr fontId="5"/>
  </si>
  <si>
    <t>緑パネルプロテクト+
単体攻撃</t>
    <rPh sb="0" eb="1">
      <t>ミドリパネル</t>
    </rPh>
    <rPh sb="11" eb="13">
      <t>タンタイ</t>
    </rPh>
    <rPh sb="13" eb="15">
      <t>コウゲキ</t>
    </rPh>
    <phoneticPr fontId="5"/>
  </si>
  <si>
    <t>緑パネルプロテクト</t>
    <rPh sb="0" eb="1">
      <t>ミドリ</t>
    </rPh>
    <phoneticPr fontId="5"/>
  </si>
  <si>
    <t>緑パネルプロテクト+
単体攻撃</t>
    <rPh sb="0" eb="1">
      <t>ミドリパネルヲ</t>
    </rPh>
    <rPh sb="11" eb="13">
      <t>タンタイ</t>
    </rPh>
    <rPh sb="13" eb="15">
      <t>コウゲキ</t>
    </rPh>
    <phoneticPr fontId="5"/>
  </si>
  <si>
    <t>緑パネルプロテクト(最大2個)+
単体攻撃</t>
    <phoneticPr fontId="5"/>
  </si>
  <si>
    <t>緑パネルドロップ率UP</t>
    <phoneticPr fontId="5"/>
  </si>
  <si>
    <t>緑パネルプロテクト+
単体攻撃</t>
    <phoneticPr fontId="5"/>
  </si>
  <si>
    <t>ハートパネルプロテクト(最大2個)+
単体攻撃</t>
    <phoneticPr fontId="5"/>
  </si>
  <si>
    <t>緑パネルプロテクト</t>
    <phoneticPr fontId="5"/>
  </si>
  <si>
    <t>緑パネルドロップ率UP</t>
    <phoneticPr fontId="5"/>
  </si>
  <si>
    <t>緑パネルプロテクト+
単体攻撃</t>
    <phoneticPr fontId="5"/>
  </si>
  <si>
    <t>緑パネルドロップ率を元に戻す</t>
    <rPh sb="0" eb="1">
      <t>ミドリ</t>
    </rPh>
    <phoneticPr fontId="5"/>
  </si>
  <si>
    <t>ランダムでパネルプロテクト(最大3個)+
単体攻撃</t>
    <phoneticPr fontId="5"/>
  </si>
  <si>
    <t>ランダムでパネルプロテクト(最大5個)+
単体攻撃</t>
    <phoneticPr fontId="5"/>
  </si>
  <si>
    <t>緑パネルプロテクト(最大3個)+
単体攻撃</t>
    <phoneticPr fontId="5"/>
  </si>
  <si>
    <t>緑パネルドロップ率UP</t>
    <phoneticPr fontId="5"/>
  </si>
  <si>
    <t>緑パネルプロテクト+
単体攻撃</t>
    <phoneticPr fontId="5"/>
  </si>
  <si>
    <t>ハートパネルプロテクト(最大3個)+
単体攻撃</t>
    <phoneticPr fontId="5"/>
  </si>
  <si>
    <t>緑パネルプロテクト</t>
    <phoneticPr fontId="5"/>
  </si>
  <si>
    <t>緑パネルドロップ率UP</t>
    <phoneticPr fontId="5"/>
  </si>
  <si>
    <t>緑パネルプロテクト+
単体攻撃</t>
    <phoneticPr fontId="5"/>
  </si>
  <si>
    <t>ランダムでパネルプロテクト(最大5個)+
単体攻撃</t>
    <phoneticPr fontId="5"/>
  </si>
  <si>
    <t>ランダムでパネルプロテクト(最大7個)+
単体攻撃</t>
    <phoneticPr fontId="5"/>
  </si>
  <si>
    <t>3ターン全ユニットの回復力10%DOWN</t>
    <rPh sb="4" eb="5">
      <t>ゼンタイノ</t>
    </rPh>
    <rPh sb="10" eb="13">
      <t>カイフクリョク</t>
    </rPh>
    <phoneticPr fontId="5"/>
  </si>
  <si>
    <t>2ターン自身の防御力UP+
緑パネルドロップ率を元に戻す</t>
    <rPh sb="4" eb="6">
      <t>ジシン</t>
    </rPh>
    <rPh sb="7" eb="10">
      <t>ボウギョリョク</t>
    </rPh>
    <rPh sb="14" eb="15">
      <t>ミドリ</t>
    </rPh>
    <rPh sb="24" eb="25">
      <t>モトニモドス</t>
    </rPh>
    <phoneticPr fontId="5"/>
  </si>
  <si>
    <t>3ターン全ユニットの攻撃力10%DOWN</t>
    <rPh sb="4" eb="5">
      <t>ゼンタイノ</t>
    </rPh>
    <rPh sb="10" eb="13">
      <t>コウゲキリョク</t>
    </rPh>
    <phoneticPr fontId="5"/>
  </si>
  <si>
    <t>ランダムでパネルプロテクト(最大8個)+
2ターン自身の攻撃力UP</t>
    <rPh sb="14" eb="16">
      <t>サイダイ</t>
    </rPh>
    <rPh sb="25" eb="27">
      <t>ジシンノ</t>
    </rPh>
    <rPh sb="28" eb="30">
      <t>コウゲキ</t>
    </rPh>
    <rPh sb="30" eb="31">
      <t>リョク</t>
    </rPh>
    <phoneticPr fontId="5"/>
  </si>
  <si>
    <t>3ターン全ユニットの回復力20%DOWN</t>
    <phoneticPr fontId="5"/>
  </si>
  <si>
    <t>2ターン自身の防御力UP+
緑パネルドロップ率を元に戻す</t>
    <rPh sb="4" eb="6">
      <t>ジシンノ</t>
    </rPh>
    <rPh sb="14" eb="15">
      <t>ミドリ</t>
    </rPh>
    <phoneticPr fontId="5"/>
  </si>
  <si>
    <t>3ターン全ユニットの攻撃力20%DOWN</t>
    <phoneticPr fontId="5"/>
  </si>
  <si>
    <t>ランダムでパネルプロテクト(最大13個)+
2ターン自身の攻撃力UP</t>
    <rPh sb="26" eb="28">
      <t>ジシン</t>
    </rPh>
    <phoneticPr fontId="5"/>
  </si>
  <si>
    <t>3ターン全ユニットの回復力30%DOWN</t>
    <phoneticPr fontId="5"/>
  </si>
  <si>
    <t>3ターン全ユニットの攻撃力30%DOWN</t>
    <phoneticPr fontId="5"/>
  </si>
  <si>
    <t>ランダムでパネルプロテクト(最大20個)+
2ターン自身の攻撃力UP</t>
    <rPh sb="26" eb="28">
      <t>ジシンノ</t>
    </rPh>
    <phoneticPr fontId="5"/>
  </si>
  <si>
    <t>[effect:enemy_message, val1:3.2, val2:2.0, dead_type:suicide]</t>
    <phoneticPr fontId="5"/>
  </si>
  <si>
    <t>[effect:enemy_message, val1:3.2, val2:2.0, dead_type:suicide]</t>
    <phoneticPr fontId="5"/>
  </si>
  <si>
    <t>[effect:enemy_message, val1:3.2, val2:2.0, dead_type:suicide]</t>
    <phoneticPr fontId="5"/>
  </si>
  <si>
    <t>ランダムで緑パネルに最大1個変換</t>
    <rPh sb="5" eb="6">
      <t>ミドリパネルニ</t>
    </rPh>
    <rPh sb="10" eb="12">
      <t>サイダイ</t>
    </rPh>
    <rPh sb="13" eb="14">
      <t>コ</t>
    </rPh>
    <rPh sb="14" eb="16">
      <t>ヘンカン</t>
    </rPh>
    <phoneticPr fontId="5"/>
  </si>
  <si>
    <t>ランダムで緑パネルに最大2個変換</t>
    <rPh sb="10" eb="12">
      <t>サイダイ</t>
    </rPh>
    <rPh sb="13" eb="14">
      <t>コ</t>
    </rPh>
    <phoneticPr fontId="5"/>
  </si>
  <si>
    <t>ランダムで緑パネルに最大3個変換</t>
    <rPh sb="10" eb="12">
      <t>サイダイ</t>
    </rPh>
    <rPh sb="13" eb="14">
      <t>コ</t>
    </rPh>
    <phoneticPr fontId="5"/>
  </si>
  <si>
    <t>だだっこすまっしゅ！</t>
  </si>
  <si>
    <t>クリティカル！</t>
  </si>
  <si>
    <t>この先には通しませんですハイ！</t>
  </si>
  <si>
    <t>この先には通しませんですハイ！</t>
    <rPh sb="5" eb="6">
      <t>トオシマセン</t>
    </rPh>
    <phoneticPr fontId="5"/>
  </si>
  <si>
    <t>はっ！ 思い出しましたです！
アタイはアンタ達に救援を…</t>
  </si>
  <si>
    <t>はっ！ 思い出しましたです！
アタイはアンタ達に救援を…</t>
    <rPh sb="4" eb="5">
      <t>オモイダシマシタ</t>
    </rPh>
    <rPh sb="22" eb="23">
      <t>タチニ</t>
    </rPh>
    <rPh sb="24" eb="26">
      <t>キュウエンヲ</t>
    </rPh>
    <phoneticPr fontId="5"/>
  </si>
  <si>
    <t>みんなのことを頼んだですハイ！</t>
  </si>
  <si>
    <t>みんなのことを頼んだですハイ！</t>
    <rPh sb="7" eb="8">
      <t>タノンダデス</t>
    </rPh>
    <phoneticPr fontId="5"/>
  </si>
  <si>
    <t>アタイ…なにか忘れているです…？</t>
    <rPh sb="7" eb="8">
      <t>ワスレテイルヨウナ</t>
    </rPh>
    <phoneticPr fontId="5"/>
  </si>
  <si>
    <t>complete</t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</si>
  <si>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</si>
  <si>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</si>
  <si>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</si>
  <si>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</si>
  <si>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</si>
  <si>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</si>
  <si>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</si>
  <si>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</si>
  <si>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</si>
  <si>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</si>
  <si>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</si>
  <si>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</si>
  <si>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</si>
  <si>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</si>
  <si>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</si>
  <si>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</si>
  <si>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</si>
  <si>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</si>
  <si>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</si>
  <si>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</si>
  <si>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</si>
  <si>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</si>
  <si>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</si>
  <si>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</si>
  <si>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</si>
  <si>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</si>
  <si>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</si>
  <si>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</si>
  <si>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</si>
  <si>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</si>
  <si>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</si>
  <si>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</si>
  <si>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</si>
  <si>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NULL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</si>
  <si>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</si>
  <si>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</si>
  <si>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</si>
  <si>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</si>
  <si>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</si>
  <si>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</si>
  <si>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</si>
  <si>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</si>
  <si>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ja</t>
    <phoneticPr fontId="5"/>
  </si>
  <si>
    <t>NULL</t>
    <phoneticPr fontId="5"/>
  </si>
  <si>
    <t>お主…アウリを助けに来たのか？</t>
  </si>
  <si>
    <t>お主…アウリを助けに来たのか？</t>
    <rPh sb="7" eb="8">
      <t>タスケニキタノカ</t>
    </rPh>
    <phoneticPr fontId="5"/>
  </si>
  <si>
    <t>ここもウィルスが蔓延しているようじゃ…</t>
  </si>
  <si>
    <t>ここもウィルスが蔓延しているようじゃ…</t>
    <rPh sb="8" eb="10">
      <t>マンエン</t>
    </rPh>
    <phoneticPr fontId="5"/>
  </si>
  <si>
    <t>アウリはウィルスにやられておる…引き返すのじゃ！</t>
  </si>
  <si>
    <t>アウリはウィルスにやられておる…引き返すのじゃ！</t>
    <rPh sb="16" eb="17">
      <t>ヒキカエスノジャ</t>
    </rPh>
    <phoneticPr fontId="5"/>
  </si>
  <si>
    <t>それでも先に行くというのか！</t>
  </si>
  <si>
    <t>それでも先に行くというのか！</t>
    <rPh sb="4" eb="5">
      <t>サキニ</t>
    </rPh>
    <rPh sb="6" eb="7">
      <t>イクト</t>
    </rPh>
    <phoneticPr fontId="5"/>
  </si>
  <si>
    <t>ウィルス…？一体何のことですハイ…？</t>
  </si>
  <si>
    <t>ウィルス…？一体何のことですハイ…？</t>
    <rPh sb="6" eb="8">
      <t>イッタイ</t>
    </rPh>
    <rPh sb="8" eb="9">
      <t>ナンノ</t>
    </rPh>
    <phoneticPr fontId="5"/>
  </si>
  <si>
    <t>あ、あれ？体がうまく動かないですハイ…</t>
  </si>
  <si>
    <t>あ、あれ？体がうまく動かないですハイ…</t>
    <rPh sb="5" eb="6">
      <t>カラダガ</t>
    </rPh>
    <rPh sb="10" eb="11">
      <t>ウゴカナイ</t>
    </rPh>
    <phoneticPr fontId="5"/>
  </si>
  <si>
    <t>ウィルス…何か思い出せそうです…</t>
  </si>
  <si>
    <t>ウィルス…何か思い出せそうです…</t>
    <rPh sb="5" eb="6">
      <t>ナニカ</t>
    </rPh>
    <rPh sb="7" eb="8">
      <t>オモイダセソウ</t>
    </rPh>
    <phoneticPr fontId="5"/>
  </si>
  <si>
    <t>やっぱり何か…何か引っかかるです</t>
  </si>
  <si>
    <t>やっぱり何か…何か引っかかるです</t>
    <rPh sb="4" eb="5">
      <t>ナニカ</t>
    </rPh>
    <rPh sb="7" eb="8">
      <t>ナニカ</t>
    </rPh>
    <rPh sb="9" eb="10">
      <t>ヒッカカル</t>
    </rPh>
    <phoneticPr fontId="5"/>
  </si>
  <si>
    <t>アタイ…なにか忘れているです…？</t>
  </si>
  <si>
    <t>[effect:enemy_message, val1:1.2, val2:2.0],[effect:fix_speed, target:myself, turn:1],[effect:panel_freeze, target:normal, color:block_green, count:1],[effect:rush, count:1, val:1]</t>
    <phoneticPr fontId="5"/>
  </si>
  <si>
    <t>[effect:enemy_message, val1:1.2, val2:1.6],[effect:force_change_block, new_block:block_green, target:block_all, ignore01:crash, ignore02:crack_bomb, ignore03:color_break, ignore04:block_green, ignore05:magnet, count:1, val:0, animation:change_block]</t>
    <phoneticPr fontId="5"/>
  </si>
  <si>
    <t>[effect:enemy_message, val1:1.2, val2:1.2],[effect:fix_speed, target:myself, turn:1],[effect:critical, val:1.1, animation:enemy_critical]</t>
    <phoneticPr fontId="5"/>
  </si>
  <si>
    <t>[effect:enemy_message, val1:1.5, val2:1.2],[effect:fix_speed, target:myself, turn:2],[effect:change_panel_ratio, turn:-1, block_type:green, val:0.3, animation:block_incidence04]</t>
    <phoneticPr fontId="5"/>
  </si>
  <si>
    <t>[effect:enemy_message, val1:1.2, val2:1.4],[effect:panel_freeze, target:normal, color:block_green, count:-1],[effect:rush, count:1, val:1]</t>
    <phoneticPr fontId="5"/>
  </si>
  <si>
    <t>[effect:enemy_message, val1:1.9, val2:2.0],[effect:degrade_unit, target:unit_all, turn:3, status:heal, val:0.1, calc:mul, animation:degrade_unit_all_heal]</t>
    <phoneticPr fontId="5"/>
  </si>
  <si>
    <t>[effect:enemy_message, val1:1.2, val2:2.2],[effect:fix_speed, target:myself, turn:1],[effect:panel_freeze, target:normal, color:block_heart, count:1],[effect:rush, count:1, val:1]</t>
    <phoneticPr fontId="5"/>
  </si>
  <si>
    <t>[effect:enemy_message, val1:2.4, val2:2.7],[effect:fix_speed,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t>
    <phoneticPr fontId="5"/>
  </si>
  <si>
    <t>[effect:enemy_message, val1:1.2, val2:1.2],[effect:panel_freeze, target:normal, color:block_green, count:-1]</t>
    <phoneticPr fontId="5"/>
  </si>
  <si>
    <t>[effect:enemy_message, val1:1.4, val2:1.2],[effect:break_attack_fix, target:unit_one, val:150, lowest_val:2500, count:-1, color:green, block01:block_green, ignore01:crash, ignore02:crack_bomb, ignore03:color_break, ignore04:magnet]</t>
    <phoneticPr fontId="5"/>
  </si>
  <si>
    <t>[effect:enemy_message, val1:1.2, val2:2.0],[effect:degrade_unit, target:unit_all, turn:3, status:attack, val:0.1, calc:mul]</t>
    <phoneticPr fontId="5"/>
  </si>
  <si>
    <t>[effect:enemy_message, val1:1.5, val2:1.2],[effect:fix_speed, target:myself, turn:2],[effect:change_panel_ratio, turn:-1, block_type:green, val:0.4, animation:block_incidence04]</t>
    <phoneticPr fontId="5"/>
  </si>
  <si>
    <t>[effect:enemy_message, val1:1.8, val2:1.4],[effect:panel_freeze, target:normal, color:block_green, count:-1],[effect:rush, count:1, val:1]</t>
    <phoneticPr fontId="5"/>
  </si>
  <si>
    <t>[effect:enemy_message, val1:1.9, val2:1.2],[effect:break_attack_fix, target:unit_one, val:100, lowest_val:3000, count:-1, color:green, block01:block_green, ignore01:crash, ignore02:crack_bomb, ignore03:color_break, ignore04:magnet]</t>
    <phoneticPr fontId="5"/>
  </si>
  <si>
    <t>[effect:enemy_message, val1:1.6, val2:1.4],[effect:fix_speed, target:myself, turn:1],[effect:remove_enhancement, target:unit_all, target_effect:change_panel_ratio, target_type:all, status:green, animation:frozen_wave]</t>
    <phoneticPr fontId="5"/>
  </si>
  <si>
    <t>[effect:enemy_message, val1:1.3, val2:2.4],[effect:panel_freeze, target:normal, count:2],[effect:rush, count:1, val:1]</t>
    <phoneticPr fontId="5"/>
  </si>
  <si>
    <t>[effect:enemy_message, val1:1.6, val2:3.2],[effect:panel_freeze, target:normal, count:8],[effect:enhance_enemy, target:myself, turn:2, status:attack, val:1500, calc:add, animation:enemy_enhance_attack]</t>
    <phoneticPr fontId="5"/>
  </si>
  <si>
    <t>[effect:enemy_message, val1:1.6, val2:2.4],[effect:panel_freeze, target:normal, count:3],[effect:rush, count:1, val:1]</t>
    <phoneticPr fontId="5"/>
  </si>
  <si>
    <t>[effect:enemy_message, val1:1.2, val2:2.0],[effect:fix_speed, target:myself, turn:1],[effect:panel_freeze, target:normal, color:block_green, count:2],[effect:rush, count:1, val:1]</t>
    <phoneticPr fontId="5"/>
  </si>
  <si>
    <t>[effect:enemy_message, val1:1.2, val2:1.6],[effect:force_change_block, new_block:block_green, target:block_all, ignore01:crash, ignore02:crack_bomb, ignore03:color_break, ignore04:block_green, ignore05:magnet, count:2, val:0, animation:change_block]</t>
    <phoneticPr fontId="5"/>
  </si>
  <si>
    <t>[effect:enemy_message, val1:1.2, val2:1.2],[effect:fix_speed, target:myself, turn:1],[effect:critical, val:1.1, animation:enemy_critical]</t>
    <phoneticPr fontId="5"/>
  </si>
  <si>
    <t>[effect:enemy_message, val1:1.5, val2:1.2],[effect:fix_speed, target:myself, turn:2],[effect:change_panel_ratio, turn:-1, block_type:green, val:0.3, animation:block_incidence04]</t>
    <phoneticPr fontId="5"/>
  </si>
  <si>
    <t>[effect:enemy_message, val1:1.2, val2:1.4],[effect:panel_freeze, target:normal, color:block_green, count:-1],[effect:rush, count:1, val:1]</t>
    <phoneticPr fontId="5"/>
  </si>
  <si>
    <t>[effect:enemy_message, val1:1.9, val2:2.0],[effect:degrade_unit, target:unit_all, turn:3, status:heal, val:0.2, calc:mul, animation:degrade_unit_all_heal]</t>
    <phoneticPr fontId="5"/>
  </si>
  <si>
    <t>[effect:enemy_message, val1:1.2, val2:2.2],[effect:fix_speed, target:myself, turn:1],[effect:panel_freeze, target:normal, color:block_heart, count:2],[effect:rush, count:1, val:1]</t>
    <phoneticPr fontId="5"/>
  </si>
  <si>
    <t>[effect:enemy_message, val1:2.4, val2:2.7],[effect:fix_speed,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t>
    <phoneticPr fontId="5"/>
  </si>
  <si>
    <t>[effect:enemy_message, val1:1.2, val2:1.2],[effect:panel_freeze, target:normal, color:block_green, count:-1]</t>
    <phoneticPr fontId="5"/>
  </si>
  <si>
    <t>[effect:enemy_message, val1:1.4, val2:1.2],[effect:break_attack_fix, target:unit_one, val:200, lowest_val:3000, count:-1, color:green, block01:block_green, ignore01:crash, ignore02:crack_bomb, ignore03:color_break, ignore04:magnet]</t>
    <phoneticPr fontId="5"/>
  </si>
  <si>
    <t>[effect:enemy_message, val1:1.2, val2:2.0],[effect:degrade_unit, target:unit_all, turn:3, status:attack, val:0.2, calc:mul]</t>
    <phoneticPr fontId="5"/>
  </si>
  <si>
    <t>[effect:enemy_message, val1:1.8, val2:1.4],[effect:panel_freeze, target:normal, color:block_green, count:-1],[effect:rush, count:1, val:1]</t>
    <phoneticPr fontId="5"/>
  </si>
  <si>
    <t>[effect:enemy_message, val1:1.9, val2:1.2],[effect:break_attack_fix, target:unit_one, val:200, lowest_val:4000, count:-1, color:green, block01:block_green, ignore01:crash, ignore02:crack_bomb, ignore03:color_break, ignore04:magnet]</t>
    <phoneticPr fontId="5"/>
  </si>
  <si>
    <t>[effect:enemy_message, val1:1.6, val2:1.4],[effect:fix_speed, target:myself, turn:1],[effect:remove_enhancement, target:unit_all, target_effect:change_panel_ratio, target_type:all, status:green, animation:frozen_wave]</t>
    <phoneticPr fontId="5"/>
  </si>
  <si>
    <t>[effect:enemy_message, val1:1.3, val2:2.4],[effect:panel_freeze, target:normal, count:3],[effect:rush, count:1, val:1]</t>
    <phoneticPr fontId="5"/>
  </si>
  <si>
    <t>[effect:enemy_message, val1:1.6, val2:3.3],[effect:panel_freeze, target:normal, count:13],[effect:enhance_enemy, target:myself, turn:2, status:attack, val:1500, calc:add, animation:enemy_enhance_attack]</t>
    <phoneticPr fontId="5"/>
  </si>
  <si>
    <t>[effect:enemy_message, val1:1.6, val2:2.4],[effect:panel_freeze, target:normal, count:5],[effect:rush, count:1, val:1]</t>
    <phoneticPr fontId="5"/>
  </si>
  <si>
    <t>[effect:enemy_message, val1:1.2, val2:2.0],[effect:fix_speed, target:myself, turn:1],[effect:panel_freeze, target:normal, color:block_green, count:3],[effect:rush, count:1, val:1]</t>
    <phoneticPr fontId="5"/>
  </si>
  <si>
    <t>[effect:enemy_message, val1:1.2, val2:1.6],[effect:force_change_block, new_block:block_green, target:block_all, ignore01:crash, ignore02:crack_bomb, ignore03:color_break, ignore04:block_green, ignore05:magnet, count:3, val:0, animation:change_block]</t>
    <phoneticPr fontId="5"/>
  </si>
  <si>
    <t>[effect:enemy_message, val1:1.2, val2:1.2],[effect:fix_speed, target:myself, turn:1],[effect:critical, val:1.1, animation:enemy_critical]</t>
    <phoneticPr fontId="5"/>
  </si>
  <si>
    <t>[effect:enemy_message, val1:1.5, val2:1.2],[effect:fix_speed, target:myself, turn:2],[effect:change_panel_ratio, turn:-1, block_type:green, val:0.3, animation:block_incidence04]</t>
    <phoneticPr fontId="5"/>
  </si>
  <si>
    <t>[effect:enemy_message, val1:1.2, val2:1.4],[effect:panel_freeze, target:normal, color:block_green, count:-1],[effect:rush, count:1, val:1]</t>
    <phoneticPr fontId="5"/>
  </si>
  <si>
    <t>[effect:enemy_message, val1:1.9, val2:2.0],[effect:degrade_unit, target:unit_all, turn:3, status:heal, val:0.3, calc:mul, animation:degrade_unit_all_heal]</t>
    <phoneticPr fontId="5"/>
  </si>
  <si>
    <t>[effect:enemy_message, val1:1.2, val2:2.2],[effect:fix_speed, target:myself, turn:1],[effect:panel_freeze, target:normal, color:block_heart, count:3],[effect:rush, count:1, val:1]</t>
    <phoneticPr fontId="5"/>
  </si>
  <si>
    <t>[effect:enemy_message, val1:2.4, val2:2.7],[effect:fix_speed,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t>
    <phoneticPr fontId="5"/>
  </si>
  <si>
    <t>[effect:enemy_message, val1:1.2, val2:1.2],[effect:panel_freeze, target:normal, color:block_green, count:-1]</t>
    <phoneticPr fontId="5"/>
  </si>
  <si>
    <t>[effect:enemy_message, val1:1.4, val2:1.2],[effect:break_attack_fix, target:unit_one, val:250, lowest_val:5000, count:-1, color:green, block01:block_green, ignore01:crash, ignore02:crack_bomb, ignore03:color_break, ignore04:magnet]</t>
    <phoneticPr fontId="5"/>
  </si>
  <si>
    <t>[effect:enemy_message, val1:1.2, val2:2.0],[effect:degrade_unit, target:unit_all, turn:3, status:attack, val:0.3, calc:mul]</t>
    <phoneticPr fontId="5"/>
  </si>
  <si>
    <t>[effect:enemy_message, val1:1.5, val2:1.2],[effect:fix_speed, target:myself, turn:2],[effect:change_panel_ratio, turn:-1, block_type:green, val:0.4, animation:block_incidence04]</t>
    <phoneticPr fontId="5"/>
  </si>
  <si>
    <t>[effect:enemy_message, val1:1.8, val2:1.4],[effect:panel_freeze, target:normal, color:block_green, count:-1],[effect:rush, count:1, val:1]</t>
    <phoneticPr fontId="5"/>
  </si>
  <si>
    <t>[effect:enemy_message, val1:1.9, val2:1.2],[effect:break_attack_fix, target:unit_one, val:300, lowest_val:7000, count:-1, color:green, block01:block_green, ignore01:crash, ignore02:crack_bomb, ignore03:color_break, ignore04:magnet]</t>
    <phoneticPr fontId="5"/>
  </si>
  <si>
    <t>[effect:enemy_message, val1:1.6, val2:1.4],[effect:fix_speed, target:myself, turn:1],[effect:remove_enhancement, target:unit_all, target_effect:change_panel_ratio, target_type:all, status:green, animation:frozen_wave]</t>
    <phoneticPr fontId="5"/>
  </si>
  <si>
    <t>[effect:enemy_message, val1:1.3, val2:2.4],[effect:panel_freeze, target:normal, count:5],[effect:rush, count:1, val:1]</t>
    <phoneticPr fontId="5"/>
  </si>
  <si>
    <t>[effect:enemy_message, val1:1.6, val2:3.3],[effect:panel_freeze, target:normal, count:20],[effect:enhance_enemy, target:myself, turn:2, status:attack, val:1500, calc:add, animation:enemy_enhance_attack]</t>
    <phoneticPr fontId="5"/>
  </si>
  <si>
    <t>[effect:enemy_message, val1:1.6, val2:2.4],[effect:panel_freeze, target:normal, count:7],[effect:rush, count:1, val:1]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</si>
</sst>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0" borderId="9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14" fontId="16" fillId="6" borderId="7" xfId="0" applyNumberFormat="1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14" fontId="16" fillId="33" borderId="7" xfId="0" applyNumberFormat="1" applyFont="1" applyFill="1" applyBorder="1" applyAlignment="1">
      <alignment horizontal="left" vertical="center"/>
    </xf>
    <xf numFmtId="0" fontId="6" fillId="0" borderId="11" xfId="0" applyFont="1" applyFill="1" applyBorder="1" applyAlignment="1">
      <alignment vertical="center"/>
    </xf>
    <xf numFmtId="0" fontId="16" fillId="34" borderId="0" xfId="0" applyFont="1" applyFill="1" applyAlignment="1">
      <alignment vertical="center" wrapText="1"/>
    </xf>
    <xf numFmtId="0" fontId="16" fillId="15" borderId="0" xfId="0" applyFont="1" applyFill="1" applyAlignment="1">
      <alignment vertical="center"/>
    </xf>
    <xf numFmtId="0" fontId="0" fillId="32" borderId="7" xfId="0" applyFill="1" applyBorder="1"/>
    <xf numFmtId="0" fontId="0" fillId="33" borderId="7" xfId="0" applyFill="1" applyBorder="1"/>
    <xf numFmtId="0" fontId="27" fillId="6" borderId="7" xfId="0" applyFont="1" applyFill="1" applyBorder="1"/>
    <xf numFmtId="0" fontId="28" fillId="6" borderId="7" xfId="0" applyFont="1" applyFill="1" applyBorder="1"/>
    <xf numFmtId="0" fontId="29" fillId="6" borderId="12" xfId="0" applyFont="1" applyFill="1" applyBorder="1" applyAlignment="1">
      <alignment vertical="center"/>
    </xf>
    <xf numFmtId="0" fontId="30" fillId="6" borderId="7" xfId="0" applyFont="1" applyFill="1" applyBorder="1"/>
    <xf numFmtId="0" fontId="31" fillId="6" borderId="7" xfId="0" applyFont="1" applyFill="1" applyBorder="1"/>
    <xf numFmtId="0" fontId="27" fillId="32" borderId="7" xfId="0" applyFont="1" applyFill="1" applyBorder="1"/>
    <xf numFmtId="0" fontId="28" fillId="32" borderId="7" xfId="0" applyFont="1" applyFill="1" applyBorder="1"/>
    <xf numFmtId="0" fontId="29" fillId="32" borderId="12" xfId="0" applyFont="1" applyFill="1" applyBorder="1" applyAlignment="1">
      <alignment vertical="center"/>
    </xf>
    <xf numFmtId="0" fontId="30" fillId="32" borderId="7" xfId="0" applyFont="1" applyFill="1" applyBorder="1"/>
    <xf numFmtId="0" fontId="31" fillId="32" borderId="7" xfId="0" applyFont="1" applyFill="1" applyBorder="1"/>
    <xf numFmtId="0" fontId="27" fillId="33" borderId="7" xfId="0" applyFont="1" applyFill="1" applyBorder="1"/>
    <xf numFmtId="0" fontId="28" fillId="33" borderId="7" xfId="0" applyFont="1" applyFill="1" applyBorder="1"/>
    <xf numFmtId="0" fontId="29" fillId="33" borderId="12" xfId="0" applyFont="1" applyFill="1" applyBorder="1" applyAlignment="1">
      <alignment vertical="center"/>
    </xf>
    <xf numFmtId="0" fontId="30" fillId="33" borderId="7" xfId="0" applyFont="1" applyFill="1" applyBorder="1"/>
    <xf numFmtId="0" fontId="31" fillId="33" borderId="7" xfId="0" applyFont="1" applyFill="1" applyBorder="1"/>
    <xf numFmtId="38" fontId="16" fillId="6" borderId="7" xfId="628" applyFont="1" applyFill="1" applyBorder="1" applyAlignment="1">
      <alignment wrapText="1"/>
    </xf>
    <xf numFmtId="38" fontId="16" fillId="33" borderId="7" xfId="628" applyFont="1" applyFill="1" applyBorder="1" applyAlignment="1">
      <alignment wrapText="1"/>
    </xf>
    <xf numFmtId="38" fontId="16" fillId="32" borderId="7" xfId="628" applyFont="1" applyFill="1" applyBorder="1" applyAlignment="1">
      <alignment wrapText="1"/>
    </xf>
    <xf numFmtId="176" fontId="4" fillId="33" borderId="3" xfId="0" applyNumberFormat="1" applyFont="1" applyFill="1" applyBorder="1" applyAlignment="1">
      <alignment horizontal="center" vertical="center"/>
    </xf>
    <xf numFmtId="176" fontId="4" fillId="32" borderId="3" xfId="0" applyNumberFormat="1" applyFont="1" applyFill="1" applyBorder="1" applyAlignment="1">
      <alignment horizontal="center" vertical="center"/>
    </xf>
    <xf numFmtId="176" fontId="4" fillId="6" borderId="3" xfId="0" applyNumberFormat="1" applyFont="1" applyFill="1" applyBorder="1" applyAlignment="1">
      <alignment horizontal="center" vertical="center"/>
    </xf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0" borderId="7" xfId="0" applyFont="1" applyFill="1" applyBorder="1"/>
    <xf numFmtId="0" fontId="31" fillId="14" borderId="7" xfId="0" applyFont="1" applyFill="1" applyBorder="1"/>
    <xf numFmtId="38" fontId="16" fillId="14" borderId="7" xfId="628" applyFont="1" applyFill="1" applyBorder="1" applyAlignment="1"/>
    <xf numFmtId="0" fontId="26" fillId="0" borderId="0" xfId="0" applyFont="1"/>
    <xf numFmtId="0" fontId="0" fillId="0" borderId="12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41001</v>
          </cell>
        </row>
        <row r="247">
          <cell r="A247">
            <v>41002</v>
          </cell>
        </row>
        <row r="248">
          <cell r="A248">
            <v>41003</v>
          </cell>
        </row>
        <row r="249">
          <cell r="A249">
            <v>41004</v>
          </cell>
        </row>
        <row r="250">
          <cell r="A250">
            <v>41005</v>
          </cell>
        </row>
        <row r="251">
          <cell r="A251">
            <v>41006</v>
          </cell>
        </row>
        <row r="252">
          <cell r="A252">
            <v>41007</v>
          </cell>
        </row>
        <row r="253">
          <cell r="A253">
            <v>41008</v>
          </cell>
        </row>
        <row r="254">
          <cell r="A254">
            <v>41009</v>
          </cell>
        </row>
        <row r="255">
          <cell r="A255">
            <v>41010</v>
          </cell>
        </row>
        <row r="256">
          <cell r="A256">
            <v>41011</v>
          </cell>
        </row>
        <row r="257">
          <cell r="A257">
            <v>41012</v>
          </cell>
        </row>
        <row r="258">
          <cell r="A258">
            <v>41013</v>
          </cell>
        </row>
        <row r="259">
          <cell r="A259">
            <v>41014</v>
          </cell>
        </row>
        <row r="260">
          <cell r="A260">
            <v>41015</v>
          </cell>
        </row>
        <row r="261">
          <cell r="A261">
            <v>47001</v>
          </cell>
        </row>
        <row r="262">
          <cell r="A262">
            <v>47002</v>
          </cell>
        </row>
        <row r="263">
          <cell r="A263">
            <v>47003</v>
          </cell>
        </row>
        <row r="264">
          <cell r="A264">
            <v>47004</v>
          </cell>
        </row>
        <row r="265">
          <cell r="A265">
            <v>47005</v>
          </cell>
        </row>
        <row r="266">
          <cell r="A266">
            <v>47006</v>
          </cell>
        </row>
        <row r="267">
          <cell r="A267">
            <v>47007</v>
          </cell>
        </row>
        <row r="268">
          <cell r="A268">
            <v>47008</v>
          </cell>
        </row>
        <row r="269">
          <cell r="A269">
            <v>47009</v>
          </cell>
        </row>
        <row r="270">
          <cell r="A270">
            <v>47010</v>
          </cell>
        </row>
        <row r="271">
          <cell r="A271">
            <v>49001</v>
          </cell>
        </row>
        <row r="272">
          <cell r="A272">
            <v>49002</v>
          </cell>
        </row>
        <row r="273">
          <cell r="A273">
            <v>49003</v>
          </cell>
        </row>
        <row r="274">
          <cell r="A274">
            <v>49004</v>
          </cell>
        </row>
        <row r="275">
          <cell r="A275">
            <v>49005</v>
          </cell>
        </row>
        <row r="276">
          <cell r="A276">
            <v>49006</v>
          </cell>
        </row>
        <row r="277">
          <cell r="A277">
            <v>49007</v>
          </cell>
        </row>
        <row r="278">
          <cell r="A278">
            <v>49008</v>
          </cell>
        </row>
        <row r="279">
          <cell r="A279">
            <v>49009</v>
          </cell>
        </row>
        <row r="280">
          <cell r="A280">
            <v>49010</v>
          </cell>
        </row>
        <row r="281">
          <cell r="A281">
            <v>49011</v>
          </cell>
        </row>
        <row r="282">
          <cell r="A282">
            <v>49012</v>
          </cell>
        </row>
        <row r="283">
          <cell r="A283">
            <v>49013</v>
          </cell>
        </row>
        <row r="284">
          <cell r="A284">
            <v>49014</v>
          </cell>
        </row>
        <row r="285">
          <cell r="A285">
            <v>50001</v>
          </cell>
        </row>
        <row r="286">
          <cell r="A286">
            <v>50002</v>
          </cell>
        </row>
        <row r="287">
          <cell r="A287">
            <v>50003</v>
          </cell>
        </row>
        <row r="288">
          <cell r="A288">
            <v>50004</v>
          </cell>
        </row>
        <row r="289">
          <cell r="A289">
            <v>50005</v>
          </cell>
        </row>
        <row r="290">
          <cell r="A290">
            <v>50006</v>
          </cell>
        </row>
        <row r="291">
          <cell r="A291">
            <v>50007</v>
          </cell>
        </row>
        <row r="292">
          <cell r="A292">
            <v>50008</v>
          </cell>
        </row>
        <row r="293">
          <cell r="A293">
            <v>50009</v>
          </cell>
        </row>
        <row r="294">
          <cell r="A294">
            <v>50010</v>
          </cell>
        </row>
        <row r="295">
          <cell r="A295">
            <v>50011</v>
          </cell>
        </row>
        <row r="296">
          <cell r="A296">
            <v>50012</v>
          </cell>
        </row>
        <row r="297">
          <cell r="A297">
            <v>50013</v>
          </cell>
        </row>
        <row r="298">
          <cell r="A298">
            <v>50014</v>
          </cell>
        </row>
        <row r="299">
          <cell r="A299">
            <v>51001</v>
          </cell>
        </row>
        <row r="300">
          <cell r="A300">
            <v>51002</v>
          </cell>
        </row>
        <row r="301">
          <cell r="A301">
            <v>58001</v>
          </cell>
        </row>
        <row r="302">
          <cell r="A302">
            <v>59001</v>
          </cell>
        </row>
        <row r="303">
          <cell r="A303">
            <v>59002</v>
          </cell>
        </row>
        <row r="304">
          <cell r="A304">
            <v>60001</v>
          </cell>
        </row>
        <row r="305">
          <cell r="A305">
            <v>60002</v>
          </cell>
        </row>
        <row r="306">
          <cell r="A306">
            <v>60003</v>
          </cell>
        </row>
        <row r="307">
          <cell r="A307">
            <v>60004</v>
          </cell>
        </row>
        <row r="308">
          <cell r="A308">
            <v>60005</v>
          </cell>
        </row>
        <row r="309">
          <cell r="A309">
            <v>60006</v>
          </cell>
        </row>
        <row r="310">
          <cell r="A310">
            <v>60007</v>
          </cell>
        </row>
        <row r="311">
          <cell r="A311">
            <v>60010</v>
          </cell>
        </row>
        <row r="312">
          <cell r="A312">
            <v>60011</v>
          </cell>
        </row>
        <row r="313">
          <cell r="A313">
            <v>61011</v>
          </cell>
        </row>
        <row r="314">
          <cell r="A314">
            <v>60012</v>
          </cell>
        </row>
        <row r="315">
          <cell r="A315">
            <v>60013</v>
          </cell>
        </row>
        <row r="316">
          <cell r="A316">
            <v>60014</v>
          </cell>
        </row>
        <row r="317">
          <cell r="A317">
            <v>60015</v>
          </cell>
        </row>
        <row r="318">
          <cell r="A318">
            <v>60016</v>
          </cell>
        </row>
        <row r="319">
          <cell r="A319">
            <v>60017</v>
          </cell>
        </row>
        <row r="320">
          <cell r="A320">
            <v>60018</v>
          </cell>
        </row>
        <row r="321">
          <cell r="A321">
            <v>60019</v>
          </cell>
        </row>
        <row r="322">
          <cell r="A322">
            <v>60020</v>
          </cell>
        </row>
        <row r="323">
          <cell r="A323">
            <v>60025</v>
          </cell>
        </row>
        <row r="324">
          <cell r="A324">
            <v>60026</v>
          </cell>
        </row>
        <row r="325">
          <cell r="A325">
            <v>60027</v>
          </cell>
        </row>
        <row r="326">
          <cell r="A326">
            <v>65525</v>
          </cell>
        </row>
        <row r="327">
          <cell r="A327">
            <v>65526</v>
          </cell>
        </row>
        <row r="328">
          <cell r="A328">
            <v>65527</v>
          </cell>
        </row>
        <row r="329">
          <cell r="A329">
            <v>65528</v>
          </cell>
        </row>
        <row r="330">
          <cell r="A330">
            <v>65529</v>
          </cell>
        </row>
        <row r="331">
          <cell r="A331">
            <v>65530</v>
          </cell>
        </row>
        <row r="332">
          <cell r="A332">
            <v>65531</v>
          </cell>
        </row>
        <row r="333">
          <cell r="A333">
            <v>65532</v>
          </cell>
        </row>
        <row r="334">
          <cell r="A334">
            <v>65533</v>
          </cell>
        </row>
        <row r="335">
          <cell r="A335">
            <v>65534</v>
          </cell>
        </row>
        <row r="336">
          <cell r="A336">
            <v>65535</v>
          </cell>
        </row>
        <row r="337">
          <cell r="A337">
            <v>60021</v>
          </cell>
        </row>
        <row r="338">
          <cell r="A338">
            <v>60022</v>
          </cell>
        </row>
        <row r="339">
          <cell r="A339">
            <v>60023</v>
          </cell>
        </row>
        <row r="340">
          <cell r="A34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48001_1</v>
          </cell>
        </row>
        <row r="849">
          <cell r="A849" t="str">
            <v>48002_1</v>
          </cell>
        </row>
        <row r="850">
          <cell r="A850" t="str">
            <v>48002_2</v>
          </cell>
        </row>
        <row r="851">
          <cell r="A851" t="str">
            <v>48002_3</v>
          </cell>
        </row>
        <row r="852">
          <cell r="A852" t="str">
            <v>48003_1</v>
          </cell>
        </row>
        <row r="853">
          <cell r="A853" t="str">
            <v>48003_2</v>
          </cell>
        </row>
        <row r="854">
          <cell r="A854" t="str">
            <v>48004_1</v>
          </cell>
        </row>
        <row r="855">
          <cell r="A855" t="str">
            <v>48004_2</v>
          </cell>
        </row>
        <row r="856">
          <cell r="A856" t="str">
            <v>48005_1</v>
          </cell>
        </row>
        <row r="857">
          <cell r="A857" t="str">
            <v>48005_2</v>
          </cell>
        </row>
        <row r="858">
          <cell r="A858" t="str">
            <v>48006_1</v>
          </cell>
        </row>
        <row r="859">
          <cell r="A859" t="str">
            <v>48006_2</v>
          </cell>
        </row>
        <row r="860">
          <cell r="A860" t="str">
            <v>48007_1</v>
          </cell>
        </row>
        <row r="861">
          <cell r="A861" t="str">
            <v>48007_2</v>
          </cell>
        </row>
        <row r="862">
          <cell r="A862" t="str">
            <v>48008_1</v>
          </cell>
        </row>
        <row r="863">
          <cell r="A863" t="str">
            <v>48008_2</v>
          </cell>
        </row>
        <row r="864">
          <cell r="A864" t="str">
            <v>48009_1</v>
          </cell>
        </row>
        <row r="865">
          <cell r="A865" t="str">
            <v>48009_2</v>
          </cell>
        </row>
        <row r="866">
          <cell r="A866" t="str">
            <v>48010_1</v>
          </cell>
        </row>
        <row r="867">
          <cell r="A867" t="str">
            <v>48011_1</v>
          </cell>
        </row>
        <row r="868">
          <cell r="A868" t="str">
            <v>48011_2</v>
          </cell>
        </row>
        <row r="869">
          <cell r="A869" t="str">
            <v>48501_1</v>
          </cell>
        </row>
        <row r="870">
          <cell r="A870" t="str">
            <v>48501_2</v>
          </cell>
        </row>
        <row r="871">
          <cell r="A871" t="str">
            <v>48502_1</v>
          </cell>
        </row>
        <row r="872">
          <cell r="A872" t="str">
            <v>48502_2</v>
          </cell>
        </row>
        <row r="873">
          <cell r="A873" t="str">
            <v>49001_1</v>
          </cell>
        </row>
        <row r="874">
          <cell r="A874" t="str">
            <v>49002_1</v>
          </cell>
        </row>
        <row r="875">
          <cell r="A875" t="str">
            <v>49002_2</v>
          </cell>
        </row>
        <row r="876">
          <cell r="A876" t="str">
            <v>49003_1</v>
          </cell>
        </row>
        <row r="877">
          <cell r="A877" t="str">
            <v>49003_2</v>
          </cell>
        </row>
        <row r="878">
          <cell r="A878" t="str">
            <v>49004_1</v>
          </cell>
        </row>
        <row r="879">
          <cell r="A879" t="str">
            <v>49004_2</v>
          </cell>
        </row>
        <row r="880">
          <cell r="A880" t="str">
            <v>49004_3</v>
          </cell>
        </row>
        <row r="881">
          <cell r="A881" t="str">
            <v>49005_1</v>
          </cell>
        </row>
        <row r="882">
          <cell r="A882" t="str">
            <v>49006_1</v>
          </cell>
        </row>
        <row r="883">
          <cell r="A883" t="str">
            <v>49006_2</v>
          </cell>
        </row>
        <row r="884">
          <cell r="A884" t="str">
            <v>49007_1</v>
          </cell>
        </row>
        <row r="885">
          <cell r="A885" t="str">
            <v>49007_2</v>
          </cell>
        </row>
        <row r="886">
          <cell r="A886" t="str">
            <v>49007_3</v>
          </cell>
        </row>
        <row r="887">
          <cell r="A887" t="str">
            <v>49008_1</v>
          </cell>
        </row>
        <row r="888">
          <cell r="A888" t="str">
            <v>49009_1</v>
          </cell>
        </row>
        <row r="889">
          <cell r="A889" t="str">
            <v>49010_1</v>
          </cell>
        </row>
        <row r="890">
          <cell r="A890" t="str">
            <v>49011_1</v>
          </cell>
        </row>
        <row r="891">
          <cell r="A891" t="str">
            <v>49012_1</v>
          </cell>
        </row>
        <row r="892">
          <cell r="A892" t="str">
            <v>49013_1</v>
          </cell>
        </row>
        <row r="893">
          <cell r="A893" t="str">
            <v>49014_1</v>
          </cell>
        </row>
        <row r="894">
          <cell r="A894" t="str">
            <v>49014_2</v>
          </cell>
        </row>
        <row r="895">
          <cell r="A895" t="str">
            <v>50001_1</v>
          </cell>
        </row>
        <row r="896">
          <cell r="A896" t="str">
            <v>50002_1</v>
          </cell>
        </row>
        <row r="897">
          <cell r="A897" t="str">
            <v>50003_1</v>
          </cell>
        </row>
        <row r="898">
          <cell r="A898" t="str">
            <v>50004_1</v>
          </cell>
        </row>
        <row r="899">
          <cell r="A899" t="str">
            <v>50005_1</v>
          </cell>
        </row>
        <row r="900">
          <cell r="A900" t="str">
            <v>50006_1</v>
          </cell>
        </row>
        <row r="901">
          <cell r="A901" t="str">
            <v>50007_1</v>
          </cell>
        </row>
        <row r="902">
          <cell r="A902" t="str">
            <v>50008_1</v>
          </cell>
        </row>
        <row r="903">
          <cell r="A903" t="str">
            <v>50009_1</v>
          </cell>
        </row>
        <row r="904">
          <cell r="A904" t="str">
            <v>50010_1</v>
          </cell>
        </row>
        <row r="905">
          <cell r="A905" t="str">
            <v>50011_1</v>
          </cell>
        </row>
        <row r="906">
          <cell r="A906" t="str">
            <v>50012_1</v>
          </cell>
        </row>
        <row r="907">
          <cell r="A907" t="str">
            <v>50013_1</v>
          </cell>
        </row>
        <row r="908">
          <cell r="A908" t="str">
            <v>50014_1</v>
          </cell>
        </row>
        <row r="909">
          <cell r="A909" t="str">
            <v>51001_1</v>
          </cell>
        </row>
        <row r="910">
          <cell r="A910" t="str">
            <v>51002_1</v>
          </cell>
        </row>
        <row r="911">
          <cell r="A911" t="str">
            <v>58001_1</v>
          </cell>
        </row>
        <row r="912">
          <cell r="A912" t="str">
            <v>59001_1</v>
          </cell>
        </row>
        <row r="913">
          <cell r="A913" t="str">
            <v>59002_1</v>
          </cell>
        </row>
        <row r="914">
          <cell r="A914" t="str">
            <v>60001_1</v>
          </cell>
        </row>
        <row r="915">
          <cell r="A915" t="str">
            <v>60002_1</v>
          </cell>
        </row>
        <row r="916">
          <cell r="A916" t="str">
            <v>60002_2</v>
          </cell>
        </row>
        <row r="917">
          <cell r="A917" t="str">
            <v>60003_1</v>
          </cell>
        </row>
        <row r="918">
          <cell r="A918" t="str">
            <v>60003_2</v>
          </cell>
        </row>
        <row r="919">
          <cell r="A919" t="str">
            <v>60003_3</v>
          </cell>
        </row>
        <row r="920">
          <cell r="A920" t="str">
            <v>60004_1</v>
          </cell>
        </row>
        <row r="921">
          <cell r="A921" t="str">
            <v>60005_1</v>
          </cell>
        </row>
        <row r="922">
          <cell r="A922" t="str">
            <v>60006_1</v>
          </cell>
        </row>
        <row r="923">
          <cell r="A923" t="str">
            <v>60006_2</v>
          </cell>
        </row>
        <row r="924">
          <cell r="A924" t="str">
            <v>60006_3</v>
          </cell>
        </row>
        <row r="925">
          <cell r="A925" t="str">
            <v>60007_1</v>
          </cell>
        </row>
        <row r="926">
          <cell r="A926" t="str">
            <v>60007_2</v>
          </cell>
        </row>
        <row r="927">
          <cell r="A927" t="str">
            <v>60007_3</v>
          </cell>
        </row>
        <row r="928">
          <cell r="A928" t="str">
            <v>60010_1</v>
          </cell>
        </row>
        <row r="929">
          <cell r="A929" t="str">
            <v>60011_1</v>
          </cell>
        </row>
        <row r="930">
          <cell r="A930" t="str">
            <v>60011_2</v>
          </cell>
        </row>
        <row r="931">
          <cell r="A931" t="str">
            <v>60012_1</v>
          </cell>
        </row>
        <row r="932">
          <cell r="A932" t="str">
            <v>60013_1</v>
          </cell>
        </row>
        <row r="933">
          <cell r="A933" t="str">
            <v>60013_2</v>
          </cell>
        </row>
        <row r="934">
          <cell r="A934" t="str">
            <v>60013_3</v>
          </cell>
        </row>
        <row r="935">
          <cell r="A935" t="str">
            <v>60014_1</v>
          </cell>
        </row>
        <row r="936">
          <cell r="A936" t="str">
            <v>60015_1</v>
          </cell>
        </row>
        <row r="937">
          <cell r="A937" t="str">
            <v>60016_1</v>
          </cell>
        </row>
        <row r="938">
          <cell r="A938" t="str">
            <v>60017_1</v>
          </cell>
        </row>
        <row r="939">
          <cell r="A939" t="str">
            <v>60018_1</v>
          </cell>
        </row>
        <row r="940">
          <cell r="A940" t="str">
            <v>60019_1</v>
          </cell>
        </row>
        <row r="941">
          <cell r="A941" t="str">
            <v>60020_1</v>
          </cell>
        </row>
        <row r="942">
          <cell r="A942" t="str">
            <v>60021_3</v>
          </cell>
        </row>
        <row r="943">
          <cell r="A943" t="str">
            <v>60022_3</v>
          </cell>
        </row>
        <row r="944">
          <cell r="A944" t="str">
            <v>60023_3</v>
          </cell>
        </row>
        <row r="945">
          <cell r="A945" t="str">
            <v>60024_3</v>
          </cell>
        </row>
        <row r="946">
          <cell r="A946" t="str">
            <v>60025_1</v>
          </cell>
        </row>
        <row r="947">
          <cell r="A947" t="str">
            <v>60026_1</v>
          </cell>
        </row>
        <row r="948">
          <cell r="A948" t="str">
            <v>61011_1</v>
          </cell>
        </row>
        <row r="949">
          <cell r="A949" t="str">
            <v>60027_1</v>
          </cell>
        </row>
        <row r="950">
          <cell r="A950" t="str">
            <v>65525_1</v>
          </cell>
        </row>
        <row r="951">
          <cell r="A951" t="str">
            <v>65526_1</v>
          </cell>
        </row>
        <row r="952">
          <cell r="A952" t="str">
            <v>65526_2</v>
          </cell>
        </row>
        <row r="953">
          <cell r="A953" t="str">
            <v>65527_1</v>
          </cell>
        </row>
        <row r="954">
          <cell r="A954" t="str">
            <v>65528_1</v>
          </cell>
        </row>
        <row r="955">
          <cell r="A955" t="str">
            <v>65529_1</v>
          </cell>
        </row>
        <row r="956">
          <cell r="A956" t="str">
            <v>65530_1</v>
          </cell>
        </row>
        <row r="957">
          <cell r="A957" t="str">
            <v>65531_1</v>
          </cell>
        </row>
        <row r="958">
          <cell r="A958" t="str">
            <v>65531_2</v>
          </cell>
        </row>
        <row r="959">
          <cell r="A959" t="str">
            <v>65532_1</v>
          </cell>
        </row>
        <row r="960">
          <cell r="A960" t="str">
            <v>65532_2</v>
          </cell>
        </row>
        <row r="961">
          <cell r="A961" t="str">
            <v>65533_1</v>
          </cell>
        </row>
        <row r="962">
          <cell r="A962" t="str">
            <v>65533_2</v>
          </cell>
        </row>
        <row r="963">
          <cell r="A963" t="str">
            <v>65534_1</v>
          </cell>
        </row>
        <row r="964">
          <cell r="A964" t="str">
            <v>65535_1</v>
          </cell>
        </row>
        <row r="965">
          <cell r="A965" t="str">
            <v>65535_2</v>
          </cell>
        </row>
        <row r="966">
          <cell r="A966" t="str">
            <v>65535_3</v>
          </cell>
        </row>
        <row r="967">
          <cell r="A967" t="str">
            <v>65535_4</v>
          </cell>
        </row>
        <row r="968">
          <cell r="A968" t="str">
            <v>65535_5</v>
          </cell>
        </row>
        <row r="969">
          <cell r="A969" t="str">
            <v>65535_6</v>
          </cell>
        </row>
        <row r="970">
          <cell r="A970" t="str">
            <v>65535_7</v>
          </cell>
        </row>
        <row r="971">
          <cell r="A971" t="str">
            <v>65535_8</v>
          </cell>
        </row>
        <row r="972">
          <cell r="A972" t="str">
            <v>65535_9</v>
          </cell>
        </row>
        <row r="973">
          <cell r="A97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1504</v>
          </cell>
        </row>
        <row r="1337">
          <cell r="A1337">
            <v>1505</v>
          </cell>
        </row>
        <row r="1338">
          <cell r="A1338">
            <v>1506</v>
          </cell>
        </row>
        <row r="1339">
          <cell r="A1339">
            <v>1507</v>
          </cell>
        </row>
        <row r="1340">
          <cell r="A1340">
            <v>1508</v>
          </cell>
        </row>
        <row r="1341">
          <cell r="A1341">
            <v>1509</v>
          </cell>
        </row>
        <row r="1342">
          <cell r="A1342">
            <v>1510</v>
          </cell>
        </row>
        <row r="1343">
          <cell r="A1343">
            <v>1511</v>
          </cell>
        </row>
        <row r="1344">
          <cell r="A1344">
            <v>1512</v>
          </cell>
        </row>
        <row r="1345">
          <cell r="A1345">
            <v>1523</v>
          </cell>
        </row>
        <row r="1346">
          <cell r="A1346">
            <v>1524</v>
          </cell>
        </row>
        <row r="1347">
          <cell r="A1347">
            <v>1525</v>
          </cell>
        </row>
        <row r="1348">
          <cell r="A1348">
            <v>1526</v>
          </cell>
        </row>
        <row r="1349">
          <cell r="A1349">
            <v>5001</v>
          </cell>
        </row>
        <row r="1350">
          <cell r="A1350">
            <v>5002</v>
          </cell>
        </row>
        <row r="1351">
          <cell r="A1351">
            <v>5003</v>
          </cell>
        </row>
        <row r="1352">
          <cell r="A1352">
            <v>5004</v>
          </cell>
        </row>
        <row r="1353">
          <cell r="A1353">
            <v>5005</v>
          </cell>
        </row>
        <row r="1354">
          <cell r="A1354">
            <v>5006</v>
          </cell>
        </row>
        <row r="1355">
          <cell r="A1355">
            <v>5007</v>
          </cell>
        </row>
        <row r="1356">
          <cell r="A1356">
            <v>5008</v>
          </cell>
        </row>
        <row r="1357">
          <cell r="A1357">
            <v>6001</v>
          </cell>
        </row>
        <row r="1358">
          <cell r="A1358">
            <v>6002</v>
          </cell>
        </row>
        <row r="1359">
          <cell r="A1359">
            <v>6003</v>
          </cell>
        </row>
        <row r="1360">
          <cell r="A1360">
            <v>6004</v>
          </cell>
        </row>
        <row r="1361">
          <cell r="A1361">
            <v>6005</v>
          </cell>
        </row>
        <row r="1362">
          <cell r="A1362">
            <v>6006</v>
          </cell>
        </row>
        <row r="1363">
          <cell r="A1363">
            <v>6007</v>
          </cell>
        </row>
        <row r="1364">
          <cell r="A1364">
            <v>6008</v>
          </cell>
        </row>
        <row r="1365">
          <cell r="A1365">
            <v>6009</v>
          </cell>
        </row>
        <row r="1366">
          <cell r="A1366">
            <v>6010</v>
          </cell>
        </row>
        <row r="1367">
          <cell r="A1367">
            <v>6011</v>
          </cell>
        </row>
        <row r="1368">
          <cell r="A1368">
            <v>6012</v>
          </cell>
        </row>
        <row r="1369">
          <cell r="A1369">
            <v>6013</v>
          </cell>
        </row>
        <row r="1370">
          <cell r="A1370">
            <v>6014</v>
          </cell>
        </row>
        <row r="1371">
          <cell r="A1371">
            <v>6015</v>
          </cell>
        </row>
        <row r="1372">
          <cell r="A1372">
            <v>6016</v>
          </cell>
        </row>
        <row r="1373">
          <cell r="A1373">
            <v>6017</v>
          </cell>
        </row>
        <row r="1374">
          <cell r="A1374">
            <v>6018</v>
          </cell>
        </row>
        <row r="1375">
          <cell r="A1375">
            <v>6019</v>
          </cell>
        </row>
        <row r="1376">
          <cell r="A1376">
            <v>6020</v>
          </cell>
        </row>
        <row r="1377">
          <cell r="A1377">
            <v>8001</v>
          </cell>
        </row>
        <row r="1378">
          <cell r="A1378">
            <v>8002</v>
          </cell>
        </row>
        <row r="1379">
          <cell r="A1379">
            <v>8003</v>
          </cell>
        </row>
        <row r="1380">
          <cell r="A1380">
            <v>8004</v>
          </cell>
        </row>
        <row r="1381">
          <cell r="A1381">
            <v>8005</v>
          </cell>
        </row>
        <row r="1382">
          <cell r="A1382">
            <v>8006</v>
          </cell>
        </row>
        <row r="1383">
          <cell r="A1383">
            <v>8007</v>
          </cell>
        </row>
        <row r="1384">
          <cell r="A1384">
            <v>8008</v>
          </cell>
        </row>
        <row r="1385">
          <cell r="A1385">
            <v>8009</v>
          </cell>
        </row>
        <row r="1386">
          <cell r="A1386">
            <v>8010</v>
          </cell>
        </row>
        <row r="1387">
          <cell r="A1387">
            <v>8011</v>
          </cell>
        </row>
        <row r="1388">
          <cell r="A1388">
            <v>8012</v>
          </cell>
        </row>
        <row r="1389">
          <cell r="A1389">
            <v>8013</v>
          </cell>
        </row>
        <row r="1390">
          <cell r="A1390">
            <v>8014</v>
          </cell>
        </row>
        <row r="1391">
          <cell r="A1391">
            <v>8015</v>
          </cell>
        </row>
        <row r="1392">
          <cell r="A1392">
            <v>8016</v>
          </cell>
        </row>
        <row r="1393">
          <cell r="A1393">
            <v>8017</v>
          </cell>
        </row>
        <row r="1394">
          <cell r="A1394">
            <v>8018</v>
          </cell>
        </row>
        <row r="1395">
          <cell r="A1395">
            <v>8019</v>
          </cell>
        </row>
        <row r="1396">
          <cell r="A1396">
            <v>8020</v>
          </cell>
        </row>
        <row r="1397">
          <cell r="A1397">
            <v>8021</v>
          </cell>
        </row>
        <row r="1398">
          <cell r="A1398">
            <v>8022</v>
          </cell>
        </row>
        <row r="1399">
          <cell r="A1399">
            <v>8023</v>
          </cell>
        </row>
        <row r="1400">
          <cell r="A1400">
            <v>8024</v>
          </cell>
        </row>
        <row r="1401">
          <cell r="A1401">
            <v>8025</v>
          </cell>
        </row>
        <row r="1402">
          <cell r="A1402">
            <v>8026</v>
          </cell>
        </row>
        <row r="1403">
          <cell r="A1403">
            <v>8027</v>
          </cell>
        </row>
        <row r="1404">
          <cell r="A1404">
            <v>8028</v>
          </cell>
        </row>
        <row r="1405">
          <cell r="A1405">
            <v>8029</v>
          </cell>
        </row>
        <row r="1406">
          <cell r="A1406">
            <v>8030</v>
          </cell>
        </row>
        <row r="1407">
          <cell r="A1407">
            <v>8031</v>
          </cell>
        </row>
        <row r="1408">
          <cell r="A1408">
            <v>8032</v>
          </cell>
        </row>
        <row r="1409">
          <cell r="A1409">
            <v>8033</v>
          </cell>
        </row>
        <row r="1410">
          <cell r="A1410">
            <v>8034</v>
          </cell>
        </row>
        <row r="1411">
          <cell r="A1411">
            <v>8035</v>
          </cell>
        </row>
        <row r="1412">
          <cell r="A1412">
            <v>8036</v>
          </cell>
        </row>
        <row r="1413">
          <cell r="A1413">
            <v>8037</v>
          </cell>
        </row>
        <row r="1414">
          <cell r="A1414">
            <v>8038</v>
          </cell>
        </row>
        <row r="1415">
          <cell r="A1415">
            <v>8039</v>
          </cell>
        </row>
        <row r="1416">
          <cell r="A1416">
            <v>8040</v>
          </cell>
        </row>
        <row r="1417">
          <cell r="A1417">
            <v>8041</v>
          </cell>
        </row>
        <row r="1418">
          <cell r="A1418">
            <v>8042</v>
          </cell>
        </row>
        <row r="1419">
          <cell r="A1419">
            <v>8043</v>
          </cell>
        </row>
        <row r="1420">
          <cell r="A1420">
            <v>8044</v>
          </cell>
        </row>
        <row r="1421">
          <cell r="A1421">
            <v>8045</v>
          </cell>
        </row>
        <row r="1422">
          <cell r="A1422">
            <v>8046</v>
          </cell>
        </row>
        <row r="1423">
          <cell r="A1423">
            <v>8047</v>
          </cell>
        </row>
        <row r="1424">
          <cell r="A1424">
            <v>8048</v>
          </cell>
        </row>
        <row r="1425">
          <cell r="A1425">
            <v>8049</v>
          </cell>
        </row>
        <row r="1426">
          <cell r="A1426">
            <v>8050</v>
          </cell>
        </row>
        <row r="1427">
          <cell r="A1427">
            <v>8051</v>
          </cell>
        </row>
        <row r="1428">
          <cell r="A1428">
            <v>8052</v>
          </cell>
        </row>
        <row r="1429">
          <cell r="A1429">
            <v>8053</v>
          </cell>
        </row>
        <row r="1430">
          <cell r="A1430">
            <v>8054</v>
          </cell>
        </row>
        <row r="1431">
          <cell r="A1431">
            <v>8055</v>
          </cell>
        </row>
        <row r="1432">
          <cell r="A1432">
            <v>8056</v>
          </cell>
        </row>
        <row r="1433">
          <cell r="A1433">
            <v>8057</v>
          </cell>
        </row>
        <row r="1434">
          <cell r="A1434">
            <v>8058</v>
          </cell>
        </row>
        <row r="1435">
          <cell r="A1435">
            <v>8059</v>
          </cell>
        </row>
        <row r="1436">
          <cell r="A1436">
            <v>8060</v>
          </cell>
        </row>
        <row r="1437">
          <cell r="A1437">
            <v>8061</v>
          </cell>
        </row>
        <row r="1438">
          <cell r="A1438">
            <v>8062</v>
          </cell>
        </row>
        <row r="1439">
          <cell r="A1439">
            <v>8063</v>
          </cell>
        </row>
        <row r="1440">
          <cell r="A1440">
            <v>8064</v>
          </cell>
        </row>
        <row r="1441">
          <cell r="A1441">
            <v>8065</v>
          </cell>
        </row>
        <row r="1442">
          <cell r="A1442">
            <v>8066</v>
          </cell>
        </row>
        <row r="1443">
          <cell r="A1443">
            <v>8067</v>
          </cell>
        </row>
        <row r="1444">
          <cell r="A1444">
            <v>8068</v>
          </cell>
        </row>
        <row r="1445">
          <cell r="A1445">
            <v>8069</v>
          </cell>
        </row>
        <row r="1446">
          <cell r="A1446">
            <v>8070</v>
          </cell>
        </row>
        <row r="1447">
          <cell r="A1447">
            <v>8071</v>
          </cell>
        </row>
        <row r="1448">
          <cell r="A1448">
            <v>8072</v>
          </cell>
        </row>
        <row r="1449">
          <cell r="A1449">
            <v>8073</v>
          </cell>
        </row>
        <row r="1450">
          <cell r="A1450">
            <v>8074</v>
          </cell>
        </row>
        <row r="1451">
          <cell r="A1451">
            <v>8077</v>
          </cell>
        </row>
        <row r="1452">
          <cell r="A1452">
            <v>8078</v>
          </cell>
        </row>
        <row r="1453">
          <cell r="A1453">
            <v>8079</v>
          </cell>
        </row>
        <row r="1454">
          <cell r="A1454">
            <v>8080</v>
          </cell>
        </row>
        <row r="1455">
          <cell r="A1455">
            <v>8081</v>
          </cell>
        </row>
        <row r="1456">
          <cell r="A1456">
            <v>8082</v>
          </cell>
        </row>
        <row r="1457">
          <cell r="A1457">
            <v>8083</v>
          </cell>
        </row>
        <row r="1458">
          <cell r="A1458">
            <v>8084</v>
          </cell>
        </row>
        <row r="1459">
          <cell r="A1459">
            <v>8087</v>
          </cell>
        </row>
        <row r="1460">
          <cell r="A1460">
            <v>8088</v>
          </cell>
        </row>
        <row r="1461">
          <cell r="A1461">
            <v>8089</v>
          </cell>
        </row>
        <row r="1462">
          <cell r="A1462">
            <v>8090</v>
          </cell>
        </row>
        <row r="1463">
          <cell r="A1463">
            <v>8095</v>
          </cell>
        </row>
        <row r="1464">
          <cell r="A1464">
            <v>8096</v>
          </cell>
        </row>
        <row r="1465">
          <cell r="A1465">
            <v>8097</v>
          </cell>
        </row>
        <row r="1466">
          <cell r="A1466">
            <v>8098</v>
          </cell>
        </row>
        <row r="1467">
          <cell r="A1467">
            <v>8099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1409</v>
          </cell>
        </row>
        <row r="1383">
          <cell r="A1383">
            <v>1410</v>
          </cell>
        </row>
        <row r="1384">
          <cell r="A1384">
            <v>1414</v>
          </cell>
        </row>
        <row r="1385">
          <cell r="A1385">
            <v>1415</v>
          </cell>
        </row>
        <row r="1386">
          <cell r="A1386">
            <v>1416</v>
          </cell>
        </row>
        <row r="1387">
          <cell r="A1387">
            <v>1417</v>
          </cell>
        </row>
        <row r="1388">
          <cell r="A1388">
            <v>1418</v>
          </cell>
        </row>
        <row r="1389">
          <cell r="A1389">
            <v>1419</v>
          </cell>
        </row>
        <row r="1390">
          <cell r="A1390">
            <v>1420</v>
          </cell>
        </row>
        <row r="1391">
          <cell r="A1391">
            <v>1421</v>
          </cell>
        </row>
        <row r="1392">
          <cell r="A1392">
            <v>1422</v>
          </cell>
        </row>
        <row r="1393">
          <cell r="A1393">
            <v>1423</v>
          </cell>
        </row>
        <row r="1394">
          <cell r="A1394">
            <v>1424</v>
          </cell>
        </row>
        <row r="1395">
          <cell r="A1395">
            <v>1504</v>
          </cell>
        </row>
        <row r="1396">
          <cell r="A1396">
            <v>1505</v>
          </cell>
        </row>
        <row r="1397">
          <cell r="A1397">
            <v>1506</v>
          </cell>
        </row>
        <row r="1398">
          <cell r="A1398">
            <v>1507</v>
          </cell>
        </row>
        <row r="1399">
          <cell r="A1399">
            <v>1508</v>
          </cell>
        </row>
        <row r="1400">
          <cell r="A1400">
            <v>1509</v>
          </cell>
        </row>
        <row r="1401">
          <cell r="A1401">
            <v>1510</v>
          </cell>
        </row>
        <row r="1402">
          <cell r="A1402">
            <v>1511</v>
          </cell>
        </row>
        <row r="1403">
          <cell r="A1403">
            <v>1512</v>
          </cell>
        </row>
        <row r="1404">
          <cell r="A1404">
            <v>1513</v>
          </cell>
        </row>
        <row r="1405">
          <cell r="A1405">
            <v>1514</v>
          </cell>
        </row>
        <row r="1406">
          <cell r="A1406">
            <v>1515</v>
          </cell>
        </row>
        <row r="1407">
          <cell r="A1407">
            <v>1516</v>
          </cell>
        </row>
        <row r="1408">
          <cell r="A1408">
            <v>1517</v>
          </cell>
        </row>
        <row r="1409">
          <cell r="A1409">
            <v>1518</v>
          </cell>
        </row>
        <row r="1410">
          <cell r="A1410">
            <v>1519</v>
          </cell>
        </row>
        <row r="1411">
          <cell r="A1411">
            <v>1520</v>
          </cell>
        </row>
        <row r="1412">
          <cell r="A1412">
            <v>1521</v>
          </cell>
        </row>
        <row r="1413">
          <cell r="A1413">
            <v>1522</v>
          </cell>
        </row>
        <row r="1414">
          <cell r="A1414">
            <v>1523</v>
          </cell>
        </row>
        <row r="1415">
          <cell r="A1415">
            <v>1524</v>
          </cell>
        </row>
        <row r="1416">
          <cell r="A1416">
            <v>1525</v>
          </cell>
        </row>
        <row r="1417">
          <cell r="A1417">
            <v>1526</v>
          </cell>
        </row>
        <row r="1418">
          <cell r="A1418">
            <v>1527</v>
          </cell>
        </row>
        <row r="1419">
          <cell r="A1419">
            <v>1528</v>
          </cell>
        </row>
        <row r="1420">
          <cell r="A1420">
            <v>1529</v>
          </cell>
        </row>
        <row r="1421">
          <cell r="A1421">
            <v>1530</v>
          </cell>
        </row>
        <row r="1422">
          <cell r="A1422">
            <v>1531</v>
          </cell>
        </row>
        <row r="1423">
          <cell r="A1423">
            <v>1532</v>
          </cell>
        </row>
        <row r="1424">
          <cell r="A1424">
            <v>1533</v>
          </cell>
        </row>
        <row r="1425">
          <cell r="A1425">
            <v>1534</v>
          </cell>
        </row>
        <row r="1426">
          <cell r="A1426">
            <v>1535</v>
          </cell>
        </row>
        <row r="1427">
          <cell r="A1427">
            <v>1536</v>
          </cell>
        </row>
        <row r="1428">
          <cell r="A1428">
            <v>1537</v>
          </cell>
        </row>
        <row r="1429">
          <cell r="A1429">
            <v>1538</v>
          </cell>
        </row>
        <row r="1430">
          <cell r="A1430">
            <v>1539</v>
          </cell>
        </row>
        <row r="1431">
          <cell r="A1431">
            <v>1540</v>
          </cell>
        </row>
        <row r="1432">
          <cell r="A1432">
            <v>1541</v>
          </cell>
        </row>
        <row r="1433">
          <cell r="A1433">
            <v>1542</v>
          </cell>
        </row>
        <row r="1434">
          <cell r="A1434">
            <v>1543</v>
          </cell>
        </row>
        <row r="1435">
          <cell r="A1435">
            <v>1544</v>
          </cell>
        </row>
        <row r="1436">
          <cell r="A1436">
            <v>1545</v>
          </cell>
        </row>
        <row r="1437">
          <cell r="A1437">
            <v>1546</v>
          </cell>
        </row>
        <row r="1438">
          <cell r="A1438">
            <v>1547</v>
          </cell>
        </row>
        <row r="1439">
          <cell r="A1439">
            <v>1548</v>
          </cell>
        </row>
        <row r="1440">
          <cell r="A1440">
            <v>1549</v>
          </cell>
        </row>
        <row r="1441">
          <cell r="A1441">
            <v>1550</v>
          </cell>
        </row>
        <row r="1442">
          <cell r="A1442">
            <v>5001</v>
          </cell>
        </row>
        <row r="1443">
          <cell r="A1443">
            <v>5002</v>
          </cell>
        </row>
        <row r="1444">
          <cell r="A1444">
            <v>5003</v>
          </cell>
        </row>
        <row r="1445">
          <cell r="A1445">
            <v>5004</v>
          </cell>
        </row>
        <row r="1446">
          <cell r="A1446">
            <v>5005</v>
          </cell>
        </row>
        <row r="1447">
          <cell r="A1447">
            <v>5006</v>
          </cell>
        </row>
        <row r="1448">
          <cell r="A1448">
            <v>5007</v>
          </cell>
        </row>
        <row r="1449">
          <cell r="A1449">
            <v>5008</v>
          </cell>
        </row>
        <row r="1450">
          <cell r="A1450">
            <v>6001</v>
          </cell>
        </row>
        <row r="1451">
          <cell r="A1451">
            <v>6002</v>
          </cell>
        </row>
        <row r="1452">
          <cell r="A1452">
            <v>6003</v>
          </cell>
        </row>
        <row r="1453">
          <cell r="A1453">
            <v>6004</v>
          </cell>
        </row>
        <row r="1454">
          <cell r="A1454">
            <v>6005</v>
          </cell>
        </row>
        <row r="1455">
          <cell r="A1455">
            <v>6006</v>
          </cell>
        </row>
        <row r="1456">
          <cell r="A1456">
            <v>6007</v>
          </cell>
        </row>
        <row r="1457">
          <cell r="A1457">
            <v>6008</v>
          </cell>
        </row>
        <row r="1458">
          <cell r="A1458">
            <v>6009</v>
          </cell>
        </row>
        <row r="1459">
          <cell r="A1459">
            <v>6010</v>
          </cell>
        </row>
        <row r="1460">
          <cell r="A1460">
            <v>6011</v>
          </cell>
        </row>
        <row r="1461">
          <cell r="A1461">
            <v>6012</v>
          </cell>
        </row>
        <row r="1462">
          <cell r="A1462">
            <v>6013</v>
          </cell>
        </row>
        <row r="1463">
          <cell r="A1463">
            <v>6014</v>
          </cell>
        </row>
        <row r="1464">
          <cell r="A1464">
            <v>6015</v>
          </cell>
        </row>
        <row r="1465">
          <cell r="A1465">
            <v>6016</v>
          </cell>
        </row>
        <row r="1466">
          <cell r="A1466">
            <v>6017</v>
          </cell>
        </row>
        <row r="1467">
          <cell r="A1467">
            <v>6018</v>
          </cell>
        </row>
        <row r="1468">
          <cell r="A1468">
            <v>6019</v>
          </cell>
        </row>
        <row r="1469">
          <cell r="A1469">
            <v>6020</v>
          </cell>
        </row>
        <row r="1470">
          <cell r="A1470">
            <v>8001</v>
          </cell>
        </row>
        <row r="1471">
          <cell r="A1471">
            <v>8002</v>
          </cell>
        </row>
        <row r="1472">
          <cell r="A1472">
            <v>8003</v>
          </cell>
        </row>
        <row r="1473">
          <cell r="A1473">
            <v>8004</v>
          </cell>
        </row>
        <row r="1474">
          <cell r="A1474">
            <v>8005</v>
          </cell>
        </row>
        <row r="1475">
          <cell r="A1475">
            <v>8006</v>
          </cell>
        </row>
        <row r="1476">
          <cell r="A1476">
            <v>8007</v>
          </cell>
        </row>
        <row r="1477">
          <cell r="A1477">
            <v>8008</v>
          </cell>
        </row>
        <row r="1478">
          <cell r="A1478">
            <v>8009</v>
          </cell>
        </row>
        <row r="1479">
          <cell r="A1479">
            <v>8010</v>
          </cell>
        </row>
        <row r="1480">
          <cell r="A1480">
            <v>8011</v>
          </cell>
        </row>
        <row r="1481">
          <cell r="A1481">
            <v>8012</v>
          </cell>
        </row>
        <row r="1482">
          <cell r="A1482">
            <v>8013</v>
          </cell>
        </row>
        <row r="1483">
          <cell r="A1483">
            <v>8014</v>
          </cell>
        </row>
        <row r="1484">
          <cell r="A1484">
            <v>8015</v>
          </cell>
        </row>
        <row r="1485">
          <cell r="A1485">
            <v>8016</v>
          </cell>
        </row>
        <row r="1486">
          <cell r="A1486">
            <v>8017</v>
          </cell>
        </row>
        <row r="1487">
          <cell r="A1487">
            <v>8018</v>
          </cell>
        </row>
        <row r="1488">
          <cell r="A1488">
            <v>8019</v>
          </cell>
        </row>
        <row r="1489">
          <cell r="A1489">
            <v>8020</v>
          </cell>
        </row>
        <row r="1490">
          <cell r="A1490">
            <v>8021</v>
          </cell>
        </row>
        <row r="1491">
          <cell r="A1491">
            <v>8022</v>
          </cell>
        </row>
        <row r="1492">
          <cell r="A1492">
            <v>8023</v>
          </cell>
        </row>
        <row r="1493">
          <cell r="A1493">
            <v>8024</v>
          </cell>
        </row>
        <row r="1494">
          <cell r="A1494">
            <v>8025</v>
          </cell>
        </row>
        <row r="1495">
          <cell r="A1495">
            <v>8026</v>
          </cell>
        </row>
        <row r="1496">
          <cell r="A1496">
            <v>8027</v>
          </cell>
        </row>
        <row r="1497">
          <cell r="A1497">
            <v>8028</v>
          </cell>
        </row>
        <row r="1498">
          <cell r="A1498">
            <v>8029</v>
          </cell>
        </row>
        <row r="1499">
          <cell r="A1499">
            <v>8030</v>
          </cell>
        </row>
        <row r="1500">
          <cell r="A1500">
            <v>8031</v>
          </cell>
        </row>
        <row r="1501">
          <cell r="A1501">
            <v>8032</v>
          </cell>
        </row>
        <row r="1502">
          <cell r="A1502">
            <v>8033</v>
          </cell>
        </row>
        <row r="1503">
          <cell r="A1503">
            <v>8034</v>
          </cell>
        </row>
        <row r="1504">
          <cell r="A1504">
            <v>8035</v>
          </cell>
        </row>
        <row r="1505">
          <cell r="A1505">
            <v>8036</v>
          </cell>
        </row>
        <row r="1506">
          <cell r="A1506">
            <v>8037</v>
          </cell>
        </row>
        <row r="1507">
          <cell r="A1507">
            <v>8038</v>
          </cell>
        </row>
        <row r="1508">
          <cell r="A1508">
            <v>8039</v>
          </cell>
        </row>
        <row r="1509">
          <cell r="A1509">
            <v>8040</v>
          </cell>
        </row>
        <row r="1510">
          <cell r="A1510">
            <v>8041</v>
          </cell>
        </row>
        <row r="1511">
          <cell r="A1511">
            <v>8042</v>
          </cell>
        </row>
        <row r="1512">
          <cell r="A1512">
            <v>8043</v>
          </cell>
        </row>
        <row r="1513">
          <cell r="A1513">
            <v>8044</v>
          </cell>
        </row>
        <row r="1514">
          <cell r="A1514">
            <v>8045</v>
          </cell>
        </row>
        <row r="1515">
          <cell r="A1515">
            <v>8046</v>
          </cell>
        </row>
        <row r="1516">
          <cell r="A1516">
            <v>8047</v>
          </cell>
        </row>
        <row r="1517">
          <cell r="A1517">
            <v>8048</v>
          </cell>
        </row>
        <row r="1518">
          <cell r="A1518">
            <v>8049</v>
          </cell>
        </row>
        <row r="1519">
          <cell r="A1519">
            <v>8050</v>
          </cell>
        </row>
        <row r="1520">
          <cell r="A1520">
            <v>8051</v>
          </cell>
        </row>
        <row r="1521">
          <cell r="A1521">
            <v>8052</v>
          </cell>
        </row>
        <row r="1522">
          <cell r="A1522">
            <v>8053</v>
          </cell>
        </row>
        <row r="1523">
          <cell r="A1523">
            <v>8054</v>
          </cell>
        </row>
        <row r="1524">
          <cell r="A1524">
            <v>8055</v>
          </cell>
        </row>
        <row r="1525">
          <cell r="A1525">
            <v>8056</v>
          </cell>
        </row>
        <row r="1526">
          <cell r="A1526">
            <v>8057</v>
          </cell>
        </row>
        <row r="1527">
          <cell r="A1527">
            <v>8058</v>
          </cell>
        </row>
        <row r="1528">
          <cell r="A1528">
            <v>8059</v>
          </cell>
        </row>
        <row r="1529">
          <cell r="A1529">
            <v>8060</v>
          </cell>
        </row>
        <row r="1530">
          <cell r="A1530">
            <v>8061</v>
          </cell>
        </row>
        <row r="1531">
          <cell r="A1531">
            <v>8062</v>
          </cell>
        </row>
        <row r="1532">
          <cell r="A1532">
            <v>8063</v>
          </cell>
        </row>
        <row r="1533">
          <cell r="A1533">
            <v>8064</v>
          </cell>
        </row>
        <row r="1534">
          <cell r="A1534">
            <v>8065</v>
          </cell>
        </row>
        <row r="1535">
          <cell r="A1535">
            <v>8066</v>
          </cell>
        </row>
        <row r="1536">
          <cell r="A1536">
            <v>8067</v>
          </cell>
        </row>
        <row r="1537">
          <cell r="A1537">
            <v>8068</v>
          </cell>
        </row>
        <row r="1538">
          <cell r="A1538">
            <v>8069</v>
          </cell>
        </row>
        <row r="1539">
          <cell r="A1539">
            <v>8070</v>
          </cell>
        </row>
        <row r="1540">
          <cell r="A1540">
            <v>8071</v>
          </cell>
        </row>
        <row r="1541">
          <cell r="A1541">
            <v>8072</v>
          </cell>
        </row>
        <row r="1542">
          <cell r="A1542">
            <v>8073</v>
          </cell>
        </row>
        <row r="1543">
          <cell r="A1543">
            <v>8074</v>
          </cell>
        </row>
        <row r="1544">
          <cell r="A1544">
            <v>8075</v>
          </cell>
        </row>
        <row r="1545">
          <cell r="A1545">
            <v>8076</v>
          </cell>
        </row>
        <row r="1546">
          <cell r="A1546">
            <v>8077</v>
          </cell>
        </row>
        <row r="1547">
          <cell r="A1547">
            <v>8078</v>
          </cell>
        </row>
        <row r="1548">
          <cell r="A1548">
            <v>8079</v>
          </cell>
        </row>
        <row r="1549">
          <cell r="A1549">
            <v>8080</v>
          </cell>
        </row>
        <row r="1550">
          <cell r="A1550">
            <v>8081</v>
          </cell>
        </row>
        <row r="1551">
          <cell r="A1551">
            <v>8082</v>
          </cell>
        </row>
        <row r="1552">
          <cell r="A1552">
            <v>8083</v>
          </cell>
        </row>
        <row r="1553">
          <cell r="A1553">
            <v>8084</v>
          </cell>
        </row>
        <row r="1554">
          <cell r="A1554">
            <v>8087</v>
          </cell>
        </row>
        <row r="1555">
          <cell r="A1555">
            <v>8088</v>
          </cell>
        </row>
        <row r="1556">
          <cell r="A1556">
            <v>8089</v>
          </cell>
        </row>
        <row r="1557">
          <cell r="A1557">
            <v>8090</v>
          </cell>
        </row>
        <row r="1558">
          <cell r="A1558">
            <v>8095</v>
          </cell>
        </row>
        <row r="1559">
          <cell r="A1559">
            <v>8096</v>
          </cell>
        </row>
        <row r="1560">
          <cell r="A1560">
            <v>8097</v>
          </cell>
        </row>
        <row r="1561">
          <cell r="A1561">
            <v>8098</v>
          </cell>
        </row>
        <row r="1562">
          <cell r="A1562">
            <v>8099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D32" sqref="D3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250</v>
      </c>
      <c r="B2" s="54" t="s">
        <v>106</v>
      </c>
      <c r="C2" s="60">
        <v>30048</v>
      </c>
      <c r="D2" s="54" t="s">
        <v>107</v>
      </c>
      <c r="E2" s="53" t="str">
        <f>B2&amp;C2&amp;D2</f>
        <v>floors_30048.tmp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250</v>
      </c>
      <c r="B3" s="54" t="s">
        <v>109</v>
      </c>
      <c r="C3" s="60">
        <v>30048</v>
      </c>
      <c r="D3" s="54" t="s">
        <v>107</v>
      </c>
      <c r="E3" s="53" t="str">
        <f>B3&amp;C3&amp;D3</f>
        <v>enemy_habitats_30048.tmp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179</v>
      </c>
    </row>
    <row r="4" spans="1:30" x14ac:dyDescent="0.15">
      <c r="A4" s="58" t="s">
        <v>250</v>
      </c>
      <c r="B4" s="54" t="s">
        <v>111</v>
      </c>
      <c r="C4" s="60">
        <v>30048</v>
      </c>
      <c r="D4" s="54" t="s">
        <v>107</v>
      </c>
      <c r="E4" s="53" t="str">
        <f>B4&amp;C4&amp;D4</f>
        <v>enemy_habitat_S_30048.tmp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250</v>
      </c>
      <c r="B5" s="54" t="s">
        <v>113</v>
      </c>
      <c r="C5" s="60">
        <v>30048</v>
      </c>
      <c r="D5" s="54" t="s">
        <v>107</v>
      </c>
      <c r="E5" s="53" t="str">
        <f>B5&amp;C5&amp;D5</f>
        <v>enemy_skill_sets_30048.tmp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250</v>
      </c>
      <c r="B6" s="54" t="s">
        <v>115</v>
      </c>
      <c r="C6" s="60">
        <v>30048</v>
      </c>
      <c r="D6" s="54" t="s">
        <v>116</v>
      </c>
      <c r="E6" s="53" t="str">
        <f t="shared" ref="E6:E10" si="0">B6&amp;C6&amp;D6</f>
        <v>enemy_skills_tmp_30048.tmp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250</v>
      </c>
      <c r="B7" s="54" t="s">
        <v>117</v>
      </c>
      <c r="C7" s="60">
        <v>30048</v>
      </c>
      <c r="D7" s="54" t="s">
        <v>107</v>
      </c>
      <c r="E7" s="53" t="str">
        <f>B7&amp;C7&amp;D7</f>
        <v>enemy_skills_i18n_30048.tmp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250</v>
      </c>
      <c r="B8" s="54" t="s">
        <v>119</v>
      </c>
      <c r="C8" s="60">
        <v>30048</v>
      </c>
      <c r="D8" s="54" t="s">
        <v>120</v>
      </c>
      <c r="E8" s="53" t="str">
        <f t="shared" si="0"/>
        <v>enemy_skill_triggers_30048.tmp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250</v>
      </c>
      <c r="B9" s="64" t="s">
        <v>178</v>
      </c>
      <c r="C9" s="60">
        <v>30048</v>
      </c>
      <c r="D9" s="64" t="s">
        <v>172</v>
      </c>
      <c r="E9" s="65" t="str">
        <f t="shared" si="0"/>
        <v>stage_bug_bonuses_30048.tmp</v>
      </c>
      <c r="F9" s="64" t="s">
        <v>173</v>
      </c>
      <c r="G9" s="61" t="s">
        <v>150</v>
      </c>
      <c r="H9" s="61" t="s">
        <v>174</v>
      </c>
      <c r="I9" s="61" t="s">
        <v>175</v>
      </c>
      <c r="J9" s="63" t="s">
        <v>176</v>
      </c>
      <c r="K9" s="61" t="s">
        <v>177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250</v>
      </c>
      <c r="B10" s="64" t="s">
        <v>200</v>
      </c>
      <c r="C10" s="60">
        <v>30048</v>
      </c>
      <c r="D10" s="64" t="s">
        <v>181</v>
      </c>
      <c r="E10" s="65" t="str">
        <f t="shared" si="0"/>
        <v>stage_hints_data_c_30048.tmp</v>
      </c>
      <c r="F10" s="64" t="s">
        <v>208</v>
      </c>
      <c r="G10" s="69" t="s">
        <v>182</v>
      </c>
      <c r="H10" s="69" t="s">
        <v>174</v>
      </c>
      <c r="I10" s="70" t="s">
        <v>183</v>
      </c>
      <c r="J10" s="63" t="s">
        <v>184</v>
      </c>
      <c r="K10" s="63" t="s">
        <v>185</v>
      </c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</row>
    <row r="11" spans="1:30" s="71" customFormat="1" x14ac:dyDescent="0.15">
      <c r="A11" s="58" t="s">
        <v>250</v>
      </c>
      <c r="B11" s="64" t="s">
        <v>201</v>
      </c>
      <c r="C11" s="60">
        <v>30048</v>
      </c>
      <c r="D11" s="64" t="s">
        <v>172</v>
      </c>
      <c r="E11" s="65" t="str">
        <f t="shared" ref="E11:E13" si="1">B11&amp;C11&amp;D11</f>
        <v>stage_hints_data_f_30048.tmp</v>
      </c>
      <c r="F11" s="64" t="s">
        <v>209</v>
      </c>
      <c r="G11" s="69" t="s">
        <v>182</v>
      </c>
      <c r="H11" s="69" t="s">
        <v>174</v>
      </c>
      <c r="I11" s="70" t="s">
        <v>183</v>
      </c>
      <c r="J11" s="63" t="s">
        <v>184</v>
      </c>
      <c r="K11" s="63" t="s">
        <v>185</v>
      </c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</row>
    <row r="12" spans="1:30" s="71" customFormat="1" x14ac:dyDescent="0.15">
      <c r="A12" s="58" t="s">
        <v>250</v>
      </c>
      <c r="B12" s="64" t="s">
        <v>202</v>
      </c>
      <c r="C12" s="60">
        <v>30048</v>
      </c>
      <c r="D12" s="64" t="s">
        <v>172</v>
      </c>
      <c r="E12" s="65" t="str">
        <f t="shared" si="1"/>
        <v>stage_hints_i18n_30048.tmp</v>
      </c>
      <c r="F12" s="64" t="s">
        <v>210</v>
      </c>
      <c r="G12" s="70" t="s">
        <v>203</v>
      </c>
      <c r="H12" s="83" t="s">
        <v>204</v>
      </c>
      <c r="I12" s="69" t="s">
        <v>205</v>
      </c>
      <c r="J12" s="87" t="s">
        <v>206</v>
      </c>
      <c r="K12" s="63" t="s">
        <v>207</v>
      </c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</row>
    <row r="13" spans="1:30" s="71" customFormat="1" x14ac:dyDescent="0.15">
      <c r="A13" s="58" t="s">
        <v>250</v>
      </c>
      <c r="B13" s="64" t="s">
        <v>245</v>
      </c>
      <c r="C13" s="60">
        <v>30048</v>
      </c>
      <c r="D13" s="64" t="s">
        <v>226</v>
      </c>
      <c r="E13" s="65" t="str">
        <f t="shared" si="1"/>
        <v>stage_bonuses_30048.tmp</v>
      </c>
      <c r="F13" s="64" t="s">
        <v>225</v>
      </c>
      <c r="G13" s="69" t="s">
        <v>227</v>
      </c>
      <c r="H13" s="69" t="s">
        <v>228</v>
      </c>
      <c r="I13" s="69" t="s">
        <v>229</v>
      </c>
      <c r="J13" s="69" t="s">
        <v>230</v>
      </c>
      <c r="K13" s="69" t="s">
        <v>231</v>
      </c>
      <c r="L13" s="69" t="s">
        <v>232</v>
      </c>
      <c r="M13" s="69" t="s">
        <v>233</v>
      </c>
      <c r="N13" s="69" t="s">
        <v>234</v>
      </c>
      <c r="O13" s="69" t="s">
        <v>235</v>
      </c>
      <c r="P13" s="69" t="s">
        <v>236</v>
      </c>
      <c r="Q13" s="69" t="s">
        <v>237</v>
      </c>
      <c r="R13" s="69" t="s">
        <v>238</v>
      </c>
      <c r="S13" s="69" t="s">
        <v>239</v>
      </c>
      <c r="T13" s="69" t="s">
        <v>240</v>
      </c>
      <c r="U13" s="69" t="s">
        <v>241</v>
      </c>
      <c r="V13" s="69" t="s">
        <v>242</v>
      </c>
      <c r="W13" s="69" t="s">
        <v>243</v>
      </c>
      <c r="X13" s="69" t="s">
        <v>244</v>
      </c>
      <c r="Y13" s="86"/>
      <c r="Z13" s="86"/>
      <c r="AA13" s="86"/>
      <c r="AB13" s="86"/>
      <c r="AC13" s="86"/>
      <c r="AD13" s="8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J32" sqref="J32"/>
      <selection pane="bottomLeft" activeCell="I14" sqref="I1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13" si="0">G2&amp;"-"&amp;I2</f>
        <v>30048_1-1</v>
      </c>
      <c r="B2" s="16" t="str">
        <f>IF(COUNTIF(enemy_habitats!$H:$H,A2),"OK","NG")</f>
        <v>OK</v>
      </c>
      <c r="C2" s="7">
        <v>30048</v>
      </c>
      <c r="D2" s="11" t="str">
        <f ca="1">VLOOKUP($C2,OFFSET([2]quests!$A$1,0,0,COUNTA([2]quests!$A:$A),MATCH(D$1,[2]quests!$1:$1,0)-MATCH($C$1,[2]quests!$1:$1,0)+1),MATCH(D$1,[2]quests!$1:$1,0)-MATCH($C$1,[2]quests!$1:$1,0)+1,FALSE)</f>
        <v>惑乱の双神使！？</v>
      </c>
      <c r="E2" s="18" t="str">
        <f ca="1">VLOOKUP($C2,OFFSET([2]quests!$A$1,0,0,COUNTA([2]quests!$A:$A),MATCH(E$1,[2]quests!$1:$1,0)-MATCH($C$1,[2]quests!$1:$1,0)+1),MATCH(E$1,[2]quests!$1:$1,0)-MATCH($C$1,[2]quests!$1:$1,0)+1,FALSE)</f>
        <v>日本神話シリーズ　超級</v>
      </c>
      <c r="F2" s="21">
        <v>1</v>
      </c>
      <c r="G2" s="23" t="str">
        <f t="shared" ref="G2:G13" si="1">C2&amp;"_"&amp;F2</f>
        <v>30048_1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【中級】惑乱の双神使！？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30048_1-2</v>
      </c>
      <c r="B3" s="16" t="str">
        <f>IF(COUNTIF(enemy_habitats!$H:$H,A3),"OK","NG")</f>
        <v>OK</v>
      </c>
      <c r="C3" s="7">
        <v>30048</v>
      </c>
      <c r="D3" s="11" t="str">
        <f ca="1">VLOOKUP($C3,OFFSET([2]quests!$A$1,0,0,COUNTA([2]quests!$A:$A),MATCH(D$1,[2]quests!$1:$1,0)-MATCH($C$1,[2]quests!$1:$1,0)+1),MATCH(D$1,[2]quests!$1:$1,0)-MATCH($C$1,[2]quests!$1:$1,0)+1,FALSE)</f>
        <v>惑乱の双神使！？</v>
      </c>
      <c r="E3" s="18" t="str">
        <f ca="1">VLOOKUP($C3,OFFSET([2]quests!$A$1,0,0,COUNTA([2]quests!$A:$A),MATCH(E$1,[2]quests!$1:$1,0)-MATCH($C$1,[2]quests!$1:$1,0)+1),MATCH(E$1,[2]quests!$1:$1,0)-MATCH($C$1,[2]quests!$1:$1,0)+1,FALSE)</f>
        <v>日本神話シリーズ　超級</v>
      </c>
      <c r="F3" s="21">
        <v>1</v>
      </c>
      <c r="G3" s="23" t="str">
        <f t="shared" si="1"/>
        <v>30048_1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【中級】惑乱の双神使！？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30048_1-3</v>
      </c>
      <c r="B4" s="16" t="str">
        <f>IF(COUNTIF(enemy_habitats!$H:$H,A4),"OK","NG")</f>
        <v>OK</v>
      </c>
      <c r="C4" s="7">
        <v>30048</v>
      </c>
      <c r="D4" s="11" t="str">
        <f ca="1">VLOOKUP($C4,OFFSET([2]quests!$A$1,0,0,COUNTA([2]quests!$A:$A),MATCH(D$1,[2]quests!$1:$1,0)-MATCH($C$1,[2]quests!$1:$1,0)+1),MATCH(D$1,[2]quests!$1:$1,0)-MATCH($C$1,[2]quests!$1:$1,0)+1,FALSE)</f>
        <v>惑乱の双神使！？</v>
      </c>
      <c r="E4" s="18" t="str">
        <f ca="1">VLOOKUP($C4,OFFSET([2]quests!$A$1,0,0,COUNTA([2]quests!$A:$A),MATCH(E$1,[2]quests!$1:$1,0)-MATCH($C$1,[2]quests!$1:$1,0)+1),MATCH(E$1,[2]quests!$1:$1,0)-MATCH($C$1,[2]quests!$1:$1,0)+1,FALSE)</f>
        <v>日本神話シリーズ　超級</v>
      </c>
      <c r="F4" s="21">
        <v>1</v>
      </c>
      <c r="G4" s="23" t="str">
        <f t="shared" si="1"/>
        <v>30048_1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【中級】惑乱の双神使！？</v>
      </c>
      <c r="I4" s="21">
        <v>3</v>
      </c>
      <c r="J4" s="12">
        <v>30</v>
      </c>
      <c r="K4" s="12">
        <v>30</v>
      </c>
    </row>
    <row r="5" spans="1:11" ht="21" customHeight="1" x14ac:dyDescent="0.15">
      <c r="A5" s="16" t="str">
        <f t="shared" si="0"/>
        <v>30048_1-4</v>
      </c>
      <c r="B5" s="16" t="str">
        <f>IF(COUNTIF(enemy_habitats!$H:$H,A5),"OK","NG")</f>
        <v>OK</v>
      </c>
      <c r="C5" s="7">
        <v>30048</v>
      </c>
      <c r="D5" s="11" t="str">
        <f ca="1">VLOOKUP($C5,OFFSET([2]quests!$A$1,0,0,COUNTA([2]quests!$A:$A),MATCH(D$1,[2]quests!$1:$1,0)-MATCH($C$1,[2]quests!$1:$1,0)+1),MATCH(D$1,[2]quests!$1:$1,0)-MATCH($C$1,[2]quests!$1:$1,0)+1,FALSE)</f>
        <v>惑乱の双神使！？</v>
      </c>
      <c r="E5" s="18" t="str">
        <f ca="1">VLOOKUP($C5,OFFSET([2]quests!$A$1,0,0,COUNTA([2]quests!$A:$A),MATCH(E$1,[2]quests!$1:$1,0)-MATCH($C$1,[2]quests!$1:$1,0)+1),MATCH(E$1,[2]quests!$1:$1,0)-MATCH($C$1,[2]quests!$1:$1,0)+1,FALSE)</f>
        <v>日本神話シリーズ　超級</v>
      </c>
      <c r="F5" s="21">
        <v>1</v>
      </c>
      <c r="G5" s="23" t="str">
        <f t="shared" si="1"/>
        <v>30048_1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【中級】惑乱の双神使！？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30048_2-1</v>
      </c>
      <c r="B6" s="16" t="str">
        <f>IF(COUNTIF(enemy_habitats!$H:$H,A6),"OK","NG")</f>
        <v>OK</v>
      </c>
      <c r="C6" s="7">
        <v>30048</v>
      </c>
      <c r="D6" s="11" t="str">
        <f ca="1">VLOOKUP($C6,OFFSET([2]quests!$A$1,0,0,COUNTA([2]quests!$A:$A),MATCH(D$1,[2]quests!$1:$1,0)-MATCH($C$1,[2]quests!$1:$1,0)+1),MATCH(D$1,[2]quests!$1:$1,0)-MATCH($C$1,[2]quests!$1:$1,0)+1,FALSE)</f>
        <v>惑乱の双神使！？</v>
      </c>
      <c r="E6" s="18" t="str">
        <f ca="1">VLOOKUP($C6,OFFSET([2]quests!$A$1,0,0,COUNTA([2]quests!$A:$A),MATCH(E$1,[2]quests!$1:$1,0)-MATCH($C$1,[2]quests!$1:$1,0)+1),MATCH(E$1,[2]quests!$1:$1,0)-MATCH($C$1,[2]quests!$1:$1,0)+1,FALSE)</f>
        <v>日本神話シリーズ　超級</v>
      </c>
      <c r="F6" s="21">
        <v>2</v>
      </c>
      <c r="G6" s="23" t="str">
        <f t="shared" si="1"/>
        <v>30048_2</v>
      </c>
      <c r="H6" s="15" t="str">
        <f ca="1">VLOOKUP($G6,OFFSET([2]stages!$A$1,0,0,COUNTA([2]stages!$A:$A),MATCH(H$1,[2]stages!$2:$2,0)-MATCH($G$1,[2]stages!$2:$2,0)+1),MATCH(H$1,[2]stages!$2:$2,0)-MATCH($G$1,[2]stages!$2:$2,0)+1,FALSE)</f>
        <v>【上級】惑乱の双神使！？</v>
      </c>
      <c r="I6" s="2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30048_2-2</v>
      </c>
      <c r="B7" s="16" t="str">
        <f>IF(COUNTIF(enemy_habitats!$H:$H,A7),"OK","NG")</f>
        <v>OK</v>
      </c>
      <c r="C7" s="7">
        <v>30048</v>
      </c>
      <c r="D7" s="11" t="str">
        <f ca="1">VLOOKUP($C7,OFFSET([2]quests!$A$1,0,0,COUNTA([2]quests!$A:$A),MATCH(D$1,[2]quests!$1:$1,0)-MATCH($C$1,[2]quests!$1:$1,0)+1),MATCH(D$1,[2]quests!$1:$1,0)-MATCH($C$1,[2]quests!$1:$1,0)+1,FALSE)</f>
        <v>惑乱の双神使！？</v>
      </c>
      <c r="E7" s="18" t="str">
        <f ca="1">VLOOKUP($C7,OFFSET([2]quests!$A$1,0,0,COUNTA([2]quests!$A:$A),MATCH(E$1,[2]quests!$1:$1,0)-MATCH($C$1,[2]quests!$1:$1,0)+1),MATCH(E$1,[2]quests!$1:$1,0)-MATCH($C$1,[2]quests!$1:$1,0)+1,FALSE)</f>
        <v>日本神話シリーズ　超級</v>
      </c>
      <c r="F7" s="21">
        <v>2</v>
      </c>
      <c r="G7" s="23" t="str">
        <f t="shared" si="1"/>
        <v>30048_2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【上級】惑乱の双神使！？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30048_2-3</v>
      </c>
      <c r="B8" s="16" t="str">
        <f>IF(COUNTIF(enemy_habitats!$H:$H,A8),"OK","NG")</f>
        <v>OK</v>
      </c>
      <c r="C8" s="7">
        <v>30048</v>
      </c>
      <c r="D8" s="11" t="str">
        <f ca="1">VLOOKUP($C8,OFFSET([2]quests!$A$1,0,0,COUNTA([2]quests!$A:$A),MATCH(D$1,[2]quests!$1:$1,0)-MATCH($C$1,[2]quests!$1:$1,0)+1),MATCH(D$1,[2]quests!$1:$1,0)-MATCH($C$1,[2]quests!$1:$1,0)+1,FALSE)</f>
        <v>惑乱の双神使！？</v>
      </c>
      <c r="E8" s="18" t="str">
        <f ca="1">VLOOKUP($C8,OFFSET([2]quests!$A$1,0,0,COUNTA([2]quests!$A:$A),MATCH(E$1,[2]quests!$1:$1,0)-MATCH($C$1,[2]quests!$1:$1,0)+1),MATCH(E$1,[2]quests!$1:$1,0)-MATCH($C$1,[2]quests!$1:$1,0)+1,FALSE)</f>
        <v>日本神話シリーズ　超級</v>
      </c>
      <c r="F8" s="21">
        <v>2</v>
      </c>
      <c r="G8" s="23" t="str">
        <f t="shared" si="1"/>
        <v>30048_2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【上級】惑乱の双神使！？</v>
      </c>
      <c r="I8" s="21">
        <v>3</v>
      </c>
      <c r="J8" s="12">
        <v>30</v>
      </c>
      <c r="K8" s="12">
        <v>30</v>
      </c>
    </row>
    <row r="9" spans="1:11" ht="21" customHeight="1" x14ac:dyDescent="0.15">
      <c r="A9" s="16" t="str">
        <f t="shared" si="0"/>
        <v>30048_2-4</v>
      </c>
      <c r="B9" s="16" t="str">
        <f>IF(COUNTIF(enemy_habitats!$H:$H,A9),"OK","NG")</f>
        <v>OK</v>
      </c>
      <c r="C9" s="7">
        <v>30048</v>
      </c>
      <c r="D9" s="11" t="str">
        <f ca="1">VLOOKUP($C9,OFFSET([2]quests!$A$1,0,0,COUNTA([2]quests!$A:$A),MATCH(D$1,[2]quests!$1:$1,0)-MATCH($C$1,[2]quests!$1:$1,0)+1),MATCH(D$1,[2]quests!$1:$1,0)-MATCH($C$1,[2]quests!$1:$1,0)+1,FALSE)</f>
        <v>惑乱の双神使！？</v>
      </c>
      <c r="E9" s="18" t="str">
        <f ca="1">VLOOKUP($C9,OFFSET([2]quests!$A$1,0,0,COUNTA([2]quests!$A:$A),MATCH(E$1,[2]quests!$1:$1,0)-MATCH($C$1,[2]quests!$1:$1,0)+1),MATCH(E$1,[2]quests!$1:$1,0)-MATCH($C$1,[2]quests!$1:$1,0)+1,FALSE)</f>
        <v>日本神話シリーズ　超級</v>
      </c>
      <c r="F9" s="21">
        <v>2</v>
      </c>
      <c r="G9" s="23" t="str">
        <f t="shared" si="1"/>
        <v>30048_2</v>
      </c>
      <c r="H9" s="15" t="str">
        <f ca="1">VLOOKUP($G9,OFFSET([2]stages!$A$1,0,0,COUNTA([2]stages!$A:$A),MATCH(H$1,[2]stages!$2:$2,0)-MATCH($G$1,[2]stages!$2:$2,0)+1),MATCH(H$1,[2]stages!$2:$2,0)-MATCH($G$1,[2]stages!$2:$2,0)+1,FALSE)</f>
        <v>【上級】惑乱の双神使！？</v>
      </c>
      <c r="I9" s="21">
        <v>4</v>
      </c>
      <c r="J9" s="12">
        <v>60</v>
      </c>
      <c r="K9" s="12">
        <v>60</v>
      </c>
    </row>
    <row r="10" spans="1:11" ht="21" customHeight="1" x14ac:dyDescent="0.15">
      <c r="A10" s="16" t="str">
        <f t="shared" si="0"/>
        <v>30048_3-1</v>
      </c>
      <c r="B10" s="16" t="str">
        <f>IF(COUNTIF(enemy_habitats!$H:$H,A10),"OK","NG")</f>
        <v>OK</v>
      </c>
      <c r="C10" s="7">
        <v>30048</v>
      </c>
      <c r="D10" s="11" t="str">
        <f ca="1">VLOOKUP($C10,OFFSET([2]quests!$A$1,0,0,COUNTA([2]quests!$A:$A),MATCH(D$1,[2]quests!$1:$1,0)-MATCH($C$1,[2]quests!$1:$1,0)+1),MATCH(D$1,[2]quests!$1:$1,0)-MATCH($C$1,[2]quests!$1:$1,0)+1,FALSE)</f>
        <v>惑乱の双神使！？</v>
      </c>
      <c r="E10" s="18" t="str">
        <f ca="1">VLOOKUP($C10,OFFSET([2]quests!$A$1,0,0,COUNTA([2]quests!$A:$A),MATCH(E$1,[2]quests!$1:$1,0)-MATCH($C$1,[2]quests!$1:$1,0)+1),MATCH(E$1,[2]quests!$1:$1,0)-MATCH($C$1,[2]quests!$1:$1,0)+1,FALSE)</f>
        <v>日本神話シリーズ　超級</v>
      </c>
      <c r="F10" s="21">
        <v>3</v>
      </c>
      <c r="G10" s="23" t="str">
        <f t="shared" si="1"/>
        <v>30048_3</v>
      </c>
      <c r="H10" s="15" t="str">
        <f ca="1">VLOOKUP($G10,OFFSET([2]stages!$A$1,0,0,COUNTA([2]stages!$A:$A),MATCH(H$1,[2]stages!$2:$2,0)-MATCH($G$1,[2]stages!$2:$2,0)+1),MATCH(H$1,[2]stages!$2:$2,0)-MATCH($G$1,[2]stages!$2:$2,0)+1,FALSE)</f>
        <v>【超級】惑乱の双神使！？</v>
      </c>
      <c r="I10" s="21">
        <v>1</v>
      </c>
      <c r="J10" s="12">
        <v>50</v>
      </c>
      <c r="K10" s="12">
        <v>50</v>
      </c>
    </row>
    <row r="11" spans="1:11" ht="21" customHeight="1" x14ac:dyDescent="0.15">
      <c r="A11" s="16" t="str">
        <f t="shared" si="0"/>
        <v>30048_3-2</v>
      </c>
      <c r="B11" s="16" t="str">
        <f>IF(COUNTIF(enemy_habitats!$H:$H,A11),"OK","NG")</f>
        <v>OK</v>
      </c>
      <c r="C11" s="7">
        <v>30048</v>
      </c>
      <c r="D11" s="11" t="str">
        <f ca="1">VLOOKUP($C11,OFFSET([2]quests!$A$1,0,0,COUNTA([2]quests!$A:$A),MATCH(D$1,[2]quests!$1:$1,0)-MATCH($C$1,[2]quests!$1:$1,0)+1),MATCH(D$1,[2]quests!$1:$1,0)-MATCH($C$1,[2]quests!$1:$1,0)+1,FALSE)</f>
        <v>惑乱の双神使！？</v>
      </c>
      <c r="E11" s="18" t="str">
        <f ca="1">VLOOKUP($C11,OFFSET([2]quests!$A$1,0,0,COUNTA([2]quests!$A:$A),MATCH(E$1,[2]quests!$1:$1,0)-MATCH($C$1,[2]quests!$1:$1,0)+1),MATCH(E$1,[2]quests!$1:$1,0)-MATCH($C$1,[2]quests!$1:$1,0)+1,FALSE)</f>
        <v>日本神話シリーズ　超級</v>
      </c>
      <c r="F11" s="21">
        <v>3</v>
      </c>
      <c r="G11" s="23" t="str">
        <f t="shared" si="1"/>
        <v>30048_3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【超級】惑乱の双神使！？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30048_3-3</v>
      </c>
      <c r="B12" s="16" t="str">
        <f>IF(COUNTIF(enemy_habitats!$H:$H,A12),"OK","NG")</f>
        <v>OK</v>
      </c>
      <c r="C12" s="7">
        <v>30048</v>
      </c>
      <c r="D12" s="11" t="str">
        <f ca="1">VLOOKUP($C12,OFFSET([2]quests!$A$1,0,0,COUNTA([2]quests!$A:$A),MATCH(D$1,[2]quests!$1:$1,0)-MATCH($C$1,[2]quests!$1:$1,0)+1),MATCH(D$1,[2]quests!$1:$1,0)-MATCH($C$1,[2]quests!$1:$1,0)+1,FALSE)</f>
        <v>惑乱の双神使！？</v>
      </c>
      <c r="E12" s="18" t="str">
        <f ca="1">VLOOKUP($C12,OFFSET([2]quests!$A$1,0,0,COUNTA([2]quests!$A:$A),MATCH(E$1,[2]quests!$1:$1,0)-MATCH($C$1,[2]quests!$1:$1,0)+1),MATCH(E$1,[2]quests!$1:$1,0)-MATCH($C$1,[2]quests!$1:$1,0)+1,FALSE)</f>
        <v>日本神話シリーズ　超級</v>
      </c>
      <c r="F12" s="21">
        <v>3</v>
      </c>
      <c r="G12" s="23" t="str">
        <f t="shared" si="1"/>
        <v>30048_3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【超級】惑乱の双神使！？</v>
      </c>
      <c r="I12" s="21">
        <v>3</v>
      </c>
      <c r="J12" s="12">
        <v>30</v>
      </c>
      <c r="K12" s="12">
        <v>30</v>
      </c>
    </row>
    <row r="13" spans="1:11" ht="21" customHeight="1" x14ac:dyDescent="0.15">
      <c r="A13" s="16" t="str">
        <f t="shared" si="0"/>
        <v>30048_3-4</v>
      </c>
      <c r="B13" s="16" t="str">
        <f>IF(COUNTIF(enemy_habitats!$H:$H,A13),"OK","NG")</f>
        <v>OK</v>
      </c>
      <c r="C13" s="7">
        <v>30048</v>
      </c>
      <c r="D13" s="11" t="str">
        <f ca="1">VLOOKUP($C13,OFFSET([2]quests!$A$1,0,0,COUNTA([2]quests!$A:$A),MATCH(D$1,[2]quests!$1:$1,0)-MATCH($C$1,[2]quests!$1:$1,0)+1),MATCH(D$1,[2]quests!$1:$1,0)-MATCH($C$1,[2]quests!$1:$1,0)+1,FALSE)</f>
        <v>惑乱の双神使！？</v>
      </c>
      <c r="E13" s="18" t="str">
        <f ca="1">VLOOKUP($C13,OFFSET([2]quests!$A$1,0,0,COUNTA([2]quests!$A:$A),MATCH(E$1,[2]quests!$1:$1,0)-MATCH($C$1,[2]quests!$1:$1,0)+1),MATCH(E$1,[2]quests!$1:$1,0)-MATCH($C$1,[2]quests!$1:$1,0)+1,FALSE)</f>
        <v>日本神話シリーズ　超級</v>
      </c>
      <c r="F13" s="21">
        <v>3</v>
      </c>
      <c r="G13" s="23" t="str">
        <f t="shared" si="1"/>
        <v>30048_3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【超級】惑乱の双神使！？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9"/>
  <sheetViews>
    <sheetView showGridLines="0" workbookViewId="0">
      <pane xSplit="17" ySplit="1" topLeftCell="Y2" activePane="bottomRight" state="frozen"/>
      <selection activeCell="J32" sqref="J32"/>
      <selection pane="topRight" activeCell="J32" sqref="J32"/>
      <selection pane="bottomLeft" activeCell="J32" sqref="J32"/>
      <selection pane="bottomRight" activeCell="AJ13" sqref="AJ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9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2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88" t="s">
        <v>246</v>
      </c>
      <c r="U1" s="26" t="s">
        <v>50</v>
      </c>
      <c r="V1" s="88" t="s">
        <v>247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30048_1-1/373&lt;lv40&gt;s1</v>
      </c>
      <c r="B2" s="129">
        <v>30048</v>
      </c>
      <c r="C2" s="21">
        <v>1</v>
      </c>
      <c r="D2" s="2" t="str">
        <f>B2&amp;"_"&amp;C2</f>
        <v>30048_1</v>
      </c>
      <c r="E2" s="4" t="str">
        <f ca="1">VLOOKUP($B2,OFFSET([2]quests!$A$1,0,0,COUNTA([2]quests!$A:$A),MATCH(E$1,[2]quests!$1:$1,0)-MATCH($B$1,[2]quests!$1:$1,0)+1),MATCH(E$1,[2]quests!$1:$1,0)-MATCH($B$1,[2]quests!$1:$1,0)+1,FALSE)</f>
        <v>惑乱の双神使！？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【中級】惑乱の双神使！？</v>
      </c>
      <c r="G2" s="21">
        <v>1</v>
      </c>
      <c r="H2" s="15" t="str">
        <f>B2&amp;"_"&amp;C2&amp;"-"&amp;G2</f>
        <v>30048_1-1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373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夢幻俳聖 バショー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40</v>
      </c>
      <c r="S2" s="25">
        <v>3.5</v>
      </c>
      <c r="T2" s="8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32595.5</v>
      </c>
      <c r="U2" s="25">
        <v>0.8</v>
      </c>
      <c r="V2" s="8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2342.4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緑パネルプロテクト(最大1個)+_x000D_単体攻撃</v>
      </c>
      <c r="Y2" s="59">
        <v>30048001</v>
      </c>
      <c r="Z2" s="6">
        <v>1</v>
      </c>
      <c r="AA2" s="6">
        <v>100</v>
      </c>
      <c r="AB2" s="6">
        <v>1</v>
      </c>
      <c r="AC2" s="91">
        <v>1</v>
      </c>
      <c r="AD2" s="20">
        <v>373</v>
      </c>
      <c r="AE2" s="59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夢幻俳聖 バショー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6">
        <v>1</v>
      </c>
    </row>
    <row r="3" spans="1:42" ht="21" customHeight="1" x14ac:dyDescent="0.15">
      <c r="A3" s="16" t="str">
        <f t="shared" ref="A3:A5" si="0">B3&amp;"_"&amp;C3&amp;"-"&amp;G3&amp;"/"&amp;L3&amp;"&lt;lv"&amp;R3&amp;"&gt;s"&amp;AC3</f>
        <v>30048_1-1/362&lt;lv40&gt;s1</v>
      </c>
      <c r="B3" s="129">
        <v>30048</v>
      </c>
      <c r="C3" s="21">
        <v>1</v>
      </c>
      <c r="D3" s="2" t="str">
        <f t="shared" ref="D3:D5" si="1">B3&amp;"_"&amp;C3</f>
        <v>30048_1</v>
      </c>
      <c r="E3" s="4" t="str">
        <f ca="1">VLOOKUP($B3,OFFSET([2]quests!$A$1,0,0,COUNTA([2]quests!$A:$A),MATCH(E$1,[2]quests!$1:$1,0)-MATCH($B$1,[2]quests!$1:$1,0)+1),MATCH(E$1,[2]quests!$1:$1,0)-MATCH($B$1,[2]quests!$1:$1,0)+1,FALSE)</f>
        <v>惑乱の双神使！？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【中級】惑乱の双神使！？</v>
      </c>
      <c r="G3" s="21">
        <v>1</v>
      </c>
      <c r="H3" s="15" t="str">
        <f t="shared" ref="H3:H5" si="2">B3&amp;"_"&amp;C3&amp;"-"&amp;G3</f>
        <v>30048_1-1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362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ゆらら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40</v>
      </c>
      <c r="S3" s="25">
        <v>1.4</v>
      </c>
      <c r="T3" s="8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10666.599999999999</v>
      </c>
      <c r="U3" s="25">
        <v>0.6</v>
      </c>
      <c r="V3" s="8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1449.6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59">
        <v>30048002</v>
      </c>
      <c r="Z3" s="6">
        <v>2</v>
      </c>
      <c r="AA3" s="6">
        <v>100</v>
      </c>
      <c r="AB3" s="6">
        <v>0</v>
      </c>
      <c r="AC3" s="91">
        <v>1</v>
      </c>
      <c r="AD3" s="20">
        <v>362</v>
      </c>
      <c r="AE3" s="59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ref="AI3:AI5" ca="1" si="3">AF3</f>
        <v>2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6">
        <v>1</v>
      </c>
    </row>
    <row r="4" spans="1:42" ht="21" customHeight="1" x14ac:dyDescent="0.15">
      <c r="A4" s="16" t="str">
        <f t="shared" si="0"/>
        <v>30048_1-2/89&lt;lv40&gt;s2</v>
      </c>
      <c r="B4" s="129">
        <v>30048</v>
      </c>
      <c r="C4" s="21">
        <v>1</v>
      </c>
      <c r="D4" s="2" t="str">
        <f t="shared" si="1"/>
        <v>30048_1</v>
      </c>
      <c r="E4" s="4" t="str">
        <f ca="1">VLOOKUP($B4,OFFSET([2]quests!$A$1,0,0,COUNTA([2]quests!$A:$A),MATCH(E$1,[2]quests!$1:$1,0)-MATCH($B$1,[2]quests!$1:$1,0)+1),MATCH(E$1,[2]quests!$1:$1,0)-MATCH($B$1,[2]quests!$1:$1,0)+1,FALSE)</f>
        <v>惑乱の双神使！？</v>
      </c>
      <c r="F4" s="4" t="str">
        <f ca="1">VLOOKUP($D4,OFFSET([2]stages!$A$1,0,0,COUNTA([2]stages!$A:$A),MATCH(F$1,[2]stages!$2:$2,0)-MATCH($D$1,[2]stages!$2:$2,0)+1),MATCH(F$1,[2]stages!$2:$2,0)-MATCH($D$1,[2]stages!$2:$2,0)+1,FALSE)</f>
        <v>【中級】惑乱の双神使！？</v>
      </c>
      <c r="G4" s="21">
        <v>2</v>
      </c>
      <c r="H4" s="15" t="str">
        <f t="shared" si="2"/>
        <v>30048_1-2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89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玄武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40</v>
      </c>
      <c r="S4" s="25">
        <v>0.6</v>
      </c>
      <c r="T4" s="8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34173</v>
      </c>
      <c r="U4" s="25">
        <v>1.2</v>
      </c>
      <c r="V4" s="8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4899.5999999999995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4" s="59">
        <v>30048003</v>
      </c>
      <c r="Z4" s="6">
        <v>1</v>
      </c>
      <c r="AA4" s="6">
        <v>100</v>
      </c>
      <c r="AB4" s="6">
        <v>1</v>
      </c>
      <c r="AC4" s="91">
        <v>2</v>
      </c>
      <c r="AD4" s="20">
        <v>89</v>
      </c>
      <c r="AE4" s="59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守護者 玄武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3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6">
        <v>1</v>
      </c>
    </row>
    <row r="5" spans="1:42" ht="21" customHeight="1" x14ac:dyDescent="0.15">
      <c r="A5" s="16" t="str">
        <f t="shared" si="0"/>
        <v>30048_1-2/61&lt;lv40&gt;s1</v>
      </c>
      <c r="B5" s="129">
        <v>30048</v>
      </c>
      <c r="C5" s="21">
        <v>1</v>
      </c>
      <c r="D5" s="2" t="str">
        <f t="shared" si="1"/>
        <v>30048_1</v>
      </c>
      <c r="E5" s="4" t="str">
        <f ca="1">VLOOKUP($B5,OFFSET([2]quests!$A$1,0,0,COUNTA([2]quests!$A:$A),MATCH(E$1,[2]quests!$1:$1,0)-MATCH($B$1,[2]quests!$1:$1,0)+1),MATCH(E$1,[2]quests!$1:$1,0)-MATCH($B$1,[2]quests!$1:$1,0)+1,FALSE)</f>
        <v>惑乱の双神使！？</v>
      </c>
      <c r="F5" s="4" t="str">
        <f ca="1">VLOOKUP($D5,OFFSET([2]stages!$A$1,0,0,COUNTA([2]stages!$A:$A),MATCH(F$1,[2]stages!$2:$2,0)-MATCH($D$1,[2]stages!$2:$2,0)+1),MATCH(F$1,[2]stages!$2:$2,0)-MATCH($D$1,[2]stages!$2:$2,0)+1,FALSE)</f>
        <v>【中級】惑乱の双神使！？</v>
      </c>
      <c r="G5" s="21">
        <v>2</v>
      </c>
      <c r="H5" s="15" t="str">
        <f t="shared" si="2"/>
        <v>30048_1-2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249</v>
      </c>
      <c r="L5" s="20">
        <v>61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クロウ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40</v>
      </c>
      <c r="S5" s="25">
        <v>1.4</v>
      </c>
      <c r="T5" s="8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9296</v>
      </c>
      <c r="U5" s="25">
        <v>0.6</v>
      </c>
      <c r="V5" s="8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1256.3999999999999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ハートパネルプロテクト(最大1個)+_x000D_単体攻撃</v>
      </c>
      <c r="Y5" s="59">
        <v>30048004</v>
      </c>
      <c r="Z5" s="6">
        <v>2</v>
      </c>
      <c r="AA5" s="6">
        <v>100</v>
      </c>
      <c r="AB5" s="6">
        <v>0</v>
      </c>
      <c r="AC5" s="91">
        <v>1</v>
      </c>
      <c r="AD5" s="20">
        <v>61</v>
      </c>
      <c r="AE5" s="59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3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6">
        <v>1</v>
      </c>
    </row>
    <row r="6" spans="1:42" ht="21" customHeight="1" x14ac:dyDescent="0.15">
      <c r="A6" s="16" t="str">
        <f t="shared" ref="A6:A7" ca="1" si="4">B6&amp;"_"&amp;C6&amp;"-"&amp;G6&amp;"/"&amp;L6&amp;"&lt;lv"&amp;R6&amp;"&gt;s"&amp;AC6</f>
        <v>30048_1-3/145&lt;lv40&gt;s2</v>
      </c>
      <c r="B6" s="129">
        <v>30048</v>
      </c>
      <c r="C6" s="21">
        <v>1</v>
      </c>
      <c r="D6" s="2" t="str">
        <f t="shared" ref="D6:D7" si="5">B6&amp;"_"&amp;C6</f>
        <v>30048_1</v>
      </c>
      <c r="E6" s="4" t="str">
        <f ca="1">VLOOKUP($B6,OFFSET([2]quests!$A$1,0,0,COUNTA([2]quests!$A:$A),MATCH(E$1,[2]quests!$1:$1,0)-MATCH($B$1,[2]quests!$1:$1,0)+1),MATCH(E$1,[2]quests!$1:$1,0)-MATCH($B$1,[2]quests!$1:$1,0)+1,FALSE)</f>
        <v>惑乱の双神使！？</v>
      </c>
      <c r="F6" s="4" t="str">
        <f ca="1">VLOOKUP($D6,OFFSET([2]stages!$A$1,0,0,COUNTA([2]stages!$A:$A),MATCH(F$1,[2]stages!$2:$2,0)-MATCH($D$1,[2]stages!$2:$2,0)+1),MATCH(F$1,[2]stages!$2:$2,0)-MATCH($D$1,[2]stages!$2:$2,0)+1,FALSE)</f>
        <v>【中級】惑乱の双神使！？</v>
      </c>
      <c r="G6" s="21">
        <v>3</v>
      </c>
      <c r="H6" s="15" t="str">
        <f t="shared" ref="H6:H7" si="6">B6&amp;"_"&amp;C6&amp;"-"&amp;G6</f>
        <v>30048_1-3</v>
      </c>
      <c r="I6" s="4">
        <f ca="1">VLOOKUP($H6,OFFSET(floors!$A$1,0,0,COUNTA(floors!$A:$A),MATCH(I$1,floors!$1:$1,0)-MATCH($H$1,floors!$1:$1,0)+1),MATCH(I$1,floors!$1:$1,0)-MATCH($H$1,floors!$1:$1,0)+1,FALSE)</f>
        <v>30</v>
      </c>
      <c r="J6" s="4">
        <f ca="1">VLOOKUP($H6,OFFSET(floors!$A$1,0,0,COUNTA(floors!$A:$A),MATCH(J$1,floors!$1:$1,0)-MATCH($H$1,floors!$1:$1,0)+1),MATCH(J$1,floors!$1:$1,0)-MATCH($H$1,floors!$1:$1,0)+1,FALSE)</f>
        <v>30</v>
      </c>
      <c r="K6" s="38" t="s">
        <v>249</v>
      </c>
      <c r="L6" s="20">
        <v>145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魔性妖艶 かぐや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40</v>
      </c>
      <c r="S6" s="25">
        <v>0.8</v>
      </c>
      <c r="T6" s="8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60004</v>
      </c>
      <c r="U6" s="25">
        <v>1.6</v>
      </c>
      <c r="V6" s="8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5552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2ターン自身の防御力UP+_x000D_緑パネルドロップ率を元に戻す</v>
      </c>
      <c r="Y6" s="59">
        <v>30048005</v>
      </c>
      <c r="Z6" s="6">
        <v>1</v>
      </c>
      <c r="AA6" s="6">
        <v>100</v>
      </c>
      <c r="AB6" s="6">
        <v>1</v>
      </c>
      <c r="AC6" s="91">
        <f ca="1">VLOOKUP($L6,OFFSET([3]enemies!$A$1,0,0,COUNTA([3]enemies!$A:$A),MATCH(AC$1,[3]enemies!$1:$1,0)-MATCH($L$1,[3]enemies!$1:$1,0)+1),MATCH(AC$1,[3]enemies!$1:$1,0)-MATCH($L$1,[3]enemies!$1:$1,0)+1,FALSE)</f>
        <v>2</v>
      </c>
      <c r="AD6" s="20">
        <v>145</v>
      </c>
      <c r="AE6" s="59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ref="AI6:AI7" ca="1" si="7">AF6</f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6">
        <v>1</v>
      </c>
    </row>
    <row r="7" spans="1:42" ht="21" customHeight="1" x14ac:dyDescent="0.15">
      <c r="A7" s="16" t="str">
        <f t="shared" si="4"/>
        <v>30048_1-4/1324&lt;lv40&gt;s2</v>
      </c>
      <c r="B7" s="129">
        <v>30048</v>
      </c>
      <c r="C7" s="21">
        <v>1</v>
      </c>
      <c r="D7" s="2" t="str">
        <f t="shared" si="5"/>
        <v>30048_1</v>
      </c>
      <c r="E7" s="4" t="str">
        <f ca="1">VLOOKUP($B7,OFFSET([2]quests!$A$1,0,0,COUNTA([2]quests!$A:$A),MATCH(E$1,[2]quests!$1:$1,0)-MATCH($B$1,[2]quests!$1:$1,0)+1),MATCH(E$1,[2]quests!$1:$1,0)-MATCH($B$1,[2]quests!$1:$1,0)+1,FALSE)</f>
        <v>惑乱の双神使！？</v>
      </c>
      <c r="F7" s="4" t="str">
        <f ca="1">VLOOKUP($D7,OFFSET([2]stages!$A$1,0,0,COUNTA([2]stages!$A:$A),MATCH(F$1,[2]stages!$2:$2,0)-MATCH($D$1,[2]stages!$2:$2,0)+1),MATCH(F$1,[2]stages!$2:$2,0)-MATCH($D$1,[2]stages!$2:$2,0)+1,FALSE)</f>
        <v>【中級】惑乱の双神使！？</v>
      </c>
      <c r="G7" s="21">
        <v>4</v>
      </c>
      <c r="H7" s="15" t="str">
        <f t="shared" si="6"/>
        <v>30048_1-4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1324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アウリ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40</v>
      </c>
      <c r="S7" s="25">
        <v>1.4</v>
      </c>
      <c r="T7" s="8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83559</v>
      </c>
      <c r="U7" s="25">
        <v>1.2</v>
      </c>
      <c r="V7" s="8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4748.3999999999996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7" s="59">
        <v>30048006</v>
      </c>
      <c r="Z7" s="6">
        <v>1</v>
      </c>
      <c r="AA7" s="6">
        <v>100</v>
      </c>
      <c r="AB7" s="6">
        <v>1</v>
      </c>
      <c r="AC7" s="91">
        <v>2</v>
      </c>
      <c r="AD7" s="20">
        <v>1324</v>
      </c>
      <c r="AE7" s="59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アウリ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7"/>
        <v>4</v>
      </c>
      <c r="AJ7" s="8">
        <v>20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6">
        <v>1</v>
      </c>
    </row>
    <row r="8" spans="1:42" ht="21" customHeight="1" x14ac:dyDescent="0.15">
      <c r="A8" s="16" t="str">
        <f>B8&amp;"_"&amp;C8&amp;"-"&amp;G8&amp;"/"&amp;L8&amp;"&lt;lv"&amp;R8&amp;"&gt;s"&amp;AC8</f>
        <v>30048_2-1/373&lt;lv60&gt;s1</v>
      </c>
      <c r="B8" s="128">
        <v>30048</v>
      </c>
      <c r="C8" s="21">
        <v>2</v>
      </c>
      <c r="D8" s="2" t="str">
        <f>B8&amp;"_"&amp;C8</f>
        <v>30048_2</v>
      </c>
      <c r="E8" s="4" t="str">
        <f ca="1">VLOOKUP($B8,OFFSET([2]quests!$A$1,0,0,COUNTA([2]quests!$A:$A),MATCH(E$1,[2]quests!$1:$1,0)-MATCH($B$1,[2]quests!$1:$1,0)+1),MATCH(E$1,[2]quests!$1:$1,0)-MATCH($B$1,[2]quests!$1:$1,0)+1,FALSE)</f>
        <v>惑乱の双神使！？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【上級】惑乱の双神使！？</v>
      </c>
      <c r="G8" s="21">
        <v>1</v>
      </c>
      <c r="H8" s="15" t="str">
        <f>B8&amp;"_"&amp;C8&amp;"-"&amp;G8</f>
        <v>30048_2-1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373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夢幻俳聖 バショー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20</v>
      </c>
      <c r="R8" s="5">
        <v>60</v>
      </c>
      <c r="S8" s="25">
        <v>2.9</v>
      </c>
      <c r="T8" s="8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40022.9</v>
      </c>
      <c r="U8" s="25">
        <v>0.6</v>
      </c>
      <c r="V8" s="8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2603.4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緑パネルプロテクト(最大2個)+_x000D_単体攻撃</v>
      </c>
      <c r="Y8" s="59">
        <v>30048008</v>
      </c>
      <c r="Z8" s="6">
        <v>1</v>
      </c>
      <c r="AA8" s="6">
        <v>100</v>
      </c>
      <c r="AB8" s="6">
        <v>1</v>
      </c>
      <c r="AC8" s="91">
        <v>1</v>
      </c>
      <c r="AD8" s="20">
        <v>373</v>
      </c>
      <c r="AE8" s="59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夢幻俳聖 バショー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3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ca="1">AF8</f>
        <v>3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6">
        <v>1</v>
      </c>
    </row>
    <row r="9" spans="1:42" ht="21" customHeight="1" x14ac:dyDescent="0.15">
      <c r="A9" s="16" t="str">
        <f t="shared" ref="A9:A13" si="8">B9&amp;"_"&amp;C9&amp;"-"&amp;G9&amp;"/"&amp;L9&amp;"&lt;lv"&amp;R9&amp;"&gt;s"&amp;AC9</f>
        <v>30048_2-1/362&lt;lv60&gt;s1</v>
      </c>
      <c r="B9" s="128">
        <v>30048</v>
      </c>
      <c r="C9" s="21">
        <v>2</v>
      </c>
      <c r="D9" s="2" t="str">
        <f t="shared" ref="D9:D13" si="9">B9&amp;"_"&amp;C9</f>
        <v>30048_2</v>
      </c>
      <c r="E9" s="4" t="str">
        <f ca="1">VLOOKUP($B9,OFFSET([2]quests!$A$1,0,0,COUNTA([2]quests!$A:$A),MATCH(E$1,[2]quests!$1:$1,0)-MATCH($B$1,[2]quests!$1:$1,0)+1),MATCH(E$1,[2]quests!$1:$1,0)-MATCH($B$1,[2]quests!$1:$1,0)+1,FALSE)</f>
        <v>惑乱の双神使！？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【上級】惑乱の双神使！？</v>
      </c>
      <c r="G9" s="21">
        <v>1</v>
      </c>
      <c r="H9" s="15" t="str">
        <f t="shared" ref="H9:H13" si="10">B9&amp;"_"&amp;C9&amp;"-"&amp;G9</f>
        <v>30048_2-1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20">
        <v>362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ゆらら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60</v>
      </c>
      <c r="S9" s="25">
        <v>1.5</v>
      </c>
      <c r="T9" s="8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16936.5</v>
      </c>
      <c r="U9" s="25">
        <v>0.5</v>
      </c>
      <c r="V9" s="8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1790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59">
        <v>30048009</v>
      </c>
      <c r="Z9" s="6">
        <v>2</v>
      </c>
      <c r="AA9" s="6">
        <v>100</v>
      </c>
      <c r="AB9" s="6">
        <v>0</v>
      </c>
      <c r="AC9" s="91">
        <v>1</v>
      </c>
      <c r="AD9" s="20">
        <v>362</v>
      </c>
      <c r="AE9" s="59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4">
        <f t="shared" ref="AI9:AI13" ca="1" si="11">AF9</f>
        <v>2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6">
        <v>1</v>
      </c>
    </row>
    <row r="10" spans="1:42" ht="21" customHeight="1" x14ac:dyDescent="0.15">
      <c r="A10" s="16" t="str">
        <f t="shared" si="8"/>
        <v>30048_2-2/89&lt;lv60&gt;s2</v>
      </c>
      <c r="B10" s="128">
        <v>30048</v>
      </c>
      <c r="C10" s="21">
        <v>2</v>
      </c>
      <c r="D10" s="2" t="str">
        <f t="shared" si="9"/>
        <v>30048_2</v>
      </c>
      <c r="E10" s="4" t="str">
        <f ca="1">VLOOKUP($B10,OFFSET([2]quests!$A$1,0,0,COUNTA([2]quests!$A:$A),MATCH(E$1,[2]quests!$1:$1,0)-MATCH($B$1,[2]quests!$1:$1,0)+1),MATCH(E$1,[2]quests!$1:$1,0)-MATCH($B$1,[2]quests!$1:$1,0)+1,FALSE)</f>
        <v>惑乱の双神使！？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【上級】惑乱の双神使！？</v>
      </c>
      <c r="G10" s="21">
        <v>2</v>
      </c>
      <c r="H10" s="15" t="str">
        <f t="shared" si="10"/>
        <v>30048_2-2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 t="s">
        <v>53</v>
      </c>
      <c r="L10" s="20">
        <v>89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守護者 玄武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25">
        <v>0.5</v>
      </c>
      <c r="T10" s="8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42201.5</v>
      </c>
      <c r="U10" s="25">
        <v>0.9</v>
      </c>
      <c r="V10" s="8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5445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10" s="59">
        <v>30048010</v>
      </c>
      <c r="Z10" s="6">
        <v>1</v>
      </c>
      <c r="AA10" s="6">
        <v>100</v>
      </c>
      <c r="AB10" s="6">
        <v>1</v>
      </c>
      <c r="AC10" s="91">
        <v>2</v>
      </c>
      <c r="AD10" s="20">
        <v>89</v>
      </c>
      <c r="AE10" s="59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守護者 玄武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11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6">
        <v>1</v>
      </c>
    </row>
    <row r="11" spans="1:42" ht="21" customHeight="1" x14ac:dyDescent="0.15">
      <c r="A11" s="16" t="str">
        <f t="shared" si="8"/>
        <v>30048_2-2/61&lt;lv60&gt;s1</v>
      </c>
      <c r="B11" s="128">
        <v>30048</v>
      </c>
      <c r="C11" s="21">
        <v>2</v>
      </c>
      <c r="D11" s="2" t="str">
        <f t="shared" si="9"/>
        <v>30048_2</v>
      </c>
      <c r="E11" s="4" t="str">
        <f ca="1">VLOOKUP($B11,OFFSET([2]quests!$A$1,0,0,COUNTA([2]quests!$A:$A),MATCH(E$1,[2]quests!$1:$1,0)-MATCH($B$1,[2]quests!$1:$1,0)+1),MATCH(E$1,[2]quests!$1:$1,0)-MATCH($B$1,[2]quests!$1:$1,0)+1,FALSE)</f>
        <v>惑乱の双神使！？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【上級】惑乱の双神使！？</v>
      </c>
      <c r="G11" s="21">
        <v>2</v>
      </c>
      <c r="H11" s="15" t="str">
        <f t="shared" si="10"/>
        <v>30048_2-2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249</v>
      </c>
      <c r="L11" s="20">
        <v>61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クロウ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60</v>
      </c>
      <c r="S11" s="25">
        <v>1.1000000000000001</v>
      </c>
      <c r="T11" s="8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10824</v>
      </c>
      <c r="U11" s="25">
        <v>0.6</v>
      </c>
      <c r="V11" s="8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1861.8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ハートパネルプロテクト(最大2個)+_x000D_単体攻撃</v>
      </c>
      <c r="Y11" s="59">
        <v>30048011</v>
      </c>
      <c r="Z11" s="6">
        <v>2</v>
      </c>
      <c r="AA11" s="6">
        <v>100</v>
      </c>
      <c r="AB11" s="6">
        <v>0</v>
      </c>
      <c r="AC11" s="91">
        <v>1</v>
      </c>
      <c r="AD11" s="20">
        <v>61</v>
      </c>
      <c r="AE11" s="59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Drop1N</v>
      </c>
      <c r="AH11" s="7">
        <v>1</v>
      </c>
      <c r="AI11" s="24">
        <f t="shared" ca="1" si="11"/>
        <v>2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6">
        <v>1</v>
      </c>
    </row>
    <row r="12" spans="1:42" ht="21" customHeight="1" x14ac:dyDescent="0.15">
      <c r="A12" s="16" t="str">
        <f t="shared" ca="1" si="8"/>
        <v>30048_2-3/145&lt;lv60&gt;s2</v>
      </c>
      <c r="B12" s="128">
        <v>30048</v>
      </c>
      <c r="C12" s="21">
        <v>2</v>
      </c>
      <c r="D12" s="2" t="str">
        <f t="shared" si="9"/>
        <v>30048_2</v>
      </c>
      <c r="E12" s="4" t="str">
        <f ca="1">VLOOKUP($B12,OFFSET([2]quests!$A$1,0,0,COUNTA([2]quests!$A:$A),MATCH(E$1,[2]quests!$1:$1,0)-MATCH($B$1,[2]quests!$1:$1,0)+1),MATCH(E$1,[2]quests!$1:$1,0)-MATCH($B$1,[2]quests!$1:$1,0)+1,FALSE)</f>
        <v>惑乱の双神使！？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【上級】惑乱の双神使！？</v>
      </c>
      <c r="G12" s="21">
        <v>3</v>
      </c>
      <c r="H12" s="15" t="str">
        <f t="shared" si="10"/>
        <v>30048_2-3</v>
      </c>
      <c r="I12" s="4">
        <f ca="1">VLOOKUP($H12,OFFSET(floors!$A$1,0,0,COUNTA(floors!$A:$A),MATCH(I$1,floors!$1:$1,0)-MATCH($H$1,floors!$1:$1,0)+1),MATCH(I$1,floors!$1:$1,0)-MATCH($H$1,floors!$1:$1,0)+1,FALSE)</f>
        <v>30</v>
      </c>
      <c r="J12" s="4">
        <f ca="1">VLOOKUP($H12,OFFSET(floors!$A$1,0,0,COUNTA(floors!$A:$A),MATCH(J$1,floors!$1:$1,0)-MATCH($H$1,floors!$1:$1,0)+1),MATCH(J$1,floors!$1:$1,0)-MATCH($H$1,floors!$1:$1,0)+1,FALSE)</f>
        <v>30</v>
      </c>
      <c r="K12" s="38" t="s">
        <v>249</v>
      </c>
      <c r="L12" s="20">
        <v>145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魔性妖艶 かぐや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5">
        <v>0.8</v>
      </c>
      <c r="T12" s="89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88920.8</v>
      </c>
      <c r="U12" s="25">
        <v>1.2</v>
      </c>
      <c r="V12" s="89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6171.5999999999995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2ターン自身の防御力UP+_x000D_緑パネルドロップ率を元に戻す</v>
      </c>
      <c r="Y12" s="59">
        <v>30048012</v>
      </c>
      <c r="Z12" s="6">
        <v>1</v>
      </c>
      <c r="AA12" s="6">
        <v>100</v>
      </c>
      <c r="AB12" s="6">
        <v>1</v>
      </c>
      <c r="AC12" s="91">
        <f ca="1">VLOOKUP($L12,OFFSET([3]enemies!$A$1,0,0,COUNTA([3]enemies!$A:$A),MATCH(AC$1,[3]enemies!$1:$1,0)-MATCH($L$1,[3]enemies!$1:$1,0)+1),MATCH(AC$1,[3]enemies!$1:$1,0)-MATCH($L$1,[3]enemies!$1:$1,0)+1,FALSE)</f>
        <v>2</v>
      </c>
      <c r="AD12" s="20">
        <v>145</v>
      </c>
      <c r="AE12" s="59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11"/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6">
        <v>1</v>
      </c>
    </row>
    <row r="13" spans="1:42" ht="21" customHeight="1" x14ac:dyDescent="0.15">
      <c r="A13" s="16" t="str">
        <f t="shared" si="8"/>
        <v>30048_2-4/1324&lt;lv60&gt;s2</v>
      </c>
      <c r="B13" s="128">
        <v>30048</v>
      </c>
      <c r="C13" s="21">
        <v>2</v>
      </c>
      <c r="D13" s="2" t="str">
        <f t="shared" si="9"/>
        <v>30048_2</v>
      </c>
      <c r="E13" s="4" t="str">
        <f ca="1">VLOOKUP($B13,OFFSET([2]quests!$A$1,0,0,COUNTA([2]quests!$A:$A),MATCH(E$1,[2]quests!$1:$1,0)-MATCH($B$1,[2]quests!$1:$1,0)+1),MATCH(E$1,[2]quests!$1:$1,0)-MATCH($B$1,[2]quests!$1:$1,0)+1,FALSE)</f>
        <v>惑乱の双神使！？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【上級】惑乱の双神使！？</v>
      </c>
      <c r="G13" s="21">
        <v>4</v>
      </c>
      <c r="H13" s="15" t="str">
        <f t="shared" si="10"/>
        <v>30048_2-4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1324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アウリ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30</v>
      </c>
      <c r="R13" s="5">
        <v>60</v>
      </c>
      <c r="S13" s="25">
        <v>1.3</v>
      </c>
      <c r="T13" s="89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114983.7</v>
      </c>
      <c r="U13" s="25">
        <v>0.9</v>
      </c>
      <c r="V13" s="89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5277.6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13" s="59">
        <v>30048013</v>
      </c>
      <c r="Z13" s="6">
        <v>1</v>
      </c>
      <c r="AA13" s="6">
        <v>100</v>
      </c>
      <c r="AB13" s="6">
        <v>1</v>
      </c>
      <c r="AC13" s="91">
        <v>2</v>
      </c>
      <c r="AD13" s="20">
        <v>1324</v>
      </c>
      <c r="AE13" s="59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アウリ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Drop2N</v>
      </c>
      <c r="AH13" s="7">
        <v>1</v>
      </c>
      <c r="AI13" s="24">
        <f t="shared" ca="1" si="11"/>
        <v>4</v>
      </c>
      <c r="AJ13" s="8">
        <v>50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6">
        <v>1</v>
      </c>
    </row>
    <row r="14" spans="1:42" ht="21" customHeight="1" x14ac:dyDescent="0.15">
      <c r="A14" s="16" t="str">
        <f>B14&amp;"_"&amp;C14&amp;"-"&amp;G14&amp;"/"&amp;L14&amp;"&lt;lv"&amp;R14&amp;"&gt;s"&amp;AC14</f>
        <v>30048_3-1/373&lt;lv80&gt;s1</v>
      </c>
      <c r="B14" s="127">
        <v>30048</v>
      </c>
      <c r="C14" s="21">
        <v>3</v>
      </c>
      <c r="D14" s="2" t="str">
        <f>B14&amp;"_"&amp;C14</f>
        <v>30048_3</v>
      </c>
      <c r="E14" s="4" t="str">
        <f ca="1">VLOOKUP($B14,OFFSET([2]quests!$A$1,0,0,COUNTA([2]quests!$A:$A),MATCH(E$1,[2]quests!$1:$1,0)-MATCH($B$1,[2]quests!$1:$1,0)+1),MATCH(E$1,[2]quests!$1:$1,0)-MATCH($B$1,[2]quests!$1:$1,0)+1,FALSE)</f>
        <v>惑乱の双神使！？</v>
      </c>
      <c r="F14" s="4" t="str">
        <f ca="1">VLOOKUP($D14,OFFSET([2]stages!$A$1,0,0,COUNTA([2]stages!$A:$A),MATCH(F$1,[2]stages!$2:$2,0)-MATCH($D$1,[2]stages!$2:$2,0)+1),MATCH(F$1,[2]stages!$2:$2,0)-MATCH($D$1,[2]stages!$2:$2,0)+1,FALSE)</f>
        <v>【超級】惑乱の双神使！？</v>
      </c>
      <c r="G14" s="21">
        <v>1</v>
      </c>
      <c r="H14" s="15" t="str">
        <f>B14&amp;"_"&amp;C14&amp;"-"&amp;G14</f>
        <v>30048_3-1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8" t="s">
        <v>53</v>
      </c>
      <c r="L14" s="20">
        <v>373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夢幻俳聖 バショー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80</v>
      </c>
      <c r="S14" s="25">
        <v>2.5</v>
      </c>
      <c r="T14" s="89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45722.5</v>
      </c>
      <c r="U14" s="25">
        <v>0.7</v>
      </c>
      <c r="V14" s="89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4025.7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緑パネルプロテクト(最大3個)+_x000D_単体攻撃</v>
      </c>
      <c r="Y14" s="59">
        <v>30048015</v>
      </c>
      <c r="Z14" s="6">
        <v>1</v>
      </c>
      <c r="AA14" s="6">
        <v>100</v>
      </c>
      <c r="AB14" s="6">
        <v>1</v>
      </c>
      <c r="AC14" s="91">
        <v>1</v>
      </c>
      <c r="AD14" s="20">
        <v>373</v>
      </c>
      <c r="AE14" s="59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夢幻俳聖 バショー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3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4">
        <f ca="1">AF14</f>
        <v>3</v>
      </c>
      <c r="AJ14" s="8">
        <v>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6">
        <v>1</v>
      </c>
    </row>
    <row r="15" spans="1:42" ht="21" customHeight="1" x14ac:dyDescent="0.15">
      <c r="A15" s="16" t="str">
        <f t="shared" ref="A15:A19" si="12">B15&amp;"_"&amp;C15&amp;"-"&amp;G15&amp;"/"&amp;L15&amp;"&lt;lv"&amp;R15&amp;"&gt;s"&amp;AC15</f>
        <v>30048_3-1/362&lt;lv80&gt;s1</v>
      </c>
      <c r="B15" s="127">
        <v>30048</v>
      </c>
      <c r="C15" s="21">
        <v>3</v>
      </c>
      <c r="D15" s="2" t="str">
        <f t="shared" ref="D15:D19" si="13">B15&amp;"_"&amp;C15</f>
        <v>30048_3</v>
      </c>
      <c r="E15" s="4" t="str">
        <f ca="1">VLOOKUP($B15,OFFSET([2]quests!$A$1,0,0,COUNTA([2]quests!$A:$A),MATCH(E$1,[2]quests!$1:$1,0)-MATCH($B$1,[2]quests!$1:$1,0)+1),MATCH(E$1,[2]quests!$1:$1,0)-MATCH($B$1,[2]quests!$1:$1,0)+1,FALSE)</f>
        <v>惑乱の双神使！？</v>
      </c>
      <c r="F15" s="4" t="str">
        <f ca="1">VLOOKUP($D15,OFFSET([2]stages!$A$1,0,0,COUNTA([2]stages!$A:$A),MATCH(F$1,[2]stages!$2:$2,0)-MATCH($D$1,[2]stages!$2:$2,0)+1),MATCH(F$1,[2]stages!$2:$2,0)-MATCH($D$1,[2]stages!$2:$2,0)+1,FALSE)</f>
        <v>【超級】惑乱の双神使！？</v>
      </c>
      <c r="G15" s="21">
        <v>1</v>
      </c>
      <c r="H15" s="15" t="str">
        <f t="shared" ref="H15:H19" si="14">B15&amp;"_"&amp;C15&amp;"-"&amp;G15</f>
        <v>30048_3-1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8" t="s">
        <v>53</v>
      </c>
      <c r="L15" s="20">
        <v>362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ゆらら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Drop1S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80</v>
      </c>
      <c r="S15" s="25">
        <v>1.5</v>
      </c>
      <c r="T15" s="89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22444.5</v>
      </c>
      <c r="U15" s="25">
        <v>0.5</v>
      </c>
      <c r="V15" s="89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2372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5" s="59">
        <v>30048016</v>
      </c>
      <c r="Z15" s="6">
        <v>2</v>
      </c>
      <c r="AA15" s="6">
        <v>100</v>
      </c>
      <c r="AB15" s="6">
        <v>0</v>
      </c>
      <c r="AC15" s="91">
        <v>1</v>
      </c>
      <c r="AD15" s="20">
        <v>362</v>
      </c>
      <c r="AE15" s="59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2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Drop1S</v>
      </c>
      <c r="AH15" s="7">
        <v>1</v>
      </c>
      <c r="AI15" s="24">
        <f t="shared" ref="AI15:AI19" ca="1" si="15">AF15</f>
        <v>2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6">
        <v>1</v>
      </c>
    </row>
    <row r="16" spans="1:42" ht="21" customHeight="1" x14ac:dyDescent="0.15">
      <c r="A16" s="16" t="str">
        <f t="shared" si="12"/>
        <v>30048_3-2/89&lt;lv80&gt;s2</v>
      </c>
      <c r="B16" s="127">
        <v>30048</v>
      </c>
      <c r="C16" s="21">
        <v>3</v>
      </c>
      <c r="D16" s="2" t="str">
        <f t="shared" si="13"/>
        <v>30048_3</v>
      </c>
      <c r="E16" s="4" t="str">
        <f ca="1">VLOOKUP($B16,OFFSET([2]quests!$A$1,0,0,COUNTA([2]quests!$A:$A),MATCH(E$1,[2]quests!$1:$1,0)-MATCH($B$1,[2]quests!$1:$1,0)+1),MATCH(E$1,[2]quests!$1:$1,0)-MATCH($B$1,[2]quests!$1:$1,0)+1,FALSE)</f>
        <v>惑乱の双神使！？</v>
      </c>
      <c r="F16" s="4" t="str">
        <f ca="1">VLOOKUP($D16,OFFSET([2]stages!$A$1,0,0,COUNTA([2]stages!$A:$A),MATCH(F$1,[2]stages!$2:$2,0)-MATCH($D$1,[2]stages!$2:$2,0)+1),MATCH(F$1,[2]stages!$2:$2,0)-MATCH($D$1,[2]stages!$2:$2,0)+1,FALSE)</f>
        <v>【超級】惑乱の双神使！？</v>
      </c>
      <c r="G16" s="21">
        <v>2</v>
      </c>
      <c r="H16" s="15" t="str">
        <f t="shared" si="14"/>
        <v>30048_3-2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8" t="s">
        <v>53</v>
      </c>
      <c r="L16" s="20">
        <v>89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守護者 玄武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Drop2N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dragon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80</v>
      </c>
      <c r="S16" s="25">
        <v>0.5</v>
      </c>
      <c r="T16" s="89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55925.5</v>
      </c>
      <c r="U16" s="25">
        <v>0.9</v>
      </c>
      <c r="V16" s="89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7216.2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16" s="59">
        <v>30048017</v>
      </c>
      <c r="Z16" s="6">
        <v>1</v>
      </c>
      <c r="AA16" s="6">
        <v>100</v>
      </c>
      <c r="AB16" s="6">
        <v>1</v>
      </c>
      <c r="AC16" s="91">
        <v>2</v>
      </c>
      <c r="AD16" s="20">
        <v>89</v>
      </c>
      <c r="AE16" s="59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守護者 玄武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4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Drop2N</v>
      </c>
      <c r="AH16" s="7">
        <v>1</v>
      </c>
      <c r="AI16" s="24">
        <f t="shared" ca="1" si="15"/>
        <v>4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6">
        <v>1</v>
      </c>
    </row>
    <row r="17" spans="1:42" ht="21" customHeight="1" x14ac:dyDescent="0.15">
      <c r="A17" s="16" t="str">
        <f t="shared" si="12"/>
        <v>30048_3-2/61&lt;lv80&gt;s1</v>
      </c>
      <c r="B17" s="127">
        <v>30048</v>
      </c>
      <c r="C17" s="21">
        <v>3</v>
      </c>
      <c r="D17" s="2" t="str">
        <f t="shared" si="13"/>
        <v>30048_3</v>
      </c>
      <c r="E17" s="4" t="str">
        <f ca="1">VLOOKUP($B17,OFFSET([2]quests!$A$1,0,0,COUNTA([2]quests!$A:$A),MATCH(E$1,[2]quests!$1:$1,0)-MATCH($B$1,[2]quests!$1:$1,0)+1),MATCH(E$1,[2]quests!$1:$1,0)-MATCH($B$1,[2]quests!$1:$1,0)+1,FALSE)</f>
        <v>惑乱の双神使！？</v>
      </c>
      <c r="F17" s="4" t="str">
        <f ca="1">VLOOKUP($D17,OFFSET([2]stages!$A$1,0,0,COUNTA([2]stages!$A:$A),MATCH(F$1,[2]stages!$2:$2,0)-MATCH($D$1,[2]stages!$2:$2,0)+1),MATCH(F$1,[2]stages!$2:$2,0)-MATCH($D$1,[2]stages!$2:$2,0)+1,FALSE)</f>
        <v>【超級】惑乱の双神使！？</v>
      </c>
      <c r="G17" s="21">
        <v>2</v>
      </c>
      <c r="H17" s="15" t="str">
        <f t="shared" si="14"/>
        <v>30048_3-2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8" t="s">
        <v>249</v>
      </c>
      <c r="L17" s="20">
        <v>61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クロウ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Drop1N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80</v>
      </c>
      <c r="S17" s="25">
        <v>1</v>
      </c>
      <c r="T17" s="89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13040</v>
      </c>
      <c r="U17" s="25">
        <v>0.5</v>
      </c>
      <c r="V17" s="89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2056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ハートパネルプロテクト(最大3個)+_x000D_単体攻撃</v>
      </c>
      <c r="Y17" s="59">
        <v>30048018</v>
      </c>
      <c r="Z17" s="6">
        <v>2</v>
      </c>
      <c r="AA17" s="6">
        <v>100</v>
      </c>
      <c r="AB17" s="6">
        <v>0</v>
      </c>
      <c r="AC17" s="91">
        <v>1</v>
      </c>
      <c r="AD17" s="20">
        <v>61</v>
      </c>
      <c r="AE17" s="59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クロウ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Drop1N</v>
      </c>
      <c r="AH17" s="7">
        <v>1</v>
      </c>
      <c r="AI17" s="24">
        <f t="shared" ca="1" si="15"/>
        <v>2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6">
        <v>1</v>
      </c>
    </row>
    <row r="18" spans="1:42" ht="21" customHeight="1" x14ac:dyDescent="0.15">
      <c r="A18" s="16" t="str">
        <f t="shared" ca="1" si="12"/>
        <v>30048_3-3/145&lt;lv80&gt;s2</v>
      </c>
      <c r="B18" s="127">
        <v>30048</v>
      </c>
      <c r="C18" s="21">
        <v>3</v>
      </c>
      <c r="D18" s="2" t="str">
        <f t="shared" si="13"/>
        <v>30048_3</v>
      </c>
      <c r="E18" s="4" t="str">
        <f ca="1">VLOOKUP($B18,OFFSET([2]quests!$A$1,0,0,COUNTA([2]quests!$A:$A),MATCH(E$1,[2]quests!$1:$1,0)-MATCH($B$1,[2]quests!$1:$1,0)+1),MATCH(E$1,[2]quests!$1:$1,0)-MATCH($B$1,[2]quests!$1:$1,0)+1,FALSE)</f>
        <v>惑乱の双神使！？</v>
      </c>
      <c r="F18" s="4" t="str">
        <f ca="1">VLOOKUP($D18,OFFSET([2]stages!$A$1,0,0,COUNTA([2]stages!$A:$A),MATCH(F$1,[2]stages!$2:$2,0)-MATCH($D$1,[2]stages!$2:$2,0)+1),MATCH(F$1,[2]stages!$2:$2,0)-MATCH($D$1,[2]stages!$2:$2,0)+1,FALSE)</f>
        <v>【超級】惑乱の双神使！？</v>
      </c>
      <c r="G18" s="21">
        <v>3</v>
      </c>
      <c r="H18" s="15" t="str">
        <f t="shared" si="14"/>
        <v>30048_3-3</v>
      </c>
      <c r="I18" s="4">
        <f ca="1">VLOOKUP($H18,OFFSET(floors!$A$1,0,0,COUNTA(floors!$A:$A),MATCH(I$1,floors!$1:$1,0)-MATCH($H$1,floors!$1:$1,0)+1),MATCH(I$1,floors!$1:$1,0)-MATCH($H$1,floors!$1:$1,0)+1,FALSE)</f>
        <v>30</v>
      </c>
      <c r="J18" s="4">
        <f ca="1">VLOOKUP($H18,OFFSET(floors!$A$1,0,0,COUNTA(floors!$A:$A),MATCH(J$1,floors!$1:$1,0)-MATCH($H$1,floors!$1:$1,0)+1),MATCH(J$1,floors!$1:$1,0)-MATCH($H$1,floors!$1:$1,0)+1,FALSE)</f>
        <v>30</v>
      </c>
      <c r="K18" s="38" t="s">
        <v>249</v>
      </c>
      <c r="L18" s="20">
        <v>145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魔性妖艶 かぐや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PremiumW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80</v>
      </c>
      <c r="S18" s="25">
        <v>0.8</v>
      </c>
      <c r="T18" s="89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117838.40000000001</v>
      </c>
      <c r="U18" s="25">
        <v>1.3</v>
      </c>
      <c r="V18" s="89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8859.5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2ターン自身の防御力UP+_x000D_緑パネルドロップ率を元に戻す</v>
      </c>
      <c r="Y18" s="59">
        <v>30048019</v>
      </c>
      <c r="Z18" s="6">
        <v>1</v>
      </c>
      <c r="AA18" s="6">
        <v>100</v>
      </c>
      <c r="AB18" s="6">
        <v>1</v>
      </c>
      <c r="AC18" s="91">
        <f ca="1">VLOOKUP($L18,OFFSET([3]enemies!$A$1,0,0,COUNTA([3]enemies!$A:$A),MATCH(AC$1,[3]enemies!$1:$1,0)-MATCH($L$1,[3]enemies!$1:$1,0)+1),MATCH(AC$1,[3]enemies!$1:$1,0)-MATCH($L$1,[3]enemies!$1:$1,0)+1,FALSE)</f>
        <v>2</v>
      </c>
      <c r="AD18" s="20">
        <v>145</v>
      </c>
      <c r="AE18" s="59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魔性妖艶 かぐや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4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8" s="7">
        <v>1</v>
      </c>
      <c r="AI18" s="24">
        <f t="shared" ca="1" si="15"/>
        <v>4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6">
        <v>1</v>
      </c>
    </row>
    <row r="19" spans="1:42" ht="21" customHeight="1" x14ac:dyDescent="0.15">
      <c r="A19" s="16" t="str">
        <f t="shared" si="12"/>
        <v>30048_3-4/1324&lt;lv80&gt;s2</v>
      </c>
      <c r="B19" s="127">
        <v>30048</v>
      </c>
      <c r="C19" s="21">
        <v>3</v>
      </c>
      <c r="D19" s="2" t="str">
        <f t="shared" si="13"/>
        <v>30048_3</v>
      </c>
      <c r="E19" s="4" t="str">
        <f ca="1">VLOOKUP($B19,OFFSET([2]quests!$A$1,0,0,COUNTA([2]quests!$A:$A),MATCH(E$1,[2]quests!$1:$1,0)-MATCH($B$1,[2]quests!$1:$1,0)+1),MATCH(E$1,[2]quests!$1:$1,0)-MATCH($B$1,[2]quests!$1:$1,0)+1,FALSE)</f>
        <v>惑乱の双神使！？</v>
      </c>
      <c r="F19" s="4" t="str">
        <f ca="1">VLOOKUP($D19,OFFSET([2]stages!$A$1,0,0,COUNTA([2]stages!$A:$A),MATCH(F$1,[2]stages!$2:$2,0)-MATCH($D$1,[2]stages!$2:$2,0)+1),MATCH(F$1,[2]stages!$2:$2,0)-MATCH($D$1,[2]stages!$2:$2,0)+1,FALSE)</f>
        <v>【超級】惑乱の双神使！？</v>
      </c>
      <c r="G19" s="21">
        <v>4</v>
      </c>
      <c r="H19" s="15" t="str">
        <f t="shared" si="14"/>
        <v>30048_3-4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8">
        <v>3</v>
      </c>
      <c r="L19" s="20">
        <v>1324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アウリ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animal</v>
      </c>
      <c r="Q19" s="17">
        <f ca="1">VLOOKUP($L19,OFFSET([3]enemies!$A$1,0,0,COUNTA([3]enemies!$A:$A),MATCH(Q$1,[3]enemies!$1:$1,0)-MATCH($L$1,[3]enemies!$1:$1,0)+1),MATCH(Q$1,[3]enemies!$1:$1,0)-MATCH($L$1,[3]enemies!$1:$1,0)+1,FALSE)</f>
        <v>30</v>
      </c>
      <c r="R19" s="5">
        <v>80</v>
      </c>
      <c r="S19" s="25">
        <v>1.3</v>
      </c>
      <c r="T19" s="89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152376.9</v>
      </c>
      <c r="U19" s="25">
        <v>1</v>
      </c>
      <c r="V19" s="89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7771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緑パネルドロップ率UP</v>
      </c>
      <c r="Y19" s="59">
        <v>30048020</v>
      </c>
      <c r="Z19" s="6">
        <v>1</v>
      </c>
      <c r="AA19" s="6">
        <v>100</v>
      </c>
      <c r="AB19" s="6">
        <v>1</v>
      </c>
      <c r="AC19" s="91">
        <v>2</v>
      </c>
      <c r="AD19" s="20">
        <v>1324</v>
      </c>
      <c r="AE19" s="59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アウリ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4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Drop2N</v>
      </c>
      <c r="AH19" s="7">
        <v>1</v>
      </c>
      <c r="AI19" s="24">
        <f t="shared" ca="1" si="15"/>
        <v>4</v>
      </c>
      <c r="AJ19" s="8">
        <v>100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4"/>
  <sheetViews>
    <sheetView showGridLines="0" workbookViewId="0">
      <pane xSplit="18" ySplit="1" topLeftCell="S2" activePane="bottomRight" state="frozen"/>
      <selection activeCell="J32" sqref="J32"/>
      <selection pane="topRight" activeCell="J32" sqref="J32"/>
      <selection pane="bottomLeft" activeCell="J32" sqref="J32"/>
      <selection pane="bottomRight" activeCell="T3" sqref="T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0.6640625" style="3" customWidth="1" outlineLevel="1"/>
    <col min="15" max="15" width="8.6640625" style="3" hidden="1" customWidth="1" outlineLevel="1"/>
    <col min="16" max="16" width="12" style="3" hidden="1" customWidth="1" outlineLevel="1"/>
    <col min="17" max="17" width="21" style="3" hidden="1" customWidth="1" outlineLevel="1"/>
    <col min="18" max="18" width="8" style="3" hidden="1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88" t="s">
        <v>246</v>
      </c>
      <c r="V1" s="26" t="s">
        <v>50</v>
      </c>
      <c r="W1" s="88" t="s">
        <v>247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30048_1-4/1325&lt;lv80&gt;sq1st2</v>
      </c>
      <c r="B2" s="22">
        <v>30048</v>
      </c>
      <c r="C2" s="21">
        <v>1</v>
      </c>
      <c r="D2" s="2" t="str">
        <f>B2&amp;"_"&amp;C2</f>
        <v>30048_1</v>
      </c>
      <c r="E2" s="4" t="str">
        <f ca="1">VLOOKUP($B2,OFFSET([2]quests!$A$1,0,0,COUNTA([2]quests!$A:$A),MATCH(E$1,[2]quests!$1:$1,0)-MATCH($B$1,[2]quests!$1:$1,0)+1),MATCH(E$1,[2]quests!$1:$1,0)-MATCH($B$1,[2]quests!$1:$1,0)+1,FALSE)</f>
        <v>惑乱の双神使！？</v>
      </c>
      <c r="F2" s="4" t="str">
        <f ca="1">VLOOKUP($D2,OFFSET([2]stages!$A$1,0,0,COUNTA([2]stages!$A:$A),MATCH(F$1,[2]stages!$2:$2,0)-MATCH($D$1,[2]stages!$2:$2,0)+1),MATCH(F$1,[2]stages!$2:$2,0)-MATCH($D$1,[2]stages!$2:$2,0)+1,FALSE)</f>
        <v>【中級】惑乱の双神使！？</v>
      </c>
      <c r="G2" s="21">
        <v>4</v>
      </c>
      <c r="H2" s="15" t="str">
        <f>B2&amp;"_"&amp;C2&amp;"-"&amp;G2</f>
        <v>30048_1-4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1325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阿吽の神護犬 アウリ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0.6</v>
      </c>
      <c r="U2" s="8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67834.2</v>
      </c>
      <c r="V2" s="25">
        <v>0.6</v>
      </c>
      <c r="W2" s="8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4489.8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緑パネルドロップ率を元に戻す</v>
      </c>
      <c r="Z2" s="47">
        <v>30048007</v>
      </c>
      <c r="AA2" s="104">
        <v>1</v>
      </c>
    </row>
    <row r="3" spans="1:27" ht="21" customHeight="1" x14ac:dyDescent="0.15">
      <c r="A3" s="16" t="str">
        <f t="shared" ref="A3:A4" si="0">B3&amp;"_"&amp;C3&amp;"-"&amp;G3&amp;"/"&amp;M3&amp;"&lt;lv"&amp;S3&amp;"&gt;sq"&amp;K3&amp;"st"&amp;L3</f>
        <v>30048_2-4/1325&lt;lv80&gt;sq2st2</v>
      </c>
      <c r="B3" s="22">
        <v>30048</v>
      </c>
      <c r="C3" s="21">
        <v>2</v>
      </c>
      <c r="D3" s="2" t="str">
        <f t="shared" ref="D3:D4" si="1">B3&amp;"_"&amp;C3</f>
        <v>30048_2</v>
      </c>
      <c r="E3" s="4" t="str">
        <f ca="1">VLOOKUP($B3,OFFSET([2]quests!$A$1,0,0,COUNTA([2]quests!$A:$A),MATCH(E$1,[2]quests!$1:$1,0)-MATCH($B$1,[2]quests!$1:$1,0)+1),MATCH(E$1,[2]quests!$1:$1,0)-MATCH($B$1,[2]quests!$1:$1,0)+1,FALSE)</f>
        <v>惑乱の双神使！？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【上級】惑乱の双神使！？</v>
      </c>
      <c r="G3" s="21">
        <v>4</v>
      </c>
      <c r="H3" s="15" t="str">
        <f t="shared" ref="H3:H4" si="2">B3&amp;"_"&amp;C3&amp;"-"&amp;G3</f>
        <v>30048_2-4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1325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阿吽の神護犬 アウリ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0.8</v>
      </c>
      <c r="U3" s="8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90445.6</v>
      </c>
      <c r="V3" s="25">
        <v>0.8</v>
      </c>
      <c r="W3" s="8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5986.4000000000005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緑パネルドロップ率を元に戻す</v>
      </c>
      <c r="Z3" s="47">
        <v>30048014</v>
      </c>
      <c r="AA3" s="104">
        <v>1</v>
      </c>
    </row>
    <row r="4" spans="1:27" ht="21" customHeight="1" x14ac:dyDescent="0.15">
      <c r="A4" s="16" t="str">
        <f t="shared" si="0"/>
        <v>30048_3-4/1325&lt;lv80&gt;sq3st2</v>
      </c>
      <c r="B4" s="22">
        <v>30048</v>
      </c>
      <c r="C4" s="21">
        <v>3</v>
      </c>
      <c r="D4" s="2" t="str">
        <f t="shared" si="1"/>
        <v>30048_3</v>
      </c>
      <c r="E4" s="4" t="str">
        <f ca="1">VLOOKUP($B4,OFFSET([2]quests!$A$1,0,0,COUNTA([2]quests!$A:$A),MATCH(E$1,[2]quests!$1:$1,0)-MATCH($B$1,[2]quests!$1:$1,0)+1),MATCH(E$1,[2]quests!$1:$1,0)-MATCH($B$1,[2]quests!$1:$1,0)+1,FALSE)</f>
        <v>惑乱の双神使！？</v>
      </c>
      <c r="F4" s="4" t="str">
        <f ca="1">VLOOKUP($D4,OFFSET([2]stages!$A$1,0,0,COUNTA([2]stages!$A:$A),MATCH(F$1,[2]stages!$2:$2,0)-MATCH($D$1,[2]stages!$2:$2,0)+1),MATCH(F$1,[2]stages!$2:$2,0)-MATCH($D$1,[2]stages!$2:$2,0)+1,FALSE)</f>
        <v>【超級】惑乱の双神使！？</v>
      </c>
      <c r="G4" s="21">
        <v>4</v>
      </c>
      <c r="H4" s="15" t="str">
        <f t="shared" si="2"/>
        <v>30048_3-4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1325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阿吽の神護犬 アウリ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1.2</v>
      </c>
      <c r="U4" s="8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135668.4</v>
      </c>
      <c r="V4" s="25">
        <v>0.8</v>
      </c>
      <c r="W4" s="8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5986.4000000000005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緑パネルドロップ率を元に戻す</v>
      </c>
      <c r="Z4" s="47">
        <v>30048021</v>
      </c>
      <c r="AA4" s="104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58"/>
  <sheetViews>
    <sheetView showGridLines="0" tabSelected="1" zoomScale="120" zoomScaleNormal="120" zoomScalePageLayoutView="120" workbookViewId="0">
      <pane ySplit="1" topLeftCell="A2" activePane="bottomLeft" state="frozenSplit"/>
      <selection activeCell="J32" sqref="J32"/>
      <selection pane="bottomLeft" activeCell="B9" sqref="B9"/>
    </sheetView>
  </sheetViews>
  <sheetFormatPr baseColWidth="12" defaultColWidth="12.83203125" defaultRowHeight="21" customHeight="1" outlineLevelCol="1" x14ac:dyDescent="0.15"/>
  <cols>
    <col min="1" max="1" width="16" style="49" bestFit="1" customWidth="1"/>
    <col min="2" max="2" width="93.1640625" style="49" customWidth="1"/>
    <col min="3" max="4" width="12.83203125" style="49" customWidth="1"/>
    <col min="5" max="5" width="39.83203125" style="49" customWidth="1"/>
    <col min="6" max="6" width="44.1640625" style="49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hidden="1" customWidth="1"/>
    <col min="13" max="18" width="23.6640625" style="49" hidden="1" customWidth="1" outlineLevel="1"/>
    <col min="19" max="19" width="23.6640625" style="49" hidden="1" customWidth="1"/>
    <col min="20" max="24" width="23.6640625" style="49" hidden="1" customWidth="1" outlineLevel="1"/>
    <col min="25" max="25" width="23.6640625" style="49" hidden="1" customWidth="1"/>
    <col min="26" max="26" width="27.33203125" style="49" customWidth="1"/>
    <col min="27" max="27" width="12.83203125" style="49" customWidth="1"/>
    <col min="28" max="28" width="44.5" style="49" customWidth="1"/>
    <col min="29" max="29" width="30.5" style="49" customWidth="1"/>
    <col min="30" max="30" width="25.5" style="49" bestFit="1" customWidth="1"/>
    <col min="31" max="16384" width="12.83203125" style="49"/>
  </cols>
  <sheetData>
    <row r="1" spans="1:31" ht="48" customHeight="1" x14ac:dyDescent="0.15">
      <c r="A1" s="40" t="s">
        <v>254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  <c r="AC1" s="106" t="s">
        <v>314</v>
      </c>
      <c r="AD1" s="105" t="s">
        <v>313</v>
      </c>
      <c r="AE1" s="49" t="s">
        <v>315</v>
      </c>
    </row>
    <row r="2" spans="1:31" ht="21" customHeight="1" x14ac:dyDescent="0.15">
      <c r="A2" s="92">
        <v>30048001</v>
      </c>
      <c r="B2" s="92" t="s">
        <v>471</v>
      </c>
      <c r="C2" s="95">
        <v>3</v>
      </c>
      <c r="D2" s="95" t="s">
        <v>127</v>
      </c>
      <c r="E2" s="96" t="s">
        <v>326</v>
      </c>
      <c r="F2" s="96" t="s">
        <v>355</v>
      </c>
      <c r="G2" s="96" t="str">
        <f>IFERROR(LEFT(B2,FIND("],",B2)),B2)</f>
        <v>[effect:enemy_message, val1:1.2, val2:2.0]</v>
      </c>
      <c r="H2" s="96">
        <f>FIND("effect:",G2)+7</f>
        <v>9</v>
      </c>
      <c r="I2" s="96">
        <f>IFERROR(FIND(",",G2),LEN(G2))</f>
        <v>22</v>
      </c>
      <c r="J2" s="96" t="e">
        <f>FIND("target:",G2)+7</f>
        <v>#VALUE!</v>
      </c>
      <c r="K2" s="96">
        <f>FIND(",",G2,I2+1)</f>
        <v>32</v>
      </c>
      <c r="L2" s="96" t="str">
        <f>IFERROR(VLOOKUP(MID(G2,J2,K2-J2),[5]skilldef!$C:$D,2,FALSE),"-") &amp; " / " &amp; IFERROR(VLOOKUP(MID(G2,H2,I2-H2),[5]skilldef!$A:$B,2,FALSE),"-")</f>
        <v>- / -</v>
      </c>
      <c r="M2" s="96" t="str">
        <f>IFERROR(RIGHT(B2,LEN(B2)-FIND("],",B2)-1),"none")</f>
        <v>[effect:fix_speed, target:myself, turn:1],[effect:panel_freeze, target:normal, color:block_green, count:1],[effect:rush, count:1, val:1]</v>
      </c>
      <c r="N2" s="92" t="str">
        <f>IFERROR(LEFT(M2,FIND("],",M2)+S13),M2)</f>
        <v>[effect:fix_speed, target:myself, turn:1],[effect:panel_freeze, target:normal, color:block_green, count:1],[effect:rush, count:1, val:1]</v>
      </c>
      <c r="O2" s="96">
        <f>FIND("effect:",N2)+7</f>
        <v>9</v>
      </c>
      <c r="P2" s="96">
        <f>IFERROR(FIND(",",N2),LEN(N2))</f>
        <v>18</v>
      </c>
      <c r="Q2" s="96">
        <f>FIND("target:",N2)+7</f>
        <v>27</v>
      </c>
      <c r="R2" s="96">
        <f>FIND(",",N2,P2+1)</f>
        <v>33</v>
      </c>
      <c r="S2" s="96" t="str">
        <f>IFERROR(VLOOKUP(MID(N2,Q2,R2-Q2),[5]skilldef!$C:$D,2,FALSE),"-") &amp; " / " &amp; IFERROR(VLOOKUP(MID(N2,O2,P2-O2),[5]skilldef!$A:$B,2,FALSE),"-")</f>
        <v>自分自身に / 行動値設定</v>
      </c>
      <c r="T2" s="92" t="str">
        <f>IFERROR(RIGHT(M2,LEN(M2)-FIND("],",M2)-1),"none")</f>
        <v>[effect:panel_freeze, target:normal, color:block_green, count:1],[effect:rush, count:1, val:1]</v>
      </c>
      <c r="U2" s="96">
        <f>FIND("effect:",T2)+7</f>
        <v>9</v>
      </c>
      <c r="V2" s="96">
        <f>IFERROR(FIND(",",T2),LEN(T2))</f>
        <v>21</v>
      </c>
      <c r="W2" s="96">
        <f>FIND("target:",T2)+7</f>
        <v>30</v>
      </c>
      <c r="X2" s="96">
        <f>FIND(",",T2,V2+1)</f>
        <v>36</v>
      </c>
      <c r="Y2" s="96" t="str">
        <f>IFERROR(VLOOKUP(MID(T2,W2,X2-W2),[5]skilldef!$C:$D,2,FALSE),"-") &amp; " / " &amp; IFERROR(VLOOKUP(MID(T2,U2,V2-U2),[5]skilldef!$A:$B,2,FALSE),"-")</f>
        <v>- / -</v>
      </c>
      <c r="Z2" s="96" t="s">
        <v>258</v>
      </c>
      <c r="AA2" s="97"/>
      <c r="AB2" s="95"/>
      <c r="AC2" s="49" t="str">
        <f t="shared" ref="AC2:AC19" si="0">"[effect:enemy_message, val1:"&amp;TEXT(IF(E2="[表示しない]", "0", IF(LEN(CLEAN(E2))*0.1&lt;1.2, 1.2, LEN(CLEAN(E2))*0.1)), "0.0")&amp;", val2:"&amp;TEXT(IF(F2="[表示しない]", "0", IF(LEN(CLEAN(F2))*0.1&lt;1.2, 1.2, LEN(CLEAN(F2))*0.1)),"0.0")&amp;IF(AD2="escape",", dead_type:escape]","]")</f>
        <v>[effect:enemy_message, val1:1.2, val2:2.0]</v>
      </c>
    </row>
    <row r="3" spans="1:31" ht="21" customHeight="1" x14ac:dyDescent="0.15">
      <c r="A3" s="92">
        <v>30048002</v>
      </c>
      <c r="B3" s="92" t="s">
        <v>472</v>
      </c>
      <c r="C3" s="95">
        <v>3</v>
      </c>
      <c r="D3" s="95" t="s">
        <v>127</v>
      </c>
      <c r="E3" s="96" t="s">
        <v>327</v>
      </c>
      <c r="F3" s="96" t="s">
        <v>397</v>
      </c>
      <c r="G3" s="96" t="str">
        <f t="shared" ref="G3:G17" si="1">IFERROR(LEFT(B3,FIND("],",B3)),B3)</f>
        <v>[effect:enemy_message, val1:1.2, val2:1.6]</v>
      </c>
      <c r="H3" s="96">
        <f t="shared" ref="H3:H19" si="2">FIND("effect:",G3)+7</f>
        <v>9</v>
      </c>
      <c r="I3" s="96">
        <f t="shared" ref="I3:I17" si="3">IFERROR(FIND(",",G3),LEN(G3))</f>
        <v>22</v>
      </c>
      <c r="J3" s="96" t="e">
        <f t="shared" ref="J3:J17" si="4">FIND("target:",G3)+7</f>
        <v>#VALUE!</v>
      </c>
      <c r="K3" s="96">
        <f t="shared" ref="K3:K17" si="5">FIND(",",G3,I3+1)</f>
        <v>32</v>
      </c>
      <c r="L3" s="96" t="str">
        <f>IFERROR(VLOOKUP(MID(G3,J3,K3-J3),[5]skilldef!$C:$D,2,FALSE),"-") &amp; " / " &amp; IFERROR(VLOOKUP(MID(G3,H3,I3-H3),[5]skilldef!$A:$B,2,FALSE),"-")</f>
        <v>- / -</v>
      </c>
      <c r="M3" s="96" t="str">
        <f t="shared" ref="M3:M17" si="6">IFERROR(RIGHT(B3,LEN(B3)-FIND("],",B3)-1),"none")</f>
        <v>[effect:force_change_block, new_block:block_green, target:block_all, ignore01:crash, ignore02:crack_bomb, ignore03:color_break, ignore04:block_green, ignore05:magnet, count:1, val:0, animation:change_block]</v>
      </c>
      <c r="N3" s="92" t="str">
        <f>IFERROR(LEFT(M3,FIND("],",M3)+S14),M3)</f>
        <v>[effect:force_change_block, new_block:block_green, target:block_all, ignore01:crash, ignore02:crack_bomb, ignore03:color_break, ignore04:block_green, ignore05:magnet, count:1, val:0, animation:change_block]</v>
      </c>
      <c r="O3" s="96">
        <f t="shared" ref="O3:O19" si="7">FIND("effect:",N3)+7</f>
        <v>9</v>
      </c>
      <c r="P3" s="96">
        <f t="shared" ref="P3:P17" si="8">IFERROR(FIND(",",N3),LEN(N3))</f>
        <v>27</v>
      </c>
      <c r="Q3" s="96">
        <f t="shared" ref="Q3:Q17" si="9">FIND("target:",N3)+7</f>
        <v>59</v>
      </c>
      <c r="R3" s="96">
        <f t="shared" ref="R3:R17" si="10">FIND(",",N3,P3+1)</f>
        <v>50</v>
      </c>
      <c r="S3" s="96" t="str">
        <f>IFERROR(VLOOKUP(MID(N3,Q3,R3-Q3),[5]skilldef!$C:$D,2,FALSE),"-") &amp; " / " &amp; IFERROR(VLOOKUP(MID(N3,O3,P3-O3),[5]skilldef!$A:$B,2,FALSE),"-")</f>
        <v>- / -</v>
      </c>
      <c r="T3" s="92" t="str">
        <f t="shared" ref="T3:T17" si="11">IFERROR(RIGHT(M3,LEN(M3)-FIND("],",M3)-1),"none")</f>
        <v>none</v>
      </c>
      <c r="U3" s="96" t="e">
        <f t="shared" ref="U3:U19" si="12">FIND("effect:",T3)+7</f>
        <v>#VALUE!</v>
      </c>
      <c r="V3" s="96">
        <f t="shared" ref="V3:V17" si="13">IFERROR(FIND(",",T3),LEN(T3))</f>
        <v>4</v>
      </c>
      <c r="W3" s="96" t="e">
        <f t="shared" ref="W3:W17" si="14">FIND("target:",T3)+7</f>
        <v>#VALUE!</v>
      </c>
      <c r="X3" s="96" t="e">
        <f t="shared" ref="X3:X17" si="15">FIND(",",T3,V3+1)</f>
        <v>#VALUE!</v>
      </c>
      <c r="Y3" s="96" t="str">
        <f>IFERROR(VLOOKUP(MID(T3,W3,X3-W3),[5]skilldef!$C:$D,2,FALSE),"-") &amp; " / " &amp; IFERROR(VLOOKUP(MID(T3,U3,V3-U3),[5]skilldef!$A:$B,2,FALSE),"-")</f>
        <v>- / -</v>
      </c>
      <c r="Z3" s="96" t="s">
        <v>260</v>
      </c>
      <c r="AA3" s="97"/>
      <c r="AB3" s="95"/>
      <c r="AC3" s="49" t="str">
        <f t="shared" si="0"/>
        <v>[effect:enemy_message, val1:1.2, val2:1.6]</v>
      </c>
    </row>
    <row r="4" spans="1:31" ht="21" customHeight="1" x14ac:dyDescent="0.15">
      <c r="A4" s="92">
        <v>30048003</v>
      </c>
      <c r="B4" s="92" t="s">
        <v>473</v>
      </c>
      <c r="C4" s="95">
        <v>3</v>
      </c>
      <c r="D4" s="95" t="s">
        <v>127</v>
      </c>
      <c r="E4" s="96" t="s">
        <v>400</v>
      </c>
      <c r="F4" s="96" t="s">
        <v>401</v>
      </c>
      <c r="G4" s="96" t="str">
        <f t="shared" si="1"/>
        <v>[effect:enemy_message, val1:1.2, val2:1.2]</v>
      </c>
      <c r="H4" s="96">
        <f t="shared" si="2"/>
        <v>9</v>
      </c>
      <c r="I4" s="96">
        <f t="shared" si="3"/>
        <v>22</v>
      </c>
      <c r="J4" s="96" t="e">
        <f t="shared" si="4"/>
        <v>#VALUE!</v>
      </c>
      <c r="K4" s="96">
        <f t="shared" si="5"/>
        <v>32</v>
      </c>
      <c r="L4" s="96" t="str">
        <f>IFERROR(VLOOKUP(MID(G4,J4,K4-J4),[5]skilldef!$C:$D,2,FALSE),"-") &amp; " / " &amp; IFERROR(VLOOKUP(MID(G4,H4,I4-H4),[5]skilldef!$A:$B,2,FALSE),"-")</f>
        <v>- / -</v>
      </c>
      <c r="M4" s="96" t="str">
        <f t="shared" si="6"/>
        <v>[effect:fix_speed, target:myself, turn:1],[effect:critical, val:1.1, animation:enemy_critical]</v>
      </c>
      <c r="N4" s="92" t="str">
        <f>IFERROR(LEFT(M4,FIND("],",M4)+S15),M4)</f>
        <v>[effect:fix_speed, target:myself, turn:1],[effect:critical, val:1.1, animation:enemy_critical]</v>
      </c>
      <c r="O4" s="96">
        <f t="shared" si="7"/>
        <v>9</v>
      </c>
      <c r="P4" s="96">
        <f t="shared" si="8"/>
        <v>18</v>
      </c>
      <c r="Q4" s="96">
        <f t="shared" si="9"/>
        <v>27</v>
      </c>
      <c r="R4" s="96">
        <f t="shared" si="10"/>
        <v>33</v>
      </c>
      <c r="S4" s="96" t="str">
        <f>IFERROR(VLOOKUP(MID(N4,Q4,R4-Q4),[5]skilldef!$C:$D,2,FALSE),"-") &amp; " / " &amp; IFERROR(VLOOKUP(MID(N4,O4,P4-O4),[5]skilldef!$A:$B,2,FALSE),"-")</f>
        <v>自分自身に / 行動値設定</v>
      </c>
      <c r="T4" s="92" t="str">
        <f t="shared" si="11"/>
        <v>[effect:critical, val:1.1, animation:enemy_critical]</v>
      </c>
      <c r="U4" s="96">
        <f t="shared" si="12"/>
        <v>9</v>
      </c>
      <c r="V4" s="96">
        <f t="shared" si="13"/>
        <v>17</v>
      </c>
      <c r="W4" s="96" t="e">
        <f t="shared" si="14"/>
        <v>#VALUE!</v>
      </c>
      <c r="X4" s="96">
        <f t="shared" si="15"/>
        <v>26</v>
      </c>
      <c r="Y4" s="96" t="str">
        <f>IFERROR(VLOOKUP(MID(T4,W4,X4-W4),[5]skilldef!$C:$D,2,FALSE),"-") &amp; " / " &amp; IFERROR(VLOOKUP(MID(T4,U4,V4-U4),[5]skilldef!$A:$B,2,FALSE),"-")</f>
        <v>- / 大攻撃</v>
      </c>
      <c r="Z4" s="96" t="s">
        <v>263</v>
      </c>
      <c r="AA4" s="97"/>
      <c r="AB4" s="95"/>
      <c r="AC4" s="49" t="str">
        <f t="shared" si="0"/>
        <v>[effect:enemy_message, val1:1.2, val2:1.2]</v>
      </c>
    </row>
    <row r="5" spans="1:31" ht="21" customHeight="1" x14ac:dyDescent="0.15">
      <c r="A5" s="92">
        <v>30048004</v>
      </c>
      <c r="B5" s="92" t="s">
        <v>474</v>
      </c>
      <c r="C5" s="95">
        <v>3</v>
      </c>
      <c r="D5" s="95" t="s">
        <v>127</v>
      </c>
      <c r="E5" s="96" t="s">
        <v>455</v>
      </c>
      <c r="F5" s="96" t="s">
        <v>356</v>
      </c>
      <c r="G5" s="96" t="str">
        <f t="shared" si="1"/>
        <v>[effect:enemy_message, val1:1.5, val2:1.2]</v>
      </c>
      <c r="H5" s="96">
        <f t="shared" si="2"/>
        <v>9</v>
      </c>
      <c r="I5" s="96">
        <f t="shared" si="3"/>
        <v>22</v>
      </c>
      <c r="J5" s="96" t="e">
        <f t="shared" si="4"/>
        <v>#VALUE!</v>
      </c>
      <c r="K5" s="96">
        <f t="shared" si="5"/>
        <v>32</v>
      </c>
      <c r="L5" s="96" t="str">
        <f>IFERROR(VLOOKUP(MID(G5,J5,K5-J5),[5]skilldef!$C:$D,2,FALSE),"-") &amp; " / " &amp; IFERROR(VLOOKUP(MID(G5,H5,I5-H5),[5]skilldef!$A:$B,2,FALSE),"-")</f>
        <v>- / -</v>
      </c>
      <c r="M5" s="96" t="str">
        <f t="shared" si="6"/>
        <v>[effect:fix_speed, target:myself, turn:2],[effect:change_panel_ratio, turn:-1, block_type:green, val:0.3, animation:block_incidence04]</v>
      </c>
      <c r="N5" s="92" t="str">
        <f>IFERROR(LEFT(M5,FIND("],",M5)+S16),M5)</f>
        <v>[effect:fix_speed, target:myself, turn:2],[effect:change_panel_ratio, turn:-1, block_type:green, val:0.3, animation:block_incidence04]</v>
      </c>
      <c r="O5" s="96">
        <f t="shared" si="7"/>
        <v>9</v>
      </c>
      <c r="P5" s="96">
        <f t="shared" si="8"/>
        <v>18</v>
      </c>
      <c r="Q5" s="96">
        <f t="shared" si="9"/>
        <v>27</v>
      </c>
      <c r="R5" s="96">
        <f t="shared" si="10"/>
        <v>33</v>
      </c>
      <c r="S5" s="96" t="str">
        <f>IFERROR(VLOOKUP(MID(N5,Q5,R5-Q5),[5]skilldef!$C:$D,2,FALSE),"-") &amp; " / " &amp; IFERROR(VLOOKUP(MID(N5,O5,P5-O5),[5]skilldef!$A:$B,2,FALSE),"-")</f>
        <v>自分自身に / 行動値設定</v>
      </c>
      <c r="T5" s="92" t="str">
        <f t="shared" si="11"/>
        <v>[effect:change_panel_ratio, turn:-1, block_type:green, val:0.3, animation:block_incidence04]</v>
      </c>
      <c r="U5" s="96">
        <f t="shared" si="12"/>
        <v>9</v>
      </c>
      <c r="V5" s="96">
        <f t="shared" si="13"/>
        <v>27</v>
      </c>
      <c r="W5" s="96" t="e">
        <f t="shared" si="14"/>
        <v>#VALUE!</v>
      </c>
      <c r="X5" s="96">
        <f t="shared" si="15"/>
        <v>36</v>
      </c>
      <c r="Y5" s="96" t="str">
        <f>IFERROR(VLOOKUP(MID(T5,W5,X5-W5),[5]skilldef!$C:$D,2,FALSE),"-") &amp; " / " &amp; IFERROR(VLOOKUP(MID(T5,U5,V5-U5),[5]skilldef!$A:$B,2,FALSE),"-")</f>
        <v>- / -</v>
      </c>
      <c r="Z5" s="96" t="s">
        <v>270</v>
      </c>
      <c r="AA5" s="97"/>
      <c r="AB5" s="95"/>
      <c r="AC5" s="49" t="str">
        <f t="shared" si="0"/>
        <v>[effect:enemy_message, val1:1.5, val2:1.2]</v>
      </c>
    </row>
    <row r="6" spans="1:31" ht="21" customHeight="1" x14ac:dyDescent="0.15">
      <c r="A6" s="92">
        <v>30048005</v>
      </c>
      <c r="B6" s="92" t="s">
        <v>475</v>
      </c>
      <c r="C6" s="95">
        <v>3</v>
      </c>
      <c r="D6" s="95" t="s">
        <v>127</v>
      </c>
      <c r="E6" s="96" t="s">
        <v>329</v>
      </c>
      <c r="F6" s="96" t="s">
        <v>361</v>
      </c>
      <c r="G6" s="96" t="str">
        <f t="shared" ref="G6" si="16">IFERROR(LEFT(B6,FIND("],",B6)),B6)</f>
        <v>[effect:enemy_message, val1:1.2, val2:1.4]</v>
      </c>
      <c r="H6" s="96">
        <f t="shared" ref="H6" si="17">FIND("effect:",G6)+7</f>
        <v>9</v>
      </c>
      <c r="I6" s="96">
        <f t="shared" ref="I6" si="18">IFERROR(FIND(",",G6),LEN(G6))</f>
        <v>22</v>
      </c>
      <c r="J6" s="96" t="e">
        <f t="shared" ref="J6" si="19">FIND("target:",G6)+7</f>
        <v>#VALUE!</v>
      </c>
      <c r="K6" s="96">
        <f t="shared" ref="K6" si="20">FIND(",",G6,I6+1)</f>
        <v>32</v>
      </c>
      <c r="L6" s="96" t="str">
        <f>IFERROR(VLOOKUP(MID(G6,J6,K6-J6),[5]skilldef!$C:$D,2,FALSE),"-") &amp; " / " &amp; IFERROR(VLOOKUP(MID(G6,H6,I6-H6),[5]skilldef!$A:$B,2,FALSE),"-")</f>
        <v>- / -</v>
      </c>
      <c r="M6" s="96" t="str">
        <f t="shared" ref="M6" si="21">IFERROR(RIGHT(B6,LEN(B6)-FIND("],",B6)-1),"none")</f>
        <v>[effect:panel_freeze, target:normal, color:block_green, count:-1],[effect:rush, count:1, val:1]</v>
      </c>
      <c r="N6" s="92" t="str">
        <f>IFERROR(LEFT(M6,FIND("],",M6)+S17),M6)</f>
        <v>[effect:panel_freeze, target:normal, color:block_green, count:-1],[effect:rush, count:1, val:1]</v>
      </c>
      <c r="O6" s="96">
        <f t="shared" ref="O6" si="22">FIND("effect:",N6)+7</f>
        <v>9</v>
      </c>
      <c r="P6" s="96">
        <f t="shared" ref="P6" si="23">IFERROR(FIND(",",N6),LEN(N6))</f>
        <v>21</v>
      </c>
      <c r="Q6" s="96">
        <f t="shared" ref="Q6" si="24">FIND("target:",N6)+7</f>
        <v>30</v>
      </c>
      <c r="R6" s="96">
        <f t="shared" ref="R6" si="25">FIND(",",N6,P6+1)</f>
        <v>36</v>
      </c>
      <c r="S6" s="96" t="str">
        <f>IFERROR(VLOOKUP(MID(N6,Q6,R6-Q6),[5]skilldef!$C:$D,2,FALSE),"-") &amp; " / " &amp; IFERROR(VLOOKUP(MID(N6,O6,P6-O6),[5]skilldef!$A:$B,2,FALSE),"-")</f>
        <v>- / -</v>
      </c>
      <c r="T6" s="92" t="str">
        <f t="shared" ref="T6" si="26">IFERROR(RIGHT(M6,LEN(M6)-FIND("],",M6)-1),"none")</f>
        <v>[effect:rush, count:1, val:1]</v>
      </c>
      <c r="U6" s="96">
        <f t="shared" ref="U6" si="27">FIND("effect:",T6)+7</f>
        <v>9</v>
      </c>
      <c r="V6" s="96">
        <f t="shared" ref="V6" si="28">IFERROR(FIND(",",T6),LEN(T6))</f>
        <v>13</v>
      </c>
      <c r="W6" s="96" t="e">
        <f t="shared" ref="W6" si="29">FIND("target:",T6)+7</f>
        <v>#VALUE!</v>
      </c>
      <c r="X6" s="96">
        <f t="shared" ref="X6" si="30">FIND(",",T6,V6+1)</f>
        <v>22</v>
      </c>
      <c r="Y6" s="96" t="str">
        <f>IFERROR(VLOOKUP(MID(T6,W6,X6-W6),[5]skilldef!$C:$D,2,FALSE),"-") &amp; " / " &amp; IFERROR(VLOOKUP(MID(T6,U6,V6-U6),[5]skilldef!$A:$B,2,FALSE),"-")</f>
        <v>- / 連続攻撃</v>
      </c>
      <c r="Z6" s="96" t="s">
        <v>270</v>
      </c>
      <c r="AA6" s="97"/>
      <c r="AB6" s="95"/>
      <c r="AC6" s="49" t="str">
        <f t="shared" ref="AC6" si="31">"[effect:enemy_message, val1:"&amp;TEXT(IF(E6="[表示しない]", "0", IF(LEN(CLEAN(E6))*0.1&lt;1.2, 1.2, LEN(CLEAN(E6))*0.1)), "0.0")&amp;", val2:"&amp;TEXT(IF(F6="[表示しない]", "0", IF(LEN(CLEAN(F6))*0.1&lt;1.2, 1.2, LEN(CLEAN(F6))*0.1)),"0.0")&amp;IF(AD6="escape",", dead_type:escape]","]")</f>
        <v>[effect:enemy_message, val1:1.2, val2:1.4]</v>
      </c>
    </row>
    <row r="7" spans="1:31" ht="21" customHeight="1" x14ac:dyDescent="0.15">
      <c r="A7" s="92">
        <v>30048006</v>
      </c>
      <c r="B7" s="92" t="s">
        <v>476</v>
      </c>
      <c r="C7" s="95">
        <v>3</v>
      </c>
      <c r="D7" s="95" t="s">
        <v>127</v>
      </c>
      <c r="E7" s="96" t="s">
        <v>457</v>
      </c>
      <c r="F7" s="96" t="s">
        <v>383</v>
      </c>
      <c r="G7" s="96" t="str">
        <f t="shared" si="1"/>
        <v>[effect:enemy_message, val1:1.9, val2:2.0]</v>
      </c>
      <c r="H7" s="96">
        <f t="shared" si="2"/>
        <v>9</v>
      </c>
      <c r="I7" s="96">
        <f t="shared" si="3"/>
        <v>22</v>
      </c>
      <c r="J7" s="96" t="e">
        <f t="shared" si="4"/>
        <v>#VALUE!</v>
      </c>
      <c r="K7" s="96">
        <f t="shared" si="5"/>
        <v>32</v>
      </c>
      <c r="L7" s="96" t="str">
        <f>IFERROR(VLOOKUP(MID(G7,J7,K7-J7),[5]skilldef!$C:$D,2,FALSE),"-") &amp; " / " &amp; IFERROR(VLOOKUP(MID(G7,H7,I7-H7),[5]skilldef!$A:$B,2,FALSE),"-")</f>
        <v>- / -</v>
      </c>
      <c r="M7" s="96" t="str">
        <f t="shared" si="6"/>
        <v>[effect:degrade_unit, target:unit_all, turn:3, status:heal, val:0.1, calc:mul, animation:degrade_unit_all_heal]</v>
      </c>
      <c r="N7" s="92" t="str">
        <f t="shared" ref="N7:N9" si="32">IFERROR(LEFT(M7,FIND("],",M7)+S17),M7)</f>
        <v>[effect:degrade_unit, target:unit_all, turn:3, status:heal, val:0.1, calc:mul, animation:degrade_unit_all_heal]</v>
      </c>
      <c r="O7" s="96">
        <f t="shared" si="7"/>
        <v>9</v>
      </c>
      <c r="P7" s="96">
        <f t="shared" si="8"/>
        <v>21</v>
      </c>
      <c r="Q7" s="96">
        <f t="shared" si="9"/>
        <v>30</v>
      </c>
      <c r="R7" s="96">
        <f t="shared" si="10"/>
        <v>38</v>
      </c>
      <c r="S7" s="96" t="str">
        <f>IFERROR(VLOOKUP(MID(N7,Q7,R7-Q7),[5]skilldef!$C:$D,2,FALSE),"-") &amp; " / " &amp; IFERROR(VLOOKUP(MID(N7,O7,P7-O7),[5]skilldef!$A:$B,2,FALSE),"-")</f>
        <v>味方全体に / ステータスDOWN</v>
      </c>
      <c r="T7" s="92" t="str">
        <f t="shared" si="11"/>
        <v>none</v>
      </c>
      <c r="U7" s="96" t="e">
        <f t="shared" si="12"/>
        <v>#VALUE!</v>
      </c>
      <c r="V7" s="96">
        <f t="shared" si="13"/>
        <v>4</v>
      </c>
      <c r="W7" s="96" t="e">
        <f t="shared" si="14"/>
        <v>#VALUE!</v>
      </c>
      <c r="X7" s="96" t="e">
        <f t="shared" si="15"/>
        <v>#VALUE!</v>
      </c>
      <c r="Y7" s="96" t="str">
        <f>IFERROR(VLOOKUP(MID(T7,W7,X7-W7),[5]skilldef!$C:$D,2,FALSE),"-") &amp; " / " &amp; IFERROR(VLOOKUP(MID(T7,U7,V7-U7),[5]skilldef!$A:$B,2,FALSE),"-")</f>
        <v>- / -</v>
      </c>
      <c r="Z7" s="96" t="s">
        <v>271</v>
      </c>
      <c r="AA7" s="97"/>
      <c r="AB7" s="95"/>
      <c r="AC7" s="49" t="str">
        <f t="shared" si="0"/>
        <v>[effect:enemy_message, val1:1.9, val2:2.0]</v>
      </c>
    </row>
    <row r="8" spans="1:31" ht="21" customHeight="1" x14ac:dyDescent="0.15">
      <c r="A8" s="92">
        <v>30048007</v>
      </c>
      <c r="B8" s="92" t="s">
        <v>477</v>
      </c>
      <c r="C8" s="95">
        <v>3</v>
      </c>
      <c r="D8" s="95" t="s">
        <v>127</v>
      </c>
      <c r="E8" s="96" t="s">
        <v>331</v>
      </c>
      <c r="F8" s="96" t="s">
        <v>357</v>
      </c>
      <c r="G8" s="96" t="str">
        <f t="shared" si="1"/>
        <v>[effect:enemy_message, val1:1.2, val2:2.2]</v>
      </c>
      <c r="H8" s="96">
        <f t="shared" si="2"/>
        <v>9</v>
      </c>
      <c r="I8" s="96">
        <f t="shared" si="3"/>
        <v>22</v>
      </c>
      <c r="J8" s="96" t="e">
        <f t="shared" si="4"/>
        <v>#VALUE!</v>
      </c>
      <c r="K8" s="96">
        <f t="shared" si="5"/>
        <v>32</v>
      </c>
      <c r="L8" s="96" t="str">
        <f>IFERROR(VLOOKUP(MID(G8,J8,K8-J8),[5]skilldef!$C:$D,2,FALSE),"-") &amp; " / " &amp; IFERROR(VLOOKUP(MID(G8,H8,I8-H8),[5]skilldef!$A:$B,2,FALSE),"-")</f>
        <v>- / -</v>
      </c>
      <c r="M8" s="96" t="str">
        <f t="shared" si="6"/>
        <v>[effect:fix_speed, target:myself, turn:1],[effect:panel_freeze, target:normal, color:block_heart, count:1],[effect:rush, count:1, val:1]</v>
      </c>
      <c r="N8" s="92" t="str">
        <f t="shared" si="32"/>
        <v>[effect:fix_speed, target:myself, turn:1],[effect:panel_freeze, target:normal, color:block_heart, count:1],[effect:rush, count:1, val:1]</v>
      </c>
      <c r="O8" s="96">
        <f t="shared" si="7"/>
        <v>9</v>
      </c>
      <c r="P8" s="96">
        <f t="shared" si="8"/>
        <v>18</v>
      </c>
      <c r="Q8" s="96">
        <f t="shared" si="9"/>
        <v>27</v>
      </c>
      <c r="R8" s="96">
        <f t="shared" si="10"/>
        <v>33</v>
      </c>
      <c r="S8" s="96" t="str">
        <f>IFERROR(VLOOKUP(MID(N8,Q8,R8-Q8),[5]skilldef!$C:$D,2,FALSE),"-") &amp; " / " &amp; IFERROR(VLOOKUP(MID(N8,O8,P8-O8),[5]skilldef!$A:$B,2,FALSE),"-")</f>
        <v>自分自身に / 行動値設定</v>
      </c>
      <c r="T8" s="92" t="str">
        <f t="shared" si="11"/>
        <v>[effect:panel_freeze, target:normal, color:block_heart, count:1],[effect:rush, count:1, val:1]</v>
      </c>
      <c r="U8" s="96">
        <f t="shared" si="12"/>
        <v>9</v>
      </c>
      <c r="V8" s="96">
        <f t="shared" si="13"/>
        <v>21</v>
      </c>
      <c r="W8" s="96">
        <f t="shared" si="14"/>
        <v>30</v>
      </c>
      <c r="X8" s="96">
        <f t="shared" si="15"/>
        <v>36</v>
      </c>
      <c r="Y8" s="96" t="str">
        <f>IFERROR(VLOOKUP(MID(T8,W8,X8-W8),[5]skilldef!$C:$D,2,FALSE),"-") &amp; " / " &amp; IFERROR(VLOOKUP(MID(T8,U8,V8-U8),[5]skilldef!$A:$B,2,FALSE),"-")</f>
        <v>- / -</v>
      </c>
      <c r="Z8" s="96" t="s">
        <v>253</v>
      </c>
      <c r="AA8" s="97"/>
      <c r="AB8" s="95"/>
      <c r="AC8" s="49" t="str">
        <f t="shared" si="0"/>
        <v>[effect:enemy_message, val1:1.2, val2:2.2]</v>
      </c>
    </row>
    <row r="9" spans="1:31" ht="29" customHeight="1" x14ac:dyDescent="0.15">
      <c r="A9" s="92">
        <v>30048008</v>
      </c>
      <c r="B9" s="92" t="s">
        <v>478</v>
      </c>
      <c r="C9" s="95">
        <v>3</v>
      </c>
      <c r="D9" s="95" t="s">
        <v>127</v>
      </c>
      <c r="E9" s="96" t="s">
        <v>459</v>
      </c>
      <c r="F9" s="96" t="s">
        <v>384</v>
      </c>
      <c r="G9" s="96" t="str">
        <f t="shared" si="1"/>
        <v>[effect:enemy_message, val1:2.4, val2:2.7]</v>
      </c>
      <c r="H9" s="96">
        <f t="shared" si="2"/>
        <v>9</v>
      </c>
      <c r="I9" s="96">
        <f t="shared" si="3"/>
        <v>22</v>
      </c>
      <c r="J9" s="96" t="e">
        <f t="shared" si="4"/>
        <v>#VALUE!</v>
      </c>
      <c r="K9" s="96">
        <f t="shared" si="5"/>
        <v>32</v>
      </c>
      <c r="L9" s="96" t="str">
        <f>IFERROR(VLOOKUP(MID(G9,J9,K9-J9),[5]skilldef!$C:$D,2,FALSE),"-") &amp; " / " &amp; IFERROR(VLOOKUP(MID(G9,H9,I9-H9),[5]skilldef!$A:$B,2,FALSE),"-")</f>
        <v>- / -</v>
      </c>
      <c r="M9" s="96" t="str">
        <f t="shared" si="6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N9" s="92" t="str">
        <f t="shared" si="32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O9" s="96">
        <f t="shared" si="7"/>
        <v>9</v>
      </c>
      <c r="P9" s="96">
        <f t="shared" si="8"/>
        <v>18</v>
      </c>
      <c r="Q9" s="96">
        <f t="shared" si="9"/>
        <v>27</v>
      </c>
      <c r="R9" s="96">
        <f t="shared" si="10"/>
        <v>33</v>
      </c>
      <c r="S9" s="96" t="str">
        <f>IFERROR(VLOOKUP(MID(N9,Q9,R9-Q9),[5]skilldef!$C:$D,2,FALSE),"-") &amp; " / " &amp; IFERROR(VLOOKUP(MID(N9,O9,P9-O9),[5]skilldef!$A:$B,2,FALSE),"-")</f>
        <v>自分自身に / 行動値設定</v>
      </c>
      <c r="T9" s="92" t="str">
        <f t="shared" si="11"/>
        <v>[effect:enhance_enemy, target:myself, turn:2, status:defense, val:3000, calc:add, animation:enemy_enhance_defense],[effect:remove_enhancement, target:unit_all, target_effect:change_panel_ratio, target_type:all, status:green, animation:frozen_wave]</v>
      </c>
      <c r="U9" s="96">
        <f t="shared" si="12"/>
        <v>9</v>
      </c>
      <c r="V9" s="96">
        <f t="shared" si="13"/>
        <v>22</v>
      </c>
      <c r="W9" s="96">
        <f t="shared" si="14"/>
        <v>31</v>
      </c>
      <c r="X9" s="96">
        <f t="shared" si="15"/>
        <v>37</v>
      </c>
      <c r="Y9" s="96" t="str">
        <f>IFERROR(VLOOKUP(MID(T9,W9,X9-W9),[5]skilldef!$C:$D,2,FALSE),"-") &amp; " / " &amp; IFERROR(VLOOKUP(MID(T9,U9,V9-U9),[5]skilldef!$A:$B,2,FALSE),"-")</f>
        <v>自分自身に / ステータス強化</v>
      </c>
      <c r="Z9" s="96" t="s">
        <v>275</v>
      </c>
      <c r="AA9" s="97"/>
      <c r="AB9" s="95"/>
      <c r="AC9" s="49" t="str">
        <f t="shared" si="0"/>
        <v>[effect:enemy_message, val1:2.4, val2:2.7]</v>
      </c>
    </row>
    <row r="10" spans="1:31" ht="21" customHeight="1" x14ac:dyDescent="0.15">
      <c r="A10" s="92">
        <v>30048009</v>
      </c>
      <c r="B10" s="92" t="s">
        <v>479</v>
      </c>
      <c r="C10" s="95">
        <v>3</v>
      </c>
      <c r="D10" s="95" t="s">
        <v>127</v>
      </c>
      <c r="E10" s="96" t="s">
        <v>337</v>
      </c>
      <c r="F10" s="96" t="s">
        <v>362</v>
      </c>
      <c r="G10" s="96" t="str">
        <f t="shared" si="1"/>
        <v>[effect:enemy_message, val1:1.2, val2:1.2]</v>
      </c>
      <c r="H10" s="96">
        <f t="shared" si="2"/>
        <v>9</v>
      </c>
      <c r="I10" s="96">
        <f t="shared" si="3"/>
        <v>22</v>
      </c>
      <c r="J10" s="96" t="e">
        <f t="shared" si="4"/>
        <v>#VALUE!</v>
      </c>
      <c r="K10" s="96">
        <f t="shared" si="5"/>
        <v>32</v>
      </c>
      <c r="L10" s="96" t="str">
        <f>IFERROR(VLOOKUP(MID(G10,J10,K10-J10),[5]skilldef!$C:$D,2,FALSE),"-") &amp; " / " &amp; IFERROR(VLOOKUP(MID(G10,H10,I10-H10),[5]skilldef!$A:$B,2,FALSE),"-")</f>
        <v>- / -</v>
      </c>
      <c r="M10" s="96" t="str">
        <f t="shared" si="6"/>
        <v>[effect:panel_freeze, target:normal, color:block_green, count:-1]</v>
      </c>
      <c r="N10" s="92" t="str">
        <f t="shared" ref="N10:N25" si="33">IFERROR(LEFT(M10,FIND("],",M10)+S21),M10)</f>
        <v>[effect:panel_freeze, target:normal, color:block_green, count:-1]</v>
      </c>
      <c r="O10" s="96">
        <f t="shared" si="7"/>
        <v>9</v>
      </c>
      <c r="P10" s="96">
        <f t="shared" si="8"/>
        <v>21</v>
      </c>
      <c r="Q10" s="96">
        <f t="shared" si="9"/>
        <v>30</v>
      </c>
      <c r="R10" s="96">
        <f t="shared" si="10"/>
        <v>36</v>
      </c>
      <c r="S10" s="96" t="str">
        <f>IFERROR(VLOOKUP(MID(N10,Q10,R10-Q10),[5]skilldef!$C:$D,2,FALSE),"-") &amp; " / " &amp; IFERROR(VLOOKUP(MID(N10,O10,P10-O10),[5]skilldef!$A:$B,2,FALSE),"-")</f>
        <v>- / -</v>
      </c>
      <c r="T10" s="92" t="str">
        <f t="shared" si="11"/>
        <v>none</v>
      </c>
      <c r="U10" s="96" t="e">
        <f t="shared" si="12"/>
        <v>#VALUE!</v>
      </c>
      <c r="V10" s="96">
        <f t="shared" si="13"/>
        <v>4</v>
      </c>
      <c r="W10" s="96" t="e">
        <f t="shared" si="14"/>
        <v>#VALUE!</v>
      </c>
      <c r="X10" s="96" t="e">
        <f t="shared" si="15"/>
        <v>#VALUE!</v>
      </c>
      <c r="Y10" s="96" t="str">
        <f>IFERROR(VLOOKUP(MID(T10,W10,X10-W10),[5]skilldef!$C:$D,2,FALSE),"-") &amp; " / " &amp; IFERROR(VLOOKUP(MID(T10,U10,V10-U10),[5]skilldef!$A:$B,2,FALSE),"-")</f>
        <v>- / -</v>
      </c>
      <c r="Z10" s="96" t="s">
        <v>277</v>
      </c>
      <c r="AA10" s="97"/>
      <c r="AB10" s="95"/>
      <c r="AC10" s="49" t="str">
        <f t="shared" si="0"/>
        <v>[effect:enemy_message, val1:1.2, val2:1.2]</v>
      </c>
    </row>
    <row r="11" spans="1:31" ht="21" customHeight="1" x14ac:dyDescent="0.15">
      <c r="A11" s="92">
        <v>30048010</v>
      </c>
      <c r="B11" s="92" t="s">
        <v>480</v>
      </c>
      <c r="C11" s="95">
        <v>3</v>
      </c>
      <c r="D11" s="95" t="s">
        <v>127</v>
      </c>
      <c r="E11" s="96" t="s">
        <v>461</v>
      </c>
      <c r="F11" s="96" t="s">
        <v>283</v>
      </c>
      <c r="G11" s="96" t="str">
        <f t="shared" si="1"/>
        <v>[effect:enemy_message, val1:1.4, val2:1.2]</v>
      </c>
      <c r="H11" s="96">
        <f t="shared" si="2"/>
        <v>9</v>
      </c>
      <c r="I11" s="96">
        <f t="shared" si="3"/>
        <v>22</v>
      </c>
      <c r="J11" s="96" t="e">
        <f t="shared" si="4"/>
        <v>#VALUE!</v>
      </c>
      <c r="K11" s="96">
        <f t="shared" si="5"/>
        <v>32</v>
      </c>
      <c r="L11" s="96" t="str">
        <f>IFERROR(VLOOKUP(MID(G11,J11,K11-J11),[5]skilldef!$C:$D,2,FALSE),"-") &amp; " / " &amp; IFERROR(VLOOKUP(MID(G11,H11,I11-H11),[5]skilldef!$A:$B,2,FALSE),"-")</f>
        <v>- / -</v>
      </c>
      <c r="M11" s="96" t="str">
        <f t="shared" si="6"/>
        <v>[effect:break_attack_fix, target:unit_one, val:150, lowest_val:2500, count:-1, color:green, block01:block_green, ignore01:crash, ignore02:crack_bomb, ignore03:color_break, ignore04:magnet]</v>
      </c>
      <c r="N11" s="92" t="str">
        <f t="shared" si="33"/>
        <v>[effect:break_attack_fix, target:unit_one, val:150, lowest_val:2500, count:-1, color:green, block01:block_green, ignore01:crash, ignore02:crack_bomb, ignore03:color_break, ignore04:magnet]</v>
      </c>
      <c r="O11" s="96">
        <f t="shared" si="7"/>
        <v>9</v>
      </c>
      <c r="P11" s="96">
        <f t="shared" si="8"/>
        <v>25</v>
      </c>
      <c r="Q11" s="96">
        <f t="shared" si="9"/>
        <v>34</v>
      </c>
      <c r="R11" s="96">
        <f t="shared" si="10"/>
        <v>42</v>
      </c>
      <c r="S11" s="96" t="str">
        <f>IFERROR(VLOOKUP(MID(N11,Q11,R11-Q11),[5]skilldef!$C:$D,2,FALSE),"-") &amp; " / " &amp; IFERROR(VLOOKUP(MID(N11,O11,P11-O11),[5]skilldef!$A:$B,2,FALSE),"-")</f>
        <v>味方単体に / -</v>
      </c>
      <c r="T11" s="92" t="str">
        <f t="shared" si="11"/>
        <v>none</v>
      </c>
      <c r="U11" s="96" t="e">
        <f t="shared" si="12"/>
        <v>#VALUE!</v>
      </c>
      <c r="V11" s="96">
        <f t="shared" si="13"/>
        <v>4</v>
      </c>
      <c r="W11" s="96" t="e">
        <f t="shared" si="14"/>
        <v>#VALUE!</v>
      </c>
      <c r="X11" s="96" t="e">
        <f t="shared" si="15"/>
        <v>#VALUE!</v>
      </c>
      <c r="Y11" s="96" t="str">
        <f>IFERROR(VLOOKUP(MID(T11,W11,X11-W11),[5]skilldef!$C:$D,2,FALSE),"-") &amp; " / " &amp; IFERROR(VLOOKUP(MID(T11,U11,V11-U11),[5]skilldef!$A:$B,2,FALSE),"-")</f>
        <v>- / -</v>
      </c>
      <c r="Z11" s="96" t="s">
        <v>279</v>
      </c>
      <c r="AA11" s="97"/>
      <c r="AB11" s="95"/>
      <c r="AC11" s="49" t="str">
        <f t="shared" si="0"/>
        <v>[effect:enemy_message, val1:1.4, val2:1.2]</v>
      </c>
    </row>
    <row r="12" spans="1:31" ht="21" customHeight="1" x14ac:dyDescent="0.15">
      <c r="A12" s="92">
        <v>30048011</v>
      </c>
      <c r="B12" s="92" t="s">
        <v>481</v>
      </c>
      <c r="C12" s="95">
        <v>3</v>
      </c>
      <c r="D12" s="95" t="s">
        <v>127</v>
      </c>
      <c r="E12" s="96" t="s">
        <v>335</v>
      </c>
      <c r="F12" s="96" t="s">
        <v>385</v>
      </c>
      <c r="G12" s="96" t="str">
        <f t="shared" si="1"/>
        <v>[effect:enemy_message, val1:1.2, val2:2.0]</v>
      </c>
      <c r="H12" s="96">
        <f t="shared" si="2"/>
        <v>9</v>
      </c>
      <c r="I12" s="96">
        <f t="shared" si="3"/>
        <v>22</v>
      </c>
      <c r="J12" s="96" t="e">
        <f t="shared" si="4"/>
        <v>#VALUE!</v>
      </c>
      <c r="K12" s="96">
        <f t="shared" si="5"/>
        <v>32</v>
      </c>
      <c r="L12" s="96" t="str">
        <f>IFERROR(VLOOKUP(MID(G12,J12,K12-J12),[5]skilldef!$C:$D,2,FALSE),"-") &amp; " / " &amp; IFERROR(VLOOKUP(MID(G12,H12,I12-H12),[5]skilldef!$A:$B,2,FALSE),"-")</f>
        <v>- / -</v>
      </c>
      <c r="M12" s="96" t="str">
        <f t="shared" si="6"/>
        <v>[effect:degrade_unit, target:unit_all, turn:3, status:attack, val:0.1, calc:mul]</v>
      </c>
      <c r="N12" s="92" t="str">
        <f t="shared" si="33"/>
        <v>[effect:degrade_unit, target:unit_all, turn:3, status:attack, val:0.1, calc:mul]</v>
      </c>
      <c r="O12" s="96">
        <f t="shared" si="7"/>
        <v>9</v>
      </c>
      <c r="P12" s="96">
        <f t="shared" si="8"/>
        <v>21</v>
      </c>
      <c r="Q12" s="96">
        <f t="shared" si="9"/>
        <v>30</v>
      </c>
      <c r="R12" s="96">
        <f t="shared" si="10"/>
        <v>38</v>
      </c>
      <c r="S12" s="96" t="str">
        <f>IFERROR(VLOOKUP(MID(N12,Q12,R12-Q12),[5]skilldef!$C:$D,2,FALSE),"-") &amp; " / " &amp; IFERROR(VLOOKUP(MID(N12,O12,P12-O12),[5]skilldef!$A:$B,2,FALSE),"-")</f>
        <v>味方全体に / ステータスDOWN</v>
      </c>
      <c r="T12" s="92" t="str">
        <f t="shared" si="11"/>
        <v>none</v>
      </c>
      <c r="U12" s="96" t="e">
        <f t="shared" si="12"/>
        <v>#VALUE!</v>
      </c>
      <c r="V12" s="96">
        <f t="shared" si="13"/>
        <v>4</v>
      </c>
      <c r="W12" s="96" t="e">
        <f t="shared" si="14"/>
        <v>#VALUE!</v>
      </c>
      <c r="X12" s="96" t="e">
        <f t="shared" si="15"/>
        <v>#VALUE!</v>
      </c>
      <c r="Y12" s="96" t="str">
        <f>IFERROR(VLOOKUP(MID(T12,W12,X12-W12),[5]skilldef!$C:$D,2,FALSE),"-") &amp; " / " &amp; IFERROR(VLOOKUP(MID(T12,U12,V12-U12),[5]skilldef!$A:$B,2,FALSE),"-")</f>
        <v>- / -</v>
      </c>
      <c r="Z12" s="96" t="s">
        <v>285</v>
      </c>
      <c r="AA12" s="97"/>
      <c r="AB12" s="95"/>
      <c r="AC12" s="49" t="str">
        <f t="shared" si="0"/>
        <v>[effect:enemy_message, val1:1.2, val2:2.0]</v>
      </c>
    </row>
    <row r="13" spans="1:31" ht="21" customHeight="1" x14ac:dyDescent="0.15">
      <c r="A13" s="92">
        <v>30048012</v>
      </c>
      <c r="B13" s="92" t="s">
        <v>482</v>
      </c>
      <c r="C13" s="95">
        <v>3</v>
      </c>
      <c r="D13" s="95" t="s">
        <v>127</v>
      </c>
      <c r="E13" s="96" t="s">
        <v>403</v>
      </c>
      <c r="F13" s="96" t="s">
        <v>356</v>
      </c>
      <c r="G13" s="96" t="str">
        <f t="shared" si="1"/>
        <v>[effect:enemy_message, val1:1.5, val2:1.2]</v>
      </c>
      <c r="H13" s="96">
        <f t="shared" si="2"/>
        <v>9</v>
      </c>
      <c r="I13" s="96">
        <f t="shared" si="3"/>
        <v>22</v>
      </c>
      <c r="J13" s="96" t="e">
        <f t="shared" si="4"/>
        <v>#VALUE!</v>
      </c>
      <c r="K13" s="96">
        <f t="shared" si="5"/>
        <v>32</v>
      </c>
      <c r="L13" s="96" t="str">
        <f>IFERROR(VLOOKUP(MID(G13,J13,K13-J13),[5]skilldef!$C:$D,2,FALSE),"-") &amp; " / " &amp; IFERROR(VLOOKUP(MID(G13,H13,I13-H13),[5]skilldef!$A:$B,2,FALSE),"-")</f>
        <v>- / -</v>
      </c>
      <c r="M13" s="96" t="str">
        <f t="shared" si="6"/>
        <v>[effect:fix_speed, target:myself, turn:2],[effect:change_panel_ratio, turn:-1, block_type:green, val:0.4, animation:block_incidence04]</v>
      </c>
      <c r="N13" s="92" t="str">
        <f t="shared" si="33"/>
        <v>[effect:fix_speed, target:myself, turn:2],[effect:change_panel_ratio, turn:-1, block_type:green, val:0.4, animation:block_incidence04]</v>
      </c>
      <c r="O13" s="96">
        <f t="shared" si="7"/>
        <v>9</v>
      </c>
      <c r="P13" s="96">
        <f t="shared" si="8"/>
        <v>18</v>
      </c>
      <c r="Q13" s="96">
        <f t="shared" si="9"/>
        <v>27</v>
      </c>
      <c r="R13" s="96">
        <f t="shared" si="10"/>
        <v>33</v>
      </c>
      <c r="S13" s="96" t="str">
        <f>IFERROR(VLOOKUP(MID(N13,Q13,R13-Q13),[5]skilldef!$C:$D,2,FALSE),"-") &amp; " / " &amp; IFERROR(VLOOKUP(MID(N13,O13,P13-O13),[5]skilldef!$A:$B,2,FALSE),"-")</f>
        <v>自分自身に / 行動値設定</v>
      </c>
      <c r="T13" s="92" t="str">
        <f t="shared" si="11"/>
        <v>[effect:change_panel_ratio, turn:-1, block_type:green, val:0.4, animation:block_incidence04]</v>
      </c>
      <c r="U13" s="96">
        <f t="shared" si="12"/>
        <v>9</v>
      </c>
      <c r="V13" s="96">
        <f t="shared" si="13"/>
        <v>27</v>
      </c>
      <c r="W13" s="96" t="e">
        <f t="shared" si="14"/>
        <v>#VALUE!</v>
      </c>
      <c r="X13" s="96">
        <f t="shared" si="15"/>
        <v>36</v>
      </c>
      <c r="Y13" s="96" t="str">
        <f>IFERROR(VLOOKUP(MID(T13,W13,X13-W13),[5]skilldef!$C:$D,2,FALSE),"-") &amp; " / " &amp; IFERROR(VLOOKUP(MID(T13,U13,V13-U13),[5]skilldef!$A:$B,2,FALSE),"-")</f>
        <v>- / -</v>
      </c>
      <c r="Z13" s="96" t="s">
        <v>299</v>
      </c>
      <c r="AA13" s="97"/>
      <c r="AB13" s="95"/>
      <c r="AC13" s="49" t="str">
        <f t="shared" si="0"/>
        <v>[effect:enemy_message, val1:1.5, val2:1.2]</v>
      </c>
    </row>
    <row r="14" spans="1:31" ht="21" customHeight="1" x14ac:dyDescent="0.15">
      <c r="A14" s="92">
        <v>30048013</v>
      </c>
      <c r="B14" s="92" t="s">
        <v>483</v>
      </c>
      <c r="C14" s="95">
        <v>3</v>
      </c>
      <c r="D14" s="95" t="s">
        <v>127</v>
      </c>
      <c r="E14" s="96" t="s">
        <v>463</v>
      </c>
      <c r="F14" s="96" t="s">
        <v>363</v>
      </c>
      <c r="G14" s="96" t="str">
        <f t="shared" si="1"/>
        <v>[effect:enemy_message, val1:1.8, val2:1.4]</v>
      </c>
      <c r="H14" s="96">
        <f t="shared" si="2"/>
        <v>9</v>
      </c>
      <c r="I14" s="96">
        <f t="shared" si="3"/>
        <v>22</v>
      </c>
      <c r="J14" s="96" t="e">
        <f t="shared" si="4"/>
        <v>#VALUE!</v>
      </c>
      <c r="K14" s="96">
        <f t="shared" si="5"/>
        <v>32</v>
      </c>
      <c r="L14" s="96" t="str">
        <f>IFERROR(VLOOKUP(MID(G14,J14,K14-J14),[5]skilldef!$C:$D,2,FALSE),"-") &amp; " / " &amp; IFERROR(VLOOKUP(MID(G14,H14,I14-H14),[5]skilldef!$A:$B,2,FALSE),"-")</f>
        <v>- / -</v>
      </c>
      <c r="M14" s="96" t="str">
        <f t="shared" si="6"/>
        <v>[effect:panel_freeze, target:normal, color:block_green, count:-1],[effect:rush, count:1, val:1]</v>
      </c>
      <c r="N14" s="92" t="str">
        <f t="shared" si="33"/>
        <v>[effect:panel_freeze, target:normal, color:block_green, count:-1],[effect:rush, count:1, val:1]</v>
      </c>
      <c r="O14" s="96">
        <f t="shared" si="7"/>
        <v>9</v>
      </c>
      <c r="P14" s="96">
        <f t="shared" si="8"/>
        <v>21</v>
      </c>
      <c r="Q14" s="96">
        <f t="shared" si="9"/>
        <v>30</v>
      </c>
      <c r="R14" s="96">
        <f t="shared" si="10"/>
        <v>36</v>
      </c>
      <c r="S14" s="96" t="str">
        <f>IFERROR(VLOOKUP(MID(N14,Q14,R14-Q14),[5]skilldef!$C:$D,2,FALSE),"-") &amp; " / " &amp; IFERROR(VLOOKUP(MID(N14,O14,P14-O14),[5]skilldef!$A:$B,2,FALSE),"-")</f>
        <v>- / -</v>
      </c>
      <c r="T14" s="92" t="str">
        <f t="shared" si="11"/>
        <v>[effect:rush, count:1, val:1]</v>
      </c>
      <c r="U14" s="96">
        <f t="shared" si="12"/>
        <v>9</v>
      </c>
      <c r="V14" s="96">
        <f t="shared" si="13"/>
        <v>13</v>
      </c>
      <c r="W14" s="96" t="e">
        <f t="shared" si="14"/>
        <v>#VALUE!</v>
      </c>
      <c r="X14" s="96">
        <f t="shared" si="15"/>
        <v>22</v>
      </c>
      <c r="Y14" s="96" t="str">
        <f>IFERROR(VLOOKUP(MID(T14,W14,X14-W14),[5]skilldef!$C:$D,2,FALSE),"-") &amp; " / " &amp; IFERROR(VLOOKUP(MID(T14,U14,V14-U14),[5]skilldef!$A:$B,2,FALSE),"-")</f>
        <v>- / 連続攻撃</v>
      </c>
      <c r="Z14" s="96" t="s">
        <v>300</v>
      </c>
      <c r="AA14" s="97"/>
      <c r="AB14" s="95"/>
      <c r="AC14" s="49" t="str">
        <f t="shared" si="0"/>
        <v>[effect:enemy_message, val1:1.8, val2:1.4]</v>
      </c>
    </row>
    <row r="15" spans="1:31" ht="21" customHeight="1" x14ac:dyDescent="0.15">
      <c r="A15" s="92">
        <v>30048014</v>
      </c>
      <c r="B15" s="92" t="s">
        <v>484</v>
      </c>
      <c r="C15" s="95">
        <v>3</v>
      </c>
      <c r="D15" s="95" t="s">
        <v>127</v>
      </c>
      <c r="E15" s="96" t="s">
        <v>465</v>
      </c>
      <c r="F15" s="96" t="s">
        <v>283</v>
      </c>
      <c r="G15" s="96" t="str">
        <f t="shared" si="1"/>
        <v>[effect:enemy_message, val1:1.9, val2:1.2]</v>
      </c>
      <c r="H15" s="96">
        <f t="shared" si="2"/>
        <v>9</v>
      </c>
      <c r="I15" s="96">
        <f t="shared" si="3"/>
        <v>22</v>
      </c>
      <c r="J15" s="96" t="e">
        <f t="shared" si="4"/>
        <v>#VALUE!</v>
      </c>
      <c r="K15" s="96">
        <f t="shared" si="5"/>
        <v>32</v>
      </c>
      <c r="L15" s="96" t="str">
        <f>IFERROR(VLOOKUP(MID(G15,J15,K15-J15),[5]skilldef!$C:$D,2,FALSE),"-") &amp; " / " &amp; IFERROR(VLOOKUP(MID(G15,H15,I15-H15),[5]skilldef!$A:$B,2,FALSE),"-")</f>
        <v>- / -</v>
      </c>
      <c r="M15" s="96" t="str">
        <f t="shared" si="6"/>
        <v>[effect:break_attack_fix, target:unit_one, val:100, lowest_val:3000, count:-1, color:green, block01:block_green, ignore01:crash, ignore02:crack_bomb, ignore03:color_break, ignore04:magnet]</v>
      </c>
      <c r="N15" s="92" t="str">
        <f t="shared" si="33"/>
        <v>[effect:break_attack_fix, target:unit_one, val:100, lowest_val:3000, count:-1, color:green, block01:block_green, ignore01:crash, ignore02:crack_bomb, ignore03:color_break, ignore04:magnet]</v>
      </c>
      <c r="O15" s="96">
        <f t="shared" si="7"/>
        <v>9</v>
      </c>
      <c r="P15" s="96">
        <f t="shared" si="8"/>
        <v>25</v>
      </c>
      <c r="Q15" s="96">
        <f t="shared" si="9"/>
        <v>34</v>
      </c>
      <c r="R15" s="96">
        <f t="shared" si="10"/>
        <v>42</v>
      </c>
      <c r="S15" s="96" t="str">
        <f>IFERROR(VLOOKUP(MID(N15,Q15,R15-Q15),[5]skilldef!$C:$D,2,FALSE),"-") &amp; " / " &amp; IFERROR(VLOOKUP(MID(N15,O15,P15-O15),[5]skilldef!$A:$B,2,FALSE),"-")</f>
        <v>味方単体に / -</v>
      </c>
      <c r="T15" s="92" t="str">
        <f t="shared" si="11"/>
        <v>none</v>
      </c>
      <c r="U15" s="96" t="e">
        <f t="shared" si="12"/>
        <v>#VALUE!</v>
      </c>
      <c r="V15" s="96">
        <f t="shared" si="13"/>
        <v>4</v>
      </c>
      <c r="W15" s="96" t="e">
        <f t="shared" si="14"/>
        <v>#VALUE!</v>
      </c>
      <c r="X15" s="96" t="e">
        <f t="shared" si="15"/>
        <v>#VALUE!</v>
      </c>
      <c r="Y15" s="96" t="str">
        <f>IFERROR(VLOOKUP(MID(T15,W15,X15-W15),[5]skilldef!$C:$D,2,FALSE),"-") &amp; " / " &amp; IFERROR(VLOOKUP(MID(T15,U15,V15-U15),[5]skilldef!$A:$B,2,FALSE),"-")</f>
        <v>- / -</v>
      </c>
      <c r="Z15" s="96" t="s">
        <v>301</v>
      </c>
      <c r="AA15" s="97"/>
      <c r="AB15" s="95"/>
      <c r="AC15" s="49" t="str">
        <f t="shared" si="0"/>
        <v>[effect:enemy_message, val1:1.9, val2:1.2]</v>
      </c>
    </row>
    <row r="16" spans="1:31" ht="21" customHeight="1" x14ac:dyDescent="0.15">
      <c r="A16" s="92">
        <v>30048015</v>
      </c>
      <c r="B16" s="92" t="s">
        <v>485</v>
      </c>
      <c r="C16" s="95">
        <v>3</v>
      </c>
      <c r="D16" s="95" t="s">
        <v>127</v>
      </c>
      <c r="E16" s="96" t="s">
        <v>408</v>
      </c>
      <c r="F16" s="96" t="s">
        <v>358</v>
      </c>
      <c r="G16" s="96" t="str">
        <f t="shared" si="1"/>
        <v>[effect:enemy_message, val1:1.6, val2:1.4]</v>
      </c>
      <c r="H16" s="96">
        <f t="shared" si="2"/>
        <v>9</v>
      </c>
      <c r="I16" s="96">
        <f t="shared" si="3"/>
        <v>22</v>
      </c>
      <c r="J16" s="96" t="e">
        <f t="shared" si="4"/>
        <v>#VALUE!</v>
      </c>
      <c r="K16" s="96">
        <f t="shared" si="5"/>
        <v>32</v>
      </c>
      <c r="L16" s="96" t="str">
        <f>IFERROR(VLOOKUP(MID(G16,J16,K16-J16),[5]skilldef!$C:$D,2,FALSE),"-") &amp; " / " &amp; IFERROR(VLOOKUP(MID(G16,H16,I16-H16),[5]skilldef!$A:$B,2,FALSE),"-")</f>
        <v>- / -</v>
      </c>
      <c r="M16" s="96" t="str">
        <f t="shared" si="6"/>
        <v>[effect:fix_speed, target:myself, turn:1],[effect:remove_enhancement, target:unit_all, target_effect:change_panel_ratio, target_type:all, status:green, animation:frozen_wave]</v>
      </c>
      <c r="N16" s="92" t="str">
        <f t="shared" si="33"/>
        <v>[effect:fix_speed, target:myself, turn:1],[effect:remove_enhancement, target:unit_all, target_effect:change_panel_ratio, target_type:all, status:green, animation:frozen_wave]</v>
      </c>
      <c r="O16" s="96">
        <f t="shared" si="7"/>
        <v>9</v>
      </c>
      <c r="P16" s="96">
        <f t="shared" si="8"/>
        <v>18</v>
      </c>
      <c r="Q16" s="96">
        <f t="shared" si="9"/>
        <v>27</v>
      </c>
      <c r="R16" s="96">
        <f t="shared" si="10"/>
        <v>33</v>
      </c>
      <c r="S16" s="96" t="str">
        <f>IFERROR(VLOOKUP(MID(N16,Q16,R16-Q16),[5]skilldef!$C:$D,2,FALSE),"-") &amp; " / " &amp; IFERROR(VLOOKUP(MID(N16,O16,P16-O16),[5]skilldef!$A:$B,2,FALSE),"-")</f>
        <v>自分自身に / 行動値設定</v>
      </c>
      <c r="T16" s="92" t="str">
        <f t="shared" si="11"/>
        <v>[effect:remove_enhancement, target:unit_all, target_effect:change_panel_ratio, target_type:all, status:green, animation:frozen_wave]</v>
      </c>
      <c r="U16" s="96">
        <f t="shared" si="12"/>
        <v>9</v>
      </c>
      <c r="V16" s="96">
        <f t="shared" si="13"/>
        <v>27</v>
      </c>
      <c r="W16" s="96">
        <f t="shared" si="14"/>
        <v>36</v>
      </c>
      <c r="X16" s="96">
        <f t="shared" si="15"/>
        <v>44</v>
      </c>
      <c r="Y16" s="96" t="str">
        <f>IFERROR(VLOOKUP(MID(T16,W16,X16-W16),[5]skilldef!$C:$D,2,FALSE),"-") &amp; " / " &amp; IFERROR(VLOOKUP(MID(T16,U16,V16-U16),[5]skilldef!$A:$B,2,FALSE),"-")</f>
        <v>味方全体に / -</v>
      </c>
      <c r="Z16" s="96" t="s">
        <v>291</v>
      </c>
      <c r="AA16" s="97"/>
      <c r="AB16" s="95"/>
      <c r="AC16" s="49" t="str">
        <f t="shared" si="0"/>
        <v>[effect:enemy_message, val1:1.6, val2:1.4]</v>
      </c>
    </row>
    <row r="17" spans="1:29" ht="21" customHeight="1" x14ac:dyDescent="0.15">
      <c r="A17" s="92">
        <v>30048016</v>
      </c>
      <c r="B17" s="92" t="s">
        <v>486</v>
      </c>
      <c r="C17" s="95">
        <v>3</v>
      </c>
      <c r="D17" s="95" t="s">
        <v>127</v>
      </c>
      <c r="E17" s="96" t="s">
        <v>339</v>
      </c>
      <c r="F17" s="96" t="s">
        <v>359</v>
      </c>
      <c r="G17" s="96" t="str">
        <f t="shared" si="1"/>
        <v>[effect:enemy_message, val1:1.3, val2:2.4]</v>
      </c>
      <c r="H17" s="96">
        <f t="shared" si="2"/>
        <v>9</v>
      </c>
      <c r="I17" s="96">
        <f t="shared" si="3"/>
        <v>22</v>
      </c>
      <c r="J17" s="96" t="e">
        <f t="shared" si="4"/>
        <v>#VALUE!</v>
      </c>
      <c r="K17" s="96">
        <f t="shared" si="5"/>
        <v>32</v>
      </c>
      <c r="L17" s="96" t="str">
        <f>IFERROR(VLOOKUP(MID(G17,J17,K17-J17),[5]skilldef!$C:$D,2,FALSE),"-") &amp; " / " &amp; IFERROR(VLOOKUP(MID(G17,H17,I17-H17),[5]skilldef!$A:$B,2,FALSE),"-")</f>
        <v>- / -</v>
      </c>
      <c r="M17" s="96" t="str">
        <f t="shared" si="6"/>
        <v>[effect:panel_freeze, target:normal, count:2],[effect:rush, count:1, val:1]</v>
      </c>
      <c r="N17" s="92" t="str">
        <f t="shared" si="33"/>
        <v>[effect:panel_freeze, target:normal, count:2],[effect:rush, count:1, val:1]</v>
      </c>
      <c r="O17" s="96">
        <f t="shared" si="7"/>
        <v>9</v>
      </c>
      <c r="P17" s="96">
        <f t="shared" si="8"/>
        <v>21</v>
      </c>
      <c r="Q17" s="96">
        <f t="shared" si="9"/>
        <v>30</v>
      </c>
      <c r="R17" s="96">
        <f t="shared" si="10"/>
        <v>36</v>
      </c>
      <c r="S17" s="96" t="str">
        <f>IFERROR(VLOOKUP(MID(N17,Q17,R17-Q17),[5]skilldef!$C:$D,2,FALSE),"-") &amp; " / " &amp; IFERROR(VLOOKUP(MID(N17,O17,P17-O17),[5]skilldef!$A:$B,2,FALSE),"-")</f>
        <v>- / -</v>
      </c>
      <c r="T17" s="92" t="str">
        <f t="shared" si="11"/>
        <v>[effect:rush, count:1, val:1]</v>
      </c>
      <c r="U17" s="96">
        <f t="shared" si="12"/>
        <v>9</v>
      </c>
      <c r="V17" s="96">
        <f t="shared" si="13"/>
        <v>13</v>
      </c>
      <c r="W17" s="96" t="e">
        <f t="shared" si="14"/>
        <v>#VALUE!</v>
      </c>
      <c r="X17" s="96">
        <f t="shared" si="15"/>
        <v>22</v>
      </c>
      <c r="Y17" s="96" t="str">
        <f>IFERROR(VLOOKUP(MID(T17,W17,X17-W17),[5]skilldef!$C:$D,2,FALSE),"-") &amp; " / " &amp; IFERROR(VLOOKUP(MID(T17,U17,V17-U17),[5]skilldef!$A:$B,2,FALSE),"-")</f>
        <v>- / 連続攻撃</v>
      </c>
      <c r="Z17" s="96" t="s">
        <v>293</v>
      </c>
      <c r="AA17" s="97"/>
      <c r="AB17" s="95"/>
      <c r="AC17" s="49" t="str">
        <f t="shared" si="0"/>
        <v>[effect:enemy_message, val1:1.3, val2:2.4]</v>
      </c>
    </row>
    <row r="18" spans="1:29" ht="30" customHeight="1" x14ac:dyDescent="0.15">
      <c r="A18" s="92">
        <v>30048017</v>
      </c>
      <c r="B18" s="92" t="s">
        <v>487</v>
      </c>
      <c r="C18" s="95">
        <v>3</v>
      </c>
      <c r="D18" s="95" t="s">
        <v>127</v>
      </c>
      <c r="E18" s="96" t="s">
        <v>467</v>
      </c>
      <c r="F18" s="96" t="s">
        <v>386</v>
      </c>
      <c r="G18" s="96" t="str">
        <f t="shared" ref="G18:G19" si="34">IFERROR(LEFT(B18,FIND("],",B18)),B18)</f>
        <v>[effect:enemy_message, val1:1.6, val2:3.2]</v>
      </c>
      <c r="H18" s="96">
        <f t="shared" si="2"/>
        <v>9</v>
      </c>
      <c r="I18" s="96">
        <f t="shared" ref="I18:I19" si="35">IFERROR(FIND(",",G18),LEN(G18))</f>
        <v>22</v>
      </c>
      <c r="J18" s="96" t="e">
        <f t="shared" ref="J18:J19" si="36">FIND("target:",G18)+7</f>
        <v>#VALUE!</v>
      </c>
      <c r="K18" s="96">
        <f t="shared" ref="K18:K19" si="37">FIND(",",G18,I18+1)</f>
        <v>32</v>
      </c>
      <c r="L18" s="96" t="str">
        <f>IFERROR(VLOOKUP(MID(G18,J18,K18-J18),[5]skilldef!$C:$D,2,FALSE),"-") &amp; " / " &amp; IFERROR(VLOOKUP(MID(G18,H18,I18-H18),[5]skilldef!$A:$B,2,FALSE),"-")</f>
        <v>- / -</v>
      </c>
      <c r="M18" s="96" t="str">
        <f t="shared" ref="M18:M19" si="38">IFERROR(RIGHT(B18,LEN(B18)-FIND("],",B18)-1),"none")</f>
        <v>[effect:panel_freeze, target:normal, count:8],[effect:enhance_enemy, target:myself, turn:2, status:attack, val:1500, calc:add, animation:enemy_enhance_attack]</v>
      </c>
      <c r="N18" s="92" t="str">
        <f t="shared" si="33"/>
        <v>[effect:panel_freeze, target:normal, count:8],[effect:enhance_enemy, target:myself, turn:2, status:attack, val:1500, calc:add, animation:enemy_enhance_attack]</v>
      </c>
      <c r="O18" s="96">
        <f t="shared" si="7"/>
        <v>9</v>
      </c>
      <c r="P18" s="96">
        <f t="shared" ref="P18:P19" si="39">IFERROR(FIND(",",N18),LEN(N18))</f>
        <v>21</v>
      </c>
      <c r="Q18" s="96">
        <f t="shared" ref="Q18:Q19" si="40">FIND("target:",N18)+7</f>
        <v>30</v>
      </c>
      <c r="R18" s="96">
        <f t="shared" ref="R18:R19" si="41">FIND(",",N18,P18+1)</f>
        <v>36</v>
      </c>
      <c r="S18" s="96" t="str">
        <f>IFERROR(VLOOKUP(MID(N18,Q18,R18-Q18),[5]skilldef!$C:$D,2,FALSE),"-") &amp; " / " &amp; IFERROR(VLOOKUP(MID(N18,O18,P18-O18),[5]skilldef!$A:$B,2,FALSE),"-")</f>
        <v>- / -</v>
      </c>
      <c r="T18" s="92" t="str">
        <f t="shared" ref="T18:T19" si="42">IFERROR(RIGHT(M18,LEN(M18)-FIND("],",M18)-1),"none")</f>
        <v>[effect:enhance_enemy, target:myself, turn:2, status:attack, val:1500, calc:add, animation:enemy_enhance_attack]</v>
      </c>
      <c r="U18" s="96">
        <f t="shared" si="12"/>
        <v>9</v>
      </c>
      <c r="V18" s="96">
        <f t="shared" ref="V18:V19" si="43">IFERROR(FIND(",",T18),LEN(T18))</f>
        <v>22</v>
      </c>
      <c r="W18" s="96">
        <f t="shared" ref="W18:W19" si="44">FIND("target:",T18)+7</f>
        <v>31</v>
      </c>
      <c r="X18" s="96">
        <f t="shared" ref="X18:X19" si="45">FIND(",",T18,V18+1)</f>
        <v>37</v>
      </c>
      <c r="Y18" s="96" t="str">
        <f>IFERROR(VLOOKUP(MID(T18,W18,X18-W18),[5]skilldef!$C:$D,2,FALSE),"-") &amp; " / " &amp; IFERROR(VLOOKUP(MID(T18,U18,V18-U18),[5]skilldef!$A:$B,2,FALSE),"-")</f>
        <v>自分自身に / ステータス強化</v>
      </c>
      <c r="Z18" s="96" t="s">
        <v>295</v>
      </c>
      <c r="AA18" s="97"/>
      <c r="AB18" s="95"/>
      <c r="AC18" s="49" t="str">
        <f t="shared" si="0"/>
        <v>[effect:enemy_message, val1:1.6, val2:3.2]</v>
      </c>
    </row>
    <row r="19" spans="1:29" ht="21" customHeight="1" x14ac:dyDescent="0.15">
      <c r="A19" s="92">
        <v>30048018</v>
      </c>
      <c r="B19" s="92" t="s">
        <v>488</v>
      </c>
      <c r="C19" s="95">
        <v>3</v>
      </c>
      <c r="D19" s="95" t="s">
        <v>127</v>
      </c>
      <c r="E19" s="96" t="s">
        <v>469</v>
      </c>
      <c r="F19" s="96" t="s">
        <v>360</v>
      </c>
      <c r="G19" s="96" t="str">
        <f t="shared" si="34"/>
        <v>[effect:enemy_message, val1:1.6, val2:2.4]</v>
      </c>
      <c r="H19" s="96">
        <f t="shared" si="2"/>
        <v>9</v>
      </c>
      <c r="I19" s="96">
        <f t="shared" si="35"/>
        <v>22</v>
      </c>
      <c r="J19" s="96" t="e">
        <f t="shared" si="36"/>
        <v>#VALUE!</v>
      </c>
      <c r="K19" s="96">
        <f t="shared" si="37"/>
        <v>32</v>
      </c>
      <c r="L19" s="96" t="str">
        <f>IFERROR(VLOOKUP(MID(G19,J19,K19-J19),[5]skilldef!$C:$D,2,FALSE),"-") &amp; " / " &amp; IFERROR(VLOOKUP(MID(G19,H19,I19-H19),[5]skilldef!$A:$B,2,FALSE),"-")</f>
        <v>- / -</v>
      </c>
      <c r="M19" s="96" t="str">
        <f t="shared" si="38"/>
        <v>[effect:panel_freeze, target:normal, count:3],[effect:rush, count:1, val:1]</v>
      </c>
      <c r="N19" s="92" t="str">
        <f t="shared" si="33"/>
        <v>[effect:panel_freeze, target:normal, count:3],[effect:rush, count:1, val:1]</v>
      </c>
      <c r="O19" s="96">
        <f t="shared" si="7"/>
        <v>9</v>
      </c>
      <c r="P19" s="96">
        <f t="shared" si="39"/>
        <v>21</v>
      </c>
      <c r="Q19" s="96">
        <f t="shared" si="40"/>
        <v>30</v>
      </c>
      <c r="R19" s="96">
        <f t="shared" si="41"/>
        <v>36</v>
      </c>
      <c r="S19" s="96" t="str">
        <f>IFERROR(VLOOKUP(MID(N19,Q19,R19-Q19),[5]skilldef!$C:$D,2,FALSE),"-") &amp; " / " &amp; IFERROR(VLOOKUP(MID(N19,O19,P19-O19),[5]skilldef!$A:$B,2,FALSE),"-")</f>
        <v>- / -</v>
      </c>
      <c r="T19" s="92" t="str">
        <f t="shared" si="42"/>
        <v>[effect:rush, count:1, val:1]</v>
      </c>
      <c r="U19" s="96">
        <f t="shared" si="12"/>
        <v>9</v>
      </c>
      <c r="V19" s="96">
        <f t="shared" si="43"/>
        <v>13</v>
      </c>
      <c r="W19" s="96" t="e">
        <f t="shared" si="44"/>
        <v>#VALUE!</v>
      </c>
      <c r="X19" s="96">
        <f t="shared" si="45"/>
        <v>22</v>
      </c>
      <c r="Y19" s="96" t="str">
        <f>IFERROR(VLOOKUP(MID(T19,W19,X19-W19),[5]skilldef!$C:$D,2,FALSE),"-") &amp; " / " &amp; IFERROR(VLOOKUP(MID(T19,U19,V19-U19),[5]skilldef!$A:$B,2,FALSE),"-")</f>
        <v>- / 連続攻撃</v>
      </c>
      <c r="Z19" s="96" t="s">
        <v>297</v>
      </c>
      <c r="AA19" s="97"/>
      <c r="AB19" s="95"/>
      <c r="AC19" s="49" t="str">
        <f t="shared" si="0"/>
        <v>[effect:enemy_message, val1:1.6, val2:2.4]</v>
      </c>
    </row>
    <row r="20" spans="1:29" ht="21" customHeight="1" x14ac:dyDescent="0.15">
      <c r="A20" s="92">
        <v>30048019</v>
      </c>
      <c r="B20" s="92" t="s">
        <v>394</v>
      </c>
      <c r="C20" s="95">
        <v>3</v>
      </c>
      <c r="D20" s="95" t="s">
        <v>127</v>
      </c>
      <c r="E20" s="96" t="s">
        <v>405</v>
      </c>
      <c r="F20" s="96" t="s">
        <v>407</v>
      </c>
      <c r="G20" s="96" t="str">
        <f t="shared" ref="G20" si="46">IFERROR(LEFT(B20,FIND("],",B20)),B20)</f>
        <v>[effect:enemy_message, val1:3.2, val2:2.0, dead_type:suicide]</v>
      </c>
      <c r="H20" s="96">
        <f t="shared" ref="H20" si="47">FIND("effect:",G20)+7</f>
        <v>9</v>
      </c>
      <c r="I20" s="96">
        <f t="shared" ref="I20" si="48">IFERROR(FIND(",",G20),LEN(G20))</f>
        <v>22</v>
      </c>
      <c r="J20" s="96" t="e">
        <f t="shared" ref="J20" si="49">FIND("target:",G20)+7</f>
        <v>#VALUE!</v>
      </c>
      <c r="K20" s="96">
        <f t="shared" ref="K20" si="50">FIND(",",G20,I20+1)</f>
        <v>32</v>
      </c>
      <c r="L20" s="96" t="str">
        <f>IFERROR(VLOOKUP(MID(G20,J20,K20-J20),[5]skilldef!$C:$D,2,FALSE),"-") &amp; " / " &amp; IFERROR(VLOOKUP(MID(G20,H20,I20-H20),[5]skilldef!$A:$B,2,FALSE),"-")</f>
        <v>- / -</v>
      </c>
      <c r="M20" s="96" t="str">
        <f t="shared" ref="M20" si="51">IFERROR(RIGHT(B20,LEN(B20)-FIND("],",B20)-1),"none")</f>
        <v>none</v>
      </c>
      <c r="N20" s="92" t="str">
        <f t="shared" si="33"/>
        <v>none</v>
      </c>
      <c r="O20" s="96" t="e">
        <f t="shared" ref="O20" si="52">FIND("effect:",N20)+7</f>
        <v>#VALUE!</v>
      </c>
      <c r="P20" s="96">
        <f t="shared" ref="P20" si="53">IFERROR(FIND(",",N20),LEN(N20))</f>
        <v>4</v>
      </c>
      <c r="Q20" s="96" t="e">
        <f t="shared" ref="Q20" si="54">FIND("target:",N20)+7</f>
        <v>#VALUE!</v>
      </c>
      <c r="R20" s="96" t="e">
        <f t="shared" ref="R20" si="55">FIND(",",N20,P20+1)</f>
        <v>#VALUE!</v>
      </c>
      <c r="S20" s="96" t="str">
        <f>IFERROR(VLOOKUP(MID(N20,Q20,R20-Q20),[5]skilldef!$C:$D,2,FALSE),"-") &amp; " / " &amp; IFERROR(VLOOKUP(MID(N20,O20,P20-O20),[5]skilldef!$A:$B,2,FALSE),"-")</f>
        <v>- / -</v>
      </c>
      <c r="T20" s="92" t="str">
        <f t="shared" ref="T20" si="56">IFERROR(RIGHT(M20,LEN(M20)-FIND("],",M20)-1),"none")</f>
        <v>none</v>
      </c>
      <c r="U20" s="96" t="e">
        <f t="shared" ref="U20" si="57">FIND("effect:",T20)+7</f>
        <v>#VALUE!</v>
      </c>
      <c r="V20" s="96">
        <f t="shared" ref="V20" si="58">IFERROR(FIND(",",T20),LEN(T20))</f>
        <v>4</v>
      </c>
      <c r="W20" s="96" t="e">
        <f t="shared" ref="W20" si="59">FIND("target:",T20)+7</f>
        <v>#VALUE!</v>
      </c>
      <c r="X20" s="96" t="e">
        <f t="shared" ref="X20" si="60">FIND(",",T20,V20+1)</f>
        <v>#VALUE!</v>
      </c>
      <c r="Y20" s="96" t="str">
        <f>IFERROR(VLOOKUP(MID(T20,W20,X20-W20),[5]skilldef!$C:$D,2,FALSE),"-") &amp; " / " &amp; IFERROR(VLOOKUP(MID(T20,U20,V20-U20),[5]skilldef!$A:$B,2,FALSE),"-")</f>
        <v>- / -</v>
      </c>
      <c r="Z20" s="96" t="s">
        <v>340</v>
      </c>
      <c r="AA20" s="97"/>
      <c r="AB20" s="95"/>
      <c r="AC20" s="49" t="str">
        <f t="shared" ref="AC20" si="61">"[effect:enemy_message, val1:"&amp;TEXT(IF(E20="[表示しない]", "0", IF(LEN(CLEAN(E20))*0.1&lt;1.2, 1.2, LEN(CLEAN(E20))*0.1)), "0.0")&amp;", val2:"&amp;TEXT(IF(F20="[表示しない]", "0", IF(LEN(CLEAN(F20))*0.1&lt;1.2, 1.2, LEN(CLEAN(F20))*0.1)),"0.0")&amp;IF(AD20="escape",", dead_type:escape]","]")</f>
        <v>[effect:enemy_message, val1:2.7, val2:1.5]</v>
      </c>
    </row>
    <row r="21" spans="1:29" ht="21" customHeight="1" x14ac:dyDescent="0.15">
      <c r="A21" s="93">
        <v>30048020</v>
      </c>
      <c r="B21" s="93" t="s">
        <v>489</v>
      </c>
      <c r="C21" s="98">
        <v>3</v>
      </c>
      <c r="D21" s="98" t="s">
        <v>322</v>
      </c>
      <c r="E21" s="99" t="s">
        <v>332</v>
      </c>
      <c r="F21" s="99" t="s">
        <v>364</v>
      </c>
      <c r="G21" s="99" t="str">
        <f>IFERROR(LEFT(B21,FIND("],",B21)),B21)</f>
        <v>[effect:enemy_message, val1:1.2, val2:2.0]</v>
      </c>
      <c r="H21" s="99">
        <f>FIND("effect:",G21)+7</f>
        <v>9</v>
      </c>
      <c r="I21" s="99">
        <f>IFERROR(FIND(",",G21),LEN(G21))</f>
        <v>22</v>
      </c>
      <c r="J21" s="99" t="e">
        <f>FIND("target:",G21)+7</f>
        <v>#VALUE!</v>
      </c>
      <c r="K21" s="99">
        <f>FIND(",",G21,I21+1)</f>
        <v>32</v>
      </c>
      <c r="L21" s="99" t="str">
        <f>IFERROR(VLOOKUP(MID(G21,J21,K21-J21),[5]skilldef!$C:$D,2,FALSE),"-") &amp; " / " &amp; IFERROR(VLOOKUP(MID(G21,H21,I21-H21),[5]skilldef!$A:$B,2,FALSE),"-")</f>
        <v>- / -</v>
      </c>
      <c r="M21" s="99" t="str">
        <f>IFERROR(RIGHT(B21,LEN(B21)-FIND("],",B21)-1),"none")</f>
        <v>[effect:fix_speed, target:myself, turn:1],[effect:panel_freeze, target:normal, color:block_green, count:2],[effect:rush, count:1, val:1]</v>
      </c>
      <c r="N21" s="93" t="str">
        <f t="shared" si="33"/>
        <v>[effect:fix_speed, target:myself, turn:1],[effect:panel_freeze, target:normal, color:block_green, count:2],[effect:rush, count:1, val:1]</v>
      </c>
      <c r="O21" s="99">
        <f>FIND("effect:",N21)+7</f>
        <v>9</v>
      </c>
      <c r="P21" s="99">
        <f>IFERROR(FIND(",",N21),LEN(N21))</f>
        <v>18</v>
      </c>
      <c r="Q21" s="99">
        <f>FIND("target:",N21)+7</f>
        <v>27</v>
      </c>
      <c r="R21" s="99">
        <f>FIND(",",N21,P21+1)</f>
        <v>33</v>
      </c>
      <c r="S21" s="99" t="str">
        <f>IFERROR(VLOOKUP(MID(N21,Q21,R21-Q21),[5]skilldef!$C:$D,2,FALSE),"-") &amp; " / " &amp; IFERROR(VLOOKUP(MID(N21,O21,P21-O21),[5]skilldef!$A:$B,2,FALSE),"-")</f>
        <v>自分自身に / 行動値設定</v>
      </c>
      <c r="T21" s="93" t="str">
        <f>IFERROR(RIGHT(M21,LEN(M21)-FIND("],",M21)-1),"none")</f>
        <v>[effect:panel_freeze, target:normal, color:block_green, count:2],[effect:rush, count:1, val:1]</v>
      </c>
      <c r="U21" s="99">
        <f>FIND("effect:",T21)+7</f>
        <v>9</v>
      </c>
      <c r="V21" s="99">
        <f>IFERROR(FIND(",",T21),LEN(T21))</f>
        <v>21</v>
      </c>
      <c r="W21" s="99">
        <f>FIND("target:",T21)+7</f>
        <v>30</v>
      </c>
      <c r="X21" s="99">
        <f>FIND(",",T21,V21+1)</f>
        <v>36</v>
      </c>
      <c r="Y21" s="99" t="str">
        <f>IFERROR(VLOOKUP(MID(T21,W21,X21-W21),[5]skilldef!$C:$D,2,FALSE),"-") &amp; " / " &amp; IFERROR(VLOOKUP(MID(T21,U21,V21-U21),[5]skilldef!$A:$B,2,FALSE),"-")</f>
        <v>- / -</v>
      </c>
      <c r="Z21" s="99" t="s">
        <v>258</v>
      </c>
      <c r="AA21" s="100"/>
      <c r="AB21" s="98"/>
      <c r="AC21" s="49" t="str">
        <f t="shared" ref="AC21:AC39" si="62">"[effect:enemy_message, val1:"&amp;TEXT(IF(E21="[表示しない]", "0", IF(LEN(CLEAN(E21))*0.1&lt;1.2, 1.2, LEN(CLEAN(E21))*0.1)), "0.0")&amp;", val2:"&amp;TEXT(IF(F21="[表示しない]", "0", IF(LEN(CLEAN(F21))*0.1&lt;1.2, 1.2, LEN(CLEAN(F21))*0.1)),"0.0")&amp;IF(AD21="escape",", dead_type:escape]","]")</f>
        <v>[effect:enemy_message, val1:1.2, val2:2.0]</v>
      </c>
    </row>
    <row r="22" spans="1:29" ht="21" customHeight="1" x14ac:dyDescent="0.15">
      <c r="A22" s="93">
        <v>30048021</v>
      </c>
      <c r="B22" s="93" t="s">
        <v>490</v>
      </c>
      <c r="C22" s="98">
        <v>3</v>
      </c>
      <c r="D22" s="98" t="s">
        <v>322</v>
      </c>
      <c r="E22" s="99" t="s">
        <v>333</v>
      </c>
      <c r="F22" s="99" t="s">
        <v>398</v>
      </c>
      <c r="G22" s="99" t="str">
        <f t="shared" ref="G22:G39" si="63">IFERROR(LEFT(B22,FIND("],",B22)),B22)</f>
        <v>[effect:enemy_message, val1:1.2, val2:1.6]</v>
      </c>
      <c r="H22" s="99">
        <f t="shared" ref="H22:H39" si="64">FIND("effect:",G22)+7</f>
        <v>9</v>
      </c>
      <c r="I22" s="99">
        <f t="shared" ref="I22:I39" si="65">IFERROR(FIND(",",G22),LEN(G22))</f>
        <v>22</v>
      </c>
      <c r="J22" s="99" t="e">
        <f t="shared" ref="J22:J39" si="66">FIND("target:",G22)+7</f>
        <v>#VALUE!</v>
      </c>
      <c r="K22" s="99">
        <f t="shared" ref="K22:K39" si="67">FIND(",",G22,I22+1)</f>
        <v>32</v>
      </c>
      <c r="L22" s="99" t="str">
        <f>IFERROR(VLOOKUP(MID(G22,J22,K22-J22),[5]skilldef!$C:$D,2,FALSE),"-") &amp; " / " &amp; IFERROR(VLOOKUP(MID(G22,H22,I22-H22),[5]skilldef!$A:$B,2,FALSE),"-")</f>
        <v>- / -</v>
      </c>
      <c r="M22" s="99" t="str">
        <f t="shared" ref="M22:M39" si="68">IFERROR(RIGHT(B22,LEN(B22)-FIND("],",B22)-1),"none")</f>
        <v>[effect:force_change_block, new_block:block_green, target:block_all, ignore01:crash, ignore02:crack_bomb, ignore03:color_break, ignore04:block_green, ignore05:magnet, count:2, val:0, animation:change_block]</v>
      </c>
      <c r="N22" s="93" t="str">
        <f t="shared" si="33"/>
        <v>[effect:force_change_block, new_block:block_green, target:block_all, ignore01:crash, ignore02:crack_bomb, ignore03:color_break, ignore04:block_green, ignore05:magnet, count:2, val:0, animation:change_block]</v>
      </c>
      <c r="O22" s="99">
        <f t="shared" ref="O22:O39" si="69">FIND("effect:",N22)+7</f>
        <v>9</v>
      </c>
      <c r="P22" s="99">
        <f t="shared" ref="P22:P39" si="70">IFERROR(FIND(",",N22),LEN(N22))</f>
        <v>27</v>
      </c>
      <c r="Q22" s="99">
        <f t="shared" ref="Q22:Q39" si="71">FIND("target:",N22)+7</f>
        <v>59</v>
      </c>
      <c r="R22" s="99">
        <f t="shared" ref="R22:R39" si="72">FIND(",",N22,P22+1)</f>
        <v>50</v>
      </c>
      <c r="S22" s="99" t="str">
        <f>IFERROR(VLOOKUP(MID(N22,Q22,R22-Q22),[5]skilldef!$C:$D,2,FALSE),"-") &amp; " / " &amp; IFERROR(VLOOKUP(MID(N22,O22,P22-O22),[5]skilldef!$A:$B,2,FALSE),"-")</f>
        <v>- / -</v>
      </c>
      <c r="T22" s="93" t="str">
        <f t="shared" ref="T22:T39" si="73">IFERROR(RIGHT(M22,LEN(M22)-FIND("],",M22)-1),"none")</f>
        <v>none</v>
      </c>
      <c r="U22" s="99" t="e">
        <f t="shared" ref="U22:U39" si="74">FIND("effect:",T22)+7</f>
        <v>#VALUE!</v>
      </c>
      <c r="V22" s="99">
        <f t="shared" ref="V22:V39" si="75">IFERROR(FIND(",",T22),LEN(T22))</f>
        <v>4</v>
      </c>
      <c r="W22" s="99" t="e">
        <f t="shared" ref="W22:W39" si="76">FIND("target:",T22)+7</f>
        <v>#VALUE!</v>
      </c>
      <c r="X22" s="99" t="e">
        <f t="shared" ref="X22:X39" si="77">FIND(",",T22,V22+1)</f>
        <v>#VALUE!</v>
      </c>
      <c r="Y22" s="99" t="str">
        <f>IFERROR(VLOOKUP(MID(T22,W22,X22-W22),[5]skilldef!$C:$D,2,FALSE),"-") &amp; " / " &amp; IFERROR(VLOOKUP(MID(T22,U22,V22-U22),[5]skilldef!$A:$B,2,FALSE),"-")</f>
        <v>- / -</v>
      </c>
      <c r="Z22" s="99" t="s">
        <v>260</v>
      </c>
      <c r="AA22" s="100"/>
      <c r="AB22" s="98"/>
      <c r="AC22" s="49" t="str">
        <f t="shared" si="62"/>
        <v>[effect:enemy_message, val1:1.2, val2:1.6]</v>
      </c>
    </row>
    <row r="23" spans="1:29" ht="21" customHeight="1" x14ac:dyDescent="0.15">
      <c r="A23" s="93">
        <v>30048022</v>
      </c>
      <c r="B23" s="93" t="s">
        <v>491</v>
      </c>
      <c r="C23" s="98">
        <v>3</v>
      </c>
      <c r="D23" s="98" t="s">
        <v>322</v>
      </c>
      <c r="E23" s="99" t="s">
        <v>400</v>
      </c>
      <c r="F23" s="99" t="s">
        <v>401</v>
      </c>
      <c r="G23" s="99" t="str">
        <f t="shared" si="63"/>
        <v>[effect:enemy_message, val1:1.2, val2:1.2]</v>
      </c>
      <c r="H23" s="99">
        <f t="shared" si="64"/>
        <v>9</v>
      </c>
      <c r="I23" s="99">
        <f t="shared" si="65"/>
        <v>22</v>
      </c>
      <c r="J23" s="99" t="e">
        <f t="shared" si="66"/>
        <v>#VALUE!</v>
      </c>
      <c r="K23" s="99">
        <f t="shared" si="67"/>
        <v>32</v>
      </c>
      <c r="L23" s="99" t="str">
        <f>IFERROR(VLOOKUP(MID(G23,J23,K23-J23),[5]skilldef!$C:$D,2,FALSE),"-") &amp; " / " &amp; IFERROR(VLOOKUP(MID(G23,H23,I23-H23),[5]skilldef!$A:$B,2,FALSE),"-")</f>
        <v>- / -</v>
      </c>
      <c r="M23" s="99" t="str">
        <f t="shared" si="68"/>
        <v>[effect:fix_speed, target:myself, turn:1],[effect:critical, val:1.1, animation:enemy_critical]</v>
      </c>
      <c r="N23" s="93" t="str">
        <f t="shared" si="33"/>
        <v>[effect:fix_speed, target:myself, turn:1],[effect:critical, val:1.1, animation:enemy_critical]</v>
      </c>
      <c r="O23" s="99">
        <f t="shared" si="69"/>
        <v>9</v>
      </c>
      <c r="P23" s="99">
        <f t="shared" si="70"/>
        <v>18</v>
      </c>
      <c r="Q23" s="99">
        <f t="shared" si="71"/>
        <v>27</v>
      </c>
      <c r="R23" s="99">
        <f t="shared" si="72"/>
        <v>33</v>
      </c>
      <c r="S23" s="99" t="str">
        <f>IFERROR(VLOOKUP(MID(N23,Q23,R23-Q23),[5]skilldef!$C:$D,2,FALSE),"-") &amp; " / " &amp; IFERROR(VLOOKUP(MID(N23,O23,P23-O23),[5]skilldef!$A:$B,2,FALSE),"-")</f>
        <v>自分自身に / 行動値設定</v>
      </c>
      <c r="T23" s="93" t="str">
        <f t="shared" si="73"/>
        <v>[effect:critical, val:1.1, animation:enemy_critical]</v>
      </c>
      <c r="U23" s="99">
        <f t="shared" si="74"/>
        <v>9</v>
      </c>
      <c r="V23" s="99">
        <f t="shared" si="75"/>
        <v>17</v>
      </c>
      <c r="W23" s="99" t="e">
        <f t="shared" si="76"/>
        <v>#VALUE!</v>
      </c>
      <c r="X23" s="99">
        <f t="shared" si="77"/>
        <v>26</v>
      </c>
      <c r="Y23" s="99" t="str">
        <f>IFERROR(VLOOKUP(MID(T23,W23,X23-W23),[5]skilldef!$C:$D,2,FALSE),"-") &amp; " / " &amp; IFERROR(VLOOKUP(MID(T23,U23,V23-U23),[5]skilldef!$A:$B,2,FALSE),"-")</f>
        <v>- / 大攻撃</v>
      </c>
      <c r="Z23" s="99" t="s">
        <v>263</v>
      </c>
      <c r="AA23" s="100"/>
      <c r="AB23" s="98"/>
      <c r="AC23" s="49" t="str">
        <f t="shared" si="62"/>
        <v>[effect:enemy_message, val1:1.2, val2:1.2]</v>
      </c>
    </row>
    <row r="24" spans="1:29" ht="21" customHeight="1" x14ac:dyDescent="0.15">
      <c r="A24" s="93">
        <v>30048023</v>
      </c>
      <c r="B24" s="93" t="s">
        <v>492</v>
      </c>
      <c r="C24" s="98">
        <v>3</v>
      </c>
      <c r="D24" s="98" t="s">
        <v>322</v>
      </c>
      <c r="E24" s="99" t="s">
        <v>454</v>
      </c>
      <c r="F24" s="99" t="s">
        <v>365</v>
      </c>
      <c r="G24" s="99" t="str">
        <f t="shared" si="63"/>
        <v>[effect:enemy_message, val1:1.5, val2:1.2]</v>
      </c>
      <c r="H24" s="99">
        <f t="shared" si="64"/>
        <v>9</v>
      </c>
      <c r="I24" s="99">
        <f t="shared" si="65"/>
        <v>22</v>
      </c>
      <c r="J24" s="99" t="e">
        <f t="shared" si="66"/>
        <v>#VALUE!</v>
      </c>
      <c r="K24" s="99">
        <f t="shared" si="67"/>
        <v>32</v>
      </c>
      <c r="L24" s="99" t="str">
        <f>IFERROR(VLOOKUP(MID(G24,J24,K24-J24),[5]skilldef!$C:$D,2,FALSE),"-") &amp; " / " &amp; IFERROR(VLOOKUP(MID(G24,H24,I24-H24),[5]skilldef!$A:$B,2,FALSE),"-")</f>
        <v>- / -</v>
      </c>
      <c r="M24" s="99" t="str">
        <f t="shared" si="68"/>
        <v>[effect:fix_speed, target:myself, turn:2],[effect:change_panel_ratio, turn:-1, block_type:green, val:0.3, animation:block_incidence04]</v>
      </c>
      <c r="N24" s="93" t="str">
        <f t="shared" si="33"/>
        <v>[effect:fix_speed, target:myself, turn:2],[effect:change_panel_ratio, turn:-1, block_type:green, val:0.3, animation:block_incidence04]</v>
      </c>
      <c r="O24" s="99">
        <f t="shared" si="69"/>
        <v>9</v>
      </c>
      <c r="P24" s="99">
        <f t="shared" si="70"/>
        <v>18</v>
      </c>
      <c r="Q24" s="99">
        <f t="shared" si="71"/>
        <v>27</v>
      </c>
      <c r="R24" s="99">
        <f t="shared" si="72"/>
        <v>33</v>
      </c>
      <c r="S24" s="99" t="str">
        <f>IFERROR(VLOOKUP(MID(N24,Q24,R24-Q24),[5]skilldef!$C:$D,2,FALSE),"-") &amp; " / " &amp; IFERROR(VLOOKUP(MID(N24,O24,P24-O24),[5]skilldef!$A:$B,2,FALSE),"-")</f>
        <v>自分自身に / 行動値設定</v>
      </c>
      <c r="T24" s="93" t="str">
        <f t="shared" si="73"/>
        <v>[effect:change_panel_ratio, turn:-1, block_type:green, val:0.3, animation:block_incidence04]</v>
      </c>
      <c r="U24" s="99">
        <f t="shared" si="74"/>
        <v>9</v>
      </c>
      <c r="V24" s="99">
        <f t="shared" si="75"/>
        <v>27</v>
      </c>
      <c r="W24" s="99" t="e">
        <f t="shared" si="76"/>
        <v>#VALUE!</v>
      </c>
      <c r="X24" s="99">
        <f t="shared" si="77"/>
        <v>36</v>
      </c>
      <c r="Y24" s="99" t="str">
        <f>IFERROR(VLOOKUP(MID(T24,W24,X24-W24),[5]skilldef!$C:$D,2,FALSE),"-") &amp; " / " &amp; IFERROR(VLOOKUP(MID(T24,U24,V24-U24),[5]skilldef!$A:$B,2,FALSE),"-")</f>
        <v>- / -</v>
      </c>
      <c r="Z24" s="99" t="s">
        <v>270</v>
      </c>
      <c r="AA24" s="100"/>
      <c r="AB24" s="98"/>
      <c r="AC24" s="49" t="str">
        <f t="shared" si="62"/>
        <v>[effect:enemy_message, val1:1.5, val2:1.2]</v>
      </c>
    </row>
    <row r="25" spans="1:29" ht="21" customHeight="1" x14ac:dyDescent="0.15">
      <c r="A25" s="93">
        <v>30048024</v>
      </c>
      <c r="B25" s="93" t="s">
        <v>493</v>
      </c>
      <c r="C25" s="98">
        <v>3</v>
      </c>
      <c r="D25" s="98" t="s">
        <v>322</v>
      </c>
      <c r="E25" s="99" t="s">
        <v>328</v>
      </c>
      <c r="F25" s="99" t="s">
        <v>366</v>
      </c>
      <c r="G25" s="99" t="str">
        <f t="shared" si="63"/>
        <v>[effect:enemy_message, val1:1.2, val2:1.4]</v>
      </c>
      <c r="H25" s="99">
        <f t="shared" si="64"/>
        <v>9</v>
      </c>
      <c r="I25" s="99">
        <f t="shared" si="65"/>
        <v>22</v>
      </c>
      <c r="J25" s="99" t="e">
        <f t="shared" si="66"/>
        <v>#VALUE!</v>
      </c>
      <c r="K25" s="99">
        <f t="shared" si="67"/>
        <v>32</v>
      </c>
      <c r="L25" s="99" t="str">
        <f>IFERROR(VLOOKUP(MID(G25,J25,K25-J25),[5]skilldef!$C:$D,2,FALSE),"-") &amp; " / " &amp; IFERROR(VLOOKUP(MID(G25,H25,I25-H25),[5]skilldef!$A:$B,2,FALSE),"-")</f>
        <v>- / -</v>
      </c>
      <c r="M25" s="99" t="str">
        <f t="shared" si="68"/>
        <v>[effect:panel_freeze, target:normal, color:block_green, count:-1],[effect:rush, count:1, val:1]</v>
      </c>
      <c r="N25" s="93" t="str">
        <f t="shared" si="33"/>
        <v>[effect:panel_freeze, target:normal, color:block_green, count:-1],[effect:rush, count:1, val:1]</v>
      </c>
      <c r="O25" s="99">
        <f t="shared" si="69"/>
        <v>9</v>
      </c>
      <c r="P25" s="99">
        <f t="shared" si="70"/>
        <v>21</v>
      </c>
      <c r="Q25" s="99">
        <f t="shared" si="71"/>
        <v>30</v>
      </c>
      <c r="R25" s="99">
        <f t="shared" si="72"/>
        <v>36</v>
      </c>
      <c r="S25" s="99" t="str">
        <f>IFERROR(VLOOKUP(MID(N25,Q25,R25-Q25),[5]skilldef!$C:$D,2,FALSE),"-") &amp; " / " &amp; IFERROR(VLOOKUP(MID(N25,O25,P25-O25),[5]skilldef!$A:$B,2,FALSE),"-")</f>
        <v>- / -</v>
      </c>
      <c r="T25" s="93" t="str">
        <f t="shared" si="73"/>
        <v>[effect:rush, count:1, val:1]</v>
      </c>
      <c r="U25" s="99">
        <f t="shared" si="74"/>
        <v>9</v>
      </c>
      <c r="V25" s="99">
        <f t="shared" si="75"/>
        <v>13</v>
      </c>
      <c r="W25" s="99" t="e">
        <f t="shared" si="76"/>
        <v>#VALUE!</v>
      </c>
      <c r="X25" s="99">
        <f t="shared" si="77"/>
        <v>22</v>
      </c>
      <c r="Y25" s="99" t="str">
        <f>IFERROR(VLOOKUP(MID(T25,W25,X25-W25),[5]skilldef!$C:$D,2,FALSE),"-") &amp; " / " &amp; IFERROR(VLOOKUP(MID(T25,U25,V25-U25),[5]skilldef!$A:$B,2,FALSE),"-")</f>
        <v>- / 連続攻撃</v>
      </c>
      <c r="Z25" s="99" t="s">
        <v>270</v>
      </c>
      <c r="AA25" s="100"/>
      <c r="AB25" s="98"/>
      <c r="AC25" s="49" t="str">
        <f t="shared" si="62"/>
        <v>[effect:enemy_message, val1:1.2, val2:1.4]</v>
      </c>
    </row>
    <row r="26" spans="1:29" ht="21" customHeight="1" x14ac:dyDescent="0.15">
      <c r="A26" s="93">
        <v>30048025</v>
      </c>
      <c r="B26" s="93" t="s">
        <v>494</v>
      </c>
      <c r="C26" s="98">
        <v>3</v>
      </c>
      <c r="D26" s="98" t="s">
        <v>322</v>
      </c>
      <c r="E26" s="99" t="s">
        <v>456</v>
      </c>
      <c r="F26" s="99" t="s">
        <v>387</v>
      </c>
      <c r="G26" s="99" t="str">
        <f t="shared" si="63"/>
        <v>[effect:enemy_message, val1:1.9, val2:2.0]</v>
      </c>
      <c r="H26" s="99">
        <f t="shared" si="64"/>
        <v>9</v>
      </c>
      <c r="I26" s="99">
        <f t="shared" si="65"/>
        <v>22</v>
      </c>
      <c r="J26" s="99" t="e">
        <f t="shared" si="66"/>
        <v>#VALUE!</v>
      </c>
      <c r="K26" s="99">
        <f t="shared" si="67"/>
        <v>32</v>
      </c>
      <c r="L26" s="99" t="str">
        <f>IFERROR(VLOOKUP(MID(G26,J26,K26-J26),[5]skilldef!$C:$D,2,FALSE),"-") &amp; " / " &amp; IFERROR(VLOOKUP(MID(G26,H26,I26-H26),[5]skilldef!$A:$B,2,FALSE),"-")</f>
        <v>- / -</v>
      </c>
      <c r="M26" s="99" t="str">
        <f t="shared" si="68"/>
        <v>[effect:degrade_unit, target:unit_all, turn:3, status:heal, val:0.2, calc:mul, animation:degrade_unit_all_heal]</v>
      </c>
      <c r="N26" s="93" t="str">
        <f t="shared" ref="N26:N28" si="78">IFERROR(LEFT(M26,FIND("],",M26)+S36),M26)</f>
        <v>[effect:degrade_unit, target:unit_all, turn:3, status:heal, val:0.2, calc:mul, animation:degrade_unit_all_heal]</v>
      </c>
      <c r="O26" s="99">
        <f t="shared" si="69"/>
        <v>9</v>
      </c>
      <c r="P26" s="99">
        <f t="shared" si="70"/>
        <v>21</v>
      </c>
      <c r="Q26" s="99">
        <f t="shared" si="71"/>
        <v>30</v>
      </c>
      <c r="R26" s="99">
        <f t="shared" si="72"/>
        <v>38</v>
      </c>
      <c r="S26" s="99" t="str">
        <f>IFERROR(VLOOKUP(MID(N26,Q26,R26-Q26),[5]skilldef!$C:$D,2,FALSE),"-") &amp; " / " &amp; IFERROR(VLOOKUP(MID(N26,O26,P26-O26),[5]skilldef!$A:$B,2,FALSE),"-")</f>
        <v>味方全体に / ステータスDOWN</v>
      </c>
      <c r="T26" s="93" t="str">
        <f t="shared" si="73"/>
        <v>none</v>
      </c>
      <c r="U26" s="99" t="e">
        <f t="shared" si="74"/>
        <v>#VALUE!</v>
      </c>
      <c r="V26" s="99">
        <f t="shared" si="75"/>
        <v>4</v>
      </c>
      <c r="W26" s="99" t="e">
        <f t="shared" si="76"/>
        <v>#VALUE!</v>
      </c>
      <c r="X26" s="99" t="e">
        <f t="shared" si="77"/>
        <v>#VALUE!</v>
      </c>
      <c r="Y26" s="99" t="str">
        <f>IFERROR(VLOOKUP(MID(T26,W26,X26-W26),[5]skilldef!$C:$D,2,FALSE),"-") &amp; " / " &amp; IFERROR(VLOOKUP(MID(T26,U26,V26-U26),[5]skilldef!$A:$B,2,FALSE),"-")</f>
        <v>- / -</v>
      </c>
      <c r="Z26" s="99" t="s">
        <v>271</v>
      </c>
      <c r="AA26" s="100"/>
      <c r="AB26" s="98"/>
      <c r="AC26" s="49" t="str">
        <f t="shared" si="62"/>
        <v>[effect:enemy_message, val1:1.9, val2:2.0]</v>
      </c>
    </row>
    <row r="27" spans="1:29" ht="21" customHeight="1" x14ac:dyDescent="0.15">
      <c r="A27" s="93">
        <v>30048026</v>
      </c>
      <c r="B27" s="93" t="s">
        <v>495</v>
      </c>
      <c r="C27" s="98">
        <v>3</v>
      </c>
      <c r="D27" s="98" t="s">
        <v>322</v>
      </c>
      <c r="E27" s="99" t="s">
        <v>330</v>
      </c>
      <c r="F27" s="99" t="s">
        <v>367</v>
      </c>
      <c r="G27" s="99" t="str">
        <f t="shared" si="63"/>
        <v>[effect:enemy_message, val1:1.2, val2:2.2]</v>
      </c>
      <c r="H27" s="99">
        <f t="shared" si="64"/>
        <v>9</v>
      </c>
      <c r="I27" s="99">
        <f t="shared" si="65"/>
        <v>22</v>
      </c>
      <c r="J27" s="99" t="e">
        <f t="shared" si="66"/>
        <v>#VALUE!</v>
      </c>
      <c r="K27" s="99">
        <f t="shared" si="67"/>
        <v>32</v>
      </c>
      <c r="L27" s="99" t="str">
        <f>IFERROR(VLOOKUP(MID(G27,J27,K27-J27),[5]skilldef!$C:$D,2,FALSE),"-") &amp; " / " &amp; IFERROR(VLOOKUP(MID(G27,H27,I27-H27),[5]skilldef!$A:$B,2,FALSE),"-")</f>
        <v>- / -</v>
      </c>
      <c r="M27" s="99" t="str">
        <f t="shared" si="68"/>
        <v>[effect:fix_speed, target:myself, turn:1],[effect:panel_freeze, target:normal, color:block_heart, count:2],[effect:rush, count:1, val:1]</v>
      </c>
      <c r="N27" s="93" t="str">
        <f t="shared" si="78"/>
        <v>[effect:fix_speed, target:myself, turn:1],[effect:panel_freeze, target:normal, color:block_heart, count:2],[effect:rush, count:1, val:1]</v>
      </c>
      <c r="O27" s="99">
        <f t="shared" si="69"/>
        <v>9</v>
      </c>
      <c r="P27" s="99">
        <f t="shared" si="70"/>
        <v>18</v>
      </c>
      <c r="Q27" s="99">
        <f t="shared" si="71"/>
        <v>27</v>
      </c>
      <c r="R27" s="99">
        <f t="shared" si="72"/>
        <v>33</v>
      </c>
      <c r="S27" s="99" t="str">
        <f>IFERROR(VLOOKUP(MID(N27,Q27,R27-Q27),[5]skilldef!$C:$D,2,FALSE),"-") &amp; " / " &amp; IFERROR(VLOOKUP(MID(N27,O27,P27-O27),[5]skilldef!$A:$B,2,FALSE),"-")</f>
        <v>自分自身に / 行動値設定</v>
      </c>
      <c r="T27" s="93" t="str">
        <f t="shared" si="73"/>
        <v>[effect:panel_freeze, target:normal, color:block_heart, count:2],[effect:rush, count:1, val:1]</v>
      </c>
      <c r="U27" s="99">
        <f t="shared" si="74"/>
        <v>9</v>
      </c>
      <c r="V27" s="99">
        <f t="shared" si="75"/>
        <v>21</v>
      </c>
      <c r="W27" s="99">
        <f t="shared" si="76"/>
        <v>30</v>
      </c>
      <c r="X27" s="99">
        <f t="shared" si="77"/>
        <v>36</v>
      </c>
      <c r="Y27" s="99" t="str">
        <f>IFERROR(VLOOKUP(MID(T27,W27,X27-W27),[5]skilldef!$C:$D,2,FALSE),"-") &amp; " / " &amp; IFERROR(VLOOKUP(MID(T27,U27,V27-U27),[5]skilldef!$A:$B,2,FALSE),"-")</f>
        <v>- / -</v>
      </c>
      <c r="Z27" s="99" t="s">
        <v>253</v>
      </c>
      <c r="AA27" s="100"/>
      <c r="AB27" s="98"/>
      <c r="AC27" s="49" t="str">
        <f t="shared" si="62"/>
        <v>[effect:enemy_message, val1:1.2, val2:2.2]</v>
      </c>
    </row>
    <row r="28" spans="1:29" ht="21" customHeight="1" x14ac:dyDescent="0.15">
      <c r="A28" s="93">
        <v>30048027</v>
      </c>
      <c r="B28" s="93" t="s">
        <v>496</v>
      </c>
      <c r="C28" s="98">
        <v>3</v>
      </c>
      <c r="D28" s="98" t="s">
        <v>322</v>
      </c>
      <c r="E28" s="99" t="s">
        <v>458</v>
      </c>
      <c r="F28" s="99" t="s">
        <v>388</v>
      </c>
      <c r="G28" s="99" t="str">
        <f t="shared" si="63"/>
        <v>[effect:enemy_message, val1:2.4, val2:2.7]</v>
      </c>
      <c r="H28" s="99">
        <f t="shared" si="64"/>
        <v>9</v>
      </c>
      <c r="I28" s="99">
        <f t="shared" si="65"/>
        <v>22</v>
      </c>
      <c r="J28" s="99" t="e">
        <f t="shared" si="66"/>
        <v>#VALUE!</v>
      </c>
      <c r="K28" s="99">
        <f t="shared" si="67"/>
        <v>32</v>
      </c>
      <c r="L28" s="99" t="str">
        <f>IFERROR(VLOOKUP(MID(G28,J28,K28-J28),[5]skilldef!$C:$D,2,FALSE),"-") &amp; " / " &amp; IFERROR(VLOOKUP(MID(G28,H28,I28-H28),[5]skilldef!$A:$B,2,FALSE),"-")</f>
        <v>- / -</v>
      </c>
      <c r="M28" s="99" t="str">
        <f t="shared" si="68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N28" s="93" t="str">
        <f t="shared" si="78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O28" s="99">
        <f t="shared" si="69"/>
        <v>9</v>
      </c>
      <c r="P28" s="99">
        <f t="shared" si="70"/>
        <v>18</v>
      </c>
      <c r="Q28" s="99">
        <f t="shared" si="71"/>
        <v>27</v>
      </c>
      <c r="R28" s="99">
        <f t="shared" si="72"/>
        <v>33</v>
      </c>
      <c r="S28" s="99" t="str">
        <f>IFERROR(VLOOKUP(MID(N28,Q28,R28-Q28),[5]skilldef!$C:$D,2,FALSE),"-") &amp; " / " &amp; IFERROR(VLOOKUP(MID(N28,O28,P28-O28),[5]skilldef!$A:$B,2,FALSE),"-")</f>
        <v>自分自身に / 行動値設定</v>
      </c>
      <c r="T28" s="93" t="str">
        <f t="shared" si="73"/>
        <v>[effect:enhance_enemy, target:myself, turn:2, status:defense, val:3000, calc:add, animation:enemy_enhance_defense],[effect:remove_enhancement, target:unit_all, target_effect:change_panel_ratio, target_type:all, status:green, animation:frozen_wave]</v>
      </c>
      <c r="U28" s="99">
        <f t="shared" si="74"/>
        <v>9</v>
      </c>
      <c r="V28" s="99">
        <f t="shared" si="75"/>
        <v>22</v>
      </c>
      <c r="W28" s="99">
        <f t="shared" si="76"/>
        <v>31</v>
      </c>
      <c r="X28" s="99">
        <f t="shared" si="77"/>
        <v>37</v>
      </c>
      <c r="Y28" s="99" t="str">
        <f>IFERROR(VLOOKUP(MID(T28,W28,X28-W28),[5]skilldef!$C:$D,2,FALSE),"-") &amp; " / " &amp; IFERROR(VLOOKUP(MID(T28,U28,V28-U28),[5]skilldef!$A:$B,2,FALSE),"-")</f>
        <v>自分自身に / ステータス強化</v>
      </c>
      <c r="Z28" s="99" t="s">
        <v>275</v>
      </c>
      <c r="AA28" s="100"/>
      <c r="AB28" s="98"/>
      <c r="AC28" s="49" t="str">
        <f t="shared" si="62"/>
        <v>[effect:enemy_message, val1:2.4, val2:2.7]</v>
      </c>
    </row>
    <row r="29" spans="1:29" ht="21" customHeight="1" x14ac:dyDescent="0.15">
      <c r="A29" s="93">
        <v>30048028</v>
      </c>
      <c r="B29" s="93" t="s">
        <v>497</v>
      </c>
      <c r="C29" s="98">
        <v>3</v>
      </c>
      <c r="D29" s="98" t="s">
        <v>322</v>
      </c>
      <c r="E29" s="99" t="s">
        <v>336</v>
      </c>
      <c r="F29" s="99" t="s">
        <v>368</v>
      </c>
      <c r="G29" s="99" t="str">
        <f t="shared" si="63"/>
        <v>[effect:enemy_message, val1:1.2, val2:1.2]</v>
      </c>
      <c r="H29" s="99">
        <f t="shared" si="64"/>
        <v>9</v>
      </c>
      <c r="I29" s="99">
        <f t="shared" si="65"/>
        <v>22</v>
      </c>
      <c r="J29" s="99" t="e">
        <f t="shared" si="66"/>
        <v>#VALUE!</v>
      </c>
      <c r="K29" s="99">
        <f t="shared" si="67"/>
        <v>32</v>
      </c>
      <c r="L29" s="99" t="str">
        <f>IFERROR(VLOOKUP(MID(G29,J29,K29-J29),[5]skilldef!$C:$D,2,FALSE),"-") &amp; " / " &amp; IFERROR(VLOOKUP(MID(G29,H29,I29-H29),[5]skilldef!$A:$B,2,FALSE),"-")</f>
        <v>- / -</v>
      </c>
      <c r="M29" s="99" t="str">
        <f t="shared" si="68"/>
        <v>[effect:panel_freeze, target:normal, color:block_green, count:-1]</v>
      </c>
      <c r="N29" s="93" t="str">
        <f t="shared" ref="N29:N44" si="79">IFERROR(LEFT(M29,FIND("],",M29)+S40),M29)</f>
        <v>[effect:panel_freeze, target:normal, color:block_green, count:-1]</v>
      </c>
      <c r="O29" s="99">
        <f t="shared" si="69"/>
        <v>9</v>
      </c>
      <c r="P29" s="99">
        <f t="shared" si="70"/>
        <v>21</v>
      </c>
      <c r="Q29" s="99">
        <f t="shared" si="71"/>
        <v>30</v>
      </c>
      <c r="R29" s="99">
        <f t="shared" si="72"/>
        <v>36</v>
      </c>
      <c r="S29" s="99" t="str">
        <f>IFERROR(VLOOKUP(MID(N29,Q29,R29-Q29),[5]skilldef!$C:$D,2,FALSE),"-") &amp; " / " &amp; IFERROR(VLOOKUP(MID(N29,O29,P29-O29),[5]skilldef!$A:$B,2,FALSE),"-")</f>
        <v>- / -</v>
      </c>
      <c r="T29" s="93" t="str">
        <f t="shared" si="73"/>
        <v>none</v>
      </c>
      <c r="U29" s="99" t="e">
        <f t="shared" si="74"/>
        <v>#VALUE!</v>
      </c>
      <c r="V29" s="99">
        <f t="shared" si="75"/>
        <v>4</v>
      </c>
      <c r="W29" s="99" t="e">
        <f t="shared" si="76"/>
        <v>#VALUE!</v>
      </c>
      <c r="X29" s="99" t="e">
        <f t="shared" si="77"/>
        <v>#VALUE!</v>
      </c>
      <c r="Y29" s="99" t="str">
        <f>IFERROR(VLOOKUP(MID(T29,W29,X29-W29),[5]skilldef!$C:$D,2,FALSE),"-") &amp; " / " &amp; IFERROR(VLOOKUP(MID(T29,U29,V29-U29),[5]skilldef!$A:$B,2,FALSE),"-")</f>
        <v>- / -</v>
      </c>
      <c r="Z29" s="99" t="s">
        <v>277</v>
      </c>
      <c r="AA29" s="100"/>
      <c r="AB29" s="98"/>
      <c r="AC29" s="49" t="str">
        <f t="shared" si="62"/>
        <v>[effect:enemy_message, val1:1.2, val2:1.2]</v>
      </c>
    </row>
    <row r="30" spans="1:29" ht="21" customHeight="1" x14ac:dyDescent="0.15">
      <c r="A30" s="93">
        <v>30048029</v>
      </c>
      <c r="B30" s="93" t="s">
        <v>498</v>
      </c>
      <c r="C30" s="98">
        <v>3</v>
      </c>
      <c r="D30" s="98" t="s">
        <v>322</v>
      </c>
      <c r="E30" s="99" t="s">
        <v>460</v>
      </c>
      <c r="F30" s="99" t="s">
        <v>282</v>
      </c>
      <c r="G30" s="99" t="str">
        <f t="shared" si="63"/>
        <v>[effect:enemy_message, val1:1.4, val2:1.2]</v>
      </c>
      <c r="H30" s="99">
        <f t="shared" si="64"/>
        <v>9</v>
      </c>
      <c r="I30" s="99">
        <f t="shared" si="65"/>
        <v>22</v>
      </c>
      <c r="J30" s="99" t="e">
        <f t="shared" si="66"/>
        <v>#VALUE!</v>
      </c>
      <c r="K30" s="99">
        <f t="shared" si="67"/>
        <v>32</v>
      </c>
      <c r="L30" s="99" t="str">
        <f>IFERROR(VLOOKUP(MID(G30,J30,K30-J30),[5]skilldef!$C:$D,2,FALSE),"-") &amp; " / " &amp; IFERROR(VLOOKUP(MID(G30,H30,I30-H30),[5]skilldef!$A:$B,2,FALSE),"-")</f>
        <v>- / -</v>
      </c>
      <c r="M30" s="99" t="str">
        <f t="shared" si="68"/>
        <v>[effect:break_attack_fix, target:unit_one, val:200, lowest_val:3000, count:-1, color:green, block01:block_green, ignore01:crash, ignore02:crack_bomb, ignore03:color_break, ignore04:magnet]</v>
      </c>
      <c r="N30" s="93" t="str">
        <f t="shared" si="79"/>
        <v>[effect:break_attack_fix, target:unit_one, val:200, lowest_val:3000, count:-1, color:green, block01:block_green, ignore01:crash, ignore02:crack_bomb, ignore03:color_break, ignore04:magnet]</v>
      </c>
      <c r="O30" s="99">
        <f t="shared" si="69"/>
        <v>9</v>
      </c>
      <c r="P30" s="99">
        <f t="shared" si="70"/>
        <v>25</v>
      </c>
      <c r="Q30" s="99">
        <f t="shared" si="71"/>
        <v>34</v>
      </c>
      <c r="R30" s="99">
        <f t="shared" si="72"/>
        <v>42</v>
      </c>
      <c r="S30" s="99" t="str">
        <f>IFERROR(VLOOKUP(MID(N30,Q30,R30-Q30),[5]skilldef!$C:$D,2,FALSE),"-") &amp; " / " &amp; IFERROR(VLOOKUP(MID(N30,O30,P30-O30),[5]skilldef!$A:$B,2,FALSE),"-")</f>
        <v>味方単体に / -</v>
      </c>
      <c r="T30" s="93" t="str">
        <f t="shared" si="73"/>
        <v>none</v>
      </c>
      <c r="U30" s="99" t="e">
        <f t="shared" si="74"/>
        <v>#VALUE!</v>
      </c>
      <c r="V30" s="99">
        <f t="shared" si="75"/>
        <v>4</v>
      </c>
      <c r="W30" s="99" t="e">
        <f t="shared" si="76"/>
        <v>#VALUE!</v>
      </c>
      <c r="X30" s="99" t="e">
        <f t="shared" si="77"/>
        <v>#VALUE!</v>
      </c>
      <c r="Y30" s="99" t="str">
        <f>IFERROR(VLOOKUP(MID(T30,W30,X30-W30),[5]skilldef!$C:$D,2,FALSE),"-") &amp; " / " &amp; IFERROR(VLOOKUP(MID(T30,U30,V30-U30),[5]skilldef!$A:$B,2,FALSE),"-")</f>
        <v>- / -</v>
      </c>
      <c r="Z30" s="99" t="s">
        <v>279</v>
      </c>
      <c r="AA30" s="100"/>
      <c r="AB30" s="98"/>
      <c r="AC30" s="49" t="str">
        <f t="shared" si="62"/>
        <v>[effect:enemy_message, val1:1.4, val2:1.2]</v>
      </c>
    </row>
    <row r="31" spans="1:29" ht="21" customHeight="1" x14ac:dyDescent="0.15">
      <c r="A31" s="93">
        <v>30048030</v>
      </c>
      <c r="B31" s="93" t="s">
        <v>499</v>
      </c>
      <c r="C31" s="98">
        <v>3</v>
      </c>
      <c r="D31" s="98" t="s">
        <v>322</v>
      </c>
      <c r="E31" s="99" t="s">
        <v>334</v>
      </c>
      <c r="F31" s="99" t="s">
        <v>389</v>
      </c>
      <c r="G31" s="99" t="str">
        <f t="shared" si="63"/>
        <v>[effect:enemy_message, val1:1.2, val2:2.0]</v>
      </c>
      <c r="H31" s="99">
        <f t="shared" si="64"/>
        <v>9</v>
      </c>
      <c r="I31" s="99">
        <f t="shared" si="65"/>
        <v>22</v>
      </c>
      <c r="J31" s="99" t="e">
        <f t="shared" si="66"/>
        <v>#VALUE!</v>
      </c>
      <c r="K31" s="99">
        <f t="shared" si="67"/>
        <v>32</v>
      </c>
      <c r="L31" s="99" t="str">
        <f>IFERROR(VLOOKUP(MID(G31,J31,K31-J31),[5]skilldef!$C:$D,2,FALSE),"-") &amp; " / " &amp; IFERROR(VLOOKUP(MID(G31,H31,I31-H31),[5]skilldef!$A:$B,2,FALSE),"-")</f>
        <v>- / -</v>
      </c>
      <c r="M31" s="99" t="str">
        <f t="shared" si="68"/>
        <v>[effect:degrade_unit, target:unit_all, turn:3, status:attack, val:0.2, calc:mul]</v>
      </c>
      <c r="N31" s="93" t="str">
        <f t="shared" si="79"/>
        <v>[effect:degrade_unit, target:unit_all, turn:3, status:attack, val:0.2, calc:mul]</v>
      </c>
      <c r="O31" s="99">
        <f t="shared" si="69"/>
        <v>9</v>
      </c>
      <c r="P31" s="99">
        <f t="shared" si="70"/>
        <v>21</v>
      </c>
      <c r="Q31" s="99">
        <f t="shared" si="71"/>
        <v>30</v>
      </c>
      <c r="R31" s="99">
        <f t="shared" si="72"/>
        <v>38</v>
      </c>
      <c r="S31" s="99" t="str">
        <f>IFERROR(VLOOKUP(MID(N31,Q31,R31-Q31),[5]skilldef!$C:$D,2,FALSE),"-") &amp; " / " &amp; IFERROR(VLOOKUP(MID(N31,O31,P31-O31),[5]skilldef!$A:$B,2,FALSE),"-")</f>
        <v>味方全体に / ステータスDOWN</v>
      </c>
      <c r="T31" s="93" t="str">
        <f t="shared" si="73"/>
        <v>none</v>
      </c>
      <c r="U31" s="99" t="e">
        <f t="shared" si="74"/>
        <v>#VALUE!</v>
      </c>
      <c r="V31" s="99">
        <f t="shared" si="75"/>
        <v>4</v>
      </c>
      <c r="W31" s="99" t="e">
        <f t="shared" si="76"/>
        <v>#VALUE!</v>
      </c>
      <c r="X31" s="99" t="e">
        <f t="shared" si="77"/>
        <v>#VALUE!</v>
      </c>
      <c r="Y31" s="99" t="str">
        <f>IFERROR(VLOOKUP(MID(T31,W31,X31-W31),[5]skilldef!$C:$D,2,FALSE),"-") &amp; " / " &amp; IFERROR(VLOOKUP(MID(T31,U31,V31-U31),[5]skilldef!$A:$B,2,FALSE),"-")</f>
        <v>- / -</v>
      </c>
      <c r="Z31" s="99" t="s">
        <v>285</v>
      </c>
      <c r="AA31" s="100"/>
      <c r="AB31" s="98"/>
      <c r="AC31" s="49" t="str">
        <f t="shared" si="62"/>
        <v>[effect:enemy_message, val1:1.2, val2:2.0]</v>
      </c>
    </row>
    <row r="32" spans="1:29" ht="21" customHeight="1" x14ac:dyDescent="0.15">
      <c r="A32" s="93">
        <v>30048031</v>
      </c>
      <c r="B32" s="93" t="s">
        <v>482</v>
      </c>
      <c r="C32" s="98">
        <v>3</v>
      </c>
      <c r="D32" s="98" t="s">
        <v>322</v>
      </c>
      <c r="E32" s="99" t="s">
        <v>402</v>
      </c>
      <c r="F32" s="99" t="s">
        <v>369</v>
      </c>
      <c r="G32" s="99" t="str">
        <f t="shared" si="63"/>
        <v>[effect:enemy_message, val1:1.5, val2:1.2]</v>
      </c>
      <c r="H32" s="99">
        <f t="shared" si="64"/>
        <v>9</v>
      </c>
      <c r="I32" s="99">
        <f t="shared" si="65"/>
        <v>22</v>
      </c>
      <c r="J32" s="99" t="e">
        <f t="shared" si="66"/>
        <v>#VALUE!</v>
      </c>
      <c r="K32" s="99">
        <f t="shared" si="67"/>
        <v>32</v>
      </c>
      <c r="L32" s="99" t="str">
        <f>IFERROR(VLOOKUP(MID(G32,J32,K32-J32),[5]skilldef!$C:$D,2,FALSE),"-") &amp; " / " &amp; IFERROR(VLOOKUP(MID(G32,H32,I32-H32),[5]skilldef!$A:$B,2,FALSE),"-")</f>
        <v>- / -</v>
      </c>
      <c r="M32" s="99" t="str">
        <f t="shared" si="68"/>
        <v>[effect:fix_speed, target:myself, turn:2],[effect:change_panel_ratio, turn:-1, block_type:green, val:0.4, animation:block_incidence04]</v>
      </c>
      <c r="N32" s="93" t="str">
        <f t="shared" si="79"/>
        <v>[effect:fix_speed, target:myself, turn:2],[effect:change_panel_ratio, turn:-1, block_type:green, val:0.4, animation:block_incidence04]</v>
      </c>
      <c r="O32" s="99">
        <f t="shared" si="69"/>
        <v>9</v>
      </c>
      <c r="P32" s="99">
        <f t="shared" si="70"/>
        <v>18</v>
      </c>
      <c r="Q32" s="99">
        <f t="shared" si="71"/>
        <v>27</v>
      </c>
      <c r="R32" s="99">
        <f t="shared" si="72"/>
        <v>33</v>
      </c>
      <c r="S32" s="99" t="str">
        <f>IFERROR(VLOOKUP(MID(N32,Q32,R32-Q32),[5]skilldef!$C:$D,2,FALSE),"-") &amp; " / " &amp; IFERROR(VLOOKUP(MID(N32,O32,P32-O32),[5]skilldef!$A:$B,2,FALSE),"-")</f>
        <v>自分自身に / 行動値設定</v>
      </c>
      <c r="T32" s="93" t="str">
        <f t="shared" si="73"/>
        <v>[effect:change_panel_ratio, turn:-1, block_type:green, val:0.4, animation:block_incidence04]</v>
      </c>
      <c r="U32" s="99">
        <f t="shared" si="74"/>
        <v>9</v>
      </c>
      <c r="V32" s="99">
        <f t="shared" si="75"/>
        <v>27</v>
      </c>
      <c r="W32" s="99" t="e">
        <f t="shared" si="76"/>
        <v>#VALUE!</v>
      </c>
      <c r="X32" s="99">
        <f t="shared" si="77"/>
        <v>36</v>
      </c>
      <c r="Y32" s="99" t="str">
        <f>IFERROR(VLOOKUP(MID(T32,W32,X32-W32),[5]skilldef!$C:$D,2,FALSE),"-") &amp; " / " &amp; IFERROR(VLOOKUP(MID(T32,U32,V32-U32),[5]skilldef!$A:$B,2,FALSE),"-")</f>
        <v>- / -</v>
      </c>
      <c r="Z32" s="99" t="s">
        <v>299</v>
      </c>
      <c r="AA32" s="100"/>
      <c r="AB32" s="98"/>
      <c r="AC32" s="49" t="str">
        <f t="shared" si="62"/>
        <v>[effect:enemy_message, val1:1.5, val2:1.2]</v>
      </c>
    </row>
    <row r="33" spans="1:29" ht="21" customHeight="1" x14ac:dyDescent="0.15">
      <c r="A33" s="93">
        <v>30048032</v>
      </c>
      <c r="B33" s="93" t="s">
        <v>500</v>
      </c>
      <c r="C33" s="98">
        <v>3</v>
      </c>
      <c r="D33" s="98" t="s">
        <v>322</v>
      </c>
      <c r="E33" s="99" t="s">
        <v>462</v>
      </c>
      <c r="F33" s="99" t="s">
        <v>370</v>
      </c>
      <c r="G33" s="99" t="str">
        <f t="shared" si="63"/>
        <v>[effect:enemy_message, val1:1.8, val2:1.4]</v>
      </c>
      <c r="H33" s="99">
        <f t="shared" si="64"/>
        <v>9</v>
      </c>
      <c r="I33" s="99">
        <f t="shared" si="65"/>
        <v>22</v>
      </c>
      <c r="J33" s="99" t="e">
        <f t="shared" si="66"/>
        <v>#VALUE!</v>
      </c>
      <c r="K33" s="99">
        <f t="shared" si="67"/>
        <v>32</v>
      </c>
      <c r="L33" s="99" t="str">
        <f>IFERROR(VLOOKUP(MID(G33,J33,K33-J33),[5]skilldef!$C:$D,2,FALSE),"-") &amp; " / " &amp; IFERROR(VLOOKUP(MID(G33,H33,I33-H33),[5]skilldef!$A:$B,2,FALSE),"-")</f>
        <v>- / -</v>
      </c>
      <c r="M33" s="99" t="str">
        <f t="shared" si="68"/>
        <v>[effect:panel_freeze, target:normal, color:block_green, count:-1],[effect:rush, count:1, val:1]</v>
      </c>
      <c r="N33" s="93" t="str">
        <f t="shared" si="79"/>
        <v>[effect:panel_freeze, target:normal, color:block_green, count:-1],[effect:rush, count:1, val:1]</v>
      </c>
      <c r="O33" s="99">
        <f t="shared" si="69"/>
        <v>9</v>
      </c>
      <c r="P33" s="99">
        <f t="shared" si="70"/>
        <v>21</v>
      </c>
      <c r="Q33" s="99">
        <f t="shared" si="71"/>
        <v>30</v>
      </c>
      <c r="R33" s="99">
        <f t="shared" si="72"/>
        <v>36</v>
      </c>
      <c r="S33" s="99" t="str">
        <f>IFERROR(VLOOKUP(MID(N33,Q33,R33-Q33),[5]skilldef!$C:$D,2,FALSE),"-") &amp; " / " &amp; IFERROR(VLOOKUP(MID(N33,O33,P33-O33),[5]skilldef!$A:$B,2,FALSE),"-")</f>
        <v>- / -</v>
      </c>
      <c r="T33" s="93" t="str">
        <f t="shared" si="73"/>
        <v>[effect:rush, count:1, val:1]</v>
      </c>
      <c r="U33" s="99">
        <f t="shared" si="74"/>
        <v>9</v>
      </c>
      <c r="V33" s="99">
        <f t="shared" si="75"/>
        <v>13</v>
      </c>
      <c r="W33" s="99" t="e">
        <f t="shared" si="76"/>
        <v>#VALUE!</v>
      </c>
      <c r="X33" s="99">
        <f t="shared" si="77"/>
        <v>22</v>
      </c>
      <c r="Y33" s="99" t="str">
        <f>IFERROR(VLOOKUP(MID(T33,W33,X33-W33),[5]skilldef!$C:$D,2,FALSE),"-") &amp; " / " &amp; IFERROR(VLOOKUP(MID(T33,U33,V33-U33),[5]skilldef!$A:$B,2,FALSE),"-")</f>
        <v>- / 連続攻撃</v>
      </c>
      <c r="Z33" s="99" t="s">
        <v>300</v>
      </c>
      <c r="AA33" s="100"/>
      <c r="AB33" s="98"/>
      <c r="AC33" s="49" t="str">
        <f t="shared" si="62"/>
        <v>[effect:enemy_message, val1:1.8, val2:1.4]</v>
      </c>
    </row>
    <row r="34" spans="1:29" ht="21" customHeight="1" x14ac:dyDescent="0.15">
      <c r="A34" s="93">
        <v>30048033</v>
      </c>
      <c r="B34" s="93" t="s">
        <v>501</v>
      </c>
      <c r="C34" s="98">
        <v>3</v>
      </c>
      <c r="D34" s="98" t="s">
        <v>322</v>
      </c>
      <c r="E34" s="99" t="s">
        <v>464</v>
      </c>
      <c r="F34" s="99" t="s">
        <v>282</v>
      </c>
      <c r="G34" s="99" t="str">
        <f t="shared" si="63"/>
        <v>[effect:enemy_message, val1:1.9, val2:1.2]</v>
      </c>
      <c r="H34" s="99">
        <f t="shared" si="64"/>
        <v>9</v>
      </c>
      <c r="I34" s="99">
        <f t="shared" si="65"/>
        <v>22</v>
      </c>
      <c r="J34" s="99" t="e">
        <f t="shared" si="66"/>
        <v>#VALUE!</v>
      </c>
      <c r="K34" s="99">
        <f t="shared" si="67"/>
        <v>32</v>
      </c>
      <c r="L34" s="99" t="str">
        <f>IFERROR(VLOOKUP(MID(G34,J34,K34-J34),[5]skilldef!$C:$D,2,FALSE),"-") &amp; " / " &amp; IFERROR(VLOOKUP(MID(G34,H34,I34-H34),[5]skilldef!$A:$B,2,FALSE),"-")</f>
        <v>- / -</v>
      </c>
      <c r="M34" s="99" t="str">
        <f t="shared" si="68"/>
        <v>[effect:break_attack_fix, target:unit_one, val:200, lowest_val:4000, count:-1, color:green, block01:block_green, ignore01:crash, ignore02:crack_bomb, ignore03:color_break, ignore04:magnet]</v>
      </c>
      <c r="N34" s="93" t="str">
        <f t="shared" si="79"/>
        <v>[effect:break_attack_fix, target:unit_one, val:200, lowest_val:4000, count:-1, color:green, block01:block_green, ignore01:crash, ignore02:crack_bomb, ignore03:color_break, ignore04:magnet]</v>
      </c>
      <c r="O34" s="99">
        <f t="shared" si="69"/>
        <v>9</v>
      </c>
      <c r="P34" s="99">
        <f t="shared" si="70"/>
        <v>25</v>
      </c>
      <c r="Q34" s="99">
        <f t="shared" si="71"/>
        <v>34</v>
      </c>
      <c r="R34" s="99">
        <f t="shared" si="72"/>
        <v>42</v>
      </c>
      <c r="S34" s="99" t="str">
        <f>IFERROR(VLOOKUP(MID(N34,Q34,R34-Q34),[5]skilldef!$C:$D,2,FALSE),"-") &amp; " / " &amp; IFERROR(VLOOKUP(MID(N34,O34,P34-O34),[5]skilldef!$A:$B,2,FALSE),"-")</f>
        <v>味方単体に / -</v>
      </c>
      <c r="T34" s="93" t="str">
        <f t="shared" si="73"/>
        <v>none</v>
      </c>
      <c r="U34" s="99" t="e">
        <f t="shared" si="74"/>
        <v>#VALUE!</v>
      </c>
      <c r="V34" s="99">
        <f t="shared" si="75"/>
        <v>4</v>
      </c>
      <c r="W34" s="99" t="e">
        <f t="shared" si="76"/>
        <v>#VALUE!</v>
      </c>
      <c r="X34" s="99" t="e">
        <f t="shared" si="77"/>
        <v>#VALUE!</v>
      </c>
      <c r="Y34" s="99" t="str">
        <f>IFERROR(VLOOKUP(MID(T34,W34,X34-W34),[5]skilldef!$C:$D,2,FALSE),"-") &amp; " / " &amp; IFERROR(VLOOKUP(MID(T34,U34,V34-U34),[5]skilldef!$A:$B,2,FALSE),"-")</f>
        <v>- / -</v>
      </c>
      <c r="Z34" s="99" t="s">
        <v>301</v>
      </c>
      <c r="AA34" s="100"/>
      <c r="AB34" s="98"/>
      <c r="AC34" s="49" t="str">
        <f t="shared" si="62"/>
        <v>[effect:enemy_message, val1:1.9, val2:1.2]</v>
      </c>
    </row>
    <row r="35" spans="1:29" ht="21" customHeight="1" x14ac:dyDescent="0.15">
      <c r="A35" s="93">
        <v>30048034</v>
      </c>
      <c r="B35" s="93" t="s">
        <v>502</v>
      </c>
      <c r="C35" s="98">
        <v>3</v>
      </c>
      <c r="D35" s="98" t="s">
        <v>322</v>
      </c>
      <c r="E35" s="99" t="s">
        <v>470</v>
      </c>
      <c r="F35" s="99" t="s">
        <v>371</v>
      </c>
      <c r="G35" s="99" t="str">
        <f t="shared" si="63"/>
        <v>[effect:enemy_message, val1:1.6, val2:1.4]</v>
      </c>
      <c r="H35" s="99">
        <f t="shared" si="64"/>
        <v>9</v>
      </c>
      <c r="I35" s="99">
        <f t="shared" si="65"/>
        <v>22</v>
      </c>
      <c r="J35" s="99" t="e">
        <f t="shared" si="66"/>
        <v>#VALUE!</v>
      </c>
      <c r="K35" s="99">
        <f t="shared" si="67"/>
        <v>32</v>
      </c>
      <c r="L35" s="99" t="str">
        <f>IFERROR(VLOOKUP(MID(G35,J35,K35-J35),[5]skilldef!$C:$D,2,FALSE),"-") &amp; " / " &amp; IFERROR(VLOOKUP(MID(G35,H35,I35-H35),[5]skilldef!$A:$B,2,FALSE),"-")</f>
        <v>- / -</v>
      </c>
      <c r="M35" s="99" t="str">
        <f t="shared" si="68"/>
        <v>[effect:fix_speed, target:myself, turn:1],[effect:remove_enhancement, target:unit_all, target_effect:change_panel_ratio, target_type:all, status:green, animation:frozen_wave]</v>
      </c>
      <c r="N35" s="93" t="str">
        <f t="shared" si="79"/>
        <v>[effect:fix_speed, target:myself, turn:1],[effect:remove_enhancement, target:unit_all, target_effect:change_panel_ratio, target_type:all, status:green, animation:frozen_wave]</v>
      </c>
      <c r="O35" s="99">
        <f t="shared" si="69"/>
        <v>9</v>
      </c>
      <c r="P35" s="99">
        <f t="shared" si="70"/>
        <v>18</v>
      </c>
      <c r="Q35" s="99">
        <f t="shared" si="71"/>
        <v>27</v>
      </c>
      <c r="R35" s="99">
        <f t="shared" si="72"/>
        <v>33</v>
      </c>
      <c r="S35" s="99" t="str">
        <f>IFERROR(VLOOKUP(MID(N35,Q35,R35-Q35),[5]skilldef!$C:$D,2,FALSE),"-") &amp; " / " &amp; IFERROR(VLOOKUP(MID(N35,O35,P35-O35),[5]skilldef!$A:$B,2,FALSE),"-")</f>
        <v>自分自身に / 行動値設定</v>
      </c>
      <c r="T35" s="93" t="str">
        <f t="shared" si="73"/>
        <v>[effect:remove_enhancement, target:unit_all, target_effect:change_panel_ratio, target_type:all, status:green, animation:frozen_wave]</v>
      </c>
      <c r="U35" s="99">
        <f t="shared" si="74"/>
        <v>9</v>
      </c>
      <c r="V35" s="99">
        <f t="shared" si="75"/>
        <v>27</v>
      </c>
      <c r="W35" s="99">
        <f t="shared" si="76"/>
        <v>36</v>
      </c>
      <c r="X35" s="99">
        <f t="shared" si="77"/>
        <v>44</v>
      </c>
      <c r="Y35" s="99" t="str">
        <f>IFERROR(VLOOKUP(MID(T35,W35,X35-W35),[5]skilldef!$C:$D,2,FALSE),"-") &amp; " / " &amp; IFERROR(VLOOKUP(MID(T35,U35,V35-U35),[5]skilldef!$A:$B,2,FALSE),"-")</f>
        <v>味方全体に / -</v>
      </c>
      <c r="Z35" s="99" t="s">
        <v>291</v>
      </c>
      <c r="AA35" s="100"/>
      <c r="AB35" s="98"/>
      <c r="AC35" s="49" t="str">
        <f t="shared" si="62"/>
        <v>[effect:enemy_message, val1:1.6, val2:1.4]</v>
      </c>
    </row>
    <row r="36" spans="1:29" ht="21" customHeight="1" x14ac:dyDescent="0.15">
      <c r="A36" s="93">
        <v>30048035</v>
      </c>
      <c r="B36" s="93" t="s">
        <v>503</v>
      </c>
      <c r="C36" s="98">
        <v>3</v>
      </c>
      <c r="D36" s="98" t="s">
        <v>322</v>
      </c>
      <c r="E36" s="99" t="s">
        <v>338</v>
      </c>
      <c r="F36" s="99" t="s">
        <v>372</v>
      </c>
      <c r="G36" s="99" t="str">
        <f t="shared" si="63"/>
        <v>[effect:enemy_message, val1:1.3, val2:2.4]</v>
      </c>
      <c r="H36" s="99">
        <f t="shared" si="64"/>
        <v>9</v>
      </c>
      <c r="I36" s="99">
        <f t="shared" si="65"/>
        <v>22</v>
      </c>
      <c r="J36" s="99" t="e">
        <f t="shared" si="66"/>
        <v>#VALUE!</v>
      </c>
      <c r="K36" s="99">
        <f t="shared" si="67"/>
        <v>32</v>
      </c>
      <c r="L36" s="99" t="str">
        <f>IFERROR(VLOOKUP(MID(G36,J36,K36-J36),[5]skilldef!$C:$D,2,FALSE),"-") &amp; " / " &amp; IFERROR(VLOOKUP(MID(G36,H36,I36-H36),[5]skilldef!$A:$B,2,FALSE),"-")</f>
        <v>- / -</v>
      </c>
      <c r="M36" s="99" t="str">
        <f t="shared" si="68"/>
        <v>[effect:panel_freeze, target:normal, count:3],[effect:rush, count:1, val:1]</v>
      </c>
      <c r="N36" s="93" t="str">
        <f t="shared" si="79"/>
        <v>[effect:panel_freeze, target:normal, count:3],[effect:rush, count:1, val:1]</v>
      </c>
      <c r="O36" s="99">
        <f t="shared" si="69"/>
        <v>9</v>
      </c>
      <c r="P36" s="99">
        <f t="shared" si="70"/>
        <v>21</v>
      </c>
      <c r="Q36" s="99">
        <f t="shared" si="71"/>
        <v>30</v>
      </c>
      <c r="R36" s="99">
        <f t="shared" si="72"/>
        <v>36</v>
      </c>
      <c r="S36" s="99" t="str">
        <f>IFERROR(VLOOKUP(MID(N36,Q36,R36-Q36),[5]skilldef!$C:$D,2,FALSE),"-") &amp; " / " &amp; IFERROR(VLOOKUP(MID(N36,O36,P36-O36),[5]skilldef!$A:$B,2,FALSE),"-")</f>
        <v>- / -</v>
      </c>
      <c r="T36" s="93" t="str">
        <f t="shared" si="73"/>
        <v>[effect:rush, count:1, val:1]</v>
      </c>
      <c r="U36" s="99">
        <f t="shared" si="74"/>
        <v>9</v>
      </c>
      <c r="V36" s="99">
        <f t="shared" si="75"/>
        <v>13</v>
      </c>
      <c r="W36" s="99" t="e">
        <f t="shared" si="76"/>
        <v>#VALUE!</v>
      </c>
      <c r="X36" s="99">
        <f t="shared" si="77"/>
        <v>22</v>
      </c>
      <c r="Y36" s="99" t="str">
        <f>IFERROR(VLOOKUP(MID(T36,W36,X36-W36),[5]skilldef!$C:$D,2,FALSE),"-") &amp; " / " &amp; IFERROR(VLOOKUP(MID(T36,U36,V36-U36),[5]skilldef!$A:$B,2,FALSE),"-")</f>
        <v>- / 連続攻撃</v>
      </c>
      <c r="Z36" s="99" t="s">
        <v>293</v>
      </c>
      <c r="AA36" s="100"/>
      <c r="AB36" s="98"/>
      <c r="AC36" s="49" t="str">
        <f t="shared" si="62"/>
        <v>[effect:enemy_message, val1:1.3, val2:2.4]</v>
      </c>
    </row>
    <row r="37" spans="1:29" ht="21" customHeight="1" x14ac:dyDescent="0.15">
      <c r="A37" s="93">
        <v>30048036</v>
      </c>
      <c r="B37" s="93" t="s">
        <v>504</v>
      </c>
      <c r="C37" s="98">
        <v>3</v>
      </c>
      <c r="D37" s="98" t="s">
        <v>322</v>
      </c>
      <c r="E37" s="99" t="s">
        <v>466</v>
      </c>
      <c r="F37" s="99" t="s">
        <v>390</v>
      </c>
      <c r="G37" s="99" t="str">
        <f t="shared" si="63"/>
        <v>[effect:enemy_message, val1:1.6, val2:3.3]</v>
      </c>
      <c r="H37" s="99">
        <f t="shared" si="64"/>
        <v>9</v>
      </c>
      <c r="I37" s="99">
        <f t="shared" si="65"/>
        <v>22</v>
      </c>
      <c r="J37" s="99" t="e">
        <f t="shared" si="66"/>
        <v>#VALUE!</v>
      </c>
      <c r="K37" s="99">
        <f t="shared" si="67"/>
        <v>32</v>
      </c>
      <c r="L37" s="99" t="str">
        <f>IFERROR(VLOOKUP(MID(G37,J37,K37-J37),[5]skilldef!$C:$D,2,FALSE),"-") &amp; " / " &amp; IFERROR(VLOOKUP(MID(G37,H37,I37-H37),[5]skilldef!$A:$B,2,FALSE),"-")</f>
        <v>- / -</v>
      </c>
      <c r="M37" s="99" t="str">
        <f t="shared" si="68"/>
        <v>[effect:panel_freeze, target:normal, count:13],[effect:enhance_enemy, target:myself, turn:2, status:attack, val:1500, calc:add, animation:enemy_enhance_attack]</v>
      </c>
      <c r="N37" s="93" t="str">
        <f t="shared" si="79"/>
        <v>[effect:panel_freeze, target:normal, count:13],[effect:enhance_enemy, target:myself, turn:2, status:attack, val:1500, calc:add, animation:enemy_enhance_attack]</v>
      </c>
      <c r="O37" s="99">
        <f t="shared" si="69"/>
        <v>9</v>
      </c>
      <c r="P37" s="99">
        <f t="shared" si="70"/>
        <v>21</v>
      </c>
      <c r="Q37" s="99">
        <f t="shared" si="71"/>
        <v>30</v>
      </c>
      <c r="R37" s="99">
        <f t="shared" si="72"/>
        <v>36</v>
      </c>
      <c r="S37" s="99" t="str">
        <f>IFERROR(VLOOKUP(MID(N37,Q37,R37-Q37),[5]skilldef!$C:$D,2,FALSE),"-") &amp; " / " &amp; IFERROR(VLOOKUP(MID(N37,O37,P37-O37),[5]skilldef!$A:$B,2,FALSE),"-")</f>
        <v>- / -</v>
      </c>
      <c r="T37" s="93" t="str">
        <f t="shared" si="73"/>
        <v>[effect:enhance_enemy, target:myself, turn:2, status:attack, val:1500, calc:add, animation:enemy_enhance_attack]</v>
      </c>
      <c r="U37" s="99">
        <f t="shared" si="74"/>
        <v>9</v>
      </c>
      <c r="V37" s="99">
        <f t="shared" si="75"/>
        <v>22</v>
      </c>
      <c r="W37" s="99">
        <f t="shared" si="76"/>
        <v>31</v>
      </c>
      <c r="X37" s="99">
        <f t="shared" si="77"/>
        <v>37</v>
      </c>
      <c r="Y37" s="99" t="str">
        <f>IFERROR(VLOOKUP(MID(T37,W37,X37-W37),[5]skilldef!$C:$D,2,FALSE),"-") &amp; " / " &amp; IFERROR(VLOOKUP(MID(T37,U37,V37-U37),[5]skilldef!$A:$B,2,FALSE),"-")</f>
        <v>自分自身に / ステータス強化</v>
      </c>
      <c r="Z37" s="99" t="s">
        <v>295</v>
      </c>
      <c r="AA37" s="100"/>
      <c r="AB37" s="98"/>
      <c r="AC37" s="49" t="str">
        <f t="shared" si="62"/>
        <v>[effect:enemy_message, val1:1.6, val2:3.3]</v>
      </c>
    </row>
    <row r="38" spans="1:29" ht="21" customHeight="1" x14ac:dyDescent="0.15">
      <c r="A38" s="93">
        <v>30048037</v>
      </c>
      <c r="B38" s="93" t="s">
        <v>505</v>
      </c>
      <c r="C38" s="98">
        <v>3</v>
      </c>
      <c r="D38" s="98" t="s">
        <v>322</v>
      </c>
      <c r="E38" s="99" t="s">
        <v>468</v>
      </c>
      <c r="F38" s="99" t="s">
        <v>373</v>
      </c>
      <c r="G38" s="99" t="str">
        <f t="shared" si="63"/>
        <v>[effect:enemy_message, val1:1.6, val2:2.4]</v>
      </c>
      <c r="H38" s="99">
        <f t="shared" si="64"/>
        <v>9</v>
      </c>
      <c r="I38" s="99">
        <f t="shared" si="65"/>
        <v>22</v>
      </c>
      <c r="J38" s="99" t="e">
        <f t="shared" si="66"/>
        <v>#VALUE!</v>
      </c>
      <c r="K38" s="99">
        <f t="shared" si="67"/>
        <v>32</v>
      </c>
      <c r="L38" s="99" t="str">
        <f>IFERROR(VLOOKUP(MID(G38,J38,K38-J38),[5]skilldef!$C:$D,2,FALSE),"-") &amp; " / " &amp; IFERROR(VLOOKUP(MID(G38,H38,I38-H38),[5]skilldef!$A:$B,2,FALSE),"-")</f>
        <v>- / -</v>
      </c>
      <c r="M38" s="99" t="str">
        <f t="shared" si="68"/>
        <v>[effect:panel_freeze, target:normal, count:5],[effect:rush, count:1, val:1]</v>
      </c>
      <c r="N38" s="93" t="str">
        <f t="shared" si="79"/>
        <v>[effect:panel_freeze, target:normal, count:5],[effect:rush, count:1, val:1]</v>
      </c>
      <c r="O38" s="99">
        <f t="shared" si="69"/>
        <v>9</v>
      </c>
      <c r="P38" s="99">
        <f t="shared" si="70"/>
        <v>21</v>
      </c>
      <c r="Q38" s="99">
        <f t="shared" si="71"/>
        <v>30</v>
      </c>
      <c r="R38" s="99">
        <f t="shared" si="72"/>
        <v>36</v>
      </c>
      <c r="S38" s="99" t="str">
        <f>IFERROR(VLOOKUP(MID(N38,Q38,R38-Q38),[5]skilldef!$C:$D,2,FALSE),"-") &amp; " / " &amp; IFERROR(VLOOKUP(MID(N38,O38,P38-O38),[5]skilldef!$A:$B,2,FALSE),"-")</f>
        <v>- / -</v>
      </c>
      <c r="T38" s="93" t="str">
        <f t="shared" si="73"/>
        <v>[effect:rush, count:1, val:1]</v>
      </c>
      <c r="U38" s="99">
        <f t="shared" si="74"/>
        <v>9</v>
      </c>
      <c r="V38" s="99">
        <f t="shared" si="75"/>
        <v>13</v>
      </c>
      <c r="W38" s="99" t="e">
        <f t="shared" si="76"/>
        <v>#VALUE!</v>
      </c>
      <c r="X38" s="99">
        <f t="shared" si="77"/>
        <v>22</v>
      </c>
      <c r="Y38" s="99" t="str">
        <f>IFERROR(VLOOKUP(MID(T38,W38,X38-W38),[5]skilldef!$C:$D,2,FALSE),"-") &amp; " / " &amp; IFERROR(VLOOKUP(MID(T38,U38,V38-U38),[5]skilldef!$A:$B,2,FALSE),"-")</f>
        <v>- / 連続攻撃</v>
      </c>
      <c r="Z38" s="99" t="s">
        <v>297</v>
      </c>
      <c r="AA38" s="100"/>
      <c r="AB38" s="98"/>
      <c r="AC38" s="49" t="str">
        <f t="shared" si="62"/>
        <v>[effect:enemy_message, val1:1.6, val2:2.4]</v>
      </c>
    </row>
    <row r="39" spans="1:29" ht="21" customHeight="1" x14ac:dyDescent="0.15">
      <c r="A39" s="93">
        <v>30048038</v>
      </c>
      <c r="B39" s="93" t="s">
        <v>395</v>
      </c>
      <c r="C39" s="98">
        <v>3</v>
      </c>
      <c r="D39" s="98" t="s">
        <v>127</v>
      </c>
      <c r="E39" s="99" t="s">
        <v>404</v>
      </c>
      <c r="F39" s="99" t="s">
        <v>406</v>
      </c>
      <c r="G39" s="99" t="str">
        <f t="shared" si="63"/>
        <v>[effect:enemy_message, val1:3.2, val2:2.0, dead_type:suicide]</v>
      </c>
      <c r="H39" s="99">
        <f t="shared" si="64"/>
        <v>9</v>
      </c>
      <c r="I39" s="99">
        <f t="shared" si="65"/>
        <v>22</v>
      </c>
      <c r="J39" s="99" t="e">
        <f t="shared" si="66"/>
        <v>#VALUE!</v>
      </c>
      <c r="K39" s="99">
        <f t="shared" si="67"/>
        <v>32</v>
      </c>
      <c r="L39" s="99" t="str">
        <f>IFERROR(VLOOKUP(MID(G39,J39,K39-J39),[5]skilldef!$C:$D,2,FALSE),"-") &amp; " / " &amp; IFERROR(VLOOKUP(MID(G39,H39,I39-H39),[5]skilldef!$A:$B,2,FALSE),"-")</f>
        <v>- / -</v>
      </c>
      <c r="M39" s="99" t="str">
        <f t="shared" si="68"/>
        <v>none</v>
      </c>
      <c r="N39" s="93" t="str">
        <f t="shared" si="79"/>
        <v>none</v>
      </c>
      <c r="O39" s="99" t="e">
        <f t="shared" si="69"/>
        <v>#VALUE!</v>
      </c>
      <c r="P39" s="99">
        <f t="shared" si="70"/>
        <v>4</v>
      </c>
      <c r="Q39" s="99" t="e">
        <f t="shared" si="71"/>
        <v>#VALUE!</v>
      </c>
      <c r="R39" s="99" t="e">
        <f t="shared" si="72"/>
        <v>#VALUE!</v>
      </c>
      <c r="S39" s="99" t="str">
        <f>IFERROR(VLOOKUP(MID(N39,Q39,R39-Q39),[5]skilldef!$C:$D,2,FALSE),"-") &amp; " / " &amp; IFERROR(VLOOKUP(MID(N39,O39,P39-O39),[5]skilldef!$A:$B,2,FALSE),"-")</f>
        <v>- / -</v>
      </c>
      <c r="T39" s="93" t="str">
        <f t="shared" si="73"/>
        <v>none</v>
      </c>
      <c r="U39" s="99" t="e">
        <f t="shared" si="74"/>
        <v>#VALUE!</v>
      </c>
      <c r="V39" s="99">
        <f t="shared" si="75"/>
        <v>4</v>
      </c>
      <c r="W39" s="99" t="e">
        <f t="shared" si="76"/>
        <v>#VALUE!</v>
      </c>
      <c r="X39" s="99" t="e">
        <f t="shared" si="77"/>
        <v>#VALUE!</v>
      </c>
      <c r="Y39" s="99" t="str">
        <f>IFERROR(VLOOKUP(MID(T39,W39,X39-W39),[5]skilldef!$C:$D,2,FALSE),"-") &amp; " / " &amp; IFERROR(VLOOKUP(MID(T39,U39,V39-U39),[5]skilldef!$A:$B,2,FALSE),"-")</f>
        <v>- / -</v>
      </c>
      <c r="Z39" s="99" t="s">
        <v>340</v>
      </c>
      <c r="AA39" s="100"/>
      <c r="AB39" s="98"/>
      <c r="AC39" s="49" t="str">
        <f t="shared" si="62"/>
        <v>[effect:enemy_message, val1:2.7, val2:1.5]</v>
      </c>
    </row>
    <row r="40" spans="1:29" ht="21" customHeight="1" x14ac:dyDescent="0.15">
      <c r="A40" s="94">
        <v>30048039</v>
      </c>
      <c r="B40" s="94" t="s">
        <v>506</v>
      </c>
      <c r="C40" s="101">
        <v>3</v>
      </c>
      <c r="D40" s="101" t="s">
        <v>322</v>
      </c>
      <c r="E40" s="102" t="s">
        <v>332</v>
      </c>
      <c r="F40" s="102" t="s">
        <v>374</v>
      </c>
      <c r="G40" s="102" t="str">
        <f>IFERROR(LEFT(B40,FIND("],",B40)),B40)</f>
        <v>[effect:enemy_message, val1:1.2, val2:2.0]</v>
      </c>
      <c r="H40" s="102">
        <f>FIND("effect:",G40)+7</f>
        <v>9</v>
      </c>
      <c r="I40" s="102">
        <f>IFERROR(FIND(",",G40),LEN(G40))</f>
        <v>22</v>
      </c>
      <c r="J40" s="102" t="e">
        <f>FIND("target:",G40)+7</f>
        <v>#VALUE!</v>
      </c>
      <c r="K40" s="102">
        <f>FIND(",",G40,I40+1)</f>
        <v>32</v>
      </c>
      <c r="L40" s="102" t="str">
        <f>IFERROR(VLOOKUP(MID(G40,J40,K40-J40),[5]skilldef!$C:$D,2,FALSE),"-") &amp; " / " &amp; IFERROR(VLOOKUP(MID(G40,H40,I40-H40),[5]skilldef!$A:$B,2,FALSE),"-")</f>
        <v>- / -</v>
      </c>
      <c r="M40" s="102" t="str">
        <f>IFERROR(RIGHT(B40,LEN(B40)-FIND("],",B40)-1),"none")</f>
        <v>[effect:fix_speed, target:myself, turn:1],[effect:panel_freeze, target:normal, color:block_green, count:3],[effect:rush, count:1, val:1]</v>
      </c>
      <c r="N40" s="94" t="str">
        <f t="shared" si="79"/>
        <v>[effect:fix_speed, target:myself, turn:1],[effect:panel_freeze, target:normal, color:block_green, count:3],[effect:rush, count:1, val:1]</v>
      </c>
      <c r="O40" s="102">
        <f>FIND("effect:",N40)+7</f>
        <v>9</v>
      </c>
      <c r="P40" s="102">
        <f>IFERROR(FIND(",",N40),LEN(N40))</f>
        <v>18</v>
      </c>
      <c r="Q40" s="102">
        <f>FIND("target:",N40)+7</f>
        <v>27</v>
      </c>
      <c r="R40" s="102">
        <f>FIND(",",N40,P40+1)</f>
        <v>33</v>
      </c>
      <c r="S40" s="102" t="str">
        <f>IFERROR(VLOOKUP(MID(N40,Q40,R40-Q40),[5]skilldef!$C:$D,2,FALSE),"-") &amp; " / " &amp; IFERROR(VLOOKUP(MID(N40,O40,P40-O40),[5]skilldef!$A:$B,2,FALSE),"-")</f>
        <v>自分自身に / 行動値設定</v>
      </c>
      <c r="T40" s="94" t="str">
        <f>IFERROR(RIGHT(M40,LEN(M40)-FIND("],",M40)-1),"none")</f>
        <v>[effect:panel_freeze, target:normal, color:block_green, count:3],[effect:rush, count:1, val:1]</v>
      </c>
      <c r="U40" s="102">
        <f>FIND("effect:",T40)+7</f>
        <v>9</v>
      </c>
      <c r="V40" s="102">
        <f>IFERROR(FIND(",",T40),LEN(T40))</f>
        <v>21</v>
      </c>
      <c r="W40" s="102">
        <f>FIND("target:",T40)+7</f>
        <v>30</v>
      </c>
      <c r="X40" s="102">
        <f>FIND(",",T40,V40+1)</f>
        <v>36</v>
      </c>
      <c r="Y40" s="102" t="str">
        <f>IFERROR(VLOOKUP(MID(T40,W40,X40-W40),[5]skilldef!$C:$D,2,FALSE),"-") &amp; " / " &amp; IFERROR(VLOOKUP(MID(T40,U40,V40-U40),[5]skilldef!$A:$B,2,FALSE),"-")</f>
        <v>- / -</v>
      </c>
      <c r="Z40" s="102" t="s">
        <v>258</v>
      </c>
      <c r="AA40" s="103"/>
      <c r="AB40" s="101"/>
      <c r="AC40" s="49" t="str">
        <f t="shared" ref="AC40:AC58" si="80">"[effect:enemy_message, val1:"&amp;TEXT(IF(E40="[表示しない]", "0", IF(LEN(CLEAN(E40))*0.1&lt;1.2, 1.2, LEN(CLEAN(E40))*0.1)), "0.0")&amp;", val2:"&amp;TEXT(IF(F40="[表示しない]", "0", IF(LEN(CLEAN(F40))*0.1&lt;1.2, 1.2, LEN(CLEAN(F40))*0.1)),"0.0")&amp;IF(AD40="escape",", dead_type:escape]","]")</f>
        <v>[effect:enemy_message, val1:1.2, val2:2.0]</v>
      </c>
    </row>
    <row r="41" spans="1:29" ht="21" customHeight="1" x14ac:dyDescent="0.15">
      <c r="A41" s="94">
        <v>30048040</v>
      </c>
      <c r="B41" s="94" t="s">
        <v>507</v>
      </c>
      <c r="C41" s="101">
        <v>3</v>
      </c>
      <c r="D41" s="101" t="s">
        <v>322</v>
      </c>
      <c r="E41" s="102" t="s">
        <v>333</v>
      </c>
      <c r="F41" s="102" t="s">
        <v>399</v>
      </c>
      <c r="G41" s="102" t="str">
        <f t="shared" ref="G41:G58" si="81">IFERROR(LEFT(B41,FIND("],",B41)),B41)</f>
        <v>[effect:enemy_message, val1:1.2, val2:1.6]</v>
      </c>
      <c r="H41" s="102">
        <f t="shared" ref="H41:H58" si="82">FIND("effect:",G41)+7</f>
        <v>9</v>
      </c>
      <c r="I41" s="102">
        <f t="shared" ref="I41:I58" si="83">IFERROR(FIND(",",G41),LEN(G41))</f>
        <v>22</v>
      </c>
      <c r="J41" s="102" t="e">
        <f t="shared" ref="J41:J58" si="84">FIND("target:",G41)+7</f>
        <v>#VALUE!</v>
      </c>
      <c r="K41" s="102">
        <f t="shared" ref="K41:K58" si="85">FIND(",",G41,I41+1)</f>
        <v>32</v>
      </c>
      <c r="L41" s="102" t="str">
        <f>IFERROR(VLOOKUP(MID(G41,J41,K41-J41),[5]skilldef!$C:$D,2,FALSE),"-") &amp; " / " &amp; IFERROR(VLOOKUP(MID(G41,H41,I41-H41),[5]skilldef!$A:$B,2,FALSE),"-")</f>
        <v>- / -</v>
      </c>
      <c r="M41" s="102" t="str">
        <f t="shared" ref="M41:M58" si="86">IFERROR(RIGHT(B41,LEN(B41)-FIND("],",B41)-1),"none")</f>
        <v>[effect:force_change_block, new_block:block_green, target:block_all, ignore01:crash, ignore02:crack_bomb, ignore03:color_break, ignore04:block_green, ignore05:magnet, count:3, val:0, animation:change_block]</v>
      </c>
      <c r="N41" s="94" t="str">
        <f t="shared" si="79"/>
        <v>[effect:force_change_block, new_block:block_green, target:block_all, ignore01:crash, ignore02:crack_bomb, ignore03:color_break, ignore04:block_green, ignore05:magnet, count:3, val:0, animation:change_block]</v>
      </c>
      <c r="O41" s="102">
        <f t="shared" ref="O41:O58" si="87">FIND("effect:",N41)+7</f>
        <v>9</v>
      </c>
      <c r="P41" s="102">
        <f t="shared" ref="P41:P58" si="88">IFERROR(FIND(",",N41),LEN(N41))</f>
        <v>27</v>
      </c>
      <c r="Q41" s="102">
        <f t="shared" ref="Q41:Q58" si="89">FIND("target:",N41)+7</f>
        <v>59</v>
      </c>
      <c r="R41" s="102">
        <f t="shared" ref="R41:R58" si="90">FIND(",",N41,P41+1)</f>
        <v>50</v>
      </c>
      <c r="S41" s="102" t="str">
        <f>IFERROR(VLOOKUP(MID(N41,Q41,R41-Q41),[5]skilldef!$C:$D,2,FALSE),"-") &amp; " / " &amp; IFERROR(VLOOKUP(MID(N41,O41,P41-O41),[5]skilldef!$A:$B,2,FALSE),"-")</f>
        <v>- / -</v>
      </c>
      <c r="T41" s="94" t="str">
        <f t="shared" ref="T41:T58" si="91">IFERROR(RIGHT(M41,LEN(M41)-FIND("],",M41)-1),"none")</f>
        <v>none</v>
      </c>
      <c r="U41" s="102" t="e">
        <f t="shared" ref="U41:U58" si="92">FIND("effect:",T41)+7</f>
        <v>#VALUE!</v>
      </c>
      <c r="V41" s="102">
        <f t="shared" ref="V41:V58" si="93">IFERROR(FIND(",",T41),LEN(T41))</f>
        <v>4</v>
      </c>
      <c r="W41" s="102" t="e">
        <f t="shared" ref="W41:W58" si="94">FIND("target:",T41)+7</f>
        <v>#VALUE!</v>
      </c>
      <c r="X41" s="102" t="e">
        <f t="shared" ref="X41:X58" si="95">FIND(",",T41,V41+1)</f>
        <v>#VALUE!</v>
      </c>
      <c r="Y41" s="102" t="str">
        <f>IFERROR(VLOOKUP(MID(T41,W41,X41-W41),[5]skilldef!$C:$D,2,FALSE),"-") &amp; " / " &amp; IFERROR(VLOOKUP(MID(T41,U41,V41-U41),[5]skilldef!$A:$B,2,FALSE),"-")</f>
        <v>- / -</v>
      </c>
      <c r="Z41" s="102" t="s">
        <v>260</v>
      </c>
      <c r="AA41" s="103"/>
      <c r="AB41" s="101"/>
      <c r="AC41" s="49" t="str">
        <f t="shared" si="80"/>
        <v>[effect:enemy_message, val1:1.2, val2:1.6]</v>
      </c>
    </row>
    <row r="42" spans="1:29" ht="21" customHeight="1" x14ac:dyDescent="0.15">
      <c r="A42" s="94">
        <v>30048041</v>
      </c>
      <c r="B42" s="94" t="s">
        <v>508</v>
      </c>
      <c r="C42" s="101">
        <v>3</v>
      </c>
      <c r="D42" s="101" t="s">
        <v>322</v>
      </c>
      <c r="E42" s="102" t="s">
        <v>400</v>
      </c>
      <c r="F42" s="102" t="s">
        <v>401</v>
      </c>
      <c r="G42" s="102" t="str">
        <f t="shared" si="81"/>
        <v>[effect:enemy_message, val1:1.2, val2:1.2]</v>
      </c>
      <c r="H42" s="102">
        <f t="shared" si="82"/>
        <v>9</v>
      </c>
      <c r="I42" s="102">
        <f t="shared" si="83"/>
        <v>22</v>
      </c>
      <c r="J42" s="102" t="e">
        <f t="shared" si="84"/>
        <v>#VALUE!</v>
      </c>
      <c r="K42" s="102">
        <f t="shared" si="85"/>
        <v>32</v>
      </c>
      <c r="L42" s="102" t="str">
        <f>IFERROR(VLOOKUP(MID(G42,J42,K42-J42),[5]skilldef!$C:$D,2,FALSE),"-") &amp; " / " &amp; IFERROR(VLOOKUP(MID(G42,H42,I42-H42),[5]skilldef!$A:$B,2,FALSE),"-")</f>
        <v>- / -</v>
      </c>
      <c r="M42" s="102" t="str">
        <f t="shared" si="86"/>
        <v>[effect:fix_speed, target:myself, turn:1],[effect:critical, val:1.1, animation:enemy_critical]</v>
      </c>
      <c r="N42" s="94" t="str">
        <f t="shared" si="79"/>
        <v>[effect:fix_speed, target:myself, turn:1],[effect:critical, val:1.1, animation:enemy_critical]</v>
      </c>
      <c r="O42" s="102">
        <f t="shared" si="87"/>
        <v>9</v>
      </c>
      <c r="P42" s="102">
        <f t="shared" si="88"/>
        <v>18</v>
      </c>
      <c r="Q42" s="102">
        <f t="shared" si="89"/>
        <v>27</v>
      </c>
      <c r="R42" s="102">
        <f t="shared" si="90"/>
        <v>33</v>
      </c>
      <c r="S42" s="102" t="str">
        <f>IFERROR(VLOOKUP(MID(N42,Q42,R42-Q42),[5]skilldef!$C:$D,2,FALSE),"-") &amp; " / " &amp; IFERROR(VLOOKUP(MID(N42,O42,P42-O42),[5]skilldef!$A:$B,2,FALSE),"-")</f>
        <v>自分自身に / 行動値設定</v>
      </c>
      <c r="T42" s="94" t="str">
        <f t="shared" si="91"/>
        <v>[effect:critical, val:1.1, animation:enemy_critical]</v>
      </c>
      <c r="U42" s="102">
        <f t="shared" si="92"/>
        <v>9</v>
      </c>
      <c r="V42" s="102">
        <f t="shared" si="93"/>
        <v>17</v>
      </c>
      <c r="W42" s="102" t="e">
        <f t="shared" si="94"/>
        <v>#VALUE!</v>
      </c>
      <c r="X42" s="102">
        <f t="shared" si="95"/>
        <v>26</v>
      </c>
      <c r="Y42" s="102" t="str">
        <f>IFERROR(VLOOKUP(MID(T42,W42,X42-W42),[5]skilldef!$C:$D,2,FALSE),"-") &amp; " / " &amp; IFERROR(VLOOKUP(MID(T42,U42,V42-U42),[5]skilldef!$A:$B,2,FALSE),"-")</f>
        <v>- / 大攻撃</v>
      </c>
      <c r="Z42" s="102" t="s">
        <v>263</v>
      </c>
      <c r="AA42" s="103"/>
      <c r="AB42" s="101"/>
      <c r="AC42" s="49" t="str">
        <f t="shared" si="80"/>
        <v>[effect:enemy_message, val1:1.2, val2:1.2]</v>
      </c>
    </row>
    <row r="43" spans="1:29" ht="21" customHeight="1" x14ac:dyDescent="0.15">
      <c r="A43" s="94">
        <v>30048042</v>
      </c>
      <c r="B43" s="94" t="s">
        <v>509</v>
      </c>
      <c r="C43" s="101">
        <v>3</v>
      </c>
      <c r="D43" s="101" t="s">
        <v>322</v>
      </c>
      <c r="E43" s="102" t="s">
        <v>454</v>
      </c>
      <c r="F43" s="102" t="s">
        <v>375</v>
      </c>
      <c r="G43" s="102" t="str">
        <f t="shared" si="81"/>
        <v>[effect:enemy_message, val1:1.5, val2:1.2]</v>
      </c>
      <c r="H43" s="102">
        <f t="shared" si="82"/>
        <v>9</v>
      </c>
      <c r="I43" s="102">
        <f t="shared" si="83"/>
        <v>22</v>
      </c>
      <c r="J43" s="102" t="e">
        <f t="shared" si="84"/>
        <v>#VALUE!</v>
      </c>
      <c r="K43" s="102">
        <f t="shared" si="85"/>
        <v>32</v>
      </c>
      <c r="L43" s="102" t="str">
        <f>IFERROR(VLOOKUP(MID(G43,J43,K43-J43),[5]skilldef!$C:$D,2,FALSE),"-") &amp; " / " &amp; IFERROR(VLOOKUP(MID(G43,H43,I43-H43),[5]skilldef!$A:$B,2,FALSE),"-")</f>
        <v>- / -</v>
      </c>
      <c r="M43" s="102" t="str">
        <f t="shared" si="86"/>
        <v>[effect:fix_speed, target:myself, turn:2],[effect:change_panel_ratio, turn:-1, block_type:green, val:0.3, animation:block_incidence04]</v>
      </c>
      <c r="N43" s="94" t="str">
        <f t="shared" si="79"/>
        <v>[effect:fix_speed, target:myself, turn:2],[effect:change_panel_ratio, turn:-1, block_type:green, val:0.3, animation:block_incidence04]</v>
      </c>
      <c r="O43" s="102">
        <f t="shared" si="87"/>
        <v>9</v>
      </c>
      <c r="P43" s="102">
        <f t="shared" si="88"/>
        <v>18</v>
      </c>
      <c r="Q43" s="102">
        <f t="shared" si="89"/>
        <v>27</v>
      </c>
      <c r="R43" s="102">
        <f t="shared" si="90"/>
        <v>33</v>
      </c>
      <c r="S43" s="102" t="str">
        <f>IFERROR(VLOOKUP(MID(N43,Q43,R43-Q43),[5]skilldef!$C:$D,2,FALSE),"-") &amp; " / " &amp; IFERROR(VLOOKUP(MID(N43,O43,P43-O43),[5]skilldef!$A:$B,2,FALSE),"-")</f>
        <v>自分自身に / 行動値設定</v>
      </c>
      <c r="T43" s="94" t="str">
        <f t="shared" si="91"/>
        <v>[effect:change_panel_ratio, turn:-1, block_type:green, val:0.3, animation:block_incidence04]</v>
      </c>
      <c r="U43" s="102">
        <f t="shared" si="92"/>
        <v>9</v>
      </c>
      <c r="V43" s="102">
        <f t="shared" si="93"/>
        <v>27</v>
      </c>
      <c r="W43" s="102" t="e">
        <f t="shared" si="94"/>
        <v>#VALUE!</v>
      </c>
      <c r="X43" s="102">
        <f t="shared" si="95"/>
        <v>36</v>
      </c>
      <c r="Y43" s="102" t="str">
        <f>IFERROR(VLOOKUP(MID(T43,W43,X43-W43),[5]skilldef!$C:$D,2,FALSE),"-") &amp; " / " &amp; IFERROR(VLOOKUP(MID(T43,U43,V43-U43),[5]skilldef!$A:$B,2,FALSE),"-")</f>
        <v>- / -</v>
      </c>
      <c r="Z43" s="102" t="s">
        <v>270</v>
      </c>
      <c r="AA43" s="103"/>
      <c r="AB43" s="101"/>
      <c r="AC43" s="49" t="str">
        <f t="shared" si="80"/>
        <v>[effect:enemy_message, val1:1.5, val2:1.2]</v>
      </c>
    </row>
    <row r="44" spans="1:29" ht="21" customHeight="1" x14ac:dyDescent="0.15">
      <c r="A44" s="94">
        <v>30048043</v>
      </c>
      <c r="B44" s="94" t="s">
        <v>510</v>
      </c>
      <c r="C44" s="101">
        <v>3</v>
      </c>
      <c r="D44" s="101" t="s">
        <v>322</v>
      </c>
      <c r="E44" s="102" t="s">
        <v>328</v>
      </c>
      <c r="F44" s="102" t="s">
        <v>376</v>
      </c>
      <c r="G44" s="102" t="str">
        <f t="shared" si="81"/>
        <v>[effect:enemy_message, val1:1.2, val2:1.4]</v>
      </c>
      <c r="H44" s="102">
        <f t="shared" si="82"/>
        <v>9</v>
      </c>
      <c r="I44" s="102">
        <f t="shared" si="83"/>
        <v>22</v>
      </c>
      <c r="J44" s="102" t="e">
        <f t="shared" si="84"/>
        <v>#VALUE!</v>
      </c>
      <c r="K44" s="102">
        <f t="shared" si="85"/>
        <v>32</v>
      </c>
      <c r="L44" s="102" t="str">
        <f>IFERROR(VLOOKUP(MID(G44,J44,K44-J44),[5]skilldef!$C:$D,2,FALSE),"-") &amp; " / " &amp; IFERROR(VLOOKUP(MID(G44,H44,I44-H44),[5]skilldef!$A:$B,2,FALSE),"-")</f>
        <v>- / -</v>
      </c>
      <c r="M44" s="102" t="str">
        <f t="shared" si="86"/>
        <v>[effect:panel_freeze, target:normal, color:block_green, count:-1],[effect:rush, count:1, val:1]</v>
      </c>
      <c r="N44" s="94" t="str">
        <f t="shared" si="79"/>
        <v>[effect:panel_freeze, target:normal, color:block_green, count:-1],[effect:rush, count:1, val:1]</v>
      </c>
      <c r="O44" s="102">
        <f t="shared" si="87"/>
        <v>9</v>
      </c>
      <c r="P44" s="102">
        <f t="shared" si="88"/>
        <v>21</v>
      </c>
      <c r="Q44" s="102">
        <f t="shared" si="89"/>
        <v>30</v>
      </c>
      <c r="R44" s="102">
        <f t="shared" si="90"/>
        <v>36</v>
      </c>
      <c r="S44" s="102" t="str">
        <f>IFERROR(VLOOKUP(MID(N44,Q44,R44-Q44),[5]skilldef!$C:$D,2,FALSE),"-") &amp; " / " &amp; IFERROR(VLOOKUP(MID(N44,O44,P44-O44),[5]skilldef!$A:$B,2,FALSE),"-")</f>
        <v>- / -</v>
      </c>
      <c r="T44" s="94" t="str">
        <f t="shared" si="91"/>
        <v>[effect:rush, count:1, val:1]</v>
      </c>
      <c r="U44" s="102">
        <f t="shared" si="92"/>
        <v>9</v>
      </c>
      <c r="V44" s="102">
        <f t="shared" si="93"/>
        <v>13</v>
      </c>
      <c r="W44" s="102" t="e">
        <f t="shared" si="94"/>
        <v>#VALUE!</v>
      </c>
      <c r="X44" s="102">
        <f t="shared" si="95"/>
        <v>22</v>
      </c>
      <c r="Y44" s="102" t="str">
        <f>IFERROR(VLOOKUP(MID(T44,W44,X44-W44),[5]skilldef!$C:$D,2,FALSE),"-") &amp; " / " &amp; IFERROR(VLOOKUP(MID(T44,U44,V44-U44),[5]skilldef!$A:$B,2,FALSE),"-")</f>
        <v>- / 連続攻撃</v>
      </c>
      <c r="Z44" s="102" t="s">
        <v>270</v>
      </c>
      <c r="AA44" s="103"/>
      <c r="AB44" s="101"/>
      <c r="AC44" s="49" t="str">
        <f t="shared" si="80"/>
        <v>[effect:enemy_message, val1:1.2, val2:1.4]</v>
      </c>
    </row>
    <row r="45" spans="1:29" ht="21" customHeight="1" x14ac:dyDescent="0.15">
      <c r="A45" s="94">
        <v>30048044</v>
      </c>
      <c r="B45" s="94" t="s">
        <v>511</v>
      </c>
      <c r="C45" s="101">
        <v>3</v>
      </c>
      <c r="D45" s="101" t="s">
        <v>322</v>
      </c>
      <c r="E45" s="102" t="s">
        <v>456</v>
      </c>
      <c r="F45" s="102" t="s">
        <v>391</v>
      </c>
      <c r="G45" s="102" t="str">
        <f t="shared" si="81"/>
        <v>[effect:enemy_message, val1:1.9, val2:2.0]</v>
      </c>
      <c r="H45" s="102">
        <f t="shared" si="82"/>
        <v>9</v>
      </c>
      <c r="I45" s="102">
        <f t="shared" si="83"/>
        <v>22</v>
      </c>
      <c r="J45" s="102" t="e">
        <f t="shared" si="84"/>
        <v>#VALUE!</v>
      </c>
      <c r="K45" s="102">
        <f t="shared" si="85"/>
        <v>32</v>
      </c>
      <c r="L45" s="102" t="str">
        <f>IFERROR(VLOOKUP(MID(G45,J45,K45-J45),[5]skilldef!$C:$D,2,FALSE),"-") &amp; " / " &amp; IFERROR(VLOOKUP(MID(G45,H45,I45-H45),[5]skilldef!$A:$B,2,FALSE),"-")</f>
        <v>- / -</v>
      </c>
      <c r="M45" s="102" t="str">
        <f t="shared" si="86"/>
        <v>[effect:degrade_unit, target:unit_all, turn:3, status:heal, val:0.3, calc:mul, animation:degrade_unit_all_heal]</v>
      </c>
      <c r="N45" s="94" t="str">
        <f t="shared" ref="N45:N57" si="96">IFERROR(LEFT(M45,FIND("],",M45)+S55),M45)</f>
        <v>[effect:degrade_unit, target:unit_all, turn:3, status:heal, val:0.3, calc:mul, animation:degrade_unit_all_heal]</v>
      </c>
      <c r="O45" s="102">
        <f t="shared" si="87"/>
        <v>9</v>
      </c>
      <c r="P45" s="102">
        <f t="shared" si="88"/>
        <v>21</v>
      </c>
      <c r="Q45" s="102">
        <f t="shared" si="89"/>
        <v>30</v>
      </c>
      <c r="R45" s="102">
        <f t="shared" si="90"/>
        <v>38</v>
      </c>
      <c r="S45" s="102" t="str">
        <f>IFERROR(VLOOKUP(MID(N45,Q45,R45-Q45),[5]skilldef!$C:$D,2,FALSE),"-") &amp; " / " &amp; IFERROR(VLOOKUP(MID(N45,O45,P45-O45),[5]skilldef!$A:$B,2,FALSE),"-")</f>
        <v>味方全体に / ステータスDOWN</v>
      </c>
      <c r="T45" s="94" t="str">
        <f t="shared" si="91"/>
        <v>none</v>
      </c>
      <c r="U45" s="102" t="e">
        <f t="shared" si="92"/>
        <v>#VALUE!</v>
      </c>
      <c r="V45" s="102">
        <f t="shared" si="93"/>
        <v>4</v>
      </c>
      <c r="W45" s="102" t="e">
        <f t="shared" si="94"/>
        <v>#VALUE!</v>
      </c>
      <c r="X45" s="102" t="e">
        <f t="shared" si="95"/>
        <v>#VALUE!</v>
      </c>
      <c r="Y45" s="102" t="str">
        <f>IFERROR(VLOOKUP(MID(T45,W45,X45-W45),[5]skilldef!$C:$D,2,FALSE),"-") &amp; " / " &amp; IFERROR(VLOOKUP(MID(T45,U45,V45-U45),[5]skilldef!$A:$B,2,FALSE),"-")</f>
        <v>- / -</v>
      </c>
      <c r="Z45" s="102" t="s">
        <v>271</v>
      </c>
      <c r="AA45" s="103"/>
      <c r="AB45" s="101"/>
      <c r="AC45" s="49" t="str">
        <f t="shared" si="80"/>
        <v>[effect:enemy_message, val1:1.9, val2:2.0]</v>
      </c>
    </row>
    <row r="46" spans="1:29" ht="21" customHeight="1" x14ac:dyDescent="0.15">
      <c r="A46" s="94">
        <v>30048045</v>
      </c>
      <c r="B46" s="94" t="s">
        <v>512</v>
      </c>
      <c r="C46" s="101">
        <v>3</v>
      </c>
      <c r="D46" s="101" t="s">
        <v>322</v>
      </c>
      <c r="E46" s="102" t="s">
        <v>330</v>
      </c>
      <c r="F46" s="102" t="s">
        <v>377</v>
      </c>
      <c r="G46" s="102" t="str">
        <f t="shared" si="81"/>
        <v>[effect:enemy_message, val1:1.2, val2:2.2]</v>
      </c>
      <c r="H46" s="102">
        <f t="shared" si="82"/>
        <v>9</v>
      </c>
      <c r="I46" s="102">
        <f t="shared" si="83"/>
        <v>22</v>
      </c>
      <c r="J46" s="102" t="e">
        <f t="shared" si="84"/>
        <v>#VALUE!</v>
      </c>
      <c r="K46" s="102">
        <f t="shared" si="85"/>
        <v>32</v>
      </c>
      <c r="L46" s="102" t="str">
        <f>IFERROR(VLOOKUP(MID(G46,J46,K46-J46),[5]skilldef!$C:$D,2,FALSE),"-") &amp; " / " &amp; IFERROR(VLOOKUP(MID(G46,H46,I46-H46),[5]skilldef!$A:$B,2,FALSE),"-")</f>
        <v>- / -</v>
      </c>
      <c r="M46" s="102" t="str">
        <f t="shared" si="86"/>
        <v>[effect:fix_speed, target:myself, turn:1],[effect:panel_freeze, target:normal, color:block_heart, count:3],[effect:rush, count:1, val:1]</v>
      </c>
      <c r="N46" s="94" t="str">
        <f t="shared" si="96"/>
        <v>[effect:fix_speed, target:myself, turn:1],[effect:panel_freeze, target:normal, color:block_heart, count:3],[effect:rush, count:1, val:1]</v>
      </c>
      <c r="O46" s="102">
        <f t="shared" si="87"/>
        <v>9</v>
      </c>
      <c r="P46" s="102">
        <f t="shared" si="88"/>
        <v>18</v>
      </c>
      <c r="Q46" s="102">
        <f t="shared" si="89"/>
        <v>27</v>
      </c>
      <c r="R46" s="102">
        <f t="shared" si="90"/>
        <v>33</v>
      </c>
      <c r="S46" s="102" t="str">
        <f>IFERROR(VLOOKUP(MID(N46,Q46,R46-Q46),[5]skilldef!$C:$D,2,FALSE),"-") &amp; " / " &amp; IFERROR(VLOOKUP(MID(N46,O46,P46-O46),[5]skilldef!$A:$B,2,FALSE),"-")</f>
        <v>自分自身に / 行動値設定</v>
      </c>
      <c r="T46" s="94" t="str">
        <f t="shared" si="91"/>
        <v>[effect:panel_freeze, target:normal, color:block_heart, count:3],[effect:rush, count:1, val:1]</v>
      </c>
      <c r="U46" s="102">
        <f t="shared" si="92"/>
        <v>9</v>
      </c>
      <c r="V46" s="102">
        <f t="shared" si="93"/>
        <v>21</v>
      </c>
      <c r="W46" s="102">
        <f t="shared" si="94"/>
        <v>30</v>
      </c>
      <c r="X46" s="102">
        <f t="shared" si="95"/>
        <v>36</v>
      </c>
      <c r="Y46" s="102" t="str">
        <f>IFERROR(VLOOKUP(MID(T46,W46,X46-W46),[5]skilldef!$C:$D,2,FALSE),"-") &amp; " / " &amp; IFERROR(VLOOKUP(MID(T46,U46,V46-U46),[5]skilldef!$A:$B,2,FALSE),"-")</f>
        <v>- / -</v>
      </c>
      <c r="Z46" s="102" t="s">
        <v>253</v>
      </c>
      <c r="AA46" s="103"/>
      <c r="AB46" s="101"/>
      <c r="AC46" s="49" t="str">
        <f t="shared" si="80"/>
        <v>[effect:enemy_message, val1:1.2, val2:2.2]</v>
      </c>
    </row>
    <row r="47" spans="1:29" ht="21" customHeight="1" x14ac:dyDescent="0.15">
      <c r="A47" s="94">
        <v>30048046</v>
      </c>
      <c r="B47" s="94" t="s">
        <v>513</v>
      </c>
      <c r="C47" s="101">
        <v>3</v>
      </c>
      <c r="D47" s="101" t="s">
        <v>322</v>
      </c>
      <c r="E47" s="102" t="s">
        <v>458</v>
      </c>
      <c r="F47" s="102" t="s">
        <v>388</v>
      </c>
      <c r="G47" s="102" t="str">
        <f t="shared" si="81"/>
        <v>[effect:enemy_message, val1:2.4, val2:2.7]</v>
      </c>
      <c r="H47" s="102">
        <f t="shared" si="82"/>
        <v>9</v>
      </c>
      <c r="I47" s="102">
        <f t="shared" si="83"/>
        <v>22</v>
      </c>
      <c r="J47" s="102" t="e">
        <f t="shared" si="84"/>
        <v>#VALUE!</v>
      </c>
      <c r="K47" s="102">
        <f t="shared" si="85"/>
        <v>32</v>
      </c>
      <c r="L47" s="102" t="str">
        <f>IFERROR(VLOOKUP(MID(G47,J47,K47-J47),[5]skilldef!$C:$D,2,FALSE),"-") &amp; " / " &amp; IFERROR(VLOOKUP(MID(G47,H47,I47-H47),[5]skilldef!$A:$B,2,FALSE),"-")</f>
        <v>- / -</v>
      </c>
      <c r="M47" s="102" t="str">
        <f t="shared" si="86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N47" s="94" t="str">
        <f t="shared" si="96"/>
        <v>[effect:fix_speed, target:myself, turn:1],[effect:enhance_enemy, target:myself, turn:2, status:defense, val:3000, calc:add, animation:enemy_enhance_defense],[effect:remove_enhancement, target:unit_all, target_effect:change_panel_ratio, target_type:all, status:green, animation:frozen_wave]</v>
      </c>
      <c r="O47" s="102">
        <f t="shared" si="87"/>
        <v>9</v>
      </c>
      <c r="P47" s="102">
        <f t="shared" si="88"/>
        <v>18</v>
      </c>
      <c r="Q47" s="102">
        <f t="shared" si="89"/>
        <v>27</v>
      </c>
      <c r="R47" s="102">
        <f t="shared" si="90"/>
        <v>33</v>
      </c>
      <c r="S47" s="102" t="str">
        <f>IFERROR(VLOOKUP(MID(N47,Q47,R47-Q47),[5]skilldef!$C:$D,2,FALSE),"-") &amp; " / " &amp; IFERROR(VLOOKUP(MID(N47,O47,P47-O47),[5]skilldef!$A:$B,2,FALSE),"-")</f>
        <v>自分自身に / 行動値設定</v>
      </c>
      <c r="T47" s="94" t="str">
        <f t="shared" si="91"/>
        <v>[effect:enhance_enemy, target:myself, turn:2, status:defense, val:3000, calc:add, animation:enemy_enhance_defense],[effect:remove_enhancement, target:unit_all, target_effect:change_panel_ratio, target_type:all, status:green, animation:frozen_wave]</v>
      </c>
      <c r="U47" s="102">
        <f t="shared" si="92"/>
        <v>9</v>
      </c>
      <c r="V47" s="102">
        <f t="shared" si="93"/>
        <v>22</v>
      </c>
      <c r="W47" s="102">
        <f t="shared" si="94"/>
        <v>31</v>
      </c>
      <c r="X47" s="102">
        <f t="shared" si="95"/>
        <v>37</v>
      </c>
      <c r="Y47" s="102" t="str">
        <f>IFERROR(VLOOKUP(MID(T47,W47,X47-W47),[5]skilldef!$C:$D,2,FALSE),"-") &amp; " / " &amp; IFERROR(VLOOKUP(MID(T47,U47,V47-U47),[5]skilldef!$A:$B,2,FALSE),"-")</f>
        <v>自分自身に / ステータス強化</v>
      </c>
      <c r="Z47" s="102" t="s">
        <v>275</v>
      </c>
      <c r="AA47" s="103"/>
      <c r="AB47" s="101"/>
      <c r="AC47" s="49" t="str">
        <f t="shared" si="80"/>
        <v>[effect:enemy_message, val1:2.4, val2:2.7]</v>
      </c>
    </row>
    <row r="48" spans="1:29" ht="21" customHeight="1" x14ac:dyDescent="0.15">
      <c r="A48" s="94">
        <v>30048047</v>
      </c>
      <c r="B48" s="94" t="s">
        <v>514</v>
      </c>
      <c r="C48" s="101">
        <v>3</v>
      </c>
      <c r="D48" s="101" t="s">
        <v>322</v>
      </c>
      <c r="E48" s="102" t="s">
        <v>336</v>
      </c>
      <c r="F48" s="102" t="s">
        <v>378</v>
      </c>
      <c r="G48" s="102" t="str">
        <f t="shared" si="81"/>
        <v>[effect:enemy_message, val1:1.2, val2:1.2]</v>
      </c>
      <c r="H48" s="102">
        <f t="shared" si="82"/>
        <v>9</v>
      </c>
      <c r="I48" s="102">
        <f t="shared" si="83"/>
        <v>22</v>
      </c>
      <c r="J48" s="102" t="e">
        <f t="shared" si="84"/>
        <v>#VALUE!</v>
      </c>
      <c r="K48" s="102">
        <f t="shared" si="85"/>
        <v>32</v>
      </c>
      <c r="L48" s="102" t="str">
        <f>IFERROR(VLOOKUP(MID(G48,J48,K48-J48),[5]skilldef!$C:$D,2,FALSE),"-") &amp; " / " &amp; IFERROR(VLOOKUP(MID(G48,H48,I48-H48),[5]skilldef!$A:$B,2,FALSE),"-")</f>
        <v>- / -</v>
      </c>
      <c r="M48" s="102" t="str">
        <f t="shared" si="86"/>
        <v>[effect:panel_freeze, target:normal, color:block_green, count:-1]</v>
      </c>
      <c r="N48" s="94" t="str">
        <f t="shared" si="96"/>
        <v>[effect:panel_freeze, target:normal, color:block_green, count:-1]</v>
      </c>
      <c r="O48" s="102">
        <f t="shared" si="87"/>
        <v>9</v>
      </c>
      <c r="P48" s="102">
        <f t="shared" si="88"/>
        <v>21</v>
      </c>
      <c r="Q48" s="102">
        <f t="shared" si="89"/>
        <v>30</v>
      </c>
      <c r="R48" s="102">
        <f t="shared" si="90"/>
        <v>36</v>
      </c>
      <c r="S48" s="102" t="str">
        <f>IFERROR(VLOOKUP(MID(N48,Q48,R48-Q48),[5]skilldef!$C:$D,2,FALSE),"-") &amp; " / " &amp; IFERROR(VLOOKUP(MID(N48,O48,P48-O48),[5]skilldef!$A:$B,2,FALSE),"-")</f>
        <v>- / -</v>
      </c>
      <c r="T48" s="94" t="str">
        <f t="shared" si="91"/>
        <v>none</v>
      </c>
      <c r="U48" s="102" t="e">
        <f t="shared" si="92"/>
        <v>#VALUE!</v>
      </c>
      <c r="V48" s="102">
        <f t="shared" si="93"/>
        <v>4</v>
      </c>
      <c r="W48" s="102" t="e">
        <f t="shared" si="94"/>
        <v>#VALUE!</v>
      </c>
      <c r="X48" s="102" t="e">
        <f t="shared" si="95"/>
        <v>#VALUE!</v>
      </c>
      <c r="Y48" s="102" t="str">
        <f>IFERROR(VLOOKUP(MID(T48,W48,X48-W48),[5]skilldef!$C:$D,2,FALSE),"-") &amp; " / " &amp; IFERROR(VLOOKUP(MID(T48,U48,V48-U48),[5]skilldef!$A:$B,2,FALSE),"-")</f>
        <v>- / -</v>
      </c>
      <c r="Z48" s="102" t="s">
        <v>277</v>
      </c>
      <c r="AA48" s="103"/>
      <c r="AB48" s="101"/>
      <c r="AC48" s="49" t="str">
        <f t="shared" si="80"/>
        <v>[effect:enemy_message, val1:1.2, val2:1.2]</v>
      </c>
    </row>
    <row r="49" spans="1:29" ht="21" customHeight="1" x14ac:dyDescent="0.15">
      <c r="A49" s="94">
        <v>30048048</v>
      </c>
      <c r="B49" s="94" t="s">
        <v>515</v>
      </c>
      <c r="C49" s="101">
        <v>3</v>
      </c>
      <c r="D49" s="101" t="s">
        <v>322</v>
      </c>
      <c r="E49" s="102" t="s">
        <v>460</v>
      </c>
      <c r="F49" s="102" t="s">
        <v>282</v>
      </c>
      <c r="G49" s="102" t="str">
        <f t="shared" si="81"/>
        <v>[effect:enemy_message, val1:1.4, val2:1.2]</v>
      </c>
      <c r="H49" s="102">
        <f t="shared" si="82"/>
        <v>9</v>
      </c>
      <c r="I49" s="102">
        <f t="shared" si="83"/>
        <v>22</v>
      </c>
      <c r="J49" s="102" t="e">
        <f t="shared" si="84"/>
        <v>#VALUE!</v>
      </c>
      <c r="K49" s="102">
        <f t="shared" si="85"/>
        <v>32</v>
      </c>
      <c r="L49" s="102" t="str">
        <f>IFERROR(VLOOKUP(MID(G49,J49,K49-J49),[5]skilldef!$C:$D,2,FALSE),"-") &amp; " / " &amp; IFERROR(VLOOKUP(MID(G49,H49,I49-H49),[5]skilldef!$A:$B,2,FALSE),"-")</f>
        <v>- / -</v>
      </c>
      <c r="M49" s="102" t="str">
        <f t="shared" si="86"/>
        <v>[effect:break_attack_fix, target:unit_one, val:250, lowest_val:5000, count:-1, color:green, block01:block_green, ignore01:crash, ignore02:crack_bomb, ignore03:color_break, ignore04:magnet]</v>
      </c>
      <c r="N49" s="94" t="str">
        <f t="shared" si="96"/>
        <v>[effect:break_attack_fix, target:unit_one, val:250, lowest_val:5000, count:-1, color:green, block01:block_green, ignore01:crash, ignore02:crack_bomb, ignore03:color_break, ignore04:magnet]</v>
      </c>
      <c r="O49" s="102">
        <f t="shared" si="87"/>
        <v>9</v>
      </c>
      <c r="P49" s="102">
        <f t="shared" si="88"/>
        <v>25</v>
      </c>
      <c r="Q49" s="102">
        <f t="shared" si="89"/>
        <v>34</v>
      </c>
      <c r="R49" s="102">
        <f t="shared" si="90"/>
        <v>42</v>
      </c>
      <c r="S49" s="102" t="str">
        <f>IFERROR(VLOOKUP(MID(N49,Q49,R49-Q49),[5]skilldef!$C:$D,2,FALSE),"-") &amp; " / " &amp; IFERROR(VLOOKUP(MID(N49,O49,P49-O49),[5]skilldef!$A:$B,2,FALSE),"-")</f>
        <v>味方単体に / -</v>
      </c>
      <c r="T49" s="94" t="str">
        <f t="shared" si="91"/>
        <v>none</v>
      </c>
      <c r="U49" s="102" t="e">
        <f t="shared" si="92"/>
        <v>#VALUE!</v>
      </c>
      <c r="V49" s="102">
        <f t="shared" si="93"/>
        <v>4</v>
      </c>
      <c r="W49" s="102" t="e">
        <f t="shared" si="94"/>
        <v>#VALUE!</v>
      </c>
      <c r="X49" s="102" t="e">
        <f t="shared" si="95"/>
        <v>#VALUE!</v>
      </c>
      <c r="Y49" s="102" t="str">
        <f>IFERROR(VLOOKUP(MID(T49,W49,X49-W49),[5]skilldef!$C:$D,2,FALSE),"-") &amp; " / " &amp; IFERROR(VLOOKUP(MID(T49,U49,V49-U49),[5]skilldef!$A:$B,2,FALSE),"-")</f>
        <v>- / -</v>
      </c>
      <c r="Z49" s="102" t="s">
        <v>279</v>
      </c>
      <c r="AA49" s="103"/>
      <c r="AB49" s="101"/>
      <c r="AC49" s="49" t="str">
        <f t="shared" si="80"/>
        <v>[effect:enemy_message, val1:1.4, val2:1.2]</v>
      </c>
    </row>
    <row r="50" spans="1:29" ht="21" customHeight="1" x14ac:dyDescent="0.15">
      <c r="A50" s="94">
        <v>30048049</v>
      </c>
      <c r="B50" s="94" t="s">
        <v>516</v>
      </c>
      <c r="C50" s="101">
        <v>3</v>
      </c>
      <c r="D50" s="101" t="s">
        <v>322</v>
      </c>
      <c r="E50" s="102" t="s">
        <v>334</v>
      </c>
      <c r="F50" s="102" t="s">
        <v>392</v>
      </c>
      <c r="G50" s="102" t="str">
        <f t="shared" si="81"/>
        <v>[effect:enemy_message, val1:1.2, val2:2.0]</v>
      </c>
      <c r="H50" s="102">
        <f t="shared" si="82"/>
        <v>9</v>
      </c>
      <c r="I50" s="102">
        <f t="shared" si="83"/>
        <v>22</v>
      </c>
      <c r="J50" s="102" t="e">
        <f t="shared" si="84"/>
        <v>#VALUE!</v>
      </c>
      <c r="K50" s="102">
        <f t="shared" si="85"/>
        <v>32</v>
      </c>
      <c r="L50" s="102" t="str">
        <f>IFERROR(VLOOKUP(MID(G50,J50,K50-J50),[5]skilldef!$C:$D,2,FALSE),"-") &amp; " / " &amp; IFERROR(VLOOKUP(MID(G50,H50,I50-H50),[5]skilldef!$A:$B,2,FALSE),"-")</f>
        <v>- / -</v>
      </c>
      <c r="M50" s="102" t="str">
        <f t="shared" si="86"/>
        <v>[effect:degrade_unit, target:unit_all, turn:3, status:attack, val:0.3, calc:mul]</v>
      </c>
      <c r="N50" s="94" t="str">
        <f t="shared" si="96"/>
        <v>[effect:degrade_unit, target:unit_all, turn:3, status:attack, val:0.3, calc:mul]</v>
      </c>
      <c r="O50" s="102">
        <f t="shared" si="87"/>
        <v>9</v>
      </c>
      <c r="P50" s="102">
        <f t="shared" si="88"/>
        <v>21</v>
      </c>
      <c r="Q50" s="102">
        <f t="shared" si="89"/>
        <v>30</v>
      </c>
      <c r="R50" s="102">
        <f t="shared" si="90"/>
        <v>38</v>
      </c>
      <c r="S50" s="102" t="str">
        <f>IFERROR(VLOOKUP(MID(N50,Q50,R50-Q50),[5]skilldef!$C:$D,2,FALSE),"-") &amp; " / " &amp; IFERROR(VLOOKUP(MID(N50,O50,P50-O50),[5]skilldef!$A:$B,2,FALSE),"-")</f>
        <v>味方全体に / ステータスDOWN</v>
      </c>
      <c r="T50" s="94" t="str">
        <f t="shared" si="91"/>
        <v>none</v>
      </c>
      <c r="U50" s="102" t="e">
        <f t="shared" si="92"/>
        <v>#VALUE!</v>
      </c>
      <c r="V50" s="102">
        <f t="shared" si="93"/>
        <v>4</v>
      </c>
      <c r="W50" s="102" t="e">
        <f t="shared" si="94"/>
        <v>#VALUE!</v>
      </c>
      <c r="X50" s="102" t="e">
        <f t="shared" si="95"/>
        <v>#VALUE!</v>
      </c>
      <c r="Y50" s="102" t="str">
        <f>IFERROR(VLOOKUP(MID(T50,W50,X50-W50),[5]skilldef!$C:$D,2,FALSE),"-") &amp; " / " &amp; IFERROR(VLOOKUP(MID(T50,U50,V50-U50),[5]skilldef!$A:$B,2,FALSE),"-")</f>
        <v>- / -</v>
      </c>
      <c r="Z50" s="102" t="s">
        <v>285</v>
      </c>
      <c r="AA50" s="103"/>
      <c r="AB50" s="101"/>
      <c r="AC50" s="49" t="str">
        <f t="shared" si="80"/>
        <v>[effect:enemy_message, val1:1.2, val2:2.0]</v>
      </c>
    </row>
    <row r="51" spans="1:29" ht="21" customHeight="1" x14ac:dyDescent="0.15">
      <c r="A51" s="94">
        <v>30048050</v>
      </c>
      <c r="B51" s="94" t="s">
        <v>517</v>
      </c>
      <c r="C51" s="101">
        <v>3</v>
      </c>
      <c r="D51" s="101" t="s">
        <v>322</v>
      </c>
      <c r="E51" s="102" t="s">
        <v>402</v>
      </c>
      <c r="F51" s="102" t="s">
        <v>379</v>
      </c>
      <c r="G51" s="102" t="str">
        <f t="shared" si="81"/>
        <v>[effect:enemy_message, val1:1.5, val2:1.2]</v>
      </c>
      <c r="H51" s="102">
        <f t="shared" si="82"/>
        <v>9</v>
      </c>
      <c r="I51" s="102">
        <f t="shared" si="83"/>
        <v>22</v>
      </c>
      <c r="J51" s="102" t="e">
        <f t="shared" si="84"/>
        <v>#VALUE!</v>
      </c>
      <c r="K51" s="102">
        <f t="shared" si="85"/>
        <v>32</v>
      </c>
      <c r="L51" s="102" t="str">
        <f>IFERROR(VLOOKUP(MID(G51,J51,K51-J51),[5]skilldef!$C:$D,2,FALSE),"-") &amp; " / " &amp; IFERROR(VLOOKUP(MID(G51,H51,I51-H51),[5]skilldef!$A:$B,2,FALSE),"-")</f>
        <v>- / -</v>
      </c>
      <c r="M51" s="102" t="str">
        <f t="shared" si="86"/>
        <v>[effect:fix_speed, target:myself, turn:2],[effect:change_panel_ratio, turn:-1, block_type:green, val:0.4, animation:block_incidence04]</v>
      </c>
      <c r="N51" s="94" t="str">
        <f t="shared" si="96"/>
        <v>[effect:fix_speed, target:myself, turn:2]</v>
      </c>
      <c r="O51" s="102">
        <f t="shared" si="87"/>
        <v>9</v>
      </c>
      <c r="P51" s="102">
        <f t="shared" si="88"/>
        <v>18</v>
      </c>
      <c r="Q51" s="102">
        <f t="shared" si="89"/>
        <v>27</v>
      </c>
      <c r="R51" s="102">
        <f t="shared" si="90"/>
        <v>33</v>
      </c>
      <c r="S51" s="102" t="str">
        <f>IFERROR(VLOOKUP(MID(N51,Q51,R51-Q51),[5]skilldef!$C:$D,2,FALSE),"-") &amp; " / " &amp; IFERROR(VLOOKUP(MID(N51,O51,P51-O51),[5]skilldef!$A:$B,2,FALSE),"-")</f>
        <v>自分自身に / 行動値設定</v>
      </c>
      <c r="T51" s="94" t="str">
        <f t="shared" si="91"/>
        <v>[effect:change_panel_ratio, turn:-1, block_type:green, val:0.4, animation:block_incidence04]</v>
      </c>
      <c r="U51" s="102">
        <f t="shared" si="92"/>
        <v>9</v>
      </c>
      <c r="V51" s="102">
        <f t="shared" si="93"/>
        <v>27</v>
      </c>
      <c r="W51" s="102" t="e">
        <f t="shared" si="94"/>
        <v>#VALUE!</v>
      </c>
      <c r="X51" s="102">
        <f t="shared" si="95"/>
        <v>36</v>
      </c>
      <c r="Y51" s="102" t="str">
        <f>IFERROR(VLOOKUP(MID(T51,W51,X51-W51),[5]skilldef!$C:$D,2,FALSE),"-") &amp; " / " &amp; IFERROR(VLOOKUP(MID(T51,U51,V51-U51),[5]skilldef!$A:$B,2,FALSE),"-")</f>
        <v>- / -</v>
      </c>
      <c r="Z51" s="102" t="s">
        <v>299</v>
      </c>
      <c r="AA51" s="103"/>
      <c r="AB51" s="101"/>
      <c r="AC51" s="49" t="str">
        <f t="shared" si="80"/>
        <v>[effect:enemy_message, val1:1.5, val2:1.2]</v>
      </c>
    </row>
    <row r="52" spans="1:29" ht="21" customHeight="1" x14ac:dyDescent="0.15">
      <c r="A52" s="94">
        <v>30048051</v>
      </c>
      <c r="B52" s="94" t="s">
        <v>518</v>
      </c>
      <c r="C52" s="101">
        <v>3</v>
      </c>
      <c r="D52" s="101" t="s">
        <v>322</v>
      </c>
      <c r="E52" s="102" t="s">
        <v>462</v>
      </c>
      <c r="F52" s="102" t="s">
        <v>380</v>
      </c>
      <c r="G52" s="102" t="str">
        <f t="shared" si="81"/>
        <v>[effect:enemy_message, val1:1.8, val2:1.4]</v>
      </c>
      <c r="H52" s="102">
        <f t="shared" si="82"/>
        <v>9</v>
      </c>
      <c r="I52" s="102">
        <f t="shared" si="83"/>
        <v>22</v>
      </c>
      <c r="J52" s="102" t="e">
        <f t="shared" si="84"/>
        <v>#VALUE!</v>
      </c>
      <c r="K52" s="102">
        <f t="shared" si="85"/>
        <v>32</v>
      </c>
      <c r="L52" s="102" t="str">
        <f>IFERROR(VLOOKUP(MID(G52,J52,K52-J52),[5]skilldef!$C:$D,2,FALSE),"-") &amp; " / " &amp; IFERROR(VLOOKUP(MID(G52,H52,I52-H52),[5]skilldef!$A:$B,2,FALSE),"-")</f>
        <v>- / -</v>
      </c>
      <c r="M52" s="102" t="str">
        <f t="shared" si="86"/>
        <v>[effect:panel_freeze, target:normal, color:block_green, count:-1],[effect:rush, count:1, val:1]</v>
      </c>
      <c r="N52" s="94" t="str">
        <f t="shared" si="96"/>
        <v>[effect:panel_freeze, target:normal, color:block_green, count:-1]</v>
      </c>
      <c r="O52" s="102">
        <f t="shared" si="87"/>
        <v>9</v>
      </c>
      <c r="P52" s="102">
        <f t="shared" si="88"/>
        <v>21</v>
      </c>
      <c r="Q52" s="102">
        <f t="shared" si="89"/>
        <v>30</v>
      </c>
      <c r="R52" s="102">
        <f t="shared" si="90"/>
        <v>36</v>
      </c>
      <c r="S52" s="102" t="str">
        <f>IFERROR(VLOOKUP(MID(N52,Q52,R52-Q52),[5]skilldef!$C:$D,2,FALSE),"-") &amp; " / " &amp; IFERROR(VLOOKUP(MID(N52,O52,P52-O52),[5]skilldef!$A:$B,2,FALSE),"-")</f>
        <v>- / -</v>
      </c>
      <c r="T52" s="94" t="str">
        <f t="shared" si="91"/>
        <v>[effect:rush, count:1, val:1]</v>
      </c>
      <c r="U52" s="102">
        <f t="shared" si="92"/>
        <v>9</v>
      </c>
      <c r="V52" s="102">
        <f t="shared" si="93"/>
        <v>13</v>
      </c>
      <c r="W52" s="102" t="e">
        <f t="shared" si="94"/>
        <v>#VALUE!</v>
      </c>
      <c r="X52" s="102">
        <f t="shared" si="95"/>
        <v>22</v>
      </c>
      <c r="Y52" s="102" t="str">
        <f>IFERROR(VLOOKUP(MID(T52,W52,X52-W52),[5]skilldef!$C:$D,2,FALSE),"-") &amp; " / " &amp; IFERROR(VLOOKUP(MID(T52,U52,V52-U52),[5]skilldef!$A:$B,2,FALSE),"-")</f>
        <v>- / 連続攻撃</v>
      </c>
      <c r="Z52" s="102" t="s">
        <v>300</v>
      </c>
      <c r="AA52" s="103"/>
      <c r="AB52" s="101"/>
      <c r="AC52" s="49" t="str">
        <f t="shared" si="80"/>
        <v>[effect:enemy_message, val1:1.8, val2:1.4]</v>
      </c>
    </row>
    <row r="53" spans="1:29" ht="21" customHeight="1" x14ac:dyDescent="0.15">
      <c r="A53" s="94">
        <v>30048052</v>
      </c>
      <c r="B53" s="94" t="s">
        <v>519</v>
      </c>
      <c r="C53" s="101">
        <v>3</v>
      </c>
      <c r="D53" s="101" t="s">
        <v>322</v>
      </c>
      <c r="E53" s="102" t="s">
        <v>464</v>
      </c>
      <c r="F53" s="102" t="s">
        <v>282</v>
      </c>
      <c r="G53" s="102" t="str">
        <f t="shared" si="81"/>
        <v>[effect:enemy_message, val1:1.9, val2:1.2]</v>
      </c>
      <c r="H53" s="102">
        <f t="shared" si="82"/>
        <v>9</v>
      </c>
      <c r="I53" s="102">
        <f t="shared" si="83"/>
        <v>22</v>
      </c>
      <c r="J53" s="102" t="e">
        <f t="shared" si="84"/>
        <v>#VALUE!</v>
      </c>
      <c r="K53" s="102">
        <f t="shared" si="85"/>
        <v>32</v>
      </c>
      <c r="L53" s="102" t="str">
        <f>IFERROR(VLOOKUP(MID(G53,J53,K53-J53),[5]skilldef!$C:$D,2,FALSE),"-") &amp; " / " &amp; IFERROR(VLOOKUP(MID(G53,H53,I53-H53),[5]skilldef!$A:$B,2,FALSE),"-")</f>
        <v>- / -</v>
      </c>
      <c r="M53" s="102" t="str">
        <f t="shared" si="86"/>
        <v>[effect:break_attack_fix, target:unit_one, val:300, lowest_val:7000, count:-1, color:green, block01:block_green, ignore01:crash, ignore02:crack_bomb, ignore03:color_break, ignore04:magnet]</v>
      </c>
      <c r="N53" s="94" t="str">
        <f t="shared" si="96"/>
        <v>[effect:break_attack_fix, target:unit_one, val:300, lowest_val:7000, count:-1, color:green, block01:block_green, ignore01:crash, ignore02:crack_bomb, ignore03:color_break, ignore04:magnet]</v>
      </c>
      <c r="O53" s="102">
        <f t="shared" si="87"/>
        <v>9</v>
      </c>
      <c r="P53" s="102">
        <f t="shared" si="88"/>
        <v>25</v>
      </c>
      <c r="Q53" s="102">
        <f t="shared" si="89"/>
        <v>34</v>
      </c>
      <c r="R53" s="102">
        <f t="shared" si="90"/>
        <v>42</v>
      </c>
      <c r="S53" s="102" t="str">
        <f>IFERROR(VLOOKUP(MID(N53,Q53,R53-Q53),[5]skilldef!$C:$D,2,FALSE),"-") &amp; " / " &amp; IFERROR(VLOOKUP(MID(N53,O53,P53-O53),[5]skilldef!$A:$B,2,FALSE),"-")</f>
        <v>味方単体に / -</v>
      </c>
      <c r="T53" s="94" t="str">
        <f t="shared" si="91"/>
        <v>none</v>
      </c>
      <c r="U53" s="102" t="e">
        <f t="shared" si="92"/>
        <v>#VALUE!</v>
      </c>
      <c r="V53" s="102">
        <f t="shared" si="93"/>
        <v>4</v>
      </c>
      <c r="W53" s="102" t="e">
        <f t="shared" si="94"/>
        <v>#VALUE!</v>
      </c>
      <c r="X53" s="102" t="e">
        <f t="shared" si="95"/>
        <v>#VALUE!</v>
      </c>
      <c r="Y53" s="102" t="str">
        <f>IFERROR(VLOOKUP(MID(T53,W53,X53-W53),[5]skilldef!$C:$D,2,FALSE),"-") &amp; " / " &amp; IFERROR(VLOOKUP(MID(T53,U53,V53-U53),[5]skilldef!$A:$B,2,FALSE),"-")</f>
        <v>- / -</v>
      </c>
      <c r="Z53" s="102" t="s">
        <v>301</v>
      </c>
      <c r="AA53" s="103"/>
      <c r="AB53" s="101"/>
      <c r="AC53" s="49" t="str">
        <f t="shared" si="80"/>
        <v>[effect:enemy_message, val1:1.9, val2:1.2]</v>
      </c>
    </row>
    <row r="54" spans="1:29" ht="21" customHeight="1" x14ac:dyDescent="0.15">
      <c r="A54" s="94">
        <v>30048053</v>
      </c>
      <c r="B54" s="94" t="s">
        <v>520</v>
      </c>
      <c r="C54" s="101">
        <v>3</v>
      </c>
      <c r="D54" s="101" t="s">
        <v>322</v>
      </c>
      <c r="E54" s="102" t="s">
        <v>470</v>
      </c>
      <c r="F54" s="102" t="s">
        <v>371</v>
      </c>
      <c r="G54" s="102" t="str">
        <f t="shared" si="81"/>
        <v>[effect:enemy_message, val1:1.6, val2:1.4]</v>
      </c>
      <c r="H54" s="102">
        <f t="shared" si="82"/>
        <v>9</v>
      </c>
      <c r="I54" s="102">
        <f t="shared" si="83"/>
        <v>22</v>
      </c>
      <c r="J54" s="102" t="e">
        <f t="shared" si="84"/>
        <v>#VALUE!</v>
      </c>
      <c r="K54" s="102">
        <f t="shared" si="85"/>
        <v>32</v>
      </c>
      <c r="L54" s="102" t="str">
        <f>IFERROR(VLOOKUP(MID(G54,J54,K54-J54),[5]skilldef!$C:$D,2,FALSE),"-") &amp; " / " &amp; IFERROR(VLOOKUP(MID(G54,H54,I54-H54),[5]skilldef!$A:$B,2,FALSE),"-")</f>
        <v>- / -</v>
      </c>
      <c r="M54" s="102" t="str">
        <f t="shared" si="86"/>
        <v>[effect:fix_speed, target:myself, turn:1],[effect:remove_enhancement, target:unit_all, target_effect:change_panel_ratio, target_type:all, status:green, animation:frozen_wave]</v>
      </c>
      <c r="N54" s="94" t="str">
        <f t="shared" si="96"/>
        <v>[effect:fix_speed, target:myself, turn:1]</v>
      </c>
      <c r="O54" s="102">
        <f t="shared" si="87"/>
        <v>9</v>
      </c>
      <c r="P54" s="102">
        <f t="shared" si="88"/>
        <v>18</v>
      </c>
      <c r="Q54" s="102">
        <f t="shared" si="89"/>
        <v>27</v>
      </c>
      <c r="R54" s="102">
        <f t="shared" si="90"/>
        <v>33</v>
      </c>
      <c r="S54" s="102" t="str">
        <f>IFERROR(VLOOKUP(MID(N54,Q54,R54-Q54),[5]skilldef!$C:$D,2,FALSE),"-") &amp; " / " &amp; IFERROR(VLOOKUP(MID(N54,O54,P54-O54),[5]skilldef!$A:$B,2,FALSE),"-")</f>
        <v>自分自身に / 行動値設定</v>
      </c>
      <c r="T54" s="94" t="str">
        <f t="shared" si="91"/>
        <v>[effect:remove_enhancement, target:unit_all, target_effect:change_panel_ratio, target_type:all, status:green, animation:frozen_wave]</v>
      </c>
      <c r="U54" s="102">
        <f t="shared" si="92"/>
        <v>9</v>
      </c>
      <c r="V54" s="102">
        <f t="shared" si="93"/>
        <v>27</v>
      </c>
      <c r="W54" s="102">
        <f t="shared" si="94"/>
        <v>36</v>
      </c>
      <c r="X54" s="102">
        <f t="shared" si="95"/>
        <v>44</v>
      </c>
      <c r="Y54" s="102" t="str">
        <f>IFERROR(VLOOKUP(MID(T54,W54,X54-W54),[5]skilldef!$C:$D,2,FALSE),"-") &amp; " / " &amp; IFERROR(VLOOKUP(MID(T54,U54,V54-U54),[5]skilldef!$A:$B,2,FALSE),"-")</f>
        <v>味方全体に / -</v>
      </c>
      <c r="Z54" s="102" t="s">
        <v>291</v>
      </c>
      <c r="AA54" s="103"/>
      <c r="AB54" s="101"/>
      <c r="AC54" s="49" t="str">
        <f t="shared" si="80"/>
        <v>[effect:enemy_message, val1:1.6, val2:1.4]</v>
      </c>
    </row>
    <row r="55" spans="1:29" ht="21" customHeight="1" x14ac:dyDescent="0.15">
      <c r="A55" s="94">
        <v>30048054</v>
      </c>
      <c r="B55" s="94" t="s">
        <v>521</v>
      </c>
      <c r="C55" s="101">
        <v>3</v>
      </c>
      <c r="D55" s="101" t="s">
        <v>322</v>
      </c>
      <c r="E55" s="102" t="s">
        <v>338</v>
      </c>
      <c r="F55" s="102" t="s">
        <v>381</v>
      </c>
      <c r="G55" s="102" t="str">
        <f t="shared" si="81"/>
        <v>[effect:enemy_message, val1:1.3, val2:2.4]</v>
      </c>
      <c r="H55" s="102">
        <f t="shared" si="82"/>
        <v>9</v>
      </c>
      <c r="I55" s="102">
        <f t="shared" si="83"/>
        <v>22</v>
      </c>
      <c r="J55" s="102" t="e">
        <f t="shared" si="84"/>
        <v>#VALUE!</v>
      </c>
      <c r="K55" s="102">
        <f t="shared" si="85"/>
        <v>32</v>
      </c>
      <c r="L55" s="102" t="str">
        <f>IFERROR(VLOOKUP(MID(G55,J55,K55-J55),[5]skilldef!$C:$D,2,FALSE),"-") &amp; " / " &amp; IFERROR(VLOOKUP(MID(G55,H55,I55-H55),[5]skilldef!$A:$B,2,FALSE),"-")</f>
        <v>- / -</v>
      </c>
      <c r="M55" s="102" t="str">
        <f t="shared" si="86"/>
        <v>[effect:panel_freeze, target:normal, count:5],[effect:rush, count:1, val:1]</v>
      </c>
      <c r="N55" s="94" t="str">
        <f t="shared" si="96"/>
        <v>[effect:panel_freeze, target:normal, count:5]</v>
      </c>
      <c r="O55" s="102">
        <f t="shared" si="87"/>
        <v>9</v>
      </c>
      <c r="P55" s="102">
        <f t="shared" si="88"/>
        <v>21</v>
      </c>
      <c r="Q55" s="102">
        <f t="shared" si="89"/>
        <v>30</v>
      </c>
      <c r="R55" s="102">
        <f t="shared" si="90"/>
        <v>36</v>
      </c>
      <c r="S55" s="102" t="str">
        <f>IFERROR(VLOOKUP(MID(N55,Q55,R55-Q55),[5]skilldef!$C:$D,2,FALSE),"-") &amp; " / " &amp; IFERROR(VLOOKUP(MID(N55,O55,P55-O55),[5]skilldef!$A:$B,2,FALSE),"-")</f>
        <v>- / -</v>
      </c>
      <c r="T55" s="94" t="str">
        <f t="shared" si="91"/>
        <v>[effect:rush, count:1, val:1]</v>
      </c>
      <c r="U55" s="102">
        <f t="shared" si="92"/>
        <v>9</v>
      </c>
      <c r="V55" s="102">
        <f t="shared" si="93"/>
        <v>13</v>
      </c>
      <c r="W55" s="102" t="e">
        <f t="shared" si="94"/>
        <v>#VALUE!</v>
      </c>
      <c r="X55" s="102">
        <f t="shared" si="95"/>
        <v>22</v>
      </c>
      <c r="Y55" s="102" t="str">
        <f>IFERROR(VLOOKUP(MID(T55,W55,X55-W55),[5]skilldef!$C:$D,2,FALSE),"-") &amp; " / " &amp; IFERROR(VLOOKUP(MID(T55,U55,V55-U55),[5]skilldef!$A:$B,2,FALSE),"-")</f>
        <v>- / 連続攻撃</v>
      </c>
      <c r="Z55" s="102" t="s">
        <v>293</v>
      </c>
      <c r="AA55" s="103"/>
      <c r="AB55" s="101"/>
      <c r="AC55" s="49" t="str">
        <f t="shared" si="80"/>
        <v>[effect:enemy_message, val1:1.3, val2:2.4]</v>
      </c>
    </row>
    <row r="56" spans="1:29" ht="21" customHeight="1" x14ac:dyDescent="0.15">
      <c r="A56" s="94">
        <v>30048055</v>
      </c>
      <c r="B56" s="94" t="s">
        <v>522</v>
      </c>
      <c r="C56" s="101">
        <v>3</v>
      </c>
      <c r="D56" s="101" t="s">
        <v>322</v>
      </c>
      <c r="E56" s="102" t="s">
        <v>466</v>
      </c>
      <c r="F56" s="102" t="s">
        <v>393</v>
      </c>
      <c r="G56" s="102" t="str">
        <f t="shared" si="81"/>
        <v>[effect:enemy_message, val1:1.6, val2:3.3]</v>
      </c>
      <c r="H56" s="102">
        <f t="shared" si="82"/>
        <v>9</v>
      </c>
      <c r="I56" s="102">
        <f t="shared" si="83"/>
        <v>22</v>
      </c>
      <c r="J56" s="102" t="e">
        <f t="shared" si="84"/>
        <v>#VALUE!</v>
      </c>
      <c r="K56" s="102">
        <f t="shared" si="85"/>
        <v>32</v>
      </c>
      <c r="L56" s="102" t="str">
        <f>IFERROR(VLOOKUP(MID(G56,J56,K56-J56),[5]skilldef!$C:$D,2,FALSE),"-") &amp; " / " &amp; IFERROR(VLOOKUP(MID(G56,H56,I56-H56),[5]skilldef!$A:$B,2,FALSE),"-")</f>
        <v>- / -</v>
      </c>
      <c r="M56" s="102" t="str">
        <f t="shared" si="86"/>
        <v>[effect:panel_freeze, target:normal, count:20],[effect:enhance_enemy, target:myself, turn:2, status:attack, val:1500, calc:add, animation:enemy_enhance_attack]</v>
      </c>
      <c r="N56" s="94" t="str">
        <f t="shared" si="96"/>
        <v>[effect:panel_freeze, target:normal, count:20]</v>
      </c>
      <c r="O56" s="102">
        <f t="shared" si="87"/>
        <v>9</v>
      </c>
      <c r="P56" s="102">
        <f t="shared" si="88"/>
        <v>21</v>
      </c>
      <c r="Q56" s="102">
        <f t="shared" si="89"/>
        <v>30</v>
      </c>
      <c r="R56" s="102">
        <f t="shared" si="90"/>
        <v>36</v>
      </c>
      <c r="S56" s="102" t="str">
        <f>IFERROR(VLOOKUP(MID(N56,Q56,R56-Q56),[5]skilldef!$C:$D,2,FALSE),"-") &amp; " / " &amp; IFERROR(VLOOKUP(MID(N56,O56,P56-O56),[5]skilldef!$A:$B,2,FALSE),"-")</f>
        <v>- / -</v>
      </c>
      <c r="T56" s="94" t="str">
        <f t="shared" si="91"/>
        <v>[effect:enhance_enemy, target:myself, turn:2, status:attack, val:1500, calc:add, animation:enemy_enhance_attack]</v>
      </c>
      <c r="U56" s="102">
        <f t="shared" si="92"/>
        <v>9</v>
      </c>
      <c r="V56" s="102">
        <f t="shared" si="93"/>
        <v>22</v>
      </c>
      <c r="W56" s="102">
        <f t="shared" si="94"/>
        <v>31</v>
      </c>
      <c r="X56" s="102">
        <f t="shared" si="95"/>
        <v>37</v>
      </c>
      <c r="Y56" s="102" t="str">
        <f>IFERROR(VLOOKUP(MID(T56,W56,X56-W56),[5]skilldef!$C:$D,2,FALSE),"-") &amp; " / " &amp; IFERROR(VLOOKUP(MID(T56,U56,V56-U56),[5]skilldef!$A:$B,2,FALSE),"-")</f>
        <v>自分自身に / ステータス強化</v>
      </c>
      <c r="Z56" s="102" t="s">
        <v>295</v>
      </c>
      <c r="AA56" s="103"/>
      <c r="AB56" s="101"/>
      <c r="AC56" s="49" t="str">
        <f t="shared" si="80"/>
        <v>[effect:enemy_message, val1:1.6, val2:3.3]</v>
      </c>
    </row>
    <row r="57" spans="1:29" ht="21" customHeight="1" x14ac:dyDescent="0.15">
      <c r="A57" s="94">
        <v>30048056</v>
      </c>
      <c r="B57" s="94" t="s">
        <v>523</v>
      </c>
      <c r="C57" s="101">
        <v>3</v>
      </c>
      <c r="D57" s="101" t="s">
        <v>322</v>
      </c>
      <c r="E57" s="102" t="s">
        <v>468</v>
      </c>
      <c r="F57" s="102" t="s">
        <v>382</v>
      </c>
      <c r="G57" s="102" t="str">
        <f t="shared" si="81"/>
        <v>[effect:enemy_message, val1:1.6, val2:2.4]</v>
      </c>
      <c r="H57" s="102">
        <f t="shared" si="82"/>
        <v>9</v>
      </c>
      <c r="I57" s="102">
        <f t="shared" si="83"/>
        <v>22</v>
      </c>
      <c r="J57" s="102" t="e">
        <f t="shared" si="84"/>
        <v>#VALUE!</v>
      </c>
      <c r="K57" s="102">
        <f t="shared" si="85"/>
        <v>32</v>
      </c>
      <c r="L57" s="102" t="str">
        <f>IFERROR(VLOOKUP(MID(G57,J57,K57-J57),[5]skilldef!$C:$D,2,FALSE),"-") &amp; " / " &amp; IFERROR(VLOOKUP(MID(G57,H57,I57-H57),[5]skilldef!$A:$B,2,FALSE),"-")</f>
        <v>- / -</v>
      </c>
      <c r="M57" s="102" t="str">
        <f t="shared" si="86"/>
        <v>[effect:panel_freeze, target:normal, count:7],[effect:rush, count:1, val:1]</v>
      </c>
      <c r="N57" s="94" t="str">
        <f t="shared" si="96"/>
        <v>[effect:panel_freeze, target:normal, count:7]</v>
      </c>
      <c r="O57" s="102">
        <f t="shared" si="87"/>
        <v>9</v>
      </c>
      <c r="P57" s="102">
        <f t="shared" si="88"/>
        <v>21</v>
      </c>
      <c r="Q57" s="102">
        <f t="shared" si="89"/>
        <v>30</v>
      </c>
      <c r="R57" s="102">
        <f t="shared" si="90"/>
        <v>36</v>
      </c>
      <c r="S57" s="102" t="str">
        <f>IFERROR(VLOOKUP(MID(N57,Q57,R57-Q57),[5]skilldef!$C:$D,2,FALSE),"-") &amp; " / " &amp; IFERROR(VLOOKUP(MID(N57,O57,P57-O57),[5]skilldef!$A:$B,2,FALSE),"-")</f>
        <v>- / -</v>
      </c>
      <c r="T57" s="94" t="str">
        <f t="shared" si="91"/>
        <v>[effect:rush, count:1, val:1]</v>
      </c>
      <c r="U57" s="102">
        <f t="shared" si="92"/>
        <v>9</v>
      </c>
      <c r="V57" s="102">
        <f t="shared" si="93"/>
        <v>13</v>
      </c>
      <c r="W57" s="102" t="e">
        <f t="shared" si="94"/>
        <v>#VALUE!</v>
      </c>
      <c r="X57" s="102">
        <f t="shared" si="95"/>
        <v>22</v>
      </c>
      <c r="Y57" s="102" t="str">
        <f>IFERROR(VLOOKUP(MID(T57,W57,X57-W57),[5]skilldef!$C:$D,2,FALSE),"-") &amp; " / " &amp; IFERROR(VLOOKUP(MID(T57,U57,V57-U57),[5]skilldef!$A:$B,2,FALSE),"-")</f>
        <v>- / 連続攻撃</v>
      </c>
      <c r="Z57" s="102" t="s">
        <v>297</v>
      </c>
      <c r="AA57" s="103"/>
      <c r="AB57" s="101"/>
      <c r="AC57" s="49" t="str">
        <f t="shared" si="80"/>
        <v>[effect:enemy_message, val1:1.6, val2:2.4]</v>
      </c>
    </row>
    <row r="58" spans="1:29" ht="21" customHeight="1" x14ac:dyDescent="0.15">
      <c r="A58" s="94">
        <v>30048057</v>
      </c>
      <c r="B58" s="94" t="s">
        <v>396</v>
      </c>
      <c r="C58" s="101">
        <v>3</v>
      </c>
      <c r="D58" s="101" t="s">
        <v>127</v>
      </c>
      <c r="E58" s="102" t="s">
        <v>404</v>
      </c>
      <c r="F58" s="102" t="s">
        <v>406</v>
      </c>
      <c r="G58" s="102" t="str">
        <f t="shared" si="81"/>
        <v>[effect:enemy_message, val1:3.2, val2:2.0, dead_type:suicide]</v>
      </c>
      <c r="H58" s="102">
        <f t="shared" si="82"/>
        <v>9</v>
      </c>
      <c r="I58" s="102">
        <f t="shared" si="83"/>
        <v>22</v>
      </c>
      <c r="J58" s="102" t="e">
        <f t="shared" si="84"/>
        <v>#VALUE!</v>
      </c>
      <c r="K58" s="102">
        <f t="shared" si="85"/>
        <v>32</v>
      </c>
      <c r="L58" s="102" t="str">
        <f>IFERROR(VLOOKUP(MID(G58,J58,K58-J58),[5]skilldef!$C:$D,2,FALSE),"-") &amp; " / " &amp; IFERROR(VLOOKUP(MID(G58,H58,I58-H58),[5]skilldef!$A:$B,2,FALSE),"-")</f>
        <v>- / -</v>
      </c>
      <c r="M58" s="102" t="str">
        <f t="shared" si="86"/>
        <v>none</v>
      </c>
      <c r="N58" s="94" t="str">
        <f>IFERROR(LEFT(M58,FIND("],",M58)+S69),M58)</f>
        <v>none</v>
      </c>
      <c r="O58" s="102" t="e">
        <f t="shared" si="87"/>
        <v>#VALUE!</v>
      </c>
      <c r="P58" s="102">
        <f t="shared" si="88"/>
        <v>4</v>
      </c>
      <c r="Q58" s="102" t="e">
        <f t="shared" si="89"/>
        <v>#VALUE!</v>
      </c>
      <c r="R58" s="102" t="e">
        <f t="shared" si="90"/>
        <v>#VALUE!</v>
      </c>
      <c r="S58" s="102" t="str">
        <f>IFERROR(VLOOKUP(MID(N58,Q58,R58-Q58),[5]skilldef!$C:$D,2,FALSE),"-") &amp; " / " &amp; IFERROR(VLOOKUP(MID(N58,O58,P58-O58),[5]skilldef!$A:$B,2,FALSE),"-")</f>
        <v>- / -</v>
      </c>
      <c r="T58" s="94" t="str">
        <f t="shared" si="91"/>
        <v>none</v>
      </c>
      <c r="U58" s="102" t="e">
        <f t="shared" si="92"/>
        <v>#VALUE!</v>
      </c>
      <c r="V58" s="102">
        <f t="shared" si="93"/>
        <v>4</v>
      </c>
      <c r="W58" s="102" t="e">
        <f t="shared" si="94"/>
        <v>#VALUE!</v>
      </c>
      <c r="X58" s="102" t="e">
        <f t="shared" si="95"/>
        <v>#VALUE!</v>
      </c>
      <c r="Y58" s="102" t="str">
        <f>IFERROR(VLOOKUP(MID(T58,W58,X58-W58),[5]skilldef!$C:$D,2,FALSE),"-") &amp; " / " &amp; IFERROR(VLOOKUP(MID(T58,U58,V58-U58),[5]skilldef!$A:$B,2,FALSE),"-")</f>
        <v>- / -</v>
      </c>
      <c r="Z58" s="102" t="s">
        <v>340</v>
      </c>
      <c r="AA58" s="103"/>
      <c r="AB58" s="101"/>
      <c r="AC58" s="49" t="str">
        <f t="shared" si="80"/>
        <v>[effect:enemy_message, val1:2.7, val2:1.5]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58"/>
  <sheetViews>
    <sheetView showGridLines="0" workbookViewId="0">
      <pane ySplit="1" topLeftCell="A46" activePane="bottomLeft" state="frozenSplit"/>
      <selection activeCell="J32" sqref="J32"/>
      <selection pane="bottomLeft" activeCell="E65" sqref="E65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0" t="s">
        <v>71</v>
      </c>
      <c r="G1" s="50" t="s">
        <v>72</v>
      </c>
      <c r="H1" s="42" t="s">
        <v>73</v>
      </c>
      <c r="I1" s="42" t="s">
        <v>74</v>
      </c>
      <c r="J1" s="42" t="s">
        <v>75</v>
      </c>
      <c r="K1" s="51" t="s">
        <v>88</v>
      </c>
    </row>
    <row r="2" spans="1:13" ht="21" customHeight="1" x14ac:dyDescent="0.15">
      <c r="A2" s="92">
        <v>30048001</v>
      </c>
      <c r="B2" s="47">
        <v>0</v>
      </c>
      <c r="C2" s="47">
        <v>1</v>
      </c>
      <c r="D2" s="47">
        <v>100</v>
      </c>
      <c r="E2" s="47" t="s">
        <v>248</v>
      </c>
      <c r="F2" s="47" t="s">
        <v>89</v>
      </c>
      <c r="G2" s="47" t="s">
        <v>248</v>
      </c>
      <c r="H2" s="47">
        <v>1</v>
      </c>
      <c r="I2" s="47" t="s">
        <v>89</v>
      </c>
      <c r="J2" s="48">
        <f t="shared" ref="J2" si="0">D2</f>
        <v>100</v>
      </c>
      <c r="L2" s="96" t="s">
        <v>258</v>
      </c>
      <c r="M2" s="96" t="s">
        <v>256</v>
      </c>
    </row>
    <row r="3" spans="1:13" ht="21" customHeight="1" x14ac:dyDescent="0.15">
      <c r="A3" s="92">
        <v>30048002</v>
      </c>
      <c r="B3" s="47">
        <v>0</v>
      </c>
      <c r="C3" s="47">
        <v>2</v>
      </c>
      <c r="D3" s="47">
        <v>100</v>
      </c>
      <c r="E3" s="47" t="s">
        <v>53</v>
      </c>
      <c r="F3" s="47" t="s">
        <v>89</v>
      </c>
      <c r="G3" s="47" t="s">
        <v>53</v>
      </c>
      <c r="H3" s="47">
        <v>2</v>
      </c>
      <c r="I3" s="47" t="s">
        <v>89</v>
      </c>
      <c r="J3" s="48">
        <f t="shared" ref="J3:J21" si="1">D3</f>
        <v>100</v>
      </c>
      <c r="L3" s="96" t="s">
        <v>260</v>
      </c>
      <c r="M3" s="96" t="s">
        <v>262</v>
      </c>
    </row>
    <row r="4" spans="1:13" ht="21" customHeight="1" x14ac:dyDescent="0.15">
      <c r="A4" s="92">
        <v>30048003</v>
      </c>
      <c r="B4" s="47">
        <v>0</v>
      </c>
      <c r="C4" s="47" t="s">
        <v>53</v>
      </c>
      <c r="D4" s="47">
        <v>100</v>
      </c>
      <c r="E4" s="47" t="s">
        <v>53</v>
      </c>
      <c r="F4" s="47" t="s">
        <v>89</v>
      </c>
      <c r="G4" s="47" t="s">
        <v>53</v>
      </c>
      <c r="H4" s="47" t="s">
        <v>89</v>
      </c>
      <c r="I4" s="47" t="s">
        <v>89</v>
      </c>
      <c r="J4" s="48">
        <f t="shared" si="1"/>
        <v>100</v>
      </c>
      <c r="L4" s="96" t="s">
        <v>263</v>
      </c>
      <c r="M4" s="96" t="s">
        <v>265</v>
      </c>
    </row>
    <row r="5" spans="1:13" ht="21" customHeight="1" x14ac:dyDescent="0.15">
      <c r="A5" s="92">
        <v>30048004</v>
      </c>
      <c r="B5" s="47">
        <v>1</v>
      </c>
      <c r="C5" s="47" t="s">
        <v>53</v>
      </c>
      <c r="D5" s="47">
        <v>100</v>
      </c>
      <c r="E5" s="47" t="s">
        <v>53</v>
      </c>
      <c r="F5" s="47" t="s">
        <v>53</v>
      </c>
      <c r="G5" s="47">
        <v>1</v>
      </c>
      <c r="H5" s="47" t="s">
        <v>53</v>
      </c>
      <c r="I5" s="47" t="s">
        <v>53</v>
      </c>
      <c r="J5" s="48">
        <f t="shared" si="1"/>
        <v>100</v>
      </c>
      <c r="L5" s="96" t="s">
        <v>324</v>
      </c>
      <c r="M5" s="96" t="s">
        <v>303</v>
      </c>
    </row>
    <row r="6" spans="1:13" ht="21" customHeight="1" x14ac:dyDescent="0.15">
      <c r="A6" s="92">
        <v>30048005</v>
      </c>
      <c r="B6" s="47">
        <v>0</v>
      </c>
      <c r="C6" s="47" t="s">
        <v>53</v>
      </c>
      <c r="D6" s="47">
        <v>100</v>
      </c>
      <c r="E6" s="47" t="s">
        <v>53</v>
      </c>
      <c r="F6" s="47" t="s">
        <v>53</v>
      </c>
      <c r="G6" s="47" t="s">
        <v>53</v>
      </c>
      <c r="H6" s="47" t="s">
        <v>53</v>
      </c>
      <c r="I6" s="47" t="s">
        <v>53</v>
      </c>
      <c r="J6" s="48">
        <f t="shared" ref="J6" si="2">D6</f>
        <v>100</v>
      </c>
      <c r="L6" s="96" t="s">
        <v>317</v>
      </c>
      <c r="M6" s="96" t="s">
        <v>267</v>
      </c>
    </row>
    <row r="7" spans="1:13" ht="21" customHeight="1" x14ac:dyDescent="0.15">
      <c r="A7" s="92">
        <v>30048006</v>
      </c>
      <c r="B7" s="47">
        <v>0</v>
      </c>
      <c r="C7" s="47">
        <v>3</v>
      </c>
      <c r="D7" s="47">
        <v>100</v>
      </c>
      <c r="E7" s="47">
        <v>50</v>
      </c>
      <c r="F7" s="47" t="s">
        <v>89</v>
      </c>
      <c r="G7" s="47">
        <v>1</v>
      </c>
      <c r="H7" s="47" t="s">
        <v>89</v>
      </c>
      <c r="I7" s="47" t="s">
        <v>89</v>
      </c>
      <c r="J7" s="48">
        <f t="shared" si="1"/>
        <v>100</v>
      </c>
      <c r="L7" s="96" t="s">
        <v>319</v>
      </c>
      <c r="M7" s="96" t="s">
        <v>269</v>
      </c>
    </row>
    <row r="8" spans="1:13" ht="21" customHeight="1" x14ac:dyDescent="0.15">
      <c r="A8" s="92">
        <v>30048007</v>
      </c>
      <c r="B8" s="47">
        <v>0</v>
      </c>
      <c r="C8" s="47" t="s">
        <v>53</v>
      </c>
      <c r="D8" s="47">
        <v>50</v>
      </c>
      <c r="E8" s="47" t="s">
        <v>53</v>
      </c>
      <c r="F8" s="47" t="s">
        <v>89</v>
      </c>
      <c r="G8" s="47" t="s">
        <v>53</v>
      </c>
      <c r="H8" s="47" t="s">
        <v>89</v>
      </c>
      <c r="I8" s="47" t="s">
        <v>89</v>
      </c>
      <c r="J8" s="48">
        <f t="shared" si="1"/>
        <v>50</v>
      </c>
      <c r="L8" s="96" t="s">
        <v>253</v>
      </c>
      <c r="M8" s="96" t="s">
        <v>273</v>
      </c>
    </row>
    <row r="9" spans="1:13" ht="21" customHeight="1" x14ac:dyDescent="0.15">
      <c r="A9" s="92">
        <v>30048008</v>
      </c>
      <c r="B9" s="47">
        <v>1</v>
      </c>
      <c r="C9" s="47" t="s">
        <v>53</v>
      </c>
      <c r="D9" s="47">
        <v>100</v>
      </c>
      <c r="E9" s="47" t="s">
        <v>53</v>
      </c>
      <c r="F9" s="47" t="s">
        <v>89</v>
      </c>
      <c r="G9" s="47">
        <v>1</v>
      </c>
      <c r="H9" s="47" t="s">
        <v>89</v>
      </c>
      <c r="I9" s="47" t="s">
        <v>89</v>
      </c>
      <c r="J9" s="48">
        <f t="shared" si="1"/>
        <v>100</v>
      </c>
      <c r="L9" s="96" t="s">
        <v>275</v>
      </c>
      <c r="M9" s="96" t="s">
        <v>321</v>
      </c>
    </row>
    <row r="10" spans="1:13" ht="21" customHeight="1" x14ac:dyDescent="0.15">
      <c r="A10" s="92">
        <v>30048009</v>
      </c>
      <c r="B10" s="47">
        <v>0</v>
      </c>
      <c r="C10" s="47">
        <v>4</v>
      </c>
      <c r="D10" s="47">
        <v>100</v>
      </c>
      <c r="E10" s="47" t="s">
        <v>53</v>
      </c>
      <c r="F10" s="47" t="s">
        <v>89</v>
      </c>
      <c r="G10" s="47" t="s">
        <v>53</v>
      </c>
      <c r="H10" s="47">
        <v>1</v>
      </c>
      <c r="I10" s="47" t="s">
        <v>89</v>
      </c>
      <c r="J10" s="48">
        <f t="shared" si="1"/>
        <v>100</v>
      </c>
      <c r="L10" s="96" t="s">
        <v>277</v>
      </c>
      <c r="M10" s="96" t="s">
        <v>281</v>
      </c>
    </row>
    <row r="11" spans="1:13" ht="21" customHeight="1" x14ac:dyDescent="0.15">
      <c r="A11" s="92">
        <v>30048010</v>
      </c>
      <c r="B11" s="47">
        <v>0</v>
      </c>
      <c r="C11" s="47">
        <v>5</v>
      </c>
      <c r="D11" s="47">
        <v>100</v>
      </c>
      <c r="E11" s="47" t="s">
        <v>53</v>
      </c>
      <c r="F11" s="47" t="s">
        <v>89</v>
      </c>
      <c r="G11" s="47" t="s">
        <v>53</v>
      </c>
      <c r="H11" s="47">
        <v>2</v>
      </c>
      <c r="I11" s="47" t="s">
        <v>89</v>
      </c>
      <c r="J11" s="48">
        <f t="shared" si="1"/>
        <v>100</v>
      </c>
      <c r="L11" s="96" t="s">
        <v>279</v>
      </c>
      <c r="M11" s="96" t="s">
        <v>283</v>
      </c>
    </row>
    <row r="12" spans="1:13" ht="21" customHeight="1" x14ac:dyDescent="0.15">
      <c r="A12" s="92">
        <v>30048011</v>
      </c>
      <c r="B12" s="47">
        <v>0</v>
      </c>
      <c r="C12" s="47">
        <v>6</v>
      </c>
      <c r="D12" s="47">
        <v>100</v>
      </c>
      <c r="E12" s="47">
        <v>50</v>
      </c>
      <c r="F12" s="47" t="s">
        <v>89</v>
      </c>
      <c r="G12" s="47">
        <v>1</v>
      </c>
      <c r="H12" s="47">
        <v>1</v>
      </c>
      <c r="I12" s="47" t="s">
        <v>89</v>
      </c>
      <c r="J12" s="48">
        <f t="shared" si="1"/>
        <v>100</v>
      </c>
      <c r="L12" s="96" t="s">
        <v>285</v>
      </c>
      <c r="M12" s="96" t="s">
        <v>287</v>
      </c>
    </row>
    <row r="13" spans="1:13" ht="21" customHeight="1" x14ac:dyDescent="0.15">
      <c r="A13" s="92">
        <v>30048012</v>
      </c>
      <c r="B13" s="47">
        <v>1</v>
      </c>
      <c r="C13" s="47" t="s">
        <v>53</v>
      </c>
      <c r="D13" s="47">
        <v>100</v>
      </c>
      <c r="E13" s="47" t="s">
        <v>53</v>
      </c>
      <c r="F13" s="47" t="s">
        <v>89</v>
      </c>
      <c r="G13" s="47">
        <v>1</v>
      </c>
      <c r="H13" s="47" t="s">
        <v>89</v>
      </c>
      <c r="I13" s="47" t="s">
        <v>89</v>
      </c>
      <c r="J13" s="48">
        <f t="shared" si="1"/>
        <v>100</v>
      </c>
      <c r="L13" s="96" t="s">
        <v>299</v>
      </c>
      <c r="M13" s="96" t="s">
        <v>303</v>
      </c>
    </row>
    <row r="14" spans="1:13" ht="21" customHeight="1" x14ac:dyDescent="0.15">
      <c r="A14" s="92">
        <v>30048013</v>
      </c>
      <c r="B14" s="47">
        <v>0</v>
      </c>
      <c r="C14" s="47">
        <v>7</v>
      </c>
      <c r="D14" s="47">
        <v>100</v>
      </c>
      <c r="E14" s="47" t="s">
        <v>53</v>
      </c>
      <c r="F14" s="47" t="s">
        <v>89</v>
      </c>
      <c r="G14" s="47" t="s">
        <v>53</v>
      </c>
      <c r="H14" s="47">
        <v>1</v>
      </c>
      <c r="I14" s="47" t="s">
        <v>89</v>
      </c>
      <c r="J14" s="48">
        <f t="shared" si="1"/>
        <v>100</v>
      </c>
      <c r="L14" s="96" t="s">
        <v>300</v>
      </c>
      <c r="M14" s="96" t="s">
        <v>304</v>
      </c>
    </row>
    <row r="15" spans="1:13" ht="21" customHeight="1" x14ac:dyDescent="0.15">
      <c r="A15" s="92">
        <v>30048014</v>
      </c>
      <c r="B15" s="47">
        <v>0</v>
      </c>
      <c r="C15" s="47">
        <v>8</v>
      </c>
      <c r="D15" s="47">
        <v>100</v>
      </c>
      <c r="E15" s="47" t="s">
        <v>53</v>
      </c>
      <c r="F15" s="47" t="s">
        <v>89</v>
      </c>
      <c r="G15" s="47" t="s">
        <v>53</v>
      </c>
      <c r="H15" s="47">
        <v>2</v>
      </c>
      <c r="I15" s="47" t="s">
        <v>89</v>
      </c>
      <c r="J15" s="48">
        <f t="shared" si="1"/>
        <v>100</v>
      </c>
      <c r="L15" s="96" t="s">
        <v>301</v>
      </c>
      <c r="M15" s="96" t="s">
        <v>283</v>
      </c>
    </row>
    <row r="16" spans="1:13" ht="21" customHeight="1" x14ac:dyDescent="0.15">
      <c r="A16" s="92">
        <v>30048015</v>
      </c>
      <c r="B16" s="47">
        <v>1</v>
      </c>
      <c r="C16" s="47" t="s">
        <v>53</v>
      </c>
      <c r="D16" s="47">
        <v>100</v>
      </c>
      <c r="E16" s="47" t="s">
        <v>53</v>
      </c>
      <c r="F16" s="47" t="s">
        <v>89</v>
      </c>
      <c r="G16" s="47">
        <v>1</v>
      </c>
      <c r="H16" s="47" t="s">
        <v>89</v>
      </c>
      <c r="I16" s="47" t="s">
        <v>89</v>
      </c>
      <c r="J16" s="48">
        <f t="shared" si="1"/>
        <v>100</v>
      </c>
      <c r="L16" s="96" t="s">
        <v>291</v>
      </c>
      <c r="M16" s="96" t="s">
        <v>306</v>
      </c>
    </row>
    <row r="17" spans="1:13" ht="21" customHeight="1" x14ac:dyDescent="0.15">
      <c r="A17" s="92">
        <v>30048016</v>
      </c>
      <c r="B17" s="47">
        <v>0</v>
      </c>
      <c r="C17" s="47">
        <v>9</v>
      </c>
      <c r="D17" s="47">
        <v>100</v>
      </c>
      <c r="E17" s="47" t="s">
        <v>53</v>
      </c>
      <c r="F17" s="47">
        <v>50</v>
      </c>
      <c r="G17" s="47" t="s">
        <v>53</v>
      </c>
      <c r="H17" s="47" t="s">
        <v>89</v>
      </c>
      <c r="I17" s="47" t="s">
        <v>89</v>
      </c>
      <c r="J17" s="48">
        <f t="shared" si="1"/>
        <v>100</v>
      </c>
      <c r="L17" s="96" t="s">
        <v>293</v>
      </c>
      <c r="M17" s="96" t="s">
        <v>308</v>
      </c>
    </row>
    <row r="18" spans="1:13" ht="21" customHeight="1" x14ac:dyDescent="0.15">
      <c r="A18" s="92">
        <v>30048017</v>
      </c>
      <c r="B18" s="47">
        <v>0</v>
      </c>
      <c r="C18" s="47">
        <v>11</v>
      </c>
      <c r="D18" s="47">
        <v>100</v>
      </c>
      <c r="E18" s="47">
        <v>50</v>
      </c>
      <c r="F18" s="47" t="s">
        <v>89</v>
      </c>
      <c r="G18" s="47">
        <v>1</v>
      </c>
      <c r="H18" s="47" t="s">
        <v>89</v>
      </c>
      <c r="I18" s="47" t="s">
        <v>89</v>
      </c>
      <c r="J18" s="48">
        <f t="shared" si="1"/>
        <v>100</v>
      </c>
      <c r="L18" s="96" t="s">
        <v>295</v>
      </c>
      <c r="M18" s="96" t="s">
        <v>312</v>
      </c>
    </row>
    <row r="19" spans="1:13" ht="21" customHeight="1" x14ac:dyDescent="0.15">
      <c r="A19" s="92">
        <v>30048018</v>
      </c>
      <c r="B19" s="47">
        <v>0</v>
      </c>
      <c r="C19" s="47">
        <v>10</v>
      </c>
      <c r="D19" s="47">
        <v>100</v>
      </c>
      <c r="E19" s="47">
        <v>50</v>
      </c>
      <c r="F19" s="47" t="s">
        <v>89</v>
      </c>
      <c r="G19" s="47" t="s">
        <v>53</v>
      </c>
      <c r="H19" s="47" t="s">
        <v>89</v>
      </c>
      <c r="I19" s="47" t="s">
        <v>89</v>
      </c>
      <c r="J19" s="48">
        <f t="shared" si="1"/>
        <v>100</v>
      </c>
      <c r="L19" s="96" t="s">
        <v>297</v>
      </c>
      <c r="M19" s="96" t="s">
        <v>310</v>
      </c>
    </row>
    <row r="20" spans="1:13" ht="21" customHeight="1" x14ac:dyDescent="0.15">
      <c r="A20" s="92">
        <v>30048019</v>
      </c>
      <c r="B20" s="47">
        <v>0</v>
      </c>
      <c r="C20" s="47">
        <v>12</v>
      </c>
      <c r="D20" s="47">
        <v>100</v>
      </c>
      <c r="E20" s="47" t="s">
        <v>342</v>
      </c>
      <c r="F20" s="47" t="s">
        <v>53</v>
      </c>
      <c r="G20" s="47">
        <v>0</v>
      </c>
      <c r="H20" s="47" t="s">
        <v>341</v>
      </c>
      <c r="I20" s="47">
        <v>0</v>
      </c>
      <c r="J20" s="48">
        <f t="shared" ref="J20" si="3">D20</f>
        <v>100</v>
      </c>
      <c r="L20" s="96" t="s">
        <v>340</v>
      </c>
      <c r="M20" s="96" t="s">
        <v>310</v>
      </c>
    </row>
    <row r="21" spans="1:13" ht="21" customHeight="1" x14ac:dyDescent="0.15">
      <c r="A21" s="93">
        <v>30048020</v>
      </c>
      <c r="B21" s="47">
        <v>0</v>
      </c>
      <c r="C21" s="47">
        <v>1</v>
      </c>
      <c r="D21" s="47">
        <v>100</v>
      </c>
      <c r="E21" s="47" t="s">
        <v>325</v>
      </c>
      <c r="F21" s="47" t="s">
        <v>325</v>
      </c>
      <c r="G21" s="47" t="s">
        <v>325</v>
      </c>
      <c r="H21" s="47">
        <v>1</v>
      </c>
      <c r="I21" s="47" t="s">
        <v>325</v>
      </c>
      <c r="J21" s="48">
        <f t="shared" si="1"/>
        <v>100</v>
      </c>
      <c r="L21" s="99" t="s">
        <v>257</v>
      </c>
      <c r="M21" s="99" t="s">
        <v>255</v>
      </c>
    </row>
    <row r="22" spans="1:13" ht="21" customHeight="1" x14ac:dyDescent="0.15">
      <c r="A22" s="93">
        <v>30048021</v>
      </c>
      <c r="B22" s="47">
        <v>0</v>
      </c>
      <c r="C22" s="47">
        <v>2</v>
      </c>
      <c r="D22" s="47">
        <v>100</v>
      </c>
      <c r="E22" s="47" t="s">
        <v>325</v>
      </c>
      <c r="F22" s="47" t="s">
        <v>325</v>
      </c>
      <c r="G22" s="47" t="s">
        <v>325</v>
      </c>
      <c r="H22" s="47">
        <v>2</v>
      </c>
      <c r="I22" s="47" t="s">
        <v>325</v>
      </c>
      <c r="J22" s="48">
        <f t="shared" ref="J22:J57" si="4">D22</f>
        <v>100</v>
      </c>
      <c r="L22" s="99" t="s">
        <v>259</v>
      </c>
      <c r="M22" s="99" t="s">
        <v>261</v>
      </c>
    </row>
    <row r="23" spans="1:13" ht="21" customHeight="1" x14ac:dyDescent="0.15">
      <c r="A23" s="93">
        <v>30048022</v>
      </c>
      <c r="B23" s="47">
        <v>0</v>
      </c>
      <c r="C23" s="47" t="s">
        <v>325</v>
      </c>
      <c r="D23" s="47">
        <v>100</v>
      </c>
      <c r="E23" s="47" t="s">
        <v>325</v>
      </c>
      <c r="F23" s="47" t="s">
        <v>325</v>
      </c>
      <c r="G23" s="47" t="s">
        <v>325</v>
      </c>
      <c r="H23" s="47" t="s">
        <v>325</v>
      </c>
      <c r="I23" s="47" t="s">
        <v>325</v>
      </c>
      <c r="J23" s="48">
        <f t="shared" si="4"/>
        <v>100</v>
      </c>
      <c r="L23" s="99" t="s">
        <v>251</v>
      </c>
      <c r="M23" s="99" t="s">
        <v>264</v>
      </c>
    </row>
    <row r="24" spans="1:13" ht="21" customHeight="1" x14ac:dyDescent="0.15">
      <c r="A24" s="93">
        <v>30048023</v>
      </c>
      <c r="B24" s="47">
        <v>1</v>
      </c>
      <c r="C24" s="47" t="s">
        <v>325</v>
      </c>
      <c r="D24" s="47">
        <v>100</v>
      </c>
      <c r="E24" s="47" t="s">
        <v>325</v>
      </c>
      <c r="F24" s="47" t="s">
        <v>325</v>
      </c>
      <c r="G24" s="47">
        <v>1</v>
      </c>
      <c r="H24" s="47" t="s">
        <v>325</v>
      </c>
      <c r="I24" s="47" t="s">
        <v>325</v>
      </c>
      <c r="J24" s="48">
        <f t="shared" si="4"/>
        <v>100</v>
      </c>
      <c r="L24" s="99" t="s">
        <v>323</v>
      </c>
      <c r="M24" s="99" t="s">
        <v>302</v>
      </c>
    </row>
    <row r="25" spans="1:13" ht="21" customHeight="1" x14ac:dyDescent="0.15">
      <c r="A25" s="93">
        <v>30048024</v>
      </c>
      <c r="B25" s="47">
        <v>0</v>
      </c>
      <c r="C25" s="47" t="s">
        <v>325</v>
      </c>
      <c r="D25" s="47">
        <v>100</v>
      </c>
      <c r="E25" s="47" t="s">
        <v>325</v>
      </c>
      <c r="F25" s="47" t="s">
        <v>325</v>
      </c>
      <c r="G25" s="47" t="s">
        <v>325</v>
      </c>
      <c r="H25" s="47" t="s">
        <v>325</v>
      </c>
      <c r="I25" s="47" t="s">
        <v>325</v>
      </c>
      <c r="J25" s="48">
        <f t="shared" si="4"/>
        <v>100</v>
      </c>
      <c r="L25" s="99" t="s">
        <v>316</v>
      </c>
      <c r="M25" s="99" t="s">
        <v>266</v>
      </c>
    </row>
    <row r="26" spans="1:13" ht="21" customHeight="1" x14ac:dyDescent="0.15">
      <c r="A26" s="93">
        <v>30048025</v>
      </c>
      <c r="B26" s="47">
        <v>0</v>
      </c>
      <c r="C26" s="47">
        <v>3</v>
      </c>
      <c r="D26" s="47">
        <v>100</v>
      </c>
      <c r="E26" s="47">
        <v>50</v>
      </c>
      <c r="F26" s="47" t="s">
        <v>325</v>
      </c>
      <c r="G26" s="47">
        <v>1</v>
      </c>
      <c r="H26" s="47" t="s">
        <v>325</v>
      </c>
      <c r="I26" s="47" t="s">
        <v>325</v>
      </c>
      <c r="J26" s="48">
        <f t="shared" si="4"/>
        <v>100</v>
      </c>
      <c r="L26" s="99" t="s">
        <v>318</v>
      </c>
      <c r="M26" s="99" t="s">
        <v>268</v>
      </c>
    </row>
    <row r="27" spans="1:13" ht="21" customHeight="1" x14ac:dyDescent="0.15">
      <c r="A27" s="93">
        <v>30048026</v>
      </c>
      <c r="B27" s="47">
        <v>0</v>
      </c>
      <c r="C27" s="47" t="s">
        <v>325</v>
      </c>
      <c r="D27" s="47">
        <v>50</v>
      </c>
      <c r="E27" s="47" t="s">
        <v>325</v>
      </c>
      <c r="F27" s="47" t="s">
        <v>325</v>
      </c>
      <c r="G27" s="47" t="s">
        <v>325</v>
      </c>
      <c r="H27" s="47" t="s">
        <v>325</v>
      </c>
      <c r="I27" s="47" t="s">
        <v>325</v>
      </c>
      <c r="J27" s="48">
        <f t="shared" si="4"/>
        <v>50</v>
      </c>
      <c r="L27" s="99" t="s">
        <v>252</v>
      </c>
      <c r="M27" s="99" t="s">
        <v>272</v>
      </c>
    </row>
    <row r="28" spans="1:13" ht="21" customHeight="1" x14ac:dyDescent="0.15">
      <c r="A28" s="93">
        <v>30048027</v>
      </c>
      <c r="B28" s="47">
        <v>1</v>
      </c>
      <c r="C28" s="47" t="s">
        <v>325</v>
      </c>
      <c r="D28" s="47">
        <v>100</v>
      </c>
      <c r="E28" s="47" t="s">
        <v>325</v>
      </c>
      <c r="F28" s="47" t="s">
        <v>325</v>
      </c>
      <c r="G28" s="47">
        <v>1</v>
      </c>
      <c r="H28" s="47" t="s">
        <v>325</v>
      </c>
      <c r="I28" s="47" t="s">
        <v>325</v>
      </c>
      <c r="J28" s="48">
        <f t="shared" si="4"/>
        <v>100</v>
      </c>
      <c r="L28" s="99" t="s">
        <v>274</v>
      </c>
      <c r="M28" s="99" t="s">
        <v>320</v>
      </c>
    </row>
    <row r="29" spans="1:13" ht="21" customHeight="1" x14ac:dyDescent="0.15">
      <c r="A29" s="93">
        <v>30048028</v>
      </c>
      <c r="B29" s="47">
        <v>0</v>
      </c>
      <c r="C29" s="47">
        <v>4</v>
      </c>
      <c r="D29" s="47">
        <v>100</v>
      </c>
      <c r="E29" s="47" t="s">
        <v>325</v>
      </c>
      <c r="F29" s="47" t="s">
        <v>325</v>
      </c>
      <c r="G29" s="47" t="s">
        <v>325</v>
      </c>
      <c r="H29" s="47">
        <v>1</v>
      </c>
      <c r="I29" s="47" t="s">
        <v>325</v>
      </c>
      <c r="J29" s="48">
        <f t="shared" si="4"/>
        <v>100</v>
      </c>
      <c r="L29" s="99" t="s">
        <v>276</v>
      </c>
      <c r="M29" s="99" t="s">
        <v>280</v>
      </c>
    </row>
    <row r="30" spans="1:13" ht="21" customHeight="1" x14ac:dyDescent="0.15">
      <c r="A30" s="93">
        <v>30048029</v>
      </c>
      <c r="B30" s="47">
        <v>0</v>
      </c>
      <c r="C30" s="47">
        <v>5</v>
      </c>
      <c r="D30" s="47">
        <v>100</v>
      </c>
      <c r="E30" s="47" t="s">
        <v>325</v>
      </c>
      <c r="F30" s="47" t="s">
        <v>325</v>
      </c>
      <c r="G30" s="47" t="s">
        <v>325</v>
      </c>
      <c r="H30" s="47">
        <v>2</v>
      </c>
      <c r="I30" s="47" t="s">
        <v>325</v>
      </c>
      <c r="J30" s="48">
        <f t="shared" si="4"/>
        <v>100</v>
      </c>
      <c r="L30" s="99" t="s">
        <v>278</v>
      </c>
      <c r="M30" s="99" t="s">
        <v>282</v>
      </c>
    </row>
    <row r="31" spans="1:13" ht="21" customHeight="1" x14ac:dyDescent="0.15">
      <c r="A31" s="93">
        <v>30048030</v>
      </c>
      <c r="B31" s="47">
        <v>0</v>
      </c>
      <c r="C31" s="47">
        <v>6</v>
      </c>
      <c r="D31" s="47">
        <v>100</v>
      </c>
      <c r="E31" s="47">
        <v>50</v>
      </c>
      <c r="F31" s="47" t="s">
        <v>325</v>
      </c>
      <c r="G31" s="47">
        <v>1</v>
      </c>
      <c r="H31" s="47">
        <v>1</v>
      </c>
      <c r="I31" s="47" t="s">
        <v>325</v>
      </c>
      <c r="J31" s="48">
        <f t="shared" si="4"/>
        <v>100</v>
      </c>
      <c r="L31" s="99" t="s">
        <v>284</v>
      </c>
      <c r="M31" s="99" t="s">
        <v>286</v>
      </c>
    </row>
    <row r="32" spans="1:13" ht="21" customHeight="1" x14ac:dyDescent="0.15">
      <c r="A32" s="93">
        <v>30048031</v>
      </c>
      <c r="B32" s="47">
        <v>1</v>
      </c>
      <c r="C32" s="47" t="s">
        <v>325</v>
      </c>
      <c r="D32" s="47">
        <v>100</v>
      </c>
      <c r="E32" s="47" t="s">
        <v>325</v>
      </c>
      <c r="F32" s="47" t="s">
        <v>325</v>
      </c>
      <c r="G32" s="47">
        <v>1</v>
      </c>
      <c r="H32" s="47" t="s">
        <v>325</v>
      </c>
      <c r="I32" s="47" t="s">
        <v>325</v>
      </c>
      <c r="J32" s="48">
        <f t="shared" si="4"/>
        <v>100</v>
      </c>
      <c r="L32" s="99" t="s">
        <v>298</v>
      </c>
      <c r="M32" s="99" t="s">
        <v>302</v>
      </c>
    </row>
    <row r="33" spans="1:13" ht="21" customHeight="1" x14ac:dyDescent="0.15">
      <c r="A33" s="93">
        <v>30048032</v>
      </c>
      <c r="B33" s="47">
        <v>0</v>
      </c>
      <c r="C33" s="47">
        <v>7</v>
      </c>
      <c r="D33" s="47">
        <v>100</v>
      </c>
      <c r="E33" s="47" t="s">
        <v>325</v>
      </c>
      <c r="F33" s="47" t="s">
        <v>325</v>
      </c>
      <c r="G33" s="47" t="s">
        <v>325</v>
      </c>
      <c r="H33" s="47">
        <v>1</v>
      </c>
      <c r="I33" s="47" t="s">
        <v>325</v>
      </c>
      <c r="J33" s="48">
        <f t="shared" si="4"/>
        <v>100</v>
      </c>
      <c r="L33" s="99" t="s">
        <v>288</v>
      </c>
      <c r="M33" s="99" t="s">
        <v>266</v>
      </c>
    </row>
    <row r="34" spans="1:13" ht="21" customHeight="1" x14ac:dyDescent="0.15">
      <c r="A34" s="93">
        <v>30048033</v>
      </c>
      <c r="B34" s="47">
        <v>0</v>
      </c>
      <c r="C34" s="47">
        <v>8</v>
      </c>
      <c r="D34" s="47">
        <v>100</v>
      </c>
      <c r="E34" s="47" t="s">
        <v>325</v>
      </c>
      <c r="F34" s="47" t="s">
        <v>325</v>
      </c>
      <c r="G34" s="47" t="s">
        <v>325</v>
      </c>
      <c r="H34" s="47">
        <v>2</v>
      </c>
      <c r="I34" s="47" t="s">
        <v>325</v>
      </c>
      <c r="J34" s="48">
        <f t="shared" si="4"/>
        <v>100</v>
      </c>
      <c r="L34" s="99" t="s">
        <v>289</v>
      </c>
      <c r="M34" s="99" t="s">
        <v>282</v>
      </c>
    </row>
    <row r="35" spans="1:13" ht="21" customHeight="1" x14ac:dyDescent="0.15">
      <c r="A35" s="93">
        <v>30048034</v>
      </c>
      <c r="B35" s="47">
        <v>1</v>
      </c>
      <c r="C35" s="47" t="s">
        <v>325</v>
      </c>
      <c r="D35" s="47">
        <v>100</v>
      </c>
      <c r="E35" s="47" t="s">
        <v>325</v>
      </c>
      <c r="F35" s="47" t="s">
        <v>325</v>
      </c>
      <c r="G35" s="47">
        <v>1</v>
      </c>
      <c r="H35" s="47" t="s">
        <v>325</v>
      </c>
      <c r="I35" s="47" t="s">
        <v>325</v>
      </c>
      <c r="J35" s="48">
        <f t="shared" si="4"/>
        <v>100</v>
      </c>
      <c r="L35" s="99" t="s">
        <v>290</v>
      </c>
      <c r="M35" s="99" t="s">
        <v>305</v>
      </c>
    </row>
    <row r="36" spans="1:13" ht="21" customHeight="1" x14ac:dyDescent="0.15">
      <c r="A36" s="93">
        <v>30048035</v>
      </c>
      <c r="B36" s="47">
        <v>0</v>
      </c>
      <c r="C36" s="47">
        <v>9</v>
      </c>
      <c r="D36" s="47">
        <v>100</v>
      </c>
      <c r="E36" s="47" t="s">
        <v>325</v>
      </c>
      <c r="F36" s="47">
        <v>50</v>
      </c>
      <c r="G36" s="47" t="s">
        <v>325</v>
      </c>
      <c r="H36" s="47" t="s">
        <v>325</v>
      </c>
      <c r="I36" s="47" t="s">
        <v>325</v>
      </c>
      <c r="J36" s="48">
        <f t="shared" si="4"/>
        <v>100</v>
      </c>
      <c r="L36" s="99" t="s">
        <v>292</v>
      </c>
      <c r="M36" s="99" t="s">
        <v>307</v>
      </c>
    </row>
    <row r="37" spans="1:13" ht="21" customHeight="1" x14ac:dyDescent="0.15">
      <c r="A37" s="93">
        <v>30048036</v>
      </c>
      <c r="B37" s="47">
        <v>0</v>
      </c>
      <c r="C37" s="47">
        <v>11</v>
      </c>
      <c r="D37" s="47">
        <v>100</v>
      </c>
      <c r="E37" s="47">
        <v>50</v>
      </c>
      <c r="F37" s="47" t="s">
        <v>325</v>
      </c>
      <c r="G37" s="47">
        <v>1</v>
      </c>
      <c r="H37" s="47" t="s">
        <v>325</v>
      </c>
      <c r="I37" s="47" t="s">
        <v>325</v>
      </c>
      <c r="J37" s="48">
        <f t="shared" si="4"/>
        <v>100</v>
      </c>
      <c r="L37" s="99" t="s">
        <v>294</v>
      </c>
      <c r="M37" s="99" t="s">
        <v>311</v>
      </c>
    </row>
    <row r="38" spans="1:13" ht="21" customHeight="1" x14ac:dyDescent="0.15">
      <c r="A38" s="93">
        <v>30048037</v>
      </c>
      <c r="B38" s="47">
        <v>0</v>
      </c>
      <c r="C38" s="47">
        <v>10</v>
      </c>
      <c r="D38" s="47">
        <v>100</v>
      </c>
      <c r="E38" s="47">
        <v>50</v>
      </c>
      <c r="F38" s="47" t="s">
        <v>325</v>
      </c>
      <c r="G38" s="47" t="s">
        <v>325</v>
      </c>
      <c r="H38" s="47" t="s">
        <v>325</v>
      </c>
      <c r="I38" s="47" t="s">
        <v>325</v>
      </c>
      <c r="J38" s="48">
        <f t="shared" si="4"/>
        <v>100</v>
      </c>
      <c r="L38" s="99" t="s">
        <v>296</v>
      </c>
      <c r="M38" s="99" t="s">
        <v>309</v>
      </c>
    </row>
    <row r="39" spans="1:13" ht="21" customHeight="1" x14ac:dyDescent="0.15">
      <c r="A39" s="93">
        <v>30048038</v>
      </c>
      <c r="B39" s="47">
        <v>0</v>
      </c>
      <c r="C39" s="47">
        <v>12</v>
      </c>
      <c r="D39" s="47">
        <v>100</v>
      </c>
      <c r="E39" s="47" t="s">
        <v>342</v>
      </c>
      <c r="F39" s="47" t="s">
        <v>53</v>
      </c>
      <c r="G39" s="47">
        <v>0</v>
      </c>
      <c r="H39" s="47" t="s">
        <v>341</v>
      </c>
      <c r="I39" s="47">
        <v>0</v>
      </c>
      <c r="J39" s="48">
        <f t="shared" si="4"/>
        <v>100</v>
      </c>
      <c r="L39" s="99" t="s">
        <v>340</v>
      </c>
      <c r="M39" s="99" t="s">
        <v>310</v>
      </c>
    </row>
    <row r="40" spans="1:13" ht="21" customHeight="1" x14ac:dyDescent="0.15">
      <c r="A40" s="94">
        <v>30048039</v>
      </c>
      <c r="B40" s="47">
        <v>0</v>
      </c>
      <c r="C40" s="47">
        <v>1</v>
      </c>
      <c r="D40" s="47">
        <v>100</v>
      </c>
      <c r="E40" s="47" t="s">
        <v>248</v>
      </c>
      <c r="F40" s="47" t="s">
        <v>53</v>
      </c>
      <c r="G40" s="47" t="s">
        <v>248</v>
      </c>
      <c r="H40" s="47">
        <v>1</v>
      </c>
      <c r="I40" s="47" t="s">
        <v>53</v>
      </c>
      <c r="J40" s="48">
        <f t="shared" si="4"/>
        <v>100</v>
      </c>
      <c r="L40" s="102" t="s">
        <v>258</v>
      </c>
      <c r="M40" s="102" t="s">
        <v>256</v>
      </c>
    </row>
    <row r="41" spans="1:13" ht="21" customHeight="1" x14ac:dyDescent="0.15">
      <c r="A41" s="94">
        <v>30048040</v>
      </c>
      <c r="B41" s="47">
        <v>0</v>
      </c>
      <c r="C41" s="47">
        <v>2</v>
      </c>
      <c r="D41" s="47">
        <v>100</v>
      </c>
      <c r="E41" s="47" t="s">
        <v>53</v>
      </c>
      <c r="F41" s="47" t="s">
        <v>53</v>
      </c>
      <c r="G41" s="47" t="s">
        <v>53</v>
      </c>
      <c r="H41" s="47">
        <v>2</v>
      </c>
      <c r="I41" s="47" t="s">
        <v>53</v>
      </c>
      <c r="J41" s="48">
        <f t="shared" si="4"/>
        <v>100</v>
      </c>
      <c r="L41" s="102" t="s">
        <v>260</v>
      </c>
      <c r="M41" s="102" t="s">
        <v>262</v>
      </c>
    </row>
    <row r="42" spans="1:13" ht="21" customHeight="1" x14ac:dyDescent="0.15">
      <c r="A42" s="94">
        <v>30048041</v>
      </c>
      <c r="B42" s="47">
        <v>0</v>
      </c>
      <c r="C42" s="47" t="s">
        <v>53</v>
      </c>
      <c r="D42" s="47">
        <v>100</v>
      </c>
      <c r="E42" s="47" t="s">
        <v>53</v>
      </c>
      <c r="F42" s="47" t="s">
        <v>53</v>
      </c>
      <c r="G42" s="47" t="s">
        <v>53</v>
      </c>
      <c r="H42" s="47" t="s">
        <v>53</v>
      </c>
      <c r="I42" s="47" t="s">
        <v>53</v>
      </c>
      <c r="J42" s="48">
        <f t="shared" si="4"/>
        <v>100</v>
      </c>
      <c r="L42" s="102" t="s">
        <v>263</v>
      </c>
      <c r="M42" s="102" t="s">
        <v>265</v>
      </c>
    </row>
    <row r="43" spans="1:13" ht="21" customHeight="1" x14ac:dyDescent="0.15">
      <c r="A43" s="94">
        <v>30048042</v>
      </c>
      <c r="B43" s="47">
        <v>1</v>
      </c>
      <c r="C43" s="47" t="s">
        <v>53</v>
      </c>
      <c r="D43" s="47">
        <v>100</v>
      </c>
      <c r="E43" s="47" t="s">
        <v>53</v>
      </c>
      <c r="F43" s="47" t="s">
        <v>53</v>
      </c>
      <c r="G43" s="47">
        <v>1</v>
      </c>
      <c r="H43" s="47" t="s">
        <v>53</v>
      </c>
      <c r="I43" s="47" t="s">
        <v>53</v>
      </c>
      <c r="J43" s="48">
        <f t="shared" si="4"/>
        <v>100</v>
      </c>
      <c r="L43" s="102" t="s">
        <v>324</v>
      </c>
      <c r="M43" s="102" t="s">
        <v>303</v>
      </c>
    </row>
    <row r="44" spans="1:13" ht="21" customHeight="1" x14ac:dyDescent="0.15">
      <c r="A44" s="94">
        <v>30048043</v>
      </c>
      <c r="B44" s="47">
        <v>0</v>
      </c>
      <c r="C44" s="47" t="s">
        <v>53</v>
      </c>
      <c r="D44" s="47">
        <v>100</v>
      </c>
      <c r="E44" s="47" t="s">
        <v>53</v>
      </c>
      <c r="F44" s="47" t="s">
        <v>53</v>
      </c>
      <c r="G44" s="47" t="s">
        <v>53</v>
      </c>
      <c r="H44" s="47" t="s">
        <v>53</v>
      </c>
      <c r="I44" s="47" t="s">
        <v>53</v>
      </c>
      <c r="J44" s="48">
        <f t="shared" si="4"/>
        <v>100</v>
      </c>
      <c r="L44" s="102" t="s">
        <v>317</v>
      </c>
      <c r="M44" s="102" t="s">
        <v>267</v>
      </c>
    </row>
    <row r="45" spans="1:13" ht="21" customHeight="1" x14ac:dyDescent="0.15">
      <c r="A45" s="94">
        <v>30048044</v>
      </c>
      <c r="B45" s="47">
        <v>0</v>
      </c>
      <c r="C45" s="47">
        <v>3</v>
      </c>
      <c r="D45" s="47">
        <v>100</v>
      </c>
      <c r="E45" s="47">
        <v>50</v>
      </c>
      <c r="F45" s="47" t="s">
        <v>53</v>
      </c>
      <c r="G45" s="47">
        <v>1</v>
      </c>
      <c r="H45" s="47" t="s">
        <v>53</v>
      </c>
      <c r="I45" s="47" t="s">
        <v>53</v>
      </c>
      <c r="J45" s="48">
        <f t="shared" si="4"/>
        <v>100</v>
      </c>
      <c r="L45" s="102" t="s">
        <v>319</v>
      </c>
      <c r="M45" s="102" t="s">
        <v>269</v>
      </c>
    </row>
    <row r="46" spans="1:13" ht="21" customHeight="1" x14ac:dyDescent="0.15">
      <c r="A46" s="94">
        <v>30048045</v>
      </c>
      <c r="B46" s="47">
        <v>0</v>
      </c>
      <c r="C46" s="47" t="s">
        <v>53</v>
      </c>
      <c r="D46" s="47">
        <v>50</v>
      </c>
      <c r="E46" s="47" t="s">
        <v>53</v>
      </c>
      <c r="F46" s="47" t="s">
        <v>53</v>
      </c>
      <c r="G46" s="47" t="s">
        <v>53</v>
      </c>
      <c r="H46" s="47" t="s">
        <v>53</v>
      </c>
      <c r="I46" s="47" t="s">
        <v>53</v>
      </c>
      <c r="J46" s="48">
        <f t="shared" si="4"/>
        <v>50</v>
      </c>
      <c r="L46" s="102" t="s">
        <v>253</v>
      </c>
      <c r="M46" s="102" t="s">
        <v>273</v>
      </c>
    </row>
    <row r="47" spans="1:13" ht="21" customHeight="1" x14ac:dyDescent="0.15">
      <c r="A47" s="94">
        <v>30048046</v>
      </c>
      <c r="B47" s="47">
        <v>1</v>
      </c>
      <c r="C47" s="47" t="s">
        <v>53</v>
      </c>
      <c r="D47" s="47">
        <v>100</v>
      </c>
      <c r="E47" s="47" t="s">
        <v>53</v>
      </c>
      <c r="F47" s="47" t="s">
        <v>53</v>
      </c>
      <c r="G47" s="47">
        <v>1</v>
      </c>
      <c r="H47" s="47" t="s">
        <v>53</v>
      </c>
      <c r="I47" s="47" t="s">
        <v>53</v>
      </c>
      <c r="J47" s="48">
        <f t="shared" si="4"/>
        <v>100</v>
      </c>
      <c r="L47" s="102" t="s">
        <v>275</v>
      </c>
      <c r="M47" s="102" t="s">
        <v>321</v>
      </c>
    </row>
    <row r="48" spans="1:13" ht="21" customHeight="1" x14ac:dyDescent="0.15">
      <c r="A48" s="94">
        <v>30048047</v>
      </c>
      <c r="B48" s="47">
        <v>0</v>
      </c>
      <c r="C48" s="47">
        <v>4</v>
      </c>
      <c r="D48" s="47">
        <v>100</v>
      </c>
      <c r="E48" s="47" t="s">
        <v>53</v>
      </c>
      <c r="F48" s="47" t="s">
        <v>53</v>
      </c>
      <c r="G48" s="47" t="s">
        <v>53</v>
      </c>
      <c r="H48" s="47">
        <v>1</v>
      </c>
      <c r="I48" s="47" t="s">
        <v>53</v>
      </c>
      <c r="J48" s="48">
        <f t="shared" si="4"/>
        <v>100</v>
      </c>
      <c r="L48" s="102" t="s">
        <v>277</v>
      </c>
      <c r="M48" s="102" t="s">
        <v>281</v>
      </c>
    </row>
    <row r="49" spans="1:13" ht="21" customHeight="1" x14ac:dyDescent="0.15">
      <c r="A49" s="94">
        <v>30048048</v>
      </c>
      <c r="B49" s="47">
        <v>0</v>
      </c>
      <c r="C49" s="47">
        <v>5</v>
      </c>
      <c r="D49" s="47">
        <v>100</v>
      </c>
      <c r="E49" s="47" t="s">
        <v>53</v>
      </c>
      <c r="F49" s="47" t="s">
        <v>53</v>
      </c>
      <c r="G49" s="47" t="s">
        <v>53</v>
      </c>
      <c r="H49" s="47">
        <v>2</v>
      </c>
      <c r="I49" s="47" t="s">
        <v>53</v>
      </c>
      <c r="J49" s="48">
        <f t="shared" si="4"/>
        <v>100</v>
      </c>
      <c r="L49" s="102" t="s">
        <v>279</v>
      </c>
      <c r="M49" s="102" t="s">
        <v>283</v>
      </c>
    </row>
    <row r="50" spans="1:13" ht="21" customHeight="1" x14ac:dyDescent="0.15">
      <c r="A50" s="94">
        <v>30048049</v>
      </c>
      <c r="B50" s="47">
        <v>0</v>
      </c>
      <c r="C50" s="47">
        <v>6</v>
      </c>
      <c r="D50" s="47">
        <v>100</v>
      </c>
      <c r="E50" s="47">
        <v>50</v>
      </c>
      <c r="F50" s="47" t="s">
        <v>53</v>
      </c>
      <c r="G50" s="47">
        <v>1</v>
      </c>
      <c r="H50" s="47">
        <v>1</v>
      </c>
      <c r="I50" s="47" t="s">
        <v>53</v>
      </c>
      <c r="J50" s="48">
        <f t="shared" si="4"/>
        <v>100</v>
      </c>
      <c r="L50" s="102" t="s">
        <v>285</v>
      </c>
      <c r="M50" s="102" t="s">
        <v>287</v>
      </c>
    </row>
    <row r="51" spans="1:13" ht="21" customHeight="1" x14ac:dyDescent="0.15">
      <c r="A51" s="94">
        <v>30048050</v>
      </c>
      <c r="B51" s="47">
        <v>1</v>
      </c>
      <c r="C51" s="47" t="s">
        <v>53</v>
      </c>
      <c r="D51" s="47">
        <v>100</v>
      </c>
      <c r="E51" s="47" t="s">
        <v>53</v>
      </c>
      <c r="F51" s="47" t="s">
        <v>53</v>
      </c>
      <c r="G51" s="47">
        <v>1</v>
      </c>
      <c r="H51" s="47" t="s">
        <v>53</v>
      </c>
      <c r="I51" s="47" t="s">
        <v>53</v>
      </c>
      <c r="J51" s="48">
        <f t="shared" si="4"/>
        <v>100</v>
      </c>
      <c r="L51" s="102" t="s">
        <v>299</v>
      </c>
      <c r="M51" s="102" t="s">
        <v>303</v>
      </c>
    </row>
    <row r="52" spans="1:13" ht="21" customHeight="1" x14ac:dyDescent="0.15">
      <c r="A52" s="94">
        <v>30048051</v>
      </c>
      <c r="B52" s="47">
        <v>0</v>
      </c>
      <c r="C52" s="47">
        <v>7</v>
      </c>
      <c r="D52" s="47">
        <v>100</v>
      </c>
      <c r="E52" s="47" t="s">
        <v>53</v>
      </c>
      <c r="F52" s="47" t="s">
        <v>53</v>
      </c>
      <c r="G52" s="47" t="s">
        <v>53</v>
      </c>
      <c r="H52" s="47">
        <v>1</v>
      </c>
      <c r="I52" s="47" t="s">
        <v>53</v>
      </c>
      <c r="J52" s="48">
        <f t="shared" si="4"/>
        <v>100</v>
      </c>
      <c r="L52" s="102" t="s">
        <v>300</v>
      </c>
      <c r="M52" s="102" t="s">
        <v>304</v>
      </c>
    </row>
    <row r="53" spans="1:13" ht="21" customHeight="1" x14ac:dyDescent="0.15">
      <c r="A53" s="94">
        <v>30048052</v>
      </c>
      <c r="B53" s="47">
        <v>0</v>
      </c>
      <c r="C53" s="47">
        <v>8</v>
      </c>
      <c r="D53" s="47">
        <v>100</v>
      </c>
      <c r="E53" s="47" t="s">
        <v>53</v>
      </c>
      <c r="F53" s="47" t="s">
        <v>53</v>
      </c>
      <c r="G53" s="47" t="s">
        <v>53</v>
      </c>
      <c r="H53" s="47">
        <v>2</v>
      </c>
      <c r="I53" s="47" t="s">
        <v>53</v>
      </c>
      <c r="J53" s="48">
        <f t="shared" si="4"/>
        <v>100</v>
      </c>
      <c r="L53" s="102" t="s">
        <v>301</v>
      </c>
      <c r="M53" s="102" t="s">
        <v>283</v>
      </c>
    </row>
    <row r="54" spans="1:13" ht="21" customHeight="1" x14ac:dyDescent="0.15">
      <c r="A54" s="94">
        <v>30048053</v>
      </c>
      <c r="B54" s="47">
        <v>1</v>
      </c>
      <c r="C54" s="47" t="s">
        <v>53</v>
      </c>
      <c r="D54" s="47">
        <v>100</v>
      </c>
      <c r="E54" s="47" t="s">
        <v>53</v>
      </c>
      <c r="F54" s="47" t="s">
        <v>53</v>
      </c>
      <c r="G54" s="47">
        <v>1</v>
      </c>
      <c r="H54" s="47" t="s">
        <v>53</v>
      </c>
      <c r="I54" s="47" t="s">
        <v>53</v>
      </c>
      <c r="J54" s="48">
        <f t="shared" si="4"/>
        <v>100</v>
      </c>
      <c r="L54" s="102" t="s">
        <v>291</v>
      </c>
      <c r="M54" s="102" t="s">
        <v>306</v>
      </c>
    </row>
    <row r="55" spans="1:13" ht="21" customHeight="1" x14ac:dyDescent="0.15">
      <c r="A55" s="94">
        <v>30048054</v>
      </c>
      <c r="B55" s="47">
        <v>0</v>
      </c>
      <c r="C55" s="47">
        <v>9</v>
      </c>
      <c r="D55" s="47">
        <v>100</v>
      </c>
      <c r="E55" s="47" t="s">
        <v>53</v>
      </c>
      <c r="F55" s="47">
        <v>50</v>
      </c>
      <c r="G55" s="47" t="s">
        <v>53</v>
      </c>
      <c r="H55" s="47" t="s">
        <v>53</v>
      </c>
      <c r="I55" s="47" t="s">
        <v>53</v>
      </c>
      <c r="J55" s="48">
        <f t="shared" si="4"/>
        <v>100</v>
      </c>
      <c r="L55" s="102" t="s">
        <v>293</v>
      </c>
      <c r="M55" s="102" t="s">
        <v>308</v>
      </c>
    </row>
    <row r="56" spans="1:13" ht="21" customHeight="1" x14ac:dyDescent="0.15">
      <c r="A56" s="94">
        <v>30048055</v>
      </c>
      <c r="B56" s="47">
        <v>0</v>
      </c>
      <c r="C56" s="47">
        <v>11</v>
      </c>
      <c r="D56" s="47">
        <v>100</v>
      </c>
      <c r="E56" s="47">
        <v>50</v>
      </c>
      <c r="F56" s="47" t="s">
        <v>53</v>
      </c>
      <c r="G56" s="47">
        <v>1</v>
      </c>
      <c r="H56" s="47" t="s">
        <v>53</v>
      </c>
      <c r="I56" s="47" t="s">
        <v>53</v>
      </c>
      <c r="J56" s="48">
        <f t="shared" si="4"/>
        <v>100</v>
      </c>
      <c r="L56" s="102" t="s">
        <v>295</v>
      </c>
      <c r="M56" s="102" t="s">
        <v>312</v>
      </c>
    </row>
    <row r="57" spans="1:13" ht="21" customHeight="1" x14ac:dyDescent="0.15">
      <c r="A57" s="94">
        <v>30048056</v>
      </c>
      <c r="B57" s="47">
        <v>0</v>
      </c>
      <c r="C57" s="47">
        <v>10</v>
      </c>
      <c r="D57" s="47">
        <v>100</v>
      </c>
      <c r="E57" s="47">
        <v>50</v>
      </c>
      <c r="F57" s="47" t="s">
        <v>53</v>
      </c>
      <c r="G57" s="47" t="s">
        <v>53</v>
      </c>
      <c r="H57" s="47" t="s">
        <v>53</v>
      </c>
      <c r="I57" s="47" t="s">
        <v>53</v>
      </c>
      <c r="J57" s="48">
        <f t="shared" si="4"/>
        <v>100</v>
      </c>
      <c r="L57" s="102" t="s">
        <v>297</v>
      </c>
      <c r="M57" s="102" t="s">
        <v>310</v>
      </c>
    </row>
    <row r="58" spans="1:13" ht="21" customHeight="1" x14ac:dyDescent="0.15">
      <c r="A58" s="94">
        <v>30048057</v>
      </c>
      <c r="B58" s="47">
        <v>0</v>
      </c>
      <c r="C58" s="47">
        <v>12</v>
      </c>
      <c r="D58" s="47">
        <v>100</v>
      </c>
      <c r="E58" s="47" t="s">
        <v>342</v>
      </c>
      <c r="F58" s="47" t="s">
        <v>53</v>
      </c>
      <c r="G58" s="47">
        <v>0</v>
      </c>
      <c r="H58" s="47" t="s">
        <v>341</v>
      </c>
      <c r="I58" s="47">
        <v>0</v>
      </c>
      <c r="J58" s="48">
        <f t="shared" ref="J58" si="5">D58</f>
        <v>100</v>
      </c>
      <c r="L58" s="102" t="s">
        <v>340</v>
      </c>
      <c r="M58" s="102" t="s">
        <v>310</v>
      </c>
    </row>
  </sheetData>
  <autoFilter ref="A1:G1"/>
  <phoneticPr fontId="5"/>
  <conditionalFormatting sqref="K59:K1048576 K1:K5 K7:K19 K21:K38">
    <cfRule type="duplicateValues" dxfId="6" priority="7"/>
  </conditionalFormatting>
  <conditionalFormatting sqref="K6">
    <cfRule type="duplicateValues" dxfId="5" priority="6"/>
  </conditionalFormatting>
  <conditionalFormatting sqref="K40:K43 K45:K57">
    <cfRule type="duplicateValues" dxfId="4" priority="5"/>
  </conditionalFormatting>
  <conditionalFormatting sqref="K44">
    <cfRule type="duplicateValues" dxfId="3" priority="4"/>
  </conditionalFormatting>
  <conditionalFormatting sqref="K20">
    <cfRule type="duplicateValues" dxfId="2" priority="3"/>
  </conditionalFormatting>
  <conditionalFormatting sqref="K39">
    <cfRule type="duplicateValues" dxfId="1" priority="2"/>
  </conditionalFormatting>
  <conditionalFormatting sqref="K58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8"/>
  <sheetViews>
    <sheetView showGridLines="0" workbookViewId="0">
      <pane xSplit="5" ySplit="1" topLeftCell="F35" activePane="bottomRight" state="frozen"/>
      <selection activeCell="J32" sqref="J32"/>
      <selection pane="topRight" activeCell="J32" sqref="J32"/>
      <selection pane="bottomLeft" activeCell="J32" sqref="J32"/>
      <selection pane="bottomRight" activeCell="K54" sqref="K54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30048001_30048001</v>
      </c>
      <c r="B2" s="92">
        <v>30048001</v>
      </c>
      <c r="C2" s="92">
        <v>30048001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上の句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緑パネルプロテクト(最大1個)+_x000D_単体攻撃</v>
      </c>
      <c r="F2" s="92">
        <v>30048001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1" si="1">B3&amp;"_"&amp;C3</f>
        <v>30048001_30048002</v>
      </c>
      <c r="B3" s="92">
        <v>30048001</v>
      </c>
      <c r="C3" s="92">
        <v>30048002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下の句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ランダムで緑パネルに最大1個変換</v>
      </c>
      <c r="F3" s="92">
        <v>30048002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30048002_30048003</v>
      </c>
      <c r="B4" s="92">
        <v>30048002</v>
      </c>
      <c r="C4" s="92">
        <v>30048003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だだっこすまっしゅ！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" s="92">
        <v>30048003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30048003_30048004</v>
      </c>
      <c r="B5" s="92">
        <v>30048003</v>
      </c>
      <c r="C5" s="92">
        <v>30048004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お主…アウリを助けに来たのか？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5" s="92">
        <v>30048004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1"/>
        <v>30048003_30048005</v>
      </c>
      <c r="B6" s="92">
        <v>30048003</v>
      </c>
      <c r="C6" s="92">
        <v>30048005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北方七宿異撃・翠固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6" s="92">
        <v>30048005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1"/>
        <v>30048003_30048006</v>
      </c>
      <c r="B7" s="92">
        <v>30048003</v>
      </c>
      <c r="C7" s="92">
        <v>30048006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ここもウィルスが蔓延しているようじゃ…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3ターン全ユニットの回復力10%DOWN</v>
      </c>
      <c r="F7" s="92">
        <v>30048006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1"/>
        <v>30048004_30048007</v>
      </c>
      <c r="B8" s="92">
        <v>30048004</v>
      </c>
      <c r="C8" s="92">
        <v>30048007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抗心の音色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ハートパネルプロテクト(最大1個)+_x000D_単体攻撃</v>
      </c>
      <c r="F8" s="92">
        <v>30048007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1"/>
        <v>30048005_30048008</v>
      </c>
      <c r="B9" s="92">
        <v>30048005</v>
      </c>
      <c r="C9" s="92">
        <v>30048008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アウリはウィルスにやられておる…引き返すのじゃ！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2ターン自身の防御力UP+_x000D_緑パネルドロップ率を元に戻す</v>
      </c>
      <c r="F9" s="92">
        <v>30048008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1"/>
        <v>30048005_30048009</v>
      </c>
      <c r="B10" s="92">
        <v>30048005</v>
      </c>
      <c r="C10" s="92">
        <v>30048009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守緑の舞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10" s="92">
        <v>30048009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30048005_30048010</v>
      </c>
      <c r="B11" s="92">
        <v>30048005</v>
      </c>
      <c r="C11" s="92">
        <v>30048010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それでも先に行くというのか！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11" s="92">
        <v>30048010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1"/>
        <v>30048005_30048011</v>
      </c>
      <c r="B12" s="92">
        <v>30048005</v>
      </c>
      <c r="C12" s="92">
        <v>30048011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月食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3ターン全ユニットの攻撃力10%DOWN</v>
      </c>
      <c r="F12" s="92">
        <v>30048011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1"/>
        <v>30048006_30048012</v>
      </c>
      <c r="B13" s="92">
        <v>30048006</v>
      </c>
      <c r="C13" s="92">
        <v>30048012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この先には通しませんですハイ！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13" s="92">
        <v>30048012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1"/>
        <v>30048006_30048013</v>
      </c>
      <c r="B14" s="92">
        <v>30048006</v>
      </c>
      <c r="C14" s="92">
        <v>30048013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ウィルス…？一体何のことですハイ…？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14" s="92">
        <v>30048013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1"/>
        <v>30048006_30048014</v>
      </c>
      <c r="B15" s="92">
        <v>30048006</v>
      </c>
      <c r="C15" s="92">
        <v>30048014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あ、あれ？体がうまく動かないですハイ…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15" s="92">
        <v>30048014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1"/>
        <v>30048007_30048015</v>
      </c>
      <c r="B16" s="92">
        <v>30048007</v>
      </c>
      <c r="C16" s="92">
        <v>30048015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アタイ…なにか忘れているです…？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緑パネルドロップ率を元に戻す</v>
      </c>
      <c r="F16" s="92">
        <v>30048015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1"/>
        <v>30048007_30048016</v>
      </c>
      <c r="B17" s="92">
        <v>30048007</v>
      </c>
      <c r="C17" s="92">
        <v>30048016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たしかアタイ…アンタ達に…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ランダムでパネルプロテクト(最大2個)+_x000D_単体攻撃</v>
      </c>
      <c r="F17" s="92">
        <v>30048016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1"/>
        <v>30048007_30048017</v>
      </c>
      <c r="B18" s="92">
        <v>30048007</v>
      </c>
      <c r="C18" s="92">
        <v>30048017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ウィルス…何か思い出せそうです…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ランダムでパネルプロテクト(最大8個)+_x000D_2ターン自身の攻撃力UP</v>
      </c>
      <c r="F18" s="92">
        <v>30048017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1"/>
        <v>30048007_30048018</v>
      </c>
      <c r="B19" s="92">
        <v>30048007</v>
      </c>
      <c r="C19" s="92">
        <v>30048018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やっぱり何か…何か引っかかるです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ランダムでパネルプロテクト(最大3個)+_x000D_単体攻撃</v>
      </c>
      <c r="F19" s="92">
        <v>30048018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ref="A20" si="2">B20&amp;"_"&amp;C20</f>
        <v>30048007_30048019</v>
      </c>
      <c r="B20" s="92">
        <v>30048007</v>
      </c>
      <c r="C20" s="92">
        <v>30048019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はっ！ 思い出しましたです！_x000D_アタイはアンタ達に救援を…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みんなのことを頼んだですハイ！</v>
      </c>
      <c r="F20" s="92">
        <v>30048019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1"/>
        <v>30048008_30048020</v>
      </c>
      <c r="B21" s="93">
        <v>30048008</v>
      </c>
      <c r="C21" s="93">
        <v>30048020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上の句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緑パネルプロテクト(最大2個)+_x000D_単体攻撃</v>
      </c>
      <c r="F21" s="93">
        <v>30048020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1"/>
        <v>30048008_30048021</v>
      </c>
      <c r="B22" s="93">
        <v>30048008</v>
      </c>
      <c r="C22" s="93">
        <v>30048021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下の句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ランダムで緑パネルに最大2個変換</v>
      </c>
      <c r="F22" s="93">
        <v>30048021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1"/>
        <v>30048009_30048022</v>
      </c>
      <c r="B23" s="93">
        <v>30048009</v>
      </c>
      <c r="C23" s="93">
        <v>30048022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だだっこすまっしゅ！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3" s="93">
        <v>30048022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1"/>
        <v>30048010_30048023</v>
      </c>
      <c r="B24" s="93">
        <v>30048010</v>
      </c>
      <c r="C24" s="93">
        <v>30048023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お主…アウリを助けに来たのか？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24" s="93">
        <v>30048023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1"/>
        <v>30048010_30048024</v>
      </c>
      <c r="B25" s="93">
        <v>30048010</v>
      </c>
      <c r="C25" s="93">
        <v>30048024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北方七宿異撃・翠固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25" s="93">
        <v>30048024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1"/>
        <v>30048010_30048025</v>
      </c>
      <c r="B26" s="93">
        <v>30048010</v>
      </c>
      <c r="C26" s="93">
        <v>30048025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ここもウィルスが蔓延しているようじゃ…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3ターン全ユニットの回復力20%DOWN</v>
      </c>
      <c r="F26" s="93">
        <v>30048025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1"/>
        <v>30048011_30048026</v>
      </c>
      <c r="B27" s="93">
        <v>30048011</v>
      </c>
      <c r="C27" s="93">
        <v>30048026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抗心の音色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ハートパネルプロテクト(最大2個)+_x000D_単体攻撃</v>
      </c>
      <c r="F27" s="93">
        <v>30048026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7"/>
      <c r="Q27" s="47"/>
      <c r="R27" s="47"/>
    </row>
    <row r="28" spans="1:18" ht="21" customHeight="1" x14ac:dyDescent="0.15">
      <c r="A28" s="39" t="str">
        <f t="shared" si="1"/>
        <v>30048012_30048027</v>
      </c>
      <c r="B28" s="93">
        <v>30048012</v>
      </c>
      <c r="C28" s="93">
        <v>30048027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アウリはウィルスにやられておる…引き返すのじゃ！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2ターン自身の防御力UP+_x000D_緑パネルドロップ率を元に戻す</v>
      </c>
      <c r="F28" s="93">
        <v>30048027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1"/>
        <v>30048012_30048028</v>
      </c>
      <c r="B29" s="93">
        <v>30048012</v>
      </c>
      <c r="C29" s="93">
        <v>30048028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守緑の舞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29" s="93">
        <v>30048028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1"/>
        <v>30048012_30048029</v>
      </c>
      <c r="B30" s="93">
        <v>30048012</v>
      </c>
      <c r="C30" s="93">
        <v>30048029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それでも先に行くというのか！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30" s="93">
        <v>30048029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1"/>
        <v>30048012_30048030</v>
      </c>
      <c r="B31" s="93">
        <v>30048012</v>
      </c>
      <c r="C31" s="93">
        <v>30048030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月食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3ターン全ユニットの攻撃力20%DOWN</v>
      </c>
      <c r="F31" s="93">
        <v>30048030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1"/>
        <v>30048013_30048031</v>
      </c>
      <c r="B32" s="93">
        <v>30048013</v>
      </c>
      <c r="C32" s="93">
        <v>30048031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この先には通しませんですハイ！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32" s="93">
        <v>30048031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1"/>
        <v>30048013_30048032</v>
      </c>
      <c r="B33" s="93">
        <v>30048013</v>
      </c>
      <c r="C33" s="93">
        <v>30048032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ウィルス…？一体何のことですハイ…？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33" s="93">
        <v>30048032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1"/>
        <v>30048013_30048033</v>
      </c>
      <c r="B34" s="93">
        <v>30048013</v>
      </c>
      <c r="C34" s="93">
        <v>30048033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あ、あれ？体がうまく動かないですハイ…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34" s="93">
        <v>30048033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1"/>
        <v>30048014_30048034</v>
      </c>
      <c r="B35" s="93">
        <v>30048014</v>
      </c>
      <c r="C35" s="93">
        <v>30048034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アタイ…なにか忘れているです…？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緑パネルドロップ率を元に戻す</v>
      </c>
      <c r="F35" s="93">
        <v>30048034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1"/>
        <v>30048014_30048035</v>
      </c>
      <c r="B36" s="93">
        <v>30048014</v>
      </c>
      <c r="C36" s="93">
        <v>30048035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たしかアタイ…アンタ達に…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ランダムでパネルプロテクト(最大3個)+_x000D_単体攻撃</v>
      </c>
      <c r="F36" s="93">
        <v>30048035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1"/>
        <v>30048014_30048036</v>
      </c>
      <c r="B37" s="93">
        <v>30048014</v>
      </c>
      <c r="C37" s="93">
        <v>30048036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ウィルス…何か思い出せそうです…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ランダムでパネルプロテクト(最大13個)+_x000D_2ターン自身の攻撃力UP</v>
      </c>
      <c r="F37" s="93">
        <v>30048036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1"/>
        <v>30048014_30048037</v>
      </c>
      <c r="B38" s="93">
        <v>30048014</v>
      </c>
      <c r="C38" s="93">
        <v>30048037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やっぱり何か…何か引っかかるです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ランダムでパネルプロテクト(最大5個)+_x000D_単体攻撃</v>
      </c>
      <c r="F38" s="93">
        <v>30048037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1"/>
        <v>30048014_30048038</v>
      </c>
      <c r="B39" s="93">
        <v>30048014</v>
      </c>
      <c r="C39" s="93">
        <v>30048038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はっ！ 思い出しましたです！_x000D_アタイはアンタ達に救援を…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みんなのことを頼んだですハイ！</v>
      </c>
      <c r="F39" s="93">
        <v>30048038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1"/>
        <v>30048015_30048039</v>
      </c>
      <c r="B40" s="94">
        <v>30048015</v>
      </c>
      <c r="C40" s="94">
        <v>30048039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上の句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緑パネルプロテクト(最大3個)+_x000D_単体攻撃</v>
      </c>
      <c r="F40" s="94">
        <v>30048039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1"/>
        <v>30048015_30048040</v>
      </c>
      <c r="B41" s="94">
        <v>30048015</v>
      </c>
      <c r="C41" s="94">
        <v>30048040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下の句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ランダムで緑パネルに最大3個変換</v>
      </c>
      <c r="F41" s="94">
        <v>30048040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1"/>
        <v>30048016_30048041</v>
      </c>
      <c r="B42" s="94">
        <v>30048016</v>
      </c>
      <c r="C42" s="94">
        <v>30048041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だだっこすまっしゅ！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2" s="94">
        <v>30048041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1"/>
        <v>30048017_30048042</v>
      </c>
      <c r="B43" s="94">
        <v>30048017</v>
      </c>
      <c r="C43" s="94">
        <v>30048042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お主…アウリを助けに来たのか？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43" s="94">
        <v>30048042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1"/>
        <v>30048017_30048043</v>
      </c>
      <c r="B44" s="94">
        <v>30048017</v>
      </c>
      <c r="C44" s="94">
        <v>30048043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北方七宿異撃・翠固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44" s="94">
        <v>30048043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1"/>
        <v>30048017_30048044</v>
      </c>
      <c r="B45" s="94">
        <v>30048017</v>
      </c>
      <c r="C45" s="94">
        <v>30048044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ここもウィルスが蔓延しているようじゃ…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3ターン全ユニットの回復力30%DOWN</v>
      </c>
      <c r="F45" s="94">
        <v>30048044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1"/>
        <v>30048018_30048045</v>
      </c>
      <c r="B46" s="94">
        <v>30048018</v>
      </c>
      <c r="C46" s="94">
        <v>30048045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抗心の音色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ハートパネルプロテクト(最大3個)+_x000D_単体攻撃</v>
      </c>
      <c r="F46" s="94">
        <v>30048045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6" s="47"/>
      <c r="Q46" s="47"/>
      <c r="R46" s="47"/>
    </row>
    <row r="47" spans="1:18" ht="21" customHeight="1" x14ac:dyDescent="0.15">
      <c r="A47" s="39" t="str">
        <f t="shared" si="1"/>
        <v>30048019_30048046</v>
      </c>
      <c r="B47" s="94">
        <v>30048019</v>
      </c>
      <c r="C47" s="94">
        <v>30048046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アウリはウィルスにやられておる…引き返すのじゃ！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2ターン自身の防御力UP+_x000D_緑パネルドロップ率を元に戻す</v>
      </c>
      <c r="F47" s="94">
        <v>30048046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1"/>
        <v>30048019_30048047</v>
      </c>
      <c r="B48" s="94">
        <v>30048019</v>
      </c>
      <c r="C48" s="94">
        <v>30048047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守緑の舞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8" s="94">
        <v>30048047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1"/>
        <v>30048019_30048048</v>
      </c>
      <c r="B49" s="94">
        <v>30048019</v>
      </c>
      <c r="C49" s="94">
        <v>30048048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それでも先に行くというのか！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49" s="94">
        <v>30048048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1"/>
        <v>30048019_30048049</v>
      </c>
      <c r="B50" s="94">
        <v>30048019</v>
      </c>
      <c r="C50" s="94">
        <v>30048049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月食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3ターン全ユニットの攻撃力30%DOWN</v>
      </c>
      <c r="F50" s="94">
        <v>30048049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1"/>
        <v>30048020_30048050</v>
      </c>
      <c r="B51" s="94">
        <v>30048020</v>
      </c>
      <c r="C51" s="94">
        <v>30048050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この先には通しませんですハイ！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緑パネルドロップ率UP</v>
      </c>
      <c r="F51" s="94">
        <v>30048050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ref="A52:A57" si="3">B52&amp;"_"&amp;C52</f>
        <v>30048020_30048051</v>
      </c>
      <c r="B52" s="94">
        <v>30048020</v>
      </c>
      <c r="C52" s="94">
        <v>30048051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ウィルス…？一体何のことですハイ…？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緑パネルプロテクト+_x000D_単体攻撃</v>
      </c>
      <c r="F52" s="94">
        <v>30048051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3"/>
        <v>30048020_30048052</v>
      </c>
      <c r="B53" s="94">
        <v>30048020</v>
      </c>
      <c r="C53" s="94">
        <v>30048052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あ、あれ？体がうまく動かないですハイ…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緑パネルを吸収して攻撃</v>
      </c>
      <c r="F53" s="94">
        <v>30048052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3"/>
        <v>30048021_30048053</v>
      </c>
      <c r="B54" s="94">
        <v>30048021</v>
      </c>
      <c r="C54" s="94">
        <v>30048053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アタイ…なにか忘れているです…？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緑パネルドロップ率を元に戻す</v>
      </c>
      <c r="F54" s="94">
        <v>30048053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3"/>
        <v>30048021_30048054</v>
      </c>
      <c r="B55" s="94">
        <v>30048021</v>
      </c>
      <c r="C55" s="94">
        <v>30048054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たしかアタイ…アンタ達に…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ランダムでパネルプロテクト(最大5個)+_x000D_単体攻撃</v>
      </c>
      <c r="F55" s="94">
        <v>30048054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5" s="48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8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3"/>
        <v>30048021_30048055</v>
      </c>
      <c r="B56" s="94">
        <v>30048021</v>
      </c>
      <c r="C56" s="94">
        <v>30048055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ウィルス…何か思い出せそうです…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ランダムでパネルプロテクト(最大20個)+_x000D_2ターン自身の攻撃力UP</v>
      </c>
      <c r="F56" s="94">
        <v>30048055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11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3"/>
        <v>30048021_30048056</v>
      </c>
      <c r="B57" s="94">
        <v>30048021</v>
      </c>
      <c r="C57" s="94">
        <v>30048056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やっぱり何か…何か引っかかるです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ランダムでパネルプロテクト(最大7個)+_x000D_単体攻撃</v>
      </c>
      <c r="F57" s="94">
        <v>30048056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ref="A58" si="4">B58&amp;"_"&amp;C58</f>
        <v>30048021_30048057</v>
      </c>
      <c r="B58" s="94">
        <v>30048021</v>
      </c>
      <c r="C58" s="94">
        <v>30048057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はっ！ 思い出しましたです！_x000D_アタイはアンタ達に救援を…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みんなのことを頼んだですハイ！</v>
      </c>
      <c r="F58" s="94">
        <v>30048057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8" s="48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3"/>
  <sheetViews>
    <sheetView workbookViewId="0">
      <selection activeCell="O36" sqref="O36:O3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8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55">
        <f>floors!$C$2</f>
        <v>30048</v>
      </c>
      <c r="B2" s="55">
        <v>1</v>
      </c>
      <c r="C2" s="67" t="str">
        <f>A2&amp; "_"&amp;B2</f>
        <v>30048_1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168</v>
      </c>
      <c r="G2" s="55">
        <v>3200</v>
      </c>
      <c r="H2" s="55" t="s">
        <v>169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200</v>
      </c>
      <c r="Q2" s="54" t="s">
        <v>170</v>
      </c>
      <c r="R2" s="54" t="s">
        <v>171</v>
      </c>
    </row>
    <row r="3" spans="1:18" x14ac:dyDescent="0.15">
      <c r="A3" s="55">
        <f>floors!$C$2</f>
        <v>30048</v>
      </c>
      <c r="B3" s="55">
        <v>1</v>
      </c>
      <c r="C3" s="67" t="str">
        <f t="shared" ref="C3:C10" si="0">A3&amp; "_"&amp;B3</f>
        <v>30048_1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343</v>
      </c>
      <c r="G3" s="55">
        <v>20</v>
      </c>
      <c r="H3" s="55" t="s">
        <v>169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200</v>
      </c>
      <c r="Q3" s="54" t="s">
        <v>170</v>
      </c>
      <c r="R3" s="54" t="s">
        <v>171</v>
      </c>
    </row>
    <row r="4" spans="1:18" x14ac:dyDescent="0.15">
      <c r="A4" s="55">
        <f>floors!$C$2</f>
        <v>30048</v>
      </c>
      <c r="B4" s="55">
        <v>1</v>
      </c>
      <c r="C4" s="67" t="str">
        <f t="shared" si="0"/>
        <v>30048_1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344</v>
      </c>
      <c r="G4" s="55">
        <v>1324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200</v>
      </c>
      <c r="Q4" s="54" t="s">
        <v>170</v>
      </c>
      <c r="R4" s="54" t="s">
        <v>171</v>
      </c>
    </row>
    <row r="5" spans="1:18" x14ac:dyDescent="0.15">
      <c r="A5" s="55">
        <f>floors!$C$2</f>
        <v>30048</v>
      </c>
      <c r="B5" s="55">
        <v>1</v>
      </c>
      <c r="C5" s="67" t="str">
        <f t="shared" si="0"/>
        <v>30048_1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344</v>
      </c>
      <c r="G5" s="55">
        <v>336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70</v>
      </c>
      <c r="Q5" s="54" t="s">
        <v>170</v>
      </c>
      <c r="R5" s="54" t="s">
        <v>171</v>
      </c>
    </row>
    <row r="6" spans="1:18" x14ac:dyDescent="0.15">
      <c r="A6" s="55">
        <f>floors!$C$2</f>
        <v>30048</v>
      </c>
      <c r="B6" s="55">
        <v>1</v>
      </c>
      <c r="C6" s="67" t="str">
        <f t="shared" si="0"/>
        <v>30048_1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344</v>
      </c>
      <c r="G6" s="55">
        <v>337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70</v>
      </c>
      <c r="Q6" s="54" t="s">
        <v>170</v>
      </c>
      <c r="R6" s="54" t="s">
        <v>171</v>
      </c>
    </row>
    <row r="7" spans="1:18" x14ac:dyDescent="0.15">
      <c r="A7" s="55">
        <f>floors!$C$2</f>
        <v>30048</v>
      </c>
      <c r="B7" s="55">
        <v>1</v>
      </c>
      <c r="C7" s="67" t="str">
        <f t="shared" si="0"/>
        <v>30048_1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344</v>
      </c>
      <c r="G7" s="55">
        <v>350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100</v>
      </c>
      <c r="Q7" s="54" t="s">
        <v>170</v>
      </c>
      <c r="R7" s="54" t="s">
        <v>171</v>
      </c>
    </row>
    <row r="8" spans="1:18" x14ac:dyDescent="0.15">
      <c r="A8" s="55">
        <f>floors!$C$2</f>
        <v>30048</v>
      </c>
      <c r="B8" s="55">
        <v>1</v>
      </c>
      <c r="C8" s="67" t="str">
        <f t="shared" si="0"/>
        <v>30048_1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344</v>
      </c>
      <c r="G8" s="55">
        <v>121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50</v>
      </c>
      <c r="Q8" s="54" t="s">
        <v>170</v>
      </c>
      <c r="R8" s="54" t="s">
        <v>171</v>
      </c>
    </row>
    <row r="9" spans="1:18" x14ac:dyDescent="0.15">
      <c r="A9" s="55">
        <f>floors!$C$2</f>
        <v>30048</v>
      </c>
      <c r="B9" s="55">
        <v>1</v>
      </c>
      <c r="C9" s="67" t="str">
        <f t="shared" si="0"/>
        <v>30048_1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344</v>
      </c>
      <c r="G9" s="55">
        <v>122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50</v>
      </c>
      <c r="Q9" s="54" t="s">
        <v>170</v>
      </c>
      <c r="R9" s="54" t="s">
        <v>171</v>
      </c>
    </row>
    <row r="10" spans="1:18" x14ac:dyDescent="0.15">
      <c r="A10" s="55">
        <f>floors!$C$2</f>
        <v>30048</v>
      </c>
      <c r="B10" s="55">
        <v>1</v>
      </c>
      <c r="C10" s="67" t="str">
        <f t="shared" si="0"/>
        <v>30048_1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344</v>
      </c>
      <c r="G10" s="55">
        <v>123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4" t="s">
        <v>170</v>
      </c>
      <c r="R10" s="54" t="s">
        <v>171</v>
      </c>
    </row>
    <row r="11" spans="1:18" x14ac:dyDescent="0.15">
      <c r="A11" s="55">
        <f>floors!$C$2</f>
        <v>30048</v>
      </c>
      <c r="B11" s="55">
        <v>1</v>
      </c>
      <c r="C11" s="67" t="str">
        <f t="shared" ref="C11" si="1">A11&amp; "_"&amp;B11</f>
        <v>30048_1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5">
        <v>10</v>
      </c>
      <c r="F11" s="55" t="s">
        <v>344</v>
      </c>
      <c r="G11" s="55">
        <v>125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10</v>
      </c>
      <c r="Q11" s="54" t="s">
        <v>170</v>
      </c>
      <c r="R11" s="54" t="s">
        <v>171</v>
      </c>
    </row>
    <row r="12" spans="1:18" x14ac:dyDescent="0.15">
      <c r="A12" s="107">
        <f>floors!$C$2</f>
        <v>30048</v>
      </c>
      <c r="B12" s="107">
        <v>2</v>
      </c>
      <c r="C12" s="67" t="str">
        <f>A12&amp; "_"&amp;B12</f>
        <v>30048_2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7">
        <v>11</v>
      </c>
      <c r="F12" s="107" t="s">
        <v>168</v>
      </c>
      <c r="G12" s="107">
        <v>5000</v>
      </c>
      <c r="H12" s="107" t="s">
        <v>169</v>
      </c>
      <c r="I12" s="107">
        <v>1</v>
      </c>
      <c r="J12" s="107">
        <v>1</v>
      </c>
      <c r="K12" s="107">
        <v>0</v>
      </c>
      <c r="L12" s="107">
        <v>0</v>
      </c>
      <c r="M12" s="107">
        <v>0</v>
      </c>
      <c r="N12" s="107">
        <v>0</v>
      </c>
      <c r="O12" s="107">
        <v>1</v>
      </c>
      <c r="P12" s="107">
        <v>200</v>
      </c>
      <c r="Q12" s="54" t="s">
        <v>170</v>
      </c>
      <c r="R12" s="54" t="s">
        <v>171</v>
      </c>
    </row>
    <row r="13" spans="1:18" x14ac:dyDescent="0.15">
      <c r="A13" s="107">
        <f>floors!$C$2</f>
        <v>30048</v>
      </c>
      <c r="B13" s="107">
        <v>2</v>
      </c>
      <c r="C13" s="67" t="str">
        <f t="shared" ref="C13:C19" si="2">A13&amp; "_"&amp;B13</f>
        <v>30048_2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107">
        <v>12</v>
      </c>
      <c r="F13" s="107" t="s">
        <v>343</v>
      </c>
      <c r="G13" s="107">
        <v>25</v>
      </c>
      <c r="H13" s="107" t="s">
        <v>169</v>
      </c>
      <c r="I13" s="107">
        <v>1</v>
      </c>
      <c r="J13" s="107">
        <v>1</v>
      </c>
      <c r="K13" s="107">
        <v>0</v>
      </c>
      <c r="L13" s="107">
        <v>0</v>
      </c>
      <c r="M13" s="107">
        <v>0</v>
      </c>
      <c r="N13" s="107">
        <v>0</v>
      </c>
      <c r="O13" s="107">
        <v>1</v>
      </c>
      <c r="P13" s="107">
        <v>150</v>
      </c>
      <c r="Q13" s="54" t="s">
        <v>170</v>
      </c>
      <c r="R13" s="54" t="s">
        <v>171</v>
      </c>
    </row>
    <row r="14" spans="1:18" x14ac:dyDescent="0.15">
      <c r="A14" s="107">
        <f>floors!$C$2</f>
        <v>30048</v>
      </c>
      <c r="B14" s="107">
        <v>2</v>
      </c>
      <c r="C14" s="67" t="str">
        <f t="shared" si="2"/>
        <v>30048_2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107">
        <v>13</v>
      </c>
      <c r="F14" s="107" t="s">
        <v>344</v>
      </c>
      <c r="G14" s="107">
        <v>1324</v>
      </c>
      <c r="H14" s="107">
        <v>1</v>
      </c>
      <c r="I14" s="107">
        <v>1</v>
      </c>
      <c r="J14" s="107">
        <v>1</v>
      </c>
      <c r="K14" s="107">
        <v>0</v>
      </c>
      <c r="L14" s="107">
        <v>0</v>
      </c>
      <c r="M14" s="107">
        <v>0</v>
      </c>
      <c r="N14" s="107">
        <v>0</v>
      </c>
      <c r="O14" s="107">
        <v>1</v>
      </c>
      <c r="P14" s="107">
        <v>250</v>
      </c>
      <c r="Q14" s="54" t="s">
        <v>170</v>
      </c>
      <c r="R14" s="54" t="s">
        <v>171</v>
      </c>
    </row>
    <row r="15" spans="1:18" x14ac:dyDescent="0.15">
      <c r="A15" s="107">
        <f>floors!$C$2</f>
        <v>30048</v>
      </c>
      <c r="B15" s="107">
        <v>2</v>
      </c>
      <c r="C15" s="67" t="str">
        <f t="shared" si="2"/>
        <v>30048_2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107">
        <v>14</v>
      </c>
      <c r="F15" s="107" t="s">
        <v>344</v>
      </c>
      <c r="G15" s="107">
        <v>336</v>
      </c>
      <c r="H15" s="107">
        <v>1</v>
      </c>
      <c r="I15" s="107">
        <v>1</v>
      </c>
      <c r="J15" s="107">
        <v>1</v>
      </c>
      <c r="K15" s="107">
        <v>0</v>
      </c>
      <c r="L15" s="107">
        <v>0</v>
      </c>
      <c r="M15" s="107">
        <v>0</v>
      </c>
      <c r="N15" s="107">
        <v>0</v>
      </c>
      <c r="O15" s="107">
        <v>1</v>
      </c>
      <c r="P15" s="107">
        <v>56</v>
      </c>
      <c r="Q15" s="54" t="s">
        <v>170</v>
      </c>
      <c r="R15" s="54" t="s">
        <v>171</v>
      </c>
    </row>
    <row r="16" spans="1:18" x14ac:dyDescent="0.15">
      <c r="A16" s="107">
        <f>floors!$C$2</f>
        <v>30048</v>
      </c>
      <c r="B16" s="107">
        <v>2</v>
      </c>
      <c r="C16" s="67" t="str">
        <f t="shared" si="2"/>
        <v>30048_2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107">
        <v>15</v>
      </c>
      <c r="F16" s="107" t="s">
        <v>344</v>
      </c>
      <c r="G16" s="107">
        <v>337</v>
      </c>
      <c r="H16" s="107">
        <v>1</v>
      </c>
      <c r="I16" s="107">
        <v>1</v>
      </c>
      <c r="J16" s="107">
        <v>1</v>
      </c>
      <c r="K16" s="107">
        <v>0</v>
      </c>
      <c r="L16" s="107">
        <v>0</v>
      </c>
      <c r="M16" s="107">
        <v>0</v>
      </c>
      <c r="N16" s="107">
        <v>0</v>
      </c>
      <c r="O16" s="107">
        <v>1</v>
      </c>
      <c r="P16" s="107">
        <v>56</v>
      </c>
      <c r="Q16" s="54" t="s">
        <v>170</v>
      </c>
      <c r="R16" s="54" t="s">
        <v>171</v>
      </c>
    </row>
    <row r="17" spans="1:18" x14ac:dyDescent="0.15">
      <c r="A17" s="107">
        <f>floors!$C$2</f>
        <v>30048</v>
      </c>
      <c r="B17" s="107">
        <v>2</v>
      </c>
      <c r="C17" s="67" t="str">
        <f t="shared" si="2"/>
        <v>30048_2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107">
        <v>16</v>
      </c>
      <c r="F17" s="107" t="s">
        <v>344</v>
      </c>
      <c r="G17" s="107">
        <v>338</v>
      </c>
      <c r="H17" s="107">
        <v>1</v>
      </c>
      <c r="I17" s="107">
        <v>1</v>
      </c>
      <c r="J17" s="107">
        <v>1</v>
      </c>
      <c r="K17" s="107">
        <v>0</v>
      </c>
      <c r="L17" s="107">
        <v>0</v>
      </c>
      <c r="M17" s="107">
        <v>0</v>
      </c>
      <c r="N17" s="107">
        <v>0</v>
      </c>
      <c r="O17" s="107">
        <v>1</v>
      </c>
      <c r="P17" s="107">
        <v>28</v>
      </c>
      <c r="Q17" s="54" t="s">
        <v>170</v>
      </c>
      <c r="R17" s="54" t="s">
        <v>171</v>
      </c>
    </row>
    <row r="18" spans="1:18" x14ac:dyDescent="0.15">
      <c r="A18" s="107">
        <f>floors!$C$2</f>
        <v>30048</v>
      </c>
      <c r="B18" s="107">
        <v>2</v>
      </c>
      <c r="C18" s="67" t="str">
        <f t="shared" si="2"/>
        <v>30048_2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07">
        <v>17</v>
      </c>
      <c r="F18" s="107" t="s">
        <v>344</v>
      </c>
      <c r="G18" s="107">
        <v>350</v>
      </c>
      <c r="H18" s="107">
        <v>1</v>
      </c>
      <c r="I18" s="107">
        <v>1</v>
      </c>
      <c r="J18" s="107">
        <v>1</v>
      </c>
      <c r="K18" s="107">
        <v>0</v>
      </c>
      <c r="L18" s="107">
        <v>0</v>
      </c>
      <c r="M18" s="107">
        <v>0</v>
      </c>
      <c r="N18" s="107">
        <v>0</v>
      </c>
      <c r="O18" s="107">
        <v>1</v>
      </c>
      <c r="P18" s="107">
        <v>100</v>
      </c>
      <c r="Q18" s="54" t="s">
        <v>170</v>
      </c>
      <c r="R18" s="54" t="s">
        <v>171</v>
      </c>
    </row>
    <row r="19" spans="1:18" x14ac:dyDescent="0.15">
      <c r="A19" s="107">
        <f>floors!$C$2</f>
        <v>30048</v>
      </c>
      <c r="B19" s="107">
        <v>2</v>
      </c>
      <c r="C19" s="67" t="str">
        <f t="shared" si="2"/>
        <v>30048_2</v>
      </c>
      <c r="D19" s="11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107">
        <v>18</v>
      </c>
      <c r="F19" s="107" t="s">
        <v>344</v>
      </c>
      <c r="G19" s="107">
        <v>121</v>
      </c>
      <c r="H19" s="107">
        <v>1</v>
      </c>
      <c r="I19" s="107">
        <v>1</v>
      </c>
      <c r="J19" s="107">
        <v>1</v>
      </c>
      <c r="K19" s="107">
        <v>0</v>
      </c>
      <c r="L19" s="107">
        <v>0</v>
      </c>
      <c r="M19" s="107">
        <v>0</v>
      </c>
      <c r="N19" s="107">
        <v>0</v>
      </c>
      <c r="O19" s="107">
        <v>1</v>
      </c>
      <c r="P19" s="107">
        <v>50</v>
      </c>
      <c r="Q19" s="54" t="s">
        <v>170</v>
      </c>
      <c r="R19" s="54" t="s">
        <v>171</v>
      </c>
    </row>
    <row r="20" spans="1:18" x14ac:dyDescent="0.15">
      <c r="A20" s="107">
        <f>floors!$C$2</f>
        <v>30048</v>
      </c>
      <c r="B20" s="107">
        <v>2</v>
      </c>
      <c r="C20" s="67" t="str">
        <f>A20&amp; "_"&amp;B20</f>
        <v>30048_2</v>
      </c>
      <c r="D20" s="11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107">
        <v>19</v>
      </c>
      <c r="F20" s="107" t="s">
        <v>344</v>
      </c>
      <c r="G20" s="107">
        <v>122</v>
      </c>
      <c r="H20" s="107">
        <v>1</v>
      </c>
      <c r="I20" s="107">
        <v>1</v>
      </c>
      <c r="J20" s="107">
        <v>1</v>
      </c>
      <c r="K20" s="107">
        <v>0</v>
      </c>
      <c r="L20" s="107">
        <v>0</v>
      </c>
      <c r="M20" s="107">
        <v>0</v>
      </c>
      <c r="N20" s="107">
        <v>0</v>
      </c>
      <c r="O20" s="107">
        <v>1</v>
      </c>
      <c r="P20" s="107">
        <v>50</v>
      </c>
      <c r="Q20" s="54" t="s">
        <v>170</v>
      </c>
      <c r="R20" s="54" t="s">
        <v>171</v>
      </c>
    </row>
    <row r="21" spans="1:18" x14ac:dyDescent="0.15">
      <c r="A21" s="107">
        <f>floors!$C$2</f>
        <v>30048</v>
      </c>
      <c r="B21" s="107">
        <v>2</v>
      </c>
      <c r="C21" s="67" t="str">
        <f t="shared" ref="C21" si="3">A21&amp; "_"&amp;B21</f>
        <v>30048_2</v>
      </c>
      <c r="D21" s="11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107">
        <v>20</v>
      </c>
      <c r="F21" s="107" t="s">
        <v>344</v>
      </c>
      <c r="G21" s="107">
        <v>123</v>
      </c>
      <c r="H21" s="107">
        <v>1</v>
      </c>
      <c r="I21" s="107">
        <v>1</v>
      </c>
      <c r="J21" s="107">
        <v>1</v>
      </c>
      <c r="K21" s="107">
        <v>0</v>
      </c>
      <c r="L21" s="107">
        <v>0</v>
      </c>
      <c r="M21" s="107">
        <v>0</v>
      </c>
      <c r="N21" s="107">
        <v>0</v>
      </c>
      <c r="O21" s="107">
        <v>1</v>
      </c>
      <c r="P21" s="107">
        <v>50</v>
      </c>
      <c r="Q21" s="54" t="s">
        <v>170</v>
      </c>
      <c r="R21" s="54" t="s">
        <v>171</v>
      </c>
    </row>
    <row r="22" spans="1:18" x14ac:dyDescent="0.15">
      <c r="A22" s="107">
        <f>floors!$C$2</f>
        <v>30048</v>
      </c>
      <c r="B22" s="107">
        <v>2</v>
      </c>
      <c r="C22" s="67" t="str">
        <f>A22&amp; "_"&amp;B22</f>
        <v>30048_2</v>
      </c>
      <c r="D22" s="11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107">
        <v>21</v>
      </c>
      <c r="F22" s="107" t="s">
        <v>344</v>
      </c>
      <c r="G22" s="107">
        <v>125</v>
      </c>
      <c r="H22" s="107">
        <v>1</v>
      </c>
      <c r="I22" s="107">
        <v>1</v>
      </c>
      <c r="J22" s="107">
        <v>1</v>
      </c>
      <c r="K22" s="107">
        <v>0</v>
      </c>
      <c r="L22" s="107">
        <v>0</v>
      </c>
      <c r="M22" s="107">
        <v>0</v>
      </c>
      <c r="N22" s="107">
        <v>0</v>
      </c>
      <c r="O22" s="107">
        <v>1</v>
      </c>
      <c r="P22" s="107">
        <v>10</v>
      </c>
      <c r="Q22" s="54" t="s">
        <v>170</v>
      </c>
      <c r="R22" s="54" t="s">
        <v>171</v>
      </c>
    </row>
    <row r="23" spans="1:18" x14ac:dyDescent="0.15">
      <c r="A23" s="108">
        <f>floors!$C$2</f>
        <v>30048</v>
      </c>
      <c r="B23" s="108">
        <v>3</v>
      </c>
      <c r="C23" s="67" t="str">
        <f>A23&amp; "_"&amp;B23</f>
        <v>30048_3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108">
        <v>22</v>
      </c>
      <c r="F23" s="108" t="s">
        <v>168</v>
      </c>
      <c r="G23" s="108">
        <v>6500</v>
      </c>
      <c r="H23" s="108" t="s">
        <v>169</v>
      </c>
      <c r="I23" s="108">
        <v>1</v>
      </c>
      <c r="J23" s="108">
        <v>1</v>
      </c>
      <c r="K23" s="108">
        <v>0</v>
      </c>
      <c r="L23" s="108">
        <v>0</v>
      </c>
      <c r="M23" s="108">
        <v>0</v>
      </c>
      <c r="N23" s="108">
        <v>0</v>
      </c>
      <c r="O23" s="108">
        <v>1</v>
      </c>
      <c r="P23" s="108">
        <v>100</v>
      </c>
      <c r="Q23" s="54" t="s">
        <v>170</v>
      </c>
      <c r="R23" s="54" t="s">
        <v>171</v>
      </c>
    </row>
    <row r="24" spans="1:18" x14ac:dyDescent="0.15">
      <c r="A24" s="108">
        <f>floors!$C$2</f>
        <v>30048</v>
      </c>
      <c r="B24" s="108">
        <v>3</v>
      </c>
      <c r="C24" s="67" t="str">
        <f t="shared" ref="C24:C31" si="4">A24&amp; "_"&amp;B24</f>
        <v>30048_3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108">
        <v>23</v>
      </c>
      <c r="F24" s="108" t="s">
        <v>343</v>
      </c>
      <c r="G24" s="108">
        <v>25</v>
      </c>
      <c r="H24" s="108" t="s">
        <v>169</v>
      </c>
      <c r="I24" s="108">
        <v>1</v>
      </c>
      <c r="J24" s="108">
        <v>1</v>
      </c>
      <c r="K24" s="108">
        <v>0</v>
      </c>
      <c r="L24" s="108">
        <v>0</v>
      </c>
      <c r="M24" s="108">
        <v>0</v>
      </c>
      <c r="N24" s="108">
        <v>0</v>
      </c>
      <c r="O24" s="108">
        <v>1</v>
      </c>
      <c r="P24" s="108">
        <v>100</v>
      </c>
      <c r="Q24" s="54" t="s">
        <v>170</v>
      </c>
      <c r="R24" s="54" t="s">
        <v>171</v>
      </c>
    </row>
    <row r="25" spans="1:18" x14ac:dyDescent="0.15">
      <c r="A25" s="108">
        <f>floors!$C$2</f>
        <v>30048</v>
      </c>
      <c r="B25" s="108">
        <v>3</v>
      </c>
      <c r="C25" s="67" t="str">
        <f t="shared" si="4"/>
        <v>30048_3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108">
        <v>24</v>
      </c>
      <c r="F25" s="108" t="s">
        <v>344</v>
      </c>
      <c r="G25" s="108">
        <v>1324</v>
      </c>
      <c r="H25" s="108">
        <v>1</v>
      </c>
      <c r="I25" s="108">
        <v>1</v>
      </c>
      <c r="J25" s="108">
        <v>1</v>
      </c>
      <c r="K25" s="108">
        <v>0</v>
      </c>
      <c r="L25" s="108">
        <v>0</v>
      </c>
      <c r="M25" s="108">
        <v>0</v>
      </c>
      <c r="N25" s="108">
        <v>0</v>
      </c>
      <c r="O25" s="108">
        <v>1</v>
      </c>
      <c r="P25" s="108">
        <v>400</v>
      </c>
      <c r="Q25" s="54" t="s">
        <v>170</v>
      </c>
      <c r="R25" s="54" t="s">
        <v>171</v>
      </c>
    </row>
    <row r="26" spans="1:18" x14ac:dyDescent="0.15">
      <c r="A26" s="108">
        <f>floors!$C$2</f>
        <v>30048</v>
      </c>
      <c r="B26" s="108">
        <v>3</v>
      </c>
      <c r="C26" s="67" t="str">
        <f t="shared" si="4"/>
        <v>30048_3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108">
        <v>25</v>
      </c>
      <c r="F26" s="108" t="s">
        <v>344</v>
      </c>
      <c r="G26" s="108">
        <v>336</v>
      </c>
      <c r="H26" s="108">
        <v>1</v>
      </c>
      <c r="I26" s="108">
        <v>1</v>
      </c>
      <c r="J26" s="108">
        <v>1</v>
      </c>
      <c r="K26" s="108">
        <v>0</v>
      </c>
      <c r="L26" s="108">
        <v>0</v>
      </c>
      <c r="M26" s="108">
        <v>0</v>
      </c>
      <c r="N26" s="108">
        <v>0</v>
      </c>
      <c r="O26" s="108">
        <v>1</v>
      </c>
      <c r="P26" s="108">
        <v>28</v>
      </c>
      <c r="Q26" s="54" t="s">
        <v>170</v>
      </c>
      <c r="R26" s="54" t="s">
        <v>171</v>
      </c>
    </row>
    <row r="27" spans="1:18" x14ac:dyDescent="0.15">
      <c r="A27" s="108">
        <f>floors!$C$2</f>
        <v>30048</v>
      </c>
      <c r="B27" s="108">
        <v>3</v>
      </c>
      <c r="C27" s="67" t="str">
        <f t="shared" si="4"/>
        <v>30048_3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108">
        <v>26</v>
      </c>
      <c r="F27" s="108" t="s">
        <v>344</v>
      </c>
      <c r="G27" s="108">
        <v>337</v>
      </c>
      <c r="H27" s="108">
        <v>1</v>
      </c>
      <c r="I27" s="108">
        <v>1</v>
      </c>
      <c r="J27" s="108">
        <v>1</v>
      </c>
      <c r="K27" s="108">
        <v>0</v>
      </c>
      <c r="L27" s="108">
        <v>0</v>
      </c>
      <c r="M27" s="108">
        <v>0</v>
      </c>
      <c r="N27" s="108">
        <v>0</v>
      </c>
      <c r="O27" s="108">
        <v>1</v>
      </c>
      <c r="P27" s="108">
        <v>56</v>
      </c>
      <c r="Q27" s="54" t="s">
        <v>170</v>
      </c>
      <c r="R27" s="54" t="s">
        <v>171</v>
      </c>
    </row>
    <row r="28" spans="1:18" x14ac:dyDescent="0.15">
      <c r="A28" s="108">
        <f>floors!$C$2</f>
        <v>30048</v>
      </c>
      <c r="B28" s="108">
        <v>3</v>
      </c>
      <c r="C28" s="67" t="str">
        <f t="shared" si="4"/>
        <v>30048_3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108">
        <v>27</v>
      </c>
      <c r="F28" s="108" t="s">
        <v>344</v>
      </c>
      <c r="G28" s="108">
        <v>338</v>
      </c>
      <c r="H28" s="108">
        <v>1</v>
      </c>
      <c r="I28" s="108">
        <v>1</v>
      </c>
      <c r="J28" s="108">
        <v>1</v>
      </c>
      <c r="K28" s="108">
        <v>0</v>
      </c>
      <c r="L28" s="108">
        <v>0</v>
      </c>
      <c r="M28" s="108">
        <v>0</v>
      </c>
      <c r="N28" s="108">
        <v>0</v>
      </c>
      <c r="O28" s="108">
        <v>1</v>
      </c>
      <c r="P28" s="108">
        <v>56</v>
      </c>
      <c r="Q28" s="54" t="s">
        <v>170</v>
      </c>
      <c r="R28" s="54" t="s">
        <v>171</v>
      </c>
    </row>
    <row r="29" spans="1:18" x14ac:dyDescent="0.15">
      <c r="A29" s="108">
        <f>floors!$C$2</f>
        <v>30048</v>
      </c>
      <c r="B29" s="108">
        <v>3</v>
      </c>
      <c r="C29" s="67" t="str">
        <f t="shared" si="4"/>
        <v>30048_3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108">
        <v>28</v>
      </c>
      <c r="F29" s="108" t="s">
        <v>344</v>
      </c>
      <c r="G29" s="108">
        <v>350</v>
      </c>
      <c r="H29" s="108">
        <v>1</v>
      </c>
      <c r="I29" s="108">
        <v>1</v>
      </c>
      <c r="J29" s="108">
        <v>1</v>
      </c>
      <c r="K29" s="108">
        <v>0</v>
      </c>
      <c r="L29" s="108">
        <v>0</v>
      </c>
      <c r="M29" s="108">
        <v>0</v>
      </c>
      <c r="N29" s="108">
        <v>0</v>
      </c>
      <c r="O29" s="108">
        <v>1</v>
      </c>
      <c r="P29" s="108">
        <v>100</v>
      </c>
      <c r="Q29" s="54" t="s">
        <v>170</v>
      </c>
      <c r="R29" s="54" t="s">
        <v>171</v>
      </c>
    </row>
    <row r="30" spans="1:18" x14ac:dyDescent="0.15">
      <c r="A30" s="108">
        <f>floors!$C$2</f>
        <v>30048</v>
      </c>
      <c r="B30" s="108">
        <v>3</v>
      </c>
      <c r="C30" s="67" t="str">
        <f t="shared" si="4"/>
        <v>30048_3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108">
        <v>29</v>
      </c>
      <c r="F30" s="108" t="s">
        <v>344</v>
      </c>
      <c r="G30" s="108">
        <v>121</v>
      </c>
      <c r="H30" s="108">
        <v>1</v>
      </c>
      <c r="I30" s="108">
        <v>1</v>
      </c>
      <c r="J30" s="108">
        <v>1</v>
      </c>
      <c r="K30" s="108">
        <v>0</v>
      </c>
      <c r="L30" s="108">
        <v>0</v>
      </c>
      <c r="M30" s="108">
        <v>0</v>
      </c>
      <c r="N30" s="108">
        <v>0</v>
      </c>
      <c r="O30" s="108">
        <v>1</v>
      </c>
      <c r="P30" s="108">
        <v>50</v>
      </c>
      <c r="Q30" s="54" t="s">
        <v>170</v>
      </c>
      <c r="R30" s="54" t="s">
        <v>171</v>
      </c>
    </row>
    <row r="31" spans="1:18" x14ac:dyDescent="0.15">
      <c r="A31" s="108">
        <f>floors!$C$2</f>
        <v>30048</v>
      </c>
      <c r="B31" s="108">
        <v>3</v>
      </c>
      <c r="C31" s="67" t="str">
        <f t="shared" si="4"/>
        <v>30048_3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108">
        <v>30</v>
      </c>
      <c r="F31" s="108" t="s">
        <v>344</v>
      </c>
      <c r="G31" s="108">
        <v>122</v>
      </c>
      <c r="H31" s="108">
        <v>1</v>
      </c>
      <c r="I31" s="108">
        <v>1</v>
      </c>
      <c r="J31" s="108">
        <v>1</v>
      </c>
      <c r="K31" s="108">
        <v>0</v>
      </c>
      <c r="L31" s="108">
        <v>0</v>
      </c>
      <c r="M31" s="108">
        <v>0</v>
      </c>
      <c r="N31" s="108">
        <v>0</v>
      </c>
      <c r="O31" s="108">
        <v>1</v>
      </c>
      <c r="P31" s="108">
        <v>50</v>
      </c>
      <c r="Q31" s="54" t="s">
        <v>170</v>
      </c>
      <c r="R31" s="54" t="s">
        <v>171</v>
      </c>
    </row>
    <row r="32" spans="1:18" x14ac:dyDescent="0.15">
      <c r="A32" s="108">
        <f>floors!$C$2</f>
        <v>30048</v>
      </c>
      <c r="B32" s="108">
        <v>3</v>
      </c>
      <c r="C32" s="67" t="str">
        <f t="shared" ref="C32:C33" si="5">A32&amp; "_"&amp;B32</f>
        <v>30048_3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108">
        <v>31</v>
      </c>
      <c r="F32" s="108" t="s">
        <v>344</v>
      </c>
      <c r="G32" s="108">
        <v>123</v>
      </c>
      <c r="H32" s="108">
        <v>1</v>
      </c>
      <c r="I32" s="108">
        <v>1</v>
      </c>
      <c r="J32" s="108">
        <v>1</v>
      </c>
      <c r="K32" s="108">
        <v>0</v>
      </c>
      <c r="L32" s="108">
        <v>0</v>
      </c>
      <c r="M32" s="108">
        <v>0</v>
      </c>
      <c r="N32" s="108">
        <v>0</v>
      </c>
      <c r="O32" s="108">
        <v>1</v>
      </c>
      <c r="P32" s="108">
        <v>50</v>
      </c>
      <c r="Q32" s="54" t="s">
        <v>170</v>
      </c>
      <c r="R32" s="54" t="s">
        <v>171</v>
      </c>
    </row>
    <row r="33" spans="1:18" x14ac:dyDescent="0.15">
      <c r="A33" s="108">
        <f>floors!$C$2</f>
        <v>30048</v>
      </c>
      <c r="B33" s="108">
        <v>3</v>
      </c>
      <c r="C33" s="67" t="str">
        <f t="shared" si="5"/>
        <v>30048_3</v>
      </c>
      <c r="D33" s="11" t="str">
        <f ca="1">VLOOKUP($C33,OFFSET([2]stages!$A$1,0,0,COUNTA([2]stages!$A:$A),MATCH(D$1,[2]stages!$2:$2,0)-MATCH($C$1,[2]stages!$2:$2,0)+1),MATCH(D$1,[2]stages!$2:$2,0)-MATCH($C$1,[2]stages!$2:$2,0)+1,FALSE)</f>
        <v>everyone</v>
      </c>
      <c r="E33" s="108">
        <v>32</v>
      </c>
      <c r="F33" s="108" t="s">
        <v>344</v>
      </c>
      <c r="G33" s="108">
        <v>125</v>
      </c>
      <c r="H33" s="108">
        <v>1</v>
      </c>
      <c r="I33" s="108">
        <v>1</v>
      </c>
      <c r="J33" s="108">
        <v>1</v>
      </c>
      <c r="K33" s="108">
        <v>0</v>
      </c>
      <c r="L33" s="108">
        <v>0</v>
      </c>
      <c r="M33" s="108">
        <v>0</v>
      </c>
      <c r="N33" s="108">
        <v>0</v>
      </c>
      <c r="O33" s="108">
        <v>1</v>
      </c>
      <c r="P33" s="108">
        <v>10</v>
      </c>
      <c r="Q33" s="54" t="s">
        <v>170</v>
      </c>
      <c r="R33" s="54" t="s">
        <v>171</v>
      </c>
    </row>
  </sheetData>
  <phoneticPr fontId="5"/>
  <dataValidations count="1">
    <dataValidation type="list" allowBlank="1" showInputMessage="1" showErrorMessage="1" sqref="F2:F33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82"/>
  <sheetViews>
    <sheetView showGridLines="0" workbookViewId="0">
      <pane ySplit="1" topLeftCell="A2" activePane="bottomLeft" state="frozen"/>
      <selection activeCell="J32" sqref="J32"/>
      <selection pane="bottomLeft" activeCell="J83" sqref="J83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188</v>
      </c>
      <c r="B1" s="69" t="s">
        <v>189</v>
      </c>
      <c r="C1" s="73" t="s">
        <v>190</v>
      </c>
      <c r="D1" s="73" t="s">
        <v>33</v>
      </c>
      <c r="E1" s="69" t="s">
        <v>191</v>
      </c>
      <c r="F1" s="73" t="s">
        <v>192</v>
      </c>
      <c r="G1" s="73" t="s">
        <v>33</v>
      </c>
      <c r="H1" s="69" t="s">
        <v>193</v>
      </c>
      <c r="I1" s="81" t="s">
        <v>195</v>
      </c>
      <c r="J1" s="75" t="s">
        <v>126</v>
      </c>
      <c r="K1" s="74" t="s">
        <v>187</v>
      </c>
      <c r="L1" s="82" t="s">
        <v>186</v>
      </c>
      <c r="M1" s="76" t="s">
        <v>196</v>
      </c>
    </row>
    <row r="2" spans="1:13" x14ac:dyDescent="0.15">
      <c r="A2" s="130" t="s">
        <v>409</v>
      </c>
      <c r="B2" s="131">
        <v>30048</v>
      </c>
      <c r="C2" s="132" t="str">
        <f ca="1">VLOOKUP($B2,OFFSET([2]quests!$A$1,0,0,COUNTA([2]quests!$A:$A),MATCH(C$1,[2]quests!$1:$1,0)-MATCH($B$1,[2]quests!$1:$1,0)+1),MATCH(C$1,[2]quests!$1:$1,0)-MATCH($B$1,[2]quests!$1:$1,0)+1,FALSE)</f>
        <v>惑乱の双神使！？</v>
      </c>
      <c r="D2" s="132" t="str">
        <f ca="1">VLOOKUP($B2,OFFSET([2]quests!$A$1,0,0,COUNTA([2]quests!$A:$A),MATCH(D$1,[2]quests!$1:$1,0)-MATCH($B$1,[2]quests!$1:$1,0)+1),MATCH(D$1,[2]quests!$1:$1,0)-MATCH($B$1,[2]quests!$1:$1,0)+1,FALSE)</f>
        <v>日本神話シリーズ　超級</v>
      </c>
      <c r="E2" s="133">
        <v>1</v>
      </c>
      <c r="F2" s="132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【中級】惑乱の双神使！？</v>
      </c>
      <c r="G2" s="132" t="str">
        <f ca="1">VLOOKUP($B2&amp;"_"&amp;$E2,OFFSET([2]stages!$A$1,0,0,COUNTA([2]stages!$A:$A),MATCH(G$1,[2]stages!$2:$2,0)-MATCH("temp_stage",[2]stages!$2:$2,0)+1),MATCH(G$1,[2]stages!$2:$2,0)-MATCH("temp_stage",[2]stages!$2:$2,0)+1,FALSE)</f>
        <v>日本神話シリーズ　超級</v>
      </c>
      <c r="H2" s="134">
        <v>0</v>
      </c>
      <c r="I2">
        <v>3</v>
      </c>
      <c r="J2" s="135" t="s">
        <v>414</v>
      </c>
      <c r="K2" s="136" t="str">
        <f>VLOOKUP(I2,[6]stage_hints!$A:$C,3,FALSE)</f>
        <v>ターゲット</v>
      </c>
      <c r="L2" s="137" t="str">
        <f>VLOOKUP(I2,[6]stage_hints!$A:$D,4,FALSE)</f>
        <v>敵ユニットをタップすると_x000D_その敵を狙い撃ちできます</v>
      </c>
      <c r="M2" s="54" t="s">
        <v>419</v>
      </c>
    </row>
    <row r="3" spans="1:13" x14ac:dyDescent="0.15">
      <c r="A3" s="130" t="s">
        <v>409</v>
      </c>
      <c r="B3" s="131">
        <v>30048</v>
      </c>
      <c r="C3" s="132" t="str">
        <f ca="1">VLOOKUP($B3,OFFSET([2]quests!$A$1,0,0,COUNTA([2]quests!$A:$A),MATCH(C$1,[2]quests!$1:$1,0)-MATCH($B$1,[2]quests!$1:$1,0)+1),MATCH(C$1,[2]quests!$1:$1,0)-MATCH($B$1,[2]quests!$1:$1,0)+1,FALSE)</f>
        <v>惑乱の双神使！？</v>
      </c>
      <c r="D3" s="132" t="str">
        <f ca="1">VLOOKUP($B3,OFFSET([2]quests!$A$1,0,0,COUNTA([2]quests!$A:$A),MATCH(D$1,[2]quests!$1:$1,0)-MATCH($B$1,[2]quests!$1:$1,0)+1),MATCH(D$1,[2]quests!$1:$1,0)-MATCH($B$1,[2]quests!$1:$1,0)+1,FALSE)</f>
        <v>日本神話シリーズ　超級</v>
      </c>
      <c r="E3" s="133">
        <v>1</v>
      </c>
      <c r="F3" s="132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【中級】惑乱の双神使！？</v>
      </c>
      <c r="G3" s="132" t="str">
        <f ca="1">VLOOKUP($B3&amp;"_"&amp;$E3,OFFSET([2]stages!$A$1,0,0,COUNTA([2]stages!$A:$A),MATCH(G$1,[2]stages!$2:$2,0)-MATCH("temp_stage",[2]stages!$2:$2,0)+1),MATCH(G$1,[2]stages!$2:$2,0)-MATCH("temp_stage",[2]stages!$2:$2,0)+1,FALSE)</f>
        <v>日本神話シリーズ　超級</v>
      </c>
      <c r="H3" s="134">
        <v>0</v>
      </c>
      <c r="I3">
        <v>6</v>
      </c>
      <c r="J3" s="135" t="s">
        <v>414</v>
      </c>
      <c r="K3" s="136" t="str">
        <f>VLOOKUP(I3,[6]stage_hints!$A:$C,3,FALSE)</f>
        <v>ユニット強化の属性ボーナス</v>
      </c>
      <c r="L3" s="137" t="str">
        <f>VLOOKUP(I3,[6]stage_hints!$A:$D,4,FALSE)</f>
        <v>同属性ユニットを強化素材にすると_x000D_経験値が多くもらえます</v>
      </c>
      <c r="M3" s="54" t="s">
        <v>415</v>
      </c>
    </row>
    <row r="4" spans="1:13" x14ac:dyDescent="0.15">
      <c r="A4" s="130" t="s">
        <v>409</v>
      </c>
      <c r="B4" s="131">
        <v>30048</v>
      </c>
      <c r="C4" s="132" t="str">
        <f ca="1">VLOOKUP($B4,OFFSET([2]quests!$A$1,0,0,COUNTA([2]quests!$A:$A),MATCH(C$1,[2]quests!$1:$1,0)-MATCH($B$1,[2]quests!$1:$1,0)+1),MATCH(C$1,[2]quests!$1:$1,0)-MATCH($B$1,[2]quests!$1:$1,0)+1,FALSE)</f>
        <v>惑乱の双神使！？</v>
      </c>
      <c r="D4" s="132" t="str">
        <f ca="1">VLOOKUP($B4,OFFSET([2]quests!$A$1,0,0,COUNTA([2]quests!$A:$A),MATCH(D$1,[2]quests!$1:$1,0)-MATCH($B$1,[2]quests!$1:$1,0)+1),MATCH(D$1,[2]quests!$1:$1,0)-MATCH($B$1,[2]quests!$1:$1,0)+1,FALSE)</f>
        <v>日本神話シリーズ　超級</v>
      </c>
      <c r="E4" s="133">
        <v>1</v>
      </c>
      <c r="F4" s="132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【中級】惑乱の双神使！？</v>
      </c>
      <c r="G4" s="132" t="str">
        <f ca="1">VLOOKUP($B4&amp;"_"&amp;$E4,OFFSET([2]stages!$A$1,0,0,COUNTA([2]stages!$A:$A),MATCH(G$1,[2]stages!$2:$2,0)-MATCH("temp_stage",[2]stages!$2:$2,0)+1),MATCH(G$1,[2]stages!$2:$2,0)-MATCH("temp_stage",[2]stages!$2:$2,0)+1,FALSE)</f>
        <v>日本神話シリーズ　超級</v>
      </c>
      <c r="H4" s="134">
        <v>0</v>
      </c>
      <c r="I4">
        <v>7</v>
      </c>
      <c r="J4" s="135" t="s">
        <v>414</v>
      </c>
      <c r="K4" s="136" t="str">
        <f>VLOOKUP(I4,[6]stage_hints!$A:$C,3,FALSE)</f>
        <v>メタルダックで経験値を獲得</v>
      </c>
      <c r="L4" s="137" t="str">
        <f>VLOOKUP(I4,[6]stage_hints!$A:$D,4,FALSE)</f>
        <v>「メタルなアヒル」を強化素材にすると_x000D_大量の経験値がもらえます</v>
      </c>
      <c r="M4" s="54" t="s">
        <v>415</v>
      </c>
    </row>
    <row r="5" spans="1:13" x14ac:dyDescent="0.15">
      <c r="A5" s="130" t="s">
        <v>409</v>
      </c>
      <c r="B5" s="131">
        <v>30048</v>
      </c>
      <c r="C5" s="132" t="str">
        <f ca="1">VLOOKUP($B5,OFFSET([2]quests!$A$1,0,0,COUNTA([2]quests!$A:$A),MATCH(C$1,[2]quests!$1:$1,0)-MATCH($B$1,[2]quests!$1:$1,0)+1),MATCH(C$1,[2]quests!$1:$1,0)-MATCH($B$1,[2]quests!$1:$1,0)+1,FALSE)</f>
        <v>惑乱の双神使！？</v>
      </c>
      <c r="D5" s="132" t="str">
        <f ca="1">VLOOKUP($B5,OFFSET([2]quests!$A$1,0,0,COUNTA([2]quests!$A:$A),MATCH(D$1,[2]quests!$1:$1,0)-MATCH($B$1,[2]quests!$1:$1,0)+1),MATCH(D$1,[2]quests!$1:$1,0)-MATCH($B$1,[2]quests!$1:$1,0)+1,FALSE)</f>
        <v>日本神話シリーズ　超級</v>
      </c>
      <c r="E5" s="133">
        <v>1</v>
      </c>
      <c r="F5" s="132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【中級】惑乱の双神使！？</v>
      </c>
      <c r="G5" s="132" t="str">
        <f ca="1">VLOOKUP($B5&amp;"_"&amp;$E5,OFFSET([2]stages!$A$1,0,0,COUNTA([2]stages!$A:$A),MATCH(G$1,[2]stages!$2:$2,0)-MATCH("temp_stage",[2]stages!$2:$2,0)+1),MATCH(G$1,[2]stages!$2:$2,0)-MATCH("temp_stage",[2]stages!$2:$2,0)+1,FALSE)</f>
        <v>日本神話シリーズ　超級</v>
      </c>
      <c r="H5" s="134">
        <v>0</v>
      </c>
      <c r="I5">
        <v>8</v>
      </c>
      <c r="J5" s="135" t="s">
        <v>414</v>
      </c>
      <c r="K5" s="136" t="str">
        <f>VLOOKUP(I5,[6]stage_hints!$A:$C,3,FALSE)</f>
        <v>ゲリラクエストは要チェック</v>
      </c>
      <c r="L5" s="137" t="str">
        <f>VLOOKUP(I5,[6]stage_hints!$A:$D,4,FALSE)</f>
        <v>時間限定の「アヒル捕獲作戦」では_x000D_経験値素材ユニットが多く手に入ります</v>
      </c>
      <c r="M5" s="54" t="s">
        <v>415</v>
      </c>
    </row>
    <row r="6" spans="1:13" x14ac:dyDescent="0.15">
      <c r="A6" s="130" t="s">
        <v>409</v>
      </c>
      <c r="B6" s="131">
        <v>30048</v>
      </c>
      <c r="C6" s="132" t="str">
        <f ca="1">VLOOKUP($B6,OFFSET([2]quests!$A$1,0,0,COUNTA([2]quests!$A:$A),MATCH(C$1,[2]quests!$1:$1,0)-MATCH($B$1,[2]quests!$1:$1,0)+1),MATCH(C$1,[2]quests!$1:$1,0)-MATCH($B$1,[2]quests!$1:$1,0)+1,FALSE)</f>
        <v>惑乱の双神使！？</v>
      </c>
      <c r="D6" s="132" t="str">
        <f ca="1">VLOOKUP($B6,OFFSET([2]quests!$A$1,0,0,COUNTA([2]quests!$A:$A),MATCH(D$1,[2]quests!$1:$1,0)-MATCH($B$1,[2]quests!$1:$1,0)+1),MATCH(D$1,[2]quests!$1:$1,0)-MATCH($B$1,[2]quests!$1:$1,0)+1,FALSE)</f>
        <v>日本神話シリーズ　超級</v>
      </c>
      <c r="E6" s="133">
        <v>1</v>
      </c>
      <c r="F6" s="132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【中級】惑乱の双神使！？</v>
      </c>
      <c r="G6" s="132" t="str">
        <f ca="1">VLOOKUP($B6&amp;"_"&amp;$E6,OFFSET([2]stages!$A$1,0,0,COUNTA([2]stages!$A:$A),MATCH(G$1,[2]stages!$2:$2,0)-MATCH("temp_stage",[2]stages!$2:$2,0)+1),MATCH(G$1,[2]stages!$2:$2,0)-MATCH("temp_stage",[2]stages!$2:$2,0)+1,FALSE)</f>
        <v>日本神話シリーズ　超級</v>
      </c>
      <c r="H6" s="134">
        <v>0</v>
      </c>
      <c r="I6">
        <v>9</v>
      </c>
      <c r="J6" s="135" t="s">
        <v>414</v>
      </c>
      <c r="K6" s="136" t="str">
        <f>VLOOKUP(I6,[6]stage_hints!$A:$C,3,FALSE)</f>
        <v>ゴールドダックでビットを獲得</v>
      </c>
      <c r="L6" s="137" t="str">
        <f>VLOOKUP(I6,[6]stage_hints!$A:$D,4,FALSE)</f>
        <v>「ゴールドなアヒル」を売却すると_x000D_大量のビットがもらえます</v>
      </c>
      <c r="M6" s="54" t="s">
        <v>415</v>
      </c>
    </row>
    <row r="7" spans="1:13" x14ac:dyDescent="0.15">
      <c r="A7" s="130" t="s">
        <v>409</v>
      </c>
      <c r="B7" s="131">
        <v>30048</v>
      </c>
      <c r="C7" s="132" t="str">
        <f ca="1">VLOOKUP($B7,OFFSET([2]quests!$A$1,0,0,COUNTA([2]quests!$A:$A),MATCH(C$1,[2]quests!$1:$1,0)-MATCH($B$1,[2]quests!$1:$1,0)+1),MATCH(C$1,[2]quests!$1:$1,0)-MATCH($B$1,[2]quests!$1:$1,0)+1,FALSE)</f>
        <v>惑乱の双神使！？</v>
      </c>
      <c r="D7" s="132" t="str">
        <f ca="1">VLOOKUP($B7,OFFSET([2]quests!$A$1,0,0,COUNTA([2]quests!$A:$A),MATCH(D$1,[2]quests!$1:$1,0)-MATCH($B$1,[2]quests!$1:$1,0)+1),MATCH(D$1,[2]quests!$1:$1,0)-MATCH($B$1,[2]quests!$1:$1,0)+1,FALSE)</f>
        <v>日本神話シリーズ　超級</v>
      </c>
      <c r="E7" s="133">
        <v>1</v>
      </c>
      <c r="F7" s="132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【中級】惑乱の双神使！？</v>
      </c>
      <c r="G7" s="132" t="str">
        <f ca="1">VLOOKUP($B7&amp;"_"&amp;$E7,OFFSET([2]stages!$A$1,0,0,COUNTA([2]stages!$A:$A),MATCH(G$1,[2]stages!$2:$2,0)-MATCH("temp_stage",[2]stages!$2:$2,0)+1),MATCH(G$1,[2]stages!$2:$2,0)-MATCH("temp_stage",[2]stages!$2:$2,0)+1,FALSE)</f>
        <v>日本神話シリーズ　超級</v>
      </c>
      <c r="H7" s="134">
        <v>0</v>
      </c>
      <c r="I7">
        <v>10</v>
      </c>
      <c r="J7" s="135" t="s">
        <v>414</v>
      </c>
      <c r="K7" s="136" t="str">
        <f>VLOOKUP(I7,[6]stage_hints!$A:$C,3,FALSE)</f>
        <v>土日に大量のビットを獲得</v>
      </c>
      <c r="L7" s="137" t="str">
        <f>VLOOKUP(I7,[6]stage_hints!$A:$D,4,FALSE)</f>
        <v>土日限定の「ゴールドカジノ」では_x000D_売却素材ユニットが多く手に入ります</v>
      </c>
      <c r="M7" s="54" t="s">
        <v>415</v>
      </c>
    </row>
    <row r="8" spans="1:13" x14ac:dyDescent="0.15">
      <c r="A8" s="130" t="s">
        <v>409</v>
      </c>
      <c r="B8" s="131">
        <v>30048</v>
      </c>
      <c r="C8" s="132" t="str">
        <f ca="1">VLOOKUP($B8,OFFSET([2]quests!$A$1,0,0,COUNTA([2]quests!$A:$A),MATCH(C$1,[2]quests!$1:$1,0)-MATCH($B$1,[2]quests!$1:$1,0)+1),MATCH(C$1,[2]quests!$1:$1,0)-MATCH($B$1,[2]quests!$1:$1,0)+1,FALSE)</f>
        <v>惑乱の双神使！？</v>
      </c>
      <c r="D8" s="132" t="str">
        <f ca="1">VLOOKUP($B8,OFFSET([2]quests!$A$1,0,0,COUNTA([2]quests!$A:$A),MATCH(D$1,[2]quests!$1:$1,0)-MATCH($B$1,[2]quests!$1:$1,0)+1),MATCH(D$1,[2]quests!$1:$1,0)-MATCH($B$1,[2]quests!$1:$1,0)+1,FALSE)</f>
        <v>日本神話シリーズ　超級</v>
      </c>
      <c r="E8" s="133">
        <v>1</v>
      </c>
      <c r="F8" s="132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【中級】惑乱の双神使！？</v>
      </c>
      <c r="G8" s="132" t="str">
        <f ca="1">VLOOKUP($B8&amp;"_"&amp;$E8,OFFSET([2]stages!$A$1,0,0,COUNTA([2]stages!$A:$A),MATCH(G$1,[2]stages!$2:$2,0)-MATCH("temp_stage",[2]stages!$2:$2,0)+1),MATCH(G$1,[2]stages!$2:$2,0)-MATCH("temp_stage",[2]stages!$2:$2,0)+1,FALSE)</f>
        <v>日本神話シリーズ　超級</v>
      </c>
      <c r="H8" s="134">
        <v>0</v>
      </c>
      <c r="I8">
        <v>11</v>
      </c>
      <c r="J8" s="135" t="s">
        <v>414</v>
      </c>
      <c r="K8" s="136" t="str">
        <f>VLOOKUP(I8,[6]stage_hints!$A:$C,3,FALSE)</f>
        <v>ランク解放クエスト</v>
      </c>
      <c r="L8" s="137" t="str">
        <f>VLOOKUP(I8,[6]stage_hints!$A:$D,4,FALSE)</f>
        <v>一定ランクに到達すると_x000D_報酬付きのランク開放クエストが現れます</v>
      </c>
      <c r="M8" s="54" t="s">
        <v>415</v>
      </c>
    </row>
    <row r="9" spans="1:13" x14ac:dyDescent="0.15">
      <c r="A9" s="130" t="s">
        <v>409</v>
      </c>
      <c r="B9" s="131">
        <v>30048</v>
      </c>
      <c r="C9" s="132" t="str">
        <f ca="1">VLOOKUP($B9,OFFSET([2]quests!$A$1,0,0,COUNTA([2]quests!$A:$A),MATCH(C$1,[2]quests!$1:$1,0)-MATCH($B$1,[2]quests!$1:$1,0)+1),MATCH(C$1,[2]quests!$1:$1,0)-MATCH($B$1,[2]quests!$1:$1,0)+1,FALSE)</f>
        <v>惑乱の双神使！？</v>
      </c>
      <c r="D9" s="132" t="str">
        <f ca="1">VLOOKUP($B9,OFFSET([2]quests!$A$1,0,0,COUNTA([2]quests!$A:$A),MATCH(D$1,[2]quests!$1:$1,0)-MATCH($B$1,[2]quests!$1:$1,0)+1),MATCH(D$1,[2]quests!$1:$1,0)-MATCH($B$1,[2]quests!$1:$1,0)+1,FALSE)</f>
        <v>日本神話シリーズ　超級</v>
      </c>
      <c r="E9" s="133">
        <v>1</v>
      </c>
      <c r="F9" s="132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【中級】惑乱の双神使！？</v>
      </c>
      <c r="G9" s="132" t="str">
        <f ca="1">VLOOKUP($B9&amp;"_"&amp;$E9,OFFSET([2]stages!$A$1,0,0,COUNTA([2]stages!$A:$A),MATCH(G$1,[2]stages!$2:$2,0)-MATCH("temp_stage",[2]stages!$2:$2,0)+1),MATCH(G$1,[2]stages!$2:$2,0)-MATCH("temp_stage",[2]stages!$2:$2,0)+1,FALSE)</f>
        <v>日本神話シリーズ　超級</v>
      </c>
      <c r="H9" s="134">
        <v>0</v>
      </c>
      <c r="I9">
        <v>12</v>
      </c>
      <c r="J9" s="135" t="s">
        <v>426</v>
      </c>
      <c r="K9" s="136" t="str">
        <f>VLOOKUP(I9,[6]stage_hints!$A:$C,3,FALSE)</f>
        <v>ユニットのお気に入り登録</v>
      </c>
      <c r="L9" s="137" t="str">
        <f>VLOOKUP(I9,[6]stage_hints!$A:$D,4,FALSE)</f>
        <v>大事なユニットを誤って消さないように_x000D_フォルダから「お気に入り登録」しましょう</v>
      </c>
      <c r="M9" s="54" t="s">
        <v>427</v>
      </c>
    </row>
    <row r="10" spans="1:13" x14ac:dyDescent="0.15">
      <c r="A10" s="130" t="s">
        <v>409</v>
      </c>
      <c r="B10" s="131">
        <v>30048</v>
      </c>
      <c r="C10" s="132" t="str">
        <f ca="1">VLOOKUP($B10,OFFSET([2]quests!$A$1,0,0,COUNTA([2]quests!$A:$A),MATCH(C$1,[2]quests!$1:$1,0)-MATCH($B$1,[2]quests!$1:$1,0)+1),MATCH(C$1,[2]quests!$1:$1,0)-MATCH($B$1,[2]quests!$1:$1,0)+1,FALSE)</f>
        <v>惑乱の双神使！？</v>
      </c>
      <c r="D10" s="132" t="str">
        <f ca="1">VLOOKUP($B10,OFFSET([2]quests!$A$1,0,0,COUNTA([2]quests!$A:$A),MATCH(D$1,[2]quests!$1:$1,0)-MATCH($B$1,[2]quests!$1:$1,0)+1),MATCH(D$1,[2]quests!$1:$1,0)-MATCH($B$1,[2]quests!$1:$1,0)+1,FALSE)</f>
        <v>日本神話シリーズ　超級</v>
      </c>
      <c r="E10" s="133">
        <v>1</v>
      </c>
      <c r="F10" s="132" t="str">
        <f ca="1">VLOOKUP($B10&amp;"_"&amp;$E10,OFFSET([2]stages!$A$1,0,0,COUNTA([2]stages!$A:$A),MATCH(F$1,[2]stages!$2:$2,0)-MATCH("temp_stage",[2]stages!$2:$2,0)+1),MATCH(F$1,[2]stages!$2:$2,0)-MATCH("temp_stage",[2]stages!$2:$2,0)+1,FALSE)</f>
        <v>【中級】惑乱の双神使！？</v>
      </c>
      <c r="G10" s="132" t="str">
        <f ca="1">VLOOKUP($B10&amp;"_"&amp;$E10,OFFSET([2]stages!$A$1,0,0,COUNTA([2]stages!$A:$A),MATCH(G$1,[2]stages!$2:$2,0)-MATCH("temp_stage",[2]stages!$2:$2,0)+1),MATCH(G$1,[2]stages!$2:$2,0)-MATCH("temp_stage",[2]stages!$2:$2,0)+1,FALSE)</f>
        <v>日本神話シリーズ　超級</v>
      </c>
      <c r="H10" s="134">
        <v>0</v>
      </c>
      <c r="I10">
        <v>13</v>
      </c>
      <c r="J10" s="135" t="s">
        <v>426</v>
      </c>
      <c r="K10" s="136" t="str">
        <f>VLOOKUP(I10,[6]stage_hints!$A:$C,3,FALSE)</f>
        <v>ユニットの覚醒</v>
      </c>
      <c r="L10" s="137" t="str">
        <f>VLOOKUP(I10,[6]stage_hints!$A:$D,4,FALSE)</f>
        <v>ユニットを覚醒させると_x000D_比べものにならない強さが手に入ります</v>
      </c>
      <c r="M10" s="54" t="s">
        <v>415</v>
      </c>
    </row>
    <row r="11" spans="1:13" x14ac:dyDescent="0.15">
      <c r="A11" s="130" t="s">
        <v>409</v>
      </c>
      <c r="B11" s="131">
        <v>30048</v>
      </c>
      <c r="C11" s="132" t="str">
        <f ca="1">VLOOKUP($B11,OFFSET([2]quests!$A$1,0,0,COUNTA([2]quests!$A:$A),MATCH(C$1,[2]quests!$1:$1,0)-MATCH($B$1,[2]quests!$1:$1,0)+1),MATCH(C$1,[2]quests!$1:$1,0)-MATCH($B$1,[2]quests!$1:$1,0)+1,FALSE)</f>
        <v>惑乱の双神使！？</v>
      </c>
      <c r="D11" s="132" t="str">
        <f ca="1">VLOOKUP($B11,OFFSET([2]quests!$A$1,0,0,COUNTA([2]quests!$A:$A),MATCH(D$1,[2]quests!$1:$1,0)-MATCH($B$1,[2]quests!$1:$1,0)+1),MATCH(D$1,[2]quests!$1:$1,0)-MATCH($B$1,[2]quests!$1:$1,0)+1,FALSE)</f>
        <v>日本神話シリーズ　超級</v>
      </c>
      <c r="E11" s="133">
        <v>1</v>
      </c>
      <c r="F11" s="132" t="str">
        <f ca="1">VLOOKUP($B11&amp;"_"&amp;$E11,OFFSET([2]stages!$A$1,0,0,COUNTA([2]stages!$A:$A),MATCH(F$1,[2]stages!$2:$2,0)-MATCH("temp_stage",[2]stages!$2:$2,0)+1),MATCH(F$1,[2]stages!$2:$2,0)-MATCH("temp_stage",[2]stages!$2:$2,0)+1,FALSE)</f>
        <v>【中級】惑乱の双神使！？</v>
      </c>
      <c r="G11" s="132" t="str">
        <f ca="1">VLOOKUP($B11&amp;"_"&amp;$E11,OFFSET([2]stages!$A$1,0,0,COUNTA([2]stages!$A:$A),MATCH(G$1,[2]stages!$2:$2,0)-MATCH("temp_stage",[2]stages!$2:$2,0)+1),MATCH(G$1,[2]stages!$2:$2,0)-MATCH("temp_stage",[2]stages!$2:$2,0)+1,FALSE)</f>
        <v>日本神話シリーズ　超級</v>
      </c>
      <c r="H11" s="134">
        <v>0</v>
      </c>
      <c r="I11">
        <v>14</v>
      </c>
      <c r="J11" s="135" t="s">
        <v>412</v>
      </c>
      <c r="K11" s="136" t="str">
        <f>VLOOKUP(I11,[6]stage_hints!$A:$C,3,FALSE)</f>
        <v>覚醒するにはレベルを最大に</v>
      </c>
      <c r="L11" s="137" t="str">
        <f>VLOOKUP(I11,[6]stage_hints!$A:$D,4,FALSE)</f>
        <v>覚醒するにはユニットのレベルを_x000D_最大まで上げる必要があります</v>
      </c>
      <c r="M11" s="54" t="s">
        <v>423</v>
      </c>
    </row>
    <row r="12" spans="1:13" x14ac:dyDescent="0.15">
      <c r="A12" s="130" t="s">
        <v>409</v>
      </c>
      <c r="B12" s="131">
        <v>30048</v>
      </c>
      <c r="C12" s="132" t="str">
        <f ca="1">VLOOKUP($B12,OFFSET([2]quests!$A$1,0,0,COUNTA([2]quests!$A:$A),MATCH(C$1,[2]quests!$1:$1,0)-MATCH($B$1,[2]quests!$1:$1,0)+1),MATCH(C$1,[2]quests!$1:$1,0)-MATCH($B$1,[2]quests!$1:$1,0)+1,FALSE)</f>
        <v>惑乱の双神使！？</v>
      </c>
      <c r="D12" s="132" t="str">
        <f ca="1">VLOOKUP($B12,OFFSET([2]quests!$A$1,0,0,COUNTA([2]quests!$A:$A),MATCH(D$1,[2]quests!$1:$1,0)-MATCH($B$1,[2]quests!$1:$1,0)+1),MATCH(D$1,[2]quests!$1:$1,0)-MATCH($B$1,[2]quests!$1:$1,0)+1,FALSE)</f>
        <v>日本神話シリーズ　超級</v>
      </c>
      <c r="E12" s="133">
        <v>1</v>
      </c>
      <c r="F12" s="132" t="str">
        <f ca="1">VLOOKUP($B12&amp;"_"&amp;$E12,OFFSET([2]stages!$A$1,0,0,COUNTA([2]stages!$A:$A),MATCH(F$1,[2]stages!$2:$2,0)-MATCH("temp_stage",[2]stages!$2:$2,0)+1),MATCH(F$1,[2]stages!$2:$2,0)-MATCH("temp_stage",[2]stages!$2:$2,0)+1,FALSE)</f>
        <v>【中級】惑乱の双神使！？</v>
      </c>
      <c r="G12" s="132" t="str">
        <f ca="1">VLOOKUP($B12&amp;"_"&amp;$E12,OFFSET([2]stages!$A$1,0,0,COUNTA([2]stages!$A:$A),MATCH(G$1,[2]stages!$2:$2,0)-MATCH("temp_stage",[2]stages!$2:$2,0)+1),MATCH(G$1,[2]stages!$2:$2,0)-MATCH("temp_stage",[2]stages!$2:$2,0)+1,FALSE)</f>
        <v>日本神話シリーズ　超級</v>
      </c>
      <c r="H12" s="134">
        <v>0</v>
      </c>
      <c r="I12">
        <v>15</v>
      </c>
      <c r="J12" s="135" t="s">
        <v>428</v>
      </c>
      <c r="K12" s="136" t="str">
        <f>VLOOKUP(I12,[6]stage_hints!$A:$C,3,FALSE)</f>
        <v>覚醒素材を獲得</v>
      </c>
      <c r="L12" s="137" t="str">
        <f>VLOOKUP(I12,[6]stage_hints!$A:$D,4,FALSE)</f>
        <v>「曜日クエスト」では_x000D_ユニットの覚醒に必要な素材が手に入ります</v>
      </c>
      <c r="M12" s="54" t="s">
        <v>415</v>
      </c>
    </row>
    <row r="13" spans="1:13" x14ac:dyDescent="0.15">
      <c r="A13" s="130" t="s">
        <v>409</v>
      </c>
      <c r="B13" s="131">
        <v>30048</v>
      </c>
      <c r="C13" s="132" t="str">
        <f ca="1">VLOOKUP($B13,OFFSET([2]quests!$A$1,0,0,COUNTA([2]quests!$A:$A),MATCH(C$1,[2]quests!$1:$1,0)-MATCH($B$1,[2]quests!$1:$1,0)+1),MATCH(C$1,[2]quests!$1:$1,0)-MATCH($B$1,[2]quests!$1:$1,0)+1,FALSE)</f>
        <v>惑乱の双神使！？</v>
      </c>
      <c r="D13" s="132" t="str">
        <f ca="1">VLOOKUP($B13,OFFSET([2]quests!$A$1,0,0,COUNTA([2]quests!$A:$A),MATCH(D$1,[2]quests!$1:$1,0)-MATCH($B$1,[2]quests!$1:$1,0)+1),MATCH(D$1,[2]quests!$1:$1,0)-MATCH($B$1,[2]quests!$1:$1,0)+1,FALSE)</f>
        <v>日本神話シリーズ　超級</v>
      </c>
      <c r="E13" s="133">
        <v>1</v>
      </c>
      <c r="F13" s="132" t="str">
        <f ca="1">VLOOKUP($B13&amp;"_"&amp;$E13,OFFSET([2]stages!$A$1,0,0,COUNTA([2]stages!$A:$A),MATCH(F$1,[2]stages!$2:$2,0)-MATCH("temp_stage",[2]stages!$2:$2,0)+1),MATCH(F$1,[2]stages!$2:$2,0)-MATCH("temp_stage",[2]stages!$2:$2,0)+1,FALSE)</f>
        <v>【中級】惑乱の双神使！？</v>
      </c>
      <c r="G13" s="132" t="str">
        <f ca="1">VLOOKUP($B13&amp;"_"&amp;$E13,OFFSET([2]stages!$A$1,0,0,COUNTA([2]stages!$A:$A),MATCH(G$1,[2]stages!$2:$2,0)-MATCH("temp_stage",[2]stages!$2:$2,0)+1),MATCH(G$1,[2]stages!$2:$2,0)-MATCH("temp_stage",[2]stages!$2:$2,0)+1,FALSE)</f>
        <v>日本神話シリーズ　超級</v>
      </c>
      <c r="H13" s="134">
        <v>0</v>
      </c>
      <c r="I13">
        <v>16</v>
      </c>
      <c r="J13" s="135" t="s">
        <v>416</v>
      </c>
      <c r="K13" s="136" t="str">
        <f>VLOOKUP(I13,[6]stage_hints!$A:$C,3,FALSE)</f>
        <v>マルチプレイのメリット（その1）</v>
      </c>
      <c r="L13" s="137" t="str">
        <f>VLOOKUP(I13,[6]stage_hints!$A:$D,4,FALSE)</f>
        <v>他のプレイヤーとマルチプレイで遊ぶと_x000D_ポリゴンがもらえます（100人まで）</v>
      </c>
      <c r="M13" s="54" t="s">
        <v>417</v>
      </c>
    </row>
    <row r="14" spans="1:13" x14ac:dyDescent="0.15">
      <c r="A14" s="130" t="s">
        <v>409</v>
      </c>
      <c r="B14" s="131">
        <v>30048</v>
      </c>
      <c r="C14" s="132" t="str">
        <f ca="1">VLOOKUP($B14,OFFSET([2]quests!$A$1,0,0,COUNTA([2]quests!$A:$A),MATCH(C$1,[2]quests!$1:$1,0)-MATCH($B$1,[2]quests!$1:$1,0)+1),MATCH(C$1,[2]quests!$1:$1,0)-MATCH($B$1,[2]quests!$1:$1,0)+1,FALSE)</f>
        <v>惑乱の双神使！？</v>
      </c>
      <c r="D14" s="132" t="str">
        <f ca="1">VLOOKUP($B14,OFFSET([2]quests!$A$1,0,0,COUNTA([2]quests!$A:$A),MATCH(D$1,[2]quests!$1:$1,0)-MATCH($B$1,[2]quests!$1:$1,0)+1),MATCH(D$1,[2]quests!$1:$1,0)-MATCH($B$1,[2]quests!$1:$1,0)+1,FALSE)</f>
        <v>日本神話シリーズ　超級</v>
      </c>
      <c r="E14" s="133">
        <v>1</v>
      </c>
      <c r="F14" s="132" t="str">
        <f ca="1">VLOOKUP($B14&amp;"_"&amp;$E14,OFFSET([2]stages!$A$1,0,0,COUNTA([2]stages!$A:$A),MATCH(F$1,[2]stages!$2:$2,0)-MATCH("temp_stage",[2]stages!$2:$2,0)+1),MATCH(F$1,[2]stages!$2:$2,0)-MATCH("temp_stage",[2]stages!$2:$2,0)+1,FALSE)</f>
        <v>【中級】惑乱の双神使！？</v>
      </c>
      <c r="G14" s="132" t="str">
        <f ca="1">VLOOKUP($B14&amp;"_"&amp;$E14,OFFSET([2]stages!$A$1,0,0,COUNTA([2]stages!$A:$A),MATCH(G$1,[2]stages!$2:$2,0)-MATCH("temp_stage",[2]stages!$2:$2,0)+1),MATCH(G$1,[2]stages!$2:$2,0)-MATCH("temp_stage",[2]stages!$2:$2,0)+1,FALSE)</f>
        <v>日本神話シリーズ　超級</v>
      </c>
      <c r="H14" s="134">
        <v>0</v>
      </c>
      <c r="I14">
        <v>17</v>
      </c>
      <c r="J14" s="135" t="s">
        <v>414</v>
      </c>
      <c r="K14" s="136" t="str">
        <f>VLOOKUP(I14,[6]stage_hints!$A:$C,3,FALSE)</f>
        <v>リンクガチャ</v>
      </c>
      <c r="L14" s="137" t="str">
        <f>VLOOKUP(I14,[6]stage_hints!$A:$D,4,FALSE)</f>
        <v>無料のリンクガチャを回して_x000D_経験値素材や売却素材を獲得しましょう</v>
      </c>
      <c r="M14" s="54" t="s">
        <v>423</v>
      </c>
    </row>
    <row r="15" spans="1:13" x14ac:dyDescent="0.15">
      <c r="A15" s="130" t="s">
        <v>409</v>
      </c>
      <c r="B15" s="131">
        <v>30048</v>
      </c>
      <c r="C15" s="132" t="str">
        <f ca="1">VLOOKUP($B15,OFFSET([2]quests!$A$1,0,0,COUNTA([2]quests!$A:$A),MATCH(C$1,[2]quests!$1:$1,0)-MATCH($B$1,[2]quests!$1:$1,0)+1),MATCH(C$1,[2]quests!$1:$1,0)-MATCH($B$1,[2]quests!$1:$1,0)+1,FALSE)</f>
        <v>惑乱の双神使！？</v>
      </c>
      <c r="D15" s="132" t="str">
        <f ca="1">VLOOKUP($B15,OFFSET([2]quests!$A$1,0,0,COUNTA([2]quests!$A:$A),MATCH(D$1,[2]quests!$1:$1,0)-MATCH($B$1,[2]quests!$1:$1,0)+1),MATCH(D$1,[2]quests!$1:$1,0)-MATCH($B$1,[2]quests!$1:$1,0)+1,FALSE)</f>
        <v>日本神話シリーズ　超級</v>
      </c>
      <c r="E15" s="133">
        <v>1</v>
      </c>
      <c r="F15" s="132" t="str">
        <f ca="1">VLOOKUP($B15&amp;"_"&amp;$E15,OFFSET([2]stages!$A$1,0,0,COUNTA([2]stages!$A:$A),MATCH(F$1,[2]stages!$2:$2,0)-MATCH("temp_stage",[2]stages!$2:$2,0)+1),MATCH(F$1,[2]stages!$2:$2,0)-MATCH("temp_stage",[2]stages!$2:$2,0)+1,FALSE)</f>
        <v>【中級】惑乱の双神使！？</v>
      </c>
      <c r="G15" s="132" t="str">
        <f ca="1">VLOOKUP($B15&amp;"_"&amp;$E15,OFFSET([2]stages!$A$1,0,0,COUNTA([2]stages!$A:$A),MATCH(G$1,[2]stages!$2:$2,0)-MATCH("temp_stage",[2]stages!$2:$2,0)+1),MATCH(G$1,[2]stages!$2:$2,0)-MATCH("temp_stage",[2]stages!$2:$2,0)+1,FALSE)</f>
        <v>日本神話シリーズ　超級</v>
      </c>
      <c r="H15" s="134">
        <v>0</v>
      </c>
      <c r="I15">
        <v>18</v>
      </c>
      <c r="J15" s="135" t="s">
        <v>416</v>
      </c>
      <c r="K15" s="136" t="str">
        <f>VLOOKUP(I15,[6]stage_hints!$A:$C,3,FALSE)</f>
        <v>マルチプレイのメリット（その2）</v>
      </c>
      <c r="L15" s="137" t="str">
        <f>VLOOKUP(I15,[6]stage_hints!$A:$D,4,FALSE)</f>
        <v>マルチプレイならリンクが2倍もらえます_x000D_リンクガチャをたくさん回しましょう</v>
      </c>
      <c r="M15" s="54" t="s">
        <v>417</v>
      </c>
    </row>
    <row r="16" spans="1:13" x14ac:dyDescent="0.15">
      <c r="A16" s="130" t="s">
        <v>409</v>
      </c>
      <c r="B16" s="131">
        <v>30048</v>
      </c>
      <c r="C16" s="132" t="str">
        <f ca="1">VLOOKUP($B16,OFFSET([2]quests!$A$1,0,0,COUNTA([2]quests!$A:$A),MATCH(C$1,[2]quests!$1:$1,0)-MATCH($B$1,[2]quests!$1:$1,0)+1),MATCH(C$1,[2]quests!$1:$1,0)-MATCH($B$1,[2]quests!$1:$1,0)+1,FALSE)</f>
        <v>惑乱の双神使！？</v>
      </c>
      <c r="D16" s="132" t="str">
        <f ca="1">VLOOKUP($B16,OFFSET([2]quests!$A$1,0,0,COUNTA([2]quests!$A:$A),MATCH(D$1,[2]quests!$1:$1,0)-MATCH($B$1,[2]quests!$1:$1,0)+1),MATCH(D$1,[2]quests!$1:$1,0)-MATCH($B$1,[2]quests!$1:$1,0)+1,FALSE)</f>
        <v>日本神話シリーズ　超級</v>
      </c>
      <c r="E16" s="133">
        <v>1</v>
      </c>
      <c r="F16" s="132" t="str">
        <f ca="1">VLOOKUP($B16&amp;"_"&amp;$E16,OFFSET([2]stages!$A$1,0,0,COUNTA([2]stages!$A:$A),MATCH(F$1,[2]stages!$2:$2,0)-MATCH("temp_stage",[2]stages!$2:$2,0)+1),MATCH(F$1,[2]stages!$2:$2,0)-MATCH("temp_stage",[2]stages!$2:$2,0)+1,FALSE)</f>
        <v>【中級】惑乱の双神使！？</v>
      </c>
      <c r="G16" s="132" t="str">
        <f ca="1">VLOOKUP($B16&amp;"_"&amp;$E16,OFFSET([2]stages!$A$1,0,0,COUNTA([2]stages!$A:$A),MATCH(G$1,[2]stages!$2:$2,0)-MATCH("temp_stage",[2]stages!$2:$2,0)+1),MATCH(G$1,[2]stages!$2:$2,0)-MATCH("temp_stage",[2]stages!$2:$2,0)+1,FALSE)</f>
        <v>日本神話シリーズ　超級</v>
      </c>
      <c r="H16" s="134">
        <v>0</v>
      </c>
      <c r="I16">
        <v>19</v>
      </c>
      <c r="J16" s="135" t="s">
        <v>416</v>
      </c>
      <c r="K16" s="136" t="str">
        <f>VLOOKUP(I16,[6]stage_hints!$A:$C,3,FALSE)</f>
        <v>ソロ専用タワーオブザクイーン</v>
      </c>
      <c r="L16" s="137" t="str">
        <f>VLOOKUP(I16,[6]stage_hints!$A:$D,4,FALSE)</f>
        <v>ソロ専用の「タワーオブザクイーン」は_x000D_期間限定で定期的に開催されます_x000D_ここでしか獲得できない報酬もあるようです</v>
      </c>
      <c r="M16" s="54" t="s">
        <v>417</v>
      </c>
    </row>
    <row r="17" spans="1:13" x14ac:dyDescent="0.15">
      <c r="A17" s="130" t="s">
        <v>409</v>
      </c>
      <c r="B17" s="131">
        <v>30048</v>
      </c>
      <c r="C17" s="132" t="str">
        <f ca="1">VLOOKUP($B17,OFFSET([2]quests!$A$1,0,0,COUNTA([2]quests!$A:$A),MATCH(C$1,[2]quests!$1:$1,0)-MATCH($B$1,[2]quests!$1:$1,0)+1),MATCH(C$1,[2]quests!$1:$1,0)-MATCH($B$1,[2]quests!$1:$1,0)+1,FALSE)</f>
        <v>惑乱の双神使！？</v>
      </c>
      <c r="D17" s="132" t="str">
        <f ca="1">VLOOKUP($B17,OFFSET([2]quests!$A$1,0,0,COUNTA([2]quests!$A:$A),MATCH(D$1,[2]quests!$1:$1,0)-MATCH($B$1,[2]quests!$1:$1,0)+1),MATCH(D$1,[2]quests!$1:$1,0)-MATCH($B$1,[2]quests!$1:$1,0)+1,FALSE)</f>
        <v>日本神話シリーズ　超級</v>
      </c>
      <c r="E17" s="133">
        <v>1</v>
      </c>
      <c r="F17" s="132" t="str">
        <f ca="1">VLOOKUP($B17&amp;"_"&amp;$E17,OFFSET([2]stages!$A$1,0,0,COUNTA([2]stages!$A:$A),MATCH(F$1,[2]stages!$2:$2,0)-MATCH("temp_stage",[2]stages!$2:$2,0)+1),MATCH(F$1,[2]stages!$2:$2,0)-MATCH("temp_stage",[2]stages!$2:$2,0)+1,FALSE)</f>
        <v>【中級】惑乱の双神使！？</v>
      </c>
      <c r="G17" s="132" t="str">
        <f ca="1">VLOOKUP($B17&amp;"_"&amp;$E17,OFFSET([2]stages!$A$1,0,0,COUNTA([2]stages!$A:$A),MATCH(G$1,[2]stages!$2:$2,0)-MATCH("temp_stage",[2]stages!$2:$2,0)+1),MATCH(G$1,[2]stages!$2:$2,0)-MATCH("temp_stage",[2]stages!$2:$2,0)+1,FALSE)</f>
        <v>日本神話シリーズ　超級</v>
      </c>
      <c r="H17" s="134">
        <v>0</v>
      </c>
      <c r="I17">
        <v>20</v>
      </c>
      <c r="J17" s="135" t="s">
        <v>416</v>
      </c>
      <c r="K17" s="136" t="str">
        <f>VLOOKUP(I17,[6]stage_hints!$A:$C,3,FALSE)</f>
        <v>マルチプレイのメリット（その3）</v>
      </c>
      <c r="L17" s="137" t="str">
        <f>VLOOKUP(I17,[6]stage_hints!$A:$D,4,FALSE)</f>
        <v>マルチプレイへの参加はエナジー消費ゼロ_x000D_いつでも好きなだけ遊ぶことができます</v>
      </c>
      <c r="M17" s="54" t="s">
        <v>417</v>
      </c>
    </row>
    <row r="18" spans="1:13" x14ac:dyDescent="0.15">
      <c r="A18" s="130" t="s">
        <v>409</v>
      </c>
      <c r="B18" s="131">
        <v>30048</v>
      </c>
      <c r="C18" s="132" t="str">
        <f ca="1">VLOOKUP($B18,OFFSET([2]quests!$A$1,0,0,COUNTA([2]quests!$A:$A),MATCH(C$1,[2]quests!$1:$1,0)-MATCH($B$1,[2]quests!$1:$1,0)+1),MATCH(C$1,[2]quests!$1:$1,0)-MATCH($B$1,[2]quests!$1:$1,0)+1,FALSE)</f>
        <v>惑乱の双神使！？</v>
      </c>
      <c r="D18" s="132" t="str">
        <f ca="1">VLOOKUP($B18,OFFSET([2]quests!$A$1,0,0,COUNTA([2]quests!$A:$A),MATCH(D$1,[2]quests!$1:$1,0)-MATCH($B$1,[2]quests!$1:$1,0)+1),MATCH(D$1,[2]quests!$1:$1,0)-MATCH($B$1,[2]quests!$1:$1,0)+1,FALSE)</f>
        <v>日本神話シリーズ　超級</v>
      </c>
      <c r="E18" s="133">
        <v>1</v>
      </c>
      <c r="F18" s="132" t="str">
        <f ca="1">VLOOKUP($B18&amp;"_"&amp;$E18,OFFSET([2]stages!$A$1,0,0,COUNTA([2]stages!$A:$A),MATCH(F$1,[2]stages!$2:$2,0)-MATCH("temp_stage",[2]stages!$2:$2,0)+1),MATCH(F$1,[2]stages!$2:$2,0)-MATCH("temp_stage",[2]stages!$2:$2,0)+1,FALSE)</f>
        <v>【中級】惑乱の双神使！？</v>
      </c>
      <c r="G18" s="132" t="str">
        <f ca="1">VLOOKUP($B18&amp;"_"&amp;$E18,OFFSET([2]stages!$A$1,0,0,COUNTA([2]stages!$A:$A),MATCH(G$1,[2]stages!$2:$2,0)-MATCH("temp_stage",[2]stages!$2:$2,0)+1),MATCH(G$1,[2]stages!$2:$2,0)-MATCH("temp_stage",[2]stages!$2:$2,0)+1,FALSE)</f>
        <v>日本神話シリーズ　超級</v>
      </c>
      <c r="H18" s="134">
        <v>0</v>
      </c>
      <c r="I18">
        <v>21</v>
      </c>
      <c r="J18" s="135" t="s">
        <v>410</v>
      </c>
      <c r="K18" s="136" t="str">
        <f>VLOOKUP(I18,[6]stage_hints!$A:$C,3,FALSE)</f>
        <v>スキルを有効に</v>
      </c>
      <c r="L18" s="137" t="str">
        <f>VLOOKUP(I18,[6]stage_hints!$A:$D,4,FALSE)</f>
        <v>ターン経過でユニットのスキルが使えます_x000D_強力スキルでバトルを有利に進めましょう</v>
      </c>
      <c r="M18" s="54" t="s">
        <v>421</v>
      </c>
    </row>
    <row r="19" spans="1:13" x14ac:dyDescent="0.15">
      <c r="A19" s="130" t="s">
        <v>409</v>
      </c>
      <c r="B19" s="131">
        <v>30048</v>
      </c>
      <c r="C19" s="132" t="str">
        <f ca="1">VLOOKUP($B19,OFFSET([2]quests!$A$1,0,0,COUNTA([2]quests!$A:$A),MATCH(C$1,[2]quests!$1:$1,0)-MATCH($B$1,[2]quests!$1:$1,0)+1),MATCH(C$1,[2]quests!$1:$1,0)-MATCH($B$1,[2]quests!$1:$1,0)+1,FALSE)</f>
        <v>惑乱の双神使！？</v>
      </c>
      <c r="D19" s="132" t="str">
        <f ca="1">VLOOKUP($B19,OFFSET([2]quests!$A$1,0,0,COUNTA([2]quests!$A:$A),MATCH(D$1,[2]quests!$1:$1,0)-MATCH($B$1,[2]quests!$1:$1,0)+1),MATCH(D$1,[2]quests!$1:$1,0)-MATCH($B$1,[2]quests!$1:$1,0)+1,FALSE)</f>
        <v>日本神話シリーズ　超級</v>
      </c>
      <c r="E19" s="133">
        <v>1</v>
      </c>
      <c r="F19" s="132" t="str">
        <f ca="1">VLOOKUP($B19&amp;"_"&amp;$E19,OFFSET([2]stages!$A$1,0,0,COUNTA([2]stages!$A:$A),MATCH(F$1,[2]stages!$2:$2,0)-MATCH("temp_stage",[2]stages!$2:$2,0)+1),MATCH(F$1,[2]stages!$2:$2,0)-MATCH("temp_stage",[2]stages!$2:$2,0)+1,FALSE)</f>
        <v>【中級】惑乱の双神使！？</v>
      </c>
      <c r="G19" s="132" t="str">
        <f ca="1">VLOOKUP($B19&amp;"_"&amp;$E19,OFFSET([2]stages!$A$1,0,0,COUNTA([2]stages!$A:$A),MATCH(G$1,[2]stages!$2:$2,0)-MATCH("temp_stage",[2]stages!$2:$2,0)+1),MATCH(G$1,[2]stages!$2:$2,0)-MATCH("temp_stage",[2]stages!$2:$2,0)+1,FALSE)</f>
        <v>日本神話シリーズ　超級</v>
      </c>
      <c r="H19" s="134">
        <v>0</v>
      </c>
      <c r="I19">
        <v>22</v>
      </c>
      <c r="J19" s="135" t="s">
        <v>429</v>
      </c>
      <c r="K19" s="136" t="str">
        <f>VLOOKUP(I19,[6]stage_hints!$A:$C,3,FALSE)</f>
        <v>フィーバーで一発逆転（その1）</v>
      </c>
      <c r="L19" s="137" t="str">
        <f>VLOOKUP(I19,[6]stage_hints!$A:$D,4,FALSE)</f>
        <v>フィーバーは攻撃と回復を兼ね備えます_x000D_ピンチからの一発逆転を狙いましょう</v>
      </c>
      <c r="M19" s="54" t="s">
        <v>430</v>
      </c>
    </row>
    <row r="20" spans="1:13" x14ac:dyDescent="0.15">
      <c r="A20" s="130" t="s">
        <v>409</v>
      </c>
      <c r="B20" s="131">
        <v>30048</v>
      </c>
      <c r="C20" s="132" t="str">
        <f ca="1">VLOOKUP($B20,OFFSET([2]quests!$A$1,0,0,COUNTA([2]quests!$A:$A),MATCH(C$1,[2]quests!$1:$1,0)-MATCH($B$1,[2]quests!$1:$1,0)+1),MATCH(C$1,[2]quests!$1:$1,0)-MATCH($B$1,[2]quests!$1:$1,0)+1,FALSE)</f>
        <v>惑乱の双神使！？</v>
      </c>
      <c r="D20" s="132" t="str">
        <f ca="1">VLOOKUP($B20,OFFSET([2]quests!$A$1,0,0,COUNTA([2]quests!$A:$A),MATCH(D$1,[2]quests!$1:$1,0)-MATCH($B$1,[2]quests!$1:$1,0)+1),MATCH(D$1,[2]quests!$1:$1,0)-MATCH($B$1,[2]quests!$1:$1,0)+1,FALSE)</f>
        <v>日本神話シリーズ　超級</v>
      </c>
      <c r="E20" s="133">
        <v>1</v>
      </c>
      <c r="F20" s="132" t="str">
        <f ca="1">VLOOKUP($B20&amp;"_"&amp;$E20,OFFSET([2]stages!$A$1,0,0,COUNTA([2]stages!$A:$A),MATCH(F$1,[2]stages!$2:$2,0)-MATCH("temp_stage",[2]stages!$2:$2,0)+1),MATCH(F$1,[2]stages!$2:$2,0)-MATCH("temp_stage",[2]stages!$2:$2,0)+1,FALSE)</f>
        <v>【中級】惑乱の双神使！？</v>
      </c>
      <c r="G20" s="132" t="str">
        <f ca="1">VLOOKUP($B20&amp;"_"&amp;$E20,OFFSET([2]stages!$A$1,0,0,COUNTA([2]stages!$A:$A),MATCH(G$1,[2]stages!$2:$2,0)-MATCH("temp_stage",[2]stages!$2:$2,0)+1),MATCH(G$1,[2]stages!$2:$2,0)-MATCH("temp_stage",[2]stages!$2:$2,0)+1,FALSE)</f>
        <v>日本神話シリーズ　超級</v>
      </c>
      <c r="H20" s="134">
        <v>0</v>
      </c>
      <c r="I20">
        <v>23</v>
      </c>
      <c r="J20" s="135" t="s">
        <v>426</v>
      </c>
      <c r="K20" s="136" t="str">
        <f>VLOOKUP(I20,[6]stage_hints!$A:$C,3,FALSE)</f>
        <v>フィーバーで一発逆転（その2）</v>
      </c>
      <c r="L20" s="137" t="str">
        <f>VLOOKUP(I20,[6]stage_hints!$A:$D,4,FALSE)</f>
        <v>フィーバー中は虹色のボムパネルを狙って_x000D_画面上のパネルを一気に破壊しましょう</v>
      </c>
      <c r="M20" s="54" t="s">
        <v>427</v>
      </c>
    </row>
    <row r="21" spans="1:13" x14ac:dyDescent="0.15">
      <c r="A21" s="130" t="s">
        <v>409</v>
      </c>
      <c r="B21" s="131">
        <v>30048</v>
      </c>
      <c r="C21" s="132" t="str">
        <f ca="1">VLOOKUP($B21,OFFSET([2]quests!$A$1,0,0,COUNTA([2]quests!$A:$A),MATCH(C$1,[2]quests!$1:$1,0)-MATCH($B$1,[2]quests!$1:$1,0)+1),MATCH(C$1,[2]quests!$1:$1,0)-MATCH($B$1,[2]quests!$1:$1,0)+1,FALSE)</f>
        <v>惑乱の双神使！？</v>
      </c>
      <c r="D21" s="132" t="str">
        <f ca="1">VLOOKUP($B21,OFFSET([2]quests!$A$1,0,0,COUNTA([2]quests!$A:$A),MATCH(D$1,[2]quests!$1:$1,0)-MATCH($B$1,[2]quests!$1:$1,0)+1),MATCH(D$1,[2]quests!$1:$1,0)-MATCH($B$1,[2]quests!$1:$1,0)+1,FALSE)</f>
        <v>日本神話シリーズ　超級</v>
      </c>
      <c r="E21" s="133">
        <v>1</v>
      </c>
      <c r="F21" s="132" t="str">
        <f ca="1">VLOOKUP($B21&amp;"_"&amp;$E21,OFFSET([2]stages!$A$1,0,0,COUNTA([2]stages!$A:$A),MATCH(F$1,[2]stages!$2:$2,0)-MATCH("temp_stage",[2]stages!$2:$2,0)+1),MATCH(F$1,[2]stages!$2:$2,0)-MATCH("temp_stage",[2]stages!$2:$2,0)+1,FALSE)</f>
        <v>【中級】惑乱の双神使！？</v>
      </c>
      <c r="G21" s="132" t="str">
        <f ca="1">VLOOKUP($B21&amp;"_"&amp;$E21,OFFSET([2]stages!$A$1,0,0,COUNTA([2]stages!$A:$A),MATCH(G$1,[2]stages!$2:$2,0)-MATCH("temp_stage",[2]stages!$2:$2,0)+1),MATCH(G$1,[2]stages!$2:$2,0)-MATCH("temp_stage",[2]stages!$2:$2,0)+1,FALSE)</f>
        <v>日本神話シリーズ　超級</v>
      </c>
      <c r="H21" s="134">
        <v>0</v>
      </c>
      <c r="I21">
        <v>24</v>
      </c>
      <c r="J21" s="135" t="s">
        <v>431</v>
      </c>
      <c r="K21" s="136" t="str">
        <f>VLOOKUP(I21,[6]stage_hints!$A:$C,3,FALSE)</f>
        <v>果実を使って限界突破</v>
      </c>
      <c r="L21" s="137" t="str">
        <f>VLOOKUP(I21,[6]stage_hints!$A:$D,4,FALSE)</f>
        <v>攻めの果実 癒しの果実_x000D_生命の果実をユニット強化に使うと_x000D_ステータスが限界突破します（計99個迄）</v>
      </c>
      <c r="M21" s="54" t="s">
        <v>432</v>
      </c>
    </row>
    <row r="22" spans="1:13" x14ac:dyDescent="0.15">
      <c r="A22" s="130" t="s">
        <v>409</v>
      </c>
      <c r="B22" s="131">
        <v>30048</v>
      </c>
      <c r="C22" s="132" t="str">
        <f ca="1">VLOOKUP($B22,OFFSET([2]quests!$A$1,0,0,COUNTA([2]quests!$A:$A),MATCH(C$1,[2]quests!$1:$1,0)-MATCH($B$1,[2]quests!$1:$1,0)+1),MATCH(C$1,[2]quests!$1:$1,0)-MATCH($B$1,[2]quests!$1:$1,0)+1,FALSE)</f>
        <v>惑乱の双神使！？</v>
      </c>
      <c r="D22" s="132" t="str">
        <f ca="1">VLOOKUP($B22,OFFSET([2]quests!$A$1,0,0,COUNTA([2]quests!$A:$A),MATCH(D$1,[2]quests!$1:$1,0)-MATCH($B$1,[2]quests!$1:$1,0)+1),MATCH(D$1,[2]quests!$1:$1,0)-MATCH($B$1,[2]quests!$1:$1,0)+1,FALSE)</f>
        <v>日本神話シリーズ　超級</v>
      </c>
      <c r="E22" s="133">
        <v>1</v>
      </c>
      <c r="F22" s="132" t="str">
        <f ca="1">VLOOKUP($B22&amp;"_"&amp;$E22,OFFSET([2]stages!$A$1,0,0,COUNTA([2]stages!$A:$A),MATCH(F$1,[2]stages!$2:$2,0)-MATCH("temp_stage",[2]stages!$2:$2,0)+1),MATCH(F$1,[2]stages!$2:$2,0)-MATCH("temp_stage",[2]stages!$2:$2,0)+1,FALSE)</f>
        <v>【中級】惑乱の双神使！？</v>
      </c>
      <c r="G22" s="132" t="str">
        <f ca="1">VLOOKUP($B22&amp;"_"&amp;$E22,OFFSET([2]stages!$A$1,0,0,COUNTA([2]stages!$A:$A),MATCH(G$1,[2]stages!$2:$2,0)-MATCH("temp_stage",[2]stages!$2:$2,0)+1),MATCH(G$1,[2]stages!$2:$2,0)-MATCH("temp_stage",[2]stages!$2:$2,0)+1,FALSE)</f>
        <v>日本神話シリーズ　超級</v>
      </c>
      <c r="H22" s="134">
        <v>0</v>
      </c>
      <c r="I22">
        <v>25</v>
      </c>
      <c r="J22" s="135" t="s">
        <v>433</v>
      </c>
      <c r="K22" s="136" t="str">
        <f>VLOOKUP(I22,[6]stage_hints!$A:$C,3,FALSE)</f>
        <v>スキルレベルアップ</v>
      </c>
      <c r="L22" s="137" t="str">
        <f>VLOOKUP(I22,[6]stage_hints!$A:$D,4,FALSE)</f>
        <v>「秘術の果実」を強化に使うと_x000D_スキルレベルを上げることができます</v>
      </c>
      <c r="M22" s="54" t="s">
        <v>434</v>
      </c>
    </row>
    <row r="23" spans="1:13" x14ac:dyDescent="0.15">
      <c r="A23" s="130" t="s">
        <v>409</v>
      </c>
      <c r="B23" s="131">
        <v>30048</v>
      </c>
      <c r="C23" s="132" t="str">
        <f ca="1">VLOOKUP($B23,OFFSET([2]quests!$A$1,0,0,COUNTA([2]quests!$A:$A),MATCH(C$1,[2]quests!$1:$1,0)-MATCH($B$1,[2]quests!$1:$1,0)+1),MATCH(C$1,[2]quests!$1:$1,0)-MATCH($B$1,[2]quests!$1:$1,0)+1,FALSE)</f>
        <v>惑乱の双神使！？</v>
      </c>
      <c r="D23" s="132" t="str">
        <f ca="1">VLOOKUP($B23,OFFSET([2]quests!$A$1,0,0,COUNTA([2]quests!$A:$A),MATCH(D$1,[2]quests!$1:$1,0)-MATCH($B$1,[2]quests!$1:$1,0)+1),MATCH(D$1,[2]quests!$1:$1,0)-MATCH($B$1,[2]quests!$1:$1,0)+1,FALSE)</f>
        <v>日本神話シリーズ　超級</v>
      </c>
      <c r="E23" s="133">
        <v>1</v>
      </c>
      <c r="F23" s="132" t="str">
        <f ca="1">VLOOKUP($B23&amp;"_"&amp;$E23,OFFSET([2]stages!$A$1,0,0,COUNTA([2]stages!$A:$A),MATCH(F$1,[2]stages!$2:$2,0)-MATCH("temp_stage",[2]stages!$2:$2,0)+1),MATCH(F$1,[2]stages!$2:$2,0)-MATCH("temp_stage",[2]stages!$2:$2,0)+1,FALSE)</f>
        <v>【中級】惑乱の双神使！？</v>
      </c>
      <c r="G23" s="132" t="str">
        <f ca="1">VLOOKUP($B23&amp;"_"&amp;$E23,OFFSET([2]stages!$A$1,0,0,COUNTA([2]stages!$A:$A),MATCH(G$1,[2]stages!$2:$2,0)-MATCH("temp_stage",[2]stages!$2:$2,0)+1),MATCH(G$1,[2]stages!$2:$2,0)-MATCH("temp_stage",[2]stages!$2:$2,0)+1,FALSE)</f>
        <v>日本神話シリーズ　超級</v>
      </c>
      <c r="H23" s="134">
        <v>0</v>
      </c>
      <c r="I23">
        <v>26</v>
      </c>
      <c r="J23" s="135" t="s">
        <v>414</v>
      </c>
      <c r="K23" s="136" t="str">
        <f>VLOOKUP(I23,[6]stage_hints!$A:$C,3,FALSE)</f>
        <v>スキルレベルの効果</v>
      </c>
      <c r="L23" s="137" t="str">
        <f>VLOOKUP(I23,[6]stage_hints!$A:$D,4,FALSE)</f>
        <v>スキルレベルが上がると_x000D_短いターンでスキルを使うことができます</v>
      </c>
      <c r="M23" s="54" t="s">
        <v>415</v>
      </c>
    </row>
    <row r="24" spans="1:13" x14ac:dyDescent="0.15">
      <c r="A24" s="130" t="s">
        <v>409</v>
      </c>
      <c r="B24" s="131">
        <v>30048</v>
      </c>
      <c r="C24" s="132" t="str">
        <f ca="1">VLOOKUP($B24,OFFSET([2]quests!$A$1,0,0,COUNTA([2]quests!$A:$A),MATCH(C$1,[2]quests!$1:$1,0)-MATCH($B$1,[2]quests!$1:$1,0)+1),MATCH(C$1,[2]quests!$1:$1,0)-MATCH($B$1,[2]quests!$1:$1,0)+1,FALSE)</f>
        <v>惑乱の双神使！？</v>
      </c>
      <c r="D24" s="132" t="str">
        <f ca="1">VLOOKUP($B24,OFFSET([2]quests!$A$1,0,0,COUNTA([2]quests!$A:$A),MATCH(D$1,[2]quests!$1:$1,0)-MATCH($B$1,[2]quests!$1:$1,0)+1),MATCH(D$1,[2]quests!$1:$1,0)-MATCH($B$1,[2]quests!$1:$1,0)+1,FALSE)</f>
        <v>日本神話シリーズ　超級</v>
      </c>
      <c r="E24" s="133">
        <v>1</v>
      </c>
      <c r="F24" s="132" t="str">
        <f ca="1">VLOOKUP($B24&amp;"_"&amp;$E24,OFFSET([2]stages!$A$1,0,0,COUNTA([2]stages!$A:$A),MATCH(F$1,[2]stages!$2:$2,0)-MATCH("temp_stage",[2]stages!$2:$2,0)+1),MATCH(F$1,[2]stages!$2:$2,0)-MATCH("temp_stage",[2]stages!$2:$2,0)+1,FALSE)</f>
        <v>【中級】惑乱の双神使！？</v>
      </c>
      <c r="G24" s="132" t="str">
        <f ca="1">VLOOKUP($B24&amp;"_"&amp;$E24,OFFSET([2]stages!$A$1,0,0,COUNTA([2]stages!$A:$A),MATCH(G$1,[2]stages!$2:$2,0)-MATCH("temp_stage",[2]stages!$2:$2,0)+1),MATCH(G$1,[2]stages!$2:$2,0)-MATCH("temp_stage",[2]stages!$2:$2,0)+1,FALSE)</f>
        <v>日本神話シリーズ　超級</v>
      </c>
      <c r="H24" s="134">
        <v>0</v>
      </c>
      <c r="I24">
        <v>27</v>
      </c>
      <c r="J24" s="135" t="s">
        <v>418</v>
      </c>
      <c r="K24" s="136" t="str">
        <f>VLOOKUP(I24,[6]stage_hints!$A:$C,3,FALSE)</f>
        <v>ホーム画面からデッキを編成</v>
      </c>
      <c r="L24" s="137" t="str">
        <f>VLOOKUP(I24,[6]stage_hints!$A:$D,4,FALSE)</f>
        <v>ホーム画面でユニットを長押しすると_x000D_すぐにパーティ編成に移動できます</v>
      </c>
      <c r="M24" s="54" t="s">
        <v>419</v>
      </c>
    </row>
    <row r="25" spans="1:13" x14ac:dyDescent="0.15">
      <c r="A25" s="130" t="s">
        <v>409</v>
      </c>
      <c r="B25" s="131">
        <v>30048</v>
      </c>
      <c r="C25" s="132" t="str">
        <f ca="1">VLOOKUP($B25,OFFSET([2]quests!$A$1,0,0,COUNTA([2]quests!$A:$A),MATCH(C$1,[2]quests!$1:$1,0)-MATCH($B$1,[2]quests!$1:$1,0)+1),MATCH(C$1,[2]quests!$1:$1,0)-MATCH($B$1,[2]quests!$1:$1,0)+1,FALSE)</f>
        <v>惑乱の双神使！？</v>
      </c>
      <c r="D25" s="132" t="str">
        <f ca="1">VLOOKUP($B25,OFFSET([2]quests!$A$1,0,0,COUNTA([2]quests!$A:$A),MATCH(D$1,[2]quests!$1:$1,0)-MATCH($B$1,[2]quests!$1:$1,0)+1),MATCH(D$1,[2]quests!$1:$1,0)-MATCH($B$1,[2]quests!$1:$1,0)+1,FALSE)</f>
        <v>日本神話シリーズ　超級</v>
      </c>
      <c r="E25" s="133">
        <v>1</v>
      </c>
      <c r="F25" s="132" t="str">
        <f ca="1">VLOOKUP($B25&amp;"_"&amp;$E25,OFFSET([2]stages!$A$1,0,0,COUNTA([2]stages!$A:$A),MATCH(F$1,[2]stages!$2:$2,0)-MATCH("temp_stage",[2]stages!$2:$2,0)+1),MATCH(F$1,[2]stages!$2:$2,0)-MATCH("temp_stage",[2]stages!$2:$2,0)+1,FALSE)</f>
        <v>【中級】惑乱の双神使！？</v>
      </c>
      <c r="G25" s="132" t="str">
        <f ca="1">VLOOKUP($B25&amp;"_"&amp;$E25,OFFSET([2]stages!$A$1,0,0,COUNTA([2]stages!$A:$A),MATCH(G$1,[2]stages!$2:$2,0)-MATCH("temp_stage",[2]stages!$2:$2,0)+1),MATCH(G$1,[2]stages!$2:$2,0)-MATCH("temp_stage",[2]stages!$2:$2,0)+1,FALSE)</f>
        <v>日本神話シリーズ　超級</v>
      </c>
      <c r="H25" s="134">
        <v>0</v>
      </c>
      <c r="I25">
        <v>28</v>
      </c>
      <c r="J25" s="135" t="s">
        <v>414</v>
      </c>
      <c r="K25" s="136" t="str">
        <f>VLOOKUP(I25,[6]stage_hints!$A:$C,3,FALSE)</f>
        <v>ステータス情報は長押しで</v>
      </c>
      <c r="L25" s="137" t="str">
        <f>VLOOKUP(I25,[6]stage_hints!$A:$D,4,FALSE)</f>
        <v>ユニットのアイコンを長押しすると_x000D_ステータス情報を確認することができます</v>
      </c>
      <c r="M25" s="54" t="s">
        <v>415</v>
      </c>
    </row>
    <row r="26" spans="1:13" x14ac:dyDescent="0.15">
      <c r="A26" s="130" t="s">
        <v>409</v>
      </c>
      <c r="B26" s="131">
        <v>30048</v>
      </c>
      <c r="C26" s="132" t="str">
        <f ca="1">VLOOKUP($B26,OFFSET([2]quests!$A$1,0,0,COUNTA([2]quests!$A:$A),MATCH(C$1,[2]quests!$1:$1,0)-MATCH($B$1,[2]quests!$1:$1,0)+1),MATCH(C$1,[2]quests!$1:$1,0)-MATCH($B$1,[2]quests!$1:$1,0)+1,FALSE)</f>
        <v>惑乱の双神使！？</v>
      </c>
      <c r="D26" s="132" t="str">
        <f ca="1">VLOOKUP($B26,OFFSET([2]quests!$A$1,0,0,COUNTA([2]quests!$A:$A),MATCH(D$1,[2]quests!$1:$1,0)-MATCH($B$1,[2]quests!$1:$1,0)+1),MATCH(D$1,[2]quests!$1:$1,0)-MATCH($B$1,[2]quests!$1:$1,0)+1,FALSE)</f>
        <v>日本神話シリーズ　超級</v>
      </c>
      <c r="E26" s="133">
        <v>1</v>
      </c>
      <c r="F26" s="132" t="str">
        <f ca="1">VLOOKUP($B26&amp;"_"&amp;$E26,OFFSET([2]stages!$A$1,0,0,COUNTA([2]stages!$A:$A),MATCH(F$1,[2]stages!$2:$2,0)-MATCH("temp_stage",[2]stages!$2:$2,0)+1),MATCH(F$1,[2]stages!$2:$2,0)-MATCH("temp_stage",[2]stages!$2:$2,0)+1,FALSE)</f>
        <v>【中級】惑乱の双神使！？</v>
      </c>
      <c r="G26" s="132" t="str">
        <f ca="1">VLOOKUP($B26&amp;"_"&amp;$E26,OFFSET([2]stages!$A$1,0,0,COUNTA([2]stages!$A:$A),MATCH(G$1,[2]stages!$2:$2,0)-MATCH("temp_stage",[2]stages!$2:$2,0)+1),MATCH(G$1,[2]stages!$2:$2,0)-MATCH("temp_stage",[2]stages!$2:$2,0)+1,FALSE)</f>
        <v>日本神話シリーズ　超級</v>
      </c>
      <c r="H26" s="134">
        <v>0</v>
      </c>
      <c r="I26">
        <v>29</v>
      </c>
      <c r="J26" s="135" t="s">
        <v>426</v>
      </c>
      <c r="K26" s="136" t="str">
        <f>VLOOKUP(I26,[6]stage_hints!$A:$C,3,FALSE)</f>
        <v>「バグ」のメリット</v>
      </c>
      <c r="L26" s="137" t="str">
        <f>VLOOKUP(I26,[6]stage_hints!$A:$D,4,FALSE)</f>
        <v>ユニットの「バグ」を増やすと_x000D_報酬をもらえる確率がアップします</v>
      </c>
      <c r="M26" s="54" t="s">
        <v>427</v>
      </c>
    </row>
    <row r="27" spans="1:13" x14ac:dyDescent="0.15">
      <c r="A27" s="130" t="s">
        <v>409</v>
      </c>
      <c r="B27" s="131">
        <v>30048</v>
      </c>
      <c r="C27" s="132" t="str">
        <f ca="1">VLOOKUP($B27,OFFSET([2]quests!$A$1,0,0,COUNTA([2]quests!$A:$A),MATCH(C$1,[2]quests!$1:$1,0)-MATCH($B$1,[2]quests!$1:$1,0)+1),MATCH(C$1,[2]quests!$1:$1,0)-MATCH($B$1,[2]quests!$1:$1,0)+1,FALSE)</f>
        <v>惑乱の双神使！？</v>
      </c>
      <c r="D27" s="132" t="str">
        <f ca="1">VLOOKUP($B27,OFFSET([2]quests!$A$1,0,0,COUNTA([2]quests!$A:$A),MATCH(D$1,[2]quests!$1:$1,0)-MATCH($B$1,[2]quests!$1:$1,0)+1),MATCH(D$1,[2]quests!$1:$1,0)-MATCH($B$1,[2]quests!$1:$1,0)+1,FALSE)</f>
        <v>日本神話シリーズ　超級</v>
      </c>
      <c r="E27" s="133">
        <v>1</v>
      </c>
      <c r="F27" s="132" t="str">
        <f ca="1">VLOOKUP($B27&amp;"_"&amp;$E27,OFFSET([2]stages!$A$1,0,0,COUNTA([2]stages!$A:$A),MATCH(F$1,[2]stages!$2:$2,0)-MATCH("temp_stage",[2]stages!$2:$2,0)+1),MATCH(F$1,[2]stages!$2:$2,0)-MATCH("temp_stage",[2]stages!$2:$2,0)+1,FALSE)</f>
        <v>【中級】惑乱の双神使！？</v>
      </c>
      <c r="G27" s="132" t="str">
        <f ca="1">VLOOKUP($B27&amp;"_"&amp;$E27,OFFSET([2]stages!$A$1,0,0,COUNTA([2]stages!$A:$A),MATCH(G$1,[2]stages!$2:$2,0)-MATCH("temp_stage",[2]stages!$2:$2,0)+1),MATCH(G$1,[2]stages!$2:$2,0)-MATCH("temp_stage",[2]stages!$2:$2,0)+1,FALSE)</f>
        <v>日本神話シリーズ　超級</v>
      </c>
      <c r="H27" s="134">
        <v>0</v>
      </c>
      <c r="I27">
        <v>30</v>
      </c>
      <c r="J27" s="135" t="s">
        <v>414</v>
      </c>
      <c r="K27" s="136" t="str">
        <f>VLOOKUP(I27,[6]stage_hints!$A:$C,3,FALSE)</f>
        <v>「バグ」の増やし方</v>
      </c>
      <c r="L27" s="137" t="str">
        <f>VLOOKUP(I27,[6]stage_hints!$A:$D,4,FALSE)</f>
        <v>同じユニット同士を強化で合成すると_x000D_「バグ」を増やすことができます</v>
      </c>
      <c r="M27" s="54" t="s">
        <v>415</v>
      </c>
    </row>
    <row r="28" spans="1:13" x14ac:dyDescent="0.15">
      <c r="A28" s="130" t="s">
        <v>409</v>
      </c>
      <c r="B28" s="131">
        <v>30048</v>
      </c>
      <c r="C28" s="132" t="str">
        <f ca="1">VLOOKUP($B28,OFFSET([2]quests!$A$1,0,0,COUNTA([2]quests!$A:$A),MATCH(C$1,[2]quests!$1:$1,0)-MATCH($B$1,[2]quests!$1:$1,0)+1),MATCH(C$1,[2]quests!$1:$1,0)-MATCH($B$1,[2]quests!$1:$1,0)+1,FALSE)</f>
        <v>惑乱の双神使！？</v>
      </c>
      <c r="D28" s="132" t="str">
        <f ca="1">VLOOKUP($B28,OFFSET([2]quests!$A$1,0,0,COUNTA([2]quests!$A:$A),MATCH(D$1,[2]quests!$1:$1,0)-MATCH($B$1,[2]quests!$1:$1,0)+1),MATCH(D$1,[2]quests!$1:$1,0)-MATCH($B$1,[2]quests!$1:$1,0)+1,FALSE)</f>
        <v>日本神話シリーズ　超級</v>
      </c>
      <c r="E28" s="133">
        <v>1</v>
      </c>
      <c r="F28" s="132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【中級】惑乱の双神使！？</v>
      </c>
      <c r="G28" s="132" t="str">
        <f ca="1">VLOOKUP($B28&amp;"_"&amp;$E28,OFFSET([2]stages!$A$1,0,0,COUNTA([2]stages!$A:$A),MATCH(G$1,[2]stages!$2:$2,0)-MATCH("temp_stage",[2]stages!$2:$2,0)+1),MATCH(G$1,[2]stages!$2:$2,0)-MATCH("temp_stage",[2]stages!$2:$2,0)+1,FALSE)</f>
        <v>日本神話シリーズ　超級</v>
      </c>
      <c r="H28" s="134">
        <v>0</v>
      </c>
      <c r="I28">
        <v>31</v>
      </c>
      <c r="J28" s="135" t="s">
        <v>414</v>
      </c>
      <c r="K28" s="136" t="str">
        <f>VLOOKUP(I28,[6]stage_hints!$A:$C,3,FALSE)</f>
        <v>イベントはお知らせでチェック</v>
      </c>
      <c r="L28" s="137" t="str">
        <f>VLOOKUP(I28,[6]stage_hints!$A:$D,4,FALSE)</f>
        <v>イベント限定ユニットを取り忘れないように_x000D_お知らせをこまめにチェックしましょう</v>
      </c>
      <c r="M28" s="54" t="s">
        <v>415</v>
      </c>
    </row>
    <row r="29" spans="1:13" x14ac:dyDescent="0.15">
      <c r="A29" s="130" t="s">
        <v>409</v>
      </c>
      <c r="B29" s="131">
        <v>30048</v>
      </c>
      <c r="C29" s="132" t="str">
        <f ca="1">VLOOKUP($B29,OFFSET([2]quests!$A$1,0,0,COUNTA([2]quests!$A:$A),MATCH(C$1,[2]quests!$1:$1,0)-MATCH($B$1,[2]quests!$1:$1,0)+1),MATCH(C$1,[2]quests!$1:$1,0)-MATCH($B$1,[2]quests!$1:$1,0)+1,FALSE)</f>
        <v>惑乱の双神使！？</v>
      </c>
      <c r="D29" s="132" t="str">
        <f ca="1">VLOOKUP($B29,OFFSET([2]quests!$A$1,0,0,COUNTA([2]quests!$A:$A),MATCH(D$1,[2]quests!$1:$1,0)-MATCH($B$1,[2]quests!$1:$1,0)+1),MATCH(D$1,[2]quests!$1:$1,0)-MATCH($B$1,[2]quests!$1:$1,0)+1,FALSE)</f>
        <v>日本神話シリーズ　超級</v>
      </c>
      <c r="E29" s="133">
        <v>1</v>
      </c>
      <c r="F29" s="132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【中級】惑乱の双神使！？</v>
      </c>
      <c r="G29" s="132" t="str">
        <f ca="1">VLOOKUP($B29&amp;"_"&amp;$E29,OFFSET([2]stages!$A$1,0,0,COUNTA([2]stages!$A:$A),MATCH(G$1,[2]stages!$2:$2,0)-MATCH("temp_stage",[2]stages!$2:$2,0)+1),MATCH(G$1,[2]stages!$2:$2,0)-MATCH("temp_stage",[2]stages!$2:$2,0)+1,FALSE)</f>
        <v>日本神話シリーズ　超級</v>
      </c>
      <c r="H29" s="134">
        <v>0</v>
      </c>
      <c r="I29">
        <v>32</v>
      </c>
      <c r="J29" s="135" t="s">
        <v>426</v>
      </c>
      <c r="K29" s="136" t="str">
        <f>VLOOKUP(I29,[6]stage_hints!$A:$C,3,FALSE)</f>
        <v>敵の連続攻撃には</v>
      </c>
      <c r="L29" s="137" t="str">
        <f>VLOOKUP(I29,[6]stage_hints!$A:$D,4,FALSE)</f>
        <v>カウンタースキルを持つユニットがいれば_x000D_ダメージ回数分の反撃ができます</v>
      </c>
      <c r="M29" s="54" t="s">
        <v>427</v>
      </c>
    </row>
    <row r="30" spans="1:13" x14ac:dyDescent="0.15">
      <c r="A30" s="130" t="s">
        <v>409</v>
      </c>
      <c r="B30" s="131">
        <v>30048</v>
      </c>
      <c r="C30" s="132" t="str">
        <f ca="1">VLOOKUP($B30,OFFSET([2]quests!$A$1,0,0,COUNTA([2]quests!$A:$A),MATCH(C$1,[2]quests!$1:$1,0)-MATCH($B$1,[2]quests!$1:$1,0)+1),MATCH(C$1,[2]quests!$1:$1,0)-MATCH($B$1,[2]quests!$1:$1,0)+1,FALSE)</f>
        <v>惑乱の双神使！？</v>
      </c>
      <c r="D30" s="132" t="str">
        <f ca="1">VLOOKUP($B30,OFFSET([2]quests!$A$1,0,0,COUNTA([2]quests!$A:$A),MATCH(D$1,[2]quests!$1:$1,0)-MATCH($B$1,[2]quests!$1:$1,0)+1),MATCH(D$1,[2]quests!$1:$1,0)-MATCH($B$1,[2]quests!$1:$1,0)+1,FALSE)</f>
        <v>日本神話シリーズ　超級</v>
      </c>
      <c r="E30" s="133">
        <v>1</v>
      </c>
      <c r="F30" s="132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【中級】惑乱の双神使！？</v>
      </c>
      <c r="G30" s="132" t="str">
        <f ca="1">VLOOKUP($B30&amp;"_"&amp;$E30,OFFSET([2]stages!$A$1,0,0,COUNTA([2]stages!$A:$A),MATCH(G$1,[2]stages!$2:$2,0)-MATCH("temp_stage",[2]stages!$2:$2,0)+1),MATCH(G$1,[2]stages!$2:$2,0)-MATCH("temp_stage",[2]stages!$2:$2,0)+1,FALSE)</f>
        <v>日本神話シリーズ　超級</v>
      </c>
      <c r="H30" s="134">
        <v>0</v>
      </c>
      <c r="I30">
        <v>33</v>
      </c>
      <c r="J30" s="135" t="s">
        <v>418</v>
      </c>
      <c r="K30" s="136" t="str">
        <f>VLOOKUP(I30,[6]stage_hints!$A:$C,3,FALSE)</f>
        <v>敵のカウンター攻撃には</v>
      </c>
      <c r="L30" s="137" t="str">
        <f>VLOOKUP(I30,[6]stage_hints!$A:$D,4,FALSE)</f>
        <v>カウンターブレイクスキルを持っていれば_x000D_敵のカウンターを解除して攻撃ができます</v>
      </c>
      <c r="M30" s="54" t="s">
        <v>419</v>
      </c>
    </row>
    <row r="31" spans="1:13" x14ac:dyDescent="0.15">
      <c r="A31" s="130" t="s">
        <v>409</v>
      </c>
      <c r="B31" s="131">
        <v>30048</v>
      </c>
      <c r="C31" s="132" t="str">
        <f ca="1">VLOOKUP($B31,OFFSET([2]quests!$A$1,0,0,COUNTA([2]quests!$A:$A),MATCH(C$1,[2]quests!$1:$1,0)-MATCH($B$1,[2]quests!$1:$1,0)+1),MATCH(C$1,[2]quests!$1:$1,0)-MATCH($B$1,[2]quests!$1:$1,0)+1,FALSE)</f>
        <v>惑乱の双神使！？</v>
      </c>
      <c r="D31" s="132" t="str">
        <f ca="1">VLOOKUP($B31,OFFSET([2]quests!$A$1,0,0,COUNTA([2]quests!$A:$A),MATCH(D$1,[2]quests!$1:$1,0)-MATCH($B$1,[2]quests!$1:$1,0)+1),MATCH(D$1,[2]quests!$1:$1,0)-MATCH($B$1,[2]quests!$1:$1,0)+1,FALSE)</f>
        <v>日本神話シリーズ　超級</v>
      </c>
      <c r="E31" s="133">
        <v>1</v>
      </c>
      <c r="F31" s="132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【中級】惑乱の双神使！？</v>
      </c>
      <c r="G31" s="132" t="str">
        <f ca="1">VLOOKUP($B31&amp;"_"&amp;$E31,OFFSET([2]stages!$A$1,0,0,COUNTA([2]stages!$A:$A),MATCH(G$1,[2]stages!$2:$2,0)-MATCH("temp_stage",[2]stages!$2:$2,0)+1),MATCH(G$1,[2]stages!$2:$2,0)-MATCH("temp_stage",[2]stages!$2:$2,0)+1,FALSE)</f>
        <v>日本神話シリーズ　超級</v>
      </c>
      <c r="H31" s="134">
        <v>0</v>
      </c>
      <c r="I31">
        <v>34</v>
      </c>
      <c r="J31" s="135" t="s">
        <v>424</v>
      </c>
      <c r="K31" s="136" t="str">
        <f>VLOOKUP(I31,[6]stage_hints!$A:$C,3,FALSE)</f>
        <v>ステータスをスキルで下げられたら</v>
      </c>
      <c r="L31" s="137" t="str">
        <f>VLOOKUP(I31,[6]stage_hints!$A:$D,4,FALSE)</f>
        <v>ステータスダウンのスキルを受けたら_x000D_ステータスアップスキルで上書きしましょう</v>
      </c>
      <c r="M31" s="54" t="s">
        <v>425</v>
      </c>
    </row>
    <row r="32" spans="1:13" x14ac:dyDescent="0.15">
      <c r="A32" s="130" t="s">
        <v>409</v>
      </c>
      <c r="B32" s="131">
        <v>30048</v>
      </c>
      <c r="C32" s="132" t="str">
        <f ca="1">VLOOKUP($B32,OFFSET([2]quests!$A$1,0,0,COUNTA([2]quests!$A:$A),MATCH(C$1,[2]quests!$1:$1,0)-MATCH($B$1,[2]quests!$1:$1,0)+1),MATCH(C$1,[2]quests!$1:$1,0)-MATCH($B$1,[2]quests!$1:$1,0)+1,FALSE)</f>
        <v>惑乱の双神使！？</v>
      </c>
      <c r="D32" s="132" t="str">
        <f ca="1">VLOOKUP($B32,OFFSET([2]quests!$A$1,0,0,COUNTA([2]quests!$A:$A),MATCH(D$1,[2]quests!$1:$1,0)-MATCH($B$1,[2]quests!$1:$1,0)+1),MATCH(D$1,[2]quests!$1:$1,0)-MATCH($B$1,[2]quests!$1:$1,0)+1,FALSE)</f>
        <v>日本神話シリーズ　超級</v>
      </c>
      <c r="E32" s="133">
        <v>1</v>
      </c>
      <c r="F32" s="132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【中級】惑乱の双神使！？</v>
      </c>
      <c r="G32" s="132" t="str">
        <f ca="1">VLOOKUP($B32&amp;"_"&amp;$E32,OFFSET([2]stages!$A$1,0,0,COUNTA([2]stages!$A:$A),MATCH(G$1,[2]stages!$2:$2,0)-MATCH("temp_stage",[2]stages!$2:$2,0)+1),MATCH(G$1,[2]stages!$2:$2,0)-MATCH("temp_stage",[2]stages!$2:$2,0)+1,FALSE)</f>
        <v>日本神話シリーズ　超級</v>
      </c>
      <c r="H32" s="134">
        <v>0</v>
      </c>
      <c r="I32">
        <v>35</v>
      </c>
      <c r="J32" s="135" t="s">
        <v>414</v>
      </c>
      <c r="K32" s="136" t="str">
        <f>VLOOKUP(I32,[6]stage_hints!$A:$C,3,FALSE)</f>
        <v>敵のステータスがスキルで上がったら</v>
      </c>
      <c r="L32" s="137" t="str">
        <f>VLOOKUP(I32,[6]stage_hints!$A:$D,4,FALSE)</f>
        <v>敵のステータスがスキルでアップしたときは_x000D_ステータスダウンスキルで上書きしましょう</v>
      </c>
      <c r="M32" s="54" t="s">
        <v>415</v>
      </c>
    </row>
    <row r="33" spans="1:13" x14ac:dyDescent="0.15">
      <c r="A33" s="130" t="s">
        <v>409</v>
      </c>
      <c r="B33" s="131">
        <v>30048</v>
      </c>
      <c r="C33" s="132" t="str">
        <f ca="1">VLOOKUP($B33,OFFSET([2]quests!$A$1,0,0,COUNTA([2]quests!$A:$A),MATCH(C$1,[2]quests!$1:$1,0)-MATCH($B$1,[2]quests!$1:$1,0)+1),MATCH(C$1,[2]quests!$1:$1,0)-MATCH($B$1,[2]quests!$1:$1,0)+1,FALSE)</f>
        <v>惑乱の双神使！？</v>
      </c>
      <c r="D33" s="132" t="str">
        <f ca="1">VLOOKUP($B33,OFFSET([2]quests!$A$1,0,0,COUNTA([2]quests!$A:$A),MATCH(D$1,[2]quests!$1:$1,0)-MATCH($B$1,[2]quests!$1:$1,0)+1),MATCH(D$1,[2]quests!$1:$1,0)-MATCH($B$1,[2]quests!$1:$1,0)+1,FALSE)</f>
        <v>日本神話シリーズ　超級</v>
      </c>
      <c r="E33" s="133">
        <v>1</v>
      </c>
      <c r="F33" s="132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【中級】惑乱の双神使！？</v>
      </c>
      <c r="G33" s="132" t="str">
        <f ca="1">VLOOKUP($B33&amp;"_"&amp;$E33,OFFSET([2]stages!$A$1,0,0,COUNTA([2]stages!$A:$A),MATCH(G$1,[2]stages!$2:$2,0)-MATCH("temp_stage",[2]stages!$2:$2,0)+1),MATCH(G$1,[2]stages!$2:$2,0)-MATCH("temp_stage",[2]stages!$2:$2,0)+1,FALSE)</f>
        <v>日本神話シリーズ　超級</v>
      </c>
      <c r="H33" s="134">
        <v>0</v>
      </c>
      <c r="I33">
        <v>39</v>
      </c>
      <c r="J33" s="135" t="s">
        <v>426</v>
      </c>
      <c r="K33" s="136" t="str">
        <f>VLOOKUP(I33,[6]stage_hints!$A:$C,3,FALSE)</f>
        <v>システム適合者を確認</v>
      </c>
      <c r="L33" s="137" t="str">
        <f>VLOOKUP(I33,[6]stage_hints!$A:$D,4,FALSE)</f>
        <v>ALICEが 「アナタ」を呼んでいます</v>
      </c>
      <c r="M33" s="54" t="s">
        <v>427</v>
      </c>
    </row>
    <row r="34" spans="1:13" x14ac:dyDescent="0.15">
      <c r="A34" s="130" t="s">
        <v>409</v>
      </c>
      <c r="B34" s="131">
        <v>30048</v>
      </c>
      <c r="C34" s="132" t="str">
        <f ca="1">VLOOKUP($B34,OFFSET([2]quests!$A$1,0,0,COUNTA([2]quests!$A:$A),MATCH(C$1,[2]quests!$1:$1,0)-MATCH($B$1,[2]quests!$1:$1,0)+1),MATCH(C$1,[2]quests!$1:$1,0)-MATCH($B$1,[2]quests!$1:$1,0)+1,FALSE)</f>
        <v>惑乱の双神使！？</v>
      </c>
      <c r="D34" s="132" t="str">
        <f ca="1">VLOOKUP($B34,OFFSET([2]quests!$A$1,0,0,COUNTA([2]quests!$A:$A),MATCH(D$1,[2]quests!$1:$1,0)-MATCH($B$1,[2]quests!$1:$1,0)+1),MATCH(D$1,[2]quests!$1:$1,0)-MATCH($B$1,[2]quests!$1:$1,0)+1,FALSE)</f>
        <v>日本神話シリーズ　超級</v>
      </c>
      <c r="E34" s="133">
        <v>2</v>
      </c>
      <c r="F34" s="132" t="str">
        <f ca="1">VLOOKUP($B34&amp;"_"&amp;$E34,OFFSET([2]stages!$A$1,0,0,COUNTA([2]stages!$A:$A),MATCH(F$1,[2]stages!$2:$2,0)-MATCH("temp_stage",[2]stages!$2:$2,0)+1),MATCH(F$1,[2]stages!$2:$2,0)-MATCH("temp_stage",[2]stages!$2:$2,0)+1,FALSE)</f>
        <v>【上級】惑乱の双神使！？</v>
      </c>
      <c r="G34" s="132" t="str">
        <f ca="1">VLOOKUP($B34&amp;"_"&amp;$E34,OFFSET([2]stages!$A$1,0,0,COUNTA([2]stages!$A:$A),MATCH(G$1,[2]stages!$2:$2,0)-MATCH("temp_stage",[2]stages!$2:$2,0)+1),MATCH(G$1,[2]stages!$2:$2,0)-MATCH("temp_stage",[2]stages!$2:$2,0)+1,FALSE)</f>
        <v>日本神話シリーズ　超級</v>
      </c>
      <c r="H34" s="134">
        <v>0</v>
      </c>
      <c r="I34" s="138">
        <v>3</v>
      </c>
      <c r="J34" s="135" t="s">
        <v>426</v>
      </c>
      <c r="K34" s="136" t="str">
        <f>VLOOKUP(I34,[6]stage_hints!$A:$C,3,FALSE)</f>
        <v>ターゲット</v>
      </c>
      <c r="L34" s="137" t="str">
        <f>VLOOKUP(I34,[6]stage_hints!$A:$D,4,FALSE)</f>
        <v>敵ユニットをタップすると_x000D_その敵を狙い撃ちできます</v>
      </c>
      <c r="M34" s="54" t="s">
        <v>430</v>
      </c>
    </row>
    <row r="35" spans="1:13" x14ac:dyDescent="0.15">
      <c r="A35" s="130" t="s">
        <v>409</v>
      </c>
      <c r="B35" s="131">
        <v>30048</v>
      </c>
      <c r="C35" s="132" t="str">
        <f ca="1">VLOOKUP($B35,OFFSET([2]quests!$A$1,0,0,COUNTA([2]quests!$A:$A),MATCH(C$1,[2]quests!$1:$1,0)-MATCH($B$1,[2]quests!$1:$1,0)+1),MATCH(C$1,[2]quests!$1:$1,0)-MATCH($B$1,[2]quests!$1:$1,0)+1,FALSE)</f>
        <v>惑乱の双神使！？</v>
      </c>
      <c r="D35" s="132" t="str">
        <f ca="1">VLOOKUP($B35,OFFSET([2]quests!$A$1,0,0,COUNTA([2]quests!$A:$A),MATCH(D$1,[2]quests!$1:$1,0)-MATCH($B$1,[2]quests!$1:$1,0)+1),MATCH(D$1,[2]quests!$1:$1,0)-MATCH($B$1,[2]quests!$1:$1,0)+1,FALSE)</f>
        <v>日本神話シリーズ　超級</v>
      </c>
      <c r="E35" s="133">
        <v>2</v>
      </c>
      <c r="F35" s="132" t="str">
        <f ca="1">VLOOKUP($B35&amp;"_"&amp;$E35,OFFSET([2]stages!$A$1,0,0,COUNTA([2]stages!$A:$A),MATCH(F$1,[2]stages!$2:$2,0)-MATCH("temp_stage",[2]stages!$2:$2,0)+1),MATCH(F$1,[2]stages!$2:$2,0)-MATCH("temp_stage",[2]stages!$2:$2,0)+1,FALSE)</f>
        <v>【上級】惑乱の双神使！？</v>
      </c>
      <c r="G35" s="132" t="str">
        <f ca="1">VLOOKUP($B35&amp;"_"&amp;$E35,OFFSET([2]stages!$A$1,0,0,COUNTA([2]stages!$A:$A),MATCH(G$1,[2]stages!$2:$2,0)-MATCH("temp_stage",[2]stages!$2:$2,0)+1),MATCH(G$1,[2]stages!$2:$2,0)-MATCH("temp_stage",[2]stages!$2:$2,0)+1,FALSE)</f>
        <v>日本神話シリーズ　超級</v>
      </c>
      <c r="H35" s="134">
        <v>0</v>
      </c>
      <c r="I35" s="138">
        <v>6</v>
      </c>
      <c r="J35" s="135" t="s">
        <v>426</v>
      </c>
      <c r="K35" s="136" t="str">
        <f>VLOOKUP(I35,[6]stage_hints!$A:$C,3,FALSE)</f>
        <v>ユニット強化の属性ボーナス</v>
      </c>
      <c r="L35" s="137" t="str">
        <f>VLOOKUP(I35,[6]stage_hints!$A:$D,4,FALSE)</f>
        <v>同属性ユニットを強化素材にすると_x000D_経験値が多くもらえます</v>
      </c>
      <c r="M35" s="54" t="s">
        <v>427</v>
      </c>
    </row>
    <row r="36" spans="1:13" x14ac:dyDescent="0.15">
      <c r="A36" s="130" t="s">
        <v>409</v>
      </c>
      <c r="B36" s="131">
        <v>30048</v>
      </c>
      <c r="C36" s="132" t="str">
        <f ca="1">VLOOKUP($B36,OFFSET([2]quests!$A$1,0,0,COUNTA([2]quests!$A:$A),MATCH(C$1,[2]quests!$1:$1,0)-MATCH($B$1,[2]quests!$1:$1,0)+1),MATCH(C$1,[2]quests!$1:$1,0)-MATCH($B$1,[2]quests!$1:$1,0)+1,FALSE)</f>
        <v>惑乱の双神使！？</v>
      </c>
      <c r="D36" s="132" t="str">
        <f ca="1">VLOOKUP($B36,OFFSET([2]quests!$A$1,0,0,COUNTA([2]quests!$A:$A),MATCH(D$1,[2]quests!$1:$1,0)-MATCH($B$1,[2]quests!$1:$1,0)+1),MATCH(D$1,[2]quests!$1:$1,0)-MATCH($B$1,[2]quests!$1:$1,0)+1,FALSE)</f>
        <v>日本神話シリーズ　超級</v>
      </c>
      <c r="E36" s="133">
        <v>2</v>
      </c>
      <c r="F36" s="132" t="str">
        <f ca="1">VLOOKUP($B36&amp;"_"&amp;$E36,OFFSET([2]stages!$A$1,0,0,COUNTA([2]stages!$A:$A),MATCH(F$1,[2]stages!$2:$2,0)-MATCH("temp_stage",[2]stages!$2:$2,0)+1),MATCH(F$1,[2]stages!$2:$2,0)-MATCH("temp_stage",[2]stages!$2:$2,0)+1,FALSE)</f>
        <v>【上級】惑乱の双神使！？</v>
      </c>
      <c r="G36" s="132" t="str">
        <f ca="1">VLOOKUP($B36&amp;"_"&amp;$E36,OFFSET([2]stages!$A$1,0,0,COUNTA([2]stages!$A:$A),MATCH(G$1,[2]stages!$2:$2,0)-MATCH("temp_stage",[2]stages!$2:$2,0)+1),MATCH(G$1,[2]stages!$2:$2,0)-MATCH("temp_stage",[2]stages!$2:$2,0)+1,FALSE)</f>
        <v>日本神話シリーズ　超級</v>
      </c>
      <c r="H36" s="134">
        <v>0</v>
      </c>
      <c r="I36" s="138">
        <v>7</v>
      </c>
      <c r="J36" s="135" t="s">
        <v>418</v>
      </c>
      <c r="K36" s="136" t="str">
        <f>VLOOKUP(I36,[6]stage_hints!$A:$C,3,FALSE)</f>
        <v>メタルダックで経験値を獲得</v>
      </c>
      <c r="L36" s="137" t="str">
        <f>VLOOKUP(I36,[6]stage_hints!$A:$D,4,FALSE)</f>
        <v>「メタルなアヒル」を強化素材にすると_x000D_大量の経験値がもらえます</v>
      </c>
      <c r="M36" s="54" t="s">
        <v>419</v>
      </c>
    </row>
    <row r="37" spans="1:13" x14ac:dyDescent="0.15">
      <c r="A37" s="130" t="s">
        <v>409</v>
      </c>
      <c r="B37" s="131">
        <v>30048</v>
      </c>
      <c r="C37" s="132" t="str">
        <f ca="1">VLOOKUP($B37,OFFSET([2]quests!$A$1,0,0,COUNTA([2]quests!$A:$A),MATCH(C$1,[2]quests!$1:$1,0)-MATCH($B$1,[2]quests!$1:$1,0)+1),MATCH(C$1,[2]quests!$1:$1,0)-MATCH($B$1,[2]quests!$1:$1,0)+1,FALSE)</f>
        <v>惑乱の双神使！？</v>
      </c>
      <c r="D37" s="132" t="str">
        <f ca="1">VLOOKUP($B37,OFFSET([2]quests!$A$1,0,0,COUNTA([2]quests!$A:$A),MATCH(D$1,[2]quests!$1:$1,0)-MATCH($B$1,[2]quests!$1:$1,0)+1),MATCH(D$1,[2]quests!$1:$1,0)-MATCH($B$1,[2]quests!$1:$1,0)+1,FALSE)</f>
        <v>日本神話シリーズ　超級</v>
      </c>
      <c r="E37" s="133">
        <v>2</v>
      </c>
      <c r="F37" s="132" t="str">
        <f ca="1">VLOOKUP($B37&amp;"_"&amp;$E37,OFFSET([2]stages!$A$1,0,0,COUNTA([2]stages!$A:$A),MATCH(F$1,[2]stages!$2:$2,0)-MATCH("temp_stage",[2]stages!$2:$2,0)+1),MATCH(F$1,[2]stages!$2:$2,0)-MATCH("temp_stage",[2]stages!$2:$2,0)+1,FALSE)</f>
        <v>【上級】惑乱の双神使！？</v>
      </c>
      <c r="G37" s="132" t="str">
        <f ca="1">VLOOKUP($B37&amp;"_"&amp;$E37,OFFSET([2]stages!$A$1,0,0,COUNTA([2]stages!$A:$A),MATCH(G$1,[2]stages!$2:$2,0)-MATCH("temp_stage",[2]stages!$2:$2,0)+1),MATCH(G$1,[2]stages!$2:$2,0)-MATCH("temp_stage",[2]stages!$2:$2,0)+1,FALSE)</f>
        <v>日本神話シリーズ　超級</v>
      </c>
      <c r="H37" s="134">
        <v>0</v>
      </c>
      <c r="I37" s="138">
        <v>8</v>
      </c>
      <c r="J37" s="135" t="s">
        <v>418</v>
      </c>
      <c r="K37" s="136" t="str">
        <f>VLOOKUP(I37,[6]stage_hints!$A:$C,3,FALSE)</f>
        <v>ゲリラクエストは要チェック</v>
      </c>
      <c r="L37" s="137" t="str">
        <f>VLOOKUP(I37,[6]stage_hints!$A:$D,4,FALSE)</f>
        <v>時間限定の「アヒル捕獲作戦」では_x000D_経験値素材ユニットが多く手に入ります</v>
      </c>
      <c r="M37" s="54" t="s">
        <v>419</v>
      </c>
    </row>
    <row r="38" spans="1:13" x14ac:dyDescent="0.15">
      <c r="A38" s="130" t="s">
        <v>409</v>
      </c>
      <c r="B38" s="131">
        <v>30048</v>
      </c>
      <c r="C38" s="132" t="str">
        <f ca="1">VLOOKUP($B38,OFFSET([2]quests!$A$1,0,0,COUNTA([2]quests!$A:$A),MATCH(C$1,[2]quests!$1:$1,0)-MATCH($B$1,[2]quests!$1:$1,0)+1),MATCH(C$1,[2]quests!$1:$1,0)-MATCH($B$1,[2]quests!$1:$1,0)+1,FALSE)</f>
        <v>惑乱の双神使！？</v>
      </c>
      <c r="D38" s="132" t="str">
        <f ca="1">VLOOKUP($B38,OFFSET([2]quests!$A$1,0,0,COUNTA([2]quests!$A:$A),MATCH(D$1,[2]quests!$1:$1,0)-MATCH($B$1,[2]quests!$1:$1,0)+1),MATCH(D$1,[2]quests!$1:$1,0)-MATCH($B$1,[2]quests!$1:$1,0)+1,FALSE)</f>
        <v>日本神話シリーズ　超級</v>
      </c>
      <c r="E38" s="133">
        <v>2</v>
      </c>
      <c r="F38" s="132" t="str">
        <f ca="1">VLOOKUP($B38&amp;"_"&amp;$E38,OFFSET([2]stages!$A$1,0,0,COUNTA([2]stages!$A:$A),MATCH(F$1,[2]stages!$2:$2,0)-MATCH("temp_stage",[2]stages!$2:$2,0)+1),MATCH(F$1,[2]stages!$2:$2,0)-MATCH("temp_stage",[2]stages!$2:$2,0)+1,FALSE)</f>
        <v>【上級】惑乱の双神使！？</v>
      </c>
      <c r="G38" s="132" t="str">
        <f ca="1">VLOOKUP($B38&amp;"_"&amp;$E38,OFFSET([2]stages!$A$1,0,0,COUNTA([2]stages!$A:$A),MATCH(G$1,[2]stages!$2:$2,0)-MATCH("temp_stage",[2]stages!$2:$2,0)+1),MATCH(G$1,[2]stages!$2:$2,0)-MATCH("temp_stage",[2]stages!$2:$2,0)+1,FALSE)</f>
        <v>日本神話シリーズ　超級</v>
      </c>
      <c r="H38" s="134">
        <v>0</v>
      </c>
      <c r="I38" s="138">
        <v>9</v>
      </c>
      <c r="J38" s="135" t="s">
        <v>418</v>
      </c>
      <c r="K38" s="136" t="str">
        <f>VLOOKUP(I38,[6]stage_hints!$A:$C,3,FALSE)</f>
        <v>ゴールドダックでビットを獲得</v>
      </c>
      <c r="L38" s="137" t="str">
        <f>VLOOKUP(I38,[6]stage_hints!$A:$D,4,FALSE)</f>
        <v>「ゴールドなアヒル」を売却すると_x000D_大量のビットがもらえます</v>
      </c>
      <c r="M38" s="54" t="s">
        <v>419</v>
      </c>
    </row>
    <row r="39" spans="1:13" x14ac:dyDescent="0.15">
      <c r="A39" s="130" t="s">
        <v>409</v>
      </c>
      <c r="B39" s="131">
        <v>30048</v>
      </c>
      <c r="C39" s="132" t="str">
        <f ca="1">VLOOKUP($B39,OFFSET([2]quests!$A$1,0,0,COUNTA([2]quests!$A:$A),MATCH(C$1,[2]quests!$1:$1,0)-MATCH($B$1,[2]quests!$1:$1,0)+1),MATCH(C$1,[2]quests!$1:$1,0)-MATCH($B$1,[2]quests!$1:$1,0)+1,FALSE)</f>
        <v>惑乱の双神使！？</v>
      </c>
      <c r="D39" s="132" t="str">
        <f ca="1">VLOOKUP($B39,OFFSET([2]quests!$A$1,0,0,COUNTA([2]quests!$A:$A),MATCH(D$1,[2]quests!$1:$1,0)-MATCH($B$1,[2]quests!$1:$1,0)+1),MATCH(D$1,[2]quests!$1:$1,0)-MATCH($B$1,[2]quests!$1:$1,0)+1,FALSE)</f>
        <v>日本神話シリーズ　超級</v>
      </c>
      <c r="E39" s="133">
        <v>2</v>
      </c>
      <c r="F39" s="132" t="str">
        <f ca="1">VLOOKUP($B39&amp;"_"&amp;$E39,OFFSET([2]stages!$A$1,0,0,COUNTA([2]stages!$A:$A),MATCH(F$1,[2]stages!$2:$2,0)-MATCH("temp_stage",[2]stages!$2:$2,0)+1),MATCH(F$1,[2]stages!$2:$2,0)-MATCH("temp_stage",[2]stages!$2:$2,0)+1,FALSE)</f>
        <v>【上級】惑乱の双神使！？</v>
      </c>
      <c r="G39" s="132" t="str">
        <f ca="1">VLOOKUP($B39&amp;"_"&amp;$E39,OFFSET([2]stages!$A$1,0,0,COUNTA([2]stages!$A:$A),MATCH(G$1,[2]stages!$2:$2,0)-MATCH("temp_stage",[2]stages!$2:$2,0)+1),MATCH(G$1,[2]stages!$2:$2,0)-MATCH("temp_stage",[2]stages!$2:$2,0)+1,FALSE)</f>
        <v>日本神話シリーズ　超級</v>
      </c>
      <c r="H39" s="134">
        <v>0</v>
      </c>
      <c r="I39" s="138">
        <v>10</v>
      </c>
      <c r="J39" s="135" t="s">
        <v>418</v>
      </c>
      <c r="K39" s="136" t="str">
        <f>VLOOKUP(I39,[6]stage_hints!$A:$C,3,FALSE)</f>
        <v>土日に大量のビットを獲得</v>
      </c>
      <c r="L39" s="137" t="str">
        <f>VLOOKUP(I39,[6]stage_hints!$A:$D,4,FALSE)</f>
        <v>土日限定の「ゴールドカジノ」では_x000D_売却素材ユニットが多く手に入ります</v>
      </c>
      <c r="M39" s="54" t="s">
        <v>419</v>
      </c>
    </row>
    <row r="40" spans="1:13" x14ac:dyDescent="0.15">
      <c r="A40" s="130" t="s">
        <v>409</v>
      </c>
      <c r="B40" s="131">
        <v>30048</v>
      </c>
      <c r="C40" s="132" t="str">
        <f ca="1">VLOOKUP($B40,OFFSET([2]quests!$A$1,0,0,COUNTA([2]quests!$A:$A),MATCH(C$1,[2]quests!$1:$1,0)-MATCH($B$1,[2]quests!$1:$1,0)+1),MATCH(C$1,[2]quests!$1:$1,0)-MATCH($B$1,[2]quests!$1:$1,0)+1,FALSE)</f>
        <v>惑乱の双神使！？</v>
      </c>
      <c r="D40" s="132" t="str">
        <f ca="1">VLOOKUP($B40,OFFSET([2]quests!$A$1,0,0,COUNTA([2]quests!$A:$A),MATCH(D$1,[2]quests!$1:$1,0)-MATCH($B$1,[2]quests!$1:$1,0)+1),MATCH(D$1,[2]quests!$1:$1,0)-MATCH($B$1,[2]quests!$1:$1,0)+1,FALSE)</f>
        <v>日本神話シリーズ　超級</v>
      </c>
      <c r="E40" s="133">
        <v>2</v>
      </c>
      <c r="F40" s="132" t="str">
        <f ca="1">VLOOKUP($B40&amp;"_"&amp;$E40,OFFSET([2]stages!$A$1,0,0,COUNTA([2]stages!$A:$A),MATCH(F$1,[2]stages!$2:$2,0)-MATCH("temp_stage",[2]stages!$2:$2,0)+1),MATCH(F$1,[2]stages!$2:$2,0)-MATCH("temp_stage",[2]stages!$2:$2,0)+1,FALSE)</f>
        <v>【上級】惑乱の双神使！？</v>
      </c>
      <c r="G40" s="132" t="str">
        <f ca="1">VLOOKUP($B40&amp;"_"&amp;$E40,OFFSET([2]stages!$A$1,0,0,COUNTA([2]stages!$A:$A),MATCH(G$1,[2]stages!$2:$2,0)-MATCH("temp_stage",[2]stages!$2:$2,0)+1),MATCH(G$1,[2]stages!$2:$2,0)-MATCH("temp_stage",[2]stages!$2:$2,0)+1,FALSE)</f>
        <v>日本神話シリーズ　超級</v>
      </c>
      <c r="H40" s="134">
        <v>0</v>
      </c>
      <c r="I40" s="138">
        <v>11</v>
      </c>
      <c r="J40" s="135" t="s">
        <v>418</v>
      </c>
      <c r="K40" s="136" t="str">
        <f>VLOOKUP(I40,[6]stage_hints!$A:$C,3,FALSE)</f>
        <v>ランク解放クエスト</v>
      </c>
      <c r="L40" s="137" t="str">
        <f>VLOOKUP(I40,[6]stage_hints!$A:$D,4,FALSE)</f>
        <v>一定ランクに到達すると_x000D_報酬付きのランク開放クエストが現れます</v>
      </c>
      <c r="M40" s="54" t="s">
        <v>419</v>
      </c>
    </row>
    <row r="41" spans="1:13" x14ac:dyDescent="0.15">
      <c r="A41" s="130" t="s">
        <v>409</v>
      </c>
      <c r="B41" s="131">
        <v>30048</v>
      </c>
      <c r="C41" s="132" t="str">
        <f ca="1">VLOOKUP($B41,OFFSET([2]quests!$A$1,0,0,COUNTA([2]quests!$A:$A),MATCH(C$1,[2]quests!$1:$1,0)-MATCH($B$1,[2]quests!$1:$1,0)+1),MATCH(C$1,[2]quests!$1:$1,0)-MATCH($B$1,[2]quests!$1:$1,0)+1,FALSE)</f>
        <v>惑乱の双神使！？</v>
      </c>
      <c r="D41" s="132" t="str">
        <f ca="1">VLOOKUP($B41,OFFSET([2]quests!$A$1,0,0,COUNTA([2]quests!$A:$A),MATCH(D$1,[2]quests!$1:$1,0)-MATCH($B$1,[2]quests!$1:$1,0)+1),MATCH(D$1,[2]quests!$1:$1,0)-MATCH($B$1,[2]quests!$1:$1,0)+1,FALSE)</f>
        <v>日本神話シリーズ　超級</v>
      </c>
      <c r="E41" s="133">
        <v>2</v>
      </c>
      <c r="F41" s="132" t="str">
        <f ca="1">VLOOKUP($B41&amp;"_"&amp;$E41,OFFSET([2]stages!$A$1,0,0,COUNTA([2]stages!$A:$A),MATCH(F$1,[2]stages!$2:$2,0)-MATCH("temp_stage",[2]stages!$2:$2,0)+1),MATCH(F$1,[2]stages!$2:$2,0)-MATCH("temp_stage",[2]stages!$2:$2,0)+1,FALSE)</f>
        <v>【上級】惑乱の双神使！？</v>
      </c>
      <c r="G41" s="132" t="str">
        <f ca="1">VLOOKUP($B41&amp;"_"&amp;$E41,OFFSET([2]stages!$A$1,0,0,COUNTA([2]stages!$A:$A),MATCH(G$1,[2]stages!$2:$2,0)-MATCH("temp_stage",[2]stages!$2:$2,0)+1),MATCH(G$1,[2]stages!$2:$2,0)-MATCH("temp_stage",[2]stages!$2:$2,0)+1,FALSE)</f>
        <v>日本神話シリーズ　超級</v>
      </c>
      <c r="H41" s="134">
        <v>0</v>
      </c>
      <c r="I41" s="138">
        <v>12</v>
      </c>
      <c r="J41" s="135" t="s">
        <v>424</v>
      </c>
      <c r="K41" s="136" t="str">
        <f>VLOOKUP(I41,[6]stage_hints!$A:$C,3,FALSE)</f>
        <v>ユニットのお気に入り登録</v>
      </c>
      <c r="L41" s="137" t="str">
        <f>VLOOKUP(I41,[6]stage_hints!$A:$D,4,FALSE)</f>
        <v>大事なユニットを誤って消さないように_x000D_フォルダから「お気に入り登録」しましょう</v>
      </c>
      <c r="M41" s="54" t="s">
        <v>425</v>
      </c>
    </row>
    <row r="42" spans="1:13" x14ac:dyDescent="0.15">
      <c r="A42" s="130" t="s">
        <v>409</v>
      </c>
      <c r="B42" s="131">
        <v>30048</v>
      </c>
      <c r="C42" s="132" t="str">
        <f ca="1">VLOOKUP($B42,OFFSET([2]quests!$A$1,0,0,COUNTA([2]quests!$A:$A),MATCH(C$1,[2]quests!$1:$1,0)-MATCH($B$1,[2]quests!$1:$1,0)+1),MATCH(C$1,[2]quests!$1:$1,0)-MATCH($B$1,[2]quests!$1:$1,0)+1,FALSE)</f>
        <v>惑乱の双神使！？</v>
      </c>
      <c r="D42" s="132" t="str">
        <f ca="1">VLOOKUP($B42,OFFSET([2]quests!$A$1,0,0,COUNTA([2]quests!$A:$A),MATCH(D$1,[2]quests!$1:$1,0)-MATCH($B$1,[2]quests!$1:$1,0)+1),MATCH(D$1,[2]quests!$1:$1,0)-MATCH($B$1,[2]quests!$1:$1,0)+1,FALSE)</f>
        <v>日本神話シリーズ　超級</v>
      </c>
      <c r="E42" s="133">
        <v>2</v>
      </c>
      <c r="F42" s="132" t="str">
        <f ca="1">VLOOKUP($B42&amp;"_"&amp;$E42,OFFSET([2]stages!$A$1,0,0,COUNTA([2]stages!$A:$A),MATCH(F$1,[2]stages!$2:$2,0)-MATCH("temp_stage",[2]stages!$2:$2,0)+1),MATCH(F$1,[2]stages!$2:$2,0)-MATCH("temp_stage",[2]stages!$2:$2,0)+1,FALSE)</f>
        <v>【上級】惑乱の双神使！？</v>
      </c>
      <c r="G42" s="132" t="str">
        <f ca="1">VLOOKUP($B42&amp;"_"&amp;$E42,OFFSET([2]stages!$A$1,0,0,COUNTA([2]stages!$A:$A),MATCH(G$1,[2]stages!$2:$2,0)-MATCH("temp_stage",[2]stages!$2:$2,0)+1),MATCH(G$1,[2]stages!$2:$2,0)-MATCH("temp_stage",[2]stages!$2:$2,0)+1,FALSE)</f>
        <v>日本神話シリーズ　超級</v>
      </c>
      <c r="H42" s="134">
        <v>0</v>
      </c>
      <c r="I42" s="138">
        <v>13</v>
      </c>
      <c r="J42" s="135" t="s">
        <v>424</v>
      </c>
      <c r="K42" s="136" t="str">
        <f>VLOOKUP(I42,[6]stage_hints!$A:$C,3,FALSE)</f>
        <v>ユニットの覚醒</v>
      </c>
      <c r="L42" s="137" t="str">
        <f>VLOOKUP(I42,[6]stage_hints!$A:$D,4,FALSE)</f>
        <v>ユニットを覚醒させると_x000D_比べものにならない強さが手に入ります</v>
      </c>
      <c r="M42" s="54" t="s">
        <v>411</v>
      </c>
    </row>
    <row r="43" spans="1:13" x14ac:dyDescent="0.15">
      <c r="A43" s="130" t="s">
        <v>409</v>
      </c>
      <c r="B43" s="131">
        <v>30048</v>
      </c>
      <c r="C43" s="132" t="str">
        <f ca="1">VLOOKUP($B43,OFFSET([2]quests!$A$1,0,0,COUNTA([2]quests!$A:$A),MATCH(C$1,[2]quests!$1:$1,0)-MATCH($B$1,[2]quests!$1:$1,0)+1),MATCH(C$1,[2]quests!$1:$1,0)-MATCH($B$1,[2]quests!$1:$1,0)+1,FALSE)</f>
        <v>惑乱の双神使！？</v>
      </c>
      <c r="D43" s="132" t="str">
        <f ca="1">VLOOKUP($B43,OFFSET([2]quests!$A$1,0,0,COUNTA([2]quests!$A:$A),MATCH(D$1,[2]quests!$1:$1,0)-MATCH($B$1,[2]quests!$1:$1,0)+1),MATCH(D$1,[2]quests!$1:$1,0)-MATCH($B$1,[2]quests!$1:$1,0)+1,FALSE)</f>
        <v>日本神話シリーズ　超級</v>
      </c>
      <c r="E43" s="133">
        <v>2</v>
      </c>
      <c r="F43" s="132" t="str">
        <f ca="1">VLOOKUP($B43&amp;"_"&amp;$E43,OFFSET([2]stages!$A$1,0,0,COUNTA([2]stages!$A:$A),MATCH(F$1,[2]stages!$2:$2,0)-MATCH("temp_stage",[2]stages!$2:$2,0)+1),MATCH(F$1,[2]stages!$2:$2,0)-MATCH("temp_stage",[2]stages!$2:$2,0)+1,FALSE)</f>
        <v>【上級】惑乱の双神使！？</v>
      </c>
      <c r="G43" s="132" t="str">
        <f ca="1">VLOOKUP($B43&amp;"_"&amp;$E43,OFFSET([2]stages!$A$1,0,0,COUNTA([2]stages!$A:$A),MATCH(G$1,[2]stages!$2:$2,0)-MATCH("temp_stage",[2]stages!$2:$2,0)+1),MATCH(G$1,[2]stages!$2:$2,0)-MATCH("temp_stage",[2]stages!$2:$2,0)+1,FALSE)</f>
        <v>日本神話シリーズ　超級</v>
      </c>
      <c r="H43" s="134">
        <v>0</v>
      </c>
      <c r="I43" s="138">
        <v>14</v>
      </c>
      <c r="J43" s="135" t="s">
        <v>429</v>
      </c>
      <c r="K43" s="136" t="str">
        <f>VLOOKUP(I43,[6]stage_hints!$A:$C,3,FALSE)</f>
        <v>覚醒するにはレベルを最大に</v>
      </c>
      <c r="L43" s="137" t="str">
        <f>VLOOKUP(I43,[6]stage_hints!$A:$D,4,FALSE)</f>
        <v>覚醒するにはユニットのレベルを_x000D_最大まで上げる必要があります</v>
      </c>
      <c r="M43" s="54" t="s">
        <v>430</v>
      </c>
    </row>
    <row r="44" spans="1:13" x14ac:dyDescent="0.15">
      <c r="A44" s="130" t="s">
        <v>409</v>
      </c>
      <c r="B44" s="131">
        <v>30048</v>
      </c>
      <c r="C44" s="132" t="str">
        <f ca="1">VLOOKUP($B44,OFFSET([2]quests!$A$1,0,0,COUNTA([2]quests!$A:$A),MATCH(C$1,[2]quests!$1:$1,0)-MATCH($B$1,[2]quests!$1:$1,0)+1),MATCH(C$1,[2]quests!$1:$1,0)-MATCH($B$1,[2]quests!$1:$1,0)+1,FALSE)</f>
        <v>惑乱の双神使！？</v>
      </c>
      <c r="D44" s="132" t="str">
        <f ca="1">VLOOKUP($B44,OFFSET([2]quests!$A$1,0,0,COUNTA([2]quests!$A:$A),MATCH(D$1,[2]quests!$1:$1,0)-MATCH($B$1,[2]quests!$1:$1,0)+1),MATCH(D$1,[2]quests!$1:$1,0)-MATCH($B$1,[2]quests!$1:$1,0)+1,FALSE)</f>
        <v>日本神話シリーズ　超級</v>
      </c>
      <c r="E44" s="133">
        <v>2</v>
      </c>
      <c r="F44" s="132" t="str">
        <f ca="1">VLOOKUP($B44&amp;"_"&amp;$E44,OFFSET([2]stages!$A$1,0,0,COUNTA([2]stages!$A:$A),MATCH(F$1,[2]stages!$2:$2,0)-MATCH("temp_stage",[2]stages!$2:$2,0)+1),MATCH(F$1,[2]stages!$2:$2,0)-MATCH("temp_stage",[2]stages!$2:$2,0)+1,FALSE)</f>
        <v>【上級】惑乱の双神使！？</v>
      </c>
      <c r="G44" s="132" t="str">
        <f ca="1">VLOOKUP($B44&amp;"_"&amp;$E44,OFFSET([2]stages!$A$1,0,0,COUNTA([2]stages!$A:$A),MATCH(G$1,[2]stages!$2:$2,0)-MATCH("temp_stage",[2]stages!$2:$2,0)+1),MATCH(G$1,[2]stages!$2:$2,0)-MATCH("temp_stage",[2]stages!$2:$2,0)+1,FALSE)</f>
        <v>日本神話シリーズ　超級</v>
      </c>
      <c r="H44" s="134">
        <v>0</v>
      </c>
      <c r="I44" s="138">
        <v>15</v>
      </c>
      <c r="J44" s="135" t="s">
        <v>416</v>
      </c>
      <c r="K44" s="136" t="str">
        <f>VLOOKUP(I44,[6]stage_hints!$A:$C,3,FALSE)</f>
        <v>覚醒素材を獲得</v>
      </c>
      <c r="L44" s="137" t="str">
        <f>VLOOKUP(I44,[6]stage_hints!$A:$D,4,FALSE)</f>
        <v>「曜日クエスト」では_x000D_ユニットの覚醒に必要な素材が手に入ります</v>
      </c>
      <c r="M44" s="54" t="s">
        <v>423</v>
      </c>
    </row>
    <row r="45" spans="1:13" x14ac:dyDescent="0.15">
      <c r="A45" s="130" t="s">
        <v>409</v>
      </c>
      <c r="B45" s="131">
        <v>30048</v>
      </c>
      <c r="C45" s="132" t="str">
        <f ca="1">VLOOKUP($B45,OFFSET([2]quests!$A$1,0,0,COUNTA([2]quests!$A:$A),MATCH(C$1,[2]quests!$1:$1,0)-MATCH($B$1,[2]quests!$1:$1,0)+1),MATCH(C$1,[2]quests!$1:$1,0)-MATCH($B$1,[2]quests!$1:$1,0)+1,FALSE)</f>
        <v>惑乱の双神使！？</v>
      </c>
      <c r="D45" s="132" t="str">
        <f ca="1">VLOOKUP($B45,OFFSET([2]quests!$A$1,0,0,COUNTA([2]quests!$A:$A),MATCH(D$1,[2]quests!$1:$1,0)-MATCH($B$1,[2]quests!$1:$1,0)+1),MATCH(D$1,[2]quests!$1:$1,0)-MATCH($B$1,[2]quests!$1:$1,0)+1,FALSE)</f>
        <v>日本神話シリーズ　超級</v>
      </c>
      <c r="E45" s="133">
        <v>2</v>
      </c>
      <c r="F45" s="132" t="str">
        <f ca="1">VLOOKUP($B45&amp;"_"&amp;$E45,OFFSET([2]stages!$A$1,0,0,COUNTA([2]stages!$A:$A),MATCH(F$1,[2]stages!$2:$2,0)-MATCH("temp_stage",[2]stages!$2:$2,0)+1),MATCH(F$1,[2]stages!$2:$2,0)-MATCH("temp_stage",[2]stages!$2:$2,0)+1,FALSE)</f>
        <v>【上級】惑乱の双神使！？</v>
      </c>
      <c r="G45" s="132" t="str">
        <f ca="1">VLOOKUP($B45&amp;"_"&amp;$E45,OFFSET([2]stages!$A$1,0,0,COUNTA([2]stages!$A:$A),MATCH(G$1,[2]stages!$2:$2,0)-MATCH("temp_stage",[2]stages!$2:$2,0)+1),MATCH(G$1,[2]stages!$2:$2,0)-MATCH("temp_stage",[2]stages!$2:$2,0)+1,FALSE)</f>
        <v>日本神話シリーズ　超級</v>
      </c>
      <c r="H45" s="134">
        <v>0</v>
      </c>
      <c r="I45" s="138">
        <v>16</v>
      </c>
      <c r="J45" s="135" t="s">
        <v>435</v>
      </c>
      <c r="K45" s="136" t="str">
        <f>VLOOKUP(I45,[6]stage_hints!$A:$C,3,FALSE)</f>
        <v>マルチプレイのメリット（その1）</v>
      </c>
      <c r="L45" s="137" t="str">
        <f>VLOOKUP(I45,[6]stage_hints!$A:$D,4,FALSE)</f>
        <v>他のプレイヤーとマルチプレイで遊ぶと_x000D_ポリゴンがもらえます（100人まで）</v>
      </c>
      <c r="M45" s="54" t="s">
        <v>436</v>
      </c>
    </row>
    <row r="46" spans="1:13" x14ac:dyDescent="0.15">
      <c r="A46" s="130" t="s">
        <v>409</v>
      </c>
      <c r="B46" s="131">
        <v>30048</v>
      </c>
      <c r="C46" s="132" t="str">
        <f ca="1">VLOOKUP($B46,OFFSET([2]quests!$A$1,0,0,COUNTA([2]quests!$A:$A),MATCH(C$1,[2]quests!$1:$1,0)-MATCH($B$1,[2]quests!$1:$1,0)+1),MATCH(C$1,[2]quests!$1:$1,0)-MATCH($B$1,[2]quests!$1:$1,0)+1,FALSE)</f>
        <v>惑乱の双神使！？</v>
      </c>
      <c r="D46" s="132" t="str">
        <f ca="1">VLOOKUP($B46,OFFSET([2]quests!$A$1,0,0,COUNTA([2]quests!$A:$A),MATCH(D$1,[2]quests!$1:$1,0)-MATCH($B$1,[2]quests!$1:$1,0)+1),MATCH(D$1,[2]quests!$1:$1,0)-MATCH($B$1,[2]quests!$1:$1,0)+1,FALSE)</f>
        <v>日本神話シリーズ　超級</v>
      </c>
      <c r="E46" s="133">
        <v>2</v>
      </c>
      <c r="F46" s="132" t="str">
        <f ca="1">VLOOKUP($B46&amp;"_"&amp;$E46,OFFSET([2]stages!$A$1,0,0,COUNTA([2]stages!$A:$A),MATCH(F$1,[2]stages!$2:$2,0)-MATCH("temp_stage",[2]stages!$2:$2,0)+1),MATCH(F$1,[2]stages!$2:$2,0)-MATCH("temp_stage",[2]stages!$2:$2,0)+1,FALSE)</f>
        <v>【上級】惑乱の双神使！？</v>
      </c>
      <c r="G46" s="132" t="str">
        <f ca="1">VLOOKUP($B46&amp;"_"&amp;$E46,OFFSET([2]stages!$A$1,0,0,COUNTA([2]stages!$A:$A),MATCH(G$1,[2]stages!$2:$2,0)-MATCH("temp_stage",[2]stages!$2:$2,0)+1),MATCH(G$1,[2]stages!$2:$2,0)-MATCH("temp_stage",[2]stages!$2:$2,0)+1,FALSE)</f>
        <v>日本神話シリーズ　超級</v>
      </c>
      <c r="H46" s="134">
        <v>0</v>
      </c>
      <c r="I46" s="138">
        <v>17</v>
      </c>
      <c r="J46" s="135" t="s">
        <v>426</v>
      </c>
      <c r="K46" s="136" t="str">
        <f>VLOOKUP(I46,[6]stage_hints!$A:$C,3,FALSE)</f>
        <v>リンクガチャ</v>
      </c>
      <c r="L46" s="137" t="str">
        <f>VLOOKUP(I46,[6]stage_hints!$A:$D,4,FALSE)</f>
        <v>無料のリンクガチャを回して_x000D_経験値素材や売却素材を獲得しましょう</v>
      </c>
      <c r="M46" s="54" t="s">
        <v>432</v>
      </c>
    </row>
    <row r="47" spans="1:13" x14ac:dyDescent="0.15">
      <c r="A47" s="130" t="s">
        <v>409</v>
      </c>
      <c r="B47" s="131">
        <v>30048</v>
      </c>
      <c r="C47" s="132" t="str">
        <f ca="1">VLOOKUP($B47,OFFSET([2]quests!$A$1,0,0,COUNTA([2]quests!$A:$A),MATCH(C$1,[2]quests!$1:$1,0)-MATCH($B$1,[2]quests!$1:$1,0)+1),MATCH(C$1,[2]quests!$1:$1,0)-MATCH($B$1,[2]quests!$1:$1,0)+1,FALSE)</f>
        <v>惑乱の双神使！？</v>
      </c>
      <c r="D47" s="132" t="str">
        <f ca="1">VLOOKUP($B47,OFFSET([2]quests!$A$1,0,0,COUNTA([2]quests!$A:$A),MATCH(D$1,[2]quests!$1:$1,0)-MATCH($B$1,[2]quests!$1:$1,0)+1),MATCH(D$1,[2]quests!$1:$1,0)-MATCH($B$1,[2]quests!$1:$1,0)+1,FALSE)</f>
        <v>日本神話シリーズ　超級</v>
      </c>
      <c r="E47" s="133">
        <v>2</v>
      </c>
      <c r="F47" s="132" t="str">
        <f ca="1">VLOOKUP($B47&amp;"_"&amp;$E47,OFFSET([2]stages!$A$1,0,0,COUNTA([2]stages!$A:$A),MATCH(F$1,[2]stages!$2:$2,0)-MATCH("temp_stage",[2]stages!$2:$2,0)+1),MATCH(F$1,[2]stages!$2:$2,0)-MATCH("temp_stage",[2]stages!$2:$2,0)+1,FALSE)</f>
        <v>【上級】惑乱の双神使！？</v>
      </c>
      <c r="G47" s="132" t="str">
        <f ca="1">VLOOKUP($B47&amp;"_"&amp;$E47,OFFSET([2]stages!$A$1,0,0,COUNTA([2]stages!$A:$A),MATCH(G$1,[2]stages!$2:$2,0)-MATCH("temp_stage",[2]stages!$2:$2,0)+1),MATCH(G$1,[2]stages!$2:$2,0)-MATCH("temp_stage",[2]stages!$2:$2,0)+1,FALSE)</f>
        <v>日本神話シリーズ　超級</v>
      </c>
      <c r="H47" s="134">
        <v>0</v>
      </c>
      <c r="I47" s="138">
        <v>18</v>
      </c>
      <c r="J47" s="135" t="s">
        <v>433</v>
      </c>
      <c r="K47" s="136" t="str">
        <f>VLOOKUP(I47,[6]stage_hints!$A:$C,3,FALSE)</f>
        <v>マルチプレイのメリット（その2）</v>
      </c>
      <c r="L47" s="137" t="str">
        <f>VLOOKUP(I47,[6]stage_hints!$A:$D,4,FALSE)</f>
        <v>マルチプレイならリンクが2倍もらえます_x000D_リンクガチャをたくさん回しましょう</v>
      </c>
      <c r="M47" s="54" t="s">
        <v>434</v>
      </c>
    </row>
    <row r="48" spans="1:13" x14ac:dyDescent="0.15">
      <c r="A48" s="130" t="s">
        <v>409</v>
      </c>
      <c r="B48" s="131">
        <v>30048</v>
      </c>
      <c r="C48" s="132" t="str">
        <f ca="1">VLOOKUP($B48,OFFSET([2]quests!$A$1,0,0,COUNTA([2]quests!$A:$A),MATCH(C$1,[2]quests!$1:$1,0)-MATCH($B$1,[2]quests!$1:$1,0)+1),MATCH(C$1,[2]quests!$1:$1,0)-MATCH($B$1,[2]quests!$1:$1,0)+1,FALSE)</f>
        <v>惑乱の双神使！？</v>
      </c>
      <c r="D48" s="132" t="str">
        <f ca="1">VLOOKUP($B48,OFFSET([2]quests!$A$1,0,0,COUNTA([2]quests!$A:$A),MATCH(D$1,[2]quests!$1:$1,0)-MATCH($B$1,[2]quests!$1:$1,0)+1),MATCH(D$1,[2]quests!$1:$1,0)-MATCH($B$1,[2]quests!$1:$1,0)+1,FALSE)</f>
        <v>日本神話シリーズ　超級</v>
      </c>
      <c r="E48" s="133">
        <v>2</v>
      </c>
      <c r="F48" s="132" t="str">
        <f ca="1">VLOOKUP($B48&amp;"_"&amp;$E48,OFFSET([2]stages!$A$1,0,0,COUNTA([2]stages!$A:$A),MATCH(F$1,[2]stages!$2:$2,0)-MATCH("temp_stage",[2]stages!$2:$2,0)+1),MATCH(F$1,[2]stages!$2:$2,0)-MATCH("temp_stage",[2]stages!$2:$2,0)+1,FALSE)</f>
        <v>【上級】惑乱の双神使！？</v>
      </c>
      <c r="G48" s="132" t="str">
        <f ca="1">VLOOKUP($B48&amp;"_"&amp;$E48,OFFSET([2]stages!$A$1,0,0,COUNTA([2]stages!$A:$A),MATCH(G$1,[2]stages!$2:$2,0)-MATCH("temp_stage",[2]stages!$2:$2,0)+1),MATCH(G$1,[2]stages!$2:$2,0)-MATCH("temp_stage",[2]stages!$2:$2,0)+1,FALSE)</f>
        <v>日本神話シリーズ　超級</v>
      </c>
      <c r="H48" s="134">
        <v>0</v>
      </c>
      <c r="I48" s="138">
        <v>19</v>
      </c>
      <c r="J48" s="135" t="s">
        <v>418</v>
      </c>
      <c r="K48" s="136" t="str">
        <f>VLOOKUP(I48,[6]stage_hints!$A:$C,3,FALSE)</f>
        <v>ソロ専用タワーオブザクイーン</v>
      </c>
      <c r="L48" s="137" t="str">
        <f>VLOOKUP(I48,[6]stage_hints!$A:$D,4,FALSE)</f>
        <v>ソロ専用の「タワーオブザクイーン」は_x000D_期間限定で定期的に開催されます_x000D_ここでしか獲得できない報酬もあるようです</v>
      </c>
      <c r="M48" s="54" t="s">
        <v>419</v>
      </c>
    </row>
    <row r="49" spans="1:13" x14ac:dyDescent="0.15">
      <c r="A49" s="130" t="s">
        <v>409</v>
      </c>
      <c r="B49" s="131">
        <v>30048</v>
      </c>
      <c r="C49" s="132" t="str">
        <f ca="1">VLOOKUP($B49,OFFSET([2]quests!$A$1,0,0,COUNTA([2]quests!$A:$A),MATCH(C$1,[2]quests!$1:$1,0)-MATCH($B$1,[2]quests!$1:$1,0)+1),MATCH(C$1,[2]quests!$1:$1,0)-MATCH($B$1,[2]quests!$1:$1,0)+1,FALSE)</f>
        <v>惑乱の双神使！？</v>
      </c>
      <c r="D49" s="132" t="str">
        <f ca="1">VLOOKUP($B49,OFFSET([2]quests!$A$1,0,0,COUNTA([2]quests!$A:$A),MATCH(D$1,[2]quests!$1:$1,0)-MATCH($B$1,[2]quests!$1:$1,0)+1),MATCH(D$1,[2]quests!$1:$1,0)-MATCH($B$1,[2]quests!$1:$1,0)+1,FALSE)</f>
        <v>日本神話シリーズ　超級</v>
      </c>
      <c r="E49" s="133">
        <v>2</v>
      </c>
      <c r="F49" s="132" t="str">
        <f ca="1">VLOOKUP($B49&amp;"_"&amp;$E49,OFFSET([2]stages!$A$1,0,0,COUNTA([2]stages!$A:$A),MATCH(F$1,[2]stages!$2:$2,0)-MATCH("temp_stage",[2]stages!$2:$2,0)+1),MATCH(F$1,[2]stages!$2:$2,0)-MATCH("temp_stage",[2]stages!$2:$2,0)+1,FALSE)</f>
        <v>【上級】惑乱の双神使！？</v>
      </c>
      <c r="G49" s="132" t="str">
        <f ca="1">VLOOKUP($B49&amp;"_"&amp;$E49,OFFSET([2]stages!$A$1,0,0,COUNTA([2]stages!$A:$A),MATCH(G$1,[2]stages!$2:$2,0)-MATCH("temp_stage",[2]stages!$2:$2,0)+1),MATCH(G$1,[2]stages!$2:$2,0)-MATCH("temp_stage",[2]stages!$2:$2,0)+1,FALSE)</f>
        <v>日本神話シリーズ　超級</v>
      </c>
      <c r="H49" s="134">
        <v>0</v>
      </c>
      <c r="I49" s="138">
        <v>20</v>
      </c>
      <c r="J49" s="135" t="s">
        <v>418</v>
      </c>
      <c r="K49" s="136" t="str">
        <f>VLOOKUP(I49,[6]stage_hints!$A:$C,3,FALSE)</f>
        <v>マルチプレイのメリット（その3）</v>
      </c>
      <c r="L49" s="137" t="str">
        <f>VLOOKUP(I49,[6]stage_hints!$A:$D,4,FALSE)</f>
        <v>マルチプレイへの参加はエナジー消費ゼロ_x000D_いつでも好きなだけ遊ぶことができます</v>
      </c>
      <c r="M49" s="54" t="s">
        <v>419</v>
      </c>
    </row>
    <row r="50" spans="1:13" x14ac:dyDescent="0.15">
      <c r="A50" s="130" t="s">
        <v>409</v>
      </c>
      <c r="B50" s="131">
        <v>30048</v>
      </c>
      <c r="C50" s="132" t="str">
        <f ca="1">VLOOKUP($B50,OFFSET([2]quests!$A$1,0,0,COUNTA([2]quests!$A:$A),MATCH(C$1,[2]quests!$1:$1,0)-MATCH($B$1,[2]quests!$1:$1,0)+1),MATCH(C$1,[2]quests!$1:$1,0)-MATCH($B$1,[2]quests!$1:$1,0)+1,FALSE)</f>
        <v>惑乱の双神使！？</v>
      </c>
      <c r="D50" s="132" t="str">
        <f ca="1">VLOOKUP($B50,OFFSET([2]quests!$A$1,0,0,COUNTA([2]quests!$A:$A),MATCH(D$1,[2]quests!$1:$1,0)-MATCH($B$1,[2]quests!$1:$1,0)+1),MATCH(D$1,[2]quests!$1:$1,0)-MATCH($B$1,[2]quests!$1:$1,0)+1,FALSE)</f>
        <v>日本神話シリーズ　超級</v>
      </c>
      <c r="E50" s="133">
        <v>2</v>
      </c>
      <c r="F50" s="132" t="str">
        <f ca="1">VLOOKUP($B50&amp;"_"&amp;$E50,OFFSET([2]stages!$A$1,0,0,COUNTA([2]stages!$A:$A),MATCH(F$1,[2]stages!$2:$2,0)-MATCH("temp_stage",[2]stages!$2:$2,0)+1),MATCH(F$1,[2]stages!$2:$2,0)-MATCH("temp_stage",[2]stages!$2:$2,0)+1,FALSE)</f>
        <v>【上級】惑乱の双神使！？</v>
      </c>
      <c r="G50" s="132" t="str">
        <f ca="1">VLOOKUP($B50&amp;"_"&amp;$E50,OFFSET([2]stages!$A$1,0,0,COUNTA([2]stages!$A:$A),MATCH(G$1,[2]stages!$2:$2,0)-MATCH("temp_stage",[2]stages!$2:$2,0)+1),MATCH(G$1,[2]stages!$2:$2,0)-MATCH("temp_stage",[2]stages!$2:$2,0)+1,FALSE)</f>
        <v>日本神話シリーズ　超級</v>
      </c>
      <c r="H50" s="134">
        <v>0</v>
      </c>
      <c r="I50" s="138">
        <v>21</v>
      </c>
      <c r="J50" s="135" t="s">
        <v>435</v>
      </c>
      <c r="K50" s="136" t="str">
        <f>VLOOKUP(I50,[6]stage_hints!$A:$C,3,FALSE)</f>
        <v>スキルを有効に</v>
      </c>
      <c r="L50" s="137" t="str">
        <f>VLOOKUP(I50,[6]stage_hints!$A:$D,4,FALSE)</f>
        <v>ターン経過でユニットのスキルが使えます_x000D_強力スキルでバトルを有利に進めましょう</v>
      </c>
      <c r="M50" s="54" t="s">
        <v>417</v>
      </c>
    </row>
    <row r="51" spans="1:13" x14ac:dyDescent="0.15">
      <c r="A51" s="130" t="s">
        <v>409</v>
      </c>
      <c r="B51" s="131">
        <v>30048</v>
      </c>
      <c r="C51" s="132" t="str">
        <f ca="1">VLOOKUP($B51,OFFSET([2]quests!$A$1,0,0,COUNTA([2]quests!$A:$A),MATCH(C$1,[2]quests!$1:$1,0)-MATCH($B$1,[2]quests!$1:$1,0)+1),MATCH(C$1,[2]quests!$1:$1,0)-MATCH($B$1,[2]quests!$1:$1,0)+1,FALSE)</f>
        <v>惑乱の双神使！？</v>
      </c>
      <c r="D51" s="132" t="str">
        <f ca="1">VLOOKUP($B51,OFFSET([2]quests!$A$1,0,0,COUNTA([2]quests!$A:$A),MATCH(D$1,[2]quests!$1:$1,0)-MATCH($B$1,[2]quests!$1:$1,0)+1),MATCH(D$1,[2]quests!$1:$1,0)-MATCH($B$1,[2]quests!$1:$1,0)+1,FALSE)</f>
        <v>日本神話シリーズ　超級</v>
      </c>
      <c r="E51" s="133">
        <v>2</v>
      </c>
      <c r="F51" s="132" t="str">
        <f ca="1">VLOOKUP($B51&amp;"_"&amp;$E51,OFFSET([2]stages!$A$1,0,0,COUNTA([2]stages!$A:$A),MATCH(F$1,[2]stages!$2:$2,0)-MATCH("temp_stage",[2]stages!$2:$2,0)+1),MATCH(F$1,[2]stages!$2:$2,0)-MATCH("temp_stage",[2]stages!$2:$2,0)+1,FALSE)</f>
        <v>【上級】惑乱の双神使！？</v>
      </c>
      <c r="G51" s="132" t="str">
        <f ca="1">VLOOKUP($B51&amp;"_"&amp;$E51,OFFSET([2]stages!$A$1,0,0,COUNTA([2]stages!$A:$A),MATCH(G$1,[2]stages!$2:$2,0)-MATCH("temp_stage",[2]stages!$2:$2,0)+1),MATCH(G$1,[2]stages!$2:$2,0)-MATCH("temp_stage",[2]stages!$2:$2,0)+1,FALSE)</f>
        <v>日本神話シリーズ　超級</v>
      </c>
      <c r="H51" s="134">
        <v>0</v>
      </c>
      <c r="I51" s="138">
        <v>22</v>
      </c>
      <c r="J51" s="135" t="s">
        <v>410</v>
      </c>
      <c r="K51" s="136" t="str">
        <f>VLOOKUP(I51,[6]stage_hints!$A:$C,3,FALSE)</f>
        <v>フィーバーで一発逆転（その1）</v>
      </c>
      <c r="L51" s="137" t="str">
        <f>VLOOKUP(I51,[6]stage_hints!$A:$D,4,FALSE)</f>
        <v>フィーバーは攻撃と回復を兼ね備えます_x000D_ピンチからの一発逆転を狙いましょう</v>
      </c>
      <c r="M51" s="54" t="s">
        <v>411</v>
      </c>
    </row>
    <row r="52" spans="1:13" x14ac:dyDescent="0.15">
      <c r="A52" s="130" t="s">
        <v>409</v>
      </c>
      <c r="B52" s="131">
        <v>30048</v>
      </c>
      <c r="C52" s="132" t="str">
        <f ca="1">VLOOKUP($B52,OFFSET([2]quests!$A$1,0,0,COUNTA([2]quests!$A:$A),MATCH(C$1,[2]quests!$1:$1,0)-MATCH($B$1,[2]quests!$1:$1,0)+1),MATCH(C$1,[2]quests!$1:$1,0)-MATCH($B$1,[2]quests!$1:$1,0)+1,FALSE)</f>
        <v>惑乱の双神使！？</v>
      </c>
      <c r="D52" s="132" t="str">
        <f ca="1">VLOOKUP($B52,OFFSET([2]quests!$A$1,0,0,COUNTA([2]quests!$A:$A),MATCH(D$1,[2]quests!$1:$1,0)-MATCH($B$1,[2]quests!$1:$1,0)+1),MATCH(D$1,[2]quests!$1:$1,0)-MATCH($B$1,[2]quests!$1:$1,0)+1,FALSE)</f>
        <v>日本神話シリーズ　超級</v>
      </c>
      <c r="E52" s="133">
        <v>2</v>
      </c>
      <c r="F52" s="132" t="str">
        <f ca="1">VLOOKUP($B52&amp;"_"&amp;$E52,OFFSET([2]stages!$A$1,0,0,COUNTA([2]stages!$A:$A),MATCH(F$1,[2]stages!$2:$2,0)-MATCH("temp_stage",[2]stages!$2:$2,0)+1),MATCH(F$1,[2]stages!$2:$2,0)-MATCH("temp_stage",[2]stages!$2:$2,0)+1,FALSE)</f>
        <v>【上級】惑乱の双神使！？</v>
      </c>
      <c r="G52" s="132" t="str">
        <f ca="1">VLOOKUP($B52&amp;"_"&amp;$E52,OFFSET([2]stages!$A$1,0,0,COUNTA([2]stages!$A:$A),MATCH(G$1,[2]stages!$2:$2,0)-MATCH("temp_stage",[2]stages!$2:$2,0)+1),MATCH(G$1,[2]stages!$2:$2,0)-MATCH("temp_stage",[2]stages!$2:$2,0)+1,FALSE)</f>
        <v>日本神話シリーズ　超級</v>
      </c>
      <c r="H52" s="134">
        <v>0</v>
      </c>
      <c r="I52" s="138">
        <v>23</v>
      </c>
      <c r="J52" s="135" t="s">
        <v>422</v>
      </c>
      <c r="K52" s="136" t="str">
        <f>VLOOKUP(I52,[6]stage_hints!$A:$C,3,FALSE)</f>
        <v>フィーバーで一発逆転（その2）</v>
      </c>
      <c r="L52" s="137" t="str">
        <f>VLOOKUP(I52,[6]stage_hints!$A:$D,4,FALSE)</f>
        <v>フィーバー中は虹色のボムパネルを狙って_x000D_画面上のパネルを一気に破壊しましょう</v>
      </c>
      <c r="M52" s="54" t="s">
        <v>413</v>
      </c>
    </row>
    <row r="53" spans="1:13" x14ac:dyDescent="0.15">
      <c r="A53" s="130" t="s">
        <v>409</v>
      </c>
      <c r="B53" s="131">
        <v>30048</v>
      </c>
      <c r="C53" s="132" t="str">
        <f ca="1">VLOOKUP($B53,OFFSET([2]quests!$A$1,0,0,COUNTA([2]quests!$A:$A),MATCH(C$1,[2]quests!$1:$1,0)-MATCH($B$1,[2]quests!$1:$1,0)+1),MATCH(C$1,[2]quests!$1:$1,0)-MATCH($B$1,[2]quests!$1:$1,0)+1,FALSE)</f>
        <v>惑乱の双神使！？</v>
      </c>
      <c r="D53" s="132" t="str">
        <f ca="1">VLOOKUP($B53,OFFSET([2]quests!$A$1,0,0,COUNTA([2]quests!$A:$A),MATCH(D$1,[2]quests!$1:$1,0)-MATCH($B$1,[2]quests!$1:$1,0)+1),MATCH(D$1,[2]quests!$1:$1,0)-MATCH($B$1,[2]quests!$1:$1,0)+1,FALSE)</f>
        <v>日本神話シリーズ　超級</v>
      </c>
      <c r="E53" s="133">
        <v>2</v>
      </c>
      <c r="F53" s="132" t="str">
        <f ca="1">VLOOKUP($B53&amp;"_"&amp;$E53,OFFSET([2]stages!$A$1,0,0,COUNTA([2]stages!$A:$A),MATCH(F$1,[2]stages!$2:$2,0)-MATCH("temp_stage",[2]stages!$2:$2,0)+1),MATCH(F$1,[2]stages!$2:$2,0)-MATCH("temp_stage",[2]stages!$2:$2,0)+1,FALSE)</f>
        <v>【上級】惑乱の双神使！？</v>
      </c>
      <c r="G53" s="132" t="str">
        <f ca="1">VLOOKUP($B53&amp;"_"&amp;$E53,OFFSET([2]stages!$A$1,0,0,COUNTA([2]stages!$A:$A),MATCH(G$1,[2]stages!$2:$2,0)-MATCH("temp_stage",[2]stages!$2:$2,0)+1),MATCH(G$1,[2]stages!$2:$2,0)-MATCH("temp_stage",[2]stages!$2:$2,0)+1,FALSE)</f>
        <v>日本神話シリーズ　超級</v>
      </c>
      <c r="H53" s="134">
        <v>0</v>
      </c>
      <c r="I53" s="138">
        <v>24</v>
      </c>
      <c r="J53" s="135" t="s">
        <v>435</v>
      </c>
      <c r="K53" s="136" t="str">
        <f>VLOOKUP(I53,[6]stage_hints!$A:$C,3,FALSE)</f>
        <v>果実を使って限界突破</v>
      </c>
      <c r="L53" s="137" t="str">
        <f>VLOOKUP(I53,[6]stage_hints!$A:$D,4,FALSE)</f>
        <v>攻めの果実 癒しの果実_x000D_生命の果実をユニット強化に使うと_x000D_ステータスが限界突破します（計99個迄）</v>
      </c>
      <c r="M53" s="54" t="s">
        <v>436</v>
      </c>
    </row>
    <row r="54" spans="1:13" x14ac:dyDescent="0.15">
      <c r="A54" s="130" t="s">
        <v>409</v>
      </c>
      <c r="B54" s="131">
        <v>30048</v>
      </c>
      <c r="C54" s="132" t="str">
        <f ca="1">VLOOKUP($B54,OFFSET([2]quests!$A$1,0,0,COUNTA([2]quests!$A:$A),MATCH(C$1,[2]quests!$1:$1,0)-MATCH($B$1,[2]quests!$1:$1,0)+1),MATCH(C$1,[2]quests!$1:$1,0)-MATCH($B$1,[2]quests!$1:$1,0)+1,FALSE)</f>
        <v>惑乱の双神使！？</v>
      </c>
      <c r="D54" s="132" t="str">
        <f ca="1">VLOOKUP($B54,OFFSET([2]quests!$A$1,0,0,COUNTA([2]quests!$A:$A),MATCH(D$1,[2]quests!$1:$1,0)-MATCH($B$1,[2]quests!$1:$1,0)+1),MATCH(D$1,[2]quests!$1:$1,0)-MATCH($B$1,[2]quests!$1:$1,0)+1,FALSE)</f>
        <v>日本神話シリーズ　超級</v>
      </c>
      <c r="E54" s="133">
        <v>2</v>
      </c>
      <c r="F54" s="132" t="str">
        <f ca="1">VLOOKUP($B54&amp;"_"&amp;$E54,OFFSET([2]stages!$A$1,0,0,COUNTA([2]stages!$A:$A),MATCH(F$1,[2]stages!$2:$2,0)-MATCH("temp_stage",[2]stages!$2:$2,0)+1),MATCH(F$1,[2]stages!$2:$2,0)-MATCH("temp_stage",[2]stages!$2:$2,0)+1,FALSE)</f>
        <v>【上級】惑乱の双神使！？</v>
      </c>
      <c r="G54" s="132" t="str">
        <f ca="1">VLOOKUP($B54&amp;"_"&amp;$E54,OFFSET([2]stages!$A$1,0,0,COUNTA([2]stages!$A:$A),MATCH(G$1,[2]stages!$2:$2,0)-MATCH("temp_stage",[2]stages!$2:$2,0)+1),MATCH(G$1,[2]stages!$2:$2,0)-MATCH("temp_stage",[2]stages!$2:$2,0)+1,FALSE)</f>
        <v>日本神話シリーズ　超級</v>
      </c>
      <c r="H54" s="134">
        <v>0</v>
      </c>
      <c r="I54" s="138">
        <v>25</v>
      </c>
      <c r="J54" s="135" t="s">
        <v>416</v>
      </c>
      <c r="K54" s="136" t="str">
        <f>VLOOKUP(I54,[6]stage_hints!$A:$C,3,FALSE)</f>
        <v>スキルレベルアップ</v>
      </c>
      <c r="L54" s="137" t="str">
        <f>VLOOKUP(I54,[6]stage_hints!$A:$D,4,FALSE)</f>
        <v>「秘術の果実」を強化に使うと_x000D_スキルレベルを上げることができます</v>
      </c>
      <c r="M54" s="54" t="s">
        <v>417</v>
      </c>
    </row>
    <row r="55" spans="1:13" x14ac:dyDescent="0.15">
      <c r="A55" s="130" t="s">
        <v>409</v>
      </c>
      <c r="B55" s="131">
        <v>30048</v>
      </c>
      <c r="C55" s="132" t="str">
        <f ca="1">VLOOKUP($B55,OFFSET([2]quests!$A$1,0,0,COUNTA([2]quests!$A:$A),MATCH(C$1,[2]quests!$1:$1,0)-MATCH($B$1,[2]quests!$1:$1,0)+1),MATCH(C$1,[2]quests!$1:$1,0)-MATCH($B$1,[2]quests!$1:$1,0)+1,FALSE)</f>
        <v>惑乱の双神使！？</v>
      </c>
      <c r="D55" s="132" t="str">
        <f ca="1">VLOOKUP($B55,OFFSET([2]quests!$A$1,0,0,COUNTA([2]quests!$A:$A),MATCH(D$1,[2]quests!$1:$1,0)-MATCH($B$1,[2]quests!$1:$1,0)+1),MATCH(D$1,[2]quests!$1:$1,0)-MATCH($B$1,[2]quests!$1:$1,0)+1,FALSE)</f>
        <v>日本神話シリーズ　超級</v>
      </c>
      <c r="E55" s="133">
        <v>2</v>
      </c>
      <c r="F55" s="132" t="str">
        <f ca="1">VLOOKUP($B55&amp;"_"&amp;$E55,OFFSET([2]stages!$A$1,0,0,COUNTA([2]stages!$A:$A),MATCH(F$1,[2]stages!$2:$2,0)-MATCH("temp_stage",[2]stages!$2:$2,0)+1),MATCH(F$1,[2]stages!$2:$2,0)-MATCH("temp_stage",[2]stages!$2:$2,0)+1,FALSE)</f>
        <v>【上級】惑乱の双神使！？</v>
      </c>
      <c r="G55" s="132" t="str">
        <f ca="1">VLOOKUP($B55&amp;"_"&amp;$E55,OFFSET([2]stages!$A$1,0,0,COUNTA([2]stages!$A:$A),MATCH(G$1,[2]stages!$2:$2,0)-MATCH("temp_stage",[2]stages!$2:$2,0)+1),MATCH(G$1,[2]stages!$2:$2,0)-MATCH("temp_stage",[2]stages!$2:$2,0)+1,FALSE)</f>
        <v>日本神話シリーズ　超級</v>
      </c>
      <c r="H55" s="134">
        <v>0</v>
      </c>
      <c r="I55" s="138">
        <v>26</v>
      </c>
      <c r="J55" s="135" t="s">
        <v>410</v>
      </c>
      <c r="K55" s="136" t="str">
        <f>VLOOKUP(I55,[6]stage_hints!$A:$C,3,FALSE)</f>
        <v>スキルレベルの効果</v>
      </c>
      <c r="L55" s="137" t="str">
        <f>VLOOKUP(I55,[6]stage_hints!$A:$D,4,FALSE)</f>
        <v>スキルレベルが上がると_x000D_短いターンでスキルを使うことができます</v>
      </c>
      <c r="M55" s="54" t="s">
        <v>411</v>
      </c>
    </row>
    <row r="56" spans="1:13" x14ac:dyDescent="0.15">
      <c r="A56" s="130" t="s">
        <v>409</v>
      </c>
      <c r="B56" s="131">
        <v>30048</v>
      </c>
      <c r="C56" s="132" t="str">
        <f ca="1">VLOOKUP($B56,OFFSET([2]quests!$A$1,0,0,COUNTA([2]quests!$A:$A),MATCH(C$1,[2]quests!$1:$1,0)-MATCH($B$1,[2]quests!$1:$1,0)+1),MATCH(C$1,[2]quests!$1:$1,0)-MATCH($B$1,[2]quests!$1:$1,0)+1,FALSE)</f>
        <v>惑乱の双神使！？</v>
      </c>
      <c r="D56" s="132" t="str">
        <f ca="1">VLOOKUP($B56,OFFSET([2]quests!$A$1,0,0,COUNTA([2]quests!$A:$A),MATCH(D$1,[2]quests!$1:$1,0)-MATCH($B$1,[2]quests!$1:$1,0)+1),MATCH(D$1,[2]quests!$1:$1,0)-MATCH($B$1,[2]quests!$1:$1,0)+1,FALSE)</f>
        <v>日本神話シリーズ　超級</v>
      </c>
      <c r="E56" s="133">
        <v>2</v>
      </c>
      <c r="F56" s="132" t="str">
        <f ca="1">VLOOKUP($B56&amp;"_"&amp;$E56,OFFSET([2]stages!$A$1,0,0,COUNTA([2]stages!$A:$A),MATCH(F$1,[2]stages!$2:$2,0)-MATCH("temp_stage",[2]stages!$2:$2,0)+1),MATCH(F$1,[2]stages!$2:$2,0)-MATCH("temp_stage",[2]stages!$2:$2,0)+1,FALSE)</f>
        <v>【上級】惑乱の双神使！？</v>
      </c>
      <c r="G56" s="132" t="str">
        <f ca="1">VLOOKUP($B56&amp;"_"&amp;$E56,OFFSET([2]stages!$A$1,0,0,COUNTA([2]stages!$A:$A),MATCH(G$1,[2]stages!$2:$2,0)-MATCH("temp_stage",[2]stages!$2:$2,0)+1),MATCH(G$1,[2]stages!$2:$2,0)-MATCH("temp_stage",[2]stages!$2:$2,0)+1,FALSE)</f>
        <v>日本神話シリーズ　超級</v>
      </c>
      <c r="H56" s="134">
        <v>0</v>
      </c>
      <c r="I56" s="138">
        <v>27</v>
      </c>
      <c r="J56" s="135" t="s">
        <v>435</v>
      </c>
      <c r="K56" s="136" t="str">
        <f>VLOOKUP(I56,[6]stage_hints!$A:$C,3,FALSE)</f>
        <v>ホーム画面からデッキを編成</v>
      </c>
      <c r="L56" s="137" t="str">
        <f>VLOOKUP(I56,[6]stage_hints!$A:$D,4,FALSE)</f>
        <v>ホーム画面でユニットを長押しすると_x000D_すぐにパーティ編成に移動できます</v>
      </c>
      <c r="M56" s="54" t="s">
        <v>436</v>
      </c>
    </row>
    <row r="57" spans="1:13" x14ac:dyDescent="0.15">
      <c r="A57" s="130" t="s">
        <v>409</v>
      </c>
      <c r="B57" s="131">
        <v>30048</v>
      </c>
      <c r="C57" s="132" t="str">
        <f ca="1">VLOOKUP($B57,OFFSET([2]quests!$A$1,0,0,COUNTA([2]quests!$A:$A),MATCH(C$1,[2]quests!$1:$1,0)-MATCH($B$1,[2]quests!$1:$1,0)+1),MATCH(C$1,[2]quests!$1:$1,0)-MATCH($B$1,[2]quests!$1:$1,0)+1,FALSE)</f>
        <v>惑乱の双神使！？</v>
      </c>
      <c r="D57" s="132" t="str">
        <f ca="1">VLOOKUP($B57,OFFSET([2]quests!$A$1,0,0,COUNTA([2]quests!$A:$A),MATCH(D$1,[2]quests!$1:$1,0)-MATCH($B$1,[2]quests!$1:$1,0)+1),MATCH(D$1,[2]quests!$1:$1,0)-MATCH($B$1,[2]quests!$1:$1,0)+1,FALSE)</f>
        <v>日本神話シリーズ　超級</v>
      </c>
      <c r="E57" s="133">
        <v>2</v>
      </c>
      <c r="F57" s="132" t="str">
        <f ca="1">VLOOKUP($B57&amp;"_"&amp;$E57,OFFSET([2]stages!$A$1,0,0,COUNTA([2]stages!$A:$A),MATCH(F$1,[2]stages!$2:$2,0)-MATCH("temp_stage",[2]stages!$2:$2,0)+1),MATCH(F$1,[2]stages!$2:$2,0)-MATCH("temp_stage",[2]stages!$2:$2,0)+1,FALSE)</f>
        <v>【上級】惑乱の双神使！？</v>
      </c>
      <c r="G57" s="132" t="str">
        <f ca="1">VLOOKUP($B57&amp;"_"&amp;$E57,OFFSET([2]stages!$A$1,0,0,COUNTA([2]stages!$A:$A),MATCH(G$1,[2]stages!$2:$2,0)-MATCH("temp_stage",[2]stages!$2:$2,0)+1),MATCH(G$1,[2]stages!$2:$2,0)-MATCH("temp_stage",[2]stages!$2:$2,0)+1,FALSE)</f>
        <v>日本神話シリーズ　超級</v>
      </c>
      <c r="H57" s="134">
        <v>0</v>
      </c>
      <c r="I57" s="138">
        <v>28</v>
      </c>
      <c r="J57" s="135" t="s">
        <v>437</v>
      </c>
      <c r="K57" s="136" t="str">
        <f>VLOOKUP(I57,[6]stage_hints!$A:$C,3,FALSE)</f>
        <v>ステータス情報は長押しで</v>
      </c>
      <c r="L57" s="137" t="str">
        <f>VLOOKUP(I57,[6]stage_hints!$A:$D,4,FALSE)</f>
        <v>ユニットのアイコンを長押しすると_x000D_ステータス情報を確認することができます</v>
      </c>
      <c r="M57" s="54" t="s">
        <v>438</v>
      </c>
    </row>
    <row r="58" spans="1:13" x14ac:dyDescent="0.15">
      <c r="A58" s="130" t="s">
        <v>409</v>
      </c>
      <c r="B58" s="131">
        <v>30048</v>
      </c>
      <c r="C58" s="132" t="str">
        <f ca="1">VLOOKUP($B58,OFFSET([2]quests!$A$1,0,0,COUNTA([2]quests!$A:$A),MATCH(C$1,[2]quests!$1:$1,0)-MATCH($B$1,[2]quests!$1:$1,0)+1),MATCH(C$1,[2]quests!$1:$1,0)-MATCH($B$1,[2]quests!$1:$1,0)+1,FALSE)</f>
        <v>惑乱の双神使！？</v>
      </c>
      <c r="D58" s="132" t="str">
        <f ca="1">VLOOKUP($B58,OFFSET([2]quests!$A$1,0,0,COUNTA([2]quests!$A:$A),MATCH(D$1,[2]quests!$1:$1,0)-MATCH($B$1,[2]quests!$1:$1,0)+1),MATCH(D$1,[2]quests!$1:$1,0)-MATCH($B$1,[2]quests!$1:$1,0)+1,FALSE)</f>
        <v>日本神話シリーズ　超級</v>
      </c>
      <c r="E58" s="133">
        <v>2</v>
      </c>
      <c r="F58" s="132" t="str">
        <f ca="1">VLOOKUP($B58&amp;"_"&amp;$E58,OFFSET([2]stages!$A$1,0,0,COUNTA([2]stages!$A:$A),MATCH(F$1,[2]stages!$2:$2,0)-MATCH("temp_stage",[2]stages!$2:$2,0)+1),MATCH(F$1,[2]stages!$2:$2,0)-MATCH("temp_stage",[2]stages!$2:$2,0)+1,FALSE)</f>
        <v>【上級】惑乱の双神使！？</v>
      </c>
      <c r="G58" s="132" t="str">
        <f ca="1">VLOOKUP($B58&amp;"_"&amp;$E58,OFFSET([2]stages!$A$1,0,0,COUNTA([2]stages!$A:$A),MATCH(G$1,[2]stages!$2:$2,0)-MATCH("temp_stage",[2]stages!$2:$2,0)+1),MATCH(G$1,[2]stages!$2:$2,0)-MATCH("temp_stage",[2]stages!$2:$2,0)+1,FALSE)</f>
        <v>日本神話シリーズ　超級</v>
      </c>
      <c r="H58" s="134">
        <v>0</v>
      </c>
      <c r="I58" s="138">
        <v>29</v>
      </c>
      <c r="J58" s="135" t="s">
        <v>414</v>
      </c>
      <c r="K58" s="136" t="str">
        <f>VLOOKUP(I58,[6]stage_hints!$A:$C,3,FALSE)</f>
        <v>「バグ」のメリット</v>
      </c>
      <c r="L58" s="137" t="str">
        <f>VLOOKUP(I58,[6]stage_hints!$A:$D,4,FALSE)</f>
        <v>ユニットの「バグ」を増やすと_x000D_報酬をもらえる確率がアップします</v>
      </c>
      <c r="M58" s="54" t="s">
        <v>415</v>
      </c>
    </row>
    <row r="59" spans="1:13" x14ac:dyDescent="0.15">
      <c r="A59" s="130" t="s">
        <v>409</v>
      </c>
      <c r="B59" s="131">
        <v>30048</v>
      </c>
      <c r="C59" s="132" t="str">
        <f ca="1">VLOOKUP($B59,OFFSET([2]quests!$A$1,0,0,COUNTA([2]quests!$A:$A),MATCH(C$1,[2]quests!$1:$1,0)-MATCH($B$1,[2]quests!$1:$1,0)+1),MATCH(C$1,[2]quests!$1:$1,0)-MATCH($B$1,[2]quests!$1:$1,0)+1,FALSE)</f>
        <v>惑乱の双神使！？</v>
      </c>
      <c r="D59" s="132" t="str">
        <f ca="1">VLOOKUP($B59,OFFSET([2]quests!$A$1,0,0,COUNTA([2]quests!$A:$A),MATCH(D$1,[2]quests!$1:$1,0)-MATCH($B$1,[2]quests!$1:$1,0)+1),MATCH(D$1,[2]quests!$1:$1,0)-MATCH($B$1,[2]quests!$1:$1,0)+1,FALSE)</f>
        <v>日本神話シリーズ　超級</v>
      </c>
      <c r="E59" s="133">
        <v>2</v>
      </c>
      <c r="F59" s="132" t="str">
        <f ca="1">VLOOKUP($B59&amp;"_"&amp;$E59,OFFSET([2]stages!$A$1,0,0,COUNTA([2]stages!$A:$A),MATCH(F$1,[2]stages!$2:$2,0)-MATCH("temp_stage",[2]stages!$2:$2,0)+1),MATCH(F$1,[2]stages!$2:$2,0)-MATCH("temp_stage",[2]stages!$2:$2,0)+1,FALSE)</f>
        <v>【上級】惑乱の双神使！？</v>
      </c>
      <c r="G59" s="132" t="str">
        <f ca="1">VLOOKUP($B59&amp;"_"&amp;$E59,OFFSET([2]stages!$A$1,0,0,COUNTA([2]stages!$A:$A),MATCH(G$1,[2]stages!$2:$2,0)-MATCH("temp_stage",[2]stages!$2:$2,0)+1),MATCH(G$1,[2]stages!$2:$2,0)-MATCH("temp_stage",[2]stages!$2:$2,0)+1,FALSE)</f>
        <v>日本神話シリーズ　超級</v>
      </c>
      <c r="H59" s="134">
        <v>0</v>
      </c>
      <c r="I59" s="138">
        <v>30</v>
      </c>
      <c r="J59" s="135" t="s">
        <v>439</v>
      </c>
      <c r="K59" s="136" t="str">
        <f>VLOOKUP(I59,[6]stage_hints!$A:$C,3,FALSE)</f>
        <v>「バグ」の増やし方</v>
      </c>
      <c r="L59" s="137" t="str">
        <f>VLOOKUP(I59,[6]stage_hints!$A:$D,4,FALSE)</f>
        <v>同じユニット同士を強化で合成すると_x000D_「バグ」を増やすことができます</v>
      </c>
      <c r="M59" s="54" t="s">
        <v>440</v>
      </c>
    </row>
    <row r="60" spans="1:13" x14ac:dyDescent="0.15">
      <c r="A60" s="130" t="s">
        <v>409</v>
      </c>
      <c r="B60" s="131">
        <v>30048</v>
      </c>
      <c r="C60" s="132" t="str">
        <f ca="1">VLOOKUP($B60,OFFSET([2]quests!$A$1,0,0,COUNTA([2]quests!$A:$A),MATCH(C$1,[2]quests!$1:$1,0)-MATCH($B$1,[2]quests!$1:$1,0)+1),MATCH(C$1,[2]quests!$1:$1,0)-MATCH($B$1,[2]quests!$1:$1,0)+1,FALSE)</f>
        <v>惑乱の双神使！？</v>
      </c>
      <c r="D60" s="132" t="str">
        <f ca="1">VLOOKUP($B60,OFFSET([2]quests!$A$1,0,0,COUNTA([2]quests!$A:$A),MATCH(D$1,[2]quests!$1:$1,0)-MATCH($B$1,[2]quests!$1:$1,0)+1),MATCH(D$1,[2]quests!$1:$1,0)-MATCH($B$1,[2]quests!$1:$1,0)+1,FALSE)</f>
        <v>日本神話シリーズ　超級</v>
      </c>
      <c r="E60" s="133">
        <v>2</v>
      </c>
      <c r="F60" s="132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【上級】惑乱の双神使！？</v>
      </c>
      <c r="G60" s="132" t="str">
        <f ca="1">VLOOKUP($B60&amp;"_"&amp;$E60,OFFSET([2]stages!$A$1,0,0,COUNTA([2]stages!$A:$A),MATCH(G$1,[2]stages!$2:$2,0)-MATCH("temp_stage",[2]stages!$2:$2,0)+1),MATCH(G$1,[2]stages!$2:$2,0)-MATCH("temp_stage",[2]stages!$2:$2,0)+1,FALSE)</f>
        <v>日本神話シリーズ　超級</v>
      </c>
      <c r="H60" s="134">
        <v>0</v>
      </c>
      <c r="I60" s="138">
        <v>31</v>
      </c>
      <c r="J60" s="135" t="s">
        <v>410</v>
      </c>
      <c r="K60" s="136" t="str">
        <f>VLOOKUP(I60,[6]stage_hints!$A:$C,3,FALSE)</f>
        <v>イベントはお知らせでチェック</v>
      </c>
      <c r="L60" s="137" t="str">
        <f>VLOOKUP(I60,[6]stage_hints!$A:$D,4,FALSE)</f>
        <v>イベント限定ユニットを取り忘れないように_x000D_お知らせをこまめにチェックしましょう</v>
      </c>
      <c r="M60" s="54" t="s">
        <v>411</v>
      </c>
    </row>
    <row r="61" spans="1:13" x14ac:dyDescent="0.15">
      <c r="A61" s="130" t="s">
        <v>409</v>
      </c>
      <c r="B61" s="131">
        <v>30048</v>
      </c>
      <c r="C61" s="132" t="str">
        <f ca="1">VLOOKUP($B61,OFFSET([2]quests!$A$1,0,0,COUNTA([2]quests!$A:$A),MATCH(C$1,[2]quests!$1:$1,0)-MATCH($B$1,[2]quests!$1:$1,0)+1),MATCH(C$1,[2]quests!$1:$1,0)-MATCH($B$1,[2]quests!$1:$1,0)+1,FALSE)</f>
        <v>惑乱の双神使！？</v>
      </c>
      <c r="D61" s="132" t="str">
        <f ca="1">VLOOKUP($B61,OFFSET([2]quests!$A$1,0,0,COUNTA([2]quests!$A:$A),MATCH(D$1,[2]quests!$1:$1,0)-MATCH($B$1,[2]quests!$1:$1,0)+1),MATCH(D$1,[2]quests!$1:$1,0)-MATCH($B$1,[2]quests!$1:$1,0)+1,FALSE)</f>
        <v>日本神話シリーズ　超級</v>
      </c>
      <c r="E61" s="133">
        <v>2</v>
      </c>
      <c r="F61" s="132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【上級】惑乱の双神使！？</v>
      </c>
      <c r="G61" s="132" t="str">
        <f ca="1">VLOOKUP($B61&amp;"_"&amp;$E61,OFFSET([2]stages!$A$1,0,0,COUNTA([2]stages!$A:$A),MATCH(G$1,[2]stages!$2:$2,0)-MATCH("temp_stage",[2]stages!$2:$2,0)+1),MATCH(G$1,[2]stages!$2:$2,0)-MATCH("temp_stage",[2]stages!$2:$2,0)+1,FALSE)</f>
        <v>日本神話シリーズ　超級</v>
      </c>
      <c r="H61" s="134">
        <v>0</v>
      </c>
      <c r="I61" s="138">
        <v>32</v>
      </c>
      <c r="J61" s="135" t="s">
        <v>433</v>
      </c>
      <c r="K61" s="136" t="str">
        <f>VLOOKUP(I61,[6]stage_hints!$A:$C,3,FALSE)</f>
        <v>敵の連続攻撃には</v>
      </c>
      <c r="L61" s="137" t="str">
        <f>VLOOKUP(I61,[6]stage_hints!$A:$D,4,FALSE)</f>
        <v>カウンタースキルを持つユニットがいれば_x000D_ダメージ回数分の反撃ができます</v>
      </c>
      <c r="M61" s="54" t="s">
        <v>434</v>
      </c>
    </row>
    <row r="62" spans="1:13" x14ac:dyDescent="0.15">
      <c r="A62" s="130" t="s">
        <v>409</v>
      </c>
      <c r="B62" s="131">
        <v>30048</v>
      </c>
      <c r="C62" s="132" t="str">
        <f ca="1">VLOOKUP($B62,OFFSET([2]quests!$A$1,0,0,COUNTA([2]quests!$A:$A),MATCH(C$1,[2]quests!$1:$1,0)-MATCH($B$1,[2]quests!$1:$1,0)+1),MATCH(C$1,[2]quests!$1:$1,0)-MATCH($B$1,[2]quests!$1:$1,0)+1,FALSE)</f>
        <v>惑乱の双神使！？</v>
      </c>
      <c r="D62" s="132" t="str">
        <f ca="1">VLOOKUP($B62,OFFSET([2]quests!$A$1,0,0,COUNTA([2]quests!$A:$A),MATCH(D$1,[2]quests!$1:$1,0)-MATCH($B$1,[2]quests!$1:$1,0)+1),MATCH(D$1,[2]quests!$1:$1,0)-MATCH($B$1,[2]quests!$1:$1,0)+1,FALSE)</f>
        <v>日本神話シリーズ　超級</v>
      </c>
      <c r="E62" s="133">
        <v>2</v>
      </c>
      <c r="F62" s="132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【上級】惑乱の双神使！？</v>
      </c>
      <c r="G62" s="132" t="str">
        <f ca="1">VLOOKUP($B62&amp;"_"&amp;$E62,OFFSET([2]stages!$A$1,0,0,COUNTA([2]stages!$A:$A),MATCH(G$1,[2]stages!$2:$2,0)-MATCH("temp_stage",[2]stages!$2:$2,0)+1),MATCH(G$1,[2]stages!$2:$2,0)-MATCH("temp_stage",[2]stages!$2:$2,0)+1,FALSE)</f>
        <v>日本神話シリーズ　超級</v>
      </c>
      <c r="H62" s="134">
        <v>0</v>
      </c>
      <c r="I62" s="138">
        <v>33</v>
      </c>
      <c r="J62" s="135" t="s">
        <v>416</v>
      </c>
      <c r="K62" s="136" t="str">
        <f>VLOOKUP(I62,[6]stage_hints!$A:$C,3,FALSE)</f>
        <v>敵のカウンター攻撃には</v>
      </c>
      <c r="L62" s="137" t="str">
        <f>VLOOKUP(I62,[6]stage_hints!$A:$D,4,FALSE)</f>
        <v>カウンターブレイクスキルを持っていれば_x000D_敵のカウンターを解除して攻撃ができます</v>
      </c>
      <c r="M62" s="54" t="s">
        <v>417</v>
      </c>
    </row>
    <row r="63" spans="1:13" x14ac:dyDescent="0.15">
      <c r="A63" s="130" t="s">
        <v>409</v>
      </c>
      <c r="B63" s="131">
        <v>30048</v>
      </c>
      <c r="C63" s="132" t="str">
        <f ca="1">VLOOKUP($B63,OFFSET([2]quests!$A$1,0,0,COUNTA([2]quests!$A:$A),MATCH(C$1,[2]quests!$1:$1,0)-MATCH($B$1,[2]quests!$1:$1,0)+1),MATCH(C$1,[2]quests!$1:$1,0)-MATCH($B$1,[2]quests!$1:$1,0)+1,FALSE)</f>
        <v>惑乱の双神使！？</v>
      </c>
      <c r="D63" s="132" t="str">
        <f ca="1">VLOOKUP($B63,OFFSET([2]quests!$A$1,0,0,COUNTA([2]quests!$A:$A),MATCH(D$1,[2]quests!$1:$1,0)-MATCH($B$1,[2]quests!$1:$1,0)+1),MATCH(D$1,[2]quests!$1:$1,0)-MATCH($B$1,[2]quests!$1:$1,0)+1,FALSE)</f>
        <v>日本神話シリーズ　超級</v>
      </c>
      <c r="E63" s="133">
        <v>2</v>
      </c>
      <c r="F63" s="132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【上級】惑乱の双神使！？</v>
      </c>
      <c r="G63" s="132" t="str">
        <f ca="1">VLOOKUP($B63&amp;"_"&amp;$E63,OFFSET([2]stages!$A$1,0,0,COUNTA([2]stages!$A:$A),MATCH(G$1,[2]stages!$2:$2,0)-MATCH("temp_stage",[2]stages!$2:$2,0)+1),MATCH(G$1,[2]stages!$2:$2,0)-MATCH("temp_stage",[2]stages!$2:$2,0)+1,FALSE)</f>
        <v>日本神話シリーズ　超級</v>
      </c>
      <c r="H63" s="134">
        <v>0</v>
      </c>
      <c r="I63" s="138">
        <v>34</v>
      </c>
      <c r="J63" s="135" t="s">
        <v>426</v>
      </c>
      <c r="K63" s="136" t="str">
        <f>VLOOKUP(I63,[6]stage_hints!$A:$C,3,FALSE)</f>
        <v>ステータスをスキルで下げられたら</v>
      </c>
      <c r="L63" s="137" t="str">
        <f>VLOOKUP(I63,[6]stage_hints!$A:$D,4,FALSE)</f>
        <v>ステータスダウンのスキルを受けたら_x000D_ステータスアップスキルで上書きしましょう</v>
      </c>
      <c r="M63" s="54" t="s">
        <v>427</v>
      </c>
    </row>
    <row r="64" spans="1:13" x14ac:dyDescent="0.15">
      <c r="A64" s="130" t="s">
        <v>409</v>
      </c>
      <c r="B64" s="131">
        <v>30048</v>
      </c>
      <c r="C64" s="132" t="str">
        <f ca="1">VLOOKUP($B64,OFFSET([2]quests!$A$1,0,0,COUNTA([2]quests!$A:$A),MATCH(C$1,[2]quests!$1:$1,0)-MATCH($B$1,[2]quests!$1:$1,0)+1),MATCH(C$1,[2]quests!$1:$1,0)-MATCH($B$1,[2]quests!$1:$1,0)+1,FALSE)</f>
        <v>惑乱の双神使！？</v>
      </c>
      <c r="D64" s="132" t="str">
        <f ca="1">VLOOKUP($B64,OFFSET([2]quests!$A$1,0,0,COUNTA([2]quests!$A:$A),MATCH(D$1,[2]quests!$1:$1,0)-MATCH($B$1,[2]quests!$1:$1,0)+1),MATCH(D$1,[2]quests!$1:$1,0)-MATCH($B$1,[2]quests!$1:$1,0)+1,FALSE)</f>
        <v>日本神話シリーズ　超級</v>
      </c>
      <c r="E64" s="133">
        <v>2</v>
      </c>
      <c r="F64" s="132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【上級】惑乱の双神使！？</v>
      </c>
      <c r="G64" s="132" t="str">
        <f ca="1">VLOOKUP($B64&amp;"_"&amp;$E64,OFFSET([2]stages!$A$1,0,0,COUNTA([2]stages!$A:$A),MATCH(G$1,[2]stages!$2:$2,0)-MATCH("temp_stage",[2]stages!$2:$2,0)+1),MATCH(G$1,[2]stages!$2:$2,0)-MATCH("temp_stage",[2]stages!$2:$2,0)+1,FALSE)</f>
        <v>日本神話シリーズ　超級</v>
      </c>
      <c r="H64" s="134">
        <v>0</v>
      </c>
      <c r="I64" s="138">
        <v>35</v>
      </c>
      <c r="J64" s="135" t="s">
        <v>441</v>
      </c>
      <c r="K64" s="136" t="str">
        <f>VLOOKUP(I64,[6]stage_hints!$A:$C,3,FALSE)</f>
        <v>敵のステータスがスキルで上がったら</v>
      </c>
      <c r="L64" s="137" t="str">
        <f>VLOOKUP(I64,[6]stage_hints!$A:$D,4,FALSE)</f>
        <v>敵のステータスがスキルでアップしたときは_x000D_ステータスダウンスキルで上書きしましょう</v>
      </c>
      <c r="M64" s="54" t="s">
        <v>442</v>
      </c>
    </row>
    <row r="65" spans="1:13" x14ac:dyDescent="0.15">
      <c r="A65" s="130" t="s">
        <v>409</v>
      </c>
      <c r="B65" s="131">
        <v>30048</v>
      </c>
      <c r="C65" s="132" t="str">
        <f ca="1">VLOOKUP($B65,OFFSET([2]quests!$A$1,0,0,COUNTA([2]quests!$A:$A),MATCH(C$1,[2]quests!$1:$1,0)-MATCH($B$1,[2]quests!$1:$1,0)+1),MATCH(C$1,[2]quests!$1:$1,0)-MATCH($B$1,[2]quests!$1:$1,0)+1,FALSE)</f>
        <v>惑乱の双神使！？</v>
      </c>
      <c r="D65" s="132" t="str">
        <f ca="1">VLOOKUP($B65,OFFSET([2]quests!$A$1,0,0,COUNTA([2]quests!$A:$A),MATCH(D$1,[2]quests!$1:$1,0)-MATCH($B$1,[2]quests!$1:$1,0)+1),MATCH(D$1,[2]quests!$1:$1,0)-MATCH($B$1,[2]quests!$1:$1,0)+1,FALSE)</f>
        <v>日本神話シリーズ　超級</v>
      </c>
      <c r="E65" s="133">
        <v>2</v>
      </c>
      <c r="F65" s="132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【上級】惑乱の双神使！？</v>
      </c>
      <c r="G65" s="132" t="str">
        <f ca="1">VLOOKUP($B65&amp;"_"&amp;$E65,OFFSET([2]stages!$A$1,0,0,COUNTA([2]stages!$A:$A),MATCH(G$1,[2]stages!$2:$2,0)-MATCH("temp_stage",[2]stages!$2:$2,0)+1),MATCH(G$1,[2]stages!$2:$2,0)-MATCH("temp_stage",[2]stages!$2:$2,0)+1,FALSE)</f>
        <v>日本神話シリーズ　超級</v>
      </c>
      <c r="H65" s="134">
        <v>0</v>
      </c>
      <c r="I65" s="138">
        <v>36</v>
      </c>
      <c r="J65" s="135" t="s">
        <v>426</v>
      </c>
      <c r="K65" s="136" t="str">
        <f>VLOOKUP(I65,[6]stage_hints!$A:$C,3,FALSE)</f>
        <v>タワーオブザクイーンのボス</v>
      </c>
      <c r="L65" s="137" t="str">
        <f>VLOOKUP(I65,[6]stage_hints!$A:$D,4,FALSE)</f>
        <v>「タワーオブザクイーン」最上階のボスは_x000D_15階の初回クリア報酬で獲得できるほか_x000D_その階にて低確率でドロップもします</v>
      </c>
      <c r="M65" s="54" t="s">
        <v>427</v>
      </c>
    </row>
    <row r="66" spans="1:13" x14ac:dyDescent="0.15">
      <c r="A66" s="130" t="s">
        <v>409</v>
      </c>
      <c r="B66" s="131">
        <v>30048</v>
      </c>
      <c r="C66" s="132" t="str">
        <f ca="1">VLOOKUP($B66,OFFSET([2]quests!$A$1,0,0,COUNTA([2]quests!$A:$A),MATCH(C$1,[2]quests!$1:$1,0)-MATCH($B$1,[2]quests!$1:$1,0)+1),MATCH(C$1,[2]quests!$1:$1,0)-MATCH($B$1,[2]quests!$1:$1,0)+1,FALSE)</f>
        <v>惑乱の双神使！？</v>
      </c>
      <c r="D66" s="132" t="str">
        <f ca="1">VLOOKUP($B66,OFFSET([2]quests!$A$1,0,0,COUNTA([2]quests!$A:$A),MATCH(D$1,[2]quests!$1:$1,0)-MATCH($B$1,[2]quests!$1:$1,0)+1),MATCH(D$1,[2]quests!$1:$1,0)-MATCH($B$1,[2]quests!$1:$1,0)+1,FALSE)</f>
        <v>日本神話シリーズ　超級</v>
      </c>
      <c r="E66" s="133">
        <v>2</v>
      </c>
      <c r="F66" s="132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【上級】惑乱の双神使！？</v>
      </c>
      <c r="G66" s="132" t="str">
        <f ca="1">VLOOKUP($B66&amp;"_"&amp;$E66,OFFSET([2]stages!$A$1,0,0,COUNTA([2]stages!$A:$A),MATCH(G$1,[2]stages!$2:$2,0)-MATCH("temp_stage",[2]stages!$2:$2,0)+1),MATCH(G$1,[2]stages!$2:$2,0)-MATCH("temp_stage",[2]stages!$2:$2,0)+1,FALSE)</f>
        <v>日本神話シリーズ　超級</v>
      </c>
      <c r="H66" s="134">
        <v>0</v>
      </c>
      <c r="I66" s="138">
        <v>37</v>
      </c>
      <c r="J66" s="135" t="s">
        <v>418</v>
      </c>
      <c r="K66" s="136" t="str">
        <f>VLOOKUP(I66,[6]stage_hints!$A:$C,3,FALSE)</f>
        <v>限界突破値の引き継ぎ</v>
      </c>
      <c r="L66" s="137" t="str">
        <f>VLOOKUP(I66,[6]stage_hints!$A:$D,4,FALSE)</f>
        <v>同じユニットを強化で合成すると_x000D_限界突破値を引き継げます（覚醒前後も可）</v>
      </c>
      <c r="M66" s="54" t="s">
        <v>419</v>
      </c>
    </row>
    <row r="67" spans="1:13" x14ac:dyDescent="0.15">
      <c r="A67" s="130" t="s">
        <v>409</v>
      </c>
      <c r="B67" s="131">
        <v>30048</v>
      </c>
      <c r="C67" s="132" t="str">
        <f ca="1">VLOOKUP($B67,OFFSET([2]quests!$A$1,0,0,COUNTA([2]quests!$A:$A),MATCH(C$1,[2]quests!$1:$1,0)-MATCH($B$1,[2]quests!$1:$1,0)+1),MATCH(C$1,[2]quests!$1:$1,0)-MATCH($B$1,[2]quests!$1:$1,0)+1,FALSE)</f>
        <v>惑乱の双神使！？</v>
      </c>
      <c r="D67" s="132" t="str">
        <f ca="1">VLOOKUP($B67,OFFSET([2]quests!$A$1,0,0,COUNTA([2]quests!$A:$A),MATCH(D$1,[2]quests!$1:$1,0)-MATCH($B$1,[2]quests!$1:$1,0)+1),MATCH(D$1,[2]quests!$1:$1,0)-MATCH($B$1,[2]quests!$1:$1,0)+1,FALSE)</f>
        <v>日本神話シリーズ　超級</v>
      </c>
      <c r="E67" s="133">
        <v>2</v>
      </c>
      <c r="F67" s="132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【上級】惑乱の双神使！？</v>
      </c>
      <c r="G67" s="132" t="str">
        <f ca="1">VLOOKUP($B67&amp;"_"&amp;$E67,OFFSET([2]stages!$A$1,0,0,COUNTA([2]stages!$A:$A),MATCH(G$1,[2]stages!$2:$2,0)-MATCH("temp_stage",[2]stages!$2:$2,0)+1),MATCH(G$1,[2]stages!$2:$2,0)-MATCH("temp_stage",[2]stages!$2:$2,0)+1,FALSE)</f>
        <v>日本神話シリーズ　超級</v>
      </c>
      <c r="H67" s="134">
        <v>0</v>
      </c>
      <c r="I67" s="138">
        <v>39</v>
      </c>
      <c r="J67" s="135" t="s">
        <v>418</v>
      </c>
      <c r="K67" s="136" t="str">
        <f>VLOOKUP(I67,[6]stage_hints!$A:$C,3,FALSE)</f>
        <v>システム適合者を確認</v>
      </c>
      <c r="L67" s="137" t="str">
        <f>VLOOKUP(I67,[6]stage_hints!$A:$D,4,FALSE)</f>
        <v>ALICEが 「アナタ」を呼んでいます</v>
      </c>
      <c r="M67" s="54" t="s">
        <v>419</v>
      </c>
    </row>
    <row r="68" spans="1:13" x14ac:dyDescent="0.15">
      <c r="A68" s="130" t="s">
        <v>409</v>
      </c>
      <c r="B68" s="131">
        <v>30048</v>
      </c>
      <c r="C68" s="132" t="str">
        <f ca="1">VLOOKUP($B68,OFFSET([2]quests!$A$1,0,0,COUNTA([2]quests!$A:$A),MATCH(C$1,[2]quests!$1:$1,0)-MATCH($B$1,[2]quests!$1:$1,0)+1),MATCH(C$1,[2]quests!$1:$1,0)-MATCH($B$1,[2]quests!$1:$1,0)+1,FALSE)</f>
        <v>惑乱の双神使！？</v>
      </c>
      <c r="D68" s="132" t="str">
        <f ca="1">VLOOKUP($B68,OFFSET([2]quests!$A$1,0,0,COUNTA([2]quests!$A:$A),MATCH(D$1,[2]quests!$1:$1,0)-MATCH($B$1,[2]quests!$1:$1,0)+1),MATCH(D$1,[2]quests!$1:$1,0)-MATCH($B$1,[2]quests!$1:$1,0)+1,FALSE)</f>
        <v>日本神話シリーズ　超級</v>
      </c>
      <c r="E68" s="133">
        <v>3</v>
      </c>
      <c r="F68" s="132" t="str">
        <f ca="1">VLOOKUP($B68&amp;"_"&amp;$E68,OFFSET([2]stages!$A$1,0,0,COUNTA([2]stages!$A:$A),MATCH(F$1,[2]stages!$2:$2,0)-MATCH("temp_stage",[2]stages!$2:$2,0)+1),MATCH(F$1,[2]stages!$2:$2,0)-MATCH("temp_stage",[2]stages!$2:$2,0)+1,FALSE)</f>
        <v>【超級】惑乱の双神使！？</v>
      </c>
      <c r="G68" s="132" t="str">
        <f ca="1">VLOOKUP($B68&amp;"_"&amp;$E68,OFFSET([2]stages!$A$1,0,0,COUNTA([2]stages!$A:$A),MATCH(G$1,[2]stages!$2:$2,0)-MATCH("temp_stage",[2]stages!$2:$2,0)+1),MATCH(G$1,[2]stages!$2:$2,0)-MATCH("temp_stage",[2]stages!$2:$2,0)+1,FALSE)</f>
        <v>日本神話シリーズ　超級</v>
      </c>
      <c r="H68" s="134">
        <v>0</v>
      </c>
      <c r="I68">
        <v>12</v>
      </c>
      <c r="J68" s="135" t="s">
        <v>428</v>
      </c>
      <c r="K68" s="136" t="str">
        <f>VLOOKUP(I68,[6]stage_hints!$A:$C,3,FALSE)</f>
        <v>ユニットのお気に入り登録</v>
      </c>
      <c r="L68" s="137" t="str">
        <f>VLOOKUP(I68,[6]stage_hints!$A:$D,4,FALSE)</f>
        <v>大事なユニットを誤って消さないように_x000D_フォルダから「お気に入り登録」しましょう</v>
      </c>
      <c r="M68" s="54" t="s">
        <v>443</v>
      </c>
    </row>
    <row r="69" spans="1:13" x14ac:dyDescent="0.15">
      <c r="A69" s="130" t="s">
        <v>409</v>
      </c>
      <c r="B69" s="131">
        <v>30048</v>
      </c>
      <c r="C69" s="132" t="str">
        <f ca="1">VLOOKUP($B69,OFFSET([2]quests!$A$1,0,0,COUNTA([2]quests!$A:$A),MATCH(C$1,[2]quests!$1:$1,0)-MATCH($B$1,[2]quests!$1:$1,0)+1),MATCH(C$1,[2]quests!$1:$1,0)-MATCH($B$1,[2]quests!$1:$1,0)+1,FALSE)</f>
        <v>惑乱の双神使！？</v>
      </c>
      <c r="D69" s="132" t="str">
        <f ca="1">VLOOKUP($B69,OFFSET([2]quests!$A$1,0,0,COUNTA([2]quests!$A:$A),MATCH(D$1,[2]quests!$1:$1,0)-MATCH($B$1,[2]quests!$1:$1,0)+1),MATCH(D$1,[2]quests!$1:$1,0)-MATCH($B$1,[2]quests!$1:$1,0)+1,FALSE)</f>
        <v>日本神話シリーズ　超級</v>
      </c>
      <c r="E69" s="133">
        <v>3</v>
      </c>
      <c r="F69" s="132" t="str">
        <f ca="1">VLOOKUP($B69&amp;"_"&amp;$E69,OFFSET([2]stages!$A$1,0,0,COUNTA([2]stages!$A:$A),MATCH(F$1,[2]stages!$2:$2,0)-MATCH("temp_stage",[2]stages!$2:$2,0)+1),MATCH(F$1,[2]stages!$2:$2,0)-MATCH("temp_stage",[2]stages!$2:$2,0)+1,FALSE)</f>
        <v>【超級】惑乱の双神使！？</v>
      </c>
      <c r="G69" s="132" t="str">
        <f ca="1">VLOOKUP($B69&amp;"_"&amp;$E69,OFFSET([2]stages!$A$1,0,0,COUNTA([2]stages!$A:$A),MATCH(G$1,[2]stages!$2:$2,0)-MATCH("temp_stage",[2]stages!$2:$2,0)+1),MATCH(G$1,[2]stages!$2:$2,0)-MATCH("temp_stage",[2]stages!$2:$2,0)+1,FALSE)</f>
        <v>日本神話シリーズ　超級</v>
      </c>
      <c r="H69" s="134">
        <v>0</v>
      </c>
      <c r="I69">
        <v>17</v>
      </c>
      <c r="J69" s="135" t="s">
        <v>418</v>
      </c>
      <c r="K69" s="136" t="str">
        <f>VLOOKUP(I69,[6]stage_hints!$A:$C,3,FALSE)</f>
        <v>リンクガチャ</v>
      </c>
      <c r="L69" s="137" t="str">
        <f>VLOOKUP(I69,[6]stage_hints!$A:$D,4,FALSE)</f>
        <v>無料のリンクガチャを回して_x000D_経験値素材や売却素材を獲得しましょう</v>
      </c>
      <c r="M69" s="54" t="s">
        <v>423</v>
      </c>
    </row>
    <row r="70" spans="1:13" x14ac:dyDescent="0.15">
      <c r="A70" s="130" t="s">
        <v>409</v>
      </c>
      <c r="B70" s="131">
        <v>30048</v>
      </c>
      <c r="C70" s="132" t="str">
        <f ca="1">VLOOKUP($B70,OFFSET([2]quests!$A$1,0,0,COUNTA([2]quests!$A:$A),MATCH(C$1,[2]quests!$1:$1,0)-MATCH($B$1,[2]quests!$1:$1,0)+1),MATCH(C$1,[2]quests!$1:$1,0)-MATCH($B$1,[2]quests!$1:$1,0)+1,FALSE)</f>
        <v>惑乱の双神使！？</v>
      </c>
      <c r="D70" s="132" t="str">
        <f ca="1">VLOOKUP($B70,OFFSET([2]quests!$A$1,0,0,COUNTA([2]quests!$A:$A),MATCH(D$1,[2]quests!$1:$1,0)-MATCH($B$1,[2]quests!$1:$1,0)+1),MATCH(D$1,[2]quests!$1:$1,0)-MATCH($B$1,[2]quests!$1:$1,0)+1,FALSE)</f>
        <v>日本神話シリーズ　超級</v>
      </c>
      <c r="E70" s="133">
        <v>3</v>
      </c>
      <c r="F70" s="132" t="str">
        <f ca="1">VLOOKUP($B70&amp;"_"&amp;$E70,OFFSET([2]stages!$A$1,0,0,COUNTA([2]stages!$A:$A),MATCH(F$1,[2]stages!$2:$2,0)-MATCH("temp_stage",[2]stages!$2:$2,0)+1),MATCH(F$1,[2]stages!$2:$2,0)-MATCH("temp_stage",[2]stages!$2:$2,0)+1,FALSE)</f>
        <v>【超級】惑乱の双神使！？</v>
      </c>
      <c r="G70" s="132" t="str">
        <f ca="1">VLOOKUP($B70&amp;"_"&amp;$E70,OFFSET([2]stages!$A$1,0,0,COUNTA([2]stages!$A:$A),MATCH(G$1,[2]stages!$2:$2,0)-MATCH("temp_stage",[2]stages!$2:$2,0)+1),MATCH(G$1,[2]stages!$2:$2,0)-MATCH("temp_stage",[2]stages!$2:$2,0)+1,FALSE)</f>
        <v>日本神話シリーズ　超級</v>
      </c>
      <c r="H70" s="134">
        <v>0</v>
      </c>
      <c r="I70">
        <v>19</v>
      </c>
      <c r="J70" s="135" t="s">
        <v>426</v>
      </c>
      <c r="K70" s="136" t="str">
        <f>VLOOKUP(I70,[6]stage_hints!$A:$C,3,FALSE)</f>
        <v>ソロ専用タワーオブザクイーン</v>
      </c>
      <c r="L70" s="137" t="str">
        <f>VLOOKUP(I70,[6]stage_hints!$A:$D,4,FALSE)</f>
        <v>ソロ専用の「タワーオブザクイーン」は_x000D_期間限定で定期的に開催されます_x000D_ここでしか獲得できない報酬もあるようです</v>
      </c>
      <c r="M70" s="54" t="s">
        <v>427</v>
      </c>
    </row>
    <row r="71" spans="1:13" x14ac:dyDescent="0.15">
      <c r="A71" s="130" t="s">
        <v>409</v>
      </c>
      <c r="B71" s="131">
        <v>30048</v>
      </c>
      <c r="C71" s="132" t="str">
        <f ca="1">VLOOKUP($B71,OFFSET([2]quests!$A$1,0,0,COUNTA([2]quests!$A:$A),MATCH(C$1,[2]quests!$1:$1,0)-MATCH($B$1,[2]quests!$1:$1,0)+1),MATCH(C$1,[2]quests!$1:$1,0)-MATCH($B$1,[2]quests!$1:$1,0)+1,FALSE)</f>
        <v>惑乱の双神使！？</v>
      </c>
      <c r="D71" s="132" t="str">
        <f ca="1">VLOOKUP($B71,OFFSET([2]quests!$A$1,0,0,COUNTA([2]quests!$A:$A),MATCH(D$1,[2]quests!$1:$1,0)-MATCH($B$1,[2]quests!$1:$1,0)+1),MATCH(D$1,[2]quests!$1:$1,0)-MATCH($B$1,[2]quests!$1:$1,0)+1,FALSE)</f>
        <v>日本神話シリーズ　超級</v>
      </c>
      <c r="E71" s="133">
        <v>3</v>
      </c>
      <c r="F71" s="132" t="str">
        <f ca="1">VLOOKUP($B71&amp;"_"&amp;$E71,OFFSET([2]stages!$A$1,0,0,COUNTA([2]stages!$A:$A),MATCH(F$1,[2]stages!$2:$2,0)-MATCH("temp_stage",[2]stages!$2:$2,0)+1),MATCH(F$1,[2]stages!$2:$2,0)-MATCH("temp_stage",[2]stages!$2:$2,0)+1,FALSE)</f>
        <v>【超級】惑乱の双神使！？</v>
      </c>
      <c r="G71" s="132" t="str">
        <f ca="1">VLOOKUP($B71&amp;"_"&amp;$E71,OFFSET([2]stages!$A$1,0,0,COUNTA([2]stages!$A:$A),MATCH(G$1,[2]stages!$2:$2,0)-MATCH("temp_stage",[2]stages!$2:$2,0)+1),MATCH(G$1,[2]stages!$2:$2,0)-MATCH("temp_stage",[2]stages!$2:$2,0)+1,FALSE)</f>
        <v>日本神話シリーズ　超級</v>
      </c>
      <c r="H71" s="134">
        <v>0</v>
      </c>
      <c r="I71">
        <v>21</v>
      </c>
      <c r="J71" s="135" t="s">
        <v>420</v>
      </c>
      <c r="K71" s="136" t="str">
        <f>VLOOKUP(I71,[6]stage_hints!$A:$C,3,FALSE)</f>
        <v>スキルを有効に</v>
      </c>
      <c r="L71" s="137" t="str">
        <f>VLOOKUP(I71,[6]stage_hints!$A:$D,4,FALSE)</f>
        <v>ターン経過でユニットのスキルが使えます_x000D_強力スキルでバトルを有利に進めましょう</v>
      </c>
      <c r="M71" s="54" t="s">
        <v>444</v>
      </c>
    </row>
    <row r="72" spans="1:13" x14ac:dyDescent="0.15">
      <c r="A72" s="130" t="s">
        <v>409</v>
      </c>
      <c r="B72" s="131">
        <v>30048</v>
      </c>
      <c r="C72" s="132" t="str">
        <f ca="1">VLOOKUP($B72,OFFSET([2]quests!$A$1,0,0,COUNTA([2]quests!$A:$A),MATCH(C$1,[2]quests!$1:$1,0)-MATCH($B$1,[2]quests!$1:$1,0)+1),MATCH(C$1,[2]quests!$1:$1,0)-MATCH($B$1,[2]quests!$1:$1,0)+1,FALSE)</f>
        <v>惑乱の双神使！？</v>
      </c>
      <c r="D72" s="132" t="str">
        <f ca="1">VLOOKUP($B72,OFFSET([2]quests!$A$1,0,0,COUNTA([2]quests!$A:$A),MATCH(D$1,[2]quests!$1:$1,0)-MATCH($B$1,[2]quests!$1:$1,0)+1),MATCH(D$1,[2]quests!$1:$1,0)-MATCH($B$1,[2]quests!$1:$1,0)+1,FALSE)</f>
        <v>日本神話シリーズ　超級</v>
      </c>
      <c r="E72" s="133">
        <v>3</v>
      </c>
      <c r="F72" s="132" t="str">
        <f ca="1">VLOOKUP($B72&amp;"_"&amp;$E72,OFFSET([2]stages!$A$1,0,0,COUNTA([2]stages!$A:$A),MATCH(F$1,[2]stages!$2:$2,0)-MATCH("temp_stage",[2]stages!$2:$2,0)+1),MATCH(F$1,[2]stages!$2:$2,0)-MATCH("temp_stage",[2]stages!$2:$2,0)+1,FALSE)</f>
        <v>【超級】惑乱の双神使！？</v>
      </c>
      <c r="G72" s="132" t="str">
        <f ca="1">VLOOKUP($B72&amp;"_"&amp;$E72,OFFSET([2]stages!$A$1,0,0,COUNTA([2]stages!$A:$A),MATCH(G$1,[2]stages!$2:$2,0)-MATCH("temp_stage",[2]stages!$2:$2,0)+1),MATCH(G$1,[2]stages!$2:$2,0)-MATCH("temp_stage",[2]stages!$2:$2,0)+1,FALSE)</f>
        <v>日本神話シリーズ　超級</v>
      </c>
      <c r="H72" s="134">
        <v>0</v>
      </c>
      <c r="I72">
        <v>27</v>
      </c>
      <c r="J72" s="135" t="s">
        <v>445</v>
      </c>
      <c r="K72" s="136" t="str">
        <f>VLOOKUP(I72,[6]stage_hints!$A:$C,3,FALSE)</f>
        <v>ホーム画面からデッキを編成</v>
      </c>
      <c r="L72" s="137" t="str">
        <f>VLOOKUP(I72,[6]stage_hints!$A:$D,4,FALSE)</f>
        <v>ホーム画面でユニットを長押しすると_x000D_すぐにパーティ編成に移動できます</v>
      </c>
      <c r="M72" s="54" t="s">
        <v>446</v>
      </c>
    </row>
    <row r="73" spans="1:13" x14ac:dyDescent="0.15">
      <c r="A73" s="130" t="s">
        <v>409</v>
      </c>
      <c r="B73" s="131">
        <v>30048</v>
      </c>
      <c r="C73" s="132" t="str">
        <f ca="1">VLOOKUP($B73,OFFSET([2]quests!$A$1,0,0,COUNTA([2]quests!$A:$A),MATCH(C$1,[2]quests!$1:$1,0)-MATCH($B$1,[2]quests!$1:$1,0)+1),MATCH(C$1,[2]quests!$1:$1,0)-MATCH($B$1,[2]quests!$1:$1,0)+1,FALSE)</f>
        <v>惑乱の双神使！？</v>
      </c>
      <c r="D73" s="132" t="str">
        <f ca="1">VLOOKUP($B73,OFFSET([2]quests!$A$1,0,0,COUNTA([2]quests!$A:$A),MATCH(D$1,[2]quests!$1:$1,0)-MATCH($B$1,[2]quests!$1:$1,0)+1),MATCH(D$1,[2]quests!$1:$1,0)-MATCH($B$1,[2]quests!$1:$1,0)+1,FALSE)</f>
        <v>日本神話シリーズ　超級</v>
      </c>
      <c r="E73" s="133">
        <v>3</v>
      </c>
      <c r="F73" s="132" t="str">
        <f ca="1">VLOOKUP($B73&amp;"_"&amp;$E73,OFFSET([2]stages!$A$1,0,0,COUNTA([2]stages!$A:$A),MATCH(F$1,[2]stages!$2:$2,0)-MATCH("temp_stage",[2]stages!$2:$2,0)+1),MATCH(F$1,[2]stages!$2:$2,0)-MATCH("temp_stage",[2]stages!$2:$2,0)+1,FALSE)</f>
        <v>【超級】惑乱の双神使！？</v>
      </c>
      <c r="G73" s="132" t="str">
        <f ca="1">VLOOKUP($B73&amp;"_"&amp;$E73,OFFSET([2]stages!$A$1,0,0,COUNTA([2]stages!$A:$A),MATCH(G$1,[2]stages!$2:$2,0)-MATCH("temp_stage",[2]stages!$2:$2,0)+1),MATCH(G$1,[2]stages!$2:$2,0)-MATCH("temp_stage",[2]stages!$2:$2,0)+1,FALSE)</f>
        <v>日本神話シリーズ　超級</v>
      </c>
      <c r="H73" s="134">
        <v>0</v>
      </c>
      <c r="I73">
        <v>28</v>
      </c>
      <c r="J73" s="135" t="s">
        <v>447</v>
      </c>
      <c r="K73" s="136" t="str">
        <f>VLOOKUP(I73,[6]stage_hints!$A:$C,3,FALSE)</f>
        <v>ステータス情報は長押しで</v>
      </c>
      <c r="L73" s="137" t="str">
        <f>VLOOKUP(I73,[6]stage_hints!$A:$D,4,FALSE)</f>
        <v>ユニットのアイコンを長押しすると_x000D_ステータス情報を確認することができます</v>
      </c>
      <c r="M73" s="54" t="s">
        <v>444</v>
      </c>
    </row>
    <row r="74" spans="1:13" x14ac:dyDescent="0.15">
      <c r="A74" s="130" t="s">
        <v>409</v>
      </c>
      <c r="B74" s="131">
        <v>30048</v>
      </c>
      <c r="C74" s="132" t="str">
        <f ca="1">VLOOKUP($B74,OFFSET([2]quests!$A$1,0,0,COUNTA([2]quests!$A:$A),MATCH(C$1,[2]quests!$1:$1,0)-MATCH($B$1,[2]quests!$1:$1,0)+1),MATCH(C$1,[2]quests!$1:$1,0)-MATCH($B$1,[2]quests!$1:$1,0)+1,FALSE)</f>
        <v>惑乱の双神使！？</v>
      </c>
      <c r="D74" s="132" t="str">
        <f ca="1">VLOOKUP($B74,OFFSET([2]quests!$A$1,0,0,COUNTA([2]quests!$A:$A),MATCH(D$1,[2]quests!$1:$1,0)-MATCH($B$1,[2]quests!$1:$1,0)+1),MATCH(D$1,[2]quests!$1:$1,0)-MATCH($B$1,[2]quests!$1:$1,0)+1,FALSE)</f>
        <v>日本神話シリーズ　超級</v>
      </c>
      <c r="E74" s="133">
        <v>3</v>
      </c>
      <c r="F74" s="132" t="str">
        <f ca="1">VLOOKUP($B74&amp;"_"&amp;$E74,OFFSET([2]stages!$A$1,0,0,COUNTA([2]stages!$A:$A),MATCH(F$1,[2]stages!$2:$2,0)-MATCH("temp_stage",[2]stages!$2:$2,0)+1),MATCH(F$1,[2]stages!$2:$2,0)-MATCH("temp_stage",[2]stages!$2:$2,0)+1,FALSE)</f>
        <v>【超級】惑乱の双神使！？</v>
      </c>
      <c r="G74" s="132" t="str">
        <f ca="1">VLOOKUP($B74&amp;"_"&amp;$E74,OFFSET([2]stages!$A$1,0,0,COUNTA([2]stages!$A:$A),MATCH(G$1,[2]stages!$2:$2,0)-MATCH("temp_stage",[2]stages!$2:$2,0)+1),MATCH(G$1,[2]stages!$2:$2,0)-MATCH("temp_stage",[2]stages!$2:$2,0)+1,FALSE)</f>
        <v>日本神話シリーズ　超級</v>
      </c>
      <c r="H74" s="134">
        <v>0</v>
      </c>
      <c r="I74">
        <v>29</v>
      </c>
      <c r="J74" s="135" t="s">
        <v>448</v>
      </c>
      <c r="K74" s="136" t="str">
        <f>VLOOKUP(I74,[6]stage_hints!$A:$C,3,FALSE)</f>
        <v>「バグ」のメリット</v>
      </c>
      <c r="L74" s="137" t="str">
        <f>VLOOKUP(I74,[6]stage_hints!$A:$D,4,FALSE)</f>
        <v>ユニットの「バグ」を増やすと_x000D_報酬をもらえる確率がアップします</v>
      </c>
      <c r="M74" s="54" t="s">
        <v>449</v>
      </c>
    </row>
    <row r="75" spans="1:13" x14ac:dyDescent="0.15">
      <c r="A75" s="130" t="s">
        <v>409</v>
      </c>
      <c r="B75" s="131">
        <v>30048</v>
      </c>
      <c r="C75" s="132" t="str">
        <f ca="1">VLOOKUP($B75,OFFSET([2]quests!$A$1,0,0,COUNTA([2]quests!$A:$A),MATCH(C$1,[2]quests!$1:$1,0)-MATCH($B$1,[2]quests!$1:$1,0)+1),MATCH(C$1,[2]quests!$1:$1,0)-MATCH($B$1,[2]quests!$1:$1,0)+1,FALSE)</f>
        <v>惑乱の双神使！？</v>
      </c>
      <c r="D75" s="132" t="str">
        <f ca="1">VLOOKUP($B75,OFFSET([2]quests!$A$1,0,0,COUNTA([2]quests!$A:$A),MATCH(D$1,[2]quests!$1:$1,0)-MATCH($B$1,[2]quests!$1:$1,0)+1),MATCH(D$1,[2]quests!$1:$1,0)-MATCH($B$1,[2]quests!$1:$1,0)+1,FALSE)</f>
        <v>日本神話シリーズ　超級</v>
      </c>
      <c r="E75" s="133">
        <v>3</v>
      </c>
      <c r="F75" s="132" t="str">
        <f ca="1">VLOOKUP($B75&amp;"_"&amp;$E75,OFFSET([2]stages!$A$1,0,0,COUNTA([2]stages!$A:$A),MATCH(F$1,[2]stages!$2:$2,0)-MATCH("temp_stage",[2]stages!$2:$2,0)+1),MATCH(F$1,[2]stages!$2:$2,0)-MATCH("temp_stage",[2]stages!$2:$2,0)+1,FALSE)</f>
        <v>【超級】惑乱の双神使！？</v>
      </c>
      <c r="G75" s="132" t="str">
        <f ca="1">VLOOKUP($B75&amp;"_"&amp;$E75,OFFSET([2]stages!$A$1,0,0,COUNTA([2]stages!$A:$A),MATCH(G$1,[2]stages!$2:$2,0)-MATCH("temp_stage",[2]stages!$2:$2,0)+1),MATCH(G$1,[2]stages!$2:$2,0)-MATCH("temp_stage",[2]stages!$2:$2,0)+1,FALSE)</f>
        <v>日本神話シリーズ　超級</v>
      </c>
      <c r="H75" s="134">
        <v>0</v>
      </c>
      <c r="I75">
        <v>30</v>
      </c>
      <c r="J75" s="135" t="s">
        <v>450</v>
      </c>
      <c r="K75" s="136" t="str">
        <f>VLOOKUP(I75,[6]stage_hints!$A:$C,3,FALSE)</f>
        <v>「バグ」の増やし方</v>
      </c>
      <c r="L75" s="137" t="str">
        <f>VLOOKUP(I75,[6]stage_hints!$A:$D,4,FALSE)</f>
        <v>同じユニット同士を強化で合成すると_x000D_「バグ」を増やすことができます</v>
      </c>
      <c r="M75" s="54" t="s">
        <v>451</v>
      </c>
    </row>
    <row r="76" spans="1:13" x14ac:dyDescent="0.15">
      <c r="A76" s="130" t="s">
        <v>409</v>
      </c>
      <c r="B76" s="131">
        <v>30048</v>
      </c>
      <c r="C76" s="132" t="str">
        <f ca="1">VLOOKUP($B76,OFFSET([2]quests!$A$1,0,0,COUNTA([2]quests!$A:$A),MATCH(C$1,[2]quests!$1:$1,0)-MATCH($B$1,[2]quests!$1:$1,0)+1),MATCH(C$1,[2]quests!$1:$1,0)-MATCH($B$1,[2]quests!$1:$1,0)+1,FALSE)</f>
        <v>惑乱の双神使！？</v>
      </c>
      <c r="D76" s="132" t="str">
        <f ca="1">VLOOKUP($B76,OFFSET([2]quests!$A$1,0,0,COUNTA([2]quests!$A:$A),MATCH(D$1,[2]quests!$1:$1,0)-MATCH($B$1,[2]quests!$1:$1,0)+1),MATCH(D$1,[2]quests!$1:$1,0)-MATCH($B$1,[2]quests!$1:$1,0)+1,FALSE)</f>
        <v>日本神話シリーズ　超級</v>
      </c>
      <c r="E76" s="133">
        <v>3</v>
      </c>
      <c r="F76" s="132" t="str">
        <f ca="1">VLOOKUP($B76&amp;"_"&amp;$E76,OFFSET([2]stages!$A$1,0,0,COUNTA([2]stages!$A:$A),MATCH(F$1,[2]stages!$2:$2,0)-MATCH("temp_stage",[2]stages!$2:$2,0)+1),MATCH(F$1,[2]stages!$2:$2,0)-MATCH("temp_stage",[2]stages!$2:$2,0)+1,FALSE)</f>
        <v>【超級】惑乱の双神使！？</v>
      </c>
      <c r="G76" s="132" t="str">
        <f ca="1">VLOOKUP($B76&amp;"_"&amp;$E76,OFFSET([2]stages!$A$1,0,0,COUNTA([2]stages!$A:$A),MATCH(G$1,[2]stages!$2:$2,0)-MATCH("temp_stage",[2]stages!$2:$2,0)+1),MATCH(G$1,[2]stages!$2:$2,0)-MATCH("temp_stage",[2]stages!$2:$2,0)+1,FALSE)</f>
        <v>日本神話シリーズ　超級</v>
      </c>
      <c r="H76" s="134">
        <v>0</v>
      </c>
      <c r="I76">
        <v>32</v>
      </c>
      <c r="J76" s="135" t="s">
        <v>447</v>
      </c>
      <c r="K76" s="136" t="str">
        <f>VLOOKUP(I76,[6]stage_hints!$A:$C,3,FALSE)</f>
        <v>敵の連続攻撃には</v>
      </c>
      <c r="L76" s="137" t="str">
        <f>VLOOKUP(I76,[6]stage_hints!$A:$D,4,FALSE)</f>
        <v>カウンタースキルを持つユニットがいれば_x000D_ダメージ回数分の反撃ができます</v>
      </c>
      <c r="M76" s="54" t="s">
        <v>444</v>
      </c>
    </row>
    <row r="77" spans="1:13" x14ac:dyDescent="0.15">
      <c r="A77" s="130" t="s">
        <v>409</v>
      </c>
      <c r="B77" s="131">
        <v>30048</v>
      </c>
      <c r="C77" s="132" t="str">
        <f ca="1">VLOOKUP($B77,OFFSET([2]quests!$A$1,0,0,COUNTA([2]quests!$A:$A),MATCH(C$1,[2]quests!$1:$1,0)-MATCH($B$1,[2]quests!$1:$1,0)+1),MATCH(C$1,[2]quests!$1:$1,0)-MATCH($B$1,[2]quests!$1:$1,0)+1,FALSE)</f>
        <v>惑乱の双神使！？</v>
      </c>
      <c r="D77" s="132" t="str">
        <f ca="1">VLOOKUP($B77,OFFSET([2]quests!$A$1,0,0,COUNTA([2]quests!$A:$A),MATCH(D$1,[2]quests!$1:$1,0)-MATCH($B$1,[2]quests!$1:$1,0)+1),MATCH(D$1,[2]quests!$1:$1,0)-MATCH($B$1,[2]quests!$1:$1,0)+1,FALSE)</f>
        <v>日本神話シリーズ　超級</v>
      </c>
      <c r="E77" s="133">
        <v>3</v>
      </c>
      <c r="F77" s="132" t="str">
        <f ca="1">VLOOKUP($B77&amp;"_"&amp;$E77,OFFSET([2]stages!$A$1,0,0,COUNTA([2]stages!$A:$A),MATCH(F$1,[2]stages!$2:$2,0)-MATCH("temp_stage",[2]stages!$2:$2,0)+1),MATCH(F$1,[2]stages!$2:$2,0)-MATCH("temp_stage",[2]stages!$2:$2,0)+1,FALSE)</f>
        <v>【超級】惑乱の双神使！？</v>
      </c>
      <c r="G77" s="132" t="str">
        <f ca="1">VLOOKUP($B77&amp;"_"&amp;$E77,OFFSET([2]stages!$A$1,0,0,COUNTA([2]stages!$A:$A),MATCH(G$1,[2]stages!$2:$2,0)-MATCH("temp_stage",[2]stages!$2:$2,0)+1),MATCH(G$1,[2]stages!$2:$2,0)-MATCH("temp_stage",[2]stages!$2:$2,0)+1,FALSE)</f>
        <v>日本神話シリーズ　超級</v>
      </c>
      <c r="H77" s="134">
        <v>0</v>
      </c>
      <c r="I77">
        <v>33</v>
      </c>
      <c r="J77" s="135" t="s">
        <v>452</v>
      </c>
      <c r="K77" s="136" t="str">
        <f>VLOOKUP(I77,[6]stage_hints!$A:$C,3,FALSE)</f>
        <v>敵のカウンター攻撃には</v>
      </c>
      <c r="L77" s="137" t="str">
        <f>VLOOKUP(I77,[6]stage_hints!$A:$D,4,FALSE)</f>
        <v>カウンターブレイクスキルを持っていれば_x000D_敵のカウンターを解除して攻撃ができます</v>
      </c>
      <c r="M77" s="54" t="s">
        <v>453</v>
      </c>
    </row>
    <row r="78" spans="1:13" x14ac:dyDescent="0.15">
      <c r="A78" s="130" t="s">
        <v>409</v>
      </c>
      <c r="B78" s="131">
        <v>30048</v>
      </c>
      <c r="C78" s="132" t="str">
        <f ca="1">VLOOKUP($B78,OFFSET([2]quests!$A$1,0,0,COUNTA([2]quests!$A:$A),MATCH(C$1,[2]quests!$1:$1,0)-MATCH($B$1,[2]quests!$1:$1,0)+1),MATCH(C$1,[2]quests!$1:$1,0)-MATCH($B$1,[2]quests!$1:$1,0)+1,FALSE)</f>
        <v>惑乱の双神使！？</v>
      </c>
      <c r="D78" s="132" t="str">
        <f ca="1">VLOOKUP($B78,OFFSET([2]quests!$A$1,0,0,COUNTA([2]quests!$A:$A),MATCH(D$1,[2]quests!$1:$1,0)-MATCH($B$1,[2]quests!$1:$1,0)+1),MATCH(D$1,[2]quests!$1:$1,0)-MATCH($B$1,[2]quests!$1:$1,0)+1,FALSE)</f>
        <v>日本神話シリーズ　超級</v>
      </c>
      <c r="E78" s="133">
        <v>3</v>
      </c>
      <c r="F78" s="132" t="str">
        <f ca="1">VLOOKUP($B78&amp;"_"&amp;$E78,OFFSET([2]stages!$A$1,0,0,COUNTA([2]stages!$A:$A),MATCH(F$1,[2]stages!$2:$2,0)-MATCH("temp_stage",[2]stages!$2:$2,0)+1),MATCH(F$1,[2]stages!$2:$2,0)-MATCH("temp_stage",[2]stages!$2:$2,0)+1,FALSE)</f>
        <v>【超級】惑乱の双神使！？</v>
      </c>
      <c r="G78" s="132" t="str">
        <f ca="1">VLOOKUP($B78&amp;"_"&amp;$E78,OFFSET([2]stages!$A$1,0,0,COUNTA([2]stages!$A:$A),MATCH(G$1,[2]stages!$2:$2,0)-MATCH("temp_stage",[2]stages!$2:$2,0)+1),MATCH(G$1,[2]stages!$2:$2,0)-MATCH("temp_stage",[2]stages!$2:$2,0)+1,FALSE)</f>
        <v>日本神話シリーズ　超級</v>
      </c>
      <c r="H78" s="134">
        <v>0</v>
      </c>
      <c r="I78">
        <v>34</v>
      </c>
      <c r="J78" s="135" t="s">
        <v>452</v>
      </c>
      <c r="K78" s="136" t="str">
        <f>VLOOKUP(I78,[6]stage_hints!$A:$C,3,FALSE)</f>
        <v>ステータスをスキルで下げられたら</v>
      </c>
      <c r="L78" s="137" t="str">
        <f>VLOOKUP(I78,[6]stage_hints!$A:$D,4,FALSE)</f>
        <v>ステータスダウンのスキルを受けたら_x000D_ステータスアップスキルで上書きしましょう</v>
      </c>
      <c r="M78" s="54" t="s">
        <v>453</v>
      </c>
    </row>
    <row r="79" spans="1:13" x14ac:dyDescent="0.15">
      <c r="A79" s="130" t="s">
        <v>409</v>
      </c>
      <c r="B79" s="131">
        <v>30048</v>
      </c>
      <c r="C79" s="132" t="str">
        <f ca="1">VLOOKUP($B79,OFFSET([2]quests!$A$1,0,0,COUNTA([2]quests!$A:$A),MATCH(C$1,[2]quests!$1:$1,0)-MATCH($B$1,[2]quests!$1:$1,0)+1),MATCH(C$1,[2]quests!$1:$1,0)-MATCH($B$1,[2]quests!$1:$1,0)+1,FALSE)</f>
        <v>惑乱の双神使！？</v>
      </c>
      <c r="D79" s="132" t="str">
        <f ca="1">VLOOKUP($B79,OFFSET([2]quests!$A$1,0,0,COUNTA([2]quests!$A:$A),MATCH(D$1,[2]quests!$1:$1,0)-MATCH($B$1,[2]quests!$1:$1,0)+1),MATCH(D$1,[2]quests!$1:$1,0)-MATCH($B$1,[2]quests!$1:$1,0)+1,FALSE)</f>
        <v>日本神話シリーズ　超級</v>
      </c>
      <c r="E79" s="133">
        <v>3</v>
      </c>
      <c r="F79" s="132" t="str">
        <f ca="1">VLOOKUP($B79&amp;"_"&amp;$E79,OFFSET([2]stages!$A$1,0,0,COUNTA([2]stages!$A:$A),MATCH(F$1,[2]stages!$2:$2,0)-MATCH("temp_stage",[2]stages!$2:$2,0)+1),MATCH(F$1,[2]stages!$2:$2,0)-MATCH("temp_stage",[2]stages!$2:$2,0)+1,FALSE)</f>
        <v>【超級】惑乱の双神使！？</v>
      </c>
      <c r="G79" s="132" t="str">
        <f ca="1">VLOOKUP($B79&amp;"_"&amp;$E79,OFFSET([2]stages!$A$1,0,0,COUNTA([2]stages!$A:$A),MATCH(G$1,[2]stages!$2:$2,0)-MATCH("temp_stage",[2]stages!$2:$2,0)+1),MATCH(G$1,[2]stages!$2:$2,0)-MATCH("temp_stage",[2]stages!$2:$2,0)+1,FALSE)</f>
        <v>日本神話シリーズ　超級</v>
      </c>
      <c r="H79" s="134">
        <v>0</v>
      </c>
      <c r="I79">
        <v>35</v>
      </c>
      <c r="J79" s="135" t="s">
        <v>448</v>
      </c>
      <c r="K79" s="136" t="str">
        <f>VLOOKUP(I79,[6]stage_hints!$A:$C,3,FALSE)</f>
        <v>敵のステータスがスキルで上がったら</v>
      </c>
      <c r="L79" s="137" t="str">
        <f>VLOOKUP(I79,[6]stage_hints!$A:$D,4,FALSE)</f>
        <v>敵のステータスがスキルでアップしたときは_x000D_ステータスダウンスキルで上書きしましょう</v>
      </c>
      <c r="M79" s="54" t="s">
        <v>449</v>
      </c>
    </row>
    <row r="80" spans="1:13" x14ac:dyDescent="0.15">
      <c r="A80" s="130" t="s">
        <v>409</v>
      </c>
      <c r="B80" s="131">
        <v>30048</v>
      </c>
      <c r="C80" s="132" t="str">
        <f ca="1">VLOOKUP($B80,OFFSET([2]quests!$A$1,0,0,COUNTA([2]quests!$A:$A),MATCH(C$1,[2]quests!$1:$1,0)-MATCH($B$1,[2]quests!$1:$1,0)+1),MATCH(C$1,[2]quests!$1:$1,0)-MATCH($B$1,[2]quests!$1:$1,0)+1,FALSE)</f>
        <v>惑乱の双神使！？</v>
      </c>
      <c r="D80" s="132" t="str">
        <f ca="1">VLOOKUP($B80,OFFSET([2]quests!$A$1,0,0,COUNTA([2]quests!$A:$A),MATCH(D$1,[2]quests!$1:$1,0)-MATCH($B$1,[2]quests!$1:$1,0)+1),MATCH(D$1,[2]quests!$1:$1,0)-MATCH($B$1,[2]quests!$1:$1,0)+1,FALSE)</f>
        <v>日本神話シリーズ　超級</v>
      </c>
      <c r="E80" s="133">
        <v>3</v>
      </c>
      <c r="F80" s="132" t="str">
        <f ca="1">VLOOKUP($B80&amp;"_"&amp;$E80,OFFSET([2]stages!$A$1,0,0,COUNTA([2]stages!$A:$A),MATCH(F$1,[2]stages!$2:$2,0)-MATCH("temp_stage",[2]stages!$2:$2,0)+1),MATCH(F$1,[2]stages!$2:$2,0)-MATCH("temp_stage",[2]stages!$2:$2,0)+1,FALSE)</f>
        <v>【超級】惑乱の双神使！？</v>
      </c>
      <c r="G80" s="132" t="str">
        <f ca="1">VLOOKUP($B80&amp;"_"&amp;$E80,OFFSET([2]stages!$A$1,0,0,COUNTA([2]stages!$A:$A),MATCH(G$1,[2]stages!$2:$2,0)-MATCH("temp_stage",[2]stages!$2:$2,0)+1),MATCH(G$1,[2]stages!$2:$2,0)-MATCH("temp_stage",[2]stages!$2:$2,0)+1,FALSE)</f>
        <v>日本神話シリーズ　超級</v>
      </c>
      <c r="H80" s="134">
        <v>0</v>
      </c>
      <c r="I80">
        <v>36</v>
      </c>
      <c r="J80" s="135" t="s">
        <v>448</v>
      </c>
      <c r="K80" s="136" t="str">
        <f>VLOOKUP(I80,[6]stage_hints!$A:$C,3,FALSE)</f>
        <v>タワーオブザクイーンのボス</v>
      </c>
      <c r="L80" s="137" t="str">
        <f>VLOOKUP(I80,[6]stage_hints!$A:$D,4,FALSE)</f>
        <v>「タワーオブザクイーン」最上階のボスは_x000D_15階の初回クリア報酬で獲得できるほか_x000D_その階にて低確率でドロップもします</v>
      </c>
      <c r="M80" s="54" t="s">
        <v>449</v>
      </c>
    </row>
    <row r="81" spans="1:13" x14ac:dyDescent="0.15">
      <c r="A81" s="130" t="s">
        <v>409</v>
      </c>
      <c r="B81" s="131">
        <v>30048</v>
      </c>
      <c r="C81" s="132" t="str">
        <f ca="1">VLOOKUP($B81,OFFSET([2]quests!$A$1,0,0,COUNTA([2]quests!$A:$A),MATCH(C$1,[2]quests!$1:$1,0)-MATCH($B$1,[2]quests!$1:$1,0)+1),MATCH(C$1,[2]quests!$1:$1,0)-MATCH($B$1,[2]quests!$1:$1,0)+1,FALSE)</f>
        <v>惑乱の双神使！？</v>
      </c>
      <c r="D81" s="132" t="str">
        <f ca="1">VLOOKUP($B81,OFFSET([2]quests!$A$1,0,0,COUNTA([2]quests!$A:$A),MATCH(D$1,[2]quests!$1:$1,0)-MATCH($B$1,[2]quests!$1:$1,0)+1),MATCH(D$1,[2]quests!$1:$1,0)-MATCH($B$1,[2]quests!$1:$1,0)+1,FALSE)</f>
        <v>日本神話シリーズ　超級</v>
      </c>
      <c r="E81" s="133">
        <v>3</v>
      </c>
      <c r="F81" s="132" t="str">
        <f ca="1">VLOOKUP($B81&amp;"_"&amp;$E81,OFFSET([2]stages!$A$1,0,0,COUNTA([2]stages!$A:$A),MATCH(F$1,[2]stages!$2:$2,0)-MATCH("temp_stage",[2]stages!$2:$2,0)+1),MATCH(F$1,[2]stages!$2:$2,0)-MATCH("temp_stage",[2]stages!$2:$2,0)+1,FALSE)</f>
        <v>【超級】惑乱の双神使！？</v>
      </c>
      <c r="G81" s="132" t="str">
        <f ca="1">VLOOKUP($B81&amp;"_"&amp;$E81,OFFSET([2]stages!$A$1,0,0,COUNTA([2]stages!$A:$A),MATCH(G$1,[2]stages!$2:$2,0)-MATCH("temp_stage",[2]stages!$2:$2,0)+1),MATCH(G$1,[2]stages!$2:$2,0)-MATCH("temp_stage",[2]stages!$2:$2,0)+1,FALSE)</f>
        <v>日本神話シリーズ　超級</v>
      </c>
      <c r="H81" s="134">
        <v>0</v>
      </c>
      <c r="I81">
        <v>37</v>
      </c>
      <c r="J81" s="135" t="s">
        <v>448</v>
      </c>
      <c r="K81" s="136" t="str">
        <f>VLOOKUP(I81,[6]stage_hints!$A:$C,3,FALSE)</f>
        <v>限界突破値の引き継ぎ</v>
      </c>
      <c r="L81" s="137" t="str">
        <f>VLOOKUP(I81,[6]stage_hints!$A:$D,4,FALSE)</f>
        <v>同じユニットを強化で合成すると_x000D_限界突破値を引き継げます（覚醒前後も可）</v>
      </c>
      <c r="M81" s="54" t="s">
        <v>449</v>
      </c>
    </row>
    <row r="82" spans="1:13" x14ac:dyDescent="0.15">
      <c r="A82" s="130" t="s">
        <v>409</v>
      </c>
      <c r="B82" s="131">
        <v>30048</v>
      </c>
      <c r="C82" s="132" t="str">
        <f ca="1">VLOOKUP($B82,OFFSET([2]quests!$A$1,0,0,COUNTA([2]quests!$A:$A),MATCH(C$1,[2]quests!$1:$1,0)-MATCH($B$1,[2]quests!$1:$1,0)+1),MATCH(C$1,[2]quests!$1:$1,0)-MATCH($B$1,[2]quests!$1:$1,0)+1,FALSE)</f>
        <v>惑乱の双神使！？</v>
      </c>
      <c r="D82" s="132" t="str">
        <f ca="1">VLOOKUP($B82,OFFSET([2]quests!$A$1,0,0,COUNTA([2]quests!$A:$A),MATCH(D$1,[2]quests!$1:$1,0)-MATCH($B$1,[2]quests!$1:$1,0)+1),MATCH(D$1,[2]quests!$1:$1,0)-MATCH($B$1,[2]quests!$1:$1,0)+1,FALSE)</f>
        <v>日本神話シリーズ　超級</v>
      </c>
      <c r="E82" s="133">
        <v>3</v>
      </c>
      <c r="F82" s="132" t="str">
        <f ca="1">VLOOKUP($B82&amp;"_"&amp;$E82,OFFSET([2]stages!$A$1,0,0,COUNTA([2]stages!$A:$A),MATCH(F$1,[2]stages!$2:$2,0)-MATCH("temp_stage",[2]stages!$2:$2,0)+1),MATCH(F$1,[2]stages!$2:$2,0)-MATCH("temp_stage",[2]stages!$2:$2,0)+1,FALSE)</f>
        <v>【超級】惑乱の双神使！？</v>
      </c>
      <c r="G82" s="132" t="str">
        <f ca="1">VLOOKUP($B82&amp;"_"&amp;$E82,OFFSET([2]stages!$A$1,0,0,COUNTA([2]stages!$A:$A),MATCH(G$1,[2]stages!$2:$2,0)-MATCH("temp_stage",[2]stages!$2:$2,0)+1),MATCH(G$1,[2]stages!$2:$2,0)-MATCH("temp_stage",[2]stages!$2:$2,0)+1,FALSE)</f>
        <v>日本神話シリーズ　超級</v>
      </c>
      <c r="H82" s="134">
        <v>0</v>
      </c>
      <c r="I82" s="139">
        <v>39</v>
      </c>
      <c r="J82" s="135" t="s">
        <v>448</v>
      </c>
      <c r="K82" s="136" t="str">
        <f>VLOOKUP(I82,[6]stage_hints!$A:$C,3,FALSE)</f>
        <v>システム適合者を確認</v>
      </c>
      <c r="L82" s="137" t="str">
        <f>VLOOKUP(I82,[6]stage_hints!$A:$D,4,FALSE)</f>
        <v>ALICEが 「アナタ」を呼んでいます</v>
      </c>
      <c r="M82" s="54" t="s">
        <v>449</v>
      </c>
    </row>
  </sheetData>
  <phoneticPr fontId="5"/>
  <dataValidations count="1">
    <dataValidation type="list" allowBlank="1" showInputMessage="1" showErrorMessage="1" sqref="A2:A8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9"/>
  <sheetViews>
    <sheetView showGridLines="0" workbookViewId="0">
      <pane ySplit="1" topLeftCell="A2" activePane="bottomLeft" state="frozen"/>
      <selection activeCell="J32" sqref="J32"/>
      <selection pane="bottomLeft" activeCell="I17" sqref="I17"/>
    </sheetView>
  </sheetViews>
  <sheetFormatPr baseColWidth="12" defaultColWidth="13" defaultRowHeight="15" outlineLevelCol="1" x14ac:dyDescent="0.15"/>
  <cols>
    <col min="1" max="1" width="13" style="7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2" t="s">
        <v>188</v>
      </c>
      <c r="B1" s="69" t="s">
        <v>150</v>
      </c>
      <c r="C1" s="73" t="s">
        <v>190</v>
      </c>
      <c r="D1" s="73" t="s">
        <v>33</v>
      </c>
      <c r="E1" s="69" t="s">
        <v>191</v>
      </c>
      <c r="F1" s="73" t="s">
        <v>18</v>
      </c>
      <c r="G1" s="73" t="s">
        <v>33</v>
      </c>
      <c r="H1" s="69" t="s">
        <v>193</v>
      </c>
      <c r="I1" s="79" t="s">
        <v>194</v>
      </c>
      <c r="J1" s="81" t="s">
        <v>195</v>
      </c>
      <c r="K1" s="75" t="s">
        <v>126</v>
      </c>
      <c r="L1" s="74" t="s">
        <v>187</v>
      </c>
      <c r="M1" s="82" t="s">
        <v>186</v>
      </c>
      <c r="N1" s="76" t="s">
        <v>196</v>
      </c>
    </row>
    <row r="2" spans="1:15" ht="28" x14ac:dyDescent="0.15">
      <c r="A2" s="109" t="s">
        <v>197</v>
      </c>
      <c r="B2" s="110">
        <f>floors!$C$2</f>
        <v>30048</v>
      </c>
      <c r="C2" s="111" t="str">
        <f ca="1">VLOOKUP($B2,OFFSET([2]quests!$A$1,0,0,COUNTA([2]quests!$A:$A),MATCH(C$1,[2]quests!$1:$1,0)-MATCH($B$1,[2]quests!$1:$1,0)+1),MATCH(C$1,[2]quests!$1:$1,0)-MATCH($B$1,[2]quests!$1:$1,0)+1,FALSE)</f>
        <v>惑乱の双神使！？</v>
      </c>
      <c r="D2" s="111" t="str">
        <f ca="1">VLOOKUP($B2,OFFSET([2]quests!$A$1,0,0,COUNTA([2]quests!$A:$A),MATCH(D$1,[2]quests!$1:$1,0)-MATCH($B$1,[2]quests!$1:$1,0)+1),MATCH(D$1,[2]quests!$1:$1,0)-MATCH($B$1,[2]quests!$1:$1,0)+1,FALSE)</f>
        <v>日本神話シリーズ　超級</v>
      </c>
      <c r="E2" s="112">
        <v>1</v>
      </c>
      <c r="F2" s="111" t="str">
        <f ca="1">VLOOKUP($B2&amp;"_"&amp;$E2,OFFSET([2]stages!$A$1,0,0,COUNTA([2]stages!$A:$A),MATCH(F$1,[2]stages!$2:$2,0)-MATCH("temp_stage",[2]stages!$2:$2,0)+1),MATCH(F$1,[2]stages!$2:$2,0)-MATCH("temp_stage",[2]stages!$2:$2,0)+1,FALSE)</f>
        <v>【中級】惑乱の双神使！？</v>
      </c>
      <c r="G2" s="111" t="str">
        <f ca="1">VLOOKUP($B2&amp;"_"&amp;$E2,OFFSET([2]stages!$A$1,0,0,COUNTA([2]stages!$A:$A),MATCH(G$1,[2]stages!$2:$2,0)-MATCH("temp_stage",[2]stages!$2:$2,0)+1),MATCH(G$1,[2]stages!$2:$2,0)-MATCH("temp_stage",[2]stages!$2:$2,0)+1,FALSE)</f>
        <v>日本神話シリーズ　超級</v>
      </c>
      <c r="H2" s="111">
        <v>1</v>
      </c>
      <c r="I2" s="80">
        <f>ROW()-1</f>
        <v>1</v>
      </c>
      <c r="J2" s="77" t="str">
        <f>B2&amp;TEXT(I2,"00")</f>
        <v>3004801</v>
      </c>
      <c r="K2" s="112" t="s">
        <v>198</v>
      </c>
      <c r="L2" s="113" t="s">
        <v>346</v>
      </c>
      <c r="M2" s="124" t="s">
        <v>347</v>
      </c>
      <c r="N2" s="55" t="s">
        <v>199</v>
      </c>
      <c r="O2">
        <f>LEN(M2)</f>
        <v>31</v>
      </c>
    </row>
    <row r="3" spans="1:15" ht="28" x14ac:dyDescent="0.15">
      <c r="A3" s="109" t="s">
        <v>197</v>
      </c>
      <c r="B3" s="110">
        <f>floors!$C$2</f>
        <v>30048</v>
      </c>
      <c r="C3" s="111" t="str">
        <f ca="1">VLOOKUP($B3,OFFSET([2]quests!$A$1,0,0,COUNTA([2]quests!$A:$A),MATCH(C$1,[2]quests!$1:$1,0)-MATCH($B$1,[2]quests!$1:$1,0)+1),MATCH(C$1,[2]quests!$1:$1,0)-MATCH($B$1,[2]quests!$1:$1,0)+1,FALSE)</f>
        <v>惑乱の双神使！？</v>
      </c>
      <c r="D3" s="111" t="str">
        <f ca="1">VLOOKUP($B3,OFFSET([2]quests!$A$1,0,0,COUNTA([2]quests!$A:$A),MATCH(D$1,[2]quests!$1:$1,0)-MATCH($B$1,[2]quests!$1:$1,0)+1),MATCH(D$1,[2]quests!$1:$1,0)-MATCH($B$1,[2]quests!$1:$1,0)+1,FALSE)</f>
        <v>日本神話シリーズ　超級</v>
      </c>
      <c r="E3" s="112">
        <v>1</v>
      </c>
      <c r="F3" s="111" t="str">
        <f ca="1">VLOOKUP($B3&amp;"_"&amp;$E3,OFFSET([2]stages!$A$1,0,0,COUNTA([2]stages!$A:$A),MATCH(F$1,[2]stages!$2:$2,0)-MATCH("temp_stage",[2]stages!$2:$2,0)+1),MATCH(F$1,[2]stages!$2:$2,0)-MATCH("temp_stage",[2]stages!$2:$2,0)+1,FALSE)</f>
        <v>【中級】惑乱の双神使！？</v>
      </c>
      <c r="G3" s="111" t="str">
        <f ca="1">VLOOKUP($B3&amp;"_"&amp;$E3,OFFSET([2]stages!$A$1,0,0,COUNTA([2]stages!$A:$A),MATCH(G$1,[2]stages!$2:$2,0)-MATCH("temp_stage",[2]stages!$2:$2,0)+1),MATCH(G$1,[2]stages!$2:$2,0)-MATCH("temp_stage",[2]stages!$2:$2,0)+1,FALSE)</f>
        <v>日本神話シリーズ　超級</v>
      </c>
      <c r="H3" s="111">
        <v>2</v>
      </c>
      <c r="I3" s="80">
        <f t="shared" ref="I3:I19" si="0">ROW()-1</f>
        <v>2</v>
      </c>
      <c r="J3" s="77" t="str">
        <f t="shared" ref="J3:J6" si="1">B3&amp;TEXT(I3,"00")</f>
        <v>3004802</v>
      </c>
      <c r="K3" s="112" t="s">
        <v>198</v>
      </c>
      <c r="L3" s="113" t="s">
        <v>345</v>
      </c>
      <c r="M3" s="124" t="s">
        <v>350</v>
      </c>
      <c r="N3" s="55" t="s">
        <v>199</v>
      </c>
      <c r="O3">
        <f t="shared" ref="O3:O7" si="2">LEN(M3)</f>
        <v>34</v>
      </c>
    </row>
    <row r="4" spans="1:15" ht="28" x14ac:dyDescent="0.15">
      <c r="A4" s="109" t="s">
        <v>197</v>
      </c>
      <c r="B4" s="110">
        <f>floors!$C$2</f>
        <v>30048</v>
      </c>
      <c r="C4" s="111" t="str">
        <f ca="1">VLOOKUP($B4,OFFSET([2]quests!$A$1,0,0,COUNTA([2]quests!$A:$A),MATCH(C$1,[2]quests!$1:$1,0)-MATCH($B$1,[2]quests!$1:$1,0)+1),MATCH(C$1,[2]quests!$1:$1,0)-MATCH($B$1,[2]quests!$1:$1,0)+1,FALSE)</f>
        <v>惑乱の双神使！？</v>
      </c>
      <c r="D4" s="111" t="str">
        <f ca="1">VLOOKUP($B4,OFFSET([2]quests!$A$1,0,0,COUNTA([2]quests!$A:$A),MATCH(D$1,[2]quests!$1:$1,0)-MATCH($B$1,[2]quests!$1:$1,0)+1),MATCH(D$1,[2]quests!$1:$1,0)-MATCH($B$1,[2]quests!$1:$1,0)+1,FALSE)</f>
        <v>日本神話シリーズ　超級</v>
      </c>
      <c r="E4" s="112">
        <v>1</v>
      </c>
      <c r="F4" s="111" t="str">
        <f ca="1">VLOOKUP($B4&amp;"_"&amp;$E4,OFFSET([2]stages!$A$1,0,0,COUNTA([2]stages!$A:$A),MATCH(F$1,[2]stages!$2:$2,0)-MATCH("temp_stage",[2]stages!$2:$2,0)+1),MATCH(F$1,[2]stages!$2:$2,0)-MATCH("temp_stage",[2]stages!$2:$2,0)+1,FALSE)</f>
        <v>【中級】惑乱の双神使！？</v>
      </c>
      <c r="G4" s="111" t="str">
        <f ca="1">VLOOKUP($B4&amp;"_"&amp;$E4,OFFSET([2]stages!$A$1,0,0,COUNTA([2]stages!$A:$A),MATCH(G$1,[2]stages!$2:$2,0)-MATCH("temp_stage",[2]stages!$2:$2,0)+1),MATCH(G$1,[2]stages!$2:$2,0)-MATCH("temp_stage",[2]stages!$2:$2,0)+1,FALSE)</f>
        <v>日本神話シリーズ　超級</v>
      </c>
      <c r="H4" s="111">
        <v>3</v>
      </c>
      <c r="I4" s="80">
        <f t="shared" si="0"/>
        <v>3</v>
      </c>
      <c r="J4" s="77" t="str">
        <f t="shared" si="1"/>
        <v>3004803</v>
      </c>
      <c r="K4" s="112" t="s">
        <v>198</v>
      </c>
      <c r="L4" s="113" t="s">
        <v>345</v>
      </c>
      <c r="M4" s="124" t="s">
        <v>348</v>
      </c>
      <c r="N4" s="55" t="s">
        <v>199</v>
      </c>
      <c r="O4">
        <f t="shared" si="2"/>
        <v>32</v>
      </c>
    </row>
    <row r="5" spans="1:15" ht="28" x14ac:dyDescent="0.15">
      <c r="A5" s="109" t="s">
        <v>197</v>
      </c>
      <c r="B5" s="110">
        <f>floors!$C$2</f>
        <v>30048</v>
      </c>
      <c r="C5" s="111" t="str">
        <f ca="1">VLOOKUP($B5,OFFSET([2]quests!$A$1,0,0,COUNTA([2]quests!$A:$A),MATCH(C$1,[2]quests!$1:$1,0)-MATCH($B$1,[2]quests!$1:$1,0)+1),MATCH(C$1,[2]quests!$1:$1,0)-MATCH($B$1,[2]quests!$1:$1,0)+1,FALSE)</f>
        <v>惑乱の双神使！？</v>
      </c>
      <c r="D5" s="111" t="str">
        <f ca="1">VLOOKUP($B5,OFFSET([2]quests!$A$1,0,0,COUNTA([2]quests!$A:$A),MATCH(D$1,[2]quests!$1:$1,0)-MATCH($B$1,[2]quests!$1:$1,0)+1),MATCH(D$1,[2]quests!$1:$1,0)-MATCH($B$1,[2]quests!$1:$1,0)+1,FALSE)</f>
        <v>日本神話シリーズ　超級</v>
      </c>
      <c r="E5" s="112">
        <v>1</v>
      </c>
      <c r="F5" s="111" t="str">
        <f ca="1">VLOOKUP($B5&amp;"_"&amp;$E5,OFFSET([2]stages!$A$1,0,0,COUNTA([2]stages!$A:$A),MATCH(F$1,[2]stages!$2:$2,0)-MATCH("temp_stage",[2]stages!$2:$2,0)+1),MATCH(F$1,[2]stages!$2:$2,0)-MATCH("temp_stage",[2]stages!$2:$2,0)+1,FALSE)</f>
        <v>【中級】惑乱の双神使！？</v>
      </c>
      <c r="G5" s="111" t="str">
        <f ca="1">VLOOKUP($B5&amp;"_"&amp;$E5,OFFSET([2]stages!$A$1,0,0,COUNTA([2]stages!$A:$A),MATCH(G$1,[2]stages!$2:$2,0)-MATCH("temp_stage",[2]stages!$2:$2,0)+1),MATCH(G$1,[2]stages!$2:$2,0)-MATCH("temp_stage",[2]stages!$2:$2,0)+1,FALSE)</f>
        <v>日本神話シリーズ　超級</v>
      </c>
      <c r="H5" s="111">
        <v>4</v>
      </c>
      <c r="I5" s="80">
        <f t="shared" si="0"/>
        <v>4</v>
      </c>
      <c r="J5" s="77" t="str">
        <f t="shared" si="1"/>
        <v>3004804</v>
      </c>
      <c r="K5" s="112" t="s">
        <v>198</v>
      </c>
      <c r="L5" s="113" t="s">
        <v>345</v>
      </c>
      <c r="M5" s="124" t="s">
        <v>349</v>
      </c>
      <c r="N5" s="55" t="s">
        <v>199</v>
      </c>
      <c r="O5">
        <f t="shared" si="2"/>
        <v>38</v>
      </c>
    </row>
    <row r="6" spans="1:15" ht="28" x14ac:dyDescent="0.15">
      <c r="A6" s="109" t="s">
        <v>197</v>
      </c>
      <c r="B6" s="110">
        <f>floors!$C$2</f>
        <v>30048</v>
      </c>
      <c r="C6" s="111" t="str">
        <f ca="1">VLOOKUP($B6,OFFSET([2]quests!$A$1,0,0,COUNTA([2]quests!$A:$A),MATCH(C$1,[2]quests!$1:$1,0)-MATCH($B$1,[2]quests!$1:$1,0)+1),MATCH(C$1,[2]quests!$1:$1,0)-MATCH($B$1,[2]quests!$1:$1,0)+1,FALSE)</f>
        <v>惑乱の双神使！？</v>
      </c>
      <c r="D6" s="111" t="str">
        <f ca="1">VLOOKUP($B6,OFFSET([2]quests!$A$1,0,0,COUNTA([2]quests!$A:$A),MATCH(D$1,[2]quests!$1:$1,0)-MATCH($B$1,[2]quests!$1:$1,0)+1),MATCH(D$1,[2]quests!$1:$1,0)-MATCH($B$1,[2]quests!$1:$1,0)+1,FALSE)</f>
        <v>日本神話シリーズ　超級</v>
      </c>
      <c r="E6" s="112">
        <v>1</v>
      </c>
      <c r="F6" s="111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【中級】惑乱の双神使！？</v>
      </c>
      <c r="G6" s="111" t="str">
        <f ca="1">VLOOKUP($B6&amp;"_"&amp;$E6,OFFSET([2]stages!$A$1,0,0,COUNTA([2]stages!$A:$A),MATCH(G$1,[2]stages!$2:$2,0)-MATCH("temp_stage",[2]stages!$2:$2,0)+1),MATCH(G$1,[2]stages!$2:$2,0)-MATCH("temp_stage",[2]stages!$2:$2,0)+1,FALSE)</f>
        <v>日本神話シリーズ　超級</v>
      </c>
      <c r="H6" s="111">
        <v>4</v>
      </c>
      <c r="I6" s="80">
        <f t="shared" si="0"/>
        <v>5</v>
      </c>
      <c r="J6" s="77" t="str">
        <f t="shared" si="1"/>
        <v>3004805</v>
      </c>
      <c r="K6" s="112" t="s">
        <v>198</v>
      </c>
      <c r="L6" s="113" t="s">
        <v>345</v>
      </c>
      <c r="M6" s="124" t="s">
        <v>351</v>
      </c>
      <c r="N6" s="55" t="s">
        <v>199</v>
      </c>
      <c r="O6">
        <f t="shared" si="2"/>
        <v>30</v>
      </c>
    </row>
    <row r="7" spans="1:15" ht="42" x14ac:dyDescent="0.15">
      <c r="A7" s="109" t="s">
        <v>197</v>
      </c>
      <c r="B7" s="110">
        <f>floors!$C$2</f>
        <v>30048</v>
      </c>
      <c r="C7" s="111" t="str">
        <f ca="1">VLOOKUP($B7,OFFSET([2]quests!$A$1,0,0,COUNTA([2]quests!$A:$A),MATCH(C$1,[2]quests!$1:$1,0)-MATCH($B$1,[2]quests!$1:$1,0)+1),MATCH(C$1,[2]quests!$1:$1,0)-MATCH($B$1,[2]quests!$1:$1,0)+1,FALSE)</f>
        <v>惑乱の双神使！？</v>
      </c>
      <c r="D7" s="111" t="str">
        <f ca="1">VLOOKUP($B7,OFFSET([2]quests!$A$1,0,0,COUNTA([2]quests!$A:$A),MATCH(D$1,[2]quests!$1:$1,0)-MATCH($B$1,[2]quests!$1:$1,0)+1),MATCH(D$1,[2]quests!$1:$1,0)-MATCH($B$1,[2]quests!$1:$1,0)+1,FALSE)</f>
        <v>日本神話シリーズ　超級</v>
      </c>
      <c r="E7" s="112">
        <v>1</v>
      </c>
      <c r="F7" s="111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【中級】惑乱の双神使！？</v>
      </c>
      <c r="G7" s="111" t="str">
        <f ca="1">VLOOKUP($B7&amp;"_"&amp;$E7,OFFSET([2]stages!$A$1,0,0,COUNTA([2]stages!$A:$A),MATCH(G$1,[2]stages!$2:$2,0)-MATCH("temp_stage",[2]stages!$2:$2,0)+1),MATCH(G$1,[2]stages!$2:$2,0)-MATCH("temp_stage",[2]stages!$2:$2,0)+1,FALSE)</f>
        <v>日本神話シリーズ　超級</v>
      </c>
      <c r="H7" s="111">
        <v>4</v>
      </c>
      <c r="I7" s="80">
        <f t="shared" si="0"/>
        <v>6</v>
      </c>
      <c r="J7" s="77" t="str">
        <f t="shared" ref="J7" si="3">B7&amp;TEXT(I7,"00")</f>
        <v>3004806</v>
      </c>
      <c r="K7" s="112" t="s">
        <v>198</v>
      </c>
      <c r="L7" s="113" t="s">
        <v>345</v>
      </c>
      <c r="M7" s="124" t="s">
        <v>352</v>
      </c>
      <c r="N7" s="55" t="s">
        <v>199</v>
      </c>
      <c r="O7">
        <f t="shared" si="2"/>
        <v>46</v>
      </c>
    </row>
    <row r="8" spans="1:15" ht="28" x14ac:dyDescent="0.15">
      <c r="A8" s="114" t="s">
        <v>197</v>
      </c>
      <c r="B8" s="115">
        <f>floors!$C$2</f>
        <v>30048</v>
      </c>
      <c r="C8" s="116" t="str">
        <f ca="1">VLOOKUP($B8,OFFSET([2]quests!$A$1,0,0,COUNTA([2]quests!$A:$A),MATCH(C$1,[2]quests!$1:$1,0)-MATCH($B$1,[2]quests!$1:$1,0)+1),MATCH(C$1,[2]quests!$1:$1,0)-MATCH($B$1,[2]quests!$1:$1,0)+1,FALSE)</f>
        <v>惑乱の双神使！？</v>
      </c>
      <c r="D8" s="116" t="str">
        <f ca="1">VLOOKUP($B8,OFFSET([2]quests!$A$1,0,0,COUNTA([2]quests!$A:$A),MATCH(D$1,[2]quests!$1:$1,0)-MATCH($B$1,[2]quests!$1:$1,0)+1),MATCH(D$1,[2]quests!$1:$1,0)-MATCH($B$1,[2]quests!$1:$1,0)+1,FALSE)</f>
        <v>日本神話シリーズ　超級</v>
      </c>
      <c r="E8" s="117">
        <v>2</v>
      </c>
      <c r="F8" s="116" t="str">
        <f ca="1">VLOOKUP($B8&amp;"_"&amp;$E8,OFFSET([2]stages!$A$1,0,0,COUNTA([2]stages!$A:$A),MATCH(F$1,[2]stages!$2:$2,0)-MATCH("temp_stage",[2]stages!$2:$2,0)+1),MATCH(F$1,[2]stages!$2:$2,0)-MATCH("temp_stage",[2]stages!$2:$2,0)+1,FALSE)</f>
        <v>【上級】惑乱の双神使！？</v>
      </c>
      <c r="G8" s="116" t="str">
        <f ca="1">VLOOKUP($B8&amp;"_"&amp;$E8,OFFSET([2]stages!$A$1,0,0,COUNTA([2]stages!$A:$A),MATCH(G$1,[2]stages!$2:$2,0)-MATCH("temp_stage",[2]stages!$2:$2,0)+1),MATCH(G$1,[2]stages!$2:$2,0)-MATCH("temp_stage",[2]stages!$2:$2,0)+1,FALSE)</f>
        <v>日本神話シリーズ　超級</v>
      </c>
      <c r="H8" s="116">
        <v>1</v>
      </c>
      <c r="I8" s="80">
        <f>ROW()-1</f>
        <v>7</v>
      </c>
      <c r="J8" s="77" t="str">
        <f>B8&amp;TEXT(I8,"00")</f>
        <v>3004807</v>
      </c>
      <c r="K8" s="117" t="s">
        <v>198</v>
      </c>
      <c r="L8" s="118" t="s">
        <v>345</v>
      </c>
      <c r="M8" s="126" t="s">
        <v>347</v>
      </c>
      <c r="N8" s="107" t="s">
        <v>199</v>
      </c>
    </row>
    <row r="9" spans="1:15" ht="28" x14ac:dyDescent="0.15">
      <c r="A9" s="114" t="s">
        <v>197</v>
      </c>
      <c r="B9" s="115">
        <f>floors!$C$2</f>
        <v>30048</v>
      </c>
      <c r="C9" s="116" t="str">
        <f ca="1">VLOOKUP($B9,OFFSET([2]quests!$A$1,0,0,COUNTA([2]quests!$A:$A),MATCH(C$1,[2]quests!$1:$1,0)-MATCH($B$1,[2]quests!$1:$1,0)+1),MATCH(C$1,[2]quests!$1:$1,0)-MATCH($B$1,[2]quests!$1:$1,0)+1,FALSE)</f>
        <v>惑乱の双神使！？</v>
      </c>
      <c r="D9" s="116" t="str">
        <f ca="1">VLOOKUP($B9,OFFSET([2]quests!$A$1,0,0,COUNTA([2]quests!$A:$A),MATCH(D$1,[2]quests!$1:$1,0)-MATCH($B$1,[2]quests!$1:$1,0)+1),MATCH(D$1,[2]quests!$1:$1,0)-MATCH($B$1,[2]quests!$1:$1,0)+1,FALSE)</f>
        <v>日本神話シリーズ　超級</v>
      </c>
      <c r="E9" s="117">
        <v>2</v>
      </c>
      <c r="F9" s="116" t="str">
        <f ca="1">VLOOKUP($B9&amp;"_"&amp;$E9,OFFSET([2]stages!$A$1,0,0,COUNTA([2]stages!$A:$A),MATCH(F$1,[2]stages!$2:$2,0)-MATCH("temp_stage",[2]stages!$2:$2,0)+1),MATCH(F$1,[2]stages!$2:$2,0)-MATCH("temp_stage",[2]stages!$2:$2,0)+1,FALSE)</f>
        <v>【上級】惑乱の双神使！？</v>
      </c>
      <c r="G9" s="116" t="str">
        <f ca="1">VLOOKUP($B9&amp;"_"&amp;$E9,OFFSET([2]stages!$A$1,0,0,COUNTA([2]stages!$A:$A),MATCH(G$1,[2]stages!$2:$2,0)-MATCH("temp_stage",[2]stages!$2:$2,0)+1),MATCH(G$1,[2]stages!$2:$2,0)-MATCH("temp_stage",[2]stages!$2:$2,0)+1,FALSE)</f>
        <v>日本神話シリーズ　超級</v>
      </c>
      <c r="H9" s="116">
        <v>2</v>
      </c>
      <c r="I9" s="80">
        <f t="shared" si="0"/>
        <v>8</v>
      </c>
      <c r="J9" s="77" t="str">
        <f t="shared" ref="J9:J12" si="4">B9&amp;TEXT(I9,"00")</f>
        <v>3004808</v>
      </c>
      <c r="K9" s="117" t="s">
        <v>198</v>
      </c>
      <c r="L9" s="118" t="s">
        <v>345</v>
      </c>
      <c r="M9" s="126" t="s">
        <v>353</v>
      </c>
      <c r="N9" s="107" t="s">
        <v>199</v>
      </c>
    </row>
    <row r="10" spans="1:15" ht="28" x14ac:dyDescent="0.15">
      <c r="A10" s="114" t="s">
        <v>197</v>
      </c>
      <c r="B10" s="115">
        <f>floors!$C$2</f>
        <v>30048</v>
      </c>
      <c r="C10" s="116" t="str">
        <f ca="1">VLOOKUP($B10,OFFSET([2]quests!$A$1,0,0,COUNTA([2]quests!$A:$A),MATCH(C$1,[2]quests!$1:$1,0)-MATCH($B$1,[2]quests!$1:$1,0)+1),MATCH(C$1,[2]quests!$1:$1,0)-MATCH($B$1,[2]quests!$1:$1,0)+1,FALSE)</f>
        <v>惑乱の双神使！？</v>
      </c>
      <c r="D10" s="116" t="str">
        <f ca="1">VLOOKUP($B10,OFFSET([2]quests!$A$1,0,0,COUNTA([2]quests!$A:$A),MATCH(D$1,[2]quests!$1:$1,0)-MATCH($B$1,[2]quests!$1:$1,0)+1),MATCH(D$1,[2]quests!$1:$1,0)-MATCH($B$1,[2]quests!$1:$1,0)+1,FALSE)</f>
        <v>日本神話シリーズ　超級</v>
      </c>
      <c r="E10" s="117">
        <v>2</v>
      </c>
      <c r="F10" s="116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【上級】惑乱の双神使！？</v>
      </c>
      <c r="G10" s="116" t="str">
        <f ca="1">VLOOKUP($B10&amp;"_"&amp;$E10,OFFSET([2]stages!$A$1,0,0,COUNTA([2]stages!$A:$A),MATCH(G$1,[2]stages!$2:$2,0)-MATCH("temp_stage",[2]stages!$2:$2,0)+1),MATCH(G$1,[2]stages!$2:$2,0)-MATCH("temp_stage",[2]stages!$2:$2,0)+1,FALSE)</f>
        <v>日本神話シリーズ　超級</v>
      </c>
      <c r="H10" s="116">
        <v>3</v>
      </c>
      <c r="I10" s="80">
        <f t="shared" si="0"/>
        <v>9</v>
      </c>
      <c r="J10" s="77" t="str">
        <f t="shared" si="4"/>
        <v>3004809</v>
      </c>
      <c r="K10" s="117" t="s">
        <v>198</v>
      </c>
      <c r="L10" s="118" t="s">
        <v>345</v>
      </c>
      <c r="M10" s="126" t="s">
        <v>348</v>
      </c>
      <c r="N10" s="107" t="s">
        <v>199</v>
      </c>
    </row>
    <row r="11" spans="1:15" ht="28" x14ac:dyDescent="0.15">
      <c r="A11" s="114" t="s">
        <v>197</v>
      </c>
      <c r="B11" s="115">
        <f>floors!$C$2</f>
        <v>30048</v>
      </c>
      <c r="C11" s="116" t="str">
        <f ca="1">VLOOKUP($B11,OFFSET([2]quests!$A$1,0,0,COUNTA([2]quests!$A:$A),MATCH(C$1,[2]quests!$1:$1,0)-MATCH($B$1,[2]quests!$1:$1,0)+1),MATCH(C$1,[2]quests!$1:$1,0)-MATCH($B$1,[2]quests!$1:$1,0)+1,FALSE)</f>
        <v>惑乱の双神使！？</v>
      </c>
      <c r="D11" s="116" t="str">
        <f ca="1">VLOOKUP($B11,OFFSET([2]quests!$A$1,0,0,COUNTA([2]quests!$A:$A),MATCH(D$1,[2]quests!$1:$1,0)-MATCH($B$1,[2]quests!$1:$1,0)+1),MATCH(D$1,[2]quests!$1:$1,0)-MATCH($B$1,[2]quests!$1:$1,0)+1,FALSE)</f>
        <v>日本神話シリーズ　超級</v>
      </c>
      <c r="E11" s="117">
        <v>2</v>
      </c>
      <c r="F11" s="116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【上級】惑乱の双神使！？</v>
      </c>
      <c r="G11" s="116" t="str">
        <f ca="1">VLOOKUP($B11&amp;"_"&amp;$E11,OFFSET([2]stages!$A$1,0,0,COUNTA([2]stages!$A:$A),MATCH(G$1,[2]stages!$2:$2,0)-MATCH("temp_stage",[2]stages!$2:$2,0)+1),MATCH(G$1,[2]stages!$2:$2,0)-MATCH("temp_stage",[2]stages!$2:$2,0)+1,FALSE)</f>
        <v>日本神話シリーズ　超級</v>
      </c>
      <c r="H11" s="116">
        <v>4</v>
      </c>
      <c r="I11" s="80">
        <f t="shared" si="0"/>
        <v>10</v>
      </c>
      <c r="J11" s="77" t="str">
        <f t="shared" si="4"/>
        <v>3004810</v>
      </c>
      <c r="K11" s="117" t="s">
        <v>198</v>
      </c>
      <c r="L11" s="118" t="s">
        <v>345</v>
      </c>
      <c r="M11" s="126" t="s">
        <v>349</v>
      </c>
      <c r="N11" s="107" t="s">
        <v>199</v>
      </c>
    </row>
    <row r="12" spans="1:15" ht="28" x14ac:dyDescent="0.15">
      <c r="A12" s="114" t="s">
        <v>197</v>
      </c>
      <c r="B12" s="115">
        <f>floors!$C$2</f>
        <v>30048</v>
      </c>
      <c r="C12" s="116" t="str">
        <f ca="1">VLOOKUP($B12,OFFSET([2]quests!$A$1,0,0,COUNTA([2]quests!$A:$A),MATCH(C$1,[2]quests!$1:$1,0)-MATCH($B$1,[2]quests!$1:$1,0)+1),MATCH(C$1,[2]quests!$1:$1,0)-MATCH($B$1,[2]quests!$1:$1,0)+1,FALSE)</f>
        <v>惑乱の双神使！？</v>
      </c>
      <c r="D12" s="116" t="str">
        <f ca="1">VLOOKUP($B12,OFFSET([2]quests!$A$1,0,0,COUNTA([2]quests!$A:$A),MATCH(D$1,[2]quests!$1:$1,0)-MATCH($B$1,[2]quests!$1:$1,0)+1),MATCH(D$1,[2]quests!$1:$1,0)-MATCH($B$1,[2]quests!$1:$1,0)+1,FALSE)</f>
        <v>日本神話シリーズ　超級</v>
      </c>
      <c r="E12" s="117">
        <v>2</v>
      </c>
      <c r="F12" s="116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【上級】惑乱の双神使！？</v>
      </c>
      <c r="G12" s="116" t="str">
        <f ca="1">VLOOKUP($B12&amp;"_"&amp;$E12,OFFSET([2]stages!$A$1,0,0,COUNTA([2]stages!$A:$A),MATCH(G$1,[2]stages!$2:$2,0)-MATCH("temp_stage",[2]stages!$2:$2,0)+1),MATCH(G$1,[2]stages!$2:$2,0)-MATCH("temp_stage",[2]stages!$2:$2,0)+1,FALSE)</f>
        <v>日本神話シリーズ　超級</v>
      </c>
      <c r="H12" s="116">
        <v>4</v>
      </c>
      <c r="I12" s="80">
        <f t="shared" si="0"/>
        <v>11</v>
      </c>
      <c r="J12" s="77" t="str">
        <f t="shared" si="4"/>
        <v>3004811</v>
      </c>
      <c r="K12" s="117" t="s">
        <v>198</v>
      </c>
      <c r="L12" s="118" t="s">
        <v>345</v>
      </c>
      <c r="M12" s="126" t="s">
        <v>351</v>
      </c>
      <c r="N12" s="107" t="s">
        <v>199</v>
      </c>
    </row>
    <row r="13" spans="1:15" ht="42" x14ac:dyDescent="0.15">
      <c r="A13" s="114" t="s">
        <v>197</v>
      </c>
      <c r="B13" s="115">
        <f>floors!$C$2</f>
        <v>30048</v>
      </c>
      <c r="C13" s="116" t="str">
        <f ca="1">VLOOKUP($B13,OFFSET([2]quests!$A$1,0,0,COUNTA([2]quests!$A:$A),MATCH(C$1,[2]quests!$1:$1,0)-MATCH($B$1,[2]quests!$1:$1,0)+1),MATCH(C$1,[2]quests!$1:$1,0)-MATCH($B$1,[2]quests!$1:$1,0)+1,FALSE)</f>
        <v>惑乱の双神使！？</v>
      </c>
      <c r="D13" s="116" t="str">
        <f ca="1">VLOOKUP($B13,OFFSET([2]quests!$A$1,0,0,COUNTA([2]quests!$A:$A),MATCH(D$1,[2]quests!$1:$1,0)-MATCH($B$1,[2]quests!$1:$1,0)+1),MATCH(D$1,[2]quests!$1:$1,0)-MATCH($B$1,[2]quests!$1:$1,0)+1,FALSE)</f>
        <v>日本神話シリーズ　超級</v>
      </c>
      <c r="E13" s="117">
        <v>2</v>
      </c>
      <c r="F13" s="116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【上級】惑乱の双神使！？</v>
      </c>
      <c r="G13" s="116" t="str">
        <f ca="1">VLOOKUP($B13&amp;"_"&amp;$E13,OFFSET([2]stages!$A$1,0,0,COUNTA([2]stages!$A:$A),MATCH(G$1,[2]stages!$2:$2,0)-MATCH("temp_stage",[2]stages!$2:$2,0)+1),MATCH(G$1,[2]stages!$2:$2,0)-MATCH("temp_stage",[2]stages!$2:$2,0)+1,FALSE)</f>
        <v>日本神話シリーズ　超級</v>
      </c>
      <c r="H13" s="116">
        <v>4</v>
      </c>
      <c r="I13" s="80">
        <f t="shared" si="0"/>
        <v>12</v>
      </c>
      <c r="J13" s="77" t="str">
        <f t="shared" ref="J13" si="5">B13&amp;TEXT(I13,"00")</f>
        <v>3004812</v>
      </c>
      <c r="K13" s="117" t="s">
        <v>198</v>
      </c>
      <c r="L13" s="118" t="s">
        <v>345</v>
      </c>
      <c r="M13" s="126" t="s">
        <v>352</v>
      </c>
      <c r="N13" s="107" t="s">
        <v>199</v>
      </c>
    </row>
    <row r="14" spans="1:15" ht="28" x14ac:dyDescent="0.15">
      <c r="A14" s="119" t="s">
        <v>197</v>
      </c>
      <c r="B14" s="120">
        <f>floors!$C$2</f>
        <v>30048</v>
      </c>
      <c r="C14" s="121" t="str">
        <f ca="1">VLOOKUP($B14,OFFSET([2]quests!$A$1,0,0,COUNTA([2]quests!$A:$A),MATCH(C$1,[2]quests!$1:$1,0)-MATCH($B$1,[2]quests!$1:$1,0)+1),MATCH(C$1,[2]quests!$1:$1,0)-MATCH($B$1,[2]quests!$1:$1,0)+1,FALSE)</f>
        <v>惑乱の双神使！？</v>
      </c>
      <c r="D14" s="121" t="str">
        <f ca="1">VLOOKUP($B14,OFFSET([2]quests!$A$1,0,0,COUNTA([2]quests!$A:$A),MATCH(D$1,[2]quests!$1:$1,0)-MATCH($B$1,[2]quests!$1:$1,0)+1),MATCH(D$1,[2]quests!$1:$1,0)-MATCH($B$1,[2]quests!$1:$1,0)+1,FALSE)</f>
        <v>日本神話シリーズ　超級</v>
      </c>
      <c r="E14" s="122">
        <v>3</v>
      </c>
      <c r="F14" s="121" t="str">
        <f ca="1">VLOOKUP($B14&amp;"_"&amp;$E14,OFFSET([2]stages!$A$1,0,0,COUNTA([2]stages!$A:$A),MATCH(F$1,[2]stages!$2:$2,0)-MATCH("temp_stage",[2]stages!$2:$2,0)+1),MATCH(F$1,[2]stages!$2:$2,0)-MATCH("temp_stage",[2]stages!$2:$2,0)+1,FALSE)</f>
        <v>【超級】惑乱の双神使！？</v>
      </c>
      <c r="G14" s="121" t="str">
        <f ca="1">VLOOKUP($B14&amp;"_"&amp;$E14,OFFSET([2]stages!$A$1,0,0,COUNTA([2]stages!$A:$A),MATCH(G$1,[2]stages!$2:$2,0)-MATCH("temp_stage",[2]stages!$2:$2,0)+1),MATCH(G$1,[2]stages!$2:$2,0)-MATCH("temp_stage",[2]stages!$2:$2,0)+1,FALSE)</f>
        <v>日本神話シリーズ　超級</v>
      </c>
      <c r="H14" s="121">
        <v>1</v>
      </c>
      <c r="I14" s="80">
        <f>ROW()-1</f>
        <v>13</v>
      </c>
      <c r="J14" s="77" t="str">
        <f>B14&amp;TEXT(I14,"00")</f>
        <v>3004813</v>
      </c>
      <c r="K14" s="122" t="s">
        <v>198</v>
      </c>
      <c r="L14" s="123" t="s">
        <v>345</v>
      </c>
      <c r="M14" s="125" t="s">
        <v>347</v>
      </c>
      <c r="N14" s="108" t="s">
        <v>199</v>
      </c>
    </row>
    <row r="15" spans="1:15" ht="28" x14ac:dyDescent="0.15">
      <c r="A15" s="119" t="s">
        <v>197</v>
      </c>
      <c r="B15" s="120">
        <f>floors!$C$2</f>
        <v>30048</v>
      </c>
      <c r="C15" s="121" t="str">
        <f ca="1">VLOOKUP($B15,OFFSET([2]quests!$A$1,0,0,COUNTA([2]quests!$A:$A),MATCH(C$1,[2]quests!$1:$1,0)-MATCH($B$1,[2]quests!$1:$1,0)+1),MATCH(C$1,[2]quests!$1:$1,0)-MATCH($B$1,[2]quests!$1:$1,0)+1,FALSE)</f>
        <v>惑乱の双神使！？</v>
      </c>
      <c r="D15" s="121" t="str">
        <f ca="1">VLOOKUP($B15,OFFSET([2]quests!$A$1,0,0,COUNTA([2]quests!$A:$A),MATCH(D$1,[2]quests!$1:$1,0)-MATCH($B$1,[2]quests!$1:$1,0)+1),MATCH(D$1,[2]quests!$1:$1,0)-MATCH($B$1,[2]quests!$1:$1,0)+1,FALSE)</f>
        <v>日本神話シリーズ　超級</v>
      </c>
      <c r="E15" s="122">
        <v>3</v>
      </c>
      <c r="F15" s="121" t="str">
        <f ca="1">VLOOKUP($B15&amp;"_"&amp;$E15,OFFSET([2]stages!$A$1,0,0,COUNTA([2]stages!$A:$A),MATCH(F$1,[2]stages!$2:$2,0)-MATCH("temp_stage",[2]stages!$2:$2,0)+1),MATCH(F$1,[2]stages!$2:$2,0)-MATCH("temp_stage",[2]stages!$2:$2,0)+1,FALSE)</f>
        <v>【超級】惑乱の双神使！？</v>
      </c>
      <c r="G15" s="121" t="str">
        <f ca="1">VLOOKUP($B15&amp;"_"&amp;$E15,OFFSET([2]stages!$A$1,0,0,COUNTA([2]stages!$A:$A),MATCH(G$1,[2]stages!$2:$2,0)-MATCH("temp_stage",[2]stages!$2:$2,0)+1),MATCH(G$1,[2]stages!$2:$2,0)-MATCH("temp_stage",[2]stages!$2:$2,0)+1,FALSE)</f>
        <v>日本神話シリーズ　超級</v>
      </c>
      <c r="H15" s="121">
        <v>2</v>
      </c>
      <c r="I15" s="80">
        <f t="shared" si="0"/>
        <v>14</v>
      </c>
      <c r="J15" s="77" t="str">
        <f t="shared" ref="J15:J18" si="6">B15&amp;TEXT(I15,"00")</f>
        <v>3004814</v>
      </c>
      <c r="K15" s="122" t="s">
        <v>198</v>
      </c>
      <c r="L15" s="123" t="s">
        <v>345</v>
      </c>
      <c r="M15" s="125" t="s">
        <v>354</v>
      </c>
      <c r="N15" s="108" t="s">
        <v>199</v>
      </c>
    </row>
    <row r="16" spans="1:15" ht="28" x14ac:dyDescent="0.15">
      <c r="A16" s="119" t="s">
        <v>197</v>
      </c>
      <c r="B16" s="120">
        <f>floors!$C$2</f>
        <v>30048</v>
      </c>
      <c r="C16" s="121" t="str">
        <f ca="1">VLOOKUP($B16,OFFSET([2]quests!$A$1,0,0,COUNTA([2]quests!$A:$A),MATCH(C$1,[2]quests!$1:$1,0)-MATCH($B$1,[2]quests!$1:$1,0)+1),MATCH(C$1,[2]quests!$1:$1,0)-MATCH($B$1,[2]quests!$1:$1,0)+1,FALSE)</f>
        <v>惑乱の双神使！？</v>
      </c>
      <c r="D16" s="121" t="str">
        <f ca="1">VLOOKUP($B16,OFFSET([2]quests!$A$1,0,0,COUNTA([2]quests!$A:$A),MATCH(D$1,[2]quests!$1:$1,0)-MATCH($B$1,[2]quests!$1:$1,0)+1),MATCH(D$1,[2]quests!$1:$1,0)-MATCH($B$1,[2]quests!$1:$1,0)+1,FALSE)</f>
        <v>日本神話シリーズ　超級</v>
      </c>
      <c r="E16" s="122">
        <v>3</v>
      </c>
      <c r="F16" s="121" t="str">
        <f ca="1">VLOOKUP($B16&amp;"_"&amp;$E16,OFFSET([2]stages!$A$1,0,0,COUNTA([2]stages!$A:$A),MATCH(F$1,[2]stages!$2:$2,0)-MATCH("temp_stage",[2]stages!$2:$2,0)+1),MATCH(F$1,[2]stages!$2:$2,0)-MATCH("temp_stage",[2]stages!$2:$2,0)+1,FALSE)</f>
        <v>【超級】惑乱の双神使！？</v>
      </c>
      <c r="G16" s="121" t="str">
        <f ca="1">VLOOKUP($B16&amp;"_"&amp;$E16,OFFSET([2]stages!$A$1,0,0,COUNTA([2]stages!$A:$A),MATCH(G$1,[2]stages!$2:$2,0)-MATCH("temp_stage",[2]stages!$2:$2,0)+1),MATCH(G$1,[2]stages!$2:$2,0)-MATCH("temp_stage",[2]stages!$2:$2,0)+1,FALSE)</f>
        <v>日本神話シリーズ　超級</v>
      </c>
      <c r="H16" s="121">
        <v>3</v>
      </c>
      <c r="I16" s="80">
        <f t="shared" si="0"/>
        <v>15</v>
      </c>
      <c r="J16" s="77" t="str">
        <f t="shared" si="6"/>
        <v>3004815</v>
      </c>
      <c r="K16" s="122" t="s">
        <v>198</v>
      </c>
      <c r="L16" s="123" t="s">
        <v>345</v>
      </c>
      <c r="M16" s="125" t="s">
        <v>348</v>
      </c>
      <c r="N16" s="108" t="s">
        <v>199</v>
      </c>
    </row>
    <row r="17" spans="1:14" ht="28" x14ac:dyDescent="0.15">
      <c r="A17" s="119" t="s">
        <v>197</v>
      </c>
      <c r="B17" s="120">
        <f>floors!$C$2</f>
        <v>30048</v>
      </c>
      <c r="C17" s="121" t="str">
        <f ca="1">VLOOKUP($B17,OFFSET([2]quests!$A$1,0,0,COUNTA([2]quests!$A:$A),MATCH(C$1,[2]quests!$1:$1,0)-MATCH($B$1,[2]quests!$1:$1,0)+1),MATCH(C$1,[2]quests!$1:$1,0)-MATCH($B$1,[2]quests!$1:$1,0)+1,FALSE)</f>
        <v>惑乱の双神使！？</v>
      </c>
      <c r="D17" s="121" t="str">
        <f ca="1">VLOOKUP($B17,OFFSET([2]quests!$A$1,0,0,COUNTA([2]quests!$A:$A),MATCH(D$1,[2]quests!$1:$1,0)-MATCH($B$1,[2]quests!$1:$1,0)+1),MATCH(D$1,[2]quests!$1:$1,0)-MATCH($B$1,[2]quests!$1:$1,0)+1,FALSE)</f>
        <v>日本神話シリーズ　超級</v>
      </c>
      <c r="E17" s="122">
        <v>3</v>
      </c>
      <c r="F17" s="121" t="str">
        <f ca="1">VLOOKUP($B17&amp;"_"&amp;$E17,OFFSET([2]stages!$A$1,0,0,COUNTA([2]stages!$A:$A),MATCH(F$1,[2]stages!$2:$2,0)-MATCH("temp_stage",[2]stages!$2:$2,0)+1),MATCH(F$1,[2]stages!$2:$2,0)-MATCH("temp_stage",[2]stages!$2:$2,0)+1,FALSE)</f>
        <v>【超級】惑乱の双神使！？</v>
      </c>
      <c r="G17" s="121" t="str">
        <f ca="1">VLOOKUP($B17&amp;"_"&amp;$E17,OFFSET([2]stages!$A$1,0,0,COUNTA([2]stages!$A:$A),MATCH(G$1,[2]stages!$2:$2,0)-MATCH("temp_stage",[2]stages!$2:$2,0)+1),MATCH(G$1,[2]stages!$2:$2,0)-MATCH("temp_stage",[2]stages!$2:$2,0)+1,FALSE)</f>
        <v>日本神話シリーズ　超級</v>
      </c>
      <c r="H17" s="121">
        <v>4</v>
      </c>
      <c r="I17" s="80">
        <f t="shared" si="0"/>
        <v>16</v>
      </c>
      <c r="J17" s="77" t="str">
        <f t="shared" si="6"/>
        <v>3004816</v>
      </c>
      <c r="K17" s="122" t="s">
        <v>198</v>
      </c>
      <c r="L17" s="123" t="s">
        <v>345</v>
      </c>
      <c r="M17" s="125" t="s">
        <v>349</v>
      </c>
      <c r="N17" s="108" t="s">
        <v>199</v>
      </c>
    </row>
    <row r="18" spans="1:14" ht="28" x14ac:dyDescent="0.15">
      <c r="A18" s="119" t="s">
        <v>197</v>
      </c>
      <c r="B18" s="120">
        <f>floors!$C$2</f>
        <v>30048</v>
      </c>
      <c r="C18" s="121" t="str">
        <f ca="1">VLOOKUP($B18,OFFSET([2]quests!$A$1,0,0,COUNTA([2]quests!$A:$A),MATCH(C$1,[2]quests!$1:$1,0)-MATCH($B$1,[2]quests!$1:$1,0)+1),MATCH(C$1,[2]quests!$1:$1,0)-MATCH($B$1,[2]quests!$1:$1,0)+1,FALSE)</f>
        <v>惑乱の双神使！？</v>
      </c>
      <c r="D18" s="121" t="str">
        <f ca="1">VLOOKUP($B18,OFFSET([2]quests!$A$1,0,0,COUNTA([2]quests!$A:$A),MATCH(D$1,[2]quests!$1:$1,0)-MATCH($B$1,[2]quests!$1:$1,0)+1),MATCH(D$1,[2]quests!$1:$1,0)-MATCH($B$1,[2]quests!$1:$1,0)+1,FALSE)</f>
        <v>日本神話シリーズ　超級</v>
      </c>
      <c r="E18" s="122">
        <v>3</v>
      </c>
      <c r="F18" s="121" t="str">
        <f ca="1">VLOOKUP($B18&amp;"_"&amp;$E18,OFFSET([2]stages!$A$1,0,0,COUNTA([2]stages!$A:$A),MATCH(F$1,[2]stages!$2:$2,0)-MATCH("temp_stage",[2]stages!$2:$2,0)+1),MATCH(F$1,[2]stages!$2:$2,0)-MATCH("temp_stage",[2]stages!$2:$2,0)+1,FALSE)</f>
        <v>【超級】惑乱の双神使！？</v>
      </c>
      <c r="G18" s="121" t="str">
        <f ca="1">VLOOKUP($B18&amp;"_"&amp;$E18,OFFSET([2]stages!$A$1,0,0,COUNTA([2]stages!$A:$A),MATCH(G$1,[2]stages!$2:$2,0)-MATCH("temp_stage",[2]stages!$2:$2,0)+1),MATCH(G$1,[2]stages!$2:$2,0)-MATCH("temp_stage",[2]stages!$2:$2,0)+1,FALSE)</f>
        <v>日本神話シリーズ　超級</v>
      </c>
      <c r="H18" s="121">
        <v>4</v>
      </c>
      <c r="I18" s="80">
        <f t="shared" si="0"/>
        <v>17</v>
      </c>
      <c r="J18" s="77" t="str">
        <f t="shared" si="6"/>
        <v>3004817</v>
      </c>
      <c r="K18" s="122" t="s">
        <v>198</v>
      </c>
      <c r="L18" s="123" t="s">
        <v>345</v>
      </c>
      <c r="M18" s="125" t="s">
        <v>351</v>
      </c>
      <c r="N18" s="108" t="s">
        <v>199</v>
      </c>
    </row>
    <row r="19" spans="1:14" ht="42" x14ac:dyDescent="0.15">
      <c r="A19" s="119" t="s">
        <v>197</v>
      </c>
      <c r="B19" s="120">
        <f>floors!$C$2</f>
        <v>30048</v>
      </c>
      <c r="C19" s="121" t="str">
        <f ca="1">VLOOKUP($B19,OFFSET([2]quests!$A$1,0,0,COUNTA([2]quests!$A:$A),MATCH(C$1,[2]quests!$1:$1,0)-MATCH($B$1,[2]quests!$1:$1,0)+1),MATCH(C$1,[2]quests!$1:$1,0)-MATCH($B$1,[2]quests!$1:$1,0)+1,FALSE)</f>
        <v>惑乱の双神使！？</v>
      </c>
      <c r="D19" s="121" t="str">
        <f ca="1">VLOOKUP($B19,OFFSET([2]quests!$A$1,0,0,COUNTA([2]quests!$A:$A),MATCH(D$1,[2]quests!$1:$1,0)-MATCH($B$1,[2]quests!$1:$1,0)+1),MATCH(D$1,[2]quests!$1:$1,0)-MATCH($B$1,[2]quests!$1:$1,0)+1,FALSE)</f>
        <v>日本神話シリーズ　超級</v>
      </c>
      <c r="E19" s="122">
        <v>3</v>
      </c>
      <c r="F19" s="121" t="str">
        <f ca="1">VLOOKUP($B19&amp;"_"&amp;$E19,OFFSET([2]stages!$A$1,0,0,COUNTA([2]stages!$A:$A),MATCH(F$1,[2]stages!$2:$2,0)-MATCH("temp_stage",[2]stages!$2:$2,0)+1),MATCH(F$1,[2]stages!$2:$2,0)-MATCH("temp_stage",[2]stages!$2:$2,0)+1,FALSE)</f>
        <v>【超級】惑乱の双神使！？</v>
      </c>
      <c r="G19" s="121" t="str">
        <f ca="1">VLOOKUP($B19&amp;"_"&amp;$E19,OFFSET([2]stages!$A$1,0,0,COUNTA([2]stages!$A:$A),MATCH(G$1,[2]stages!$2:$2,0)-MATCH("temp_stage",[2]stages!$2:$2,0)+1),MATCH(G$1,[2]stages!$2:$2,0)-MATCH("temp_stage",[2]stages!$2:$2,0)+1,FALSE)</f>
        <v>日本神話シリーズ　超級</v>
      </c>
      <c r="H19" s="121">
        <v>4</v>
      </c>
      <c r="I19" s="80">
        <f t="shared" si="0"/>
        <v>18</v>
      </c>
      <c r="J19" s="77" t="str">
        <f t="shared" ref="J19" si="7">B19&amp;TEXT(I19,"00")</f>
        <v>3004818</v>
      </c>
      <c r="K19" s="122" t="s">
        <v>198</v>
      </c>
      <c r="L19" s="123" t="s">
        <v>345</v>
      </c>
      <c r="M19" s="125" t="s">
        <v>352</v>
      </c>
      <c r="N19" s="108" t="s">
        <v>199</v>
      </c>
    </row>
  </sheetData>
  <phoneticPr fontId="5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1"/>
  <sheetViews>
    <sheetView showGridLines="0" workbookViewId="0">
      <pane ySplit="1" topLeftCell="A2" activePane="bottomLeft" state="frozen"/>
      <selection activeCell="J32" sqref="J32"/>
      <selection pane="bottomLeft" activeCell="G21" sqref="G21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4" t="s">
        <v>211</v>
      </c>
      <c r="B1" s="85" t="s">
        <v>212</v>
      </c>
      <c r="C1" s="73" t="s">
        <v>213</v>
      </c>
      <c r="D1" s="73" t="s">
        <v>33</v>
      </c>
      <c r="E1" s="85" t="s">
        <v>214</v>
      </c>
      <c r="F1" s="73" t="s">
        <v>215</v>
      </c>
      <c r="G1" s="73" t="s">
        <v>33</v>
      </c>
      <c r="H1" s="85" t="s">
        <v>216</v>
      </c>
      <c r="I1" s="85" t="s">
        <v>217</v>
      </c>
      <c r="J1" s="85" t="s">
        <v>218</v>
      </c>
      <c r="K1" s="69" t="s">
        <v>219</v>
      </c>
      <c r="L1" s="69" t="s">
        <v>220</v>
      </c>
      <c r="M1" s="69" t="s">
        <v>156</v>
      </c>
      <c r="N1" s="73" t="s">
        <v>16</v>
      </c>
      <c r="O1" s="69" t="s">
        <v>221</v>
      </c>
      <c r="P1" s="69" t="s">
        <v>57</v>
      </c>
      <c r="Q1" s="69" t="s">
        <v>222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223</v>
      </c>
      <c r="X1" s="69" t="s">
        <v>224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2017-02-21T01:46:19Z</dcterms:modified>
</cp:coreProperties>
</file>