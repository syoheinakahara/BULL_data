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firstSheet="1" activeTab="6"/>
  </bookViews>
  <sheets>
    <sheet name="確率の考え方" sheetId="110" r:id="rId1"/>
    <sheet name="Sheet1" sheetId="107" r:id="rId2"/>
    <sheet name="output" sheetId="103" r:id="rId3"/>
    <sheet name="input_457010" sheetId="157" r:id="rId4"/>
    <sheet name="tables_457010" sheetId="158" r:id="rId5"/>
    <sheet name="tables_settle_457018" sheetId="154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tables_457010!$A$1:$V$294</definedName>
    <definedName name="_xlnm._FilterDatabase" localSheetId="5" hidden="1">tables_settle_457018!$A$1:$V$74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D2" i="154"/>
  <c r="O2" i="154"/>
  <c r="I3" i="154"/>
  <c r="D3" i="154"/>
  <c r="O3" i="154"/>
  <c r="I4" i="154"/>
  <c r="D4" i="154"/>
  <c r="O4" i="154"/>
  <c r="I5" i="154"/>
  <c r="D5" i="154"/>
  <c r="O5" i="154"/>
  <c r="I6" i="154"/>
  <c r="D6" i="154"/>
  <c r="O6" i="154"/>
  <c r="I7" i="154"/>
  <c r="D7" i="154"/>
  <c r="O7" i="154"/>
  <c r="I8" i="154"/>
  <c r="D8" i="154"/>
  <c r="O8" i="154"/>
  <c r="I9" i="154"/>
  <c r="D9" i="154"/>
  <c r="O9" i="154"/>
  <c r="I10" i="154"/>
  <c r="D10" i="154"/>
  <c r="O10" i="154"/>
  <c r="I11" i="154"/>
  <c r="D11" i="154"/>
  <c r="O11" i="154"/>
  <c r="I12" i="154"/>
  <c r="D12" i="154"/>
  <c r="O12" i="154"/>
  <c r="I13" i="154"/>
  <c r="D13" i="154"/>
  <c r="O13" i="154"/>
  <c r="I14" i="154"/>
  <c r="D14" i="154"/>
  <c r="O14" i="154"/>
  <c r="I15" i="154"/>
  <c r="D15" i="154"/>
  <c r="O15" i="154"/>
  <c r="I16" i="154"/>
  <c r="D16" i="154"/>
  <c r="O16" i="154"/>
  <c r="I17" i="154"/>
  <c r="D17" i="154"/>
  <c r="O17" i="154"/>
  <c r="I18" i="154"/>
  <c r="D18" i="154"/>
  <c r="O18" i="154"/>
  <c r="I19" i="154"/>
  <c r="D19" i="154"/>
  <c r="O19" i="154"/>
  <c r="I20" i="154"/>
  <c r="D20" i="154"/>
  <c r="O20" i="154"/>
  <c r="I21" i="154"/>
  <c r="D21" i="154"/>
  <c r="O21" i="154"/>
  <c r="I22" i="154"/>
  <c r="D22" i="154"/>
  <c r="O22" i="154"/>
  <c r="I23" i="154"/>
  <c r="D23" i="154"/>
  <c r="O23" i="154"/>
  <c r="I24" i="154"/>
  <c r="D24" i="154"/>
  <c r="O24" i="154"/>
  <c r="I25" i="154"/>
  <c r="D25" i="154"/>
  <c r="O25" i="154"/>
  <c r="I26" i="154"/>
  <c r="D26" i="154"/>
  <c r="O26" i="154"/>
  <c r="I27" i="154"/>
  <c r="D27" i="154"/>
  <c r="O27" i="154"/>
  <c r="I28" i="154"/>
  <c r="D28" i="154"/>
  <c r="O28" i="154"/>
  <c r="I29" i="154"/>
  <c r="D29" i="154"/>
  <c r="O29" i="154"/>
  <c r="I30" i="154"/>
  <c r="D30" i="154"/>
  <c r="O30" i="154"/>
  <c r="I31" i="154"/>
  <c r="D31" i="154"/>
  <c r="O31" i="154"/>
  <c r="I32" i="154"/>
  <c r="D32" i="154"/>
  <c r="O32" i="154"/>
  <c r="I33" i="154"/>
  <c r="D33" i="154"/>
  <c r="O33" i="154"/>
  <c r="I34" i="154"/>
  <c r="D34" i="154"/>
  <c r="O34" i="154"/>
  <c r="I35" i="154"/>
  <c r="D35" i="154"/>
  <c r="O35" i="154"/>
  <c r="I36" i="154"/>
  <c r="D36" i="154"/>
  <c r="O36" i="154"/>
  <c r="I37" i="154"/>
  <c r="D37" i="154"/>
  <c r="O37" i="154"/>
  <c r="I38" i="154"/>
  <c r="D38" i="154"/>
  <c r="O38" i="154"/>
  <c r="I39" i="154"/>
  <c r="D39" i="154"/>
  <c r="O39" i="154"/>
  <c r="I40" i="154"/>
  <c r="D40" i="154"/>
  <c r="O40" i="154"/>
  <c r="I41" i="154"/>
  <c r="D41" i="154"/>
  <c r="O41" i="154"/>
  <c r="I42" i="154"/>
  <c r="D42" i="154"/>
  <c r="O42" i="154"/>
  <c r="I43" i="154"/>
  <c r="D43" i="154"/>
  <c r="O43" i="154"/>
  <c r="I44" i="154"/>
  <c r="D44" i="154"/>
  <c r="O44" i="154"/>
  <c r="I45" i="154"/>
  <c r="D45" i="154"/>
  <c r="O45" i="154"/>
  <c r="I46" i="154"/>
  <c r="D46" i="154"/>
  <c r="O46" i="154"/>
  <c r="I47" i="154"/>
  <c r="D47" i="154"/>
  <c r="O47" i="154"/>
  <c r="I48" i="154"/>
  <c r="D48" i="154"/>
  <c r="O48" i="154"/>
  <c r="I49" i="154"/>
  <c r="D49" i="154"/>
  <c r="O49" i="154"/>
  <c r="I50" i="154"/>
  <c r="D50" i="154"/>
  <c r="O50" i="154"/>
  <c r="I51" i="154"/>
  <c r="D51" i="154"/>
  <c r="O51" i="154"/>
  <c r="I52" i="154"/>
  <c r="D52" i="154"/>
  <c r="O52" i="154"/>
  <c r="I53" i="154"/>
  <c r="D53" i="154"/>
  <c r="O53" i="154"/>
  <c r="I54" i="154"/>
  <c r="D54" i="154"/>
  <c r="O54" i="154"/>
  <c r="I55" i="154"/>
  <c r="D55" i="154"/>
  <c r="O55" i="154"/>
  <c r="I56" i="154"/>
  <c r="D56" i="154"/>
  <c r="O56" i="154"/>
  <c r="I57" i="154"/>
  <c r="D57" i="154"/>
  <c r="O57" i="154"/>
  <c r="I58" i="154"/>
  <c r="D58" i="154"/>
  <c r="O58" i="154"/>
  <c r="I59" i="154"/>
  <c r="D59" i="154"/>
  <c r="O59" i="154"/>
  <c r="I60" i="154"/>
  <c r="D60" i="154"/>
  <c r="O60" i="154"/>
  <c r="I61" i="154"/>
  <c r="D61" i="154"/>
  <c r="O61" i="154"/>
  <c r="I62" i="154"/>
  <c r="D62" i="154"/>
  <c r="O62" i="154"/>
  <c r="I63" i="154"/>
  <c r="D63" i="154"/>
  <c r="O63" i="154"/>
  <c r="I64" i="154"/>
  <c r="D64" i="154"/>
  <c r="O64" i="154"/>
  <c r="I65" i="154"/>
  <c r="D65" i="154"/>
  <c r="O65" i="154"/>
  <c r="I66" i="154"/>
  <c r="J66" i="154"/>
  <c r="D66" i="154"/>
  <c r="O66" i="154"/>
  <c r="I67" i="154"/>
  <c r="J67" i="154"/>
  <c r="D67" i="154"/>
  <c r="O67" i="154"/>
  <c r="I68" i="154"/>
  <c r="J68" i="154"/>
  <c r="D68" i="154"/>
  <c r="O68" i="154"/>
  <c r="I69" i="154"/>
  <c r="J69" i="154"/>
  <c r="D69" i="154"/>
  <c r="O69" i="154"/>
  <c r="I70" i="154"/>
  <c r="J70" i="154"/>
  <c r="D70" i="154"/>
  <c r="O70" i="154"/>
  <c r="I71" i="154"/>
  <c r="J71" i="154"/>
  <c r="D71" i="154"/>
  <c r="O71" i="154"/>
  <c r="I72" i="154"/>
  <c r="D72" i="154"/>
  <c r="O72" i="154"/>
  <c r="I73" i="154"/>
  <c r="D73" i="154"/>
  <c r="O73" i="154"/>
  <c r="I74" i="154"/>
  <c r="D74" i="154"/>
  <c r="O74" i="154"/>
  <c r="I75" i="154"/>
  <c r="D75" i="154"/>
  <c r="O75" i="154"/>
  <c r="I76" i="154"/>
  <c r="D76" i="154"/>
  <c r="O76" i="154"/>
  <c r="I77" i="154"/>
  <c r="D77" i="154"/>
  <c r="O77" i="154"/>
  <c r="I78" i="154"/>
  <c r="D78" i="154"/>
  <c r="O78" i="154"/>
  <c r="I79" i="154"/>
  <c r="D79" i="154"/>
  <c r="O79" i="154"/>
  <c r="I80" i="154"/>
  <c r="D80" i="154"/>
  <c r="O80" i="154"/>
  <c r="I81" i="154"/>
  <c r="D81" i="154"/>
  <c r="O81" i="154"/>
  <c r="I82" i="154"/>
  <c r="D82" i="154"/>
  <c r="O82" i="154"/>
  <c r="I83" i="154"/>
  <c r="D83" i="154"/>
  <c r="O83" i="154"/>
  <c r="I84" i="154"/>
  <c r="D84" i="154"/>
  <c r="O84" i="154"/>
  <c r="I85" i="154"/>
  <c r="D85" i="154"/>
  <c r="O85" i="154"/>
  <c r="I86" i="154"/>
  <c r="D86" i="154"/>
  <c r="O86" i="154"/>
  <c r="I87" i="154"/>
  <c r="D87" i="154"/>
  <c r="O87" i="154"/>
  <c r="I88" i="154"/>
  <c r="D88" i="154"/>
  <c r="O88" i="154"/>
  <c r="I89" i="154"/>
  <c r="D89" i="154"/>
  <c r="O89" i="154"/>
  <c r="I90" i="154"/>
  <c r="D90" i="154"/>
  <c r="O90" i="154"/>
  <c r="I91" i="154"/>
  <c r="D91" i="154"/>
  <c r="O91" i="154"/>
  <c r="I92" i="154"/>
  <c r="D92" i="154"/>
  <c r="O92" i="154"/>
  <c r="I93" i="154"/>
  <c r="D93" i="154"/>
  <c r="O93" i="154"/>
  <c r="I94" i="154"/>
  <c r="D94" i="154"/>
  <c r="O94" i="154"/>
  <c r="I95" i="154"/>
  <c r="D95" i="154"/>
  <c r="O95" i="154"/>
  <c r="I96" i="154"/>
  <c r="D96" i="154"/>
  <c r="O96" i="154"/>
  <c r="I97" i="154"/>
  <c r="D97" i="154"/>
  <c r="O97" i="154"/>
  <c r="I98" i="154"/>
  <c r="D98" i="154"/>
  <c r="O98" i="154"/>
  <c r="I99" i="154"/>
  <c r="D99" i="154"/>
  <c r="O99" i="154"/>
  <c r="I100" i="154"/>
  <c r="D100" i="154"/>
  <c r="O100" i="154"/>
  <c r="I101" i="154"/>
  <c r="D101" i="154"/>
  <c r="O101" i="154"/>
  <c r="I102" i="154"/>
  <c r="D102" i="154"/>
  <c r="O102" i="154"/>
  <c r="I103" i="154"/>
  <c r="D103" i="154"/>
  <c r="O103" i="154"/>
  <c r="I104" i="154"/>
  <c r="D104" i="154"/>
  <c r="O104" i="154"/>
  <c r="I105" i="154"/>
  <c r="D105" i="154"/>
  <c r="O105" i="154"/>
  <c r="I106" i="154"/>
  <c r="D106" i="154"/>
  <c r="O106" i="154"/>
  <c r="I107" i="154"/>
  <c r="D107" i="154"/>
  <c r="O107" i="154"/>
  <c r="I108" i="154"/>
  <c r="D108" i="154"/>
  <c r="O108" i="154"/>
  <c r="I109" i="154"/>
  <c r="D109" i="154"/>
  <c r="O109" i="154"/>
  <c r="I110" i="154"/>
  <c r="D110" i="154"/>
  <c r="O110" i="154"/>
  <c r="I111" i="154"/>
  <c r="D111" i="154"/>
  <c r="O111" i="154"/>
  <c r="I112" i="154"/>
  <c r="D112" i="154"/>
  <c r="O112" i="154"/>
  <c r="I113" i="154"/>
  <c r="D113" i="154"/>
  <c r="O113" i="154"/>
  <c r="I114" i="154"/>
  <c r="D114" i="154"/>
  <c r="O114" i="154"/>
  <c r="I115" i="154"/>
  <c r="D115" i="154"/>
  <c r="O115" i="154"/>
  <c r="I116" i="154"/>
  <c r="D116" i="154"/>
  <c r="O116" i="154"/>
  <c r="I117" i="154"/>
  <c r="D117" i="154"/>
  <c r="O117" i="154"/>
  <c r="I118" i="154"/>
  <c r="D118" i="154"/>
  <c r="O118" i="154"/>
  <c r="I119" i="154"/>
  <c r="D119" i="154"/>
  <c r="O119" i="154"/>
  <c r="I120" i="154"/>
  <c r="D120" i="154"/>
  <c r="O120" i="154"/>
  <c r="I121" i="154"/>
  <c r="D121" i="154"/>
  <c r="O121" i="154"/>
  <c r="I122" i="154"/>
  <c r="D122" i="154"/>
  <c r="O122" i="154"/>
  <c r="I123" i="154"/>
  <c r="D123" i="154"/>
  <c r="O123" i="154"/>
  <c r="I124" i="154"/>
  <c r="D124" i="154"/>
  <c r="O124" i="154"/>
  <c r="I125" i="154"/>
  <c r="D125" i="154"/>
  <c r="O125" i="154"/>
  <c r="I126" i="154"/>
  <c r="D126" i="154"/>
  <c r="O126" i="154"/>
  <c r="I127" i="154"/>
  <c r="D127" i="154"/>
  <c r="O127" i="154"/>
  <c r="I128" i="154"/>
  <c r="D128" i="154"/>
  <c r="O128" i="154"/>
  <c r="I129" i="154"/>
  <c r="D129" i="154"/>
  <c r="O129" i="154"/>
  <c r="I130" i="154"/>
  <c r="D130" i="154"/>
  <c r="O130" i="154"/>
  <c r="I131" i="154"/>
  <c r="D131" i="154"/>
  <c r="O131" i="154"/>
  <c r="I132" i="154"/>
  <c r="D132" i="154"/>
  <c r="O132" i="154"/>
  <c r="I133" i="154"/>
  <c r="D133" i="154"/>
  <c r="O133" i="154"/>
  <c r="I134" i="154"/>
  <c r="D134" i="154"/>
  <c r="O134" i="154"/>
  <c r="I135" i="154"/>
  <c r="D135" i="154"/>
  <c r="O135" i="154"/>
  <c r="I136" i="154"/>
  <c r="D136" i="154"/>
  <c r="O136" i="154"/>
  <c r="I137" i="154"/>
  <c r="D137" i="154"/>
  <c r="O137" i="154"/>
  <c r="I138" i="154"/>
  <c r="D138" i="154"/>
  <c r="O138" i="154"/>
  <c r="I139" i="154"/>
  <c r="D139" i="154"/>
  <c r="O139" i="154"/>
  <c r="I140" i="154"/>
  <c r="D140" i="154"/>
  <c r="O140" i="154"/>
  <c r="I141" i="154"/>
  <c r="D141" i="154"/>
  <c r="O141" i="154"/>
  <c r="I142" i="154"/>
  <c r="D142" i="154"/>
  <c r="O142" i="154"/>
  <c r="I143" i="154"/>
  <c r="D143" i="154"/>
  <c r="O143" i="154"/>
  <c r="E144" i="154"/>
  <c r="E145" i="154"/>
  <c r="E146" i="154"/>
  <c r="F144" i="154"/>
  <c r="F145" i="154"/>
  <c r="F146" i="154"/>
  <c r="J81" i="154"/>
  <c r="E81" i="154"/>
  <c r="F81" i="154"/>
  <c r="C81" i="154"/>
  <c r="H81" i="154"/>
  <c r="K81" i="154"/>
  <c r="L81" i="154"/>
  <c r="M81" i="154"/>
  <c r="N81" i="154"/>
  <c r="E82" i="154"/>
  <c r="J82" i="154"/>
  <c r="E83" i="154"/>
  <c r="J83" i="154"/>
  <c r="E84" i="154"/>
  <c r="J84" i="154"/>
  <c r="E85" i="154"/>
  <c r="J85" i="154"/>
  <c r="E86" i="154"/>
  <c r="J86" i="154"/>
  <c r="E87" i="154"/>
  <c r="J87" i="154"/>
  <c r="E88" i="154"/>
  <c r="J88" i="154"/>
  <c r="E89" i="154"/>
  <c r="J89" i="154"/>
  <c r="E90" i="154"/>
  <c r="E91" i="154"/>
  <c r="E92" i="154"/>
  <c r="E93" i="154"/>
  <c r="E94" i="154"/>
  <c r="J94" i="154"/>
  <c r="E95" i="154"/>
  <c r="J95" i="154"/>
  <c r="E96" i="154"/>
  <c r="J96" i="154"/>
  <c r="E97" i="154"/>
  <c r="J97" i="154"/>
  <c r="E98" i="154"/>
  <c r="J98" i="154"/>
  <c r="E99" i="154"/>
  <c r="J99" i="154"/>
  <c r="E100" i="154"/>
  <c r="E101" i="154"/>
  <c r="E102" i="154"/>
  <c r="J102" i="154"/>
  <c r="E103" i="154"/>
  <c r="J103" i="154"/>
  <c r="E104" i="154"/>
  <c r="J104" i="154"/>
  <c r="E105" i="154"/>
  <c r="J105" i="154"/>
  <c r="E106" i="154"/>
  <c r="E107" i="154"/>
  <c r="E108" i="154"/>
  <c r="E109" i="154"/>
  <c r="J109" i="154"/>
  <c r="E110" i="154"/>
  <c r="E111" i="154"/>
  <c r="E112" i="154"/>
  <c r="E113" i="154"/>
  <c r="E114" i="154"/>
  <c r="J114" i="154"/>
  <c r="E115" i="154"/>
  <c r="E116" i="154"/>
  <c r="J116" i="154"/>
  <c r="E117" i="154"/>
  <c r="E118" i="154"/>
  <c r="E119" i="154"/>
  <c r="E120" i="154"/>
  <c r="J120" i="154"/>
  <c r="E121" i="154"/>
  <c r="E122" i="154"/>
  <c r="E123" i="154"/>
  <c r="E124" i="154"/>
  <c r="E125" i="154"/>
  <c r="E126" i="154"/>
  <c r="J126" i="154"/>
  <c r="E127" i="154"/>
  <c r="E128" i="154"/>
  <c r="E129" i="154"/>
  <c r="E130" i="154"/>
  <c r="E131" i="154"/>
  <c r="J131" i="154"/>
  <c r="E132" i="154"/>
  <c r="J132" i="154"/>
  <c r="E133" i="154"/>
  <c r="E134" i="154"/>
  <c r="E135" i="154"/>
  <c r="E136" i="154"/>
  <c r="E137" i="154"/>
  <c r="E138" i="154"/>
  <c r="E139" i="154"/>
  <c r="J139" i="154"/>
  <c r="E140" i="154"/>
  <c r="E141" i="154"/>
  <c r="E142" i="154"/>
  <c r="E143" i="154"/>
  <c r="J143" i="154"/>
  <c r="P81" i="154"/>
  <c r="F82" i="154"/>
  <c r="C82" i="154"/>
  <c r="H82" i="154"/>
  <c r="K82" i="154"/>
  <c r="L82" i="154"/>
  <c r="M82" i="154"/>
  <c r="N82" i="154"/>
  <c r="P82" i="154"/>
  <c r="F83" i="154"/>
  <c r="C83" i="154"/>
  <c r="H83" i="154"/>
  <c r="K83" i="154"/>
  <c r="L83" i="154"/>
  <c r="M83" i="154"/>
  <c r="N83" i="154"/>
  <c r="P83" i="154"/>
  <c r="F84" i="154"/>
  <c r="C84" i="154"/>
  <c r="H84" i="154"/>
  <c r="K84" i="154"/>
  <c r="L84" i="154"/>
  <c r="M84" i="154"/>
  <c r="N84" i="154"/>
  <c r="P84" i="154"/>
  <c r="F85" i="154"/>
  <c r="C85" i="154"/>
  <c r="H85" i="154"/>
  <c r="K85" i="154"/>
  <c r="L85" i="154"/>
  <c r="M85" i="154"/>
  <c r="N85" i="154"/>
  <c r="P85" i="154"/>
  <c r="F86" i="154"/>
  <c r="C86" i="154"/>
  <c r="H86" i="154"/>
  <c r="K86" i="154"/>
  <c r="L86" i="154"/>
  <c r="M86" i="154"/>
  <c r="N86" i="154"/>
  <c r="P86" i="154"/>
  <c r="F87" i="154"/>
  <c r="C87" i="154"/>
  <c r="H87" i="154"/>
  <c r="K87" i="154"/>
  <c r="L87" i="154"/>
  <c r="M87" i="154"/>
  <c r="N87" i="154"/>
  <c r="P87" i="154"/>
  <c r="F88" i="154"/>
  <c r="C88" i="154"/>
  <c r="H88" i="154"/>
  <c r="K88" i="154"/>
  <c r="L88" i="154"/>
  <c r="M88" i="154"/>
  <c r="N88" i="154"/>
  <c r="P88" i="154"/>
  <c r="F89" i="154"/>
  <c r="C89" i="154"/>
  <c r="H89" i="154"/>
  <c r="K89" i="154"/>
  <c r="L89" i="154"/>
  <c r="M89" i="154"/>
  <c r="N89" i="154"/>
  <c r="P89" i="154"/>
  <c r="J90" i="154"/>
  <c r="F90" i="154"/>
  <c r="C90" i="154"/>
  <c r="H90" i="154"/>
  <c r="K90" i="154"/>
  <c r="L90" i="154"/>
  <c r="M90" i="154"/>
  <c r="N90" i="154"/>
  <c r="P90" i="154"/>
  <c r="J91" i="154"/>
  <c r="F91" i="154"/>
  <c r="C91" i="154"/>
  <c r="H91" i="154"/>
  <c r="K91" i="154"/>
  <c r="L91" i="154"/>
  <c r="M91" i="154"/>
  <c r="N91" i="154"/>
  <c r="P91" i="154"/>
  <c r="J92" i="154"/>
  <c r="F92" i="154"/>
  <c r="C92" i="154"/>
  <c r="H92" i="154"/>
  <c r="K92" i="154"/>
  <c r="L92" i="154"/>
  <c r="M92" i="154"/>
  <c r="N92" i="154"/>
  <c r="P92" i="154"/>
  <c r="J93" i="154"/>
  <c r="F93" i="154"/>
  <c r="C93" i="154"/>
  <c r="H93" i="154"/>
  <c r="K93" i="154"/>
  <c r="L93" i="154"/>
  <c r="M93" i="154"/>
  <c r="N93" i="154"/>
  <c r="P93" i="154"/>
  <c r="F94" i="154"/>
  <c r="C94" i="154"/>
  <c r="H94" i="154"/>
  <c r="K94" i="154"/>
  <c r="L94" i="154"/>
  <c r="M94" i="154"/>
  <c r="N94" i="154"/>
  <c r="P94" i="154"/>
  <c r="F95" i="154"/>
  <c r="C95" i="154"/>
  <c r="H95" i="154"/>
  <c r="K95" i="154"/>
  <c r="L95" i="154"/>
  <c r="M95" i="154"/>
  <c r="N95" i="154"/>
  <c r="P95" i="154"/>
  <c r="F96" i="154"/>
  <c r="C96" i="154"/>
  <c r="H96" i="154"/>
  <c r="K96" i="154"/>
  <c r="L96" i="154"/>
  <c r="M96" i="154"/>
  <c r="N96" i="154"/>
  <c r="P96" i="154"/>
  <c r="F97" i="154"/>
  <c r="C97" i="154"/>
  <c r="H97" i="154"/>
  <c r="K97" i="154"/>
  <c r="L97" i="154"/>
  <c r="M97" i="154"/>
  <c r="N97" i="154"/>
  <c r="P97" i="154"/>
  <c r="F98" i="154"/>
  <c r="C98" i="154"/>
  <c r="H98" i="154"/>
  <c r="K98" i="154"/>
  <c r="L98" i="154"/>
  <c r="M98" i="154"/>
  <c r="N98" i="154"/>
  <c r="P98" i="154"/>
  <c r="F99" i="154"/>
  <c r="C99" i="154"/>
  <c r="H99" i="154"/>
  <c r="K99" i="154"/>
  <c r="L99" i="154"/>
  <c r="M99" i="154"/>
  <c r="N99" i="154"/>
  <c r="P99" i="154"/>
  <c r="J100" i="154"/>
  <c r="F100" i="154"/>
  <c r="C100" i="154"/>
  <c r="H100" i="154"/>
  <c r="K100" i="154"/>
  <c r="L100" i="154"/>
  <c r="M100" i="154"/>
  <c r="N100" i="154"/>
  <c r="P100" i="154"/>
  <c r="J101" i="154"/>
  <c r="F101" i="154"/>
  <c r="C101" i="154"/>
  <c r="H101" i="154"/>
  <c r="K101" i="154"/>
  <c r="L101" i="154"/>
  <c r="M101" i="154"/>
  <c r="N101" i="154"/>
  <c r="P101" i="154"/>
  <c r="F102" i="154"/>
  <c r="C102" i="154"/>
  <c r="H102" i="154"/>
  <c r="K102" i="154"/>
  <c r="L102" i="154"/>
  <c r="M102" i="154"/>
  <c r="N102" i="154"/>
  <c r="P102" i="154"/>
  <c r="F103" i="154"/>
  <c r="C103" i="154"/>
  <c r="H103" i="154"/>
  <c r="K103" i="154"/>
  <c r="L103" i="154"/>
  <c r="M103" i="154"/>
  <c r="N103" i="154"/>
  <c r="P103" i="154"/>
  <c r="F104" i="154"/>
  <c r="C104" i="154"/>
  <c r="H104" i="154"/>
  <c r="K104" i="154"/>
  <c r="L104" i="154"/>
  <c r="M104" i="154"/>
  <c r="N104" i="154"/>
  <c r="P104" i="154"/>
  <c r="F105" i="154"/>
  <c r="C105" i="154"/>
  <c r="H105" i="154"/>
  <c r="K105" i="154"/>
  <c r="L105" i="154"/>
  <c r="M105" i="154"/>
  <c r="N105" i="154"/>
  <c r="P105" i="154"/>
  <c r="J106" i="154"/>
  <c r="F106" i="154"/>
  <c r="C106" i="154"/>
  <c r="H106" i="154"/>
  <c r="K106" i="154"/>
  <c r="L106" i="154"/>
  <c r="M106" i="154"/>
  <c r="N106" i="154"/>
  <c r="P106" i="154"/>
  <c r="J107" i="154"/>
  <c r="F107" i="154"/>
  <c r="C107" i="154"/>
  <c r="H107" i="154"/>
  <c r="K107" i="154"/>
  <c r="L107" i="154"/>
  <c r="M107" i="154"/>
  <c r="N107" i="154"/>
  <c r="P107" i="154"/>
  <c r="J108" i="154"/>
  <c r="F108" i="154"/>
  <c r="C108" i="154"/>
  <c r="H108" i="154"/>
  <c r="K108" i="154"/>
  <c r="L108" i="154"/>
  <c r="M108" i="154"/>
  <c r="N108" i="154"/>
  <c r="P108" i="154"/>
  <c r="F109" i="154"/>
  <c r="C109" i="154"/>
  <c r="H109" i="154"/>
  <c r="K109" i="154"/>
  <c r="L109" i="154"/>
  <c r="M109" i="154"/>
  <c r="N109" i="154"/>
  <c r="P109" i="154"/>
  <c r="J110" i="154"/>
  <c r="F110" i="154"/>
  <c r="C110" i="154"/>
  <c r="H110" i="154"/>
  <c r="K110" i="154"/>
  <c r="L110" i="154"/>
  <c r="M110" i="154"/>
  <c r="N110" i="154"/>
  <c r="P110" i="154"/>
  <c r="J111" i="154"/>
  <c r="F111" i="154"/>
  <c r="C111" i="154"/>
  <c r="H111" i="154"/>
  <c r="K111" i="154"/>
  <c r="L111" i="154"/>
  <c r="M111" i="154"/>
  <c r="N111" i="154"/>
  <c r="P111" i="154"/>
  <c r="J112" i="154"/>
  <c r="F112" i="154"/>
  <c r="C112" i="154"/>
  <c r="H112" i="154"/>
  <c r="K112" i="154"/>
  <c r="L112" i="154"/>
  <c r="M112" i="154"/>
  <c r="N112" i="154"/>
  <c r="P112" i="154"/>
  <c r="J113" i="154"/>
  <c r="F113" i="154"/>
  <c r="C113" i="154"/>
  <c r="H113" i="154"/>
  <c r="K113" i="154"/>
  <c r="L113" i="154"/>
  <c r="M113" i="154"/>
  <c r="N113" i="154"/>
  <c r="P113" i="154"/>
  <c r="F114" i="154"/>
  <c r="C114" i="154"/>
  <c r="H114" i="154"/>
  <c r="K114" i="154"/>
  <c r="L114" i="154"/>
  <c r="M114" i="154"/>
  <c r="N114" i="154"/>
  <c r="P114" i="154"/>
  <c r="J115" i="154"/>
  <c r="F115" i="154"/>
  <c r="C115" i="154"/>
  <c r="H115" i="154"/>
  <c r="K115" i="154"/>
  <c r="L115" i="154"/>
  <c r="M115" i="154"/>
  <c r="N115" i="154"/>
  <c r="P115" i="154"/>
  <c r="F116" i="154"/>
  <c r="C116" i="154"/>
  <c r="H116" i="154"/>
  <c r="K116" i="154"/>
  <c r="L116" i="154"/>
  <c r="M116" i="154"/>
  <c r="N116" i="154"/>
  <c r="P116" i="154"/>
  <c r="J117" i="154"/>
  <c r="F117" i="154"/>
  <c r="C117" i="154"/>
  <c r="H117" i="154"/>
  <c r="K117" i="154"/>
  <c r="L117" i="154"/>
  <c r="M117" i="154"/>
  <c r="N117" i="154"/>
  <c r="P117" i="154"/>
  <c r="J118" i="154"/>
  <c r="F118" i="154"/>
  <c r="C118" i="154"/>
  <c r="H118" i="154"/>
  <c r="K118" i="154"/>
  <c r="L118" i="154"/>
  <c r="M118" i="154"/>
  <c r="N118" i="154"/>
  <c r="P118" i="154"/>
  <c r="J119" i="154"/>
  <c r="F119" i="154"/>
  <c r="C119" i="154"/>
  <c r="H119" i="154"/>
  <c r="K119" i="154"/>
  <c r="L119" i="154"/>
  <c r="M119" i="154"/>
  <c r="N119" i="154"/>
  <c r="P119" i="154"/>
  <c r="F120" i="154"/>
  <c r="C120" i="154"/>
  <c r="H120" i="154"/>
  <c r="K120" i="154"/>
  <c r="L120" i="154"/>
  <c r="M120" i="154"/>
  <c r="N120" i="154"/>
  <c r="P120" i="154"/>
  <c r="J121" i="154"/>
  <c r="F121" i="154"/>
  <c r="C121" i="154"/>
  <c r="H121" i="154"/>
  <c r="K121" i="154"/>
  <c r="L121" i="154"/>
  <c r="M121" i="154"/>
  <c r="N121" i="154"/>
  <c r="P121" i="154"/>
  <c r="J122" i="154"/>
  <c r="F122" i="154"/>
  <c r="C122" i="154"/>
  <c r="H122" i="154"/>
  <c r="K122" i="154"/>
  <c r="L122" i="154"/>
  <c r="M122" i="154"/>
  <c r="N122" i="154"/>
  <c r="P122" i="154"/>
  <c r="J123" i="154"/>
  <c r="F123" i="154"/>
  <c r="C123" i="154"/>
  <c r="H123" i="154"/>
  <c r="K123" i="154"/>
  <c r="L123" i="154"/>
  <c r="M123" i="154"/>
  <c r="N123" i="154"/>
  <c r="P123" i="154"/>
  <c r="J124" i="154"/>
  <c r="F124" i="154"/>
  <c r="C124" i="154"/>
  <c r="H124" i="154"/>
  <c r="K124" i="154"/>
  <c r="L124" i="154"/>
  <c r="M124" i="154"/>
  <c r="N124" i="154"/>
  <c r="P124" i="154"/>
  <c r="J125" i="154"/>
  <c r="F125" i="154"/>
  <c r="C125" i="154"/>
  <c r="H125" i="154"/>
  <c r="K125" i="154"/>
  <c r="L125" i="154"/>
  <c r="M125" i="154"/>
  <c r="N125" i="154"/>
  <c r="P125" i="154"/>
  <c r="F126" i="154"/>
  <c r="C126" i="154"/>
  <c r="H126" i="154"/>
  <c r="K126" i="154"/>
  <c r="L126" i="154"/>
  <c r="M126" i="154"/>
  <c r="N126" i="154"/>
  <c r="P126" i="154"/>
  <c r="J127" i="154"/>
  <c r="F127" i="154"/>
  <c r="C127" i="154"/>
  <c r="H127" i="154"/>
  <c r="K127" i="154"/>
  <c r="L127" i="154"/>
  <c r="M127" i="154"/>
  <c r="N127" i="154"/>
  <c r="P127" i="154"/>
  <c r="J128" i="154"/>
  <c r="F128" i="154"/>
  <c r="C128" i="154"/>
  <c r="H128" i="154"/>
  <c r="K128" i="154"/>
  <c r="L128" i="154"/>
  <c r="M128" i="154"/>
  <c r="N128" i="154"/>
  <c r="P128" i="154"/>
  <c r="J129" i="154"/>
  <c r="F129" i="154"/>
  <c r="C129" i="154"/>
  <c r="H129" i="154"/>
  <c r="K129" i="154"/>
  <c r="L129" i="154"/>
  <c r="M129" i="154"/>
  <c r="N129" i="154"/>
  <c r="P129" i="154"/>
  <c r="J130" i="154"/>
  <c r="F130" i="154"/>
  <c r="C130" i="154"/>
  <c r="H130" i="154"/>
  <c r="K130" i="154"/>
  <c r="L130" i="154"/>
  <c r="M130" i="154"/>
  <c r="N130" i="154"/>
  <c r="P130" i="154"/>
  <c r="F131" i="154"/>
  <c r="C131" i="154"/>
  <c r="H131" i="154"/>
  <c r="K131" i="154"/>
  <c r="L131" i="154"/>
  <c r="M131" i="154"/>
  <c r="N131" i="154"/>
  <c r="P131" i="154"/>
  <c r="F132" i="154"/>
  <c r="C132" i="154"/>
  <c r="H132" i="154"/>
  <c r="K132" i="154"/>
  <c r="L132" i="154"/>
  <c r="M132" i="154"/>
  <c r="N132" i="154"/>
  <c r="P132" i="154"/>
  <c r="J133" i="154"/>
  <c r="F133" i="154"/>
  <c r="C133" i="154"/>
  <c r="H133" i="154"/>
  <c r="K133" i="154"/>
  <c r="L133" i="154"/>
  <c r="M133" i="154"/>
  <c r="N133" i="154"/>
  <c r="P133" i="154"/>
  <c r="J134" i="154"/>
  <c r="F134" i="154"/>
  <c r="C134" i="154"/>
  <c r="H134" i="154"/>
  <c r="K134" i="154"/>
  <c r="L134" i="154"/>
  <c r="M134" i="154"/>
  <c r="N134" i="154"/>
  <c r="P134" i="154"/>
  <c r="J135" i="154"/>
  <c r="F135" i="154"/>
  <c r="C135" i="154"/>
  <c r="H135" i="154"/>
  <c r="K135" i="154"/>
  <c r="L135" i="154"/>
  <c r="M135" i="154"/>
  <c r="N135" i="154"/>
  <c r="P135" i="154"/>
  <c r="J136" i="154"/>
  <c r="F136" i="154"/>
  <c r="C136" i="154"/>
  <c r="H136" i="154"/>
  <c r="K136" i="154"/>
  <c r="L136" i="154"/>
  <c r="M136" i="154"/>
  <c r="N136" i="154"/>
  <c r="P136" i="154"/>
  <c r="J137" i="154"/>
  <c r="F137" i="154"/>
  <c r="C137" i="154"/>
  <c r="H137" i="154"/>
  <c r="K137" i="154"/>
  <c r="L137" i="154"/>
  <c r="M137" i="154"/>
  <c r="N137" i="154"/>
  <c r="P137" i="154"/>
  <c r="J138" i="154"/>
  <c r="F138" i="154"/>
  <c r="C138" i="154"/>
  <c r="H138" i="154"/>
  <c r="K138" i="154"/>
  <c r="L138" i="154"/>
  <c r="M138" i="154"/>
  <c r="N138" i="154"/>
  <c r="P138" i="154"/>
  <c r="F139" i="154"/>
  <c r="C139" i="154"/>
  <c r="H139" i="154"/>
  <c r="K139" i="154"/>
  <c r="L139" i="154"/>
  <c r="M139" i="154"/>
  <c r="N139" i="154"/>
  <c r="P139" i="154"/>
  <c r="J140" i="154"/>
  <c r="F140" i="154"/>
  <c r="C140" i="154"/>
  <c r="H140" i="154"/>
  <c r="K140" i="154"/>
  <c r="L140" i="154"/>
  <c r="M140" i="154"/>
  <c r="N140" i="154"/>
  <c r="P140" i="154"/>
  <c r="J141" i="154"/>
  <c r="F141" i="154"/>
  <c r="C141" i="154"/>
  <c r="H141" i="154"/>
  <c r="K141" i="154"/>
  <c r="L141" i="154"/>
  <c r="M141" i="154"/>
  <c r="N141" i="154"/>
  <c r="P141" i="154"/>
  <c r="J142" i="154"/>
  <c r="F142" i="154"/>
  <c r="C142" i="154"/>
  <c r="H142" i="154"/>
  <c r="K142" i="154"/>
  <c r="L142" i="154"/>
  <c r="M142" i="154"/>
  <c r="N142" i="154"/>
  <c r="P142" i="154"/>
  <c r="F143" i="154"/>
  <c r="C143" i="154"/>
  <c r="H143" i="154"/>
  <c r="K143" i="154"/>
  <c r="L143" i="154"/>
  <c r="M143" i="154"/>
  <c r="N143" i="154"/>
  <c r="P143" i="154"/>
  <c r="E3" i="154"/>
  <c r="J3" i="154"/>
  <c r="E4" i="154"/>
  <c r="J4" i="154"/>
  <c r="E5" i="154"/>
  <c r="J5" i="154"/>
  <c r="E6" i="154"/>
  <c r="J6" i="154"/>
  <c r="E7" i="154"/>
  <c r="J7" i="154"/>
  <c r="E8" i="154"/>
  <c r="J8" i="154"/>
  <c r="E9" i="154"/>
  <c r="J9" i="154"/>
  <c r="E10" i="154"/>
  <c r="J10" i="154"/>
  <c r="E11" i="154"/>
  <c r="J11" i="154"/>
  <c r="E12" i="154"/>
  <c r="J12" i="154"/>
  <c r="E13" i="154"/>
  <c r="J13" i="154"/>
  <c r="E14" i="154"/>
  <c r="J14" i="154"/>
  <c r="E15" i="154"/>
  <c r="J15" i="154"/>
  <c r="E16" i="154"/>
  <c r="J16" i="154"/>
  <c r="E17" i="154"/>
  <c r="J17" i="154"/>
  <c r="E18" i="154"/>
  <c r="J18" i="154"/>
  <c r="E19" i="154"/>
  <c r="J19" i="154"/>
  <c r="E20" i="154"/>
  <c r="J20" i="154"/>
  <c r="E21" i="154"/>
  <c r="J21" i="154"/>
  <c r="E22" i="154"/>
  <c r="J22" i="154"/>
  <c r="E23" i="154"/>
  <c r="J23" i="154"/>
  <c r="E24" i="154"/>
  <c r="J24" i="154"/>
  <c r="E25" i="154"/>
  <c r="J25" i="154"/>
  <c r="E26" i="154"/>
  <c r="J26" i="154"/>
  <c r="E27" i="154"/>
  <c r="J27" i="154"/>
  <c r="E28" i="154"/>
  <c r="J28" i="154"/>
  <c r="E29" i="154"/>
  <c r="J29" i="154"/>
  <c r="E30" i="154"/>
  <c r="J30" i="154"/>
  <c r="E31" i="154"/>
  <c r="J31" i="154"/>
  <c r="E32" i="154"/>
  <c r="J32" i="154"/>
  <c r="E33" i="154"/>
  <c r="J33" i="154"/>
  <c r="E34" i="154"/>
  <c r="J34" i="154"/>
  <c r="E35" i="154"/>
  <c r="J35" i="154"/>
  <c r="E36" i="154"/>
  <c r="J36" i="154"/>
  <c r="E37" i="154"/>
  <c r="J37" i="154"/>
  <c r="E38" i="154"/>
  <c r="J38" i="154"/>
  <c r="E39" i="154"/>
  <c r="J39" i="154"/>
  <c r="E40" i="154"/>
  <c r="J40" i="154"/>
  <c r="E41" i="154"/>
  <c r="J41" i="154"/>
  <c r="E42" i="154"/>
  <c r="J42" i="154"/>
  <c r="E43" i="154"/>
  <c r="J43" i="154"/>
  <c r="E44" i="154"/>
  <c r="J44" i="154"/>
  <c r="E45" i="154"/>
  <c r="J45" i="154"/>
  <c r="E46" i="154"/>
  <c r="J46" i="154"/>
  <c r="E47" i="154"/>
  <c r="J47" i="154"/>
  <c r="E48" i="154"/>
  <c r="J48" i="154"/>
  <c r="E49" i="154"/>
  <c r="J49" i="154"/>
  <c r="E50" i="154"/>
  <c r="J50" i="154"/>
  <c r="E51" i="154"/>
  <c r="J51" i="154"/>
  <c r="E52" i="154"/>
  <c r="J52" i="154"/>
  <c r="E53" i="154"/>
  <c r="J53" i="154"/>
  <c r="E54" i="154"/>
  <c r="J54" i="154"/>
  <c r="E55" i="154"/>
  <c r="J55" i="154"/>
  <c r="E56" i="154"/>
  <c r="J56" i="154"/>
  <c r="E57" i="154"/>
  <c r="J57" i="154"/>
  <c r="E58" i="154"/>
  <c r="J58" i="154"/>
  <c r="E59" i="154"/>
  <c r="J59" i="154"/>
  <c r="E60" i="154"/>
  <c r="J60" i="154"/>
  <c r="E61" i="154"/>
  <c r="J61" i="154"/>
  <c r="E62" i="154"/>
  <c r="J62" i="154"/>
  <c r="E63" i="154"/>
  <c r="J63" i="154"/>
  <c r="E64" i="154"/>
  <c r="J64" i="154"/>
  <c r="E65" i="154"/>
  <c r="J65" i="154"/>
  <c r="E66" i="154"/>
  <c r="E67" i="154"/>
  <c r="E68" i="154"/>
  <c r="E69" i="154"/>
  <c r="E70" i="154"/>
  <c r="E71" i="154"/>
  <c r="E72" i="154"/>
  <c r="J72" i="154"/>
  <c r="E73" i="154"/>
  <c r="J73" i="154"/>
  <c r="E74" i="154"/>
  <c r="J74" i="154"/>
  <c r="E75" i="154"/>
  <c r="J75" i="154"/>
  <c r="E76" i="154"/>
  <c r="J76" i="154"/>
  <c r="E77" i="154"/>
  <c r="J77" i="154"/>
  <c r="E78" i="154"/>
  <c r="J78" i="154"/>
  <c r="E79" i="154"/>
  <c r="J79" i="154"/>
  <c r="E80" i="154"/>
  <c r="J80" i="154"/>
  <c r="E2" i="154"/>
  <c r="J2" i="154"/>
  <c r="F78" i="154"/>
  <c r="C78" i="154"/>
  <c r="F79" i="154"/>
  <c r="C79" i="154"/>
  <c r="F80" i="154"/>
  <c r="C80" i="154"/>
  <c r="F2" i="154"/>
  <c r="C2" i="154"/>
  <c r="F3" i="154"/>
  <c r="C3" i="154"/>
  <c r="F4" i="154"/>
  <c r="C4" i="154"/>
  <c r="F5" i="154"/>
  <c r="C5" i="154"/>
  <c r="F6" i="154"/>
  <c r="C6" i="154"/>
  <c r="F7" i="154"/>
  <c r="C7" i="154"/>
  <c r="F8" i="154"/>
  <c r="C8" i="154"/>
  <c r="F9" i="154"/>
  <c r="C9" i="154"/>
  <c r="F10" i="154"/>
  <c r="C10" i="154"/>
  <c r="F11" i="154"/>
  <c r="C11" i="154"/>
  <c r="F12" i="154"/>
  <c r="C12" i="154"/>
  <c r="F13" i="154"/>
  <c r="C13" i="154"/>
  <c r="F14" i="154"/>
  <c r="C14" i="154"/>
  <c r="F15" i="154"/>
  <c r="C15" i="154"/>
  <c r="F16" i="154"/>
  <c r="C16" i="154"/>
  <c r="F17" i="154"/>
  <c r="C17" i="154"/>
  <c r="F18" i="154"/>
  <c r="C18" i="154"/>
  <c r="F19" i="154"/>
  <c r="C19" i="154"/>
  <c r="F20" i="154"/>
  <c r="C20" i="154"/>
  <c r="F21" i="154"/>
  <c r="C21" i="154"/>
  <c r="F22" i="154"/>
  <c r="C22" i="154"/>
  <c r="F23" i="154"/>
  <c r="C23" i="154"/>
  <c r="F24" i="154"/>
  <c r="C24" i="154"/>
  <c r="F25" i="154"/>
  <c r="C25" i="154"/>
  <c r="F26" i="154"/>
  <c r="C26" i="154"/>
  <c r="F27" i="154"/>
  <c r="C27" i="154"/>
  <c r="F28" i="154"/>
  <c r="C28" i="154"/>
  <c r="F29" i="154"/>
  <c r="C29" i="154"/>
  <c r="F30" i="154"/>
  <c r="C30" i="154"/>
  <c r="F31" i="154"/>
  <c r="C31" i="154"/>
  <c r="F32" i="154"/>
  <c r="C32" i="154"/>
  <c r="F33" i="154"/>
  <c r="C33" i="154"/>
  <c r="F34" i="154"/>
  <c r="C34" i="154"/>
  <c r="F35" i="154"/>
  <c r="C35" i="154"/>
  <c r="F36" i="154"/>
  <c r="C36" i="154"/>
  <c r="F37" i="154"/>
  <c r="C37" i="154"/>
  <c r="F38" i="154"/>
  <c r="C38" i="154"/>
  <c r="F39" i="154"/>
  <c r="C39" i="154"/>
  <c r="F40" i="154"/>
  <c r="C40" i="154"/>
  <c r="F41" i="154"/>
  <c r="C41" i="154"/>
  <c r="F42" i="154"/>
  <c r="C42" i="154"/>
  <c r="F43" i="154"/>
  <c r="C43" i="154"/>
  <c r="F44" i="154"/>
  <c r="C44" i="154"/>
  <c r="F45" i="154"/>
  <c r="C45" i="154"/>
  <c r="F46" i="154"/>
  <c r="C46" i="154"/>
  <c r="F47" i="154"/>
  <c r="C47" i="154"/>
  <c r="F48" i="154"/>
  <c r="C48" i="154"/>
  <c r="F49" i="154"/>
  <c r="C49" i="154"/>
  <c r="F50" i="154"/>
  <c r="C50" i="154"/>
  <c r="F51" i="154"/>
  <c r="C51" i="154"/>
  <c r="F52" i="154"/>
  <c r="C52" i="154"/>
  <c r="F53" i="154"/>
  <c r="C53" i="154"/>
  <c r="F54" i="154"/>
  <c r="C54" i="154"/>
  <c r="F55" i="154"/>
  <c r="C55" i="154"/>
  <c r="F56" i="154"/>
  <c r="C56" i="154"/>
  <c r="F57" i="154"/>
  <c r="C57" i="154"/>
  <c r="F58" i="154"/>
  <c r="C58" i="154"/>
  <c r="F59" i="154"/>
  <c r="C59" i="154"/>
  <c r="F60" i="154"/>
  <c r="C60" i="154"/>
  <c r="F61" i="154"/>
  <c r="C61" i="154"/>
  <c r="F62" i="154"/>
  <c r="C62" i="154"/>
  <c r="F63" i="154"/>
  <c r="C63" i="154"/>
  <c r="F64" i="154"/>
  <c r="C64" i="154"/>
  <c r="F65" i="154"/>
  <c r="C65" i="154"/>
  <c r="F66" i="154"/>
  <c r="C66" i="154"/>
  <c r="F67" i="154"/>
  <c r="C67" i="154"/>
  <c r="F68" i="154"/>
  <c r="C68" i="154"/>
  <c r="F69" i="154"/>
  <c r="C69" i="154"/>
  <c r="F70" i="154"/>
  <c r="C70" i="154"/>
  <c r="F71" i="154"/>
  <c r="C71" i="154"/>
  <c r="F72" i="154"/>
  <c r="C72" i="154"/>
  <c r="F73" i="154"/>
  <c r="C73" i="154"/>
  <c r="F74" i="154"/>
  <c r="C74" i="154"/>
  <c r="F75" i="154"/>
  <c r="C75" i="154"/>
  <c r="F76" i="154"/>
  <c r="C76" i="154"/>
  <c r="F77" i="154"/>
  <c r="C77" i="154"/>
  <c r="H78" i="154"/>
  <c r="K78" i="154"/>
  <c r="L78" i="154"/>
  <c r="M78" i="154"/>
  <c r="N78" i="154"/>
  <c r="P78" i="154"/>
  <c r="H79" i="154"/>
  <c r="K79" i="154"/>
  <c r="L79" i="154"/>
  <c r="M79" i="154"/>
  <c r="N79" i="154"/>
  <c r="P79" i="154"/>
  <c r="H80" i="154"/>
  <c r="K80" i="154"/>
  <c r="L80" i="154"/>
  <c r="M80" i="154"/>
  <c r="N80" i="154"/>
  <c r="P8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A2" i="157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O336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7" i="158"/>
  <c r="O338" i="158"/>
  <c r="O339" i="158"/>
  <c r="O340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F34" i="157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H75" i="154"/>
  <c r="K75" i="154"/>
  <c r="L75" i="154"/>
  <c r="M75" i="154"/>
  <c r="N75" i="154"/>
  <c r="H76" i="154"/>
  <c r="K76" i="154"/>
  <c r="L76" i="154"/>
  <c r="M76" i="154"/>
  <c r="N76" i="154"/>
  <c r="H77" i="154"/>
  <c r="K77" i="154"/>
  <c r="L77" i="154"/>
  <c r="M77" i="154"/>
  <c r="N77" i="154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N74" i="154"/>
  <c r="M74" i="154"/>
  <c r="L74" i="154"/>
  <c r="K74" i="154"/>
  <c r="H74" i="154"/>
  <c r="N73" i="154"/>
  <c r="M73" i="154"/>
  <c r="L73" i="154"/>
  <c r="K73" i="154"/>
  <c r="H73" i="154"/>
  <c r="N72" i="154"/>
  <c r="M72" i="154"/>
  <c r="L72" i="154"/>
  <c r="K72" i="154"/>
  <c r="H72" i="154"/>
  <c r="N71" i="154"/>
  <c r="M71" i="154"/>
  <c r="L71" i="154"/>
  <c r="K71" i="154"/>
  <c r="H71" i="154"/>
  <c r="N70" i="154"/>
  <c r="M70" i="154"/>
  <c r="L70" i="154"/>
  <c r="K70" i="154"/>
  <c r="H70" i="154"/>
  <c r="N69" i="154"/>
  <c r="M69" i="154"/>
  <c r="L69" i="154"/>
  <c r="K69" i="154"/>
  <c r="H69" i="154"/>
  <c r="N68" i="154"/>
  <c r="M68" i="154"/>
  <c r="L68" i="154"/>
  <c r="K68" i="154"/>
  <c r="H68" i="154"/>
  <c r="N67" i="154"/>
  <c r="M67" i="154"/>
  <c r="L67" i="154"/>
  <c r="K67" i="154"/>
  <c r="H67" i="154"/>
  <c r="N66" i="154"/>
  <c r="M66" i="154"/>
  <c r="L66" i="154"/>
  <c r="K66" i="154"/>
  <c r="H66" i="154"/>
  <c r="N65" i="154"/>
  <c r="M65" i="154"/>
  <c r="L65" i="154"/>
  <c r="K65" i="154"/>
  <c r="H65" i="154"/>
  <c r="N64" i="154"/>
  <c r="M64" i="154"/>
  <c r="L64" i="154"/>
  <c r="K64" i="154"/>
  <c r="H64" i="154"/>
  <c r="N63" i="154"/>
  <c r="M63" i="154"/>
  <c r="L63" i="154"/>
  <c r="K63" i="154"/>
  <c r="H63" i="154"/>
  <c r="N62" i="154"/>
  <c r="M62" i="154"/>
  <c r="L62" i="154"/>
  <c r="K62" i="154"/>
  <c r="H62" i="154"/>
  <c r="N61" i="154"/>
  <c r="M61" i="154"/>
  <c r="L61" i="154"/>
  <c r="K61" i="154"/>
  <c r="H61" i="154"/>
  <c r="N60" i="154"/>
  <c r="M60" i="154"/>
  <c r="L60" i="154"/>
  <c r="K60" i="154"/>
  <c r="H60" i="154"/>
  <c r="N59" i="154"/>
  <c r="M59" i="154"/>
  <c r="L59" i="154"/>
  <c r="K59" i="154"/>
  <c r="H59" i="154"/>
  <c r="N58" i="154"/>
  <c r="M58" i="154"/>
  <c r="L58" i="154"/>
  <c r="K58" i="154"/>
  <c r="H58" i="154"/>
  <c r="N57" i="154"/>
  <c r="M57" i="154"/>
  <c r="L57" i="154"/>
  <c r="K57" i="154"/>
  <c r="H57" i="154"/>
  <c r="N56" i="154"/>
  <c r="M56" i="154"/>
  <c r="L56" i="154"/>
  <c r="K56" i="154"/>
  <c r="H56" i="154"/>
  <c r="N55" i="154"/>
  <c r="M55" i="154"/>
  <c r="L55" i="154"/>
  <c r="K55" i="154"/>
  <c r="H55" i="154"/>
  <c r="N54" i="154"/>
  <c r="M54" i="154"/>
  <c r="L54" i="154"/>
  <c r="K54" i="154"/>
  <c r="H54" i="154"/>
  <c r="N53" i="154"/>
  <c r="M53" i="154"/>
  <c r="L53" i="154"/>
  <c r="K53" i="154"/>
  <c r="H53" i="154"/>
  <c r="N52" i="154"/>
  <c r="M52" i="154"/>
  <c r="L52" i="154"/>
  <c r="K52" i="154"/>
  <c r="H52" i="154"/>
  <c r="N51" i="154"/>
  <c r="M51" i="154"/>
  <c r="L51" i="154"/>
  <c r="K51" i="154"/>
  <c r="H51" i="154"/>
  <c r="N50" i="154"/>
  <c r="M50" i="154"/>
  <c r="L50" i="154"/>
  <c r="K50" i="154"/>
  <c r="H50" i="154"/>
  <c r="N49" i="154"/>
  <c r="M49" i="154"/>
  <c r="L49" i="154"/>
  <c r="K49" i="154"/>
  <c r="H49" i="154"/>
  <c r="N48" i="154"/>
  <c r="M48" i="154"/>
  <c r="L48" i="154"/>
  <c r="K48" i="154"/>
  <c r="H48" i="154"/>
  <c r="N47" i="154"/>
  <c r="M47" i="154"/>
  <c r="L47" i="154"/>
  <c r="K47" i="154"/>
  <c r="H47" i="154"/>
  <c r="N46" i="154"/>
  <c r="M46" i="154"/>
  <c r="L46" i="154"/>
  <c r="K46" i="154"/>
  <c r="H46" i="154"/>
  <c r="N45" i="154"/>
  <c r="M45" i="154"/>
  <c r="L45" i="154"/>
  <c r="K45" i="154"/>
  <c r="H45" i="154"/>
  <c r="N44" i="154"/>
  <c r="M44" i="154"/>
  <c r="L44" i="154"/>
  <c r="K44" i="154"/>
  <c r="H44" i="154"/>
  <c r="N43" i="154"/>
  <c r="M43" i="154"/>
  <c r="L43" i="154"/>
  <c r="K43" i="154"/>
  <c r="H43" i="154"/>
  <c r="N42" i="154"/>
  <c r="M42" i="154"/>
  <c r="L42" i="154"/>
  <c r="K42" i="154"/>
  <c r="H42" i="154"/>
  <c r="N41" i="154"/>
  <c r="M41" i="154"/>
  <c r="L41" i="154"/>
  <c r="K41" i="154"/>
  <c r="H41" i="154"/>
  <c r="N40" i="154"/>
  <c r="M40" i="154"/>
  <c r="L40" i="154"/>
  <c r="K40" i="154"/>
  <c r="H40" i="154"/>
  <c r="N39" i="154"/>
  <c r="M39" i="154"/>
  <c r="L39" i="154"/>
  <c r="K39" i="154"/>
  <c r="H39" i="154"/>
  <c r="N38" i="154"/>
  <c r="M38" i="154"/>
  <c r="L38" i="154"/>
  <c r="K38" i="154"/>
  <c r="H38" i="154"/>
  <c r="N37" i="154"/>
  <c r="M37" i="154"/>
  <c r="L37" i="154"/>
  <c r="K37" i="154"/>
  <c r="H37" i="154"/>
  <c r="N36" i="154"/>
  <c r="M36" i="154"/>
  <c r="L36" i="154"/>
  <c r="K36" i="154"/>
  <c r="H36" i="154"/>
  <c r="N35" i="154"/>
  <c r="M35" i="154"/>
  <c r="L35" i="154"/>
  <c r="K35" i="154"/>
  <c r="H35" i="154"/>
  <c r="N34" i="154"/>
  <c r="M34" i="154"/>
  <c r="L34" i="154"/>
  <c r="K34" i="154"/>
  <c r="H34" i="154"/>
  <c r="N33" i="154"/>
  <c r="M33" i="154"/>
  <c r="L33" i="154"/>
  <c r="K33" i="154"/>
  <c r="H33" i="154"/>
  <c r="N32" i="154"/>
  <c r="M32" i="154"/>
  <c r="L32" i="154"/>
  <c r="K32" i="154"/>
  <c r="H32" i="154"/>
  <c r="N31" i="154"/>
  <c r="M31" i="154"/>
  <c r="L31" i="154"/>
  <c r="K31" i="154"/>
  <c r="H31" i="154"/>
  <c r="N30" i="154"/>
  <c r="M30" i="154"/>
  <c r="L30" i="154"/>
  <c r="K30" i="154"/>
  <c r="H30" i="154"/>
  <c r="N29" i="154"/>
  <c r="M29" i="154"/>
  <c r="L29" i="154"/>
  <c r="K29" i="154"/>
  <c r="H29" i="154"/>
  <c r="N28" i="154"/>
  <c r="M28" i="154"/>
  <c r="L28" i="154"/>
  <c r="K28" i="154"/>
  <c r="H28" i="154"/>
  <c r="N27" i="154"/>
  <c r="M27" i="154"/>
  <c r="L27" i="154"/>
  <c r="K27" i="154"/>
  <c r="H27" i="154"/>
  <c r="N26" i="154"/>
  <c r="M26" i="154"/>
  <c r="L26" i="154"/>
  <c r="K26" i="154"/>
  <c r="H26" i="154"/>
  <c r="N25" i="154"/>
  <c r="M25" i="154"/>
  <c r="L25" i="154"/>
  <c r="K25" i="154"/>
  <c r="H25" i="154"/>
  <c r="N24" i="154"/>
  <c r="M24" i="154"/>
  <c r="L24" i="154"/>
  <c r="K24" i="154"/>
  <c r="H24" i="154"/>
  <c r="N23" i="154"/>
  <c r="M23" i="154"/>
  <c r="L23" i="154"/>
  <c r="K23" i="154"/>
  <c r="H23" i="154"/>
  <c r="N22" i="154"/>
  <c r="M22" i="154"/>
  <c r="L22" i="154"/>
  <c r="K22" i="154"/>
  <c r="H22" i="154"/>
  <c r="N21" i="154"/>
  <c r="M21" i="154"/>
  <c r="L21" i="154"/>
  <c r="K21" i="154"/>
  <c r="H21" i="154"/>
  <c r="N20" i="154"/>
  <c r="M20" i="154"/>
  <c r="L20" i="154"/>
  <c r="K20" i="154"/>
  <c r="H20" i="154"/>
  <c r="N19" i="154"/>
  <c r="M19" i="154"/>
  <c r="L19" i="154"/>
  <c r="K19" i="154"/>
  <c r="H19" i="154"/>
  <c r="N18" i="154"/>
  <c r="M18" i="154"/>
  <c r="L18" i="154"/>
  <c r="K18" i="154"/>
  <c r="H18" i="154"/>
  <c r="N17" i="154"/>
  <c r="M17" i="154"/>
  <c r="L17" i="154"/>
  <c r="K17" i="154"/>
  <c r="H17" i="154"/>
  <c r="N16" i="154"/>
  <c r="M16" i="154"/>
  <c r="L16" i="154"/>
  <c r="K16" i="154"/>
  <c r="H16" i="154"/>
  <c r="N15" i="154"/>
  <c r="M15" i="154"/>
  <c r="L15" i="154"/>
  <c r="K15" i="154"/>
  <c r="H15" i="154"/>
  <c r="N14" i="154"/>
  <c r="M14" i="154"/>
  <c r="L14" i="154"/>
  <c r="K14" i="154"/>
  <c r="H14" i="154"/>
  <c r="N13" i="154"/>
  <c r="M13" i="154"/>
  <c r="L13" i="154"/>
  <c r="K13" i="154"/>
  <c r="H13" i="154"/>
  <c r="N12" i="154"/>
  <c r="M12" i="154"/>
  <c r="L12" i="154"/>
  <c r="K12" i="154"/>
  <c r="H12" i="154"/>
  <c r="N11" i="154"/>
  <c r="M11" i="154"/>
  <c r="L11" i="154"/>
  <c r="K11" i="154"/>
  <c r="H11" i="154"/>
  <c r="N10" i="154"/>
  <c r="M10" i="154"/>
  <c r="L10" i="154"/>
  <c r="K10" i="154"/>
  <c r="H10" i="154"/>
  <c r="N9" i="154"/>
  <c r="M9" i="154"/>
  <c r="L9" i="154"/>
  <c r="K9" i="154"/>
  <c r="H9" i="154"/>
  <c r="N8" i="154"/>
  <c r="M8" i="154"/>
  <c r="L8" i="154"/>
  <c r="K8" i="154"/>
  <c r="H8" i="154"/>
  <c r="N7" i="154"/>
  <c r="M7" i="154"/>
  <c r="L7" i="154"/>
  <c r="K7" i="154"/>
  <c r="H7" i="154"/>
  <c r="N6" i="154"/>
  <c r="M6" i="154"/>
  <c r="L6" i="154"/>
  <c r="K6" i="154"/>
  <c r="H6" i="154"/>
  <c r="N5" i="154"/>
  <c r="M5" i="154"/>
  <c r="L5" i="154"/>
  <c r="K5" i="154"/>
  <c r="H5" i="154"/>
  <c r="N4" i="154"/>
  <c r="M4" i="154"/>
  <c r="L4" i="154"/>
  <c r="K4" i="154"/>
  <c r="H4" i="154"/>
  <c r="N3" i="154"/>
  <c r="M3" i="154"/>
  <c r="L3" i="154"/>
  <c r="K3" i="154"/>
  <c r="H3" i="154"/>
  <c r="N2" i="154"/>
  <c r="M2" i="154"/>
  <c r="L2" i="154"/>
  <c r="K2" i="154"/>
  <c r="H2" i="154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<sst xmlns="http://schemas.openxmlformats.org/spreadsheetml/2006/main" count="467" uniqueCount="280">
  <si>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</si>
  <si>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</si>
  <si>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</si>
  <si>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</si>
  <si>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</si>
  <si>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</si>
  <si>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</si>
  <si>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</si>
  <si>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</si>
  <si>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</si>
  <si>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</si>
  <si>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</si>
  <si>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</si>
  <si>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</si>
  <si>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</si>
  <si>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</si>
  <si>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</si>
  <si>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</si>
  <si>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</si>
  <si>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</si>
  <si>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</si>
  <si>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</si>
  <si>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</si>
  <si>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</si>
  <si>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</si>
  <si>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</si>
  <si>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</si>
  <si>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</si>
  <si>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</si>
  <si>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</si>
  <si>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</si>
  <si>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</si>
  <si>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</si>
  <si>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</si>
  <si>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</si>
  <si>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</si>
  <si>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</si>
  <si>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</si>
  <si>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</si>
  <si>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</si>
  <si>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</si>
  <si>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</si>
  <si>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</si>
  <si>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</si>
  <si>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</si>
  <si>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</si>
  <si>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</si>
  <si>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</si>
  <si>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</si>
  <si>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</si>
  <si>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</si>
  <si>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</si>
  <si>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</si>
  <si>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</si>
  <si>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</si>
  <si>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</si>
  <si>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</si>
  <si>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</si>
  <si>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</si>
  <si>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</si>
  <si>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</si>
  <si>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</si>
  <si>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</si>
  <si>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</si>
  <si>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</si>
  <si>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</si>
  <si>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</si>
  <si>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</si>
  <si>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</si>
  <si>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</si>
  <si>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</si>
  <si>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</si>
  <si>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</si>
  <si>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</si>
  <si>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</si>
  <si>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</si>
  <si>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</si>
  <si>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</si>
  <si>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</si>
  <si>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</si>
  <si>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</si>
  <si>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</si>
  <si>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</si>
  <si>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</si>
  <si>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</si>
  <si>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</si>
  <si>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</si>
  <si>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</si>
  <si>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</si>
  <si>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</si>
  <si>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</si>
  <si>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</si>
  <si>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</si>
  <si>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</si>
  <si>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</si>
  <si>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</si>
  <si>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</si>
  <si>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</si>
  <si>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</si>
  <si>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</si>
  <si>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</si>
  <si>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</si>
  <si>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</si>
  <si>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</si>
  <si>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</si>
  <si>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</si>
  <si>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</si>
  <si>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</si>
  <si>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</si>
  <si>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</si>
  <si>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</si>
  <si>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</si>
  <si>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</si>
  <si>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</si>
  <si>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</si>
  <si>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</si>
  <si>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</si>
  <si>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</si>
  <si>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</si>
  <si>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</si>
  <si>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</si>
  <si>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</si>
  <si>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</si>
  <si>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</si>
  <si>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</si>
  <si>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</si>
  <si>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</si>
  <si>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</si>
  <si>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</si>
  <si>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</si>
  <si>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</si>
  <si>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</si>
  <si>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</si>
  <si>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</si>
  <si>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</si>
  <si>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</si>
  <si>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</si>
  <si>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</si>
  <si>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</si>
  <si>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</si>
  <si>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</si>
  <si>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</si>
  <si>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</si>
  <si>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</si>
  <si>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</si>
  <si>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</si>
  <si>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</si>
  <si>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</si>
  <si>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</si>
  <si>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</si>
  <si>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</si>
  <si>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</si>
  <si>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</si>
  <si>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</si>
  <si>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</si>
  <si>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</si>
  <si>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</si>
  <si>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</si>
  <si>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</si>
  <si>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</si>
  <si>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</si>
  <si>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</si>
  <si>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</si>
  <si>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</si>
  <si>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</si>
  <si>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</si>
  <si>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</si>
  <si>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</si>
  <si>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</si>
  <si>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</si>
  <si>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</si>
  <si>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</si>
  <si>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</si>
  <si>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</si>
  <si>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</si>
  <si>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</si>
  <si>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</si>
  <si>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</si>
  <si>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</si>
  <si>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</si>
  <si>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</si>
  <si>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</si>
  <si>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</si>
  <si>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</si>
  <si>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</si>
  <si>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</si>
  <si>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</si>
  <si>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</si>
  <si>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</si>
  <si>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</si>
  <si>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</si>
  <si>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</si>
  <si>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</si>
  <si>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</si>
  <si>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</si>
  <si>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</si>
  <si>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</si>
  <si>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</si>
  <si>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</si>
  <si>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</si>
  <si>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</si>
  <si>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</si>
  <si>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</si>
  <si>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</si>
  <si>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</si>
  <si>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</si>
  <si>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</si>
  <si>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</si>
  <si>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</si>
  <si>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</si>
  <si>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</si>
  <si>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</si>
  <si>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</si>
  <si>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</si>
  <si>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</si>
  <si>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</si>
  <si>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</si>
  <si>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</si>
  <si>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</si>
  <si>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</si>
  <si>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</si>
  <si>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</si>
  <si>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</si>
  <si>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</si>
  <si>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</si>
  <si>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</si>
  <si>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</si>
  <si>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</si>
  <si>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</si>
  <si>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</si>
  <si>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</si>
  <si>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</si>
  <si>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</si>
  <si>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</si>
  <si>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</si>
  <si>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</si>
  <si>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</si>
  <si>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</si>
  <si>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</si>
  <si>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</si>
  <si>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</si>
  <si>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</si>
  <si>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</si>
  <si>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</si>
  <si>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</si>
  <si>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</si>
  <si>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</si>
  <si>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</si>
  <si>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</si>
  <si>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PremiumSSw</t>
    <phoneticPr fontId="23"/>
  </si>
  <si>
    <t>skip</t>
    <phoneticPr fontId="23"/>
  </si>
  <si>
    <t>tables_455100</t>
    <phoneticPr fontId="23"/>
  </si>
  <si>
    <t>tables_457010</t>
    <phoneticPr fontId="23"/>
  </si>
  <si>
    <t>old</t>
    <phoneticPr fontId="23"/>
  </si>
  <si>
    <t>tables_settle_457018</t>
    <phoneticPr fontId="23"/>
  </si>
  <si>
    <t>unit</t>
    <phoneticPr fontId="23"/>
  </si>
  <si>
    <t>bit</t>
    <phoneticPr fontId="23"/>
  </si>
  <si>
    <t>unit</t>
    <phoneticPr fontId="23"/>
  </si>
  <si>
    <t>unit</t>
    <phoneticPr fontId="23"/>
  </si>
  <si>
    <t>unit</t>
    <phoneticPr fontId="23"/>
  </si>
  <si>
    <t>null</t>
    <phoneticPr fontId="23"/>
  </si>
  <si>
    <t>ja</t>
    <phoneticPr fontId="23"/>
  </si>
  <si>
    <t>リトルハンプティ × 1</t>
    <phoneticPr fontId="23"/>
  </si>
  <si>
    <t>70万ビット</t>
    <phoneticPr fontId="23"/>
  </si>
  <si>
    <t>メガ秘術の果実 × 2</t>
    <phoneticPr fontId="23"/>
  </si>
  <si>
    <t>ギガ攻めの果実 × 3</t>
    <phoneticPr fontId="23"/>
  </si>
  <si>
    <t>ギガ生命の果実 × 3</t>
    <phoneticPr fontId="23"/>
  </si>
  <si>
    <t>ギガ癒しの果実 × 3</t>
    <phoneticPr fontId="23"/>
  </si>
  <si>
    <t>1日目特典としてリトルハンプティ1体をプレゼント！</t>
    <phoneticPr fontId="23"/>
  </si>
  <si>
    <t>2日目特典として70万ビットをプレゼント！</t>
    <phoneticPr fontId="23"/>
  </si>
  <si>
    <t>3日目特典としてメガ秘術の果実2体をプレゼント！</t>
    <phoneticPr fontId="23"/>
  </si>
  <si>
    <t>4日目特典としてリトルハンプティ1体をプレゼント！</t>
    <phoneticPr fontId="23"/>
  </si>
  <si>
    <t>5日目特典としてギガ攻めの果実3体をプレゼント！</t>
    <phoneticPr fontId="23"/>
  </si>
  <si>
    <t>6日目特典としてギガ生命の果実3体をプレゼント！</t>
    <phoneticPr fontId="23"/>
  </si>
  <si>
    <t>7日目特典としてギガ癒しの果実3体をプレゼント！</t>
    <phoneticPr fontId="23"/>
  </si>
  <si>
    <t>8日目特典としてリトルハンプティ1体をプレゼント！</t>
    <phoneticPr fontId="23"/>
  </si>
  <si>
    <t>old</t>
    <phoneticPr fontId="23"/>
  </si>
  <si>
    <t>全世界700万DL突破記念無料レアガチャ特典</t>
    <phoneticPr fontId="23"/>
  </si>
  <si>
    <t>★6覚醒可能ユニット確定無料ガチャ特典</t>
    <phoneticPr fontId="23"/>
  </si>
  <si>
    <t>★6覚醒可能ユニット確定無料ガチャ特典としてリトルハンプティ1体をプレゼント！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</si>
</sst>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3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8" fillId="0" borderId="1" xfId="3036" applyFont="1" applyBorder="1"/>
    <xf numFmtId="0" fontId="27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6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4" fillId="4" borderId="1" xfId="2978" applyFont="1" applyFill="1" applyBorder="1"/>
    <xf numFmtId="0" fontId="3" fillId="4" borderId="1" xfId="2978" applyFont="1" applyFill="1" applyBorder="1"/>
    <xf numFmtId="0" fontId="2" fillId="0" borderId="1" xfId="3036" applyFont="1" applyBorder="1"/>
    <xf numFmtId="0" fontId="2" fillId="4" borderId="1" xfId="2978" applyFont="1" applyFill="1" applyBorder="1"/>
    <xf numFmtId="184" fontId="28" fillId="4" borderId="1" xfId="3663" quotePrefix="1" applyNumberFormat="1" applyFont="1" applyFill="1" applyBorder="1" applyAlignment="1">
      <alignment vertical="center"/>
    </xf>
    <xf numFmtId="184" fontId="55" fillId="0" borderId="1" xfId="0" applyNumberFormat="1" applyFont="1" applyBorder="1" applyAlignment="1">
      <alignment vertical="center"/>
    </xf>
    <xf numFmtId="184" fontId="28" fillId="0" borderId="1" xfId="2" applyNumberFormat="1" applyFont="1" applyBorder="1" applyAlignment="1">
      <alignment vertical="center"/>
    </xf>
    <xf numFmtId="184" fontId="55" fillId="0" borderId="1" xfId="0" applyNumberFormat="1" applyFont="1" applyBorder="1" applyAlignment="1">
      <alignment vertical="center" wrapText="1"/>
    </xf>
    <xf numFmtId="184" fontId="28" fillId="0" borderId="1" xfId="2" applyNumberFormat="1" applyFont="1" applyFill="1" applyBorder="1" applyAlignment="1">
      <alignment vertical="center"/>
    </xf>
    <xf numFmtId="184" fontId="55" fillId="0" borderId="0" xfId="0" applyNumberFormat="1" applyFont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ザ・ジャック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ジャック・フロスト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超覚醒セント・ニコラ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0" t="s">
        <v>213</v>
      </c>
      <c r="K40" s="80" t="s">
        <v>190</v>
      </c>
      <c r="M40" s="80" t="s">
        <v>238</v>
      </c>
    </row>
    <row r="41" spans="1:13" x14ac:dyDescent="0.15">
      <c r="J41" s="80" t="s">
        <v>214</v>
      </c>
      <c r="K41" s="80" t="s">
        <v>215</v>
      </c>
      <c r="M41" s="66" t="s">
        <v>185</v>
      </c>
    </row>
    <row r="42" spans="1:13" x14ac:dyDescent="0.15">
      <c r="J42" s="80" t="s">
        <v>216</v>
      </c>
      <c r="K42" s="80" t="s">
        <v>217</v>
      </c>
    </row>
    <row r="43" spans="1:13" x14ac:dyDescent="0.15">
      <c r="J43" s="80" t="s">
        <v>218</v>
      </c>
      <c r="K43" s="80" t="s">
        <v>219</v>
      </c>
    </row>
    <row r="44" spans="1:13" x14ac:dyDescent="0.15">
      <c r="J44" s="80" t="s">
        <v>220</v>
      </c>
      <c r="K44" s="80" t="s">
        <v>221</v>
      </c>
    </row>
    <row r="45" spans="1:13" x14ac:dyDescent="0.15">
      <c r="J45" s="80" t="s">
        <v>222</v>
      </c>
      <c r="K45" s="80" t="s">
        <v>223</v>
      </c>
    </row>
    <row r="46" spans="1:13" x14ac:dyDescent="0.15">
      <c r="J46" s="80" t="s">
        <v>224</v>
      </c>
      <c r="K46" s="80" t="s">
        <v>225</v>
      </c>
    </row>
    <row r="47" spans="1:13" x14ac:dyDescent="0.15">
      <c r="J47" s="80" t="s">
        <v>226</v>
      </c>
      <c r="K47" s="80" t="s">
        <v>230</v>
      </c>
    </row>
    <row r="48" spans="1:13" x14ac:dyDescent="0.15">
      <c r="J48" s="80" t="s">
        <v>227</v>
      </c>
      <c r="K48" s="80" t="s">
        <v>231</v>
      </c>
    </row>
    <row r="49" spans="10:11" x14ac:dyDescent="0.15">
      <c r="J49" s="80" t="s">
        <v>228</v>
      </c>
      <c r="K49" s="80" t="s">
        <v>232</v>
      </c>
    </row>
    <row r="50" spans="10:11" x14ac:dyDescent="0.15">
      <c r="J50" s="80" t="s">
        <v>229</v>
      </c>
      <c r="K50" s="80" t="s">
        <v>233</v>
      </c>
    </row>
    <row r="51" spans="10:11" x14ac:dyDescent="0.15">
      <c r="J51" s="80" t="s">
        <v>235</v>
      </c>
      <c r="K51" s="80" t="s">
        <v>234</v>
      </c>
    </row>
    <row r="52" spans="10:11" x14ac:dyDescent="0.15">
      <c r="J52" s="80" t="s">
        <v>236</v>
      </c>
      <c r="K52" s="80" t="s">
        <v>237</v>
      </c>
    </row>
    <row r="53" spans="10:11" x14ac:dyDescent="0.15">
      <c r="J53" s="80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G18" sqref="G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250</v>
      </c>
      <c r="B2" s="61" t="s">
        <v>110</v>
      </c>
      <c r="C2" s="50" t="str">
        <f t="shared" ref="C2" si="0">RIGHT(F2,6)</f>
        <v>455100</v>
      </c>
      <c r="D2" s="19" t="s">
        <v>45</v>
      </c>
      <c r="E2" s="17" t="str">
        <f t="shared" ref="E2" si="1">B2&amp;C2&amp;D2</f>
        <v>gacha_select_tables_455100.tmp</v>
      </c>
      <c r="F2" s="93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7" t="s">
        <v>246</v>
      </c>
      <c r="B3" s="61" t="s">
        <v>110</v>
      </c>
      <c r="C3" s="50" t="str">
        <f t="shared" ref="C3:C7" si="2">RIGHT(F3,6)</f>
        <v>457010</v>
      </c>
      <c r="D3" s="19" t="s">
        <v>45</v>
      </c>
      <c r="E3" s="17" t="str">
        <f t="shared" ref="E3:E10" si="3">B3&amp;C3&amp;D3</f>
        <v>gacha_select_tables_457010.tmp</v>
      </c>
      <c r="F3" s="94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253</v>
      </c>
      <c r="B4" s="90" t="s">
        <v>247</v>
      </c>
      <c r="C4" s="91" t="str">
        <f t="shared" si="2"/>
        <v>457018</v>
      </c>
      <c r="D4" s="19" t="s">
        <v>248</v>
      </c>
      <c r="E4" s="17" t="str">
        <f t="shared" si="3"/>
        <v>gacha_settle_tables_457018.tmp</v>
      </c>
      <c r="F4" s="96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3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6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3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6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3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6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5" t="s">
        <v>276</v>
      </c>
      <c r="B8" s="27" t="s">
        <v>50</v>
      </c>
      <c r="C8" s="32">
        <v>457</v>
      </c>
      <c r="D8" s="19" t="s">
        <v>46</v>
      </c>
      <c r="E8" s="17" t="str">
        <f t="shared" si="3"/>
        <v>gacha_bonus_tables_457.tmp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5" t="s">
        <v>276</v>
      </c>
      <c r="B9" s="19" t="s">
        <v>48</v>
      </c>
      <c r="C9" s="32">
        <v>457</v>
      </c>
      <c r="D9" s="19" t="s">
        <v>46</v>
      </c>
      <c r="E9" s="17" t="str">
        <f t="shared" si="3"/>
        <v>gifts_tmp_457.tmp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5" t="s">
        <v>276</v>
      </c>
      <c r="B10" s="19" t="s">
        <v>49</v>
      </c>
      <c r="C10" s="32">
        <v>457</v>
      </c>
      <c r="D10" s="19" t="s">
        <v>46</v>
      </c>
      <c r="E10" s="17" t="str">
        <f t="shared" si="3"/>
        <v>gifts_i18n_457.tmp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D37" sqref="D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VLOOKUP(L3,tables_457010!B:C,2,FALSE)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VLOOKUP(L4,tables_457010!B:C,2,FALSE)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7.9365079365079365E-4</v>
      </c>
      <c r="F5">
        <f>(COUNTIF(tables_457010!C:C,input_457010!A28)+COUNTIF(tables_457010!C:C,input_457010!A29))</f>
        <v>63</v>
      </c>
      <c r="H5" s="81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1.0215053763440859E-2</v>
      </c>
      <c r="F6">
        <f>(COUNTIF(tables_457010!C:C,input_457010!A25)+COUNTIF(tables_457010!C:C,input_457010!A18)+COUNTIF(tables_457010!C:C,input_457010!A20)+COUNTIF(tables_457010!C:C,input_457010!A22))</f>
        <v>93</v>
      </c>
      <c r="H6" s="85">
        <v>0</v>
      </c>
      <c r="I6" s="31">
        <v>0</v>
      </c>
      <c r="L6" s="88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4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4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4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79">
        <f>B$5-B19-B24</f>
        <v>0.21397849462365595</v>
      </c>
      <c r="C17" s="82">
        <f t="shared" ref="C17:C31" si="2">SUMIF(Q:Q,A17,N:N)</f>
        <v>0</v>
      </c>
      <c r="D17" s="74">
        <f t="shared" ref="D17:D32" si="3">B17-C17</f>
        <v>0.21397849462365595</v>
      </c>
      <c r="E17">
        <f>COUNTIF(tables_457010!C:C,input_457010!A17)-COUNTIF(Q:Q,A17)</f>
        <v>20</v>
      </c>
      <c r="F17" s="43">
        <f>IFERROR(B17/E17,0)</f>
        <v>1.0698924731182797E-2</v>
      </c>
      <c r="G17">
        <f t="shared" ref="G17:G31" si="4">A$36*B17</f>
        <v>8358000.0000000019</v>
      </c>
      <c r="H17">
        <f t="shared" ref="H17:H31" si="5">IFERROR(ROUND(G17/E17,5),0)</f>
        <v>417900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2.9560931895289532E-2</v>
      </c>
      <c r="C18" s="82">
        <f t="shared" si="2"/>
        <v>0</v>
      </c>
      <c r="D18" s="74">
        <f t="shared" si="3"/>
        <v>2.9560931895289532E-2</v>
      </c>
      <c r="E18">
        <f>COUNTIF(tables_457010!C:C,input_457010!A18)-COUNTIF(Q:Q,A18)</f>
        <v>20</v>
      </c>
      <c r="F18" s="43">
        <f>IFERROR(B18/E18,0)</f>
        <v>1.4780465947644766E-3</v>
      </c>
      <c r="G18">
        <f t="shared" si="4"/>
        <v>1154649.9998300092</v>
      </c>
      <c r="H18">
        <f t="shared" si="5"/>
        <v>57732.499989999997</v>
      </c>
      <c r="I18">
        <f t="shared" si="6"/>
        <v>0.49998999999661464</v>
      </c>
      <c r="J18">
        <f t="shared" si="7"/>
        <v>2.0000400008135579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0.26559139784946234</v>
      </c>
      <c r="C19" s="82">
        <f t="shared" si="2"/>
        <v>0</v>
      </c>
      <c r="D19" s="74">
        <f t="shared" si="3"/>
        <v>0.26559139784946234</v>
      </c>
      <c r="E19">
        <f>COUNTIF(tables_457010!C:C,input_457010!A19)-COUNTIF(Q:Q,A19)</f>
        <v>52</v>
      </c>
      <c r="F19" s="43">
        <f t="shared" ref="F19:F31" si="8">IFERROR(B19/E19,0)</f>
        <v>5.1075268817204296E-3</v>
      </c>
      <c r="G19">
        <f t="shared" si="4"/>
        <v>10373999.999999998</v>
      </c>
      <c r="H19">
        <f t="shared" si="5"/>
        <v>199500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9">
        <f>E$6*E20*B$6-0.02</f>
        <v>0.21903225806451612</v>
      </c>
      <c r="C20" s="82">
        <f t="shared" si="2"/>
        <v>0</v>
      </c>
      <c r="D20" s="74">
        <f t="shared" si="3"/>
        <v>0.21903225806451612</v>
      </c>
      <c r="E20">
        <f>COUNTIF(tables_457010!C:C,input_457010!A20)-COUNTIF(Q:Q,A20)</f>
        <v>52</v>
      </c>
      <c r="F20" s="43">
        <f t="shared" si="8"/>
        <v>4.2121588089330027E-3</v>
      </c>
      <c r="G20">
        <f t="shared" si="4"/>
        <v>8555400</v>
      </c>
      <c r="H20">
        <f t="shared" si="5"/>
        <v>164526.92308000001</v>
      </c>
      <c r="I20">
        <f t="shared" si="6"/>
        <v>0.92308000000775792</v>
      </c>
      <c r="J20">
        <f t="shared" si="7"/>
        <v>1.0833297222251546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2">
        <f t="shared" si="2"/>
        <v>0</v>
      </c>
      <c r="D21" s="74">
        <f t="shared" si="3"/>
        <v>7.3207885304659506E-3</v>
      </c>
      <c r="E21">
        <f>COUNTIF(tables_457010!C:C,input_457010!A21)-COUNTIF(Q:Q,A21)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2">
        <f t="shared" si="2"/>
        <v>0</v>
      </c>
      <c r="D22" s="74">
        <f t="shared" si="3"/>
        <v>0.16190860215053762</v>
      </c>
      <c r="E22">
        <f>COUNTIF(tables_457010!C:C,input_457010!A22)-COUNTIF(Q:Q,A22)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2">
        <f t="shared" si="2"/>
        <v>0</v>
      </c>
      <c r="D23" s="74">
        <f t="shared" si="3"/>
        <v>1.1747311827956989E-2</v>
      </c>
      <c r="E23">
        <f>COUNTIF(tables_457010!C:C,input_457010!A23)-COUNTIF(Q:Q,A23)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2.0430107526881718E-2</v>
      </c>
      <c r="C24" s="82">
        <f t="shared" si="2"/>
        <v>0</v>
      </c>
      <c r="D24" s="74">
        <f t="shared" si="3"/>
        <v>2.0430107526881718E-2</v>
      </c>
      <c r="E24">
        <f>COUNTIF(tables_457010!C:C,input_457010!A24)-COUNTIF(Q:Q,A24)</f>
        <v>4</v>
      </c>
      <c r="F24" s="43">
        <f t="shared" si="8"/>
        <v>5.1075268817204296E-3</v>
      </c>
      <c r="G24">
        <f t="shared" si="4"/>
        <v>797999.99999999988</v>
      </c>
      <c r="H24">
        <f t="shared" si="5"/>
        <v>199500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1.8387096774193548E-2</v>
      </c>
      <c r="C25" s="82">
        <f t="shared" si="2"/>
        <v>0</v>
      </c>
      <c r="D25" s="74">
        <f t="shared" si="3"/>
        <v>1.8387096774193548E-2</v>
      </c>
      <c r="E25">
        <f>COUNTIF(tables_457010!C:C,input_457010!A25)-COUNTIF(Q:Q,A25)</f>
        <v>4</v>
      </c>
      <c r="F25" s="43">
        <f t="shared" si="8"/>
        <v>4.596774193548387E-3</v>
      </c>
      <c r="G25">
        <f t="shared" si="4"/>
        <v>718200</v>
      </c>
      <c r="H25">
        <f t="shared" si="5"/>
        <v>179550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2">
        <f t="shared" si="2"/>
        <v>0</v>
      </c>
      <c r="D26" s="74">
        <f t="shared" si="3"/>
        <v>2.0430107526881718E-3</v>
      </c>
      <c r="E26">
        <f>COUNTIF(tables_457010!C:C,input_457010!A26)-COUNTIF(Q:Q,A26)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2">
        <f t="shared" si="2"/>
        <v>0</v>
      </c>
      <c r="D27" s="74">
        <f t="shared" si="3"/>
        <v>2.1111111111111112E-2</v>
      </c>
      <c r="E27">
        <f>COUNTIF(tables_457010!C:C,input_457010!A27)-COUNTIF(Q:Q,A27)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2">
        <f t="shared" si="2"/>
        <v>0</v>
      </c>
      <c r="D28" s="74">
        <f t="shared" si="3"/>
        <v>1.1111111111111111E-3</v>
      </c>
      <c r="E28">
        <f>COUNTIF(tables_457010!C:C,input_457010!A28)-COUNTIF(Q:Q,A28)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2">
        <f t="shared" si="2"/>
        <v>0</v>
      </c>
      <c r="D29" s="74">
        <f t="shared" si="3"/>
        <v>2.7777777777777776E-2</v>
      </c>
      <c r="E29">
        <f>COUNTIF(tables_457010!C:C,input_457010!A29)-COUNTIF(Q:Q,A29)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2">
        <f t="shared" si="2"/>
        <v>0</v>
      </c>
      <c r="D30" s="74">
        <f t="shared" si="3"/>
        <v>0</v>
      </c>
      <c r="E30">
        <f>COUNTIF(tables_457010!C:C,input_457010!A30)-COUNTIF(Q:Q,A30)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2">
        <f t="shared" si="2"/>
        <v>0</v>
      </c>
      <c r="D31" s="74">
        <f t="shared" si="3"/>
        <v>0</v>
      </c>
      <c r="E31">
        <f>COUNTIF(tables_457010!C:C,input_457010!A31)-COUNTIF(Q:Q,A31)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0.99999999999564781</v>
      </c>
      <c r="C32" s="41">
        <f>SUM(C19:C31)</f>
        <v>0</v>
      </c>
      <c r="D32" s="42">
        <f t="shared" si="3"/>
        <v>0.99999999999564781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7.684408664943021E-13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SUMIF(tables_457010!C:C,input_457010!A40,tables_457010!O:O)</f>
        <v>10374000</v>
      </c>
      <c r="C40" s="54">
        <f t="shared" ref="C40:C46" ca="1" si="9">B40/B$47</f>
        <v>0.51654728917031645</v>
      </c>
      <c r="E40">
        <v>3</v>
      </c>
      <c r="F40">
        <f ca="1">SUMIF(tables_457010!J:J,input_457010!E40,tables_457010!O:O)</f>
        <v>19530000</v>
      </c>
      <c r="G40">
        <f ca="1">F40/A36</f>
        <v>0.5</v>
      </c>
    </row>
    <row r="41" spans="1:7" x14ac:dyDescent="0.15">
      <c r="A41" s="33" t="s">
        <v>104</v>
      </c>
      <c r="B41">
        <f ca="1">SUMIF(tables_457010!C:C,input_457010!A41,tables_457010!O:O)</f>
        <v>8555400.0001600031</v>
      </c>
      <c r="C41" s="54">
        <f t="shared" ca="1" si="9"/>
        <v>0.42599466723061258</v>
      </c>
      <c r="E41">
        <v>4</v>
      </c>
      <c r="F41">
        <f ca="1">SUMIF(tables_457010!J:J,input_457010!E41,tables_457010!O:O)</f>
        <v>17576999.999969985</v>
      </c>
      <c r="G41">
        <f ca="1">F41/A36</f>
        <v>0.44999999999923157</v>
      </c>
    </row>
    <row r="42" spans="1:7" x14ac:dyDescent="0.15">
      <c r="A42" s="33" t="s">
        <v>106</v>
      </c>
      <c r="B42">
        <f ca="1">SUMIF(tables_457010!C:C,input_457010!A42,tables_457010!O:O)</f>
        <v>824600</v>
      </c>
      <c r="C42" s="54">
        <f t="shared" ca="1" si="9"/>
        <v>4.1058887087896956E-2</v>
      </c>
      <c r="E42">
        <v>5</v>
      </c>
      <c r="F42">
        <f ca="1">SUMIF(tables_457010!J:J,input_457010!E42,tables_457010!O:O)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SUMIF(tables_457010!C:C,input_457010!A43,tables_457010!O:O)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SUMIF(tables_457010!C:C,input_457010!A44,tables_457010!O:O)</f>
        <v>285949.99992000021</v>
      </c>
      <c r="C44" s="54">
        <f t="shared" ca="1" si="9"/>
        <v>1.4238162453916361E-2</v>
      </c>
      <c r="E44" t="s">
        <v>54</v>
      </c>
      <c r="F44" s="55"/>
    </row>
    <row r="45" spans="1:7" x14ac:dyDescent="0.15">
      <c r="A45" s="33" t="s">
        <v>107</v>
      </c>
      <c r="B45">
        <f ca="1">SUMIF(tables_457010!C:C,input_457010!A45,tables_457010!O:O)</f>
        <v>43400</v>
      </c>
      <c r="C45" s="54">
        <f t="shared" ca="1" si="9"/>
        <v>2.1609940572577344E-3</v>
      </c>
      <c r="E45" t="s">
        <v>204</v>
      </c>
      <c r="F45" s="55">
        <f ca="1">SUMIF(tables_457010!I:I,input_457010!E45,tables_457010!P:P)</f>
        <v>0.24660394264790328</v>
      </c>
    </row>
    <row r="46" spans="1:7" x14ac:dyDescent="0.15">
      <c r="A46" s="33" t="s">
        <v>108</v>
      </c>
      <c r="B46">
        <f>SUMIF(tables_457010!C:C,input_457010!A46,tables_457010!O:O)</f>
        <v>0</v>
      </c>
      <c r="C46" s="54">
        <f t="shared" ca="1" si="9"/>
        <v>0</v>
      </c>
      <c r="E46" t="s">
        <v>205</v>
      </c>
      <c r="F46" s="55">
        <f ca="1">SUMIF(tables_457010!I:I,input_457010!E46,tables_457010!P:P)</f>
        <v>0.19147315274452223</v>
      </c>
    </row>
    <row r="47" spans="1:7" x14ac:dyDescent="0.15">
      <c r="A47" s="39" t="s">
        <v>59</v>
      </c>
      <c r="B47">
        <f ca="1">SUM(B40:B46)</f>
        <v>20083350.000080001</v>
      </c>
      <c r="C47" s="55">
        <f ca="1">SUM(C40:C46)</f>
        <v>1</v>
      </c>
      <c r="E47" t="s">
        <v>206</v>
      </c>
      <c r="F47" s="55">
        <f ca="1">SUMIF(tables_457010!I:I,input_457010!E47,tables_457010!P:P)</f>
        <v>0.51192290460743106</v>
      </c>
    </row>
    <row r="48" spans="1:7" x14ac:dyDescent="0.15">
      <c r="E48" t="s">
        <v>207</v>
      </c>
      <c r="F48" s="55">
        <f ca="1">SUMIF(tables_457010!I:I,input_457010!E48,tables_457010!P:P)</f>
        <v>4.5238095238222496E-2</v>
      </c>
      <c r="G48" s="55"/>
    </row>
    <row r="49" spans="5:6" x14ac:dyDescent="0.15">
      <c r="E49" t="s">
        <v>249</v>
      </c>
      <c r="F49" s="55">
        <f ca="1">SUMIF(tables_457010!I:I,input_457010!E49,tables_457010!P:P)</f>
        <v>4.7619047619181596E-3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B336" sqref="B336:B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input_457010!A$2</f>
        <v>457010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IFERROR(VLOOKUP(B2,input_457010!L:R,7,FALSE),VLOOKUP(tables_457010!C2,input_457010!A:H,8,FALSE))</f>
        <v>417900</v>
      </c>
      <c r="P2" s="46">
        <f t="shared" ref="P2:P65" ca="1" si="1">O2/SUM(O:O)</f>
        <v>1.0698924731212898E-2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input_457010!A$2</f>
        <v>457010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IFERROR(VLOOKUP(B3,input_457010!L:R,7,FALSE),VLOOKUP(tables_457010!C3,input_457010!A:H,8,FALSE))</f>
        <v>57732.499989999997</v>
      </c>
      <c r="P3" s="46">
        <f t="shared" ca="1" si="1"/>
        <v>1.4780465947302208E-3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input_457010!A$2</f>
        <v>457010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IFERROR(VLOOKUP(B4,input_457010!L:R,7,FALSE),VLOOKUP(tables_457010!C4,input_457010!A:H,8,FALSE))</f>
        <v>417900</v>
      </c>
      <c r="P4" s="46">
        <f t="shared" ca="1" si="1"/>
        <v>1.0698924731212898E-2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input_457010!A$2</f>
        <v>457010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IFERROR(VLOOKUP(B5,input_457010!L:R,7,FALSE),VLOOKUP(tables_457010!C5,input_457010!A:H,8,FALSE))</f>
        <v>57732.499989999997</v>
      </c>
      <c r="P5" s="46">
        <f t="shared" ca="1" si="1"/>
        <v>1.4780465947302208E-3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input_457010!A$2</f>
        <v>457010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IFERROR(VLOOKUP(B6,input_457010!L:R,7,FALSE),VLOOKUP(tables_457010!C6,input_457010!A:H,8,FALSE))</f>
        <v>417900</v>
      </c>
      <c r="P6" s="46">
        <f t="shared" ca="1" si="1"/>
        <v>1.0698924731212898E-2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input_457010!A$2</f>
        <v>457010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IFERROR(VLOOKUP(B7,input_457010!L:R,7,FALSE),VLOOKUP(tables_457010!C7,input_457010!A:H,8,FALSE))</f>
        <v>57732.499989999997</v>
      </c>
      <c r="P7" s="46">
        <f t="shared" ca="1" si="1"/>
        <v>1.4780465947302208E-3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input_457010!A$2</f>
        <v>457010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IFERROR(VLOOKUP(B8,input_457010!L:R,7,FALSE),VLOOKUP(tables_457010!C8,input_457010!A:H,8,FALSE))</f>
        <v>417900</v>
      </c>
      <c r="P8" s="46">
        <f t="shared" ca="1" si="1"/>
        <v>1.0698924731212898E-2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input_457010!A$2</f>
        <v>457010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IFERROR(VLOOKUP(B9,input_457010!L:R,7,FALSE),VLOOKUP(tables_457010!C9,input_457010!A:H,8,FALSE))</f>
        <v>57732.499989999997</v>
      </c>
      <c r="P9" s="46">
        <f t="shared" ca="1" si="1"/>
        <v>1.4780465947302208E-3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input_457010!A$2</f>
        <v>457010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IFERROR(VLOOKUP(B10,input_457010!L:R,7,FALSE),VLOOKUP(tables_457010!C10,input_457010!A:H,8,FALSE))</f>
        <v>417900</v>
      </c>
      <c r="P10" s="46">
        <f t="shared" ca="1" si="1"/>
        <v>1.0698924731212898E-2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input_457010!A$2</f>
        <v>457010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IFERROR(VLOOKUP(B11,input_457010!L:R,7,FALSE),VLOOKUP(tables_457010!C11,input_457010!A:H,8,FALSE))</f>
        <v>57732.499989999997</v>
      </c>
      <c r="P11" s="46">
        <f t="shared" ca="1" si="1"/>
        <v>1.4780465947302208E-3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input_457010!A$2</f>
        <v>457010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IFERROR(VLOOKUP(B12,input_457010!L:R,7,FALSE),VLOOKUP(tables_457010!C12,input_457010!A:H,8,FALSE))</f>
        <v>417900</v>
      </c>
      <c r="P12" s="46">
        <f t="shared" ca="1" si="1"/>
        <v>1.0698924731212898E-2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input_457010!A$2</f>
        <v>457010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IFERROR(VLOOKUP(B13,input_457010!L:R,7,FALSE),VLOOKUP(tables_457010!C13,input_457010!A:H,8,FALSE))</f>
        <v>57732.499989999997</v>
      </c>
      <c r="P13" s="46">
        <f t="shared" ca="1" si="1"/>
        <v>1.4780465947302208E-3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input_457010!A$2</f>
        <v>457010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IFERROR(VLOOKUP(B14,input_457010!L:R,7,FALSE),VLOOKUP(tables_457010!C14,input_457010!A:H,8,FALSE))</f>
        <v>417900</v>
      </c>
      <c r="P14" s="46">
        <f t="shared" ca="1" si="1"/>
        <v>1.0698924731212898E-2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input_457010!A$2</f>
        <v>457010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IFERROR(VLOOKUP(B15,input_457010!L:R,7,FALSE),VLOOKUP(tables_457010!C15,input_457010!A:H,8,FALSE))</f>
        <v>57732.499989999997</v>
      </c>
      <c r="P15" s="46">
        <f t="shared" ca="1" si="1"/>
        <v>1.4780465947302208E-3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input_457010!A$2</f>
        <v>457010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IFERROR(VLOOKUP(B16,input_457010!L:R,7,FALSE),VLOOKUP(tables_457010!C16,input_457010!A:H,8,FALSE))</f>
        <v>417900</v>
      </c>
      <c r="P16" s="46">
        <f t="shared" ca="1" si="1"/>
        <v>1.0698924731212898E-2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input_457010!A$2</f>
        <v>457010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IFERROR(VLOOKUP(B17,input_457010!L:R,7,FALSE),VLOOKUP(tables_457010!C17,input_457010!A:H,8,FALSE))</f>
        <v>57732.499989999997</v>
      </c>
      <c r="P17" s="46">
        <f t="shared" ca="1" si="1"/>
        <v>1.4780465947302208E-3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input_457010!A$2</f>
        <v>457010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IFERROR(VLOOKUP(B18,input_457010!L:R,7,FALSE),VLOOKUP(tables_457010!C18,input_457010!A:H,8,FALSE))</f>
        <v>417900</v>
      </c>
      <c r="P18" s="46">
        <f t="shared" ca="1" si="1"/>
        <v>1.0698924731212898E-2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input_457010!A$2</f>
        <v>457010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IFERROR(VLOOKUP(B19,input_457010!L:R,7,FALSE),VLOOKUP(tables_457010!C19,input_457010!A:H,8,FALSE))</f>
        <v>57732.499989999997</v>
      </c>
      <c r="P19" s="46">
        <f t="shared" ca="1" si="1"/>
        <v>1.4780465947302208E-3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input_457010!A$2</f>
        <v>457010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IFERROR(VLOOKUP(B20,input_457010!L:R,7,FALSE),VLOOKUP(tables_457010!C20,input_457010!A:H,8,FALSE))</f>
        <v>417900</v>
      </c>
      <c r="P20" s="46">
        <f t="shared" ca="1" si="1"/>
        <v>1.0698924731212898E-2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input_457010!A$2</f>
        <v>457010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IFERROR(VLOOKUP(B21,input_457010!L:R,7,FALSE),VLOOKUP(tables_457010!C21,input_457010!A:H,8,FALSE))</f>
        <v>57732.499989999997</v>
      </c>
      <c r="P21" s="46">
        <f t="shared" ca="1" si="1"/>
        <v>1.4780465947302208E-3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input_457010!A$2</f>
        <v>457010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IFERROR(VLOOKUP(B22,input_457010!L:R,7,FALSE),VLOOKUP(tables_457010!C22,input_457010!A:H,8,FALSE))</f>
        <v>417900</v>
      </c>
      <c r="P22" s="46">
        <f t="shared" ca="1" si="1"/>
        <v>1.0698924731212898E-2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input_457010!A$2</f>
        <v>457010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IFERROR(VLOOKUP(B23,input_457010!L:R,7,FALSE),VLOOKUP(tables_457010!C23,input_457010!A:H,8,FALSE))</f>
        <v>57732.499989999997</v>
      </c>
      <c r="P23" s="46">
        <f t="shared" ca="1" si="1"/>
        <v>1.4780465947302208E-3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input_457010!A$2</f>
        <v>457010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IFERROR(VLOOKUP(B24,input_457010!L:R,7,FALSE),VLOOKUP(tables_457010!C24,input_457010!A:H,8,FALSE))</f>
        <v>417900</v>
      </c>
      <c r="P24" s="46">
        <f t="shared" ca="1" si="1"/>
        <v>1.0698924731212898E-2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input_457010!A$2</f>
        <v>457010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IFERROR(VLOOKUP(B25,input_457010!L:R,7,FALSE),VLOOKUP(tables_457010!C25,input_457010!A:H,8,FALSE))</f>
        <v>57732.499989999997</v>
      </c>
      <c r="P25" s="46">
        <f t="shared" ca="1" si="1"/>
        <v>1.4780465947302208E-3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input_457010!A$2</f>
        <v>457010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IFERROR(VLOOKUP(B26,input_457010!L:R,7,FALSE),VLOOKUP(tables_457010!C26,input_457010!A:H,8,FALSE))</f>
        <v>417900</v>
      </c>
      <c r="P26" s="46">
        <f t="shared" ca="1" si="1"/>
        <v>1.0698924731212898E-2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input_457010!A$2</f>
        <v>457010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IFERROR(VLOOKUP(B27,input_457010!L:R,7,FALSE),VLOOKUP(tables_457010!C27,input_457010!A:H,8,FALSE))</f>
        <v>57732.499989999997</v>
      </c>
      <c r="P27" s="46">
        <f t="shared" ca="1" si="1"/>
        <v>1.4780465947302208E-3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input_457010!A$2</f>
        <v>457010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IFERROR(VLOOKUP(B28,input_457010!L:R,7,FALSE),VLOOKUP(tables_457010!C28,input_457010!A:H,8,FALSE))</f>
        <v>417900</v>
      </c>
      <c r="P28" s="46">
        <f t="shared" ca="1" si="1"/>
        <v>1.0698924731212898E-2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input_457010!A$2</f>
        <v>457010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IFERROR(VLOOKUP(B29,input_457010!L:R,7,FALSE),VLOOKUP(tables_457010!C29,input_457010!A:H,8,FALSE))</f>
        <v>57732.499989999997</v>
      </c>
      <c r="P29" s="46">
        <f t="shared" ca="1" si="1"/>
        <v>1.4780465947302208E-3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input_457010!A$2</f>
        <v>457010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IFERROR(VLOOKUP(B30,input_457010!L:R,7,FALSE),VLOOKUP(tables_457010!C30,input_457010!A:H,8,FALSE))</f>
        <v>417900</v>
      </c>
      <c r="P30" s="46">
        <f t="shared" ca="1" si="1"/>
        <v>1.0698924731212898E-2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input_457010!A$2</f>
        <v>457010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IFERROR(VLOOKUP(B31,input_457010!L:R,7,FALSE),VLOOKUP(tables_457010!C31,input_457010!A:H,8,FALSE))</f>
        <v>57732.499989999997</v>
      </c>
      <c r="P31" s="46">
        <f t="shared" ca="1" si="1"/>
        <v>1.4780465947302208E-3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input_457010!A$2</f>
        <v>457010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IFERROR(VLOOKUP(B32,input_457010!L:R,7,FALSE),VLOOKUP(tables_457010!C32,input_457010!A:H,8,FALSE))</f>
        <v>417900</v>
      </c>
      <c r="P32" s="46">
        <f t="shared" ca="1" si="1"/>
        <v>1.0698924731212898E-2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input_457010!A$2</f>
        <v>457010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IFERROR(VLOOKUP(B33,input_457010!L:R,7,FALSE),VLOOKUP(tables_457010!C33,input_457010!A:H,8,FALSE))</f>
        <v>57732.499989999997</v>
      </c>
      <c r="P33" s="46">
        <f t="shared" ca="1" si="1"/>
        <v>1.4780465947302208E-3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input_457010!A$2</f>
        <v>457010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IFERROR(VLOOKUP(B34,input_457010!L:R,7,FALSE),VLOOKUP(tables_457010!C34,input_457010!A:H,8,FALSE))</f>
        <v>417900</v>
      </c>
      <c r="P34" s="46">
        <f t="shared" ca="1" si="1"/>
        <v>1.0698924731212898E-2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input_457010!A$2</f>
        <v>457010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IFERROR(VLOOKUP(B35,input_457010!L:R,7,FALSE),VLOOKUP(tables_457010!C35,input_457010!A:H,8,FALSE))</f>
        <v>57732.499989999997</v>
      </c>
      <c r="P35" s="46">
        <f t="shared" ca="1" si="1"/>
        <v>1.4780465947302208E-3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input_457010!A$2</f>
        <v>457010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IFERROR(VLOOKUP(B36,input_457010!L:R,7,FALSE),VLOOKUP(tables_457010!C36,input_457010!A:H,8,FALSE))</f>
        <v>417900</v>
      </c>
      <c r="P36" s="46">
        <f t="shared" ca="1" si="1"/>
        <v>1.0698924731212898E-2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input_457010!A$2</f>
        <v>457010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IFERROR(VLOOKUP(B37,input_457010!L:R,7,FALSE),VLOOKUP(tables_457010!C37,input_457010!A:H,8,FALSE))</f>
        <v>57732.499989999997</v>
      </c>
      <c r="P37" s="46">
        <f t="shared" ca="1" si="1"/>
        <v>1.4780465947302208E-3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input_457010!A$2</f>
        <v>457010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IFERROR(VLOOKUP(B38,input_457010!L:R,7,FALSE),VLOOKUP(tables_457010!C38,input_457010!A:H,8,FALSE))</f>
        <v>417900</v>
      </c>
      <c r="P38" s="46">
        <f t="shared" ca="1" si="1"/>
        <v>1.0698924731212898E-2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input_457010!A$2</f>
        <v>457010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IFERROR(VLOOKUP(B39,input_457010!L:R,7,FALSE),VLOOKUP(tables_457010!C39,input_457010!A:H,8,FALSE))</f>
        <v>57732.499989999997</v>
      </c>
      <c r="P39" s="46">
        <f t="shared" ca="1" si="1"/>
        <v>1.4780465947302208E-3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input_457010!A$2</f>
        <v>457010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IFERROR(VLOOKUP(B40,input_457010!L:R,7,FALSE),VLOOKUP(tables_457010!C40,input_457010!A:H,8,FALSE))</f>
        <v>417900</v>
      </c>
      <c r="P40" s="46">
        <f t="shared" ca="1" si="1"/>
        <v>1.0698924731212898E-2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input_457010!A$2</f>
        <v>457010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IFERROR(VLOOKUP(B41,input_457010!L:R,7,FALSE),VLOOKUP(tables_457010!C41,input_457010!A:H,8,FALSE))</f>
        <v>57732.499989999997</v>
      </c>
      <c r="P41" s="46">
        <f t="shared" ca="1" si="1"/>
        <v>1.4780465947302208E-3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input_457010!A$2</f>
        <v>457010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IFERROR(VLOOKUP(B42,input_457010!L:R,7,FALSE),VLOOKUP(tables_457010!C42,input_457010!A:H,8,FALSE))</f>
        <v>199500</v>
      </c>
      <c r="P42" s="46">
        <f t="shared" ca="1" si="1"/>
        <v>5.1075268817348E-3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input_457010!A$2</f>
        <v>457010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IFERROR(VLOOKUP(B43,input_457010!L:R,7,FALSE),VLOOKUP(tables_457010!C43,input_457010!A:H,8,FALSE))</f>
        <v>179550</v>
      </c>
      <c r="P43" s="46">
        <f t="shared" ca="1" si="1"/>
        <v>4.5967741935613203E-3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input_457010!A$2</f>
        <v>457010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IFERROR(VLOOKUP(B44,input_457010!L:R,7,FALSE),VLOOKUP(tables_457010!C44,input_457010!A:H,8,FALSE))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input_457010!A$2</f>
        <v>457010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IFERROR(VLOOKUP(B45,input_457010!L:R,7,FALSE),VLOOKUP(tables_457010!C45,input_457010!A:H,8,FALSE))</f>
        <v>199500</v>
      </c>
      <c r="P45" s="46">
        <f t="shared" ca="1" si="1"/>
        <v>5.1075268817348E-3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input_457010!A$2</f>
        <v>457010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IFERROR(VLOOKUP(B46,input_457010!L:R,7,FALSE),VLOOKUP(tables_457010!C46,input_457010!A:H,8,FALSE))</f>
        <v>179550</v>
      </c>
      <c r="P46" s="46">
        <f t="shared" ca="1" si="1"/>
        <v>4.5967741935613203E-3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input_457010!A$2</f>
        <v>457010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IFERROR(VLOOKUP(B47,input_457010!L:R,7,FALSE),VLOOKUP(tables_457010!C47,input_457010!A:H,8,FALSE))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input_457010!A$2</f>
        <v>457010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IFERROR(VLOOKUP(B48,input_457010!L:R,7,FALSE),VLOOKUP(tables_457010!C48,input_457010!A:H,8,FALSE))</f>
        <v>199500</v>
      </c>
      <c r="P48" s="46">
        <f t="shared" ca="1" si="1"/>
        <v>5.1075268817348E-3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input_457010!A$2</f>
        <v>457010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IFERROR(VLOOKUP(B49,input_457010!L:R,7,FALSE),VLOOKUP(tables_457010!C49,input_457010!A:H,8,FALSE))</f>
        <v>179550</v>
      </c>
      <c r="P49" s="46">
        <f t="shared" ca="1" si="1"/>
        <v>4.5967741935613203E-3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input_457010!A$2</f>
        <v>457010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IFERROR(VLOOKUP(B50,input_457010!L:R,7,FALSE),VLOOKUP(tables_457010!C50,input_457010!A:H,8,FALSE))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input_457010!A$2</f>
        <v>457010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IFERROR(VLOOKUP(B51,input_457010!L:R,7,FALSE),VLOOKUP(tables_457010!C51,input_457010!A:H,8,FALSE))</f>
        <v>199500</v>
      </c>
      <c r="P51" s="46">
        <f t="shared" ca="1" si="1"/>
        <v>5.1075268817348E-3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input_457010!A$2</f>
        <v>457010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IFERROR(VLOOKUP(B52,input_457010!L:R,7,FALSE),VLOOKUP(tables_457010!C52,input_457010!A:H,8,FALSE))</f>
        <v>164526.92308000001</v>
      </c>
      <c r="P52" s="46">
        <f t="shared" ca="1" si="1"/>
        <v>4.2121588090236282E-3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input_457010!A$2</f>
        <v>457010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IFERROR(VLOOKUP(B53,input_457010!L:R,7,FALSE),VLOOKUP(tables_457010!C53,input_457010!A:H,8,FALSE))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input_457010!A$2</f>
        <v>457010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IFERROR(VLOOKUP(B54,input_457010!L:R,7,FALSE),VLOOKUP(tables_457010!C54,input_457010!A:H,8,FALSE))</f>
        <v>199500</v>
      </c>
      <c r="P54" s="46">
        <f t="shared" ca="1" si="1"/>
        <v>5.1075268817348E-3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input_457010!A$2</f>
        <v>457010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IFERROR(VLOOKUP(B55,input_457010!L:R,7,FALSE),VLOOKUP(tables_457010!C55,input_457010!A:H,8,FALSE))</f>
        <v>164526.92308000001</v>
      </c>
      <c r="P55" s="46">
        <f t="shared" ca="1" si="1"/>
        <v>4.2121588090236282E-3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input_457010!A$2</f>
        <v>457010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IFERROR(VLOOKUP(B56,input_457010!L:R,7,FALSE),VLOOKUP(tables_457010!C56,input_457010!A:H,8,FALSE))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input_457010!A$2</f>
        <v>457010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IFERROR(VLOOKUP(B57,input_457010!L:R,7,FALSE),VLOOKUP(tables_457010!C57,input_457010!A:H,8,FALSE))</f>
        <v>199500</v>
      </c>
      <c r="P57" s="46">
        <f t="shared" ca="1" si="1"/>
        <v>5.1075268817348E-3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input_457010!A$2</f>
        <v>457010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IFERROR(VLOOKUP(B58,input_457010!L:R,7,FALSE),VLOOKUP(tables_457010!C58,input_457010!A:H,8,FALSE))</f>
        <v>164526.92308000001</v>
      </c>
      <c r="P58" s="46">
        <f t="shared" ca="1" si="1"/>
        <v>4.2121588090236282E-3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input_457010!A$2</f>
        <v>457010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IFERROR(VLOOKUP(B59,input_457010!L:R,7,FALSE),VLOOKUP(tables_457010!C59,input_457010!A:H,8,FALSE))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input_457010!A$2</f>
        <v>457010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IFERROR(VLOOKUP(B60,input_457010!L:R,7,FALSE),VLOOKUP(tables_457010!C60,input_457010!A:H,8,FALSE))</f>
        <v>199500</v>
      </c>
      <c r="P60" s="46">
        <f t="shared" ca="1" si="1"/>
        <v>5.1075268817348E-3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input_457010!A$2</f>
        <v>457010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IFERROR(VLOOKUP(B61,input_457010!L:R,7,FALSE),VLOOKUP(tables_457010!C61,input_457010!A:H,8,FALSE))</f>
        <v>164526.92308000001</v>
      </c>
      <c r="P61" s="46">
        <f t="shared" ca="1" si="1"/>
        <v>4.2121588090236282E-3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input_457010!A$2</f>
        <v>457010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IFERROR(VLOOKUP(B62,input_457010!L:R,7,FALSE),VLOOKUP(tables_457010!C62,input_457010!A:H,8,FALSE))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input_457010!A$2</f>
        <v>457010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IFERROR(VLOOKUP(B63,input_457010!L:R,7,FALSE),VLOOKUP(tables_457010!C63,input_457010!A:H,8,FALSE))</f>
        <v>199500</v>
      </c>
      <c r="P63" s="46">
        <f t="shared" ca="1" si="1"/>
        <v>5.1075268817348E-3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input_457010!A$2</f>
        <v>457010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IFERROR(VLOOKUP(B64,input_457010!L:R,7,FALSE),VLOOKUP(tables_457010!C64,input_457010!A:H,8,FALSE))</f>
        <v>164526.92308000001</v>
      </c>
      <c r="P64" s="46">
        <f t="shared" ca="1" si="1"/>
        <v>4.2121588090236282E-3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input_457010!A$2</f>
        <v>457010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IFERROR(VLOOKUP(B65,input_457010!L:R,7,FALSE),VLOOKUP(tables_457010!C65,input_457010!A:H,8,FALSE))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input_457010!A$2</f>
        <v>457010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IFERROR(VLOOKUP(B66,input_457010!L:R,7,FALSE),VLOOKUP(tables_457010!C66,input_457010!A:H,8,FALSE))</f>
        <v>199500</v>
      </c>
      <c r="P66" s="46">
        <f t="shared" ref="P66:P129" ca="1" si="4">O66/SUM(O:O)</f>
        <v>5.1075268817348E-3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input_457010!A$2</f>
        <v>457010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IFERROR(VLOOKUP(B67,input_457010!L:R,7,FALSE),VLOOKUP(tables_457010!C67,input_457010!A:H,8,FALSE))</f>
        <v>164526.92308000001</v>
      </c>
      <c r="P67" s="46">
        <f t="shared" ca="1" si="4"/>
        <v>4.2121588090236282E-3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input_457010!A$2</f>
        <v>457010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IFERROR(VLOOKUP(B68,input_457010!L:R,7,FALSE),VLOOKUP(tables_457010!C68,input_457010!A:H,8,FALSE))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input_457010!A$2</f>
        <v>457010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IFERROR(VLOOKUP(B69,input_457010!L:R,7,FALSE),VLOOKUP(tables_457010!C69,input_457010!A:H,8,FALSE))</f>
        <v>199500</v>
      </c>
      <c r="P69" s="46">
        <f t="shared" ca="1" si="4"/>
        <v>5.1075268817348E-3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input_457010!A$2</f>
        <v>457010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IFERROR(VLOOKUP(B70,input_457010!L:R,7,FALSE),VLOOKUP(tables_457010!C70,input_457010!A:H,8,FALSE))</f>
        <v>164526.92308000001</v>
      </c>
      <c r="P70" s="46">
        <f t="shared" ca="1" si="4"/>
        <v>4.2121588090236282E-3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input_457010!A$2</f>
        <v>457010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IFERROR(VLOOKUP(B71,input_457010!L:R,7,FALSE),VLOOKUP(tables_457010!C71,input_457010!A:H,8,FALSE))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input_457010!A$2</f>
        <v>457010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IFERROR(VLOOKUP(B72,input_457010!L:R,7,FALSE),VLOOKUP(tables_457010!C72,input_457010!A:H,8,FALSE))</f>
        <v>199500</v>
      </c>
      <c r="P72" s="46">
        <f t="shared" ca="1" si="4"/>
        <v>5.1075268817348E-3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input_457010!A$2</f>
        <v>457010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IFERROR(VLOOKUP(B73,input_457010!L:R,7,FALSE),VLOOKUP(tables_457010!C73,input_457010!A:H,8,FALSE))</f>
        <v>164526.92308000001</v>
      </c>
      <c r="P73" s="46">
        <f t="shared" ca="1" si="4"/>
        <v>4.2121588090236282E-3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input_457010!A$2</f>
        <v>457010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IFERROR(VLOOKUP(B74,input_457010!L:R,7,FALSE),VLOOKUP(tables_457010!C74,input_457010!A:H,8,FALSE))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input_457010!A$2</f>
        <v>457010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IFERROR(VLOOKUP(B75,input_457010!L:R,7,FALSE),VLOOKUP(tables_457010!C75,input_457010!A:H,8,FALSE))</f>
        <v>199500</v>
      </c>
      <c r="P75" s="46">
        <f t="shared" ca="1" si="4"/>
        <v>5.1075268817348E-3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input_457010!A$2</f>
        <v>457010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IFERROR(VLOOKUP(B76,input_457010!L:R,7,FALSE),VLOOKUP(tables_457010!C76,input_457010!A:H,8,FALSE))</f>
        <v>164526.92308000001</v>
      </c>
      <c r="P76" s="46">
        <f t="shared" ca="1" si="4"/>
        <v>4.2121588090236282E-3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input_457010!A$2</f>
        <v>457010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IFERROR(VLOOKUP(B77,input_457010!L:R,7,FALSE),VLOOKUP(tables_457010!C77,input_457010!A:H,8,FALSE))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input_457010!A$2</f>
        <v>457010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IFERROR(VLOOKUP(B78,input_457010!L:R,7,FALSE),VLOOKUP(tables_457010!C78,input_457010!A:H,8,FALSE))</f>
        <v>199500</v>
      </c>
      <c r="P78" s="46">
        <f t="shared" ca="1" si="4"/>
        <v>5.1075268817348E-3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input_457010!A$2</f>
        <v>457010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IFERROR(VLOOKUP(B79,input_457010!L:R,7,FALSE),VLOOKUP(tables_457010!C79,input_457010!A:H,8,FALSE))</f>
        <v>164526.92308000001</v>
      </c>
      <c r="P79" s="46">
        <f t="shared" ca="1" si="4"/>
        <v>4.2121588090236282E-3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input_457010!A$2</f>
        <v>457010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IFERROR(VLOOKUP(B80,input_457010!L:R,7,FALSE),VLOOKUP(tables_457010!C80,input_457010!A:H,8,FALSE))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input_457010!A$2</f>
        <v>457010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IFERROR(VLOOKUP(B81,input_457010!L:R,7,FALSE),VLOOKUP(tables_457010!C81,input_457010!A:H,8,FALSE))</f>
        <v>199500</v>
      </c>
      <c r="P81" s="46">
        <f t="shared" ca="1" si="4"/>
        <v>5.1075268817348E-3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input_457010!A$2</f>
        <v>457010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IFERROR(VLOOKUP(B82,input_457010!L:R,7,FALSE),VLOOKUP(tables_457010!C82,input_457010!A:H,8,FALSE))</f>
        <v>164526.92308000001</v>
      </c>
      <c r="P82" s="46">
        <f t="shared" ca="1" si="4"/>
        <v>4.2121588090236282E-3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input_457010!A$2</f>
        <v>457010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IFERROR(VLOOKUP(B83,input_457010!L:R,7,FALSE),VLOOKUP(tables_457010!C83,input_457010!A:H,8,FALSE))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input_457010!A$2</f>
        <v>457010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IFERROR(VLOOKUP(B84,input_457010!L:R,7,FALSE),VLOOKUP(tables_457010!C84,input_457010!A:H,8,FALSE))</f>
        <v>199500</v>
      </c>
      <c r="P84" s="46">
        <f t="shared" ca="1" si="4"/>
        <v>5.1075268817348E-3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input_457010!A$2</f>
        <v>457010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IFERROR(VLOOKUP(B85,input_457010!L:R,7,FALSE),VLOOKUP(tables_457010!C85,input_457010!A:H,8,FALSE))</f>
        <v>164526.92308000001</v>
      </c>
      <c r="P85" s="46">
        <f t="shared" ca="1" si="4"/>
        <v>4.2121588090236282E-3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input_457010!A$2</f>
        <v>457010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IFERROR(VLOOKUP(B86,input_457010!L:R,7,FALSE),VLOOKUP(tables_457010!C86,input_457010!A:H,8,FALSE))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input_457010!A$2</f>
        <v>457010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IFERROR(VLOOKUP(B87,input_457010!L:R,7,FALSE),VLOOKUP(tables_457010!C87,input_457010!A:H,8,FALSE))</f>
        <v>199500</v>
      </c>
      <c r="P87" s="46">
        <f t="shared" ca="1" si="4"/>
        <v>5.1075268817348E-3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input_457010!A$2</f>
        <v>457010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IFERROR(VLOOKUP(B88,input_457010!L:R,7,FALSE),VLOOKUP(tables_457010!C88,input_457010!A:H,8,FALSE))</f>
        <v>164526.92308000001</v>
      </c>
      <c r="P88" s="46">
        <f t="shared" ca="1" si="4"/>
        <v>4.2121588090236282E-3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input_457010!A$2</f>
        <v>457010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IFERROR(VLOOKUP(B89,input_457010!L:R,7,FALSE),VLOOKUP(tables_457010!C89,input_457010!A:H,8,FALSE))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input_457010!A$2</f>
        <v>457010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IFERROR(VLOOKUP(B90,input_457010!L:R,7,FALSE),VLOOKUP(tables_457010!C90,input_457010!A:H,8,FALSE))</f>
        <v>199500</v>
      </c>
      <c r="P90" s="46">
        <f t="shared" ca="1" si="4"/>
        <v>5.1075268817348E-3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input_457010!A$2</f>
        <v>457010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IFERROR(VLOOKUP(B91,input_457010!L:R,7,FALSE),VLOOKUP(tables_457010!C91,input_457010!A:H,8,FALSE))</f>
        <v>164526.92308000001</v>
      </c>
      <c r="P91" s="46">
        <f t="shared" ca="1" si="4"/>
        <v>4.2121588090236282E-3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input_457010!A$2</f>
        <v>457010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IFERROR(VLOOKUP(B92,input_457010!L:R,7,FALSE),VLOOKUP(tables_457010!C92,input_457010!A:H,8,FALSE))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input_457010!A$2</f>
        <v>457010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IFERROR(VLOOKUP(B93,input_457010!L:R,7,FALSE),VLOOKUP(tables_457010!C93,input_457010!A:H,8,FALSE))</f>
        <v>199500</v>
      </c>
      <c r="P93" s="46">
        <f t="shared" ca="1" si="4"/>
        <v>5.1075268817348E-3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input_457010!A$2</f>
        <v>457010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IFERROR(VLOOKUP(B94,input_457010!L:R,7,FALSE),VLOOKUP(tables_457010!C94,input_457010!A:H,8,FALSE))</f>
        <v>164526.92308000001</v>
      </c>
      <c r="P94" s="46">
        <f t="shared" ca="1" si="4"/>
        <v>4.2121588090236282E-3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input_457010!A$2</f>
        <v>457010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IFERROR(VLOOKUP(B95,input_457010!L:R,7,FALSE),VLOOKUP(tables_457010!C95,input_457010!A:H,8,FALSE))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input_457010!A$2</f>
        <v>457010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IFERROR(VLOOKUP(B96,input_457010!L:R,7,FALSE),VLOOKUP(tables_457010!C96,input_457010!A:H,8,FALSE))</f>
        <v>199500</v>
      </c>
      <c r="P96" s="46">
        <f t="shared" ca="1" si="4"/>
        <v>5.1075268817348E-3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input_457010!A$2</f>
        <v>457010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IFERROR(VLOOKUP(B97,input_457010!L:R,7,FALSE),VLOOKUP(tables_457010!C97,input_457010!A:H,8,FALSE))</f>
        <v>164526.92308000001</v>
      </c>
      <c r="P97" s="46">
        <f t="shared" ca="1" si="4"/>
        <v>4.2121588090236282E-3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input_457010!A$2</f>
        <v>457010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IFERROR(VLOOKUP(B98,input_457010!L:R,7,FALSE),VLOOKUP(tables_457010!C98,input_457010!A:H,8,FALSE))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input_457010!A$2</f>
        <v>457010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IFERROR(VLOOKUP(B99,input_457010!L:R,7,FALSE),VLOOKUP(tables_457010!C99,input_457010!A:H,8,FALSE))</f>
        <v>199500</v>
      </c>
      <c r="P99" s="46">
        <f t="shared" ca="1" si="4"/>
        <v>5.1075268817348E-3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input_457010!A$2</f>
        <v>457010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IFERROR(VLOOKUP(B100,input_457010!L:R,7,FALSE),VLOOKUP(tables_457010!C100,input_457010!A:H,8,FALSE))</f>
        <v>164526.92308000001</v>
      </c>
      <c r="P100" s="46">
        <f t="shared" ca="1" si="4"/>
        <v>4.2121588090236282E-3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input_457010!A$2</f>
        <v>457010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IFERROR(VLOOKUP(B101,input_457010!L:R,7,FALSE),VLOOKUP(tables_457010!C101,input_457010!A:H,8,FALSE))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input_457010!A$2</f>
        <v>457010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IFERROR(VLOOKUP(B102,input_457010!L:R,7,FALSE),VLOOKUP(tables_457010!C102,input_457010!A:H,8,FALSE))</f>
        <v>199500</v>
      </c>
      <c r="P102" s="46">
        <f t="shared" ca="1" si="4"/>
        <v>5.1075268817348E-3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input_457010!A$2</f>
        <v>457010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IFERROR(VLOOKUP(B103,input_457010!L:R,7,FALSE),VLOOKUP(tables_457010!C103,input_457010!A:H,8,FALSE))</f>
        <v>164526.92308000001</v>
      </c>
      <c r="P103" s="46">
        <f t="shared" ca="1" si="4"/>
        <v>4.2121588090236282E-3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input_457010!A$2</f>
        <v>457010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IFERROR(VLOOKUP(B104,input_457010!L:R,7,FALSE),VLOOKUP(tables_457010!C104,input_457010!A:H,8,FALSE))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input_457010!A$2</f>
        <v>457010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IFERROR(VLOOKUP(B105,input_457010!L:R,7,FALSE),VLOOKUP(tables_457010!C105,input_457010!A:H,8,FALSE))</f>
        <v>199500</v>
      </c>
      <c r="P105" s="46">
        <f t="shared" ca="1" si="4"/>
        <v>5.1075268817348E-3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input_457010!A$2</f>
        <v>457010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IFERROR(VLOOKUP(B106,input_457010!L:R,7,FALSE),VLOOKUP(tables_457010!C106,input_457010!A:H,8,FALSE))</f>
        <v>164526.92308000001</v>
      </c>
      <c r="P106" s="46">
        <f t="shared" ca="1" si="4"/>
        <v>4.2121588090236282E-3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input_457010!A$2</f>
        <v>457010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IFERROR(VLOOKUP(B107,input_457010!L:R,7,FALSE),VLOOKUP(tables_457010!C107,input_457010!A:H,8,FALSE))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input_457010!A$2</f>
        <v>457010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IFERROR(VLOOKUP(B108,input_457010!L:R,7,FALSE),VLOOKUP(tables_457010!C108,input_457010!A:H,8,FALSE))</f>
        <v>199500</v>
      </c>
      <c r="P108" s="46">
        <f t="shared" ca="1" si="4"/>
        <v>5.1075268817348E-3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input_457010!A$2</f>
        <v>457010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IFERROR(VLOOKUP(B109,input_457010!L:R,7,FALSE),VLOOKUP(tables_457010!C109,input_457010!A:H,8,FALSE))</f>
        <v>164526.92308000001</v>
      </c>
      <c r="P109" s="46">
        <f t="shared" ca="1" si="4"/>
        <v>4.2121588090236282E-3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input_457010!A$2</f>
        <v>457010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IFERROR(VLOOKUP(B110,input_457010!L:R,7,FALSE),VLOOKUP(tables_457010!C110,input_457010!A:H,8,FALSE))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input_457010!A$2</f>
        <v>457010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IFERROR(VLOOKUP(B111,input_457010!L:R,7,FALSE),VLOOKUP(tables_457010!C111,input_457010!A:H,8,FALSE))</f>
        <v>199500</v>
      </c>
      <c r="P111" s="46">
        <f t="shared" ca="1" si="4"/>
        <v>5.1075268817348E-3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input_457010!A$2</f>
        <v>457010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IFERROR(VLOOKUP(B112,input_457010!L:R,7,FALSE),VLOOKUP(tables_457010!C112,input_457010!A:H,8,FALSE))</f>
        <v>179550</v>
      </c>
      <c r="P112" s="46">
        <f t="shared" ca="1" si="4"/>
        <v>4.5967741935613203E-3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input_457010!A$2</f>
        <v>457010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IFERROR(VLOOKUP(B113,input_457010!L:R,7,FALSE),VLOOKUP(tables_457010!C113,input_457010!A:H,8,FALSE))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input_457010!A$2</f>
        <v>457010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IFERROR(VLOOKUP(B114,input_457010!L:R,7,FALSE),VLOOKUP(tables_457010!C114,input_457010!A:H,8,FALSE))</f>
        <v>199500</v>
      </c>
      <c r="P114" s="46">
        <f t="shared" ca="1" si="4"/>
        <v>5.1075268817348E-3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input_457010!A$2</f>
        <v>457010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IFERROR(VLOOKUP(B115,input_457010!L:R,7,FALSE),VLOOKUP(tables_457010!C115,input_457010!A:H,8,FALSE))</f>
        <v>164526.92308000001</v>
      </c>
      <c r="P115" s="46">
        <f t="shared" ca="1" si="4"/>
        <v>4.2121588090236282E-3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input_457010!A$2</f>
        <v>457010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IFERROR(VLOOKUP(B116,input_457010!L:R,7,FALSE),VLOOKUP(tables_457010!C116,input_457010!A:H,8,FALSE))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input_457010!A$2</f>
        <v>457010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IFERROR(VLOOKUP(B117,input_457010!L:R,7,FALSE),VLOOKUP(tables_457010!C117,input_457010!A:H,8,FALSE))</f>
        <v>199500</v>
      </c>
      <c r="P117" s="46">
        <f t="shared" ca="1" si="4"/>
        <v>5.1075268817348E-3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input_457010!A$2</f>
        <v>457010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IFERROR(VLOOKUP(B118,input_457010!L:R,7,FALSE),VLOOKUP(tables_457010!C118,input_457010!A:H,8,FALSE))</f>
        <v>164526.92308000001</v>
      </c>
      <c r="P118" s="46">
        <f t="shared" ca="1" si="4"/>
        <v>4.2121588090236282E-3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input_457010!A$2</f>
        <v>457010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IFERROR(VLOOKUP(B119,input_457010!L:R,7,FALSE),VLOOKUP(tables_457010!C119,input_457010!A:H,8,FALSE))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input_457010!A$2</f>
        <v>457010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IFERROR(VLOOKUP(B120,input_457010!L:R,7,FALSE),VLOOKUP(tables_457010!C120,input_457010!A:H,8,FALSE))</f>
        <v>199500</v>
      </c>
      <c r="P120" s="46">
        <f t="shared" ca="1" si="4"/>
        <v>5.1075268817348E-3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input_457010!A$2</f>
        <v>457010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IFERROR(VLOOKUP(B121,input_457010!L:R,7,FALSE),VLOOKUP(tables_457010!C121,input_457010!A:H,8,FALSE))</f>
        <v>164526.92308000001</v>
      </c>
      <c r="P121" s="46">
        <f t="shared" ca="1" si="4"/>
        <v>4.2121588090236282E-3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input_457010!A$2</f>
        <v>457010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IFERROR(VLOOKUP(B122,input_457010!L:R,7,FALSE),VLOOKUP(tables_457010!C122,input_457010!A:H,8,FALSE))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input_457010!A$2</f>
        <v>457010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IFERROR(VLOOKUP(B123,input_457010!L:R,7,FALSE),VLOOKUP(tables_457010!C123,input_457010!A:H,8,FALSE))</f>
        <v>199500</v>
      </c>
      <c r="P123" s="46">
        <f t="shared" ca="1" si="4"/>
        <v>5.1075268817348E-3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input_457010!A$2</f>
        <v>457010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IFERROR(VLOOKUP(B124,input_457010!L:R,7,FALSE),VLOOKUP(tables_457010!C124,input_457010!A:H,8,FALSE))</f>
        <v>164526.92308000001</v>
      </c>
      <c r="P124" s="46">
        <f t="shared" ca="1" si="4"/>
        <v>4.2121588090236282E-3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input_457010!A$2</f>
        <v>457010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IFERROR(VLOOKUP(B125,input_457010!L:R,7,FALSE),VLOOKUP(tables_457010!C125,input_457010!A:H,8,FALSE))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input_457010!A$2</f>
        <v>457010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IFERROR(VLOOKUP(B126,input_457010!L:R,7,FALSE),VLOOKUP(tables_457010!C126,input_457010!A:H,8,FALSE))</f>
        <v>199500</v>
      </c>
      <c r="P126" s="46">
        <f t="shared" ca="1" si="4"/>
        <v>5.1075268817348E-3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input_457010!A$2</f>
        <v>457010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IFERROR(VLOOKUP(B127,input_457010!L:R,7,FALSE),VLOOKUP(tables_457010!C127,input_457010!A:H,8,FALSE))</f>
        <v>164526.92308000001</v>
      </c>
      <c r="P127" s="46">
        <f t="shared" ca="1" si="4"/>
        <v>4.2121588090236282E-3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input_457010!A$2</f>
        <v>457010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IFERROR(VLOOKUP(B128,input_457010!L:R,7,FALSE),VLOOKUP(tables_457010!C128,input_457010!A:H,8,FALSE))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input_457010!A$2</f>
        <v>457010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IFERROR(VLOOKUP(B129,input_457010!L:R,7,FALSE),VLOOKUP(tables_457010!C129,input_457010!A:H,8,FALSE))</f>
        <v>199500</v>
      </c>
      <c r="P129" s="46">
        <f t="shared" ca="1" si="4"/>
        <v>5.1075268817348E-3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input_457010!A$2</f>
        <v>457010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IFERROR(VLOOKUP(B130,input_457010!L:R,7,FALSE),VLOOKUP(tables_457010!C130,input_457010!A:H,8,FALSE))</f>
        <v>164526.92308000001</v>
      </c>
      <c r="P130" s="46">
        <f t="shared" ref="P130:P193" ca="1" si="7">O130/SUM(O:O)</f>
        <v>4.2121588090236282E-3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input_457010!A$2</f>
        <v>457010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IFERROR(VLOOKUP(B131,input_457010!L:R,7,FALSE),VLOOKUP(tables_457010!C131,input_457010!A:H,8,FALSE))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input_457010!A$2</f>
        <v>457010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IFERROR(VLOOKUP(B132,input_457010!L:R,7,FALSE),VLOOKUP(tables_457010!C132,input_457010!A:H,8,FALSE))</f>
        <v>199500</v>
      </c>
      <c r="P132" s="46">
        <f t="shared" ca="1" si="7"/>
        <v>5.1075268817348E-3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input_457010!A$2</f>
        <v>457010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IFERROR(VLOOKUP(B133,input_457010!L:R,7,FALSE),VLOOKUP(tables_457010!C133,input_457010!A:H,8,FALSE))</f>
        <v>164526.92308000001</v>
      </c>
      <c r="P133" s="46">
        <f t="shared" ca="1" si="7"/>
        <v>4.2121588090236282E-3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input_457010!A$2</f>
        <v>457010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IFERROR(VLOOKUP(B134,input_457010!L:R,7,FALSE),VLOOKUP(tables_457010!C134,input_457010!A:H,8,FALSE))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input_457010!A$2</f>
        <v>457010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IFERROR(VLOOKUP(B135,input_457010!L:R,7,FALSE),VLOOKUP(tables_457010!C135,input_457010!A:H,8,FALSE))</f>
        <v>199500</v>
      </c>
      <c r="P135" s="46">
        <f t="shared" ca="1" si="7"/>
        <v>5.1075268817348E-3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input_457010!A$2</f>
        <v>457010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IFERROR(VLOOKUP(B136,input_457010!L:R,7,FALSE),VLOOKUP(tables_457010!C136,input_457010!A:H,8,FALSE))</f>
        <v>164526.92308000001</v>
      </c>
      <c r="P136" s="46">
        <f t="shared" ca="1" si="7"/>
        <v>4.2121588090236282E-3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input_457010!A$2</f>
        <v>457010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IFERROR(VLOOKUP(B137,input_457010!L:R,7,FALSE),VLOOKUP(tables_457010!C137,input_457010!A:H,8,FALSE))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input_457010!A$2</f>
        <v>457010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IFERROR(VLOOKUP(B138,input_457010!L:R,7,FALSE),VLOOKUP(tables_457010!C138,input_457010!A:H,8,FALSE))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input_457010!A$2</f>
        <v>457010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IFERROR(VLOOKUP(B139,input_457010!L:R,7,FALSE),VLOOKUP(tables_457010!C139,input_457010!A:H,8,FALSE))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input_457010!A$2</f>
        <v>457010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IFERROR(VLOOKUP(B140,input_457010!L:R,7,FALSE),VLOOKUP(tables_457010!C140,input_457010!A:H,8,FALSE))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input_457010!A$2</f>
        <v>457010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IFERROR(VLOOKUP(B141,input_457010!L:R,7,FALSE),VLOOKUP(tables_457010!C141,input_457010!A:H,8,FALSE))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input_457010!A$2</f>
        <v>457010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IFERROR(VLOOKUP(B142,input_457010!L:R,7,FALSE),VLOOKUP(tables_457010!C142,input_457010!A:H,8,FALSE))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input_457010!A$2</f>
        <v>457010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IFERROR(VLOOKUP(B143,input_457010!L:R,7,FALSE),VLOOKUP(tables_457010!C143,input_457010!A:H,8,FALSE))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input_457010!A$2</f>
        <v>457010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IFERROR(VLOOKUP(B144,input_457010!L:R,7,FALSE),VLOOKUP(tables_457010!C144,input_457010!A:H,8,FALSE))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input_457010!A$2</f>
        <v>457010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IFERROR(VLOOKUP(B145,input_457010!L:R,7,FALSE),VLOOKUP(tables_457010!C145,input_457010!A:H,8,FALSE))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input_457010!A$2</f>
        <v>457010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IFERROR(VLOOKUP(B146,input_457010!L:R,7,FALSE),VLOOKUP(tables_457010!C146,input_457010!A:H,8,FALSE))</f>
        <v>199500</v>
      </c>
      <c r="P146" s="46">
        <f t="shared" ca="1" si="7"/>
        <v>5.1075268817348E-3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input_457010!A$2</f>
        <v>457010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IFERROR(VLOOKUP(B147,input_457010!L:R,7,FALSE),VLOOKUP(tables_457010!C147,input_457010!A:H,8,FALSE))</f>
        <v>164526.92308000001</v>
      </c>
      <c r="P147" s="46">
        <f t="shared" ca="1" si="7"/>
        <v>4.2121588090236282E-3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input_457010!A$2</f>
        <v>457010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IFERROR(VLOOKUP(B148,input_457010!L:R,7,FALSE),VLOOKUP(tables_457010!C148,input_457010!A:H,8,FALSE))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input_457010!A$2</f>
        <v>457010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IFERROR(VLOOKUP(B149,input_457010!L:R,7,FALSE),VLOOKUP(tables_457010!C149,input_457010!A:H,8,FALSE))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input_457010!A$2</f>
        <v>457010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IFERROR(VLOOKUP(B150,input_457010!L:R,7,FALSE),VLOOKUP(tables_457010!C150,input_457010!A:H,8,FALSE))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input_457010!A$2</f>
        <v>457010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IFERROR(VLOOKUP(B151,input_457010!L:R,7,FALSE),VLOOKUP(tables_457010!C151,input_457010!A:H,8,FALSE))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input_457010!A$2</f>
        <v>457010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IFERROR(VLOOKUP(B152,input_457010!L:R,7,FALSE),VLOOKUP(tables_457010!C152,input_457010!A:H,8,FALSE))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input_457010!A$2</f>
        <v>457010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IFERROR(VLOOKUP(B153,input_457010!L:R,7,FALSE),VLOOKUP(tables_457010!C153,input_457010!A:H,8,FALSE))</f>
        <v>199500</v>
      </c>
      <c r="P153" s="46">
        <f t="shared" ca="1" si="7"/>
        <v>5.1075268817348E-3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input_457010!A$2</f>
        <v>457010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IFERROR(VLOOKUP(B154,input_457010!L:R,7,FALSE),VLOOKUP(tables_457010!C154,input_457010!A:H,8,FALSE))</f>
        <v>164526.92308000001</v>
      </c>
      <c r="P154" s="46">
        <f t="shared" ca="1" si="7"/>
        <v>4.2121588090236282E-3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input_457010!A$2</f>
        <v>457010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IFERROR(VLOOKUP(B155,input_457010!L:R,7,FALSE),VLOOKUP(tables_457010!C155,input_457010!A:H,8,FALSE))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input_457010!A$2</f>
        <v>457010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IFERROR(VLOOKUP(B156,input_457010!L:R,7,FALSE),VLOOKUP(tables_457010!C156,input_457010!A:H,8,FALSE))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input_457010!A$2</f>
        <v>457010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IFERROR(VLOOKUP(B157,input_457010!L:R,7,FALSE),VLOOKUP(tables_457010!C157,input_457010!A:H,8,FALSE))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input_457010!A$2</f>
        <v>457010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IFERROR(VLOOKUP(B158,input_457010!L:R,7,FALSE),VLOOKUP(tables_457010!C158,input_457010!A:H,8,FALSE))</f>
        <v>199500</v>
      </c>
      <c r="P158" s="46">
        <f t="shared" ca="1" si="7"/>
        <v>5.1075268817348E-3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input_457010!A$2</f>
        <v>457010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IFERROR(VLOOKUP(B159,input_457010!L:R,7,FALSE),VLOOKUP(tables_457010!C159,input_457010!A:H,8,FALSE))</f>
        <v>164526.92308000001</v>
      </c>
      <c r="P159" s="46">
        <f t="shared" ca="1" si="7"/>
        <v>4.2121588090236282E-3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input_457010!A$2</f>
        <v>457010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IFERROR(VLOOKUP(B160,input_457010!L:R,7,FALSE),VLOOKUP(tables_457010!C160,input_457010!A:H,8,FALSE))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input_457010!A$2</f>
        <v>457010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IFERROR(VLOOKUP(B161,input_457010!L:R,7,FALSE),VLOOKUP(tables_457010!C161,input_457010!A:H,8,FALSE))</f>
        <v>199500</v>
      </c>
      <c r="P161" s="46">
        <f t="shared" ca="1" si="7"/>
        <v>5.1075268817348E-3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input_457010!A$2</f>
        <v>457010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IFERROR(VLOOKUP(B162,input_457010!L:R,7,FALSE),VLOOKUP(tables_457010!C162,input_457010!A:H,8,FALSE))</f>
        <v>164526.92308000001</v>
      </c>
      <c r="P162" s="46">
        <f t="shared" ca="1" si="7"/>
        <v>4.2121588090236282E-3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input_457010!A$2</f>
        <v>457010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IFERROR(VLOOKUP(B163,input_457010!L:R,7,FALSE),VLOOKUP(tables_457010!C163,input_457010!A:H,8,FALSE))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input_457010!A$2</f>
        <v>457010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IFERROR(VLOOKUP(B164,input_457010!L:R,7,FALSE),VLOOKUP(tables_457010!C164,input_457010!A:H,8,FALSE))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input_457010!A$2</f>
        <v>457010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IFERROR(VLOOKUP(B165,input_457010!L:R,7,FALSE),VLOOKUP(tables_457010!C165,input_457010!A:H,8,FALSE))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input_457010!A$2</f>
        <v>457010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IFERROR(VLOOKUP(B166,input_457010!L:R,7,FALSE),VLOOKUP(tables_457010!C166,input_457010!A:H,8,FALSE))</f>
        <v>199500</v>
      </c>
      <c r="P166" s="46">
        <f t="shared" ca="1" si="7"/>
        <v>5.1075268817348E-3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input_457010!A$2</f>
        <v>457010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IFERROR(VLOOKUP(B167,input_457010!L:R,7,FALSE),VLOOKUP(tables_457010!C167,input_457010!A:H,8,FALSE))</f>
        <v>164526.92308000001</v>
      </c>
      <c r="P167" s="46">
        <f t="shared" ca="1" si="7"/>
        <v>4.2121588090236282E-3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input_457010!A$2</f>
        <v>457010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IFERROR(VLOOKUP(B168,input_457010!L:R,7,FALSE),VLOOKUP(tables_457010!C168,input_457010!A:H,8,FALSE))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input_457010!A$2</f>
        <v>457010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IFERROR(VLOOKUP(B169,input_457010!L:R,7,FALSE),VLOOKUP(tables_457010!C169,input_457010!A:H,8,FALSE))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input_457010!A$2</f>
        <v>457010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IFERROR(VLOOKUP(B170,input_457010!L:R,7,FALSE),VLOOKUP(tables_457010!C170,input_457010!A:H,8,FALSE))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input_457010!A$2</f>
        <v>457010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IFERROR(VLOOKUP(B171,input_457010!L:R,7,FALSE),VLOOKUP(tables_457010!C171,input_457010!A:H,8,FALSE))</f>
        <v>199500</v>
      </c>
      <c r="P171" s="46">
        <f t="shared" ca="1" si="7"/>
        <v>5.1075268817348E-3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input_457010!A$2</f>
        <v>457010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IFERROR(VLOOKUP(B172,input_457010!L:R,7,FALSE),VLOOKUP(tables_457010!C172,input_457010!A:H,8,FALSE))</f>
        <v>164526.92308000001</v>
      </c>
      <c r="P172" s="46">
        <f t="shared" ca="1" si="7"/>
        <v>4.2121588090236282E-3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input_457010!A$2</f>
        <v>457010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IFERROR(VLOOKUP(B173,input_457010!L:R,7,FALSE),VLOOKUP(tables_457010!C173,input_457010!A:H,8,FALSE))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input_457010!A$2</f>
        <v>457010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IFERROR(VLOOKUP(B174,input_457010!L:R,7,FALSE),VLOOKUP(tables_457010!C174,input_457010!A:H,8,FALSE))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input_457010!A$2</f>
        <v>457010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IFERROR(VLOOKUP(B175,input_457010!L:R,7,FALSE),VLOOKUP(tables_457010!C175,input_457010!A:H,8,FALSE))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input_457010!A$2</f>
        <v>457010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IFERROR(VLOOKUP(B176,input_457010!L:R,7,FALSE),VLOOKUP(tables_457010!C176,input_457010!A:H,8,FALSE))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input_457010!A$2</f>
        <v>457010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IFERROR(VLOOKUP(B177,input_457010!L:R,7,FALSE),VLOOKUP(tables_457010!C177,input_457010!A:H,8,FALSE))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input_457010!A$2</f>
        <v>457010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IFERROR(VLOOKUP(B178,input_457010!L:R,7,FALSE),VLOOKUP(tables_457010!C178,input_457010!A:H,8,FALSE))</f>
        <v>199500</v>
      </c>
      <c r="P178" s="46">
        <f t="shared" ca="1" si="7"/>
        <v>5.1075268817348E-3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input_457010!A$2</f>
        <v>457010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IFERROR(VLOOKUP(B179,input_457010!L:R,7,FALSE),VLOOKUP(tables_457010!C179,input_457010!A:H,8,FALSE))</f>
        <v>164526.92308000001</v>
      </c>
      <c r="P179" s="46">
        <f t="shared" ca="1" si="7"/>
        <v>4.2121588090236282E-3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input_457010!A$2</f>
        <v>457010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IFERROR(VLOOKUP(B180,input_457010!L:R,7,FALSE),VLOOKUP(tables_457010!C180,input_457010!A:H,8,FALSE))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input_457010!A$2</f>
        <v>457010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IFERROR(VLOOKUP(B181,input_457010!L:R,7,FALSE),VLOOKUP(tables_457010!C181,input_457010!A:H,8,FALSE))</f>
        <v>199500</v>
      </c>
      <c r="P181" s="46">
        <f t="shared" ca="1" si="7"/>
        <v>5.1075268817348E-3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input_457010!A$2</f>
        <v>457010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IFERROR(VLOOKUP(B182,input_457010!L:R,7,FALSE),VLOOKUP(tables_457010!C182,input_457010!A:H,8,FALSE))</f>
        <v>164526.92308000001</v>
      </c>
      <c r="P182" s="46">
        <f t="shared" ca="1" si="7"/>
        <v>4.2121588090236282E-3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input_457010!A$2</f>
        <v>457010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IFERROR(VLOOKUP(B183,input_457010!L:R,7,FALSE),VLOOKUP(tables_457010!C183,input_457010!A:H,8,FALSE))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input_457010!A$2</f>
        <v>457010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IFERROR(VLOOKUP(B184,input_457010!L:R,7,FALSE),VLOOKUP(tables_457010!C184,input_457010!A:H,8,FALSE))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input_457010!A$2</f>
        <v>457010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IFERROR(VLOOKUP(B185,input_457010!L:R,7,FALSE),VLOOKUP(tables_457010!C185,input_457010!A:H,8,FALSE))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input_457010!A$2</f>
        <v>457010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IFERROR(VLOOKUP(B186,input_457010!L:R,7,FALSE),VLOOKUP(tables_457010!C186,input_457010!A:H,8,FALSE))</f>
        <v>199500</v>
      </c>
      <c r="P186" s="46">
        <f t="shared" ca="1" si="7"/>
        <v>5.1075268817348E-3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input_457010!A$2</f>
        <v>457010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IFERROR(VLOOKUP(B187,input_457010!L:R,7,FALSE),VLOOKUP(tables_457010!C187,input_457010!A:H,8,FALSE))</f>
        <v>164526.92308000001</v>
      </c>
      <c r="P187" s="46">
        <f t="shared" ca="1" si="7"/>
        <v>4.2121588090236282E-3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input_457010!A$2</f>
        <v>457010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IFERROR(VLOOKUP(B188,input_457010!L:R,7,FALSE),VLOOKUP(tables_457010!C188,input_457010!A:H,8,FALSE))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input_457010!A$2</f>
        <v>457010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IFERROR(VLOOKUP(B189,input_457010!L:R,7,FALSE),VLOOKUP(tables_457010!C189,input_457010!A:H,8,FALSE))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input_457010!A$2</f>
        <v>457010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IFERROR(VLOOKUP(B190,input_457010!L:R,7,FALSE),VLOOKUP(tables_457010!C190,input_457010!A:H,8,FALSE))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input_457010!A$2</f>
        <v>457010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IFERROR(VLOOKUP(B191,input_457010!L:R,7,FALSE),VLOOKUP(tables_457010!C191,input_457010!A:H,8,FALSE))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input_457010!A$2</f>
        <v>457010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IFERROR(VLOOKUP(B192,input_457010!L:R,7,FALSE),VLOOKUP(tables_457010!C192,input_457010!A:H,8,FALSE))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input_457010!A$2</f>
        <v>457010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IFERROR(VLOOKUP(B193,input_457010!L:R,7,FALSE),VLOOKUP(tables_457010!C193,input_457010!A:H,8,FALSE))</f>
        <v>199500</v>
      </c>
      <c r="P193" s="46">
        <f t="shared" ca="1" si="7"/>
        <v>5.1075268817348E-3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input_457010!A$2</f>
        <v>457010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IFERROR(VLOOKUP(B194,input_457010!L:R,7,FALSE),VLOOKUP(tables_457010!C194,input_457010!A:H,8,FALSE))</f>
        <v>164526.92308000001</v>
      </c>
      <c r="P194" s="46">
        <f t="shared" ref="P194:P257" ca="1" si="10">O194/SUM(O:O)</f>
        <v>4.2121588090236282E-3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input_457010!A$2</f>
        <v>457010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IFERROR(VLOOKUP(B195,input_457010!L:R,7,FALSE),VLOOKUP(tables_457010!C195,input_457010!A:H,8,FALSE))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input_457010!A$2</f>
        <v>457010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IFERROR(VLOOKUP(B196,input_457010!L:R,7,FALSE),VLOOKUP(tables_457010!C196,input_457010!A:H,8,FALSE))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input_457010!A$2</f>
        <v>457010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IFERROR(VLOOKUP(B197,input_457010!L:R,7,FALSE),VLOOKUP(tables_457010!C197,input_457010!A:H,8,FALSE))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input_457010!A$2</f>
        <v>457010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IFERROR(VLOOKUP(B198,input_457010!L:R,7,FALSE),VLOOKUP(tables_457010!C198,input_457010!A:H,8,FALSE))</f>
        <v>199500</v>
      </c>
      <c r="P198" s="46">
        <f t="shared" ca="1" si="10"/>
        <v>5.1075268817348E-3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input_457010!A$2</f>
        <v>457010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IFERROR(VLOOKUP(B199,input_457010!L:R,7,FALSE),VLOOKUP(tables_457010!C199,input_457010!A:H,8,FALSE))</f>
        <v>164526.92308000001</v>
      </c>
      <c r="P199" s="46">
        <f t="shared" ca="1" si="10"/>
        <v>4.2121588090236282E-3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input_457010!A$2</f>
        <v>457010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IFERROR(VLOOKUP(B200,input_457010!L:R,7,FALSE),VLOOKUP(tables_457010!C200,input_457010!A:H,8,FALSE))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input_457010!A$2</f>
        <v>457010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IFERROR(VLOOKUP(B201,input_457010!L:R,7,FALSE),VLOOKUP(tables_457010!C201,input_457010!A:H,8,FALSE))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input_457010!A$2</f>
        <v>457010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IFERROR(VLOOKUP(B202,input_457010!L:R,7,FALSE),VLOOKUP(tables_457010!C202,input_457010!A:H,8,FALSE))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input_457010!A$2</f>
        <v>457010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IFERROR(VLOOKUP(B203,input_457010!L:R,7,FALSE),VLOOKUP(tables_457010!C203,input_457010!A:H,8,FALSE))</f>
        <v>199500</v>
      </c>
      <c r="P203" s="46">
        <f t="shared" ca="1" si="10"/>
        <v>5.1075268817348E-3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input_457010!A$2</f>
        <v>457010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IFERROR(VLOOKUP(B204,input_457010!L:R,7,FALSE),VLOOKUP(tables_457010!C204,input_457010!A:H,8,FALSE))</f>
        <v>164526.92308000001</v>
      </c>
      <c r="P204" s="46">
        <f t="shared" ca="1" si="10"/>
        <v>4.2121588090236282E-3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input_457010!A$2</f>
        <v>457010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IFERROR(VLOOKUP(B205,input_457010!L:R,7,FALSE),VLOOKUP(tables_457010!C205,input_457010!A:H,8,FALSE))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input_457010!A$2</f>
        <v>457010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IFERROR(VLOOKUP(B206,input_457010!L:R,7,FALSE),VLOOKUP(tables_457010!C206,input_457010!A:H,8,FALSE))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input_457010!A$2</f>
        <v>457010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IFERROR(VLOOKUP(B207,input_457010!L:R,7,FALSE),VLOOKUP(tables_457010!C207,input_457010!A:H,8,FALSE))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input_457010!A$2</f>
        <v>457010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IFERROR(VLOOKUP(B208,input_457010!L:R,7,FALSE),VLOOKUP(tables_457010!C208,input_457010!A:H,8,FALSE))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input_457010!A$2</f>
        <v>457010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IFERROR(VLOOKUP(B209,input_457010!L:R,7,FALSE),VLOOKUP(tables_457010!C209,input_457010!A:H,8,FALSE))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input_457010!A$2</f>
        <v>457010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IFERROR(VLOOKUP(B210,input_457010!L:R,7,FALSE),VLOOKUP(tables_457010!C210,input_457010!A:H,8,FALSE))</f>
        <v>199500</v>
      </c>
      <c r="P210" s="46">
        <f t="shared" ca="1" si="10"/>
        <v>5.1075268817348E-3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input_457010!A$2</f>
        <v>457010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IFERROR(VLOOKUP(B211,input_457010!L:R,7,FALSE),VLOOKUP(tables_457010!C211,input_457010!A:H,8,FALSE))</f>
        <v>164526.92308000001</v>
      </c>
      <c r="P211" s="46">
        <f t="shared" ca="1" si="10"/>
        <v>4.2121588090236282E-3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input_457010!A$2</f>
        <v>457010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IFERROR(VLOOKUP(B212,input_457010!L:R,7,FALSE),VLOOKUP(tables_457010!C212,input_457010!A:H,8,FALSE))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input_457010!A$2</f>
        <v>457010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IFERROR(VLOOKUP(B213,input_457010!L:R,7,FALSE),VLOOKUP(tables_457010!C213,input_457010!A:H,8,FALSE))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input_457010!A$2</f>
        <v>457010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IFERROR(VLOOKUP(B214,input_457010!L:R,7,FALSE),VLOOKUP(tables_457010!C214,input_457010!A:H,8,FALSE))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input_457010!A$2</f>
        <v>457010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IFERROR(VLOOKUP(B215,input_457010!L:R,7,FALSE),VLOOKUP(tables_457010!C215,input_457010!A:H,8,FALSE))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input_457010!A$2</f>
        <v>457010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IFERROR(VLOOKUP(B216,input_457010!L:R,7,FALSE),VLOOKUP(tables_457010!C216,input_457010!A:H,8,FALSE))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input_457010!A$2</f>
        <v>457010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IFERROR(VLOOKUP(B217,input_457010!L:R,7,FALSE),VLOOKUP(tables_457010!C217,input_457010!A:H,8,FALSE))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input_457010!A$2</f>
        <v>457010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IFERROR(VLOOKUP(B218,input_457010!L:R,7,FALSE),VLOOKUP(tables_457010!C218,input_457010!A:H,8,FALSE))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input_457010!A$2</f>
        <v>457010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IFERROR(VLOOKUP(B219,input_457010!L:R,7,FALSE),VLOOKUP(tables_457010!C219,input_457010!A:H,8,FALSE))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input_457010!A$2</f>
        <v>457010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IFERROR(VLOOKUP(B220,input_457010!L:R,7,FALSE),VLOOKUP(tables_457010!C220,input_457010!A:H,8,FALSE))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input_457010!A$2</f>
        <v>457010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IFERROR(VLOOKUP(B221,input_457010!L:R,7,FALSE),VLOOKUP(tables_457010!C221,input_457010!A:H,8,FALSE))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input_457010!A$2</f>
        <v>457010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IFERROR(VLOOKUP(B222,input_457010!L:R,7,FALSE),VLOOKUP(tables_457010!C222,input_457010!A:H,8,FALSE))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input_457010!A$2</f>
        <v>457010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IFERROR(VLOOKUP(B223,input_457010!L:R,7,FALSE),VLOOKUP(tables_457010!C223,input_457010!A:H,8,FALSE))</f>
        <v>199500</v>
      </c>
      <c r="P223" s="46">
        <f t="shared" ca="1" si="10"/>
        <v>5.1075268817348E-3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input_457010!A$2</f>
        <v>457010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IFERROR(VLOOKUP(B224,input_457010!L:R,7,FALSE),VLOOKUP(tables_457010!C224,input_457010!A:H,8,FALSE))</f>
        <v>164526.92308000001</v>
      </c>
      <c r="P224" s="46">
        <f t="shared" ca="1" si="10"/>
        <v>4.2121588090236282E-3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input_457010!A$2</f>
        <v>457010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IFERROR(VLOOKUP(B225,input_457010!L:R,7,FALSE),VLOOKUP(tables_457010!C225,input_457010!A:H,8,FALSE))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input_457010!A$2</f>
        <v>457010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IFERROR(VLOOKUP(B226,input_457010!L:R,7,FALSE),VLOOKUP(tables_457010!C226,input_457010!A:H,8,FALSE))</f>
        <v>199500</v>
      </c>
      <c r="P226" s="46">
        <f t="shared" ca="1" si="10"/>
        <v>5.1075268817348E-3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input_457010!A$2</f>
        <v>457010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IFERROR(VLOOKUP(B227,input_457010!L:R,7,FALSE),VLOOKUP(tables_457010!C227,input_457010!A:H,8,FALSE))</f>
        <v>164526.92308000001</v>
      </c>
      <c r="P227" s="46">
        <f t="shared" ca="1" si="10"/>
        <v>4.2121588090236282E-3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input_457010!A$2</f>
        <v>457010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IFERROR(VLOOKUP(B228,input_457010!L:R,7,FALSE),VLOOKUP(tables_457010!C228,input_457010!A:H,8,FALSE))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input_457010!A$2</f>
        <v>457010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IFERROR(VLOOKUP(B229,input_457010!L:R,7,FALSE),VLOOKUP(tables_457010!C229,input_457010!A:H,8,FALSE))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input_457010!A$2</f>
        <v>457010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IFERROR(VLOOKUP(B230,input_457010!L:R,7,FALSE),VLOOKUP(tables_457010!C230,input_457010!A:H,8,FALSE))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input_457010!A$2</f>
        <v>457010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IFERROR(VLOOKUP(B231,input_457010!L:R,7,FALSE),VLOOKUP(tables_457010!C231,input_457010!A:H,8,FALSE))</f>
        <v>199500</v>
      </c>
      <c r="P231" s="46">
        <f t="shared" ca="1" si="10"/>
        <v>5.1075268817348E-3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input_457010!A$2</f>
        <v>457010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IFERROR(VLOOKUP(B232,input_457010!L:R,7,FALSE),VLOOKUP(tables_457010!C232,input_457010!A:H,8,FALSE))</f>
        <v>164526.92308000001</v>
      </c>
      <c r="P232" s="46">
        <f t="shared" ca="1" si="10"/>
        <v>4.2121588090236282E-3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input_457010!A$2</f>
        <v>457010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IFERROR(VLOOKUP(B233,input_457010!L:R,7,FALSE),VLOOKUP(tables_457010!C233,input_457010!A:H,8,FALSE))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input_457010!A$2</f>
        <v>457010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IFERROR(VLOOKUP(B234,input_457010!L:R,7,FALSE),VLOOKUP(tables_457010!C234,input_457010!A:H,8,FALSE))</f>
        <v>199500</v>
      </c>
      <c r="P234" s="46">
        <f t="shared" ca="1" si="10"/>
        <v>5.1075268817348E-3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input_457010!A$2</f>
        <v>457010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IFERROR(VLOOKUP(B235,input_457010!L:R,7,FALSE),VLOOKUP(tables_457010!C235,input_457010!A:H,8,FALSE))</f>
        <v>164526.92308000001</v>
      </c>
      <c r="P235" s="46">
        <f t="shared" ca="1" si="10"/>
        <v>4.2121588090236282E-3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input_457010!A$2</f>
        <v>457010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IFERROR(VLOOKUP(B236,input_457010!L:R,7,FALSE),VLOOKUP(tables_457010!C236,input_457010!A:H,8,FALSE))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input_457010!A$2</f>
        <v>457010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IFERROR(VLOOKUP(B237,input_457010!L:R,7,FALSE),VLOOKUP(tables_457010!C237,input_457010!A:H,8,FALSE))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input_457010!A$2</f>
        <v>457010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IFERROR(VLOOKUP(B238,input_457010!L:R,7,FALSE),VLOOKUP(tables_457010!C238,input_457010!A:H,8,FALSE))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input_457010!A$2</f>
        <v>457010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IFERROR(VLOOKUP(B239,input_457010!L:R,7,FALSE),VLOOKUP(tables_457010!C239,input_457010!A:H,8,FALSE))</f>
        <v>199500</v>
      </c>
      <c r="P239" s="46">
        <f t="shared" ca="1" si="10"/>
        <v>5.1075268817348E-3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input_457010!A$2</f>
        <v>457010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IFERROR(VLOOKUP(B240,input_457010!L:R,7,FALSE),VLOOKUP(tables_457010!C240,input_457010!A:H,8,FALSE))</f>
        <v>164526.92308000001</v>
      </c>
      <c r="P240" s="46">
        <f t="shared" ca="1" si="10"/>
        <v>4.2121588090236282E-3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input_457010!A$2</f>
        <v>457010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IFERROR(VLOOKUP(B241,input_457010!L:R,7,FALSE),VLOOKUP(tables_457010!C241,input_457010!A:H,8,FALSE))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input_457010!A$2</f>
        <v>457010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IFERROR(VLOOKUP(B242,input_457010!L:R,7,FALSE),VLOOKUP(tables_457010!C242,input_457010!A:H,8,FALSE))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input_457010!A$2</f>
        <v>457010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IFERROR(VLOOKUP(B243,input_457010!L:R,7,FALSE),VLOOKUP(tables_457010!C243,input_457010!A:H,8,FALSE))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input_457010!A$2</f>
        <v>457010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IFERROR(VLOOKUP(B244,input_457010!L:R,7,FALSE),VLOOKUP(tables_457010!C244,input_457010!A:H,8,FALSE))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input_457010!A$2</f>
        <v>457010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IFERROR(VLOOKUP(B245,input_457010!L:R,7,FALSE),VLOOKUP(tables_457010!C245,input_457010!A:H,8,FALSE))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input_457010!A$2</f>
        <v>457010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IFERROR(VLOOKUP(B246,input_457010!L:R,7,FALSE),VLOOKUP(tables_457010!C246,input_457010!A:H,8,FALSE))</f>
        <v>199500</v>
      </c>
      <c r="P246" s="46">
        <f t="shared" ca="1" si="10"/>
        <v>5.1075268817348E-3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input_457010!A$2</f>
        <v>457010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IFERROR(VLOOKUP(B247,input_457010!L:R,7,FALSE),VLOOKUP(tables_457010!C247,input_457010!A:H,8,FALSE))</f>
        <v>164526.92308000001</v>
      </c>
      <c r="P247" s="46">
        <f t="shared" ca="1" si="10"/>
        <v>4.2121588090236282E-3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input_457010!A$2</f>
        <v>457010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IFERROR(VLOOKUP(B248,input_457010!L:R,7,FALSE),VLOOKUP(tables_457010!C248,input_457010!A:H,8,FALSE))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input_457010!A$2</f>
        <v>457010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IFERROR(VLOOKUP(B249,input_457010!L:R,7,FALSE),VLOOKUP(tables_457010!C249,input_457010!A:H,8,FALSE))</f>
        <v>199500</v>
      </c>
      <c r="P249" s="46">
        <f t="shared" ca="1" si="10"/>
        <v>5.1075268817348E-3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input_457010!A$2</f>
        <v>457010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IFERROR(VLOOKUP(B250,input_457010!L:R,7,FALSE),VLOOKUP(tables_457010!C250,input_457010!A:H,8,FALSE))</f>
        <v>164526.92308000001</v>
      </c>
      <c r="P250" s="46">
        <f t="shared" ca="1" si="10"/>
        <v>4.2121588090236282E-3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input_457010!A$2</f>
        <v>457010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IFERROR(VLOOKUP(B251,input_457010!L:R,7,FALSE),VLOOKUP(tables_457010!C251,input_457010!A:H,8,FALSE))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input_457010!A$2</f>
        <v>457010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IFERROR(VLOOKUP(B252,input_457010!L:R,7,FALSE),VLOOKUP(tables_457010!C252,input_457010!A:H,8,FALSE))</f>
        <v>199500</v>
      </c>
      <c r="P252" s="46">
        <f t="shared" ca="1" si="10"/>
        <v>5.1075268817348E-3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input_457010!A$2</f>
        <v>457010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IFERROR(VLOOKUP(B253,input_457010!L:R,7,FALSE),VLOOKUP(tables_457010!C253,input_457010!A:H,8,FALSE))</f>
        <v>164526.92308000001</v>
      </c>
      <c r="P253" s="46">
        <f t="shared" ca="1" si="10"/>
        <v>4.2121588090236282E-3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input_457010!A$2</f>
        <v>457010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IFERROR(VLOOKUP(B254,input_457010!L:R,7,FALSE),VLOOKUP(tables_457010!C254,input_457010!A:H,8,FALSE))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input_457010!A$2</f>
        <v>457010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IFERROR(VLOOKUP(B255,input_457010!L:R,7,FALSE),VLOOKUP(tables_457010!C255,input_457010!A:H,8,FALSE))</f>
        <v>199500</v>
      </c>
      <c r="P255" s="46">
        <f t="shared" ca="1" si="10"/>
        <v>5.1075268817348E-3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input_457010!A$2</f>
        <v>457010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IFERROR(VLOOKUP(B256,input_457010!L:R,7,FALSE),VLOOKUP(tables_457010!C256,input_457010!A:H,8,FALSE))</f>
        <v>164526.92308000001</v>
      </c>
      <c r="P256" s="46">
        <f t="shared" ca="1" si="10"/>
        <v>4.2121588090236282E-3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input_457010!A$2</f>
        <v>457010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IFERROR(VLOOKUP(B257,input_457010!L:R,7,FALSE),VLOOKUP(tables_457010!C257,input_457010!A:H,8,FALSE))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input_457010!A$2</f>
        <v>457010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IFERROR(VLOOKUP(B258,input_457010!L:R,7,FALSE),VLOOKUP(tables_457010!C258,input_457010!A:H,8,FALSE))</f>
        <v>29450</v>
      </c>
      <c r="P258" s="46">
        <f t="shared" ref="P258:P321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input_457010!A$2</f>
        <v>457010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IFERROR(VLOOKUP(B259,input_457010!L:R,7,FALSE),VLOOKUP(tables_457010!C259,input_457010!A:H,8,FALSE))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input_457010!A$2</f>
        <v>457010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IFERROR(VLOOKUP(B260,input_457010!L:R,7,FALSE),VLOOKUP(tables_457010!C260,input_457010!A:H,8,FALSE))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input_457010!A$2</f>
        <v>457010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IFERROR(VLOOKUP(B261,input_457010!L:R,7,FALSE),VLOOKUP(tables_457010!C261,input_457010!A:H,8,FALSE))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input_457010!A$2</f>
        <v>457010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IFERROR(VLOOKUP(B262,input_457010!L:R,7,FALSE),VLOOKUP(tables_457010!C262,input_457010!A:H,8,FALSE))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input_457010!A$2</f>
        <v>457010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IFERROR(VLOOKUP(B263,input_457010!L:R,7,FALSE),VLOOKUP(tables_457010!C263,input_457010!A:H,8,FALSE))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input_457010!A$2</f>
        <v>457010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IFERROR(VLOOKUP(B264,input_457010!L:R,7,FALSE),VLOOKUP(tables_457010!C264,input_457010!A:H,8,FALSE))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input_457010!A$2</f>
        <v>457010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IFERROR(VLOOKUP(B265,input_457010!L:R,7,FALSE),VLOOKUP(tables_457010!C265,input_457010!A:H,8,FALSE))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input_457010!A$2</f>
        <v>457010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IFERROR(VLOOKUP(B266,input_457010!L:R,7,FALSE),VLOOKUP(tables_457010!C266,input_457010!A:H,8,FALSE))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input_457010!A$2</f>
        <v>457010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IFERROR(VLOOKUP(B267,input_457010!L:R,7,FALSE),VLOOKUP(tables_457010!C267,input_457010!A:H,8,FALSE))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input_457010!A$2</f>
        <v>457010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IFERROR(VLOOKUP(B268,input_457010!L:R,7,FALSE),VLOOKUP(tables_457010!C268,input_457010!A:H,8,FALSE))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input_457010!A$2</f>
        <v>457010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IFERROR(VLOOKUP(B269,input_457010!L:R,7,FALSE),VLOOKUP(tables_457010!C269,input_457010!A:H,8,FALSE))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input_457010!A$2</f>
        <v>457010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IFERROR(VLOOKUP(B270,input_457010!L:R,7,FALSE),VLOOKUP(tables_457010!C270,input_457010!A:H,8,FALSE))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input_457010!A$2</f>
        <v>457010</v>
      </c>
      <c r="B271" s="78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IFERROR(VLOOKUP(B271,input_457010!L:R,7,FALSE),VLOOKUP(tables_457010!C271,input_457010!A:H,8,FALSE))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input_457010!A$2</f>
        <v>457010</v>
      </c>
      <c r="B272" s="78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IFERROR(VLOOKUP(B272,input_457010!L:R,7,FALSE),VLOOKUP(tables_457010!C272,input_457010!A:H,8,FALSE))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input_457010!A$2</f>
        <v>457010</v>
      </c>
      <c r="B273" s="78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IFERROR(VLOOKUP(B273,input_457010!L:R,7,FALSE),VLOOKUP(tables_457010!C273,input_457010!A:H,8,FALSE))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input_457010!A$2</f>
        <v>457010</v>
      </c>
      <c r="B274" s="78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IFERROR(VLOOKUP(B274,input_457010!L:R,7,FALSE),VLOOKUP(tables_457010!C274,input_457010!A:H,8,FALSE))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input_457010!A$2</f>
        <v>457010</v>
      </c>
      <c r="B275" s="78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IFERROR(VLOOKUP(B275,input_457010!L:R,7,FALSE),VLOOKUP(tables_457010!C275,input_457010!A:H,8,FALSE))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input_457010!A$2</f>
        <v>457010</v>
      </c>
      <c r="B276" s="78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IFERROR(VLOOKUP(B276,input_457010!L:R,7,FALSE),VLOOKUP(tables_457010!C276,input_457010!A:H,8,FALSE))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input_457010!A$2</f>
        <v>457010</v>
      </c>
      <c r="B277" s="78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IFERROR(VLOOKUP(B277,input_457010!L:R,7,FALSE),VLOOKUP(tables_457010!C277,input_457010!A:H,8,FALSE))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input_457010!A$2</f>
        <v>457010</v>
      </c>
      <c r="B278" s="78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IFERROR(VLOOKUP(B278,input_457010!L:R,7,FALSE),VLOOKUP(tables_457010!C278,input_457010!A:H,8,FALSE))</f>
        <v>199500</v>
      </c>
      <c r="P278" s="46">
        <f t="shared" ca="1" si="13"/>
        <v>5.1075268817348E-3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input_457010!A$2</f>
        <v>457010</v>
      </c>
      <c r="B279" s="78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IFERROR(VLOOKUP(B279,input_457010!L:R,7,FALSE),VLOOKUP(tables_457010!C279,input_457010!A:H,8,FALSE))</f>
        <v>164526.92308000001</v>
      </c>
      <c r="P279" s="46">
        <f t="shared" ca="1" si="13"/>
        <v>4.2121588090236282E-3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input_457010!A$2</f>
        <v>457010</v>
      </c>
      <c r="B280" s="78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IFERROR(VLOOKUP(B280,input_457010!L:R,7,FALSE),VLOOKUP(tables_457010!C280,input_457010!A:H,8,FALSE))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input_457010!A$2</f>
        <v>457010</v>
      </c>
      <c r="B281" s="78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IFERROR(VLOOKUP(B281,input_457010!L:R,7,FALSE),VLOOKUP(tables_457010!C281,input_457010!A:H,8,FALSE))</f>
        <v>199500</v>
      </c>
      <c r="P281" s="46">
        <f t="shared" ca="1" si="13"/>
        <v>5.1075268817348E-3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input_457010!A$2</f>
        <v>457010</v>
      </c>
      <c r="B282" s="78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IFERROR(VLOOKUP(B282,input_457010!L:R,7,FALSE),VLOOKUP(tables_457010!C282,input_457010!A:H,8,FALSE))</f>
        <v>164526.92308000001</v>
      </c>
      <c r="P282" s="46">
        <f t="shared" ca="1" si="13"/>
        <v>4.2121588090236282E-3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input_457010!A$2</f>
        <v>457010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IFERROR(VLOOKUP(B283,input_457010!L:R,7,FALSE),VLOOKUP(tables_457010!C283,input_457010!A:H,8,FALSE))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input_457010!A$2</f>
        <v>457010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IFERROR(VLOOKUP(B284,input_457010!L:R,7,FALSE),VLOOKUP(tables_457010!C284,input_457010!A:H,8,FALSE))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input_457010!A$2</f>
        <v>457010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IFERROR(VLOOKUP(B285,input_457010!L:R,7,FALSE),VLOOKUP(tables_457010!C285,input_457010!A:H,8,FALSE))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input_457010!A$2</f>
        <v>457010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IFERROR(VLOOKUP(B286,input_457010!L:R,7,FALSE),VLOOKUP(tables_457010!C286,input_457010!A:H,8,FALSE))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input_457010!A$2</f>
        <v>457010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IFERROR(VLOOKUP(B287,input_457010!L:R,7,FALSE),VLOOKUP(tables_457010!C287,input_457010!A:H,8,FALSE))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input_457010!A$2</f>
        <v>457010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IFERROR(VLOOKUP(B288,input_457010!L:R,7,FALSE),VLOOKUP(tables_457010!C288,input_457010!A:H,8,FALSE))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input_457010!A$2</f>
        <v>457010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IFERROR(VLOOKUP(B289,input_457010!L:R,7,FALSE),VLOOKUP(tables_457010!C289,input_457010!A:H,8,FALSE))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input_457010!A$2</f>
        <v>457010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IFERROR(VLOOKUP(B290,input_457010!L:R,7,FALSE),VLOOKUP(tables_457010!C290,input_457010!A:H,8,FALSE))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input_457010!A$2</f>
        <v>457010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IFERROR(VLOOKUP(B291,input_457010!L:R,7,FALSE),VLOOKUP(tables_457010!C291,input_457010!A:H,8,FALSE))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input_457010!A$2</f>
        <v>457010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IFERROR(VLOOKUP(B292,input_457010!L:R,7,FALSE),VLOOKUP(tables_457010!C292,input_457010!A:H,8,FALSE))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input_457010!A$2</f>
        <v>457010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IFERROR(VLOOKUP(B293,input_457010!L:R,7,FALSE),VLOOKUP(tables_457010!C293,input_457010!A:H,8,FALSE))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input_457010!A$2</f>
        <v>457010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IFERROR(VLOOKUP(B294,input_457010!L:R,7,FALSE),VLOOKUP(tables_457010!C294,input_457010!A:H,8,FALSE))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input_457010!A$2</f>
        <v>457010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IFERROR(VLOOKUP(B295,input_457010!L:R,7,FALSE),VLOOKUP(tables_457010!C295,input_457010!A:H,8,FALSE))</f>
        <v>31000</v>
      </c>
      <c r="P295" s="46">
        <f t="shared" ca="1" si="13"/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input_457010!A$2</f>
        <v>457010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IFERROR(VLOOKUP(B296,input_457010!L:R,7,FALSE),VLOOKUP(tables_457010!C296,input_457010!A:H,8,FALSE))</f>
        <v>31000</v>
      </c>
      <c r="P296" s="46">
        <f t="shared" ca="1" si="13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input_457010!A$2</f>
        <v>457010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IFERROR(VLOOKUP(B297,input_457010!L:R,7,FALSE),VLOOKUP(tables_457010!C297,input_457010!A:H,8,FALSE))</f>
        <v>372008.82352999999</v>
      </c>
      <c r="P297" s="46">
        <f t="shared" ca="1" si="13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input_457010!A$2</f>
        <v>457010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IFERROR(VLOOKUP(B298,input_457010!L:R,7,FALSE),VLOOKUP(tables_457010!C298,input_457010!A:H,8,FALSE))</f>
        <v>19950</v>
      </c>
      <c r="P298" s="46">
        <f t="shared" ca="1" si="13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input_457010!A$2</f>
        <v>457010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IFERROR(VLOOKUP(B299,input_457010!L:R,7,FALSE),VLOOKUP(tables_457010!C299,input_457010!A:H,8,FALSE))</f>
        <v>31000</v>
      </c>
      <c r="P299" s="46">
        <f t="shared" ca="1" si="13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input_457010!A$2</f>
        <v>457010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IFERROR(VLOOKUP(B300,input_457010!L:R,7,FALSE),VLOOKUP(tables_457010!C300,input_457010!A:H,8,FALSE))</f>
        <v>31000</v>
      </c>
      <c r="P300" s="46">
        <f t="shared" ca="1" si="13"/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input_457010!A$2</f>
        <v>457010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IFERROR(VLOOKUP(B301,input_457010!L:R,7,FALSE),VLOOKUP(tables_457010!C301,input_457010!A:H,8,FALSE))</f>
        <v>31000</v>
      </c>
      <c r="P301" s="46">
        <f t="shared" ca="1" si="13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input_457010!A$2</f>
        <v>457010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IFERROR(VLOOKUP(B302,input_457010!L:R,7,FALSE),VLOOKUP(tables_457010!C302,input_457010!A:H,8,FALSE))</f>
        <v>31000</v>
      </c>
      <c r="P302" s="46">
        <f t="shared" ca="1" si="13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input_457010!A$2</f>
        <v>457010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IFERROR(VLOOKUP(B303,input_457010!L:R,7,FALSE),VLOOKUP(tables_457010!C303,input_457010!A:H,8,FALSE))</f>
        <v>372008.82352999999</v>
      </c>
      <c r="P303" s="46">
        <f t="shared" ca="1" si="13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input_457010!A$2</f>
        <v>457010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IFERROR(VLOOKUP(B304,input_457010!L:R,7,FALSE),VLOOKUP(tables_457010!C304,input_457010!A:H,8,FALSE))</f>
        <v>19950</v>
      </c>
      <c r="P304" s="46">
        <f t="shared" ca="1" si="13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input_457010!A$2</f>
        <v>457010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IFERROR(VLOOKUP(B305,input_457010!L:R,7,FALSE),VLOOKUP(tables_457010!C305,input_457010!A:H,8,FALSE))</f>
        <v>31000</v>
      </c>
      <c r="P305" s="46">
        <f t="shared" ca="1" si="13"/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input_457010!A$2</f>
        <v>457010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IFERROR(VLOOKUP(B306,input_457010!L:R,7,FALSE),VLOOKUP(tables_457010!C306,input_457010!A:H,8,FALSE))</f>
        <v>372008.82352999999</v>
      </c>
      <c r="P306" s="46">
        <f t="shared" ca="1" si="13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input_457010!A$2</f>
        <v>457010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IFERROR(VLOOKUP(B307,input_457010!L:R,7,FALSE),VLOOKUP(tables_457010!C307,input_457010!A:H,8,FALSE))</f>
        <v>19950</v>
      </c>
      <c r="P307" s="46">
        <f t="shared" ca="1" si="13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input_457010!A$2</f>
        <v>457010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IFERROR(VLOOKUP(B308,input_457010!L:R,7,FALSE),VLOOKUP(tables_457010!C308,input_457010!A:H,8,FALSE))</f>
        <v>31000</v>
      </c>
      <c r="P308" s="46">
        <f t="shared" ca="1" si="13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input_457010!A$2</f>
        <v>457010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IFERROR(VLOOKUP(B309,input_457010!L:R,7,FALSE),VLOOKUP(tables_457010!C309,input_457010!A:H,8,FALSE))</f>
        <v>31000</v>
      </c>
      <c r="P309" s="46">
        <f t="shared" ca="1" si="13"/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input_457010!A$2</f>
        <v>457010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IFERROR(VLOOKUP(B310,input_457010!L:R,7,FALSE),VLOOKUP(tables_457010!C310,input_457010!A:H,8,FALSE))</f>
        <v>31000</v>
      </c>
      <c r="P310" s="46">
        <f t="shared" ca="1" si="13"/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input_457010!A$2</f>
        <v>457010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IFERROR(VLOOKUP(B311,input_457010!L:R,7,FALSE),VLOOKUP(tables_457010!C311,input_457010!A:H,8,FALSE))</f>
        <v>372008.82352999999</v>
      </c>
      <c r="P311" s="46">
        <f t="shared" ca="1" si="13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input_457010!A$2</f>
        <v>457010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IFERROR(VLOOKUP(B312,input_457010!L:R,7,FALSE),VLOOKUP(tables_457010!C312,input_457010!A:H,8,FALSE))</f>
        <v>19950</v>
      </c>
      <c r="P312" s="46">
        <f t="shared" ca="1" si="13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input_457010!A$2</f>
        <v>457010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IFERROR(VLOOKUP(B313,input_457010!L:R,7,FALSE),VLOOKUP(tables_457010!C313,input_457010!A:H,8,FALSE))</f>
        <v>31000</v>
      </c>
      <c r="P313" s="46">
        <f t="shared" ca="1" si="13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input_457010!A$2</f>
        <v>457010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IFERROR(VLOOKUP(B314,input_457010!L:R,7,FALSE),VLOOKUP(tables_457010!C314,input_457010!A:H,8,FALSE))</f>
        <v>31000</v>
      </c>
      <c r="P314" s="46">
        <f t="shared" ca="1" si="13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input_457010!A$2</f>
        <v>457010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IFERROR(VLOOKUP(B315,input_457010!L:R,7,FALSE),VLOOKUP(tables_457010!C315,input_457010!A:H,8,FALSE))</f>
        <v>31000</v>
      </c>
      <c r="P315" s="46">
        <f t="shared" ca="1" si="13"/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input_457010!A$2</f>
        <v>457010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IFERROR(VLOOKUP(B316,input_457010!L:R,7,FALSE),VLOOKUP(tables_457010!C316,input_457010!A:H,8,FALSE))</f>
        <v>31000</v>
      </c>
      <c r="P316" s="46">
        <f t="shared" ca="1" si="13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input_457010!A$2</f>
        <v>457010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IFERROR(VLOOKUP(B317,input_457010!L:R,7,FALSE),VLOOKUP(tables_457010!C317,input_457010!A:H,8,FALSE))</f>
        <v>31000</v>
      </c>
      <c r="P317" s="46">
        <f t="shared" ca="1" si="13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input_457010!A$2</f>
        <v>457010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IFERROR(VLOOKUP(B318,input_457010!L:R,7,FALSE),VLOOKUP(tables_457010!C318,input_457010!A:H,8,FALSE))</f>
        <v>372008.82352999999</v>
      </c>
      <c r="P318" s="46">
        <f t="shared" ca="1" si="13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input_457010!A$2</f>
        <v>457010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IFERROR(VLOOKUP(B319,input_457010!L:R,7,FALSE),VLOOKUP(tables_457010!C319,input_457010!A:H,8,FALSE))</f>
        <v>19950</v>
      </c>
      <c r="P319" s="46">
        <f t="shared" ca="1" si="13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input_457010!A$2</f>
        <v>457010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IFERROR(VLOOKUP(B320,input_457010!L:R,7,FALSE),VLOOKUP(tables_457010!C320,input_457010!A:H,8,FALSE))</f>
        <v>31000</v>
      </c>
      <c r="P320" s="46">
        <f t="shared" ca="1" si="13"/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input_457010!A$2</f>
        <v>457010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IFERROR(VLOOKUP(B321,input_457010!L:R,7,FALSE),VLOOKUP(tables_457010!C321,input_457010!A:H,8,FALSE))</f>
        <v>31000</v>
      </c>
      <c r="P321" s="46">
        <f t="shared" ca="1" si="13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input_457010!A$2</f>
        <v>457010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IFERROR(VLOOKUP(B322,input_457010!L:R,7,FALSE),VLOOKUP(tables_457010!C322,input_457010!A:H,8,FALSE))</f>
        <v>31000</v>
      </c>
      <c r="P322" s="46">
        <f t="shared" ref="P322:P330" ca="1" si="23">O322/SUM(O:O)</f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input_457010!A$2</f>
        <v>457010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IFERROR(VLOOKUP(B323,input_457010!L:R,7,FALSE),VLOOKUP(tables_457010!C323,input_457010!A:H,8,FALSE))</f>
        <v>31000</v>
      </c>
      <c r="P323" s="46">
        <f t="shared" ca="1" si="23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input_457010!A$2</f>
        <v>457010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IFERROR(VLOOKUP(B324,input_457010!L:R,7,FALSE),VLOOKUP(tables_457010!C324,input_457010!A:H,8,FALSE))</f>
        <v>372008.82352999999</v>
      </c>
      <c r="P324" s="46">
        <f t="shared" ca="1" si="23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input_457010!A$2</f>
        <v>457010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IFERROR(VLOOKUP(B325,input_457010!L:R,7,FALSE),VLOOKUP(tables_457010!C325,input_457010!A:H,8,FALSE))</f>
        <v>19950</v>
      </c>
      <c r="P325" s="46">
        <f t="shared" ca="1" si="23"/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input_457010!A$2</f>
        <v>457010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IFERROR(VLOOKUP(B326,input_457010!L:R,7,FALSE),VLOOKUP(tables_457010!C326,input_457010!A:H,8,FALSE))</f>
        <v>372008.82352999999</v>
      </c>
      <c r="P326" s="46">
        <f t="shared" ca="1" si="23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input_457010!A$2</f>
        <v>457010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IFERROR(VLOOKUP(B327,input_457010!L:R,7,FALSE),VLOOKUP(tables_457010!C327,input_457010!A:H,8,FALSE))</f>
        <v>19950</v>
      </c>
      <c r="P327" s="46">
        <f t="shared" ca="1" si="23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input_457010!A$2</f>
        <v>457010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IFERROR(VLOOKUP(B328,input_457010!L:R,7,FALSE),VLOOKUP(tables_457010!C328,input_457010!A:H,8,FALSE))</f>
        <v>31000</v>
      </c>
      <c r="P328" s="46">
        <f t="shared" ca="1" si="23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input_457010!A$2</f>
        <v>457010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IFERROR(VLOOKUP(B329,input_457010!L:R,7,FALSE),VLOOKUP(tables_457010!C329,input_457010!A:H,8,FALSE))</f>
        <v>31000</v>
      </c>
      <c r="P329" s="46">
        <f t="shared" ca="1" si="23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input_457010!A$2</f>
        <v>457010</v>
      </c>
      <c r="B330" s="2">
        <v>1157</v>
      </c>
      <c r="C330" s="7" t="str">
        <f t="shared" si="25"/>
        <v>PremiumSS5R5only</v>
      </c>
      <c r="D330" s="92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IFERROR(VLOOKUP(B330,input_457010!L:R,7,FALSE),VLOOKUP(tables_457010!C330,input_457010!A:H,8,FALSE))</f>
        <v>31000</v>
      </c>
      <c r="P330" s="46">
        <f t="shared" ca="1" si="23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input_457010!A$2</f>
        <v>457010</v>
      </c>
      <c r="B331" s="60">
        <v>1214</v>
      </c>
      <c r="C331" s="7" t="str">
        <f t="shared" ref="C331:C335" si="26">D331&amp;J331&amp;E331&amp;F331&amp;G331</f>
        <v>PremiumSS5R5only</v>
      </c>
      <c r="D331" s="92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IFERROR(VLOOKUP(B331,input_457010!L:R,7,FALSE),VLOOKUP(tables_457010!C331,input_457010!A:H,8,FALSE))</f>
        <v>31000</v>
      </c>
      <c r="P331" s="46">
        <f t="shared" ref="P331:P335" ca="1" si="2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input_457010!A$2</f>
        <v>457010</v>
      </c>
      <c r="B332" s="60">
        <v>1212</v>
      </c>
      <c r="C332" s="7" t="str">
        <f t="shared" si="26"/>
        <v>PremiumSS5R5only</v>
      </c>
      <c r="D332" s="92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IFERROR(VLOOKUP(B332,input_457010!L:R,7,FALSE),VLOOKUP(tables_457010!C332,input_457010!A:H,8,FALSE))</f>
        <v>31000</v>
      </c>
      <c r="P332" s="46">
        <f t="shared" ca="1" si="2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input_457010!A$2</f>
        <v>457010</v>
      </c>
      <c r="B333" s="60">
        <v>1208</v>
      </c>
      <c r="C333" s="7" t="str">
        <f t="shared" si="26"/>
        <v>PremiumSS5R5only</v>
      </c>
      <c r="D333" s="92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IFERROR(VLOOKUP(B333,input_457010!L:R,7,FALSE),VLOOKUP(tables_457010!C333,input_457010!A:H,8,FALSE))</f>
        <v>31000</v>
      </c>
      <c r="P333" s="46">
        <f t="shared" ca="1" si="2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input_457010!A$2</f>
        <v>457010</v>
      </c>
      <c r="B334" s="88">
        <v>1210</v>
      </c>
      <c r="C334" s="7" t="str">
        <f t="shared" si="26"/>
        <v>Premium4R3less</v>
      </c>
      <c r="D334" s="92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IFERROR(VLOOKUP(B334,input_457010!L:R,7,FALSE),VLOOKUP(tables_457010!C334,input_457010!A:H,8,FALSE))</f>
        <v>372008.82352999999</v>
      </c>
      <c r="P334" s="46">
        <f t="shared" ca="1" si="2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input_457010!A$2</f>
        <v>457010</v>
      </c>
      <c r="B335" s="60">
        <v>1211</v>
      </c>
      <c r="C335" s="7" t="str">
        <f t="shared" si="26"/>
        <v>Premium5R3less</v>
      </c>
      <c r="D335" s="92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IFERROR(VLOOKUP(B335,input_457010!L:R,7,FALSE),VLOOKUP(tables_457010!C335,input_457010!A:H,8,FALSE))</f>
        <v>19950</v>
      </c>
      <c r="P335" s="46">
        <f t="shared" ca="1" si="2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input_457010!A$2</f>
        <v>457010</v>
      </c>
      <c r="B336" s="2">
        <v>1224</v>
      </c>
      <c r="C336" s="7" t="str">
        <f t="shared" ref="C336:C340" si="29">D336&amp;J336&amp;E336&amp;F336&amp;G336</f>
        <v>Premium4R3less</v>
      </c>
      <c r="D336" s="92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IFERROR(VLOOKUP(B336,input_457010!L:R,7,FALSE),VLOOKUP(tables_457010!C336,input_457010!A:H,8,FALSE))</f>
        <v>372008.82352999999</v>
      </c>
      <c r="P336" s="46">
        <f t="shared" ref="P336:P340" ca="1" si="3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input_457010!A$2</f>
        <v>457010</v>
      </c>
      <c r="B337" s="2">
        <v>1225</v>
      </c>
      <c r="C337" s="7" t="str">
        <f t="shared" si="29"/>
        <v>Premium5R3less</v>
      </c>
      <c r="D337" s="92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IFERROR(VLOOKUP(B337,input_457010!L:R,7,FALSE),VLOOKUP(tables_457010!C337,input_457010!A:H,8,FALSE))</f>
        <v>19950</v>
      </c>
      <c r="P337" s="46">
        <f t="shared" ca="1" si="3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input_457010!A$2</f>
        <v>457010</v>
      </c>
      <c r="B338" s="2">
        <v>1226</v>
      </c>
      <c r="C338" s="7" t="str">
        <f t="shared" si="29"/>
        <v>PremiumSS5R5only</v>
      </c>
      <c r="D338" s="92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IFERROR(VLOOKUP(B338,input_457010!L:R,7,FALSE),VLOOKUP(tables_457010!C338,input_457010!A:H,8,FALSE))</f>
        <v>31000</v>
      </c>
      <c r="P338" s="46">
        <f t="shared" ca="1" si="3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input_457010!A$2</f>
        <v>457010</v>
      </c>
      <c r="B339" s="2">
        <v>1228</v>
      </c>
      <c r="C339" s="7" t="str">
        <f t="shared" si="29"/>
        <v>PremiumSS5R5only</v>
      </c>
      <c r="D339" s="92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IFERROR(VLOOKUP(B339,input_457010!L:R,7,FALSE),VLOOKUP(tables_457010!C339,input_457010!A:H,8,FALSE))</f>
        <v>31000</v>
      </c>
      <c r="P339" s="46">
        <f t="shared" ca="1" si="3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input_457010!A$2</f>
        <v>457010</v>
      </c>
      <c r="B340" s="2">
        <v>1230</v>
      </c>
      <c r="C340" s="7" t="str">
        <f t="shared" si="29"/>
        <v>PremiumSS5R5only</v>
      </c>
      <c r="D340" s="92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IFERROR(VLOOKUP(B340,input_457010!L:R,7,FALSE),VLOOKUP(tables_457010!C340,input_457010!A:H,8,FALSE))</f>
        <v>31000</v>
      </c>
      <c r="P340" s="46">
        <f t="shared" ca="1" si="3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146"/>
  <sheetViews>
    <sheetView showGridLines="0" zoomScale="75" zoomScaleNormal="75" zoomScalePageLayoutView="75" workbookViewId="0">
      <pane ySplit="1" topLeftCell="A135" activePane="bottomLeft" state="frozen"/>
      <selection activeCell="D34" sqref="D34"/>
      <selection pane="bottomLeft" activeCell="H150" sqref="H15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457018</v>
      </c>
      <c r="B2" s="5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 t="shared" ref="O2:O67" si="1">IF(D2="PremiumSS",79,1197)</f>
        <v>1197</v>
      </c>
      <c r="P2" s="46">
        <f t="shared" ref="P2:P33" si="2">O2/SUM(O:O)</f>
        <v>1.2025316455696202E-2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457018</v>
      </c>
      <c r="B3" s="5">
        <v>171</v>
      </c>
      <c r="C3" s="7" t="str">
        <f t="shared" si="0"/>
        <v>Premium5R6release</v>
      </c>
      <c r="D3" s="7" t="str">
        <f t="shared" ref="D3:D66" si="3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si="1"/>
        <v>1197</v>
      </c>
      <c r="P3" s="46">
        <f t="shared" si="2"/>
        <v>1.2025316455696202E-2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457018</v>
      </c>
      <c r="B4" s="5">
        <v>174</v>
      </c>
      <c r="C4" s="7" t="str">
        <f t="shared" si="0"/>
        <v>Premium5R6release</v>
      </c>
      <c r="D4" s="7" t="str">
        <f t="shared" si="3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1"/>
        <v>1197</v>
      </c>
      <c r="P4" s="46">
        <f t="shared" si="2"/>
        <v>1.2025316455696202E-2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457018</v>
      </c>
      <c r="B5" s="5">
        <v>177</v>
      </c>
      <c r="C5" s="7" t="str">
        <f t="shared" si="0"/>
        <v>Premium5</v>
      </c>
      <c r="D5" s="7" t="str">
        <f t="shared" si="3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1"/>
        <v>1197</v>
      </c>
      <c r="P5" s="46">
        <f t="shared" si="2"/>
        <v>1.2025316455696202E-2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457018</v>
      </c>
      <c r="B6" s="5">
        <v>180</v>
      </c>
      <c r="C6" s="7" t="str">
        <f t="shared" si="0"/>
        <v>Premium5</v>
      </c>
      <c r="D6" s="7" t="str">
        <f t="shared" si="3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1"/>
        <v>1197</v>
      </c>
      <c r="P6" s="46">
        <f t="shared" si="2"/>
        <v>1.2025316455696202E-2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457018</v>
      </c>
      <c r="B7" s="2">
        <v>183</v>
      </c>
      <c r="C7" s="7" t="str">
        <f t="shared" si="0"/>
        <v>Premium5</v>
      </c>
      <c r="D7" s="7" t="str">
        <f t="shared" si="3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1"/>
        <v>1197</v>
      </c>
      <c r="P7" s="46">
        <f t="shared" si="2"/>
        <v>1.2025316455696202E-2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457018</v>
      </c>
      <c r="B8" s="2">
        <v>186</v>
      </c>
      <c r="C8" s="7" t="str">
        <f t="shared" si="0"/>
        <v>Premium5</v>
      </c>
      <c r="D8" s="7" t="str">
        <f t="shared" si="3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1"/>
        <v>1197</v>
      </c>
      <c r="P8" s="46">
        <f t="shared" si="2"/>
        <v>1.2025316455696202E-2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457018</v>
      </c>
      <c r="B9" s="2">
        <v>189</v>
      </c>
      <c r="C9" s="7" t="str">
        <f t="shared" si="0"/>
        <v>Premium5</v>
      </c>
      <c r="D9" s="7" t="str">
        <f t="shared" si="3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1"/>
        <v>1197</v>
      </c>
      <c r="P9" s="46">
        <f t="shared" si="2"/>
        <v>1.2025316455696202E-2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457018</v>
      </c>
      <c r="B10" s="2">
        <v>192</v>
      </c>
      <c r="C10" s="7" t="str">
        <f t="shared" si="0"/>
        <v>Premium5</v>
      </c>
      <c r="D10" s="7" t="str">
        <f t="shared" si="3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1"/>
        <v>1197</v>
      </c>
      <c r="P10" s="46">
        <f t="shared" si="2"/>
        <v>1.2025316455696202E-2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457018</v>
      </c>
      <c r="B11" s="2">
        <v>195</v>
      </c>
      <c r="C11" s="7" t="str">
        <f t="shared" si="0"/>
        <v>Premium5</v>
      </c>
      <c r="D11" s="7" t="str">
        <f t="shared" si="3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1"/>
        <v>1197</v>
      </c>
      <c r="P11" s="46">
        <f t="shared" si="2"/>
        <v>1.2025316455696202E-2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457018</v>
      </c>
      <c r="B12" s="2">
        <v>198</v>
      </c>
      <c r="C12" s="7" t="str">
        <f t="shared" si="0"/>
        <v>Premium5</v>
      </c>
      <c r="D12" s="7" t="str">
        <f t="shared" si="3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1"/>
        <v>1197</v>
      </c>
      <c r="P12" s="46">
        <f t="shared" si="2"/>
        <v>1.2025316455696202E-2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457018</v>
      </c>
      <c r="B13" s="2">
        <v>201</v>
      </c>
      <c r="C13" s="7" t="str">
        <f t="shared" si="0"/>
        <v>Premium5</v>
      </c>
      <c r="D13" s="7" t="str">
        <f t="shared" si="3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1"/>
        <v>1197</v>
      </c>
      <c r="P13" s="46">
        <f t="shared" si="2"/>
        <v>1.2025316455696202E-2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457018</v>
      </c>
      <c r="B14" s="2">
        <v>204</v>
      </c>
      <c r="C14" s="7" t="str">
        <f t="shared" si="0"/>
        <v>Premium5</v>
      </c>
      <c r="D14" s="7" t="str">
        <f t="shared" si="3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1"/>
        <v>1197</v>
      </c>
      <c r="P14" s="46">
        <f t="shared" si="2"/>
        <v>1.2025316455696202E-2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457018</v>
      </c>
      <c r="B15" s="2">
        <v>207</v>
      </c>
      <c r="C15" s="7" t="str">
        <f t="shared" si="0"/>
        <v>Premium5</v>
      </c>
      <c r="D15" s="7" t="str">
        <f t="shared" si="3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1"/>
        <v>1197</v>
      </c>
      <c r="P15" s="46">
        <f t="shared" si="2"/>
        <v>1.2025316455696202E-2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457018</v>
      </c>
      <c r="B16" s="2">
        <v>210</v>
      </c>
      <c r="C16" s="7" t="str">
        <f t="shared" si="0"/>
        <v>Premium5</v>
      </c>
      <c r="D16" s="7" t="str">
        <f t="shared" si="3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1"/>
        <v>1197</v>
      </c>
      <c r="P16" s="46">
        <f t="shared" si="2"/>
        <v>1.2025316455696202E-2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457018</v>
      </c>
      <c r="B17" s="2">
        <v>213</v>
      </c>
      <c r="C17" s="7" t="str">
        <f t="shared" si="0"/>
        <v>Premium5</v>
      </c>
      <c r="D17" s="7" t="str">
        <f t="shared" si="3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1"/>
        <v>1197</v>
      </c>
      <c r="P17" s="46">
        <f t="shared" si="2"/>
        <v>1.2025316455696202E-2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457018</v>
      </c>
      <c r="B18" s="2">
        <v>216</v>
      </c>
      <c r="C18" s="7" t="str">
        <f t="shared" si="0"/>
        <v>Premium5</v>
      </c>
      <c r="D18" s="7" t="str">
        <f t="shared" si="3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1"/>
        <v>1197</v>
      </c>
      <c r="P18" s="46">
        <f t="shared" si="2"/>
        <v>1.2025316455696202E-2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457018</v>
      </c>
      <c r="B19" s="2">
        <v>219</v>
      </c>
      <c r="C19" s="7" t="str">
        <f t="shared" si="0"/>
        <v>Premium5</v>
      </c>
      <c r="D19" s="7" t="str">
        <f t="shared" si="3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1"/>
        <v>1197</v>
      </c>
      <c r="P19" s="46">
        <f t="shared" si="2"/>
        <v>1.2025316455696202E-2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457018</v>
      </c>
      <c r="B20" s="2">
        <v>222</v>
      </c>
      <c r="C20" s="7" t="str">
        <f t="shared" si="0"/>
        <v>Premium5</v>
      </c>
      <c r="D20" s="7" t="str">
        <f t="shared" si="3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1"/>
        <v>1197</v>
      </c>
      <c r="P20" s="46">
        <f t="shared" si="2"/>
        <v>1.2025316455696202E-2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457018</v>
      </c>
      <c r="B21" s="2">
        <v>225</v>
      </c>
      <c r="C21" s="7" t="str">
        <f t="shared" si="0"/>
        <v>Premium5</v>
      </c>
      <c r="D21" s="7" t="str">
        <f t="shared" si="3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1"/>
        <v>1197</v>
      </c>
      <c r="P21" s="46">
        <f t="shared" si="2"/>
        <v>1.2025316455696202E-2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457018</v>
      </c>
      <c r="B22" s="2">
        <v>228</v>
      </c>
      <c r="C22" s="7" t="str">
        <f t="shared" si="0"/>
        <v>Premium5</v>
      </c>
      <c r="D22" s="7" t="str">
        <f t="shared" si="3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1"/>
        <v>1197</v>
      </c>
      <c r="P22" s="46">
        <f t="shared" si="2"/>
        <v>1.2025316455696202E-2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457018</v>
      </c>
      <c r="B23" s="2">
        <v>231</v>
      </c>
      <c r="C23" s="7" t="str">
        <f t="shared" si="0"/>
        <v>Premium5</v>
      </c>
      <c r="D23" s="7" t="str">
        <f t="shared" si="3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1"/>
        <v>1197</v>
      </c>
      <c r="P23" s="46">
        <f t="shared" si="2"/>
        <v>1.2025316455696202E-2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457018</v>
      </c>
      <c r="B24" s="2">
        <v>234</v>
      </c>
      <c r="C24" s="7" t="str">
        <f t="shared" si="0"/>
        <v>Premium5</v>
      </c>
      <c r="D24" s="7" t="str">
        <f t="shared" si="3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1"/>
        <v>1197</v>
      </c>
      <c r="P24" s="46">
        <f t="shared" si="2"/>
        <v>1.2025316455696202E-2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457018</v>
      </c>
      <c r="B25" s="2">
        <v>237</v>
      </c>
      <c r="C25" s="7" t="str">
        <f t="shared" si="0"/>
        <v>Premium5R6release</v>
      </c>
      <c r="D25" s="7" t="str">
        <f t="shared" si="3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1"/>
        <v>1197</v>
      </c>
      <c r="P25" s="46">
        <f t="shared" si="2"/>
        <v>1.2025316455696202E-2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457018</v>
      </c>
      <c r="B26" s="2">
        <v>240</v>
      </c>
      <c r="C26" s="7" t="str">
        <f t="shared" si="0"/>
        <v>Premium5</v>
      </c>
      <c r="D26" s="7" t="str">
        <f t="shared" si="3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1"/>
        <v>1197</v>
      </c>
      <c r="P26" s="46">
        <f t="shared" si="2"/>
        <v>1.2025316455696202E-2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457018</v>
      </c>
      <c r="B27" s="2">
        <v>243</v>
      </c>
      <c r="C27" s="7" t="str">
        <f t="shared" si="0"/>
        <v>Premium5</v>
      </c>
      <c r="D27" s="7" t="str">
        <f t="shared" si="3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1"/>
        <v>1197</v>
      </c>
      <c r="P27" s="46">
        <f t="shared" si="2"/>
        <v>1.2025316455696202E-2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457018</v>
      </c>
      <c r="B28" s="2">
        <v>246</v>
      </c>
      <c r="C28" s="7" t="str">
        <f t="shared" si="0"/>
        <v>Premium5</v>
      </c>
      <c r="D28" s="7" t="str">
        <f t="shared" si="3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1"/>
        <v>1197</v>
      </c>
      <c r="P28" s="46">
        <f t="shared" si="2"/>
        <v>1.2025316455696202E-2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457018</v>
      </c>
      <c r="B29" s="2">
        <v>249</v>
      </c>
      <c r="C29" s="7" t="str">
        <f t="shared" si="0"/>
        <v>Premium5</v>
      </c>
      <c r="D29" s="7" t="str">
        <f t="shared" si="3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1"/>
        <v>1197</v>
      </c>
      <c r="P29" s="46">
        <f t="shared" si="2"/>
        <v>1.2025316455696202E-2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457018</v>
      </c>
      <c r="B30" s="2">
        <v>252</v>
      </c>
      <c r="C30" s="7" t="str">
        <f t="shared" si="0"/>
        <v>Premium5</v>
      </c>
      <c r="D30" s="7" t="str">
        <f t="shared" si="3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1"/>
        <v>1197</v>
      </c>
      <c r="P30" s="46">
        <f t="shared" si="2"/>
        <v>1.2025316455696202E-2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457018</v>
      </c>
      <c r="B31" s="2">
        <v>255</v>
      </c>
      <c r="C31" s="7" t="str">
        <f t="shared" si="0"/>
        <v>Premium5</v>
      </c>
      <c r="D31" s="7" t="str">
        <f t="shared" si="3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1"/>
        <v>1197</v>
      </c>
      <c r="P31" s="46">
        <f t="shared" si="2"/>
        <v>1.2025316455696202E-2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457018</v>
      </c>
      <c r="B32" s="2">
        <v>258</v>
      </c>
      <c r="C32" s="7" t="str">
        <f t="shared" si="0"/>
        <v>Premium5</v>
      </c>
      <c r="D32" s="7" t="str">
        <f t="shared" si="3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1"/>
        <v>1197</v>
      </c>
      <c r="P32" s="46">
        <f t="shared" si="2"/>
        <v>1.2025316455696202E-2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457018</v>
      </c>
      <c r="B33" s="2">
        <v>261</v>
      </c>
      <c r="C33" s="7" t="str">
        <f t="shared" si="0"/>
        <v>Premium5</v>
      </c>
      <c r="D33" s="7" t="str">
        <f t="shared" si="3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1"/>
        <v>1197</v>
      </c>
      <c r="P33" s="46">
        <f t="shared" si="2"/>
        <v>1.2025316455696202E-2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457018</v>
      </c>
      <c r="B34" s="2">
        <v>321</v>
      </c>
      <c r="C34" s="7" t="str">
        <f t="shared" si="0"/>
        <v>PremiumSS5</v>
      </c>
      <c r="D34" s="7" t="str">
        <f t="shared" si="3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1"/>
        <v>79</v>
      </c>
      <c r="P34" s="46">
        <f t="shared" ref="P34:P65" si="4">O34/SUM(O:O)</f>
        <v>7.9365079365079365E-4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457018</v>
      </c>
      <c r="B35" s="2">
        <v>323</v>
      </c>
      <c r="C35" s="7" t="str">
        <f t="shared" si="0"/>
        <v>PremiumSS5</v>
      </c>
      <c r="D35" s="7" t="str">
        <f t="shared" si="3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1"/>
        <v>79</v>
      </c>
      <c r="P35" s="46">
        <f t="shared" si="4"/>
        <v>7.9365079365079365E-4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457018</v>
      </c>
      <c r="B36" s="2">
        <v>325</v>
      </c>
      <c r="C36" s="7" t="str">
        <f t="shared" si="0"/>
        <v>PremiumSS5</v>
      </c>
      <c r="D36" s="7" t="str">
        <f t="shared" si="3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1"/>
        <v>79</v>
      </c>
      <c r="P36" s="46">
        <f t="shared" si="4"/>
        <v>7.9365079365079365E-4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457018</v>
      </c>
      <c r="B37" s="2">
        <v>327</v>
      </c>
      <c r="C37" s="7" t="str">
        <f t="shared" si="0"/>
        <v>PremiumSS5</v>
      </c>
      <c r="D37" s="7" t="str">
        <f t="shared" si="3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1"/>
        <v>79</v>
      </c>
      <c r="P37" s="46">
        <f t="shared" si="4"/>
        <v>7.9365079365079365E-4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457018</v>
      </c>
      <c r="B38" s="2">
        <v>382</v>
      </c>
      <c r="C38" s="7" t="str">
        <f t="shared" si="0"/>
        <v>Premium5</v>
      </c>
      <c r="D38" s="7" t="str">
        <f t="shared" si="3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1"/>
        <v>1197</v>
      </c>
      <c r="P38" s="46">
        <f t="shared" si="4"/>
        <v>1.2025316455696202E-2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457018</v>
      </c>
      <c r="B39" s="2">
        <v>384</v>
      </c>
      <c r="C39" s="7" t="str">
        <f t="shared" si="0"/>
        <v>PremiumSS5</v>
      </c>
      <c r="D39" s="7" t="str">
        <f t="shared" si="3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1"/>
        <v>79</v>
      </c>
      <c r="P39" s="46">
        <f t="shared" si="4"/>
        <v>7.9365079365079365E-4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457018</v>
      </c>
      <c r="B40" s="2">
        <v>386</v>
      </c>
      <c r="C40" s="7" t="str">
        <f t="shared" si="0"/>
        <v>PremiumSS5</v>
      </c>
      <c r="D40" s="7" t="str">
        <f t="shared" si="3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1"/>
        <v>79</v>
      </c>
      <c r="P40" s="46">
        <f t="shared" si="4"/>
        <v>7.9365079365079365E-4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457018</v>
      </c>
      <c r="B41" s="2">
        <v>389</v>
      </c>
      <c r="C41" s="7" t="str">
        <f t="shared" si="0"/>
        <v>Premium5</v>
      </c>
      <c r="D41" s="7" t="str">
        <f t="shared" si="3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1"/>
        <v>1197</v>
      </c>
      <c r="P41" s="46">
        <f t="shared" si="4"/>
        <v>1.2025316455696202E-2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457018</v>
      </c>
      <c r="B42" s="2">
        <v>391</v>
      </c>
      <c r="C42" s="7" t="str">
        <f t="shared" si="0"/>
        <v>PremiumSS5</v>
      </c>
      <c r="D42" s="7" t="str">
        <f t="shared" si="3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1"/>
        <v>79</v>
      </c>
      <c r="P42" s="46">
        <f t="shared" si="4"/>
        <v>7.9365079365079365E-4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457018</v>
      </c>
      <c r="B43" s="2">
        <v>394</v>
      </c>
      <c r="C43" s="7" t="str">
        <f t="shared" si="0"/>
        <v>Premium5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1"/>
        <v>1197</v>
      </c>
      <c r="P43" s="46">
        <f t="shared" si="4"/>
        <v>1.2025316455696202E-2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457018</v>
      </c>
      <c r="B44" s="2">
        <v>397</v>
      </c>
      <c r="C44" s="7" t="str">
        <f t="shared" si="0"/>
        <v>Premium5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1"/>
        <v>1197</v>
      </c>
      <c r="P44" s="46">
        <f t="shared" si="4"/>
        <v>1.2025316455696202E-2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457018</v>
      </c>
      <c r="B45" s="2">
        <v>399</v>
      </c>
      <c r="C45" s="7" t="str">
        <f t="shared" si="0"/>
        <v>PremiumSS5</v>
      </c>
      <c r="D45" s="7" t="str">
        <f t="shared" si="3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1"/>
        <v>79</v>
      </c>
      <c r="P45" s="46">
        <f t="shared" si="4"/>
        <v>7.9365079365079365E-4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457018</v>
      </c>
      <c r="B46" s="2">
        <v>402</v>
      </c>
      <c r="C46" s="7" t="str">
        <f t="shared" si="0"/>
        <v>Premium5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1"/>
        <v>1197</v>
      </c>
      <c r="P46" s="46">
        <f t="shared" si="4"/>
        <v>1.2025316455696202E-2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457018</v>
      </c>
      <c r="B47" s="2">
        <v>404</v>
      </c>
      <c r="C47" s="7" t="str">
        <f t="shared" si="0"/>
        <v>PremiumSS5</v>
      </c>
      <c r="D47" s="7" t="str">
        <f t="shared" si="3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1"/>
        <v>79</v>
      </c>
      <c r="P47" s="46">
        <f t="shared" si="4"/>
        <v>7.9365079365079365E-4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457018</v>
      </c>
      <c r="B48" s="2">
        <v>407</v>
      </c>
      <c r="C48" s="7" t="str">
        <f t="shared" si="0"/>
        <v>Premium5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1"/>
        <v>1197</v>
      </c>
      <c r="P48" s="46">
        <f t="shared" si="4"/>
        <v>1.2025316455696202E-2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457018</v>
      </c>
      <c r="B49" s="2">
        <v>409</v>
      </c>
      <c r="C49" s="7" t="str">
        <f t="shared" si="0"/>
        <v>PremiumSS5</v>
      </c>
      <c r="D49" s="7" t="str">
        <f t="shared" si="3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1"/>
        <v>79</v>
      </c>
      <c r="P49" s="46">
        <f t="shared" si="4"/>
        <v>7.9365079365079365E-4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457018</v>
      </c>
      <c r="B50" s="2">
        <v>435</v>
      </c>
      <c r="C50" s="7" t="str">
        <f t="shared" si="0"/>
        <v>PremiumSS5</v>
      </c>
      <c r="D50" s="7" t="str">
        <f t="shared" si="3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1"/>
        <v>79</v>
      </c>
      <c r="P50" s="46">
        <f t="shared" si="4"/>
        <v>7.9365079365079365E-4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457018</v>
      </c>
      <c r="B51" s="2">
        <v>438</v>
      </c>
      <c r="C51" s="7" t="str">
        <f t="shared" si="0"/>
        <v>Premium5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1"/>
        <v>1197</v>
      </c>
      <c r="P51" s="46">
        <f t="shared" si="4"/>
        <v>1.2025316455696202E-2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457018</v>
      </c>
      <c r="B52" s="2">
        <v>441</v>
      </c>
      <c r="C52" s="7" t="str">
        <f t="shared" si="0"/>
        <v>Premium5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1"/>
        <v>1197</v>
      </c>
      <c r="P52" s="46">
        <f t="shared" si="4"/>
        <v>1.2025316455696202E-2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457018</v>
      </c>
      <c r="B53" s="2">
        <v>443</v>
      </c>
      <c r="C53" s="7" t="str">
        <f t="shared" si="0"/>
        <v>PremiumSS5</v>
      </c>
      <c r="D53" s="7" t="str">
        <f t="shared" si="3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1"/>
        <v>79</v>
      </c>
      <c r="P53" s="46">
        <f t="shared" si="4"/>
        <v>7.9365079365079365E-4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457018</v>
      </c>
      <c r="B54" s="2">
        <v>464</v>
      </c>
      <c r="C54" s="7" t="str">
        <f t="shared" si="0"/>
        <v>Premium5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1"/>
        <v>1197</v>
      </c>
      <c r="P54" s="46">
        <f t="shared" si="4"/>
        <v>1.2025316455696202E-2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457018</v>
      </c>
      <c r="B55" s="2">
        <v>466</v>
      </c>
      <c r="C55" s="7" t="str">
        <f t="shared" si="0"/>
        <v>PremiumSS5</v>
      </c>
      <c r="D55" s="7" t="str">
        <f t="shared" si="3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1"/>
        <v>79</v>
      </c>
      <c r="P55" s="46">
        <f t="shared" si="4"/>
        <v>7.9365079365079365E-4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457018</v>
      </c>
      <c r="B56" s="2">
        <v>468</v>
      </c>
      <c r="C56" s="7" t="str">
        <f t="shared" si="0"/>
        <v>PremiumSS5</v>
      </c>
      <c r="D56" s="7" t="str">
        <f t="shared" si="3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1"/>
        <v>79</v>
      </c>
      <c r="P56" s="46">
        <f t="shared" si="4"/>
        <v>7.9365079365079365E-4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457018</v>
      </c>
      <c r="B57" s="2">
        <v>471</v>
      </c>
      <c r="C57" s="7" t="str">
        <f t="shared" si="0"/>
        <v>Premium5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1"/>
        <v>1197</v>
      </c>
      <c r="P57" s="46">
        <f t="shared" si="4"/>
        <v>1.2025316455696202E-2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457018</v>
      </c>
      <c r="B58" s="2">
        <v>475</v>
      </c>
      <c r="C58" s="7" t="str">
        <f t="shared" si="0"/>
        <v>PremiumSS5</v>
      </c>
      <c r="D58" s="7" t="str">
        <f t="shared" si="3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1"/>
        <v>79</v>
      </c>
      <c r="P58" s="46">
        <f t="shared" si="4"/>
        <v>7.9365079365079365E-4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457018</v>
      </c>
      <c r="B59" s="2">
        <v>478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1"/>
        <v>1197</v>
      </c>
      <c r="P59" s="46">
        <f t="shared" si="4"/>
        <v>1.2025316455696202E-2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457018</v>
      </c>
      <c r="B60" s="2">
        <v>480</v>
      </c>
      <c r="C60" s="7" t="str">
        <f t="shared" si="0"/>
        <v>PremiumSS5</v>
      </c>
      <c r="D60" s="7" t="str">
        <f t="shared" si="3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1"/>
        <v>79</v>
      </c>
      <c r="P60" s="46">
        <f t="shared" si="4"/>
        <v>7.9365079365079365E-4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457018</v>
      </c>
      <c r="B61" s="2">
        <v>483</v>
      </c>
      <c r="C61" s="7" t="str">
        <f t="shared" si="0"/>
        <v>Premium5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1"/>
        <v>1197</v>
      </c>
      <c r="P61" s="46">
        <f t="shared" si="4"/>
        <v>1.2025316455696202E-2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457018</v>
      </c>
      <c r="B62" s="2">
        <v>493</v>
      </c>
      <c r="C62" s="7" t="str">
        <f t="shared" si="0"/>
        <v>PremiumSS5</v>
      </c>
      <c r="D62" s="7" t="str">
        <f t="shared" si="3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1"/>
        <v>79</v>
      </c>
      <c r="P62" s="46">
        <f t="shared" si="4"/>
        <v>7.9365079365079365E-4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457018</v>
      </c>
      <c r="B63" s="2">
        <v>495</v>
      </c>
      <c r="C63" s="7" t="str">
        <f t="shared" si="0"/>
        <v>PremiumSS5</v>
      </c>
      <c r="D63" s="7" t="str">
        <f t="shared" si="3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1"/>
        <v>79</v>
      </c>
      <c r="P63" s="46">
        <f t="shared" si="4"/>
        <v>7.9365079365079365E-4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457018</v>
      </c>
      <c r="B64" s="2">
        <v>498</v>
      </c>
      <c r="C64" s="7" t="str">
        <f t="shared" si="0"/>
        <v>Premium5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1"/>
        <v>1197</v>
      </c>
      <c r="P64" s="46">
        <f t="shared" si="4"/>
        <v>1.2025316455696202E-2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457018</v>
      </c>
      <c r="B65" s="2">
        <v>500</v>
      </c>
      <c r="C65" s="7" t="str">
        <f t="shared" si="0"/>
        <v>PremiumSS5</v>
      </c>
      <c r="D65" s="7" t="str">
        <f t="shared" si="3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1"/>
        <v>79</v>
      </c>
      <c r="P65" s="46">
        <f t="shared" si="4"/>
        <v>7.9365079365079365E-4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457018</v>
      </c>
      <c r="B66" s="2">
        <v>560</v>
      </c>
      <c r="C66" s="7" t="str">
        <f t="shared" ref="C66:C74" si="5">D66&amp;J66&amp;E66&amp;F66&amp;G66</f>
        <v>premium5R3less</v>
      </c>
      <c r="D66" s="7" t="str">
        <f t="shared" si="3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1"/>
        <v>1197</v>
      </c>
      <c r="P66" s="46">
        <f t="shared" ref="P66:P80" si="6">O66/SUM(O:O)</f>
        <v>1.2025316455696202E-2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457018</v>
      </c>
      <c r="B67" s="2">
        <v>561</v>
      </c>
      <c r="C67" s="7" t="str">
        <f t="shared" si="5"/>
        <v>premium5R3less</v>
      </c>
      <c r="D67" s="7" t="str">
        <f t="shared" ref="D67:D74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si="1"/>
        <v>1197</v>
      </c>
      <c r="P67" s="46">
        <f t="shared" si="6"/>
        <v>1.2025316455696202E-2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457018</v>
      </c>
      <c r="B68" s="2">
        <v>562</v>
      </c>
      <c r="C68" s="7" t="str">
        <f t="shared" si="5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ref="O68:O131" si="8">IF(D68="PremiumSS",79,1197)</f>
        <v>1197</v>
      </c>
      <c r="P68" s="46">
        <f t="shared" si="6"/>
        <v>1.2025316455696202E-2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457018</v>
      </c>
      <c r="B69" s="2">
        <v>563</v>
      </c>
      <c r="C69" s="7" t="str">
        <f t="shared" si="5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8"/>
        <v>1197</v>
      </c>
      <c r="P69" s="46">
        <f t="shared" si="6"/>
        <v>1.2025316455696202E-2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457018</v>
      </c>
      <c r="B70" s="2">
        <v>566</v>
      </c>
      <c r="C70" s="7" t="str">
        <f t="shared" si="5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8"/>
        <v>1197</v>
      </c>
      <c r="P70" s="46">
        <f t="shared" si="6"/>
        <v>1.2025316455696202E-2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457018</v>
      </c>
      <c r="B71" s="2">
        <v>567</v>
      </c>
      <c r="C71" s="7" t="str">
        <f t="shared" si="5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8"/>
        <v>1197</v>
      </c>
      <c r="P71" s="46">
        <f t="shared" si="6"/>
        <v>1.2025316455696202E-2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457018</v>
      </c>
      <c r="B72" s="2">
        <v>587</v>
      </c>
      <c r="C72" s="7" t="str">
        <f t="shared" si="5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8"/>
        <v>79</v>
      </c>
      <c r="P72" s="46">
        <f t="shared" si="6"/>
        <v>7.9365079365079365E-4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457018</v>
      </c>
      <c r="B73" s="2">
        <v>590</v>
      </c>
      <c r="C73" s="7" t="str">
        <f t="shared" si="5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8"/>
        <v>1197</v>
      </c>
      <c r="P73" s="46">
        <f t="shared" si="6"/>
        <v>1.2025316455696202E-2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457018</v>
      </c>
      <c r="B74" s="2">
        <v>593</v>
      </c>
      <c r="C74" s="7" t="str">
        <f t="shared" si="5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1197</v>
      </c>
      <c r="P74" s="46">
        <f t="shared" si="6"/>
        <v>1.2025316455696202E-2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457018</v>
      </c>
      <c r="B75" s="60">
        <v>595</v>
      </c>
      <c r="C75" s="7" t="str">
        <f t="shared" ref="C75:C77" si="9">D75&amp;J75&amp;E75&amp;F75&amp;G75</f>
        <v>PremiumSS5</v>
      </c>
      <c r="D75" s="92" t="str">
        <f t="shared" ref="D75:D77" si="10">IF(OR(I75="PremiumSS",I75="PremiumSSw"),"PremiumSS",IF(I75="PremiumSSS",I75,IF(I75="PremiumW",IF(J75=5,"premium",I75),"Premium")))</f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79</v>
      </c>
      <c r="P75" s="46">
        <f t="shared" si="6"/>
        <v>7.9365079365079365E-4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457018</v>
      </c>
      <c r="B76" s="60">
        <v>598</v>
      </c>
      <c r="C76" s="7" t="str">
        <f t="shared" si="9"/>
        <v>Premium5</v>
      </c>
      <c r="D76" s="92" t="str">
        <f t="shared" si="10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1197</v>
      </c>
      <c r="P76" s="46">
        <f t="shared" si="6"/>
        <v>1.2025316455696202E-2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457018</v>
      </c>
      <c r="B77" s="60">
        <v>601</v>
      </c>
      <c r="C77" s="7" t="str">
        <f t="shared" si="9"/>
        <v>Premium5</v>
      </c>
      <c r="D77" s="92" t="str">
        <f t="shared" si="10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1197</v>
      </c>
      <c r="P77" s="46">
        <f t="shared" si="6"/>
        <v>1.2025316455696202E-2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457018</v>
      </c>
      <c r="B78" s="2">
        <v>603</v>
      </c>
      <c r="C78" s="7" t="str">
        <f t="shared" ref="C78:C80" si="11">D78&amp;J78&amp;E78&amp;F78&amp;G78</f>
        <v>PremiumSS5</v>
      </c>
      <c r="D78" s="92" t="str">
        <f t="shared" ref="D78:D80" si="12">IF(OR(I78="PremiumSS",I78="PremiumSSw"),"PremiumSS",IF(I78="PremiumSSS",I78,IF(I78="PremiumW",IF(J78=5,"premium",I78),"Premium")))</f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79</v>
      </c>
      <c r="P78" s="46">
        <f t="shared" si="6"/>
        <v>7.9365079365079365E-4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457018</v>
      </c>
      <c r="B79" s="2">
        <v>606</v>
      </c>
      <c r="C79" s="7" t="str">
        <f t="shared" si="11"/>
        <v>Premium5</v>
      </c>
      <c r="D79" s="92" t="str">
        <f t="shared" si="12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1197</v>
      </c>
      <c r="P79" s="46">
        <f t="shared" si="6"/>
        <v>1.2025316455696202E-2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457018</v>
      </c>
      <c r="B80" s="2">
        <v>659</v>
      </c>
      <c r="C80" s="7" t="str">
        <f t="shared" si="11"/>
        <v>PremiumSS5</v>
      </c>
      <c r="D80" s="92" t="str">
        <f t="shared" si="12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79</v>
      </c>
      <c r="P80" s="46">
        <f t="shared" si="6"/>
        <v>7.9365079365079365E-4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457018</v>
      </c>
      <c r="B81" s="1">
        <v>661</v>
      </c>
      <c r="C81" s="7" t="str">
        <f t="shared" ref="C81:C143" si="13">D81&amp;J81&amp;E81&amp;F81&amp;G81</f>
        <v>PremiumSS5</v>
      </c>
      <c r="D81" s="92" t="str">
        <f t="shared" ref="D81:D143" si="14">IF(OR(I81="PremiumSS",I81="PremiumSSw"),"PremiumSS",IF(I81="PremiumSSS",I81,IF(I81="PremiumW",IF(J81=5,"premium",I81),"Premium")))</f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79</v>
      </c>
      <c r="P81" s="46">
        <f t="shared" ref="P81:P143" si="15">O81/SUM(O:O)</f>
        <v>7.9365079365079365E-4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457018</v>
      </c>
      <c r="B82" s="1">
        <v>664</v>
      </c>
      <c r="C82" s="7" t="str">
        <f t="shared" si="13"/>
        <v>Premium5</v>
      </c>
      <c r="D82" s="92" t="str">
        <f t="shared" si="14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1197</v>
      </c>
      <c r="P82" s="46">
        <f t="shared" si="15"/>
        <v>1.2025316455696202E-2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457018</v>
      </c>
      <c r="B83" s="1">
        <v>667</v>
      </c>
      <c r="C83" s="7" t="str">
        <f t="shared" si="13"/>
        <v>Premium5</v>
      </c>
      <c r="D83" s="92" t="str">
        <f t="shared" si="14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1197</v>
      </c>
      <c r="P83" s="46">
        <f t="shared" si="15"/>
        <v>1.2025316455696202E-2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457018</v>
      </c>
      <c r="B84" s="1">
        <v>670</v>
      </c>
      <c r="C84" s="7" t="str">
        <f t="shared" si="13"/>
        <v>Premium5</v>
      </c>
      <c r="D84" s="92" t="str">
        <f t="shared" si="14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1197</v>
      </c>
      <c r="P84" s="46">
        <f t="shared" si="15"/>
        <v>1.2025316455696202E-2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457018</v>
      </c>
      <c r="B85" s="1">
        <v>673</v>
      </c>
      <c r="C85" s="7" t="str">
        <f t="shared" si="13"/>
        <v>Premium5</v>
      </c>
      <c r="D85" s="92" t="str">
        <f t="shared" si="14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1197</v>
      </c>
      <c r="P85" s="46">
        <f t="shared" si="15"/>
        <v>1.2025316455696202E-2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457018</v>
      </c>
      <c r="B86" s="1">
        <v>675</v>
      </c>
      <c r="C86" s="7" t="str">
        <f t="shared" si="13"/>
        <v>PremiumSS5</v>
      </c>
      <c r="D86" s="92" t="str">
        <f t="shared" si="14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79</v>
      </c>
      <c r="P86" s="46">
        <f t="shared" si="15"/>
        <v>7.9365079365079365E-4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457018</v>
      </c>
      <c r="B87" s="1">
        <v>677</v>
      </c>
      <c r="C87" s="7" t="str">
        <f t="shared" si="13"/>
        <v>PremiumSS5</v>
      </c>
      <c r="D87" s="92" t="str">
        <f t="shared" si="14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79</v>
      </c>
      <c r="P87" s="46">
        <f t="shared" si="15"/>
        <v>7.9365079365079365E-4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457018</v>
      </c>
      <c r="B88" s="1">
        <v>729</v>
      </c>
      <c r="C88" s="7" t="str">
        <f t="shared" si="13"/>
        <v>Premium5R3less</v>
      </c>
      <c r="D88" s="92" t="str">
        <f t="shared" si="14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1197</v>
      </c>
      <c r="P88" s="46">
        <f t="shared" si="15"/>
        <v>1.2025316455696202E-2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457018</v>
      </c>
      <c r="B89" s="1">
        <v>731</v>
      </c>
      <c r="C89" s="7" t="str">
        <f t="shared" si="13"/>
        <v>Premium5R3less</v>
      </c>
      <c r="D89" s="92" t="str">
        <f t="shared" si="14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1197</v>
      </c>
      <c r="P89" s="46">
        <f t="shared" si="15"/>
        <v>1.2025316455696202E-2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457018</v>
      </c>
      <c r="B90" s="1">
        <v>732</v>
      </c>
      <c r="C90" s="7" t="str">
        <f t="shared" si="13"/>
        <v>PremiumSS5R5only</v>
      </c>
      <c r="D90" s="92" t="str">
        <f t="shared" si="14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79</v>
      </c>
      <c r="P90" s="46">
        <f t="shared" si="15"/>
        <v>7.9365079365079365E-4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v>457018</v>
      </c>
      <c r="B91" s="1">
        <v>734</v>
      </c>
      <c r="C91" s="7" t="str">
        <f t="shared" si="13"/>
        <v>PremiumSS5R5only</v>
      </c>
      <c r="D91" s="92" t="str">
        <f t="shared" si="14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79</v>
      </c>
      <c r="P91" s="46">
        <f t="shared" si="15"/>
        <v>7.9365079365079365E-4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v>457018</v>
      </c>
      <c r="B92" s="1">
        <v>742</v>
      </c>
      <c r="C92" s="7" t="str">
        <f t="shared" si="13"/>
        <v>PremiumSS5R5only</v>
      </c>
      <c r="D92" s="92" t="str">
        <f t="shared" si="14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79</v>
      </c>
      <c r="P92" s="46">
        <f t="shared" si="15"/>
        <v>7.9365079365079365E-4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v>457018</v>
      </c>
      <c r="B93" s="1">
        <v>744</v>
      </c>
      <c r="C93" s="7" t="str">
        <f t="shared" si="13"/>
        <v>PremiumSS5R5only</v>
      </c>
      <c r="D93" s="92" t="str">
        <f t="shared" si="14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79</v>
      </c>
      <c r="P93" s="46">
        <f t="shared" si="15"/>
        <v>7.9365079365079365E-4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v>457018</v>
      </c>
      <c r="B94" s="1">
        <v>747</v>
      </c>
      <c r="C94" s="7" t="str">
        <f t="shared" si="13"/>
        <v>Premium5R3less</v>
      </c>
      <c r="D94" s="92" t="str">
        <f t="shared" si="14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1197</v>
      </c>
      <c r="P94" s="46">
        <f t="shared" si="15"/>
        <v>1.2025316455696202E-2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v>457018</v>
      </c>
      <c r="B95" s="1">
        <v>749</v>
      </c>
      <c r="C95" s="7" t="str">
        <f t="shared" si="13"/>
        <v>Premium5R3less</v>
      </c>
      <c r="D95" s="92" t="str">
        <f t="shared" si="14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1197</v>
      </c>
      <c r="P95" s="46">
        <f t="shared" si="15"/>
        <v>1.2025316455696202E-2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v>457018</v>
      </c>
      <c r="B96" s="1">
        <v>771</v>
      </c>
      <c r="C96" s="7" t="str">
        <f t="shared" si="13"/>
        <v>PremiumSS5</v>
      </c>
      <c r="D96" s="92" t="str">
        <f t="shared" si="14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79</v>
      </c>
      <c r="P96" s="46">
        <f t="shared" si="15"/>
        <v>7.9365079365079365E-4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v>457018</v>
      </c>
      <c r="B97" s="1">
        <v>773</v>
      </c>
      <c r="C97" s="7" t="str">
        <f t="shared" si="13"/>
        <v>PremiumSS5</v>
      </c>
      <c r="D97" s="92" t="str">
        <f t="shared" si="14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79</v>
      </c>
      <c r="P97" s="46">
        <f t="shared" si="15"/>
        <v>7.9365079365079365E-4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v>457018</v>
      </c>
      <c r="B98" s="1">
        <v>776</v>
      </c>
      <c r="C98" s="7" t="str">
        <f t="shared" si="13"/>
        <v>Premium5</v>
      </c>
      <c r="D98" s="92" t="str">
        <f t="shared" si="14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1197</v>
      </c>
      <c r="P98" s="46">
        <f t="shared" si="15"/>
        <v>1.2025316455696202E-2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v>457018</v>
      </c>
      <c r="B99" s="1">
        <v>779</v>
      </c>
      <c r="C99" s="7" t="str">
        <f t="shared" si="13"/>
        <v>Premium5</v>
      </c>
      <c r="D99" s="92" t="str">
        <f t="shared" si="14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1197</v>
      </c>
      <c r="P99" s="46">
        <f t="shared" si="15"/>
        <v>1.2025316455696202E-2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v>457018</v>
      </c>
      <c r="B100" s="1">
        <v>848</v>
      </c>
      <c r="C100" s="7" t="str">
        <f t="shared" si="13"/>
        <v>PremiumSS5R5only</v>
      </c>
      <c r="D100" s="92" t="str">
        <f t="shared" si="14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79</v>
      </c>
      <c r="P100" s="46">
        <f t="shared" si="15"/>
        <v>7.9365079365079365E-4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v>457018</v>
      </c>
      <c r="B101" s="1">
        <v>850</v>
      </c>
      <c r="C101" s="7" t="str">
        <f t="shared" si="13"/>
        <v>PremiumSS5R5only</v>
      </c>
      <c r="D101" s="92" t="str">
        <f t="shared" si="14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8"/>
        <v>79</v>
      </c>
      <c r="P101" s="46">
        <f t="shared" si="15"/>
        <v>7.9365079365079365E-4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v>457018</v>
      </c>
      <c r="B102" s="1">
        <v>853</v>
      </c>
      <c r="C102" s="7" t="str">
        <f t="shared" si="13"/>
        <v>Premium5R3less</v>
      </c>
      <c r="D102" s="92" t="str">
        <f t="shared" si="14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8"/>
        <v>1197</v>
      </c>
      <c r="P102" s="46">
        <f t="shared" si="15"/>
        <v>1.2025316455696202E-2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v>457018</v>
      </c>
      <c r="B103" s="1">
        <v>855</v>
      </c>
      <c r="C103" s="7" t="str">
        <f t="shared" si="13"/>
        <v>Premium5R3less</v>
      </c>
      <c r="D103" s="92" t="str">
        <f t="shared" si="14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8"/>
        <v>1197</v>
      </c>
      <c r="P103" s="46">
        <f t="shared" si="15"/>
        <v>1.2025316455696202E-2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v>457018</v>
      </c>
      <c r="B104" s="1">
        <v>863</v>
      </c>
      <c r="C104" s="7" t="str">
        <f t="shared" si="13"/>
        <v>Premium5R3less</v>
      </c>
      <c r="D104" s="92" t="str">
        <f t="shared" si="14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8"/>
        <v>1197</v>
      </c>
      <c r="P104" s="46">
        <f t="shared" si="15"/>
        <v>1.2025316455696202E-2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v>457018</v>
      </c>
      <c r="B105" s="1">
        <v>865</v>
      </c>
      <c r="C105" s="7" t="str">
        <f t="shared" si="13"/>
        <v>Premium5R3less</v>
      </c>
      <c r="D105" s="92" t="str">
        <f t="shared" si="14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8"/>
        <v>1197</v>
      </c>
      <c r="P105" s="46">
        <f t="shared" si="15"/>
        <v>1.2025316455696202E-2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v>457018</v>
      </c>
      <c r="B106" s="1">
        <v>866</v>
      </c>
      <c r="C106" s="7" t="str">
        <f t="shared" si="13"/>
        <v>PremiumSS5R5only</v>
      </c>
      <c r="D106" s="92" t="str">
        <f t="shared" si="14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8"/>
        <v>79</v>
      </c>
      <c r="P106" s="46">
        <f t="shared" si="15"/>
        <v>7.9365079365079365E-4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v>457018</v>
      </c>
      <c r="B107" s="1">
        <v>868</v>
      </c>
      <c r="C107" s="7" t="str">
        <f t="shared" si="13"/>
        <v>PremiumSS5R5only</v>
      </c>
      <c r="D107" s="92" t="str">
        <f t="shared" si="14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8"/>
        <v>79</v>
      </c>
      <c r="P107" s="46">
        <f t="shared" si="15"/>
        <v>7.9365079365079365E-4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v>457018</v>
      </c>
      <c r="B108" s="1">
        <v>937</v>
      </c>
      <c r="C108" s="7" t="str">
        <f t="shared" si="13"/>
        <v>PremiumSS5R5only</v>
      </c>
      <c r="D108" s="92" t="str">
        <f t="shared" si="14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8"/>
        <v>79</v>
      </c>
      <c r="P108" s="46">
        <f t="shared" si="15"/>
        <v>7.9365079365079365E-4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v>457018</v>
      </c>
      <c r="B109" s="1">
        <v>940</v>
      </c>
      <c r="C109" s="7" t="str">
        <f t="shared" si="13"/>
        <v>Premium5R3less</v>
      </c>
      <c r="D109" s="92" t="str">
        <f t="shared" si="14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8"/>
        <v>1197</v>
      </c>
      <c r="P109" s="46">
        <f t="shared" si="15"/>
        <v>1.2025316455696202E-2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v>457018</v>
      </c>
      <c r="B110" s="1">
        <v>941</v>
      </c>
      <c r="C110" s="7" t="str">
        <f t="shared" si="13"/>
        <v>PremiumSS5R5only</v>
      </c>
      <c r="D110" s="92" t="str">
        <f t="shared" si="14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8"/>
        <v>79</v>
      </c>
      <c r="P110" s="46">
        <f t="shared" si="15"/>
        <v>7.9365079365079365E-4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v>457018</v>
      </c>
      <c r="B111" s="1">
        <v>943</v>
      </c>
      <c r="C111" s="7" t="str">
        <f t="shared" si="13"/>
        <v>PremiumSS5R5only</v>
      </c>
      <c r="D111" s="92" t="str">
        <f t="shared" si="14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8"/>
        <v>79</v>
      </c>
      <c r="P111" s="46">
        <f t="shared" si="15"/>
        <v>7.9365079365079365E-4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v>457018</v>
      </c>
      <c r="B112" s="1">
        <v>1012</v>
      </c>
      <c r="C112" s="7" t="str">
        <f t="shared" si="13"/>
        <v>PremiumSS5R5only</v>
      </c>
      <c r="D112" s="92" t="str">
        <f t="shared" si="14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8"/>
        <v>79</v>
      </c>
      <c r="P112" s="46">
        <f t="shared" si="15"/>
        <v>7.9365079365079365E-4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v>457018</v>
      </c>
      <c r="B113" s="1">
        <v>1014</v>
      </c>
      <c r="C113" s="7" t="str">
        <f t="shared" si="13"/>
        <v>PremiumSS5R5only</v>
      </c>
      <c r="D113" s="92" t="str">
        <f t="shared" si="14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8"/>
        <v>79</v>
      </c>
      <c r="P113" s="46">
        <f t="shared" si="15"/>
        <v>7.9365079365079365E-4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v>457018</v>
      </c>
      <c r="B114" s="1">
        <v>1017</v>
      </c>
      <c r="C114" s="7" t="str">
        <f t="shared" si="13"/>
        <v>Premium5R3less</v>
      </c>
      <c r="D114" s="92" t="str">
        <f t="shared" si="14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8"/>
        <v>1197</v>
      </c>
      <c r="P114" s="46">
        <f t="shared" si="15"/>
        <v>1.2025316455696202E-2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v>457018</v>
      </c>
      <c r="B115" s="1">
        <v>1018</v>
      </c>
      <c r="C115" s="7" t="str">
        <f t="shared" si="13"/>
        <v>PremiumSS5R5only</v>
      </c>
      <c r="D115" s="92" t="str">
        <f t="shared" si="14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8"/>
        <v>79</v>
      </c>
      <c r="P115" s="46">
        <f t="shared" si="15"/>
        <v>7.9365079365079365E-4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v>457018</v>
      </c>
      <c r="B116" s="1">
        <v>1027</v>
      </c>
      <c r="C116" s="7" t="str">
        <f t="shared" si="13"/>
        <v>Premium5R3less</v>
      </c>
      <c r="D116" s="92" t="str">
        <f t="shared" si="14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8"/>
        <v>1197</v>
      </c>
      <c r="P116" s="46">
        <f t="shared" si="15"/>
        <v>1.2025316455696202E-2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v>457018</v>
      </c>
      <c r="B117" s="1">
        <v>1028</v>
      </c>
      <c r="C117" s="7" t="str">
        <f t="shared" si="13"/>
        <v>PremiumSS5R5only</v>
      </c>
      <c r="D117" s="92" t="str">
        <f t="shared" si="14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8"/>
        <v>79</v>
      </c>
      <c r="P117" s="46">
        <f t="shared" si="15"/>
        <v>7.9365079365079365E-4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v>457018</v>
      </c>
      <c r="B118" s="1">
        <v>1031</v>
      </c>
      <c r="C118" s="7" t="str">
        <f t="shared" si="13"/>
        <v>PremiumSS5R5only</v>
      </c>
      <c r="D118" s="92" t="str">
        <f t="shared" si="14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8"/>
        <v>79</v>
      </c>
      <c r="P118" s="46">
        <f t="shared" si="15"/>
        <v>7.9365079365079365E-4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v>457018</v>
      </c>
      <c r="B119" s="1">
        <v>1033</v>
      </c>
      <c r="C119" s="7" t="str">
        <f t="shared" si="13"/>
        <v>PremiumSS5R5only</v>
      </c>
      <c r="D119" s="92" t="str">
        <f t="shared" si="14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8"/>
        <v>79</v>
      </c>
      <c r="P119" s="46">
        <f t="shared" si="15"/>
        <v>7.9365079365079365E-4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v>457018</v>
      </c>
      <c r="B120" s="1">
        <v>1068</v>
      </c>
      <c r="C120" s="7" t="str">
        <f t="shared" si="13"/>
        <v>Premium5R3less</v>
      </c>
      <c r="D120" s="92" t="str">
        <f t="shared" si="14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8"/>
        <v>1197</v>
      </c>
      <c r="P120" s="46">
        <f t="shared" si="15"/>
        <v>1.2025316455696202E-2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v>457018</v>
      </c>
      <c r="B121" s="1">
        <v>1069</v>
      </c>
      <c r="C121" s="7" t="str">
        <f t="shared" si="13"/>
        <v>PremiumSS5R5only</v>
      </c>
      <c r="D121" s="92" t="str">
        <f t="shared" si="14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8"/>
        <v>79</v>
      </c>
      <c r="P121" s="46">
        <f t="shared" si="15"/>
        <v>7.9365079365079365E-4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v>457018</v>
      </c>
      <c r="B122" s="1">
        <v>1072</v>
      </c>
      <c r="C122" s="7" t="str">
        <f t="shared" si="13"/>
        <v>PremiumSS5R5only</v>
      </c>
      <c r="D122" s="92" t="str">
        <f t="shared" si="14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8"/>
        <v>79</v>
      </c>
      <c r="P122" s="46">
        <f t="shared" si="15"/>
        <v>7.9365079365079365E-4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v>457018</v>
      </c>
      <c r="B123" s="1">
        <v>1074</v>
      </c>
      <c r="C123" s="7" t="str">
        <f t="shared" si="13"/>
        <v>PremiumSS5R5only</v>
      </c>
      <c r="D123" s="92" t="str">
        <f t="shared" si="14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8"/>
        <v>79</v>
      </c>
      <c r="P123" s="46">
        <f t="shared" si="15"/>
        <v>7.9365079365079365E-4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v>457018</v>
      </c>
      <c r="B124" s="1">
        <v>1100</v>
      </c>
      <c r="C124" s="7" t="str">
        <f t="shared" si="13"/>
        <v>PremiumSS5R5only</v>
      </c>
      <c r="D124" s="92" t="str">
        <f t="shared" si="14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8"/>
        <v>79</v>
      </c>
      <c r="P124" s="46">
        <f t="shared" si="15"/>
        <v>7.9365079365079365E-4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v>457018</v>
      </c>
      <c r="B125" s="1">
        <v>1102</v>
      </c>
      <c r="C125" s="7" t="str">
        <f t="shared" si="13"/>
        <v>PremiumSS5R5only</v>
      </c>
      <c r="D125" s="92" t="str">
        <f t="shared" si="14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8"/>
        <v>79</v>
      </c>
      <c r="P125" s="46">
        <f t="shared" si="15"/>
        <v>7.9365079365079365E-4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v>457018</v>
      </c>
      <c r="B126" s="1">
        <v>1105</v>
      </c>
      <c r="C126" s="7" t="str">
        <f t="shared" si="13"/>
        <v>Premium5R3less</v>
      </c>
      <c r="D126" s="92" t="str">
        <f t="shared" si="14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8"/>
        <v>1197</v>
      </c>
      <c r="P126" s="46">
        <f t="shared" si="15"/>
        <v>1.2025316455696202E-2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v>457018</v>
      </c>
      <c r="B127" s="1">
        <v>1106</v>
      </c>
      <c r="C127" s="7" t="str">
        <f t="shared" si="13"/>
        <v>PremiumSS5R5only</v>
      </c>
      <c r="D127" s="92" t="str">
        <f t="shared" si="14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8"/>
        <v>79</v>
      </c>
      <c r="P127" s="46">
        <f t="shared" si="15"/>
        <v>7.9365079365079365E-4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v>457018</v>
      </c>
      <c r="B128" s="1">
        <v>1137</v>
      </c>
      <c r="C128" s="7" t="str">
        <f t="shared" si="13"/>
        <v>PremiumSS5R5only</v>
      </c>
      <c r="D128" s="92" t="str">
        <f t="shared" si="14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8"/>
        <v>79</v>
      </c>
      <c r="P128" s="46">
        <f t="shared" si="15"/>
        <v>7.9365079365079365E-4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v>457018</v>
      </c>
      <c r="B129" s="1">
        <v>1139</v>
      </c>
      <c r="C129" s="7" t="str">
        <f t="shared" si="13"/>
        <v>PremiumSS5R5only</v>
      </c>
      <c r="D129" s="92" t="str">
        <f t="shared" si="14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8"/>
        <v>79</v>
      </c>
      <c r="P129" s="46">
        <f t="shared" si="15"/>
        <v>7.9365079365079365E-4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v>457018</v>
      </c>
      <c r="B130" s="1">
        <v>1141</v>
      </c>
      <c r="C130" s="7" t="str">
        <f t="shared" si="13"/>
        <v>PremiumSS5R5only</v>
      </c>
      <c r="D130" s="92" t="str">
        <f t="shared" si="14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8"/>
        <v>79</v>
      </c>
      <c r="P130" s="46">
        <f t="shared" si="15"/>
        <v>7.9365079365079365E-4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v>457018</v>
      </c>
      <c r="B131" s="1">
        <v>1144</v>
      </c>
      <c r="C131" s="7" t="str">
        <f t="shared" si="13"/>
        <v>Premium5R3less</v>
      </c>
      <c r="D131" s="92" t="str">
        <f t="shared" si="14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8"/>
        <v>1197</v>
      </c>
      <c r="P131" s="46">
        <f t="shared" si="15"/>
        <v>1.2025316455696202E-2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v>457018</v>
      </c>
      <c r="B132" s="1">
        <v>1152</v>
      </c>
      <c r="C132" s="7" t="str">
        <f t="shared" si="13"/>
        <v>Premium5R3less</v>
      </c>
      <c r="D132" s="92" t="str">
        <f t="shared" si="14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ref="O132:O142" si="16">IF(D132="PremiumSS",79,1197)</f>
        <v>1197</v>
      </c>
      <c r="P132" s="46">
        <f t="shared" si="15"/>
        <v>1.2025316455696202E-2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v>457018</v>
      </c>
      <c r="B133" s="1">
        <v>1153</v>
      </c>
      <c r="C133" s="7" t="str">
        <f t="shared" si="13"/>
        <v>PremiumSS5R5only</v>
      </c>
      <c r="D133" s="92" t="str">
        <f t="shared" si="14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6"/>
        <v>79</v>
      </c>
      <c r="P133" s="46">
        <f t="shared" si="15"/>
        <v>7.9365079365079365E-4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v>457018</v>
      </c>
      <c r="B134" s="1">
        <v>1155</v>
      </c>
      <c r="C134" s="7" t="str">
        <f t="shared" si="13"/>
        <v>PremiumSS5R5only</v>
      </c>
      <c r="D134" s="92" t="str">
        <f t="shared" si="14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6"/>
        <v>79</v>
      </c>
      <c r="P134" s="46">
        <f t="shared" si="15"/>
        <v>7.9365079365079365E-4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v>457018</v>
      </c>
      <c r="B135" s="1">
        <v>1157</v>
      </c>
      <c r="C135" s="7" t="str">
        <f t="shared" si="13"/>
        <v>PremiumSS5R5only</v>
      </c>
      <c r="D135" s="92" t="str">
        <f t="shared" si="14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6"/>
        <v>79</v>
      </c>
      <c r="P135" s="46">
        <f t="shared" si="15"/>
        <v>7.9365079365079365E-4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v>457018</v>
      </c>
      <c r="B136" s="1">
        <v>1214</v>
      </c>
      <c r="C136" s="7" t="str">
        <f t="shared" si="13"/>
        <v>PremiumSS5R5only</v>
      </c>
      <c r="D136" s="92" t="str">
        <f t="shared" si="14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6"/>
        <v>79</v>
      </c>
      <c r="P136" s="46">
        <f t="shared" si="15"/>
        <v>7.9365079365079365E-4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v>457018</v>
      </c>
      <c r="B137" s="1">
        <v>1212</v>
      </c>
      <c r="C137" s="7" t="str">
        <f t="shared" si="13"/>
        <v>PremiumSS5R5only</v>
      </c>
      <c r="D137" s="92" t="str">
        <f t="shared" si="14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6"/>
        <v>79</v>
      </c>
      <c r="P137" s="46">
        <f t="shared" si="15"/>
        <v>7.9365079365079365E-4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v>457018</v>
      </c>
      <c r="B138" s="1">
        <v>1208</v>
      </c>
      <c r="C138" s="7" t="str">
        <f t="shared" si="13"/>
        <v>PremiumSS5R5only</v>
      </c>
      <c r="D138" s="92" t="str">
        <f t="shared" si="14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6"/>
        <v>79</v>
      </c>
      <c r="P138" s="46">
        <f t="shared" si="15"/>
        <v>7.9365079365079365E-4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v>457018</v>
      </c>
      <c r="B139" s="1">
        <v>1211</v>
      </c>
      <c r="C139" s="7" t="str">
        <f t="shared" si="13"/>
        <v>Premium5R3less</v>
      </c>
      <c r="D139" s="92" t="str">
        <f t="shared" si="14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6"/>
        <v>1197</v>
      </c>
      <c r="P139" s="46">
        <f t="shared" si="15"/>
        <v>1.2025316455696202E-2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v>457018</v>
      </c>
      <c r="B140" s="1">
        <v>1228</v>
      </c>
      <c r="C140" s="7" t="str">
        <f t="shared" si="13"/>
        <v>PremiumSS5R5only</v>
      </c>
      <c r="D140" s="92" t="str">
        <f t="shared" si="14"/>
        <v>PremiumSS</v>
      </c>
      <c r="E140" s="7" t="str">
        <f>IF(COUNTIF('R6追加前'!A:A,B140)=0,IF(OR(I140="PremiumSS",I140="PremiumSSw"),"R5only","R3less"),"")</f>
        <v>R5only</v>
      </c>
      <c r="F140" s="7" t="str">
        <f>IF(COUNTIF('R6開放'!A:A,B140)&gt;0,"R6release","")</f>
        <v/>
      </c>
      <c r="G140" s="7"/>
      <c r="H140" s="7" t="str">
        <f>VLOOKUP(B140,[1]characters!$A:$C,3,FALSE)</f>
        <v>芥川龍之介</v>
      </c>
      <c r="I140" s="7" t="str">
        <f>VLOOKUP(B140,[1]characters!$A:$J,10,FALSE)</f>
        <v>PremiumSSw</v>
      </c>
      <c r="J140" s="7">
        <f>VLOOKUP(B140,[1]characters!$A:$I,9,FALSE)</f>
        <v>5</v>
      </c>
      <c r="K140" s="7" t="str">
        <f>VLOOKUP(B140,[1]characters!$A:$H,8,FALSE)</f>
        <v>blue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6"/>
        <v>79</v>
      </c>
      <c r="P140" s="46">
        <f t="shared" si="15"/>
        <v>7.9365079365079365E-4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v>457018</v>
      </c>
      <c r="B141" s="1">
        <v>1226</v>
      </c>
      <c r="C141" s="7" t="str">
        <f t="shared" si="13"/>
        <v>PremiumSS5R5only</v>
      </c>
      <c r="D141" s="92" t="str">
        <f t="shared" si="14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6"/>
        <v>79</v>
      </c>
      <c r="P141" s="46">
        <f t="shared" si="15"/>
        <v>7.9365079365079365E-4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v>457018</v>
      </c>
      <c r="B142" s="1">
        <v>1230</v>
      </c>
      <c r="C142" s="7" t="str">
        <f t="shared" si="13"/>
        <v>PremiumSS5R5only</v>
      </c>
      <c r="D142" s="92" t="str">
        <f t="shared" si="14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夏目漱石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yellow</v>
      </c>
      <c r="L142" s="7" t="str">
        <f>VLOOKUP(B142,[1]characters!$A:$K,11,FALSE)</f>
        <v>heal</v>
      </c>
      <c r="M142" s="7" t="str">
        <f>VLOOKUP(B142,[1]characters!$A:$M,13,FALSE)</f>
        <v>animal</v>
      </c>
      <c r="N142" s="7">
        <f>VLOOKUP(B142,[1]characters!$A:$G,7,FALSE)</f>
        <v>0</v>
      </c>
      <c r="O142" s="45">
        <f t="shared" si="16"/>
        <v>79</v>
      </c>
      <c r="P142" s="46">
        <f t="shared" si="15"/>
        <v>7.9365079365079365E-4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>
        <v>457018</v>
      </c>
      <c r="B143" s="1">
        <v>1225</v>
      </c>
      <c r="C143" s="7" t="str">
        <f t="shared" si="13"/>
        <v>Premium5R3less</v>
      </c>
      <c r="D143" s="92" t="str">
        <f t="shared" si="14"/>
        <v>Premium</v>
      </c>
      <c r="E143" s="7" t="str">
        <f>IF(COUNTIF('R6追加前'!A:A,B143)=0,IF(OR(I143="PremiumSS",I143="PremiumSSw"),"R5only","R3less"),"")</f>
        <v>R3less</v>
      </c>
      <c r="F143" s="7" t="str">
        <f>IF(COUNTIF('R6開放'!A:A,B143)&gt;0,"R6release","")</f>
        <v/>
      </c>
      <c r="G143" s="7"/>
      <c r="H143" s="7" t="str">
        <f>VLOOKUP(B143,[1]characters!$A:$C,3,FALSE)</f>
        <v>優柔なる風断者 セルバンテス</v>
      </c>
      <c r="I143" s="7" t="str">
        <f>VLOOKUP(B143,[1]characters!$A:$J,10,FALSE)</f>
        <v>PremiumS</v>
      </c>
      <c r="J143" s="7">
        <f>VLOOKUP(B143,[1]characters!$A:$I,9,FALSE)</f>
        <v>5</v>
      </c>
      <c r="K143" s="7" t="str">
        <f>VLOOKUP(B143,[1]characters!$A:$H,8,FALSE)</f>
        <v>red</v>
      </c>
      <c r="L143" s="7" t="str">
        <f>VLOOKUP(B143,[1]characters!$A:$K,11,FALSE)</f>
        <v>attack</v>
      </c>
      <c r="M143" s="7" t="str">
        <f>VLOOKUP(B143,[1]characters!$A:$M,13,FALSE)</f>
        <v>human</v>
      </c>
      <c r="N143" s="7">
        <f>VLOOKUP(B143,[1]characters!$A:$G,7,FALSE)</f>
        <v>0</v>
      </c>
      <c r="O143" s="45">
        <f>IF(D143="PremiumSS",79,1197)</f>
        <v>1197</v>
      </c>
      <c r="P143" s="46">
        <f t="shared" si="15"/>
        <v>1.2025316455696202E-2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E144" s="1">
        <f>COUNTIF(D:D,"Premium")</f>
        <v>79</v>
      </c>
      <c r="F144" s="1">
        <f>E146*0.95/E144</f>
        <v>1197</v>
      </c>
    </row>
    <row r="145" spans="5:6" ht="21" customHeight="1" x14ac:dyDescent="0.15">
      <c r="E145" s="1">
        <f>COUNTIF(D:D,"PremiumSS")</f>
        <v>63</v>
      </c>
      <c r="F145" s="1">
        <f>E146*0.05/E145</f>
        <v>79</v>
      </c>
    </row>
    <row r="146" spans="5:6" ht="21" customHeight="1" x14ac:dyDescent="0.15">
      <c r="E146" s="1">
        <f>E144*E145*20</f>
        <v>99540</v>
      </c>
      <c r="F146" s="1">
        <f>GCD(F144,F145)</f>
        <v>1</v>
      </c>
    </row>
  </sheetData>
  <autoFilter ref="A1:V7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4"/>
  <sheetViews>
    <sheetView showGridLines="0" tabSelected="1" workbookViewId="0">
      <pane ySplit="1" topLeftCell="A2" activePane="bottomLeft" state="frozen"/>
      <selection activeCell="M24" sqref="M24"/>
      <selection pane="bottomLeft" activeCell="B10" sqref="B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457011</v>
      </c>
      <c r="B2" s="97">
        <v>4570111</v>
      </c>
      <c r="C2" s="98" t="s">
        <v>255</v>
      </c>
      <c r="D2" s="98">
        <v>837</v>
      </c>
      <c r="E2" s="98">
        <v>1</v>
      </c>
      <c r="F2" s="98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98" t="s">
        <v>261</v>
      </c>
      <c r="O2" s="98" t="s">
        <v>262</v>
      </c>
      <c r="P2" s="98" t="s">
        <v>277</v>
      </c>
      <c r="Q2" s="100" t="s">
        <v>268</v>
      </c>
    </row>
    <row r="3" spans="1:17" ht="21" customHeight="1" x14ac:dyDescent="0.15">
      <c r="A3" s="97">
        <v>457012</v>
      </c>
      <c r="B3" s="97">
        <v>4570121</v>
      </c>
      <c r="C3" s="99" t="s">
        <v>256</v>
      </c>
      <c r="D3" s="99">
        <v>700000</v>
      </c>
      <c r="E3" s="99" t="s">
        <v>260</v>
      </c>
      <c r="F3" s="99">
        <v>1</v>
      </c>
      <c r="G3" s="99">
        <v>0</v>
      </c>
      <c r="H3" s="99">
        <v>0</v>
      </c>
      <c r="I3" s="99">
        <v>0</v>
      </c>
      <c r="J3" s="99">
        <v>0</v>
      </c>
      <c r="K3" s="99">
        <v>1</v>
      </c>
      <c r="L3" s="99">
        <v>1</v>
      </c>
      <c r="M3" s="99">
        <v>1</v>
      </c>
      <c r="N3" s="98" t="s">
        <v>261</v>
      </c>
      <c r="O3" s="98" t="s">
        <v>263</v>
      </c>
      <c r="P3" s="98" t="s">
        <v>277</v>
      </c>
      <c r="Q3" s="100" t="s">
        <v>269</v>
      </c>
    </row>
    <row r="4" spans="1:17" ht="21" customHeight="1" x14ac:dyDescent="0.15">
      <c r="A4" s="97">
        <v>457013</v>
      </c>
      <c r="B4" s="97">
        <v>4570131</v>
      </c>
      <c r="C4" s="99" t="s">
        <v>257</v>
      </c>
      <c r="D4" s="99">
        <v>610</v>
      </c>
      <c r="E4" s="99">
        <v>2</v>
      </c>
      <c r="F4" s="99">
        <v>1</v>
      </c>
      <c r="G4" s="99">
        <v>0</v>
      </c>
      <c r="H4" s="99">
        <v>0</v>
      </c>
      <c r="I4" s="99">
        <v>0</v>
      </c>
      <c r="J4" s="99">
        <v>0</v>
      </c>
      <c r="K4" s="99">
        <v>1</v>
      </c>
      <c r="L4" s="99">
        <v>1</v>
      </c>
      <c r="M4" s="99">
        <v>1</v>
      </c>
      <c r="N4" s="98" t="s">
        <v>261</v>
      </c>
      <c r="O4" s="98" t="s">
        <v>264</v>
      </c>
      <c r="P4" s="98" t="s">
        <v>277</v>
      </c>
      <c r="Q4" s="100" t="s">
        <v>270</v>
      </c>
    </row>
    <row r="5" spans="1:17" ht="21" customHeight="1" x14ac:dyDescent="0.15">
      <c r="A5" s="97">
        <v>457014</v>
      </c>
      <c r="B5" s="97">
        <v>4570141</v>
      </c>
      <c r="C5" s="99" t="s">
        <v>258</v>
      </c>
      <c r="D5" s="98">
        <v>837</v>
      </c>
      <c r="E5" s="99">
        <v>1</v>
      </c>
      <c r="F5" s="99">
        <v>1</v>
      </c>
      <c r="G5" s="99">
        <v>0</v>
      </c>
      <c r="H5" s="99">
        <v>0</v>
      </c>
      <c r="I5" s="99">
        <v>0</v>
      </c>
      <c r="J5" s="99">
        <v>0</v>
      </c>
      <c r="K5" s="99">
        <v>1</v>
      </c>
      <c r="L5" s="99">
        <v>1</v>
      </c>
      <c r="M5" s="99">
        <v>1</v>
      </c>
      <c r="N5" s="98" t="s">
        <v>261</v>
      </c>
      <c r="O5" s="98" t="s">
        <v>262</v>
      </c>
      <c r="P5" s="98" t="s">
        <v>277</v>
      </c>
      <c r="Q5" s="100" t="s">
        <v>271</v>
      </c>
    </row>
    <row r="6" spans="1:17" ht="21" customHeight="1" x14ac:dyDescent="0.15">
      <c r="A6" s="97">
        <v>457015</v>
      </c>
      <c r="B6" s="97">
        <v>4570151</v>
      </c>
      <c r="C6" s="99" t="s">
        <v>258</v>
      </c>
      <c r="D6" s="99">
        <v>611</v>
      </c>
      <c r="E6" s="99">
        <v>3</v>
      </c>
      <c r="F6" s="99">
        <v>1</v>
      </c>
      <c r="G6" s="99">
        <v>0</v>
      </c>
      <c r="H6" s="99">
        <v>0</v>
      </c>
      <c r="I6" s="99">
        <v>0</v>
      </c>
      <c r="J6" s="99">
        <v>0</v>
      </c>
      <c r="K6" s="99">
        <v>1</v>
      </c>
      <c r="L6" s="99">
        <v>1</v>
      </c>
      <c r="M6" s="99">
        <v>1</v>
      </c>
      <c r="N6" s="98" t="s">
        <v>261</v>
      </c>
      <c r="O6" s="98" t="s">
        <v>265</v>
      </c>
      <c r="P6" s="98" t="s">
        <v>277</v>
      </c>
      <c r="Q6" s="100" t="s">
        <v>272</v>
      </c>
    </row>
    <row r="7" spans="1:17" ht="21" customHeight="1" x14ac:dyDescent="0.15">
      <c r="A7" s="97">
        <v>457016</v>
      </c>
      <c r="B7" s="97">
        <v>4570161</v>
      </c>
      <c r="C7" s="99" t="s">
        <v>258</v>
      </c>
      <c r="D7" s="99">
        <v>612</v>
      </c>
      <c r="E7" s="99">
        <v>3</v>
      </c>
      <c r="F7" s="99">
        <v>1</v>
      </c>
      <c r="G7" s="99">
        <v>0</v>
      </c>
      <c r="H7" s="99">
        <v>0</v>
      </c>
      <c r="I7" s="99">
        <v>0</v>
      </c>
      <c r="J7" s="99">
        <v>0</v>
      </c>
      <c r="K7" s="99">
        <v>1</v>
      </c>
      <c r="L7" s="99">
        <v>1</v>
      </c>
      <c r="M7" s="99">
        <v>1</v>
      </c>
      <c r="N7" s="98" t="s">
        <v>261</v>
      </c>
      <c r="O7" s="98" t="s">
        <v>266</v>
      </c>
      <c r="P7" s="98" t="s">
        <v>277</v>
      </c>
      <c r="Q7" s="100" t="s">
        <v>273</v>
      </c>
    </row>
    <row r="8" spans="1:17" ht="21" customHeight="1" x14ac:dyDescent="0.15">
      <c r="A8" s="97">
        <v>457017</v>
      </c>
      <c r="B8" s="97">
        <v>4570171</v>
      </c>
      <c r="C8" s="99" t="s">
        <v>258</v>
      </c>
      <c r="D8" s="99">
        <v>613</v>
      </c>
      <c r="E8" s="99">
        <v>3</v>
      </c>
      <c r="F8" s="99">
        <v>1</v>
      </c>
      <c r="G8" s="99">
        <v>0</v>
      </c>
      <c r="H8" s="99">
        <v>0</v>
      </c>
      <c r="I8" s="99">
        <v>0</v>
      </c>
      <c r="J8" s="99">
        <v>0</v>
      </c>
      <c r="K8" s="99">
        <v>1</v>
      </c>
      <c r="L8" s="99">
        <v>1</v>
      </c>
      <c r="M8" s="99">
        <v>1</v>
      </c>
      <c r="N8" s="98" t="s">
        <v>261</v>
      </c>
      <c r="O8" s="98" t="s">
        <v>267</v>
      </c>
      <c r="P8" s="98" t="s">
        <v>277</v>
      </c>
      <c r="Q8" s="100" t="s">
        <v>274</v>
      </c>
    </row>
    <row r="9" spans="1:17" ht="21" customHeight="1" x14ac:dyDescent="0.15">
      <c r="A9" s="97">
        <v>457018</v>
      </c>
      <c r="B9" s="97">
        <v>4570181</v>
      </c>
      <c r="C9" s="99" t="s">
        <v>259</v>
      </c>
      <c r="D9" s="98">
        <v>837</v>
      </c>
      <c r="E9" s="99">
        <v>1</v>
      </c>
      <c r="F9" s="99">
        <v>1</v>
      </c>
      <c r="G9" s="99">
        <v>0</v>
      </c>
      <c r="H9" s="99">
        <v>0</v>
      </c>
      <c r="I9" s="99">
        <v>0</v>
      </c>
      <c r="J9" s="99">
        <v>0</v>
      </c>
      <c r="K9" s="99">
        <v>1</v>
      </c>
      <c r="L9" s="99">
        <v>1</v>
      </c>
      <c r="M9" s="99">
        <v>1</v>
      </c>
      <c r="N9" s="98" t="s">
        <v>261</v>
      </c>
      <c r="O9" s="98" t="s">
        <v>262</v>
      </c>
      <c r="P9" s="98" t="s">
        <v>277</v>
      </c>
      <c r="Q9" s="100" t="s">
        <v>275</v>
      </c>
    </row>
    <row r="10" spans="1:17" ht="21" customHeight="1" x14ac:dyDescent="0.15">
      <c r="A10" s="97">
        <v>457019</v>
      </c>
      <c r="B10" s="97">
        <v>4570191</v>
      </c>
      <c r="C10" s="99" t="s">
        <v>259</v>
      </c>
      <c r="D10" s="98">
        <v>837</v>
      </c>
      <c r="E10" s="99">
        <v>1</v>
      </c>
      <c r="F10" s="99">
        <v>1</v>
      </c>
      <c r="G10" s="99">
        <v>0</v>
      </c>
      <c r="H10" s="99">
        <v>0</v>
      </c>
      <c r="I10" s="99">
        <v>0</v>
      </c>
      <c r="J10" s="99">
        <v>0</v>
      </c>
      <c r="K10" s="99">
        <v>1</v>
      </c>
      <c r="L10" s="99">
        <v>1</v>
      </c>
      <c r="M10" s="99">
        <v>1</v>
      </c>
      <c r="N10" s="98" t="s">
        <v>261</v>
      </c>
      <c r="O10" s="98" t="s">
        <v>262</v>
      </c>
      <c r="P10" s="98" t="s">
        <v>278</v>
      </c>
      <c r="Q10" s="100" t="s">
        <v>279</v>
      </c>
    </row>
    <row r="11" spans="1:17" ht="21" customHeight="1" x14ac:dyDescent="0.15">
      <c r="A11" s="97"/>
      <c r="B11" s="97"/>
      <c r="C11" s="99"/>
      <c r="D11" s="99"/>
      <c r="E11" s="99"/>
      <c r="F11" s="99"/>
      <c r="G11" s="101"/>
      <c r="H11" s="101"/>
      <c r="I11" s="101"/>
      <c r="J11" s="101"/>
      <c r="K11" s="101"/>
      <c r="L11" s="101"/>
      <c r="M11" s="101"/>
      <c r="N11" s="98"/>
      <c r="O11" s="98"/>
      <c r="P11" s="98"/>
      <c r="Q11" s="100"/>
    </row>
    <row r="12" spans="1:17" ht="21" customHeight="1" x14ac:dyDescent="0.15">
      <c r="A12" s="97"/>
      <c r="B12" s="97"/>
      <c r="C12" s="99"/>
      <c r="D12" s="99"/>
      <c r="E12" s="99"/>
      <c r="F12" s="99"/>
      <c r="G12" s="101"/>
      <c r="H12" s="101"/>
      <c r="I12" s="101"/>
      <c r="J12" s="101"/>
      <c r="K12" s="101"/>
      <c r="L12" s="101"/>
      <c r="M12" s="101"/>
      <c r="N12" s="98"/>
      <c r="O12" s="98"/>
      <c r="P12" s="98"/>
      <c r="Q12" s="100"/>
    </row>
    <row r="17" spans="15:15" ht="21" customHeight="1" x14ac:dyDescent="0.15">
      <c r="O17" s="102"/>
    </row>
    <row r="18" spans="15:15" ht="21" customHeight="1" x14ac:dyDescent="0.15">
      <c r="O18" s="102"/>
    </row>
    <row r="19" spans="15:15" ht="21" customHeight="1" x14ac:dyDescent="0.15">
      <c r="O19" s="102"/>
    </row>
    <row r="20" spans="15:15" ht="21" customHeight="1" x14ac:dyDescent="0.15">
      <c r="O20" s="102"/>
    </row>
    <row r="21" spans="15:15" ht="21" customHeight="1" x14ac:dyDescent="0.15">
      <c r="O21" s="102"/>
    </row>
    <row r="22" spans="15:15" ht="21" customHeight="1" x14ac:dyDescent="0.15">
      <c r="O22" s="102"/>
    </row>
    <row r="23" spans="15:15" ht="21" customHeight="1" x14ac:dyDescent="0.15">
      <c r="O23" s="102"/>
    </row>
    <row r="24" spans="15:15" ht="21" customHeight="1" x14ac:dyDescent="0.15">
      <c r="O24" s="102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input_457010</vt:lpstr>
      <vt:lpstr>tables_457010</vt:lpstr>
      <vt:lpstr>tables_settle_457018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2016-11-29T18:27:57Z</dcterms:modified>
</cp:coreProperties>
</file>