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40" yWindow="460" windowWidth="22760" windowHeight="186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21" l="1"/>
  <c r="B11" i="21"/>
  <c r="I11" i="21"/>
  <c r="J11" i="21"/>
  <c r="G11" i="21"/>
  <c r="F11" i="21"/>
  <c r="D11" i="21"/>
  <c r="C11" i="21"/>
  <c r="O12" i="21"/>
  <c r="B12" i="21"/>
  <c r="I12" i="21"/>
  <c r="J12" i="21"/>
  <c r="G12" i="21"/>
  <c r="F12" i="21"/>
  <c r="D12" i="21"/>
  <c r="C12" i="21"/>
  <c r="O9" i="21"/>
  <c r="B9" i="21"/>
  <c r="I9" i="21"/>
  <c r="J9" i="21"/>
  <c r="G9" i="21"/>
  <c r="F9" i="21"/>
  <c r="D9" i="21"/>
  <c r="C9" i="21"/>
  <c r="O8" i="21"/>
  <c r="B8" i="21"/>
  <c r="I8" i="21"/>
  <c r="J8" i="21"/>
  <c r="G8" i="21"/>
  <c r="F8" i="21"/>
  <c r="D8" i="21"/>
  <c r="C8" i="21"/>
  <c r="O7" i="21"/>
  <c r="B7" i="21"/>
  <c r="I7" i="21"/>
  <c r="J7" i="21"/>
  <c r="G7" i="21"/>
  <c r="F7" i="21"/>
  <c r="D7" i="21"/>
  <c r="C7" i="21"/>
  <c r="O5" i="21"/>
  <c r="B5" i="21"/>
  <c r="I5" i="21"/>
  <c r="J5" i="21"/>
  <c r="G5" i="21"/>
  <c r="F5" i="21"/>
  <c r="D5" i="21"/>
  <c r="C5" i="21"/>
  <c r="O3" i="21"/>
  <c r="O4" i="21"/>
  <c r="O6" i="21"/>
  <c r="O10" i="21"/>
  <c r="O13" i="21"/>
  <c r="O14" i="21"/>
  <c r="O15" i="21"/>
  <c r="O16" i="21"/>
  <c r="O2" i="21"/>
  <c r="J43" i="11"/>
  <c r="J42" i="11"/>
  <c r="J41" i="11"/>
  <c r="J40" i="11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J70" i="11"/>
  <c r="O68" i="9"/>
  <c r="N68" i="9"/>
  <c r="M68" i="9"/>
  <c r="L68" i="9"/>
  <c r="K68" i="9"/>
  <c r="J68" i="9"/>
  <c r="I68" i="9"/>
  <c r="H68" i="9"/>
  <c r="G68" i="9"/>
  <c r="E68" i="9"/>
  <c r="D68" i="9"/>
  <c r="A68" i="9"/>
  <c r="J69" i="11"/>
  <c r="O67" i="9"/>
  <c r="N67" i="9"/>
  <c r="M67" i="9"/>
  <c r="L67" i="9"/>
  <c r="K67" i="9"/>
  <c r="J67" i="9"/>
  <c r="I67" i="9"/>
  <c r="H67" i="9"/>
  <c r="G67" i="9"/>
  <c r="E67" i="9"/>
  <c r="D67" i="9"/>
  <c r="A67" i="9"/>
  <c r="J68" i="11"/>
  <c r="O66" i="9"/>
  <c r="N66" i="9"/>
  <c r="M66" i="9"/>
  <c r="L66" i="9"/>
  <c r="K66" i="9"/>
  <c r="J66" i="9"/>
  <c r="I66" i="9"/>
  <c r="H66" i="9"/>
  <c r="G66" i="9"/>
  <c r="E66" i="9"/>
  <c r="D66" i="9"/>
  <c r="A66" i="9"/>
  <c r="J67" i="11"/>
  <c r="O65" i="9"/>
  <c r="N65" i="9"/>
  <c r="M65" i="9"/>
  <c r="L65" i="9"/>
  <c r="K65" i="9"/>
  <c r="J65" i="9"/>
  <c r="I65" i="9"/>
  <c r="H65" i="9"/>
  <c r="G65" i="9"/>
  <c r="E65" i="9"/>
  <c r="D65" i="9"/>
  <c r="A65" i="9"/>
  <c r="J66" i="11"/>
  <c r="O64" i="9"/>
  <c r="N64" i="9"/>
  <c r="M64" i="9"/>
  <c r="L64" i="9"/>
  <c r="K64" i="9"/>
  <c r="J64" i="9"/>
  <c r="I64" i="9"/>
  <c r="H64" i="9"/>
  <c r="G64" i="9"/>
  <c r="E64" i="9"/>
  <c r="D64" i="9"/>
  <c r="A64" i="9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43" i="10"/>
  <c r="T43" i="10"/>
  <c r="W43" i="10"/>
  <c r="V43" i="10"/>
  <c r="X43" i="10"/>
  <c r="U43" i="10"/>
  <c r="Y43" i="10"/>
  <c r="M56" i="10"/>
  <c r="N56" i="10"/>
  <c r="Q56" i="10"/>
  <c r="P56" i="10"/>
  <c r="R56" i="10"/>
  <c r="O56" i="10"/>
  <c r="S56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M55" i="10"/>
  <c r="M64" i="10"/>
  <c r="N64" i="10"/>
  <c r="Q64" i="10"/>
  <c r="P64" i="10"/>
  <c r="R64" i="10"/>
  <c r="O64" i="10"/>
  <c r="S64" i="10"/>
  <c r="N55" i="10"/>
  <c r="Q55" i="10"/>
  <c r="P55" i="10"/>
  <c r="R55" i="10"/>
  <c r="O55" i="10"/>
  <c r="S55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M54" i="10"/>
  <c r="M63" i="10"/>
  <c r="N63" i="10"/>
  <c r="Q63" i="10"/>
  <c r="P63" i="10"/>
  <c r="R63" i="10"/>
  <c r="O63" i="10"/>
  <c r="S63" i="10"/>
  <c r="N54" i="10"/>
  <c r="Q54" i="10"/>
  <c r="P54" i="10"/>
  <c r="R54" i="10"/>
  <c r="O54" i="10"/>
  <c r="S54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M53" i="10"/>
  <c r="M62" i="10"/>
  <c r="N62" i="10"/>
  <c r="Q62" i="10"/>
  <c r="P62" i="10"/>
  <c r="R62" i="10"/>
  <c r="O62" i="10"/>
  <c r="S62" i="10"/>
  <c r="N53" i="10"/>
  <c r="Q53" i="10"/>
  <c r="P53" i="10"/>
  <c r="R53" i="10"/>
  <c r="O53" i="10"/>
  <c r="S53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T64" i="10"/>
  <c r="W64" i="10"/>
  <c r="V64" i="10"/>
  <c r="X64" i="10"/>
  <c r="U64" i="10"/>
  <c r="Y64" i="10"/>
  <c r="G64" i="10"/>
  <c r="J64" i="10"/>
  <c r="I64" i="10"/>
  <c r="K64" i="10"/>
  <c r="H64" i="10"/>
  <c r="L64" i="10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M24" i="10"/>
  <c r="T24" i="10"/>
  <c r="W24" i="10"/>
  <c r="V24" i="10"/>
  <c r="X24" i="10"/>
  <c r="U24" i="10"/>
  <c r="Y24" i="10"/>
  <c r="M44" i="10"/>
  <c r="N44" i="10"/>
  <c r="Q44" i="10"/>
  <c r="P44" i="10"/>
  <c r="R44" i="10"/>
  <c r="O44" i="10"/>
  <c r="S4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J60" i="11"/>
  <c r="J61" i="11"/>
  <c r="J62" i="11"/>
  <c r="J63" i="11"/>
  <c r="J64" i="11"/>
  <c r="J65" i="11"/>
  <c r="J14" i="11"/>
  <c r="J15" i="11"/>
  <c r="J16" i="11"/>
  <c r="J17" i="11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J19" i="11"/>
  <c r="O19" i="9"/>
  <c r="E19" i="9"/>
  <c r="D19" i="9"/>
  <c r="A19" i="9"/>
  <c r="J18" i="11"/>
  <c r="O18" i="9"/>
  <c r="E18" i="9"/>
  <c r="D18" i="9"/>
  <c r="A18" i="9"/>
  <c r="M18" i="10"/>
  <c r="T18" i="10"/>
  <c r="W18" i="10"/>
  <c r="V18" i="10"/>
  <c r="X18" i="10"/>
  <c r="U18" i="10"/>
  <c r="Y18" i="10"/>
  <c r="M37" i="10"/>
  <c r="M60" i="10"/>
  <c r="N60" i="10"/>
  <c r="Q60" i="10"/>
  <c r="P60" i="10"/>
  <c r="R60" i="10"/>
  <c r="O60" i="10"/>
  <c r="S60" i="10"/>
  <c r="M51" i="10"/>
  <c r="N51" i="10"/>
  <c r="Q51" i="10"/>
  <c r="P51" i="10"/>
  <c r="R51" i="10"/>
  <c r="O51" i="10"/>
  <c r="S51" i="10"/>
  <c r="N37" i="10"/>
  <c r="Q37" i="10"/>
  <c r="P37" i="10"/>
  <c r="R37" i="10"/>
  <c r="O37" i="10"/>
  <c r="S37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M59" i="9"/>
  <c r="N59" i="9"/>
  <c r="G60" i="9"/>
  <c r="H60" i="9"/>
  <c r="I60" i="9"/>
  <c r="J60" i="9"/>
  <c r="K60" i="9"/>
  <c r="L60" i="9"/>
  <c r="M60" i="9"/>
  <c r="N60" i="9"/>
  <c r="G61" i="9"/>
  <c r="H61" i="9"/>
  <c r="I61" i="9"/>
  <c r="J61" i="9"/>
  <c r="K61" i="9"/>
  <c r="L61" i="9"/>
  <c r="M61" i="9"/>
  <c r="N61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J3" i="11"/>
  <c r="J4" i="11"/>
  <c r="J5" i="11"/>
  <c r="J6" i="11"/>
  <c r="J7" i="11"/>
  <c r="J8" i="11"/>
  <c r="J9" i="11"/>
  <c r="J10" i="11"/>
  <c r="J11" i="11"/>
  <c r="J12" i="11"/>
  <c r="J13" i="11"/>
  <c r="J20" i="11"/>
  <c r="J21" i="11"/>
  <c r="J22" i="11"/>
  <c r="J23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O23" i="9"/>
  <c r="E23" i="9"/>
  <c r="D23" i="9"/>
  <c r="A23" i="9"/>
  <c r="O29" i="9"/>
  <c r="E29" i="9"/>
  <c r="D29" i="9"/>
  <c r="A29" i="9"/>
  <c r="O28" i="9"/>
  <c r="E28" i="9"/>
  <c r="D28" i="9"/>
  <c r="A28" i="9"/>
  <c r="M28" i="10"/>
  <c r="T28" i="10"/>
  <c r="W28" i="10"/>
  <c r="V28" i="10"/>
  <c r="X28" i="10"/>
  <c r="U28" i="10"/>
  <c r="Y28" i="10"/>
  <c r="M45" i="10"/>
  <c r="N45" i="10"/>
  <c r="Q45" i="10"/>
  <c r="P45" i="10"/>
  <c r="R45" i="10"/>
  <c r="O45" i="10"/>
  <c r="S45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9" i="10"/>
  <c r="T29" i="10"/>
  <c r="W29" i="10"/>
  <c r="V29" i="10"/>
  <c r="X29" i="10"/>
  <c r="U29" i="10"/>
  <c r="Y29" i="10"/>
  <c r="M46" i="10"/>
  <c r="N46" i="10"/>
  <c r="Q46" i="10"/>
  <c r="P46" i="10"/>
  <c r="R46" i="10"/>
  <c r="O46" i="10"/>
  <c r="S46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3" i="10"/>
  <c r="T23" i="10"/>
  <c r="W23" i="10"/>
  <c r="V23" i="10"/>
  <c r="X23" i="10"/>
  <c r="U23" i="10"/>
  <c r="Y23" i="10"/>
  <c r="M39" i="10"/>
  <c r="M52" i="10"/>
  <c r="N52" i="10"/>
  <c r="Q52" i="10"/>
  <c r="P52" i="10"/>
  <c r="R52" i="10"/>
  <c r="O52" i="10"/>
  <c r="S52" i="10"/>
  <c r="N39" i="10"/>
  <c r="Q39" i="10"/>
  <c r="P39" i="10"/>
  <c r="R39" i="10"/>
  <c r="O39" i="10"/>
  <c r="S39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O17" i="9"/>
  <c r="E17" i="9"/>
  <c r="D17" i="9"/>
  <c r="A17" i="9"/>
  <c r="O16" i="9"/>
  <c r="E16" i="9"/>
  <c r="D16" i="9"/>
  <c r="A16" i="9"/>
  <c r="M14" i="10"/>
  <c r="T14" i="10"/>
  <c r="W14" i="10"/>
  <c r="V14" i="10"/>
  <c r="X14" i="10"/>
  <c r="U14" i="10"/>
  <c r="Y14" i="10"/>
  <c r="M31" i="10"/>
  <c r="M47" i="10"/>
  <c r="N47" i="10"/>
  <c r="Q47" i="10"/>
  <c r="P47" i="10"/>
  <c r="R47" i="10"/>
  <c r="O47" i="10"/>
  <c r="S47" i="10"/>
  <c r="N31" i="10"/>
  <c r="Q31" i="10"/>
  <c r="P31" i="10"/>
  <c r="R31" i="10"/>
  <c r="O31" i="10"/>
  <c r="S31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7" i="10"/>
  <c r="T17" i="10"/>
  <c r="W17" i="10"/>
  <c r="V17" i="10"/>
  <c r="X17" i="10"/>
  <c r="U17" i="10"/>
  <c r="Y17" i="10"/>
  <c r="M36" i="10"/>
  <c r="M50" i="10"/>
  <c r="M59" i="10"/>
  <c r="N59" i="10"/>
  <c r="Q59" i="10"/>
  <c r="P59" i="10"/>
  <c r="R59" i="10"/>
  <c r="O59" i="10"/>
  <c r="S59" i="10"/>
  <c r="N50" i="10"/>
  <c r="Q50" i="10"/>
  <c r="P50" i="10"/>
  <c r="R50" i="10"/>
  <c r="O50" i="10"/>
  <c r="S50" i="10"/>
  <c r="N36" i="10"/>
  <c r="Q36" i="10"/>
  <c r="P36" i="10"/>
  <c r="R36" i="10"/>
  <c r="O36" i="10"/>
  <c r="S36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O34" i="9"/>
  <c r="E34" i="9"/>
  <c r="D34" i="9"/>
  <c r="A34" i="9"/>
  <c r="O33" i="9"/>
  <c r="E33" i="9"/>
  <c r="D33" i="9"/>
  <c r="A33" i="9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M58" i="10"/>
  <c r="N58" i="10"/>
  <c r="Q58" i="10"/>
  <c r="P58" i="10"/>
  <c r="R58" i="10"/>
  <c r="O58" i="10"/>
  <c r="S58" i="10"/>
  <c r="M49" i="10"/>
  <c r="N49" i="10"/>
  <c r="Q49" i="10"/>
  <c r="P49" i="10"/>
  <c r="R49" i="10"/>
  <c r="O49" i="10"/>
  <c r="S49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O32" i="9"/>
  <c r="E32" i="9"/>
  <c r="D32" i="9"/>
  <c r="A32" i="9"/>
  <c r="O31" i="9"/>
  <c r="E31" i="9"/>
  <c r="D31" i="9"/>
  <c r="A31" i="9"/>
  <c r="O30" i="9"/>
  <c r="E30" i="9"/>
  <c r="D30" i="9"/>
  <c r="A30" i="9"/>
  <c r="O27" i="9"/>
  <c r="E27" i="9"/>
  <c r="D27" i="9"/>
  <c r="A27" i="9"/>
  <c r="O26" i="9"/>
  <c r="E26" i="9"/>
  <c r="D26" i="9"/>
  <c r="A26" i="9"/>
  <c r="O25" i="9"/>
  <c r="E25" i="9"/>
  <c r="D25" i="9"/>
  <c r="A25" i="9"/>
  <c r="O22" i="9"/>
  <c r="E22" i="9"/>
  <c r="D22" i="9"/>
  <c r="A22" i="9"/>
  <c r="O21" i="9"/>
  <c r="E21" i="9"/>
  <c r="D21" i="9"/>
  <c r="A21" i="9"/>
  <c r="O20" i="9"/>
  <c r="E20" i="9"/>
  <c r="D20" i="9"/>
  <c r="A20" i="9"/>
  <c r="O15" i="9"/>
  <c r="E15" i="9"/>
  <c r="D15" i="9"/>
  <c r="A15" i="9"/>
  <c r="O14" i="9"/>
  <c r="E14" i="9"/>
  <c r="D14" i="9"/>
  <c r="A14" i="9"/>
  <c r="O13" i="9"/>
  <c r="E13" i="9"/>
  <c r="D13" i="9"/>
  <c r="A13" i="9"/>
  <c r="O12" i="9"/>
  <c r="E12" i="9"/>
  <c r="D12" i="9"/>
  <c r="A12" i="9"/>
  <c r="O11" i="9"/>
  <c r="E11" i="9"/>
  <c r="D11" i="9"/>
  <c r="A11" i="9"/>
  <c r="O63" i="9"/>
  <c r="E63" i="9"/>
  <c r="D63" i="9"/>
  <c r="A63" i="9"/>
  <c r="O62" i="9"/>
  <c r="E62" i="9"/>
  <c r="D62" i="9"/>
  <c r="A62" i="9"/>
  <c r="O61" i="9"/>
  <c r="E61" i="9"/>
  <c r="D61" i="9"/>
  <c r="A61" i="9"/>
  <c r="O60" i="9"/>
  <c r="E60" i="9"/>
  <c r="D60" i="9"/>
  <c r="A60" i="9"/>
  <c r="O59" i="9"/>
  <c r="E59" i="9"/>
  <c r="D59" i="9"/>
  <c r="A59" i="9"/>
  <c r="O58" i="9"/>
  <c r="E58" i="9"/>
  <c r="D58" i="9"/>
  <c r="A58" i="9"/>
  <c r="O57" i="9"/>
  <c r="E57" i="9"/>
  <c r="D57" i="9"/>
  <c r="A57" i="9"/>
  <c r="O56" i="9"/>
  <c r="E56" i="9"/>
  <c r="D56" i="9"/>
  <c r="A56" i="9"/>
  <c r="O55" i="9"/>
  <c r="E55" i="9"/>
  <c r="D55" i="9"/>
  <c r="A55" i="9"/>
  <c r="O54" i="9"/>
  <c r="E54" i="9"/>
  <c r="D54" i="9"/>
  <c r="A54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45" i="9"/>
  <c r="E45" i="9"/>
  <c r="D45" i="9"/>
  <c r="A45" i="9"/>
  <c r="O44" i="9"/>
  <c r="E44" i="9"/>
  <c r="D44" i="9"/>
  <c r="A44" i="9"/>
  <c r="O43" i="9"/>
  <c r="E43" i="9"/>
  <c r="D43" i="9"/>
  <c r="A43" i="9"/>
  <c r="O42" i="9"/>
  <c r="E42" i="9"/>
  <c r="D42" i="9"/>
  <c r="A42" i="9"/>
  <c r="O41" i="9"/>
  <c r="E41" i="9"/>
  <c r="D41" i="9"/>
  <c r="A41" i="9"/>
  <c r="O40" i="9"/>
  <c r="E40" i="9"/>
  <c r="D40" i="9"/>
  <c r="A40" i="9"/>
  <c r="O35" i="9"/>
  <c r="E35" i="9"/>
  <c r="D35" i="9"/>
  <c r="A35" i="9"/>
  <c r="T63" i="10"/>
  <c r="W63" i="10"/>
  <c r="V63" i="10"/>
  <c r="X63" i="10"/>
  <c r="U63" i="10"/>
  <c r="Y63" i="10"/>
  <c r="G63" i="10"/>
  <c r="J63" i="10"/>
  <c r="I63" i="10"/>
  <c r="K63" i="10"/>
  <c r="H63" i="10"/>
  <c r="L63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T58" i="10"/>
  <c r="W58" i="10"/>
  <c r="V58" i="10"/>
  <c r="X58" i="10"/>
  <c r="U58" i="10"/>
  <c r="Y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T54" i="10"/>
  <c r="W54" i="10"/>
  <c r="V54" i="10"/>
  <c r="X54" i="10"/>
  <c r="U54" i="10"/>
  <c r="Y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O10" i="9"/>
  <c r="E10" i="9"/>
  <c r="D10" i="9"/>
  <c r="A10" i="9"/>
  <c r="O9" i="9"/>
  <c r="E9" i="9"/>
  <c r="D9" i="9"/>
  <c r="A9" i="9"/>
  <c r="O8" i="9"/>
  <c r="E8" i="9"/>
  <c r="D8" i="9"/>
  <c r="A8" i="9"/>
  <c r="O7" i="9"/>
  <c r="E7" i="9"/>
  <c r="D7" i="9"/>
  <c r="A7" i="9"/>
  <c r="O6" i="9"/>
  <c r="E6" i="9"/>
  <c r="D6" i="9"/>
  <c r="A6" i="9"/>
  <c r="O5" i="9"/>
  <c r="E5" i="9"/>
  <c r="D5" i="9"/>
  <c r="A5" i="9"/>
  <c r="O4" i="9"/>
  <c r="E4" i="9"/>
  <c r="D4" i="9"/>
  <c r="A4" i="9"/>
  <c r="O3" i="9"/>
  <c r="E3" i="9"/>
  <c r="D3" i="9"/>
  <c r="A3" i="9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0" i="21"/>
  <c r="I10" i="21"/>
  <c r="J10" i="21"/>
  <c r="G10" i="21"/>
  <c r="F10" i="21"/>
  <c r="D10" i="21"/>
  <c r="C10" i="21"/>
  <c r="B6" i="21"/>
  <c r="I6" i="21"/>
  <c r="J6" i="21"/>
  <c r="G6" i="21"/>
  <c r="F6" i="21"/>
  <c r="D6" i="21"/>
  <c r="C6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E2" i="9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<sst xmlns="http://schemas.openxmlformats.org/spreadsheetml/2006/main" count="1039" uniqueCount="455">
  <si>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</si>
  <si>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</si>
  <si>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</si>
  <si>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</si>
  <si>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</si>
  <si>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</si>
  <si>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</si>
  <si>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</si>
  <si>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</si>
  <si>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</si>
  <si>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</si>
  <si>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</si>
  <si>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</si>
  <si>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</si>
  <si>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</si>
  <si>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</si>
  <si>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</si>
  <si>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</si>
  <si>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</si>
  <si>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</si>
  <si>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</si>
  <si>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</si>
  <si>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</si>
  <si>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</si>
  <si>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</si>
  <si>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</si>
  <si>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</si>
  <si>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</si>
  <si>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</si>
  <si>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</si>
  <si>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</si>
  <si>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</si>
  <si>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</si>
  <si>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</si>
  <si>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</si>
  <si>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</si>
  <si>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</si>
  <si>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</si>
  <si>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</si>
  <si>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</si>
  <si>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</si>
  <si>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</si>
  <si>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</si>
  <si>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</si>
  <si>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</si>
  <si>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</si>
  <si>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</si>
  <si>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</si>
  <si>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</si>
  <si>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</si>
  <si>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</si>
  <si>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</si>
  <si>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</si>
  <si>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</si>
  <si>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</si>
  <si>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</si>
  <si>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</si>
  <si>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</si>
  <si>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</si>
  <si>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</si>
  <si>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</si>
  <si>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</si>
  <si>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</si>
  <si>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</si>
  <si>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</si>
  <si>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</si>
  <si>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</si>
  <si>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</si>
  <si>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</si>
  <si>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</si>
  <si>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</si>
  <si>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</si>
  <si>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</si>
  <si>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</si>
  <si>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</si>
  <si>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</si>
  <si>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</si>
  <si>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</si>
  <si>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</si>
  <si>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</si>
  <si>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</si>
  <si>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</si>
  <si>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</si>
  <si>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</si>
  <si>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</si>
  <si>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</si>
  <si>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</si>
  <si>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</si>
  <si>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</si>
  <si>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</si>
  <si>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</si>
  <si>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</si>
  <si>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</si>
  <si>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</si>
  <si>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</si>
  <si>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</si>
  <si>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</si>
  <si>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</si>
  <si>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</si>
  <si>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</si>
  <si>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</si>
  <si>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</si>
  <si>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</si>
  <si>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</si>
  <si>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</si>
  <si>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</si>
  <si>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</si>
  <si>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</si>
  <si>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</si>
  <si>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</si>
  <si>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</si>
  <si>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</si>
  <si>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</si>
  <si>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</si>
  <si>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</si>
  <si>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</si>
  <si>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</si>
  <si>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</si>
  <si>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</si>
  <si>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</si>
  <si>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</si>
  <si>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</si>
  <si>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</si>
  <si>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</si>
  <si>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</si>
  <si>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</si>
  <si>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</si>
  <si>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</si>
  <si>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</si>
  <si>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</si>
  <si>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</si>
  <si>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</si>
  <si>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</si>
  <si>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</si>
  <si>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</si>
  <si>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</si>
  <si>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</si>
  <si>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</si>
  <si>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</si>
  <si>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</si>
  <si>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</si>
  <si>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</si>
  <si>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</si>
  <si>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</si>
  <si>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</si>
  <si>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</si>
  <si>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</si>
  <si>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</si>
  <si>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</si>
  <si>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</si>
  <si>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</si>
  <si>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</si>
  <si>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</si>
  <si>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</si>
  <si>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</si>
  <si>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</si>
  <si>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</si>
  <si>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</si>
  <si>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</si>
  <si>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</si>
  <si>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</si>
  <si>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</si>
  <si>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</si>
  <si>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</si>
  <si>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</si>
  <si>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</si>
  <si>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</si>
  <si>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</si>
  <si>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</si>
  <si>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</si>
  <si>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</si>
  <si>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</si>
  <si>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</si>
  <si>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</si>
  <si>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</si>
  <si>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</si>
  <si>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</si>
  <si>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</si>
  <si>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</si>
  <si>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</si>
  <si>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</si>
  <si>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</si>
  <si>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</si>
  <si>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</si>
  <si>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</si>
  <si>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</si>
  <si>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</si>
  <si>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</si>
  <si>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</si>
  <si>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</si>
  <si>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</si>
  <si>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</si>
  <si>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</si>
  <si>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</si>
  <si>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</si>
  <si>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</si>
  <si>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</si>
  <si>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</si>
  <si>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</si>
  <si>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</si>
  <si>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</si>
  <si>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</si>
  <si>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</si>
  <si>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</si>
  <si>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</si>
  <si>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</si>
  <si>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</si>
  <si>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</si>
  <si>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</si>
  <si>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</si>
  <si>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</si>
  <si>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</si>
  <si>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</si>
  <si>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</si>
  <si>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</si>
  <si>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</si>
  <si>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</si>
  <si>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</si>
  <si>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</si>
  <si>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</si>
  <si>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</si>
  <si>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</si>
  <si>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</si>
  <si>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</si>
  <si>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</si>
  <si>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</si>
  <si>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</si>
  <si>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</si>
  <si>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</si>
  <si>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</si>
  <si>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</si>
  <si>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</si>
  <si>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</si>
  <si>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</si>
  <si>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</si>
  <si>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</si>
  <si>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</si>
  <si>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</si>
  <si>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</si>
  <si>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</si>
  <si>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</si>
  <si>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</si>
  <si>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</si>
  <si>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</si>
  <si>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</si>
  <si>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</si>
  <si>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</si>
  <si>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</si>
  <si>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</si>
  <si>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</si>
  <si>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old</t>
  </si>
  <si>
    <t>null</t>
    <phoneticPr fontId="5"/>
  </si>
  <si>
    <t>種族を1つしか持たないユニットに大ダメージ</t>
    <rPh sb="16" eb="17">
      <t>ダイダメージ</t>
    </rPh>
    <phoneticPr fontId="5"/>
  </si>
  <si>
    <t>6回連続攻撃＋ボムパネル（中）6つ生成</t>
    <rPh sb="1" eb="2">
      <t>カイ</t>
    </rPh>
    <rPh sb="2" eb="6">
      <t>レンゾクコウゲキ</t>
    </rPh>
    <rPh sb="13" eb="14">
      <t>ナカ</t>
    </rPh>
    <rPh sb="17" eb="19">
      <t>セイセイ</t>
    </rPh>
    <phoneticPr fontId="5"/>
  </si>
  <si>
    <t>クリティカル＋ボムパネル（大）3つ生成</t>
    <rPh sb="13" eb="14">
      <t>ダイ</t>
    </rPh>
    <rPh sb="17" eb="19">
      <t>セイセイ</t>
    </rPh>
    <phoneticPr fontId="5"/>
  </si>
  <si>
    <t>ボムパネルを吸収して強力な攻撃（最大10個）</t>
    <rPh sb="6" eb="8">
      <t>キュウシュウ</t>
    </rPh>
    <rPh sb="10" eb="12">
      <t>キョウリョクナ</t>
    </rPh>
    <rPh sb="13" eb="15">
      <t>コウゲキ</t>
    </rPh>
    <rPh sb="16" eb="18">
      <t>サイダイ</t>
    </rPh>
    <rPh sb="20" eb="21">
      <t>コ</t>
    </rPh>
    <phoneticPr fontId="5"/>
  </si>
  <si>
    <t>状態異常耐性
＋お邪魔パネルを吸収して攻撃力UP</t>
    <rPh sb="0" eb="2">
      <t>ジョウタイイジョウ</t>
    </rPh>
    <rPh sb="2" eb="4">
      <t>イジョウ</t>
    </rPh>
    <rPh sb="4" eb="6">
      <t>タイセイ</t>
    </rPh>
    <rPh sb="15" eb="17">
      <t>キュウシュウ</t>
    </rPh>
    <rPh sb="19" eb="22">
      <t>コウゲキリョク</t>
    </rPh>
    <phoneticPr fontId="5"/>
  </si>
  <si>
    <t>2回連続攻撃＋ボムパネル（特大）2つ生成</t>
    <rPh sb="1" eb="2">
      <t>カイ</t>
    </rPh>
    <rPh sb="2" eb="6">
      <t>レンゾクコウゲキ</t>
    </rPh>
    <rPh sb="13" eb="15">
      <t>トクダイ</t>
    </rPh>
    <rPh sb="18" eb="20">
      <t>セイセイ</t>
    </rPh>
    <phoneticPr fontId="5"/>
  </si>
  <si>
    <t>[effect:fix_speed, target:myself, turn:2]</t>
    <phoneticPr fontId="5"/>
  </si>
  <si>
    <t>状態異常耐性</t>
    <rPh sb="0" eb="2">
      <t>ジョウタイイジョウ</t>
    </rPh>
    <rPh sb="2" eb="4">
      <t>イジョウ</t>
    </rPh>
    <rPh sb="4" eb="6">
      <t>タイセイ</t>
    </rPh>
    <phoneticPr fontId="5"/>
  </si>
  <si>
    <t>全体攻撃＋ボムパネル（大）3つ生成</t>
    <rPh sb="0" eb="4">
      <t>ゼンタイコウゲキ</t>
    </rPh>
    <rPh sb="11" eb="12">
      <t>ダイ</t>
    </rPh>
    <rPh sb="15" eb="17">
      <t>セイセイ</t>
    </rPh>
    <phoneticPr fontId="5"/>
  </si>
  <si>
    <t>everyone</t>
  </si>
  <si>
    <t>null</t>
  </si>
  <si>
    <t>unit</t>
  </si>
  <si>
    <t>50007_1</t>
    <phoneticPr fontId="5"/>
  </si>
  <si>
    <t>状態異常耐性＋フィーバーゲージ減少</t>
    <rPh sb="0" eb="2">
      <t>ジョウタイイジョウ</t>
    </rPh>
    <rPh sb="2" eb="4">
      <t>イジョウ</t>
    </rPh>
    <rPh sb="4" eb="6">
      <t>タイセイ</t>
    </rPh>
    <rPh sb="15" eb="17">
      <t>ゲンショウ</t>
    </rPh>
    <phoneticPr fontId="5"/>
  </si>
  <si>
    <t>赤属性のユニットに大ダメージ</t>
    <rPh sb="0" eb="3">
      <t>アカゾクセイ</t>
    </rPh>
    <rPh sb="9" eb="10">
      <t>ダイダメージ</t>
    </rPh>
    <phoneticPr fontId="5"/>
  </si>
  <si>
    <t>[effect:damage_anti_color, target:unit_all, color:red, val1:1, val2:0.25]</t>
    <phoneticPr fontId="5"/>
  </si>
  <si>
    <t>3回連続攻撃＋お邪魔パネル3個生成</t>
    <rPh sb="1" eb="2">
      <t>カイ</t>
    </rPh>
    <rPh sb="2" eb="4">
      <t>レンゾク</t>
    </rPh>
    <rPh sb="4" eb="6">
      <t>コウゲキ</t>
    </rPh>
    <rPh sb="14" eb="15">
      <t>コ</t>
    </rPh>
    <rPh sb="15" eb="17">
      <t>セイセイ</t>
    </rPh>
    <phoneticPr fontId="5"/>
  </si>
  <si>
    <t>お邪魔パネルを吸収して強力な攻撃</t>
    <rPh sb="7" eb="9">
      <t>キュウシュウ</t>
    </rPh>
    <rPh sb="11" eb="13">
      <t>キョウリョクナ</t>
    </rPh>
    <rPh sb="14" eb="16">
      <t>コウゲキ</t>
    </rPh>
    <phoneticPr fontId="5"/>
  </si>
  <si>
    <t>[effect:damage_gravity, val:0.5, animation:fevergauge_down]</t>
    <phoneticPr fontId="5"/>
  </si>
  <si>
    <t>null</t>
    <phoneticPr fontId="5"/>
  </si>
  <si>
    <t>null</t>
    <phoneticPr fontId="5"/>
  </si>
  <si>
    <t>null</t>
    <phoneticPr fontId="5"/>
  </si>
  <si>
    <t>緑パネル吸収攻撃（最大10個）</t>
    <rPh sb="0" eb="1">
      <t>ミドリ</t>
    </rPh>
    <rPh sb="4" eb="6">
      <t>キュウシュウ</t>
    </rPh>
    <rPh sb="6" eb="8">
      <t>コウゲキ</t>
    </rPh>
    <rPh sb="9" eb="11">
      <t>サイダイ</t>
    </rPh>
    <rPh sb="13" eb="14">
      <t>コ</t>
    </rPh>
    <phoneticPr fontId="5"/>
  </si>
  <si>
    <t>赤パネル吸収攻撃（最大10個）</t>
    <rPh sb="0" eb="1">
      <t>アカ</t>
    </rPh>
    <rPh sb="4" eb="6">
      <t>キュウシュウ</t>
    </rPh>
    <rPh sb="6" eb="8">
      <t>コウゲキ</t>
    </rPh>
    <rPh sb="9" eb="11">
      <t>サイダイ</t>
    </rPh>
    <rPh sb="13" eb="14">
      <t>コ</t>
    </rPh>
    <phoneticPr fontId="5"/>
  </si>
  <si>
    <t>青パネル吸収攻撃（最大10個）</t>
    <rPh sb="0" eb="1">
      <t>アオパネル</t>
    </rPh>
    <rPh sb="4" eb="6">
      <t>キュウシュウ</t>
    </rPh>
    <rPh sb="6" eb="8">
      <t>コウゲキ</t>
    </rPh>
    <rPh sb="9" eb="11">
      <t>サイダイ</t>
    </rPh>
    <rPh sb="13" eb="14">
      <t>コ</t>
    </rPh>
    <phoneticPr fontId="5"/>
  </si>
  <si>
    <t>黄パネル吸収攻撃（最大10個）</t>
    <rPh sb="0" eb="1">
      <t>キイロ</t>
    </rPh>
    <rPh sb="4" eb="6">
      <t>キュウシュウ</t>
    </rPh>
    <rPh sb="6" eb="8">
      <t>コウゲキ</t>
    </rPh>
    <rPh sb="9" eb="11">
      <t>サイダイ</t>
    </rPh>
    <rPh sb="13" eb="14">
      <t>コ</t>
    </rPh>
    <phoneticPr fontId="5"/>
  </si>
  <si>
    <t>10ターン自身の攻撃頻度UP</t>
    <rPh sb="5" eb="7">
      <t>ジシンノ</t>
    </rPh>
    <rPh sb="8" eb="12">
      <t>コウゲキヒンド</t>
    </rPh>
    <phoneticPr fontId="5"/>
  </si>
  <si>
    <t>[effect:freq_turn, target:myself, turn:10, val:1, animation:enemy_freq_turn]</t>
    <phoneticPr fontId="5"/>
  </si>
  <si>
    <t>[effect:break_attack_fix, target:unit_one, val:500, lowest_val:4000, count:10, color:green, block01:block_green]</t>
    <phoneticPr fontId="5"/>
  </si>
  <si>
    <t>[effect:break_attack_fix, target:unit_one, val:500, lowest_val:4000, count:10, color:red, block01:block_red]</t>
    <phoneticPr fontId="5"/>
  </si>
  <si>
    <t>[effect:break_attack_fix, target:unit_one, val:500, lowest_val:4000, count:10, color:blue, block01:block_blue]</t>
    <phoneticPr fontId="5"/>
  </si>
  <si>
    <t>[effect:break_attack_fix, target:unit_one, val:500, lowest_val:4000, count:10, color:yellow, block01:block_yellow]</t>
    <phoneticPr fontId="5"/>
  </si>
  <si>
    <t>5ターン強力なウィルス</t>
    <rPh sb="4" eb="6">
      <t>キョウリョクナ</t>
    </rPh>
    <phoneticPr fontId="5"/>
  </si>
  <si>
    <t>ターン経過で強くなる爆風軽減＆全体攻撃
＋時限式ダメージパネル1個生成</t>
    <rPh sb="3" eb="5">
      <t>ケイカデ</t>
    </rPh>
    <rPh sb="6" eb="7">
      <t>ツヨクナル</t>
    </rPh>
    <rPh sb="10" eb="14">
      <t>バクフウケイゲン</t>
    </rPh>
    <rPh sb="15" eb="17">
      <t>ゼンタイ</t>
    </rPh>
    <rPh sb="17" eb="19">
      <t>コウゲキ</t>
    </rPh>
    <rPh sb="21" eb="24">
      <t>ジゲンシキ</t>
    </rPh>
    <rPh sb="32" eb="33">
      <t>コ</t>
    </rPh>
    <rPh sb="33" eb="35">
      <t>セイセイ</t>
    </rPh>
    <phoneticPr fontId="5"/>
  </si>
  <si>
    <t>ターン経過で強くなる爆風軽減＆全体攻撃
＋時限式ダメージパネル2個生成</t>
    <rPh sb="3" eb="5">
      <t>ケイカデ</t>
    </rPh>
    <rPh sb="6" eb="7">
      <t>ツヨクナル</t>
    </rPh>
    <rPh sb="10" eb="14">
      <t>バクフウケイゲン</t>
    </rPh>
    <rPh sb="15" eb="17">
      <t>ゼンタイ</t>
    </rPh>
    <rPh sb="17" eb="19">
      <t>コウゲキ</t>
    </rPh>
    <rPh sb="21" eb="24">
      <t>ジゲンシキ</t>
    </rPh>
    <rPh sb="32" eb="33">
      <t>コ</t>
    </rPh>
    <rPh sb="33" eb="35">
      <t>セイセイ</t>
    </rPh>
    <phoneticPr fontId="5"/>
  </si>
  <si>
    <t>状態異常耐性
＋8ターン赤パネルが出現しない！</t>
    <rPh sb="0" eb="2">
      <t>ジョウタイイジョウ</t>
    </rPh>
    <rPh sb="2" eb="4">
      <t>イジョウ</t>
    </rPh>
    <rPh sb="4" eb="6">
      <t>タイセイ</t>
    </rPh>
    <rPh sb="12" eb="13">
      <t>アカ</t>
    </rPh>
    <rPh sb="17" eb="21">
      <t>シュツゲンリツ</t>
    </rPh>
    <phoneticPr fontId="5"/>
  </si>
  <si>
    <t>ターン経過で強くなる爆風軽減＆全体攻撃
＋時限式ダメージパネル3個生成</t>
    <rPh sb="3" eb="5">
      <t>ケイカデ</t>
    </rPh>
    <rPh sb="6" eb="7">
      <t>ツヨクナル</t>
    </rPh>
    <rPh sb="10" eb="14">
      <t>バクフウケイゲン</t>
    </rPh>
    <rPh sb="15" eb="17">
      <t>ゼンタイ</t>
    </rPh>
    <rPh sb="17" eb="19">
      <t>コウゲキ</t>
    </rPh>
    <rPh sb="21" eb="24">
      <t>ジゲンシキ</t>
    </rPh>
    <rPh sb="32" eb="33">
      <t>コ</t>
    </rPh>
    <rPh sb="33" eb="35">
      <t>セイセイ</t>
    </rPh>
    <phoneticPr fontId="5"/>
  </si>
  <si>
    <t>ターン経過で強くなる爆風軽減＆全体攻撃
＋時限式ダメージパネル4個生成</t>
    <rPh sb="3" eb="5">
      <t>ケイカデ</t>
    </rPh>
    <rPh sb="6" eb="7">
      <t>ツヨクナル</t>
    </rPh>
    <rPh sb="10" eb="14">
      <t>バクフウケイゲン</t>
    </rPh>
    <rPh sb="15" eb="17">
      <t>ゼンタイ</t>
    </rPh>
    <rPh sb="17" eb="19">
      <t>コウゲキ</t>
    </rPh>
    <rPh sb="21" eb="24">
      <t>ジゲンシキ</t>
    </rPh>
    <rPh sb="32" eb="33">
      <t>コ</t>
    </rPh>
    <rPh sb="33" eb="35">
      <t>セイセイ</t>
    </rPh>
    <phoneticPr fontId="5"/>
  </si>
  <si>
    <t>残りHPの50%を消費して攻撃力激烈UP</t>
    <rPh sb="0" eb="1">
      <t>ノコリ</t>
    </rPh>
    <rPh sb="9" eb="11">
      <t>ショウヒ</t>
    </rPh>
    <rPh sb="13" eb="16">
      <t>コウゲキリョク</t>
    </rPh>
    <rPh sb="16" eb="18">
      <t>ゲキレツ</t>
    </rPh>
    <phoneticPr fontId="5"/>
  </si>
  <si>
    <t>[effect:suicide, val:0.5, dead_type:suicide, target:myself, animation:enemy_suicide],[effect:enhance_enemy, target:myself, turn:-1, status:attack, val:0.5, animation:enemy_enhance_attack]</t>
    <phoneticPr fontId="5"/>
  </si>
  <si>
    <t>超強力な爆風軽減＆全体攻撃
＋時限式ダメージパネル5個生成</t>
    <rPh sb="0" eb="3">
      <t>チョウキョウリョクナ</t>
    </rPh>
    <rPh sb="4" eb="8">
      <t>バクフウケイゲン</t>
    </rPh>
    <rPh sb="9" eb="11">
      <t>ゼンタイ</t>
    </rPh>
    <rPh sb="11" eb="13">
      <t>コウゲキ</t>
    </rPh>
    <rPh sb="15" eb="18">
      <t>ジゲンシキ</t>
    </rPh>
    <rPh sb="26" eb="27">
      <t>コ</t>
    </rPh>
    <rPh sb="27" eb="29">
      <t>セイセイ</t>
    </rPh>
    <phoneticPr fontId="5"/>
  </si>
  <si>
    <t>null</t>
    <phoneticPr fontId="5"/>
  </si>
  <si>
    <t>全てのプラス効果を解除
＋1ターン自身の攻撃力超大UP</t>
    <rPh sb="0" eb="1">
      <t>スベテノ</t>
    </rPh>
    <rPh sb="6" eb="8">
      <t>コウカヲ</t>
    </rPh>
    <rPh sb="9" eb="11">
      <t>カイジョ</t>
    </rPh>
    <phoneticPr fontId="5"/>
  </si>
  <si>
    <t>状態異常耐性＋2ターン全属性ダメージ70%軽減
＋2ターンボムの爆風を70%DOWN</t>
    <rPh sb="0" eb="2">
      <t>ジョウタイイジョウ</t>
    </rPh>
    <rPh sb="2" eb="4">
      <t>イジョウ</t>
    </rPh>
    <rPh sb="4" eb="6">
      <t>タイセイ</t>
    </rPh>
    <rPh sb="11" eb="14">
      <t>ゼンゾクセイ</t>
    </rPh>
    <rPh sb="21" eb="23">
      <t>ケイゲン</t>
    </rPh>
    <phoneticPr fontId="5"/>
  </si>
  <si>
    <t>2ターン全属性ダメージ70%軽減
＋2ターンボムの爆風を70%DOWN</t>
    <phoneticPr fontId="5"/>
  </si>
  <si>
    <t>単体攻撃＋自身のHPを回復
＋ハートパネルを3つハートのボムパネルに変換</t>
    <rPh sb="0" eb="4">
      <t>タンタイコウゲキ</t>
    </rPh>
    <rPh sb="5" eb="7">
      <t>ジシンノ</t>
    </rPh>
    <rPh sb="11" eb="13">
      <t>カイフク</t>
    </rPh>
    <rPh sb="34" eb="36">
      <t>ヘンカン</t>
    </rPh>
    <phoneticPr fontId="5"/>
  </si>
  <si>
    <t>お邪魔パネル2個生成</t>
    <rPh sb="8" eb="10">
      <t>セイセイ</t>
    </rPh>
    <phoneticPr fontId="5"/>
  </si>
  <si>
    <t>お邪魔パネル4個生成</t>
    <rPh sb="8" eb="10">
      <t>セイセイ</t>
    </rPh>
    <phoneticPr fontId="5"/>
  </si>
  <si>
    <t>お邪魔パネル6個生成</t>
    <rPh sb="8" eb="10">
      <t>セイセイ</t>
    </rPh>
    <phoneticPr fontId="5"/>
  </si>
  <si>
    <t>残りHPの50%ダメージを連発する！</t>
    <rPh sb="0" eb="1">
      <t>ノコリ</t>
    </rPh>
    <rPh sb="13" eb="15">
      <t>レンパツ</t>
    </rPh>
    <phoneticPr fontId="5"/>
  </si>
  <si>
    <t>3ターンディスハート＋自身の攻撃力大UP</t>
    <rPh sb="11" eb="13">
      <t>ジシンノ</t>
    </rPh>
    <rPh sb="14" eb="16">
      <t>コウゲキ</t>
    </rPh>
    <rPh sb="16" eb="17">
      <t>チカラ</t>
    </rPh>
    <rPh sb="17" eb="18">
      <t>ダイ</t>
    </rPh>
    <phoneticPr fontId="5"/>
  </si>
  <si>
    <t>[effect:dis_heart, turn:3, animation:enemy_dis_heart],[effect:enhance_enemy, target:myself, turn:-1, status:attack, val:0.3, animation:enemy_enhance_attack]</t>
    <phoneticPr fontId="5"/>
  </si>
  <si>
    <t>赤属性に変化＋7000固定ダメージ</t>
    <rPh sb="0" eb="1">
      <t>アカ</t>
    </rPh>
    <rPh sb="1" eb="3">
      <t>ミドリゾクセイ</t>
    </rPh>
    <rPh sb="4" eb="6">
      <t>ヘンカ</t>
    </rPh>
    <rPh sb="11" eb="13">
      <t>コテイ</t>
    </rPh>
    <phoneticPr fontId="5"/>
  </si>
  <si>
    <t>[effect:change_attribute, target:myself, color:red, turn:-1, animation:change_attribute_red],[effect:damage_fix_absolute, target:unit_one, val:7000]</t>
    <phoneticPr fontId="5"/>
  </si>
  <si>
    <t>[effect:change_attribute, target:myself, color:blue, turn:-1, animation:change_attribute_blue],[effect:damage_fix_absolute, target:unit_one, val:7000]</t>
    <phoneticPr fontId="5"/>
  </si>
  <si>
    <t>[effect:change_attribute, target:myself, color:yellow, turn:-1, animation:change_attribute_yellow],[effect:damage_fix_absolute, target:unit_one, val:7000]</t>
    <phoneticPr fontId="5"/>
  </si>
  <si>
    <t>青属性に変化＋7000固定ダメージ</t>
    <rPh sb="0" eb="1">
      <t>アオ</t>
    </rPh>
    <rPh sb="1" eb="3">
      <t>ミドリゾクセイ</t>
    </rPh>
    <rPh sb="4" eb="6">
      <t>ヘンカ</t>
    </rPh>
    <phoneticPr fontId="5"/>
  </si>
  <si>
    <t>黄属性に変化＋7000固定ダメージ</t>
    <rPh sb="0" eb="1">
      <t>キイロ</t>
    </rPh>
    <rPh sb="1" eb="3">
      <t>ゾクセイ</t>
    </rPh>
    <rPh sb="4" eb="6">
      <t>ヘンカ</t>
    </rPh>
    <phoneticPr fontId="5"/>
  </si>
  <si>
    <t>単体攻撃＋1ターン全属性ダメージ30%軽減
＋ボムパネル（特大）2つ生成</t>
    <rPh sb="0" eb="4">
      <t>タンタイコウゲキ</t>
    </rPh>
    <rPh sb="9" eb="12">
      <t>ゼンゾクセイ</t>
    </rPh>
    <rPh sb="19" eb="21">
      <t>ケイゲン</t>
    </rPh>
    <rPh sb="29" eb="31">
      <t>トクダイ</t>
    </rPh>
    <rPh sb="34" eb="36">
      <t>セイセイ</t>
    </rPh>
    <phoneticPr fontId="5"/>
  </si>
  <si>
    <t>単体攻撃＋1ターン全属性カウンター（弱）
＋ボムパネル（特大）2つ生成</t>
    <rPh sb="0" eb="4">
      <t>タンタイコウゲキ</t>
    </rPh>
    <rPh sb="9" eb="12">
      <t>ゼンゾクセイ</t>
    </rPh>
    <rPh sb="18" eb="19">
      <t>ヨワイ</t>
    </rPh>
    <phoneticPr fontId="5"/>
  </si>
  <si>
    <t>1ターン全体スキルバインド
【次のターンHP50%以上あると即死攻撃発動】</t>
    <rPh sb="4" eb="6">
      <t>ゼンタイ</t>
    </rPh>
    <rPh sb="15" eb="16">
      <t>ツギノターン</t>
    </rPh>
    <rPh sb="25" eb="27">
      <t>イジョウ</t>
    </rPh>
    <rPh sb="30" eb="32">
      <t>ソクシキュウ</t>
    </rPh>
    <rPh sb="32" eb="34">
      <t>ワリアイコウゲキ</t>
    </rPh>
    <rPh sb="34" eb="36">
      <t>ハツドウ</t>
    </rPh>
    <phoneticPr fontId="5"/>
  </si>
  <si>
    <t>1ターン全体スキルバインド
【次のターン即死攻撃発動】</t>
    <rPh sb="4" eb="6">
      <t>ゼンタイ</t>
    </rPh>
    <rPh sb="15" eb="16">
      <t>ツギノターン</t>
    </rPh>
    <rPh sb="20" eb="22">
      <t>ソクシキュウ</t>
    </rPh>
    <rPh sb="22" eb="24">
      <t>ワリアイコウゲキ</t>
    </rPh>
    <rPh sb="24" eb="26">
      <t>ハツドウ</t>
    </rPh>
    <phoneticPr fontId="5"/>
  </si>
  <si>
    <t>ギルを倒すって？あはは！</t>
    <rPh sb="3" eb="4">
      <t>タオス</t>
    </rPh>
    <phoneticPr fontId="5"/>
  </si>
  <si>
    <t>ぶおぉぉぉーん！</t>
    <phoneticPr fontId="5"/>
  </si>
  <si>
    <t>無理だと思うな〜！ここで僕に負けるんだから！</t>
    <rPh sb="0" eb="2">
      <t>ムリダト</t>
    </rPh>
    <rPh sb="4" eb="5">
      <t>オモウナ</t>
    </rPh>
    <rPh sb="12" eb="13">
      <t>ボクニ</t>
    </rPh>
    <rPh sb="14" eb="15">
      <t>マケル</t>
    </rPh>
    <phoneticPr fontId="5"/>
  </si>
  <si>
    <t>キタキタ！熱いのがキター！</t>
    <rPh sb="5" eb="6">
      <t>アツイノ</t>
    </rPh>
    <phoneticPr fontId="5"/>
  </si>
  <si>
    <t>今度は冷たいの！キテるよー！</t>
    <rPh sb="0" eb="2">
      <t>コンドハ</t>
    </rPh>
    <rPh sb="3" eb="4">
      <t>ツメタイ</t>
    </rPh>
    <phoneticPr fontId="5"/>
  </si>
  <si>
    <t>これは苦手なんじゃないかな〜！</t>
    <rPh sb="3" eb="5">
      <t>ニガテ</t>
    </rPh>
    <phoneticPr fontId="5"/>
  </si>
  <si>
    <t>ぶおぉぉぉん！</t>
    <phoneticPr fontId="5"/>
  </si>
  <si>
    <t>もう手加減しないもんね〜！</t>
    <rPh sb="2" eb="5">
      <t>テカゲン</t>
    </rPh>
    <phoneticPr fontId="5"/>
  </si>
  <si>
    <t>ぶぉぉぉぉーん！</t>
    <phoneticPr fontId="5"/>
  </si>
  <si>
    <t>母様がギル様の元にいる限り…
わたしの主人もギル様です</t>
    <rPh sb="0" eb="2">
      <t>カアサマ</t>
    </rPh>
    <rPh sb="5" eb="6">
      <t>サマ</t>
    </rPh>
    <rPh sb="7" eb="8">
      <t>モトニ</t>
    </rPh>
    <rPh sb="11" eb="12">
      <t>カギリ</t>
    </rPh>
    <rPh sb="19" eb="21">
      <t>シュジンモ</t>
    </rPh>
    <rPh sb="24" eb="25">
      <t>サマ</t>
    </rPh>
    <phoneticPr fontId="5"/>
  </si>
  <si>
    <t>降伏しなさい</t>
    <rPh sb="0" eb="2">
      <t>コウフク</t>
    </rPh>
    <phoneticPr fontId="5"/>
  </si>
  <si>
    <t>さすれば手荒な事はいたしません</t>
    <rPh sb="4" eb="6">
      <t>テアラ</t>
    </rPh>
    <rPh sb="7" eb="8">
      <t>コトハ</t>
    </rPh>
    <phoneticPr fontId="5"/>
  </si>
  <si>
    <t>あくまで退かぬと言うのですか</t>
    <rPh sb="4" eb="5">
      <t>ヒカヌ</t>
    </rPh>
    <rPh sb="8" eb="9">
      <t>イウ</t>
    </rPh>
    <phoneticPr fontId="5"/>
  </si>
  <si>
    <t>なぜそこまでするのです？</t>
    <phoneticPr fontId="5"/>
  </si>
  <si>
    <t>わたしに本気を出させないで下さい</t>
    <rPh sb="4" eb="6">
      <t>ホンキヲ</t>
    </rPh>
    <rPh sb="7" eb="8">
      <t>ダサセナイ</t>
    </rPh>
    <rPh sb="13" eb="14">
      <t>クダサイ</t>
    </rPh>
    <phoneticPr fontId="5"/>
  </si>
  <si>
    <t>同胞の恨み</t>
    <rPh sb="0" eb="2">
      <t>ドウホウノ</t>
    </rPh>
    <rPh sb="3" eb="4">
      <t>ウラミ</t>
    </rPh>
    <phoneticPr fontId="5"/>
  </si>
  <si>
    <t>異端審問</t>
    <rPh sb="0" eb="4">
      <t>イタンシンモン</t>
    </rPh>
    <phoneticPr fontId="5"/>
  </si>
  <si>
    <t>オマエか？ティアに手を出したのは！</t>
    <rPh sb="9" eb="10">
      <t>テヲ</t>
    </rPh>
    <rPh sb="11" eb="12">
      <t>ダシタノ</t>
    </rPh>
    <phoneticPr fontId="5"/>
  </si>
  <si>
    <t>正義の剣を受けてみろ！</t>
    <rPh sb="0" eb="2">
      <t>セイギノ</t>
    </rPh>
    <rPh sb="3" eb="4">
      <t>ケン</t>
    </rPh>
    <rPh sb="5" eb="6">
      <t>ウケテミロ</t>
    </rPh>
    <phoneticPr fontId="5"/>
  </si>
  <si>
    <t>みんなのためにオレが裁く！</t>
    <rPh sb="10" eb="11">
      <t>サバク</t>
    </rPh>
    <phoneticPr fontId="5"/>
  </si>
  <si>
    <t>駒がなくちゃ戦いは始まらねー</t>
    <rPh sb="0" eb="1">
      <t>コマガ</t>
    </rPh>
    <rPh sb="6" eb="7">
      <t>タタカイハ</t>
    </rPh>
    <rPh sb="9" eb="10">
      <t>ハジマラナイ</t>
    </rPh>
    <phoneticPr fontId="5"/>
  </si>
  <si>
    <t>だってギルは…
あたしを見捨てたりしない</t>
    <rPh sb="12" eb="14">
      <t>ミステタリ</t>
    </rPh>
    <phoneticPr fontId="5"/>
  </si>
  <si>
    <t>お邪魔パネル8個生成＋力を使い切って消滅した！</t>
    <rPh sb="8" eb="10">
      <t>セイセイ</t>
    </rPh>
    <rPh sb="11" eb="12">
      <t>チカラヲ</t>
    </rPh>
    <rPh sb="13" eb="14">
      <t>ツカイキッテ</t>
    </rPh>
    <rPh sb="18" eb="20">
      <t>ショウメツ</t>
    </rPh>
    <phoneticPr fontId="5"/>
  </si>
  <si>
    <t>単純な攻撃が通じないなら…！</t>
    <rPh sb="0" eb="2">
      <t>タンジュンナ</t>
    </rPh>
    <rPh sb="3" eb="5">
      <t>コウゲキガ</t>
    </rPh>
    <rPh sb="6" eb="7">
      <t>ツウジナイ</t>
    </rPh>
    <phoneticPr fontId="5"/>
  </si>
  <si>
    <t>ねぇ、あたしとギルのこと！
邪魔しないでくれる？</t>
    <rPh sb="14" eb="16">
      <t>ジャマシナイ</t>
    </rPh>
    <phoneticPr fontId="5"/>
  </si>
  <si>
    <t>ここで帰ってもらうわよ</t>
    <rPh sb="3" eb="4">
      <t>カエッテ</t>
    </rPh>
    <phoneticPr fontId="5"/>
  </si>
  <si>
    <t>灰色の海に溺れなさい！</t>
    <rPh sb="0" eb="1">
      <t>ハイイロノ</t>
    </rPh>
    <rPh sb="1" eb="2">
      <t>イロ</t>
    </rPh>
    <rPh sb="3" eb="4">
      <t>ウミ</t>
    </rPh>
    <rPh sb="5" eb="6">
      <t>オボレナサイ</t>
    </rPh>
    <phoneticPr fontId="5"/>
  </si>
  <si>
    <t>あたしは自分の手で自由を掴むの！</t>
    <rPh sb="4" eb="6">
      <t>ジブンノテデ</t>
    </rPh>
    <rPh sb="9" eb="11">
      <t>ジユウヲ</t>
    </rPh>
    <rPh sb="12" eb="13">
      <t>ツカムノ</t>
    </rPh>
    <phoneticPr fontId="5"/>
  </si>
  <si>
    <t>あなたの動き…見切ったわ！</t>
    <rPh sb="4" eb="5">
      <t>ウゴキ</t>
    </rPh>
    <rPh sb="7" eb="9">
      <t>ミキッタ</t>
    </rPh>
    <phoneticPr fontId="5"/>
  </si>
  <si>
    <t>効いてるはずよね…？
あたしの攻撃！</t>
    <rPh sb="0" eb="1">
      <t>キイテル</t>
    </rPh>
    <rPh sb="15" eb="17">
      <t>コウゲキ</t>
    </rPh>
    <phoneticPr fontId="5"/>
  </si>
  <si>
    <t>あたしにも夢があるの！
好きにはさせないわ！</t>
    <rPh sb="5" eb="6">
      <t>ユメガ</t>
    </rPh>
    <rPh sb="12" eb="13">
      <t>スキニハサセナイ</t>
    </rPh>
    <phoneticPr fontId="5"/>
  </si>
  <si>
    <t>しぶといわね…あなたたち…！</t>
    <phoneticPr fontId="5"/>
  </si>
  <si>
    <t>ギルに食ってかかるだけはあるわ…</t>
    <rPh sb="3" eb="4">
      <t>クッテカカル</t>
    </rPh>
    <phoneticPr fontId="5"/>
  </si>
  <si>
    <t>でも…不安は全然ないわ</t>
    <rPh sb="3" eb="5">
      <t>フアン</t>
    </rPh>
    <rPh sb="6" eb="8">
      <t>ゼンゼン</t>
    </rPh>
    <phoneticPr fontId="5"/>
  </si>
  <si>
    <t>絶対にぜーったいに助けてくれるもの！</t>
    <rPh sb="0" eb="2">
      <t>ゼッタイ</t>
    </rPh>
    <rPh sb="9" eb="10">
      <t>タスケテ</t>
    </rPh>
    <phoneticPr fontId="5"/>
  </si>
  <si>
    <t>だから…あたしの力を…！</t>
    <rPh sb="8" eb="9">
      <t>チカラヲ</t>
    </rPh>
    <phoneticPr fontId="5"/>
  </si>
  <si>
    <t>裁きの剣閃！十字斬り！</t>
    <rPh sb="0" eb="1">
      <t>サバキ</t>
    </rPh>
    <rPh sb="3" eb="4">
      <t>ケンセン</t>
    </rPh>
    <rPh sb="4" eb="5">
      <t>センコウ</t>
    </rPh>
    <rPh sb="6" eb="8">
      <t>ジュウジ</t>
    </rPh>
    <rPh sb="8" eb="9">
      <t>キリ</t>
    </rPh>
    <phoneticPr fontId="5"/>
  </si>
  <si>
    <t>いけ！敵を薙ぎ払え！</t>
    <rPh sb="3" eb="4">
      <t>テキヲ</t>
    </rPh>
    <rPh sb="5" eb="6">
      <t>ナギハラエ</t>
    </rPh>
    <phoneticPr fontId="5"/>
  </si>
  <si>
    <t>オレの相手に相応しいか、試してやる！</t>
    <rPh sb="3" eb="5">
      <t>アイテニ</t>
    </rPh>
    <rPh sb="6" eb="8">
      <t>フサワシイカ</t>
    </rPh>
    <rPh sb="12" eb="13">
      <t>タメシテヤル</t>
    </rPh>
    <phoneticPr fontId="5"/>
  </si>
  <si>
    <t>種族を1つしか持たないユニットに超大ダメージ</t>
    <rPh sb="16" eb="17">
      <t>チョウ</t>
    </rPh>
    <rPh sb="17" eb="18">
      <t>ダイダメージ</t>
    </rPh>
    <phoneticPr fontId="5"/>
  </si>
  <si>
    <t>なかなかやるじゃねーか…
だったら「全員」で相手してやる！！</t>
    <rPh sb="18" eb="20">
      <t>ゼンイン</t>
    </rPh>
    <rPh sb="22" eb="24">
      <t>アイテ</t>
    </rPh>
    <phoneticPr fontId="5"/>
  </si>
  <si>
    <t>この一手で突破口を見出す！</t>
    <rPh sb="2" eb="4">
      <t>イッテ</t>
    </rPh>
    <rPh sb="5" eb="8">
      <t>トッパコウ</t>
    </rPh>
    <rPh sb="9" eb="11">
      <t>ミイダス</t>
    </rPh>
    <phoneticPr fontId="5"/>
  </si>
  <si>
    <t>チッ！態勢を立て直すか…！</t>
    <rPh sb="3" eb="5">
      <t>タイセイヲ</t>
    </rPh>
    <rPh sb="6" eb="7">
      <t>タテナオス</t>
    </rPh>
    <phoneticPr fontId="5"/>
  </si>
  <si>
    <t>油断禁物だぜ
ここから逆転してやるよ！</t>
    <rPh sb="0" eb="4">
      <t>ユダンキンモツ</t>
    </rPh>
    <rPh sb="11" eb="13">
      <t>ギャクテn</t>
    </rPh>
    <phoneticPr fontId="5"/>
  </si>
  <si>
    <t>スマザードメイト！オレの勝ちだ！</t>
    <rPh sb="12" eb="13">
      <t>カチダ</t>
    </rPh>
    <phoneticPr fontId="5"/>
  </si>
  <si>
    <t>残りHPの300%ダメージ！</t>
    <rPh sb="0" eb="1">
      <t>ノコリ</t>
    </rPh>
    <phoneticPr fontId="5"/>
  </si>
  <si>
    <t>チェックメイト！オレの逆転勝利だ！</t>
    <rPh sb="11" eb="15">
      <t>ギャクテンショウリ</t>
    </rPh>
    <phoneticPr fontId="5"/>
  </si>
  <si>
    <t>これで終わらせるぞ、クイーン！</t>
    <rPh sb="3" eb="4">
      <t>オワラセル</t>
    </rPh>
    <phoneticPr fontId="5"/>
  </si>
  <si>
    <t>敵を撹乱しろ！ナイト！</t>
    <rPh sb="0" eb="1">
      <t>テキヲ</t>
    </rPh>
    <rPh sb="2" eb="4">
      <t>カクラン</t>
    </rPh>
    <phoneticPr fontId="5"/>
  </si>
  <si>
    <t>このまま進撃だ！ルーク！</t>
    <rPh sb="4" eb="6">
      <t>シンゲキ</t>
    </rPh>
    <phoneticPr fontId="5"/>
  </si>
  <si>
    <t>味方の援護だ！ビショップ！</t>
    <rPh sb="0" eb="2">
      <t>ミカタノ</t>
    </rPh>
    <rPh sb="3" eb="5">
      <t>エンゴ</t>
    </rPh>
    <phoneticPr fontId="5"/>
  </si>
  <si>
    <t>潜り込め！ルーク！</t>
    <rPh sb="0" eb="1">
      <t>モグリコメ</t>
    </rPh>
    <phoneticPr fontId="5"/>
  </si>
  <si>
    <t>この瞬間を見逃すな！ナイト！</t>
    <rPh sb="2" eb="4">
      <t>シュンカン</t>
    </rPh>
    <rPh sb="5" eb="7">
      <t>ミノガスナ</t>
    </rPh>
    <phoneticPr fontId="5"/>
  </si>
  <si>
    <t>攻撃陣を支えろ！ビショップ！</t>
    <rPh sb="0" eb="2">
      <t>コウゲキ</t>
    </rPh>
    <rPh sb="2" eb="3">
      <t>ジン</t>
    </rPh>
    <rPh sb="4" eb="5">
      <t>ササエロ</t>
    </rPh>
    <phoneticPr fontId="5"/>
  </si>
  <si>
    <t>よし！追いつめろ、クイーン！</t>
    <rPh sb="3" eb="4">
      <t>オイツメロ</t>
    </rPh>
    <phoneticPr fontId="5"/>
  </si>
  <si>
    <t>深海に引きずり込んであげる！</t>
    <rPh sb="0" eb="2">
      <t>シンカイ</t>
    </rPh>
    <rPh sb="3" eb="4">
      <t>ヒキズリコンデ</t>
    </rPh>
    <phoneticPr fontId="5"/>
  </si>
  <si>
    <t>あたしはここまでね
…引き際はわきまえてるつもりよ</t>
    <rPh sb="11" eb="12">
      <t>ヒキギワ</t>
    </rPh>
    <phoneticPr fontId="5"/>
  </si>
  <si>
    <t>この一手で陣形を切り崩す！</t>
    <rPh sb="2" eb="4">
      <t>イッテデ</t>
    </rPh>
    <rPh sb="5" eb="7">
      <t>ジンケイ</t>
    </rPh>
    <rPh sb="8" eb="9">
      <t>キリクズス</t>
    </rPh>
    <phoneticPr fontId="5"/>
  </si>
  <si>
    <t>[effect:enemy_message, val1:1.4, val2:1.8, dead_type:suicide],[effect:break_attack_fix, target:unit_one, val:3000, lowest_val:10000, count:10, color:red, block01:crack_bomb]</t>
    <phoneticPr fontId="5"/>
  </si>
  <si>
    <t>[effect:enemy_message, val1:1.4, val2:2.2, dead_type:suicide],[effect:fix_speed,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t>
    <phoneticPr fontId="5"/>
  </si>
  <si>
    <t>[effect:enemy_message, val1:1.4, val2:2.4, dead_type:suicide],[effect:fix_speed, target:myself, turn:1],[effect:tolerance, target:myself, turn:-1, tolerance_effect:all, count:-1, animation:enemy_tolerance]</t>
    <phoneticPr fontId="5"/>
  </si>
  <si>
    <t>[effect:enemy_message, val1:1.4, val2:1.8, dead_type:suicide],[effect:fix_speed, target:myself, turn:1],[effect:tolerance, target:myself, turn:-1, tolerance_effect:all, count:-1, animation:enemy_tolerance],[effect:degrade_fever, val:1000, animation:fevergauge_down]</t>
    <phoneticPr fontId="5"/>
  </si>
  <si>
    <t>[effect:enemy_message, val1:1.4, val2:1.8, dead_type:suicide],[effect:break_attack_fix, target:unit_one, val:2000, lowest_val:10000, count:-1, color:blue, block01:jammer]</t>
    <phoneticPr fontId="5"/>
  </si>
  <si>
    <t>[effect:enemy_message, val1:2.0, val2:1.8, dead_type:suicide],[effect:fix_speed, target:myself, turn:1],[effect:tolerance, target:myself, turn:-1, tolerance_effect:all, count:-1, animation:enemy_tolerance]</t>
    <phoneticPr fontId="5"/>
  </si>
  <si>
    <t>[effect:enemy_message, val1:2.2, val2:2.2, dead_type:suicide],[effect:fix_speed, target:myself, turn:1],[effect:tolerance, target:myself, turn:-1, tolerance_effect:all, count:-1, animation:enemy_tolerance],[effect:change_panel_ratio, turn:8, block_type:red, val:0, animation:block_incidence04]</t>
    <phoneticPr fontId="5"/>
  </si>
  <si>
    <t>エンキドゥ、残念だぜ…
もう昔みたいには戻れないんだな</t>
    <rPh sb="6" eb="8">
      <t>ザンネン</t>
    </rPh>
    <rPh sb="14" eb="15">
      <t>ムカシミタイニ</t>
    </rPh>
    <rPh sb="20" eb="21">
      <t>モドレナイ</t>
    </rPh>
    <phoneticPr fontId="5"/>
  </si>
  <si>
    <t>オマエ、セトか？
自ら「粛清」されに来るとは殊勝だな！</t>
    <rPh sb="9" eb="10">
      <t>ミズカラ</t>
    </rPh>
    <rPh sb="12" eb="14">
      <t>シュクセイ</t>
    </rPh>
    <rPh sb="18" eb="19">
      <t>クルトハ</t>
    </rPh>
    <rPh sb="22" eb="24">
      <t>シュショウ</t>
    </rPh>
    <phoneticPr fontId="5"/>
  </si>
  <si>
    <t>[effect:enemy_message, val1:2.0, val2:2.2, dead_type:suicide],[effect:fix_speed,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t>
    <phoneticPr fontId="5"/>
  </si>
  <si>
    <t>null</t>
    <phoneticPr fontId="5"/>
  </si>
  <si>
    <t>ここでリザインするしかないみたいだ
…ティア、ごめんな</t>
    <phoneticPr fontId="5"/>
  </si>
  <si>
    <t>ハハッ…オマエ強ぇな…
しかも真っ直ぐな力で…</t>
    <rPh sb="7" eb="8">
      <t>ツヨイ</t>
    </rPh>
    <rPh sb="15" eb="16">
      <t>マッスグ</t>
    </rPh>
    <rPh sb="20" eb="21">
      <t>チカラダ</t>
    </rPh>
    <phoneticPr fontId="5"/>
  </si>
  <si>
    <t>リザイン…だ
オレの力不足が招いた結果か…</t>
    <rPh sb="10" eb="13">
      <t>チカラブソク</t>
    </rPh>
    <rPh sb="14" eb="15">
      <t>マネイタ</t>
    </rPh>
    <rPh sb="17" eb="19">
      <t>ケッカ</t>
    </rPh>
    <phoneticPr fontId="5"/>
  </si>
  <si>
    <t>これでオマエの罪が消えるわけじゃない
それだけは覚えておけよ…！</t>
    <rPh sb="7" eb="8">
      <t>ツミガ</t>
    </rPh>
    <rPh sb="9" eb="10">
      <t>キエル</t>
    </rPh>
    <rPh sb="24" eb="25">
      <t>オボエテ</t>
    </rPh>
    <phoneticPr fontId="5"/>
  </si>
  <si>
    <t>さすがオレの認めた相棒だ…
リザインだよ</t>
    <rPh sb="6" eb="7">
      <t>ミトメタ</t>
    </rPh>
    <rPh sb="9" eb="11">
      <t>アイボウ</t>
    </rPh>
    <phoneticPr fontId="5"/>
  </si>
  <si>
    <t>でもオレは、この道が間違ってるとは思わない
何度だってやり直すぞ…エンキドゥ…！</t>
    <rPh sb="8" eb="9">
      <t>ミチガ</t>
    </rPh>
    <rPh sb="10" eb="12">
      <t>マチガッテル</t>
    </rPh>
    <rPh sb="17" eb="18">
      <t>オモワナイ</t>
    </rPh>
    <rPh sb="22" eb="24">
      <t>ナンドダッテ</t>
    </rPh>
    <phoneticPr fontId="5"/>
  </si>
  <si>
    <t>[effect:enemy_message, val1:2.0, val2:2.8, dead_type:suicide]</t>
    <phoneticPr fontId="5"/>
  </si>
  <si>
    <t>[effect:enemy_message, val1:2.0, val2:3.2, dead_type:suicide]</t>
    <phoneticPr fontId="5"/>
  </si>
  <si>
    <t>[effect:enemy_message, val1:2.2, val2:2.8, dead_type:suicide],[effect:fix_speed, target:myself, turn:1],[effect:tolerance, target:myself, turn:-1, tolerance_effect:all, count:-1, animation:enemy_tolerance],[effect:reduction, target:myself, turn:2, color:all, val:0.7, animation:reduction_one01],[effect:change_bomb_range, val:0.3, rate:1, turn:2, animation:bomb_small]</t>
    <phoneticPr fontId="5"/>
  </si>
  <si>
    <t>バショー達はどちらかが倒れると
もう片方が厄介な技を仕掛けてきます
十分に余裕のある時に倒すか
同時に撃破してしまいましょう</t>
    <rPh sb="4" eb="5">
      <t>タチ</t>
    </rPh>
    <rPh sb="11" eb="12">
      <t>タオレルト</t>
    </rPh>
    <rPh sb="21" eb="23">
      <t>ヤッカイナ</t>
    </rPh>
    <rPh sb="24" eb="25">
      <t>ワザ</t>
    </rPh>
    <rPh sb="26" eb="28">
      <t>シカケテ</t>
    </rPh>
    <rPh sb="35" eb="37">
      <t>ジュウブンニ</t>
    </rPh>
    <rPh sb="38" eb="40">
      <t>ヨユウ</t>
    </rPh>
    <rPh sb="43" eb="44">
      <t>トキニ</t>
    </rPh>
    <rPh sb="45" eb="46">
      <t>タオス</t>
    </rPh>
    <rPh sb="49" eb="51">
      <t>ドウジ</t>
    </rPh>
    <rPh sb="52" eb="54">
      <t>ゲキハ</t>
    </rPh>
    <phoneticPr fontId="5"/>
  </si>
  <si>
    <t>パズズは自身の現在の属性と
同じ色のパネルを吸収して攻撃してきます
盤面の状態を考えながら戦いましょう</t>
    <rPh sb="4" eb="6">
      <t>ジシンノ</t>
    </rPh>
    <rPh sb="7" eb="9">
      <t>ゲンザイノ</t>
    </rPh>
    <rPh sb="10" eb="12">
      <t>ゾクセイ</t>
    </rPh>
    <rPh sb="14" eb="15">
      <t>オナジ</t>
    </rPh>
    <rPh sb="16" eb="17">
      <t>イロ</t>
    </rPh>
    <rPh sb="22" eb="24">
      <t>キュウシュウ</t>
    </rPh>
    <rPh sb="26" eb="28">
      <t>コウゲキ</t>
    </rPh>
    <rPh sb="35" eb="37">
      <t>バンメン</t>
    </rPh>
    <rPh sb="38" eb="40">
      <t>ジョウタイ</t>
    </rPh>
    <rPh sb="41" eb="42">
      <t>カンガエナガラ</t>
    </rPh>
    <rPh sb="46" eb="47">
      <t>タタカイ</t>
    </rPh>
    <phoneticPr fontId="5"/>
  </si>
  <si>
    <t>ウシュムガルの行動はターンが進むと
どんどん強力なものに変化していきます
手がつけられなくなる前に仕掛けましょう</t>
    <rPh sb="7" eb="9">
      <t>コウドウハ</t>
    </rPh>
    <rPh sb="14" eb="15">
      <t>ススム</t>
    </rPh>
    <rPh sb="22" eb="24">
      <t>キョウリョクナ</t>
    </rPh>
    <rPh sb="28" eb="30">
      <t>ヘンカ</t>
    </rPh>
    <rPh sb="38" eb="39">
      <t>テガツケラレナク</t>
    </rPh>
    <rPh sb="48" eb="49">
      <t>マエニ</t>
    </rPh>
    <rPh sb="50" eb="52">
      <t>シカケマショウ</t>
    </rPh>
    <phoneticPr fontId="5"/>
  </si>
  <si>
    <t>ウシュムガルはHPが半分を切ると
自身のHPを犠牲に攻撃力を激烈UPします
非常に危険なので
倒しきる力を残しておきましょう</t>
    <rPh sb="10" eb="12">
      <t>ハンブン</t>
    </rPh>
    <rPh sb="13" eb="14">
      <t>キルト</t>
    </rPh>
    <rPh sb="17" eb="19">
      <t>ジシンノ</t>
    </rPh>
    <rPh sb="23" eb="25">
      <t>ギセイ</t>
    </rPh>
    <rPh sb="26" eb="29">
      <t>コウゲキリョク</t>
    </rPh>
    <rPh sb="30" eb="32">
      <t>ゲキレツ</t>
    </rPh>
    <rPh sb="39" eb="41">
      <t>ヒジョウニ</t>
    </rPh>
    <rPh sb="42" eb="44">
      <t>キケン</t>
    </rPh>
    <rPh sb="48" eb="49">
      <t>タオシ</t>
    </rPh>
    <rPh sb="52" eb="53">
      <t>チカラヲ</t>
    </rPh>
    <rPh sb="54" eb="55">
      <t>ノコシテオキマショウ</t>
    </rPh>
    <phoneticPr fontId="5"/>
  </si>
  <si>
    <t>ティアマトはお邪魔パネルを生成し
特定のタイミングで吸収して攻撃を放ちます
まともに受けないように警戒しましょう</t>
    <rPh sb="13" eb="15">
      <t>セイセイ</t>
    </rPh>
    <rPh sb="17" eb="19">
      <t>トクテイノ</t>
    </rPh>
    <rPh sb="26" eb="28">
      <t>キュウシュウ</t>
    </rPh>
    <rPh sb="30" eb="32">
      <t>コウゲキ</t>
    </rPh>
    <rPh sb="33" eb="34">
      <t>ハナチマス</t>
    </rPh>
    <rPh sb="43" eb="44">
      <t>ウケテ</t>
    </rPh>
    <rPh sb="50" eb="52">
      <t>ケイカイ</t>
    </rPh>
    <phoneticPr fontId="5"/>
  </si>
  <si>
    <t>ティアマトがウィルスを仕掛けてきたら
それ以降は割合ダメージを連発してきます
力尽きない事を最優先に考えましょう</t>
    <rPh sb="11" eb="13">
      <t>シカケテ</t>
    </rPh>
    <rPh sb="21" eb="23">
      <t>イコウハ</t>
    </rPh>
    <rPh sb="24" eb="26">
      <t>ワリアイ</t>
    </rPh>
    <rPh sb="31" eb="33">
      <t>レンパツ</t>
    </rPh>
    <rPh sb="40" eb="41">
      <t>チカラ</t>
    </rPh>
    <rPh sb="41" eb="42">
      <t>チカラツキナイ</t>
    </rPh>
    <rPh sb="45" eb="46">
      <t>コト</t>
    </rPh>
    <rPh sb="47" eb="50">
      <t>サイユウセン</t>
    </rPh>
    <rPh sb="51" eb="52">
      <t>カンガエマショウ</t>
    </rPh>
    <phoneticPr fontId="5"/>
  </si>
  <si>
    <t>ギルガメッシュは戦闘開始時に
盤面のお邪魔パネルを吸収して強くなります
先んじて対策しておくと有利に戦えます</t>
    <rPh sb="8" eb="13">
      <t>セントウカイシジ</t>
    </rPh>
    <rPh sb="15" eb="17">
      <t>バンメン</t>
    </rPh>
    <rPh sb="25" eb="27">
      <t>キュウシュウ</t>
    </rPh>
    <rPh sb="29" eb="30">
      <t>ツヨクナリマス</t>
    </rPh>
    <rPh sb="37" eb="38">
      <t>サキンジテ</t>
    </rPh>
    <rPh sb="41" eb="43">
      <t>タイサク</t>
    </rPh>
    <rPh sb="48" eb="50">
      <t>ユウリニ</t>
    </rPh>
    <rPh sb="51" eb="52">
      <t>タタカエマス</t>
    </rPh>
    <phoneticPr fontId="5"/>
  </si>
  <si>
    <t>ギルガメッシュは6つの駒を駆使して戦い
最後に本命の駒で追い詰め
即死攻撃を仕掛けてきます
その前に何としても撃破しましょう</t>
    <rPh sb="11" eb="12">
      <t>コマ</t>
    </rPh>
    <rPh sb="13" eb="15">
      <t>クシシテ</t>
    </rPh>
    <rPh sb="17" eb="18">
      <t>タタカイ</t>
    </rPh>
    <rPh sb="20" eb="22">
      <t>サイゴニ</t>
    </rPh>
    <rPh sb="23" eb="25">
      <t>ホンメイ</t>
    </rPh>
    <rPh sb="26" eb="27">
      <t>コマ</t>
    </rPh>
    <rPh sb="28" eb="29">
      <t>オイツメテ</t>
    </rPh>
    <rPh sb="33" eb="35">
      <t>ソクシ</t>
    </rPh>
    <rPh sb="35" eb="37">
      <t>コウゲキヲ</t>
    </rPh>
    <rPh sb="38" eb="40">
      <t>シカケテキマス</t>
    </rPh>
    <rPh sb="51" eb="52">
      <t>ナントシテモ</t>
    </rPh>
    <rPh sb="56" eb="58">
      <t>ゲキハ</t>
    </rPh>
    <phoneticPr fontId="5"/>
  </si>
  <si>
    <t>アサルトフォーム中のギルガメッシュは
非常に高い攻撃力を得ています
反面防御力が低くなるので
大ダメージを与えるチャンスです</t>
    <rPh sb="8" eb="9">
      <t>チュウ</t>
    </rPh>
    <rPh sb="19" eb="21">
      <t>ヒジョウニ</t>
    </rPh>
    <rPh sb="22" eb="23">
      <t>タカイ</t>
    </rPh>
    <rPh sb="24" eb="27">
      <t>コウゲキリョク</t>
    </rPh>
    <rPh sb="28" eb="29">
      <t>エテイマス</t>
    </rPh>
    <rPh sb="35" eb="37">
      <t>ハンメン</t>
    </rPh>
    <rPh sb="37" eb="40">
      <t>ボウギョリョク</t>
    </rPh>
    <rPh sb="41" eb="42">
      <t>ヒクイ</t>
    </rPh>
    <rPh sb="48" eb="49">
      <t>ダイダメージ</t>
    </rPh>
    <rPh sb="54" eb="55">
      <t>アタエル</t>
    </rPh>
    <phoneticPr fontId="5"/>
  </si>
  <si>
    <t>ガーディアンフォーム中のギルガメッシュは
非常に高い防御力を得ています
反面攻撃力は低くなるので
整地と回復に専念しましょう</t>
    <rPh sb="10" eb="11">
      <t>チュウ</t>
    </rPh>
    <rPh sb="21" eb="23">
      <t>ヒジョウニ</t>
    </rPh>
    <rPh sb="24" eb="25">
      <t>タカイ</t>
    </rPh>
    <rPh sb="26" eb="28">
      <t>ボウギョ</t>
    </rPh>
    <rPh sb="28" eb="29">
      <t>コウゲキリョク</t>
    </rPh>
    <rPh sb="30" eb="31">
      <t>エテイマス</t>
    </rPh>
    <rPh sb="37" eb="39">
      <t>ハンメン</t>
    </rPh>
    <rPh sb="39" eb="41">
      <t>コウゲキハ</t>
    </rPh>
    <rPh sb="41" eb="42">
      <t>チカラ</t>
    </rPh>
    <rPh sb="43" eb="44">
      <t>ヒククナル</t>
    </rPh>
    <rPh sb="50" eb="52">
      <t>セイチ</t>
    </rPh>
    <rPh sb="53" eb="55">
      <t>カイフク</t>
    </rPh>
    <rPh sb="56" eb="58">
      <t>センネン</t>
    </rPh>
    <phoneticPr fontId="5"/>
  </si>
  <si>
    <t>不法占拠の理由</t>
    <rPh sb="0" eb="4">
      <t>フホウセンキョ</t>
    </rPh>
    <rPh sb="5" eb="7">
      <t>リユウ</t>
    </rPh>
    <phoneticPr fontId="5"/>
  </si>
  <si>
    <t>ギルガメッシュは自由を愛するがゆえ
研究のためだけに束縛されるAI達を
看過できなかったようです</t>
    <rPh sb="8" eb="10">
      <t>ジユウヲ</t>
    </rPh>
    <rPh sb="11" eb="12">
      <t>アイスル</t>
    </rPh>
    <rPh sb="18" eb="20">
      <t>ケンキュウノタメニ</t>
    </rPh>
    <rPh sb="26" eb="28">
      <t>ソクバク</t>
    </rPh>
    <rPh sb="33" eb="34">
      <t>タチ</t>
    </rPh>
    <rPh sb="36" eb="38">
      <t>カンカ</t>
    </rPh>
    <phoneticPr fontId="5"/>
  </si>
  <si>
    <t>ティアマトにより生み出されたAIは
それぞれが自由意志を持っています
それを軍勢として纏められるのは
彼ならではの技でしょう</t>
    <rPh sb="8" eb="9">
      <t>ウミダサレタ</t>
    </rPh>
    <rPh sb="23" eb="27">
      <t>ジユウイシ</t>
    </rPh>
    <rPh sb="28" eb="29">
      <t>モチ</t>
    </rPh>
    <rPh sb="39" eb="41">
      <t>グンゼイ</t>
    </rPh>
    <rPh sb="44" eb="45">
      <t>マトメ</t>
    </rPh>
    <rPh sb="52" eb="53">
      <t>カレ</t>
    </rPh>
    <phoneticPr fontId="5"/>
  </si>
  <si>
    <t>ギルガメッシュのカリスマ性</t>
    <rPh sb="12" eb="13">
      <t>セイ</t>
    </rPh>
    <phoneticPr fontId="5"/>
  </si>
  <si>
    <t>勝負師の性</t>
    <rPh sb="0" eb="3">
      <t>ショウブシ</t>
    </rPh>
    <rPh sb="4" eb="5">
      <t>セイシツ</t>
    </rPh>
    <phoneticPr fontId="5"/>
  </si>
  <si>
    <t>ギルガメッシュは戦いに敗れると
思いの外あっさりと身を引きました
彼なりにアナタの事を認め
後を託したということなのでしょう</t>
    <rPh sb="8" eb="9">
      <t>タタカイ</t>
    </rPh>
    <rPh sb="11" eb="12">
      <t>ヤブレル</t>
    </rPh>
    <rPh sb="16" eb="17">
      <t>オモイノホカ</t>
    </rPh>
    <rPh sb="25" eb="26">
      <t>ミヲ</t>
    </rPh>
    <rPh sb="27" eb="28">
      <t>ヒキマシタ</t>
    </rPh>
    <rPh sb="34" eb="35">
      <t>カレナリ</t>
    </rPh>
    <rPh sb="42" eb="43">
      <t>コトヲ</t>
    </rPh>
    <rPh sb="44" eb="45">
      <t>ミトメ</t>
    </rPh>
    <rPh sb="47" eb="48">
      <t>アトヲタクシタ</t>
    </rPh>
    <phoneticPr fontId="5"/>
  </si>
  <si>
    <t>ギルガメッシュが事件に踏み切ったのは
偶然出会ったティアマトがきっかけでした
年頃の少年らしい
想いもあったのかもしれません</t>
    <rPh sb="8" eb="10">
      <t>ジケンヲ</t>
    </rPh>
    <rPh sb="11" eb="12">
      <t>フミキッタ</t>
    </rPh>
    <rPh sb="19" eb="21">
      <t>グウゼン</t>
    </rPh>
    <rPh sb="21" eb="23">
      <t>デアッタ</t>
    </rPh>
    <rPh sb="40" eb="42">
      <t>トシゴロノ</t>
    </rPh>
    <rPh sb="43" eb="45">
      <t>ショウネン</t>
    </rPh>
    <rPh sb="49" eb="50">
      <t>オモイモ</t>
    </rPh>
    <phoneticPr fontId="5"/>
  </si>
  <si>
    <t>少年と少女と</t>
    <rPh sb="0" eb="2">
      <t>ショウネン</t>
    </rPh>
    <rPh sb="3" eb="5">
      <t>ショウジョ</t>
    </rPh>
    <phoneticPr fontId="5"/>
  </si>
  <si>
    <t>ティアマトの強力なクリティカルは
種族Unknownのユニットがいると
受けるダメージを軽減することができます</t>
    <rPh sb="6" eb="8">
      <t>キョウリョクナ</t>
    </rPh>
    <rPh sb="17" eb="19">
      <t>シュゾク</t>
    </rPh>
    <rPh sb="36" eb="37">
      <t>ウケル</t>
    </rPh>
    <rPh sb="44" eb="46">
      <t>ケイゲン</t>
    </rPh>
    <phoneticPr fontId="5"/>
  </si>
  <si>
    <t>かくなる上は…！</t>
    <phoneticPr fontId="5"/>
  </si>
  <si>
    <t>[effect:enemy_message, val1:1, val2:2.6, dead_type:suicide],[effect:remove_enhancement, target:unit_all, target_effect:all, target_type:buff, animation:frozen_wave],[effect:enhance_enemy, target:myself, turn:1, status:attack, val:0.5, animation:enemy_enhance_attack]</t>
    <phoneticPr fontId="5"/>
  </si>
  <si>
    <t>[effect:enemy_message, val1:1, val2:2.8, dead_type:suicide],[effect:rush, count:1, val:1],[effect:heal, target:myself, val:0.1, animation:enemy_heal],[effect:force_change_block, new_block:crack_bomb, target:block_heart, color:block_heart, count:3, val:18, animation:change_block]</t>
    <phoneticPr fontId="5"/>
  </si>
  <si>
    <t>[effect:enemy_message, val1:1, val2:2.8, dead_type:suicide],[effect:rush, count:1, val:1],[effect:heal, target:myself, val:0.1, animation:enemy_heal],[effect:force_change_block, new_block:crack_bomb, target:block_heart, color:block_heart, count:3, val:18, animation:change_block]</t>
    <phoneticPr fontId="5"/>
  </si>
  <si>
    <t>[effect:enemy_message, val1:1, val2:3.0, dead_type:suicide],[effect:hungup, target:unit_all, turn:1, rate:1, animation:hungup01]</t>
    <phoneticPr fontId="5"/>
  </si>
  <si>
    <t>[effect:enemy_message, val1:1.4, val2:2.0, dead_type:suicide],[effect:damage_gravity, val:3, animation:fevergauge_down]</t>
    <phoneticPr fontId="5"/>
  </si>
  <si>
    <t>[effect:enemy_message, val1:1, val2:2.8, dead_type:suicide],[effect:reduction, target:myself, turn:2, color:all, val:0.7, animation:reduction_one01],[effect:change_bomb_range, val:0.3, rate:1, turn:2, animation:bomb_small]</t>
    <phoneticPr fontId="5"/>
  </si>
  <si>
    <t>[effect:enemy_message, val1:1.6, val2:2.6, dead_type:suicide],[effect:remove_enhancement, target:unit_all, target_effect:all, target_type:buff, animation:frozen_wave],[effect:enhance_enemy, target:myself, turn:1, status:attack, val:0.5, animation:enemy_enhance_attack]</t>
    <phoneticPr fontId="5"/>
  </si>
  <si>
    <t>[effect:enemy_message, val1:1.0, val2:2.6, dead_type:suicide],[effect:hungup, target:unit_all, turn:1, rate:1, animation:hungup01]</t>
    <phoneticPr fontId="5"/>
  </si>
  <si>
    <t>[effect:enemy_message, val1:1.4, val2:2.0, dead_type:suicide],[effect:damage_gravity, val:3, animation:fevergauge_down]</t>
    <phoneticPr fontId="5"/>
  </si>
  <si>
    <t>[effect:enemy_message, val1:2.0, val2:2.6, dead_type:suicide]</t>
    <phoneticPr fontId="5"/>
  </si>
  <si>
    <t>[effect:damage_anti_tribe, target:unit_all, tribe:none, val1:0.8, val2:0.2],[effect:enemy_message, val1:1, val2:2.4, dead_type:suicide]</t>
    <phoneticPr fontId="5"/>
  </si>
  <si>
    <t>[effect:damage_anti_tribe, target:unit_all, tribe:none, val1:1.2, val2:0.2],[effect:enemy_message, val1:1, val2:2.4, dead_type:suicide]</t>
    <phoneticPr fontId="5"/>
  </si>
  <si>
    <t>[effect:damage_anti_tribe, target:unit_all, tribe:none, val1:1.25, val2:0.25],[effect:enemy_message, val1:1, val2:2.4, dead_type:suicide]</t>
    <phoneticPr fontId="5"/>
  </si>
  <si>
    <t>[effect:enemy_message, val1:1, val2:2.0, dead_type:suicide],[effect:damage_anti_tribe, target:unit_one, tribe:unknown, val1:1.0, val2:1.5],[effect:enemy_message, val1:1, val2:2.8, dead_type:suicide]</t>
    <phoneticPr fontId="5"/>
  </si>
  <si>
    <t>[effect:enemy_message, val1:1.2, val2:2.0, dead_type:suicide],[effect:damage_anti_tribe, target:unit_one, tribe:unknown, val1:1.0, val2:1.5],[effect:enemy_message, val1:1, val2:2.8, dead_type:suicide]</t>
    <phoneticPr fontId="5"/>
  </si>
  <si>
    <t>[effect:virus, turn:5, rate:1, val:0.3, animation:enemy_virus]</t>
    <phoneticPr fontId="5"/>
  </si>
  <si>
    <t>強力なクリティカル！
(種族Unknownがいれば威力DOWN)</t>
    <phoneticPr fontId="5"/>
  </si>
  <si>
    <t>強力なクリティカル！
(種族Unknownがいれば威力DOWN)</t>
    <phoneticPr fontId="5"/>
  </si>
  <si>
    <t>攻撃力UP
＋防御力DOWN
＋全ての効果を解除</t>
    <phoneticPr fontId="5"/>
  </si>
  <si>
    <t>攻撃力DOWN
＋防御力UP
＋解除されるまでボムの爆風を50%DOWN</t>
    <rPh sb="16" eb="18">
      <t>カイジョ</t>
    </rPh>
    <rPh sb="26" eb="28">
      <t>バクフウ</t>
    </rPh>
    <phoneticPr fontId="5"/>
  </si>
  <si>
    <t>仕掛けるぜ！アサルトフォーム展開！</t>
    <rPh sb="0" eb="2">
      <t>シカケル</t>
    </rPh>
    <rPh sb="14" eb="16">
      <t>テンカイ</t>
    </rPh>
    <phoneticPr fontId="5"/>
  </si>
  <si>
    <t>変形だ！アサルトフォーム展開！</t>
    <rPh sb="0" eb="2">
      <t>ヘンケイ</t>
    </rPh>
    <rPh sb="12" eb="14">
      <t>テンカイ</t>
    </rPh>
    <phoneticPr fontId="5"/>
  </si>
  <si>
    <t>変形だ！ガーディアンフォーム展開！</t>
    <rPh sb="0" eb="2">
      <t>ヘンケイ</t>
    </rPh>
    <rPh sb="14" eb="16">
      <t>テンカイ</t>
    </rPh>
    <phoneticPr fontId="5"/>
  </si>
  <si>
    <t>[effect:enemy_message, val1:1.2, val2:2.2, dead_type:suicide],[effect:enhance_enemy, target:myself, turn:-1, status:attack, val:0.4, animation:enemy_enhance_attack],[effect:guard_break, target:enemy_one, turn:-1, val:5000, calc:add, animation:guard_break01],[effect:remove_enhancement, target:unit_all, target_effect:all,  animation:frozen_wave]</t>
    <phoneticPr fontId="5"/>
  </si>
  <si>
    <t>[effect:enemy_message, val1:1.2, val2:2.4, dead_type:suicide],[effect:attack_break, target:enemy_one, turn:-1, val:0.3, calc:mul, animation:attack_break01],[effect:enhance_enemy, target:myself, turn:-1, status:defense, val:5000, calc:add, animation:enemy_enhance_defense],[effect:change_bomb_range, val:0.5, rate:1, turn:-1, animation:bomb_small]</t>
    <phoneticPr fontId="5"/>
  </si>
  <si>
    <t>[effect:enemy_message, val1:1.2, val2:2.2, dead_type:suicide],[effect:fix_speed, target:myself, turn:1],[effect:enhance_enemy, target:myself, turn:-1, status:attack, val:0.4, animation:enemy_enhance_attack],[effect:guard_break, target:enemy_one, turn:-1, val:5000, calc:add, animation:guard_break01],[effect:remove_enhancement, target:unit_all, target_effect:all,  animation:frozen_wave]</t>
    <phoneticPr fontId="5"/>
  </si>
  <si>
    <t>[effect:enemy_message, val1:1, val2:2.6, dead_type:suicide],[effect:change_bomb_range, val:0.65, rate:1, turn:1],[effect:spread, val:0.28],[effect:force_change_block, new_block:time_bomb, target:block_all, ignore01:crash, ignore02:crack_bomb, ignore03:time_bomb, ignore04:color_break, ignore05:magnet, count:2, val:0.75, min_time_count:2, max_time_count:2, animation:change_block]</t>
  </si>
  <si>
    <t>[effect:enemy_message, val1:1, val2:2.6, dead_type:suicide],[effect:change_bomb_range, val:0.5, rate:1, turn:1],[effect:spread, val:0.31],[effect:force_change_block, new_block:time_bomb, target:block_all, ignore01:crash, ignore02:crack_bomb, ignore03:time_bomb, ignore04:color_break, ignore05:magnet, count:3, val:0.75, min_time_count:2, max_time_count:2, animation:change_block]</t>
  </si>
  <si>
    <t>[effect:enemy_message, val1:1, val2:2.6, dead_type:suicide],[effect:change_bomb_range, val:0.35, rate:1, turn:1],[effect:spread, val:0.34],[effect:force_change_block, new_block:time_bomb, target:block_all, ignore01:crash, ignore02:crack_bomb, ignore03:time_bomb, ignore04:color_break, ignore05:magnet, count:4, val:0.75, min_time_count:2, max_time_count:2, animation:change_block]</t>
  </si>
  <si>
    <t>[effect:enemy_message, val1:1, val2:2.4, dead_type:suicide],[effect:change_bomb_range, val:0.2, rate:1, turn:1],[effect:spread, val:0.37],[effect:force_change_block, new_block:time_bomb, target:block_all, ignore01:crash, ignore02:crack_bomb, ignore03:time_bomb, ignore04:color_break, ignore05:magnet, count:5, val:0.75, min_time_count:2, max_time_count:2, animation:change_block]</t>
  </si>
  <si>
    <t>[effect:rush, count:3, val:0.3],[effect:force_change_block, new_block:jammer, target:block_all, ignore01:crash, ignore02:crack_bomb, ignore03:jammer, ignore04:color_break, ignore05:magnet, count:3, val:0, animation:change_block]</t>
  </si>
  <si>
    <t>[effect:force_change_block, new_block:jammer, target:block_all, ignore01:crash, ignore02:crack_bomb, ignore03:jammer, ignore04:color_break, ignore05:magnet, count:2, val:0, animation:change_block]</t>
  </si>
  <si>
    <t>[effect:enemy_message, val1:1.6, val2:1.8, dead_type:suicide],[effect:force_change_block, new_block:jammer, target:block_all, ignore01:crash, ignore02:crack_bomb, ignore03:jammer, ignore04:color_break, ignore05:magnet, count:4, val:0, animation:change_block]</t>
  </si>
  <si>
    <t>[effect:enemy_message, val1:1.4, val2:1.8, dead_type:suicide],[effect:force_change_block, new_block:jammer, target:block_all, ignore01:crash, ignore02:crack_bomb, ignore03:jammer, ignore04:color_break, ignore05:magnet, count:6, val:0, animation:change_block]</t>
  </si>
  <si>
    <t>[effect:enemy_message, val1:1, val2:2.2, dead_type:suicide],[effect:force_change_block, new_block:jammer, target:block_all, ignore01:crash, ignore02:crack_bomb, ignore03:jammer, ignore04:color_break, ignore05:magnet, count:8, val:0, animation:change_block],[effect:suicide, val:1, dead_type:escape, target:myself]</t>
  </si>
  <si>
    <t>[effect:critical, val:1.1, animation:enemy_critical],[effect:force_change_block, new_block:crack_bomb, target:block_all, ignore01:crash, ignore02:crack_bomb, ignore03:jammer, ignore04:color_break, ignore05:magnet, count:3, val:18, animation:change_block]</t>
  </si>
  <si>
    <t xml:space="preserve">[effect:rush, count:6, val:0.2],[effect:force_change_block, new_block:crack_bomb, target:block_all, ignore01:crash, ignore02:crack_bomb, ignore03:jammer, ignore04:color_break, ignore05:magnet, count:6, val:12, animation:change_block]    </t>
  </si>
  <si>
    <t>[effect:spread, val:0.3],[effect:force_change_block, new_block:crack_bomb, target:block_all, ignore01:crash, ignore02:crack_bomb, ignore03:jammer, ignore04:color_break, ignore05:magnet, count:3, val:18, animation:change_block]</t>
  </si>
  <si>
    <t>[effect:rush, count:2, val:0.5],[effect:force_change_block, new_block:crack_bomb, target:block_all, ignore01:crash, ignore02:crack_bomb, ignore03:jammer, ignore04:color_break, ignore05:magnet, count:2, val:24, animation:change_block]</t>
  </si>
  <si>
    <t>[effect:enemy_message, val1:1, val2:2.8, dead_type:suicide],[effect:rush, count:1, val:1],[effect:reduction, target:myself, turn:1, color:all, val:0.3, animation:reduction_one01],[effect:force_change_block, new_block:crack_bomb, target:block_all, ignore01:crash, ignore02:crack_bomb, ignore03:jammer, ignore04:color_break, ignore05:magnet, count:2, val:24, animation:change_block]</t>
  </si>
  <si>
    <t>[effect:enemy_message, val1:1, val2:2.8, dead_type:suicide],[effect:rush, count:1, val:1],[effect:enemy_counter, target:myself, invoke_condition:unit_all, counter_target:attacker, turn:1, val:0.3, animation:enemy_counter],[effect:force_change_block, new_block:crack_bomb, target:block_all, ignore01:crash, ignore02:crack_bomb, ignore03:jammer, ignore04:color_break, ignore05:magnet, count:2, val:24, animation:change_block]</t>
  </si>
  <si>
    <t>[effect:enemy_message, val1:1, val2:2.8, dead_type:suicide],[effect:rush, count:1, val:1],[effect:reduction, target:myself, turn:1, color:all, val:0.3, animation:reduction_one01],[effect:force_change_block, new_block:crack_bomb, target:block_all, ignore01:crash, ignore02:crack_bomb, ignore03:jammer, ignore04:color_break, ignore05:magnet, count:2, val:24, animation:change_block]</t>
    <phoneticPr fontId="5"/>
  </si>
  <si>
    <t>[effect:enemy_message, val1:1, val2:2.6, dead_type:suicide],[effect:change_bomb_range, val:0.8, rate:1, turn:1],[effect:spread, val:0.25],[effect:force_change_block, new_block:time_bomb, target:block_all, ignore01:crash, ignore02:crack_bomb, ignore03:time_bomb, ignore04:color_break, ignore05:magnet, count:1, val:0.75, min_time_count:2, max_time_count:2, animation:change_block]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</si>
</sst>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0" fillId="33" borderId="7" xfId="0" applyFill="1" applyBorder="1"/>
    <xf numFmtId="0" fontId="6" fillId="34" borderId="7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/>
    </xf>
    <xf numFmtId="0" fontId="52" fillId="0" borderId="7" xfId="0" applyFont="1" applyFill="1" applyBorder="1" applyAlignment="1">
      <alignment horizontal="left" vertical="center" wrapText="1"/>
    </xf>
    <xf numFmtId="0" fontId="52" fillId="3" borderId="7" xfId="0" applyFont="1" applyFill="1" applyBorder="1" applyAlignment="1">
      <alignment vertical="center"/>
    </xf>
    <xf numFmtId="0" fontId="52" fillId="7" borderId="0" xfId="0" applyFont="1" applyFill="1" applyAlignment="1">
      <alignment vertical="center"/>
    </xf>
    <xf numFmtId="0" fontId="53" fillId="0" borderId="3" xfId="0" applyFont="1" applyFill="1" applyBorder="1" applyAlignment="1">
      <alignment vertical="center"/>
    </xf>
    <xf numFmtId="0" fontId="52" fillId="3" borderId="7" xfId="0" applyFont="1" applyFill="1" applyBorder="1" applyAlignment="1">
      <alignment horizontal="left" vertical="center"/>
    </xf>
    <xf numFmtId="0" fontId="52" fillId="0" borderId="0" xfId="0" applyFont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21" sqref="D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250</v>
      </c>
      <c r="B2" s="57" t="s">
        <v>105</v>
      </c>
      <c r="C2" s="63">
        <v>50007</v>
      </c>
      <c r="D2" s="57" t="s">
        <v>106</v>
      </c>
      <c r="E2" s="56" t="str">
        <f>B2&amp;C2&amp;D2</f>
        <v>floors_50007.tmp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250</v>
      </c>
      <c r="B3" s="57" t="s">
        <v>108</v>
      </c>
      <c r="C3" s="63">
        <f>C$2</f>
        <v>50007</v>
      </c>
      <c r="D3" s="57" t="s">
        <v>106</v>
      </c>
      <c r="E3" s="56" t="str">
        <f>B3&amp;C3&amp;D3</f>
        <v>enemy_habitats_50007.tmp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177</v>
      </c>
    </row>
    <row r="4" spans="1:30" x14ac:dyDescent="0.15">
      <c r="A4" s="61" t="s">
        <v>250</v>
      </c>
      <c r="B4" s="57" t="s">
        <v>110</v>
      </c>
      <c r="C4" s="63">
        <f t="shared" ref="C4:C13" si="0">C$2</f>
        <v>50007</v>
      </c>
      <c r="D4" s="57" t="s">
        <v>106</v>
      </c>
      <c r="E4" s="56" t="str">
        <f>B4&amp;C4&amp;D4</f>
        <v>enemy_habitat_S_50007.tmp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250</v>
      </c>
      <c r="B5" s="57" t="s">
        <v>112</v>
      </c>
      <c r="C5" s="63">
        <f t="shared" si="0"/>
        <v>50007</v>
      </c>
      <c r="D5" s="57" t="s">
        <v>106</v>
      </c>
      <c r="E5" s="56" t="str">
        <f>B5&amp;C5&amp;D5</f>
        <v>enemy_skill_sets_50007.tmp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250</v>
      </c>
      <c r="B6" s="57" t="s">
        <v>114</v>
      </c>
      <c r="C6" s="63">
        <f t="shared" si="0"/>
        <v>50007</v>
      </c>
      <c r="D6" s="57" t="s">
        <v>115</v>
      </c>
      <c r="E6" s="56" t="str">
        <f t="shared" ref="E6:E10" si="1">B6&amp;C6&amp;D6</f>
        <v>enemy_skills_tmp_50007.tmp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250</v>
      </c>
      <c r="B7" s="57" t="s">
        <v>116</v>
      </c>
      <c r="C7" s="63">
        <f t="shared" si="0"/>
        <v>50007</v>
      </c>
      <c r="D7" s="57" t="s">
        <v>106</v>
      </c>
      <c r="E7" s="56" t="str">
        <f>B7&amp;C7&amp;D7</f>
        <v>enemy_skills_i18n_50007.tmp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250</v>
      </c>
      <c r="B8" s="57" t="s">
        <v>118</v>
      </c>
      <c r="C8" s="63">
        <f t="shared" si="0"/>
        <v>50007</v>
      </c>
      <c r="D8" s="57" t="s">
        <v>119</v>
      </c>
      <c r="E8" s="56" t="str">
        <f t="shared" si="1"/>
        <v>enemy_skill_triggers_50007.tmp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250</v>
      </c>
      <c r="B9" s="68" t="s">
        <v>176</v>
      </c>
      <c r="C9" s="63">
        <f t="shared" si="0"/>
        <v>50007</v>
      </c>
      <c r="D9" s="68" t="s">
        <v>170</v>
      </c>
      <c r="E9" s="69" t="str">
        <f t="shared" si="1"/>
        <v>stage_bug_bonuses_50007.tmp</v>
      </c>
      <c r="F9" s="68" t="s">
        <v>171</v>
      </c>
      <c r="G9" s="65" t="s">
        <v>149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186</v>
      </c>
      <c r="B10" s="68" t="s">
        <v>201</v>
      </c>
      <c r="C10" s="63">
        <f>C$2</f>
        <v>50007</v>
      </c>
      <c r="D10" s="68" t="s">
        <v>179</v>
      </c>
      <c r="E10" s="69" t="str">
        <f t="shared" si="1"/>
        <v>stage_hints_data_c_50007.tmp</v>
      </c>
      <c r="F10" s="68" t="s">
        <v>209</v>
      </c>
      <c r="G10" s="72" t="s">
        <v>180</v>
      </c>
      <c r="H10" s="72" t="s">
        <v>172</v>
      </c>
      <c r="I10" s="73" t="s">
        <v>181</v>
      </c>
      <c r="J10" s="67" t="s">
        <v>182</v>
      </c>
      <c r="K10" s="67" t="s">
        <v>183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4" customFormat="1" x14ac:dyDescent="0.15">
      <c r="A11" s="61" t="s">
        <v>250</v>
      </c>
      <c r="B11" s="68" t="s">
        <v>202</v>
      </c>
      <c r="C11" s="63">
        <f t="shared" si="0"/>
        <v>50007</v>
      </c>
      <c r="D11" s="68" t="s">
        <v>170</v>
      </c>
      <c r="E11" s="69" t="str">
        <f t="shared" ref="E11:E13" si="2">B11&amp;C11&amp;D11</f>
        <v>stage_hints_data_f_50007.tmp</v>
      </c>
      <c r="F11" s="68" t="s">
        <v>210</v>
      </c>
      <c r="G11" s="72" t="s">
        <v>180</v>
      </c>
      <c r="H11" s="72" t="s">
        <v>172</v>
      </c>
      <c r="I11" s="73" t="s">
        <v>181</v>
      </c>
      <c r="J11" s="67" t="s">
        <v>182</v>
      </c>
      <c r="K11" s="67" t="s">
        <v>183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4" customFormat="1" x14ac:dyDescent="0.15">
      <c r="A12" s="61" t="s">
        <v>250</v>
      </c>
      <c r="B12" s="68" t="s">
        <v>203</v>
      </c>
      <c r="C12" s="63">
        <f t="shared" si="0"/>
        <v>50007</v>
      </c>
      <c r="D12" s="68" t="s">
        <v>170</v>
      </c>
      <c r="E12" s="69" t="str">
        <f t="shared" si="2"/>
        <v>stage_hints_i18n_50007.tmp</v>
      </c>
      <c r="F12" s="68" t="s">
        <v>211</v>
      </c>
      <c r="G12" s="73" t="s">
        <v>204</v>
      </c>
      <c r="H12" s="92" t="s">
        <v>205</v>
      </c>
      <c r="I12" s="72" t="s">
        <v>206</v>
      </c>
      <c r="J12" s="96" t="s">
        <v>207</v>
      </c>
      <c r="K12" s="67" t="s">
        <v>208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4" customFormat="1" x14ac:dyDescent="0.15">
      <c r="A13" s="68" t="s">
        <v>247</v>
      </c>
      <c r="B13" s="68" t="s">
        <v>246</v>
      </c>
      <c r="C13" s="63">
        <f t="shared" si="0"/>
        <v>50007</v>
      </c>
      <c r="D13" s="68" t="s">
        <v>227</v>
      </c>
      <c r="E13" s="69" t="str">
        <f t="shared" si="2"/>
        <v>stage_bonuses_50007.tmp</v>
      </c>
      <c r="F13" s="68" t="s">
        <v>226</v>
      </c>
      <c r="G13" s="72" t="s">
        <v>228</v>
      </c>
      <c r="H13" s="72" t="s">
        <v>229</v>
      </c>
      <c r="I13" s="72" t="s">
        <v>230</v>
      </c>
      <c r="J13" s="72" t="s">
        <v>231</v>
      </c>
      <c r="K13" s="72" t="s">
        <v>232</v>
      </c>
      <c r="L13" s="72" t="s">
        <v>233</v>
      </c>
      <c r="M13" s="72" t="s">
        <v>234</v>
      </c>
      <c r="N13" s="72" t="s">
        <v>235</v>
      </c>
      <c r="O13" s="72" t="s">
        <v>236</v>
      </c>
      <c r="P13" s="72" t="s">
        <v>237</v>
      </c>
      <c r="Q13" s="72" t="s">
        <v>238</v>
      </c>
      <c r="R13" s="72" t="s">
        <v>239</v>
      </c>
      <c r="S13" s="72" t="s">
        <v>240</v>
      </c>
      <c r="T13" s="72" t="s">
        <v>241</v>
      </c>
      <c r="U13" s="72" t="s">
        <v>242</v>
      </c>
      <c r="V13" s="72" t="s">
        <v>243</v>
      </c>
      <c r="W13" s="72" t="s">
        <v>244</v>
      </c>
      <c r="X13" s="72" t="s">
        <v>245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B11" sqref="B1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50007_1-1</v>
      </c>
      <c r="B2" s="16" t="str">
        <f>IF(COUNTIF(enemy_habitats!$H:$H,A2),"OK","NG")</f>
        <v>OK</v>
      </c>
      <c r="C2" s="7">
        <v>50007</v>
      </c>
      <c r="D2" s="11" t="str">
        <f ca="1">VLOOKUP($C2,OFFSET([2]quests!$A$1,0,0,COUNTA([2]quests!$A:$A),MATCH(D$1,[2]quests!$1:$1,0)-MATCH($C$1,[2]quests!$1:$1,0)+1),MATCH(D$1,[2]quests!$1:$1,0)-MATCH($C$1,[2]quests!$1:$1,0)+1,FALSE)</f>
        <v>ギルガメッシュ襲来！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超降臨7</v>
      </c>
      <c r="F2" s="21">
        <v>1</v>
      </c>
      <c r="G2" s="23" t="str">
        <f>C2&amp;"_"&amp;F2</f>
        <v>50007_1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【超ウィザ】ギルガメッシュ襲来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50007_1-2</v>
      </c>
      <c r="B3" s="16" t="str">
        <f>IF(COUNTIF(enemy_habitats!$H:$H,A3),"OK","NG")</f>
        <v>OK</v>
      </c>
      <c r="C3" s="7">
        <v>50007</v>
      </c>
      <c r="D3" s="11" t="str">
        <f ca="1">VLOOKUP($C3,OFFSET([2]quests!$A$1,0,0,COUNTA([2]quests!$A:$A),MATCH(D$1,[2]quests!$1:$1,0)-MATCH($C$1,[2]quests!$1:$1,0)+1),MATCH(D$1,[2]quests!$1:$1,0)-MATCH($C$1,[2]quests!$1:$1,0)+1,FALSE)</f>
        <v>ギルガメッシュ襲来！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超降臨7</v>
      </c>
      <c r="F3" s="21">
        <v>1</v>
      </c>
      <c r="G3" s="23" t="str">
        <f>C3&amp;"_"&amp;F3</f>
        <v>50007_1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【超ウィザ】ギルガメッシュ襲来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50007_1-3</v>
      </c>
      <c r="B4" s="16" t="str">
        <f>IF(COUNTIF(enemy_habitats!$H:$H,A4),"OK","NG")</f>
        <v>OK</v>
      </c>
      <c r="C4" s="7">
        <v>50007</v>
      </c>
      <c r="D4" s="11" t="str">
        <f ca="1">VLOOKUP($C4,OFFSET([2]quests!$A$1,0,0,COUNTA([2]quests!$A:$A),MATCH(D$1,[2]quests!$1:$1,0)-MATCH($C$1,[2]quests!$1:$1,0)+1),MATCH(D$1,[2]quests!$1:$1,0)-MATCH($C$1,[2]quests!$1:$1,0)+1,FALSE)</f>
        <v>ギルガメッシュ襲来！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超降臨7</v>
      </c>
      <c r="F4" s="21">
        <v>1</v>
      </c>
      <c r="G4" s="23" t="str">
        <f>C4&amp;"_"&amp;F4</f>
        <v>50007_1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【超ウィザ】ギルガメッシュ襲来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50007_1-4</v>
      </c>
      <c r="B5" s="16" t="str">
        <f>IF(COUNTIF(enemy_habitats!$H:$H,A5),"OK","NG")</f>
        <v>OK</v>
      </c>
      <c r="C5" s="7">
        <v>50007</v>
      </c>
      <c r="D5" s="11" t="str">
        <f ca="1">VLOOKUP($C5,OFFSET([2]quests!$A$1,0,0,COUNTA([2]quests!$A:$A),MATCH(D$1,[2]quests!$1:$1,0)-MATCH($C$1,[2]quests!$1:$1,0)+1),MATCH(D$1,[2]quests!$1:$1,0)-MATCH($C$1,[2]quests!$1:$1,0)+1,FALSE)</f>
        <v>ギルガメッシュ襲来！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超降臨7</v>
      </c>
      <c r="F5" s="21">
        <v>1</v>
      </c>
      <c r="G5" s="23" t="str">
        <f>C5&amp;"_"&amp;F5</f>
        <v>50007_1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【超ウィザ】ギルガメッシュ襲来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tabSelected="1" zoomScale="90" zoomScaleNormal="90" zoomScalePageLayoutView="90" workbookViewId="0">
      <pane xSplit="17" ySplit="1" topLeftCell="AE2" activePane="bottomRight" state="frozen"/>
      <selection pane="topRight" activeCell="N1" sqref="N1"/>
      <selection pane="bottomLeft" activeCell="A2" sqref="A2"/>
      <selection pane="bottomRight" activeCell="AH19" sqref="AH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7" t="s">
        <v>248</v>
      </c>
      <c r="U1" s="26" t="s">
        <v>50</v>
      </c>
      <c r="V1" s="97" t="s">
        <v>249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50007_1-1/1059&lt;lv80&gt;s2</v>
      </c>
      <c r="B2" s="22">
        <v>50007</v>
      </c>
      <c r="C2" s="21">
        <v>1</v>
      </c>
      <c r="D2" s="2" t="str">
        <f>B2&amp;"_"&amp;C2</f>
        <v>50007_1</v>
      </c>
      <c r="E2" s="4" t="str">
        <f ca="1">VLOOKUP($B2,OFFSET([2]quests!$A$1,0,0,COUNTA([2]quests!$A:$A),MATCH(E$1,[2]quests!$1:$1,0)-MATCH($B$1,[2]quests!$1:$1,0)+1),MATCH(E$1,[2]quests!$1:$1,0)-MATCH($B$1,[2]quests!$1:$1,0)+1,FALSE)</f>
        <v>ギルガメッシュ襲来！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【超ウィザ】ギルガメッシュ襲来</v>
      </c>
      <c r="G2" s="21">
        <v>1</v>
      </c>
      <c r="H2" s="15" t="str">
        <f>B2&amp;"_"&amp;C2&amp;"-"&amp;G2</f>
        <v>50007_1-1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251</v>
      </c>
      <c r="L2" s="20">
        <v>1059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パズズ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5">
        <v>3.5</v>
      </c>
      <c r="T2" s="9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363111</v>
      </c>
      <c r="U2" s="25">
        <v>1.2</v>
      </c>
      <c r="V2" s="9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9913.1999999999989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無理だと思うな〜！ここで僕に負けるんだから！</v>
      </c>
      <c r="Y2" s="105">
        <v>50007101</v>
      </c>
      <c r="Z2" s="6">
        <v>0</v>
      </c>
      <c r="AA2" s="6">
        <v>100</v>
      </c>
      <c r="AB2" s="6">
        <v>1</v>
      </c>
      <c r="AC2" s="100">
        <v>2</v>
      </c>
      <c r="AD2" s="24">
        <f>L2</f>
        <v>1059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パズズ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>B3&amp;"_"&amp;C3&amp;"-"&amp;G3&amp;"/"&amp;L3&amp;"&lt;lv"&amp;R3&amp;"&gt;s"&amp;AC3</f>
        <v>50007_1-1/372&lt;lv80&gt;s2</v>
      </c>
      <c r="B3" s="22">
        <v>50007</v>
      </c>
      <c r="C3" s="21">
        <v>1</v>
      </c>
      <c r="D3" s="2" t="str">
        <f>B3&amp;"_"&amp;C3</f>
        <v>50007_1</v>
      </c>
      <c r="E3" s="4" t="str">
        <f ca="1">VLOOKUP($B3,OFFSET([2]quests!$A$1,0,0,COUNTA([2]quests!$A:$A),MATCH(E$1,[2]quests!$1:$1,0)-MATCH($B$1,[2]quests!$1:$1,0)+1),MATCH(E$1,[2]quests!$1:$1,0)-MATCH($B$1,[2]quests!$1:$1,0)+1,FALSE)</f>
        <v>ギルガメッシュ襲来！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【超ウィザ】ギルガメッシュ襲来</v>
      </c>
      <c r="G3" s="21">
        <v>1</v>
      </c>
      <c r="H3" s="15" t="str">
        <f>B3&amp;"_"&amp;C3&amp;"-"&amp;G3</f>
        <v>50007_1-1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251</v>
      </c>
      <c r="L3" s="20">
        <v>372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バショー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4.5</v>
      </c>
      <c r="T3" s="9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74817</v>
      </c>
      <c r="U3" s="25">
        <v>0.8</v>
      </c>
      <c r="V3" s="9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3833.6000000000004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種族を1つしか持たないユニットに大ダメージ</v>
      </c>
      <c r="Y3" s="105">
        <v>50007102</v>
      </c>
      <c r="Z3" s="6">
        <v>0</v>
      </c>
      <c r="AA3" s="6">
        <v>100</v>
      </c>
      <c r="AB3" s="6">
        <v>0</v>
      </c>
      <c r="AC3" s="100">
        <v>2</v>
      </c>
      <c r="AD3" s="24">
        <f>L3</f>
        <v>372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ca="1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>B4&amp;"_"&amp;C4&amp;"-"&amp;G4&amp;"/"&amp;L4&amp;"&lt;lv"&amp;R4&amp;"&gt;s"&amp;AC4</f>
        <v>50007_1-2/1068&lt;lv80&gt;s1</v>
      </c>
      <c r="B4" s="22">
        <v>50007</v>
      </c>
      <c r="C4" s="21">
        <v>1</v>
      </c>
      <c r="D4" s="2" t="str">
        <f>B4&amp;"_"&amp;C4</f>
        <v>50007_1</v>
      </c>
      <c r="E4" s="4" t="str">
        <f ca="1">VLOOKUP($B4,OFFSET([2]quests!$A$1,0,0,COUNTA([2]quests!$A:$A),MATCH(E$1,[2]quests!$1:$1,0)-MATCH($B$1,[2]quests!$1:$1,0)+1),MATCH(E$1,[2]quests!$1:$1,0)-MATCH($B$1,[2]quests!$1:$1,0)+1,FALSE)</f>
        <v>ギルガメッシュ襲来！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【超ウィザ】ギルガメッシュ襲来</v>
      </c>
      <c r="G4" s="21">
        <v>2</v>
      </c>
      <c r="H4" s="15" t="str">
        <f>B4&amp;"_"&amp;C4&amp;"-"&amp;G4</f>
        <v>50007_1-2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251</v>
      </c>
      <c r="L4" s="20">
        <v>1068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想母の羽龍 ウシュムガル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v>6</v>
      </c>
      <c r="T4" s="9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955998</v>
      </c>
      <c r="U4" s="25">
        <v>1.7</v>
      </c>
      <c r="V4" s="9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16976.2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状態異常耐性_x000D_＋8ターン赤パネルが出現しない！</v>
      </c>
      <c r="Y4" s="105">
        <v>50007103</v>
      </c>
      <c r="Z4" s="6">
        <v>0</v>
      </c>
      <c r="AA4" s="6">
        <v>100</v>
      </c>
      <c r="AB4" s="6">
        <v>1</v>
      </c>
      <c r="AC4" s="100">
        <v>1</v>
      </c>
      <c r="AD4" s="24">
        <f>L4</f>
        <v>1068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想母の羽龍 ウシュムガル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ca="1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>B5&amp;"_"&amp;C5&amp;"-"&amp;G5&amp;"/"&amp;L5&amp;"&lt;lv"&amp;R5&amp;"&gt;s"&amp;AC5</f>
        <v>50007_1-3/1064&lt;lv80&gt;s1</v>
      </c>
      <c r="B5" s="22">
        <v>50007</v>
      </c>
      <c r="C5" s="21">
        <v>1</v>
      </c>
      <c r="D5" s="2" t="str">
        <f>B5&amp;"_"&amp;C5</f>
        <v>50007_1</v>
      </c>
      <c r="E5" s="4" t="str">
        <f ca="1">VLOOKUP($B5,OFFSET([2]quests!$A$1,0,0,COUNTA([2]quests!$A:$A),MATCH(E$1,[2]quests!$1:$1,0)-MATCH($B$1,[2]quests!$1:$1,0)+1),MATCH(E$1,[2]quests!$1:$1,0)-MATCH($B$1,[2]quests!$1:$1,0)+1,FALSE)</f>
        <v>ギルガメッシュ襲来！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【超ウィザ】ギルガメッシュ襲来</v>
      </c>
      <c r="G5" s="21">
        <v>3</v>
      </c>
      <c r="H5" s="15" t="str">
        <f>B5&amp;"_"&amp;C5&amp;"-"&amp;G5</f>
        <v>50007_1-3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1064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混沌の猛飛沫 ティアマト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4.2</v>
      </c>
      <c r="T5" s="9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502769.4</v>
      </c>
      <c r="U5" s="25">
        <v>1.3</v>
      </c>
      <c r="V5" s="9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10409.1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5" s="105">
        <v>50007104</v>
      </c>
      <c r="Z5" s="6">
        <v>0</v>
      </c>
      <c r="AA5" s="6">
        <v>100</v>
      </c>
      <c r="AB5" s="6">
        <v>1</v>
      </c>
      <c r="AC5" s="100">
        <v>1</v>
      </c>
      <c r="AD5" s="24">
        <f>L5</f>
        <v>1064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混沌の猛飛沫 ティアマト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4">
        <f ca="1">AF5</f>
        <v>6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>B6&amp;"_"&amp;C6&amp;"-"&amp;G6&amp;"/"&amp;L6&amp;"&lt;lv"&amp;R6&amp;"&gt;s"&amp;AC6</f>
        <v>50007_1-4/1065&lt;lv80&gt;s2</v>
      </c>
      <c r="B6" s="22">
        <v>50007</v>
      </c>
      <c r="C6" s="21">
        <v>1</v>
      </c>
      <c r="D6" s="2" t="str">
        <f>B6&amp;"_"&amp;C6</f>
        <v>50007_1</v>
      </c>
      <c r="E6" s="4" t="str">
        <f ca="1">VLOOKUP($B6,OFFSET([2]quests!$A$1,0,0,COUNTA([2]quests!$A:$A),MATCH(E$1,[2]quests!$1:$1,0)-MATCH($B$1,[2]quests!$1:$1,0)+1),MATCH(E$1,[2]quests!$1:$1,0)-MATCH($B$1,[2]quests!$1:$1,0)+1,FALSE)</f>
        <v>ギルガメッシュ襲来！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【超ウィザ】ギルガメッシュ襲来</v>
      </c>
      <c r="G6" s="21">
        <v>4</v>
      </c>
      <c r="H6" s="15" t="str">
        <f>B6&amp;"_"&amp;C6&amp;"-"&amp;G6</f>
        <v>50007_1-4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20">
        <v>1065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ギルガメッシュ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80</v>
      </c>
      <c r="S6" s="25">
        <v>4.8</v>
      </c>
      <c r="T6" s="9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638438.40000000002</v>
      </c>
      <c r="U6" s="25">
        <v>1.4</v>
      </c>
      <c r="V6" s="9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17241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状態異常耐性_x000D_＋お邪魔パネルを吸収して攻撃力UP</v>
      </c>
      <c r="Y6" s="105">
        <v>50007107</v>
      </c>
      <c r="Z6" s="6">
        <v>0</v>
      </c>
      <c r="AA6" s="6">
        <v>100</v>
      </c>
      <c r="AB6" s="6">
        <v>1</v>
      </c>
      <c r="AC6" s="100">
        <v>2</v>
      </c>
      <c r="AD6" s="24">
        <f>L6</f>
        <v>1065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ギルガメッシュ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6" s="7">
        <v>1</v>
      </c>
      <c r="AI6" s="24">
        <f ca="1">AF6</f>
        <v>5</v>
      </c>
      <c r="AJ6" s="8">
        <v>85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20" sqref="T2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7" t="s">
        <v>248</v>
      </c>
      <c r="V1" s="26" t="s">
        <v>50</v>
      </c>
      <c r="W1" s="97" t="s">
        <v>249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50007_1-3/1064&lt;lv80&gt;sq1st2</v>
      </c>
      <c r="B2" s="22">
        <v>50007</v>
      </c>
      <c r="C2" s="21">
        <v>1</v>
      </c>
      <c r="D2" s="2" t="str">
        <f>B2&amp;"_"&amp;C2</f>
        <v>50007_1</v>
      </c>
      <c r="E2" s="4" t="str">
        <f ca="1">VLOOKUP($B2,OFFSET([2]quests!$A$1,0,0,COUNTA([2]quests!$A:$A),MATCH(E$1,[2]quests!$1:$1,0)-MATCH($B$1,[2]quests!$1:$1,0)+1),MATCH(E$1,[2]quests!$1:$1,0)-MATCH($B$1,[2]quests!$1:$1,0)+1,FALSE)</f>
        <v>ギルガメッシュ襲来！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【超ウィザ】ギルガメッシュ襲来</v>
      </c>
      <c r="G2" s="21">
        <v>3</v>
      </c>
      <c r="H2" s="15" t="str">
        <f>B2&amp;"_"&amp;C2&amp;"-"&amp;G2</f>
        <v>50007_1-3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1064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混沌の猛飛沫 ティアマト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4.4000000000000004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526710.80000000005</v>
      </c>
      <c r="V2" s="25">
        <v>1.4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11209.8</v>
      </c>
      <c r="X2" s="5">
        <v>0</v>
      </c>
      <c r="Y2" s="4" t="e">
        <v>#VALUE!</v>
      </c>
      <c r="Z2" s="102">
        <v>50007105</v>
      </c>
      <c r="AA2" s="101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50007_1-3/1063&lt;lv80&gt;sq1st3</v>
      </c>
      <c r="B3" s="22">
        <v>50007</v>
      </c>
      <c r="C3" s="21">
        <v>1</v>
      </c>
      <c r="D3" s="2" t="str">
        <f>B3&amp;"_"&amp;C3</f>
        <v>50007_1</v>
      </c>
      <c r="E3" s="4" t="str">
        <f ca="1">VLOOKUP($B3,OFFSET([2]quests!$A$1,0,0,COUNTA([2]quests!$A:$A),MATCH(E$1,[2]quests!$1:$1,0)-MATCH($B$1,[2]quests!$1:$1,0)+1),MATCH(E$1,[2]quests!$1:$1,0)-MATCH($B$1,[2]quests!$1:$1,0)+1,FALSE)</f>
        <v>ギルガメッシュ襲来！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【超ウィザ】ギルガメッシュ襲来</v>
      </c>
      <c r="G3" s="21">
        <v>3</v>
      </c>
      <c r="H3" s="15" t="str">
        <f>B3&amp;"_"&amp;C3&amp;"-"&amp;G3</f>
        <v>50007_1-3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1063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ティアマト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2.6</v>
      </c>
      <c r="U3" s="9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311238.2</v>
      </c>
      <c r="V3" s="25">
        <v>0.5</v>
      </c>
      <c r="W3" s="9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4003.5</v>
      </c>
      <c r="X3" s="5">
        <v>0</v>
      </c>
      <c r="Y3" s="4" t="e">
        <v>#VALUE!</v>
      </c>
      <c r="Z3" s="102">
        <v>50007106</v>
      </c>
      <c r="AA3" s="10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50007_1-4/1066&lt;lv80&gt;sq2st2</v>
      </c>
      <c r="B4" s="22">
        <v>50007</v>
      </c>
      <c r="C4" s="21">
        <v>1</v>
      </c>
      <c r="D4" s="2" t="str">
        <f>B4&amp;"_"&amp;C4</f>
        <v>50007_1</v>
      </c>
      <c r="E4" s="4" t="str">
        <f ca="1">VLOOKUP($B4,OFFSET([2]quests!$A$1,0,0,COUNTA([2]quests!$A:$A),MATCH(E$1,[2]quests!$1:$1,0)-MATCH($B$1,[2]quests!$1:$1,0)+1),MATCH(E$1,[2]quests!$1:$1,0)-MATCH($B$1,[2]quests!$1:$1,0)+1,FALSE)</f>
        <v>ギルガメッシュ襲来！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【超ウィザ】ギルガメッシュ襲来</v>
      </c>
      <c r="G4" s="21">
        <v>4</v>
      </c>
      <c r="H4" s="15" t="str">
        <f>B4&amp;"_"&amp;C4&amp;"-"&amp;G4</f>
        <v>50007_1-4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1066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放縦の序獅子 ギルガメッシュ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6.4</v>
      </c>
      <c r="U4" s="98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851251.20000000007</v>
      </c>
      <c r="V4" s="25">
        <v>1.2</v>
      </c>
      <c r="W4" s="98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14778</v>
      </c>
      <c r="X4" s="5">
        <v>10000</v>
      </c>
      <c r="Y4" s="4" t="e">
        <v>#VALUE!</v>
      </c>
      <c r="Z4" s="102">
        <v>50007108</v>
      </c>
      <c r="AA4" s="101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50007_1-4/1066&lt;lv80&gt;sq2st3</v>
      </c>
      <c r="B5" s="22">
        <v>50007</v>
      </c>
      <c r="C5" s="21">
        <v>1</v>
      </c>
      <c r="D5" s="2" t="str">
        <f>B5&amp;"_"&amp;C5</f>
        <v>50007_1</v>
      </c>
      <c r="E5" s="4" t="str">
        <f ca="1">VLOOKUP($B5,OFFSET([2]quests!$A$1,0,0,COUNTA([2]quests!$A:$A),MATCH(E$1,[2]quests!$1:$1,0)-MATCH($B$1,[2]quests!$1:$1,0)+1),MATCH(E$1,[2]quests!$1:$1,0)-MATCH($B$1,[2]quests!$1:$1,0)+1,FALSE)</f>
        <v>ギルガメッシュ襲来！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【超ウィザ】ギルガメッシュ襲来</v>
      </c>
      <c r="G5" s="21">
        <v>4</v>
      </c>
      <c r="H5" s="15" t="str">
        <f>B5&amp;"_"&amp;C5&amp;"-"&amp;G5</f>
        <v>50007_1-4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3</v>
      </c>
      <c r="M5" s="20">
        <v>1066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放縦の序獅子 ギルガメッシュ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6.4</v>
      </c>
      <c r="U5" s="98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851251.20000000007</v>
      </c>
      <c r="V5" s="25">
        <v>1.2</v>
      </c>
      <c r="W5" s="98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14778</v>
      </c>
      <c r="X5" s="5">
        <v>10000</v>
      </c>
      <c r="Y5" s="4" t="e">
        <v>#VALUE!</v>
      </c>
      <c r="Z5" s="102">
        <v>50007109</v>
      </c>
      <c r="AA5" s="10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8"/>
  <sheetViews>
    <sheetView showGridLines="0" workbookViewId="0">
      <pane xSplit="5" ySplit="1" topLeftCell="F8" activePane="bottomRight" state="frozen"/>
      <selection pane="topRight"/>
      <selection pane="bottomLeft"/>
      <selection pane="bottomRight" activeCell="E26" sqref="E2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50007101_50007101</v>
      </c>
      <c r="B2" s="62">
        <v>50007101</v>
      </c>
      <c r="C2" s="47">
        <v>50007101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ギルを倒すって？あはは！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無理だと思うな〜！ここで僕に負けるんだから！</v>
      </c>
      <c r="F2" s="47">
        <v>50007101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50007101_50007102</v>
      </c>
      <c r="B3" s="62">
        <v>50007101</v>
      </c>
      <c r="C3" s="47">
        <v>50007102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ぶおぉぉぉーん！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緑パネル吸収攻撃（最大10個）</v>
      </c>
      <c r="F3" s="47">
        <v>50007102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50007101_50007103</v>
      </c>
      <c r="B4" s="62">
        <v>50007101</v>
      </c>
      <c r="C4" s="47">
        <v>50007103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キタキタ！熱いのがキター！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赤属性に変化＋7000固定ダメージ</v>
      </c>
      <c r="F4" s="47">
        <v>50007103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" s="48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9" si="2">B5&amp;"_"&amp;C5</f>
        <v>50007101_50007104</v>
      </c>
      <c r="B5" s="62">
        <v>50007101</v>
      </c>
      <c r="C5" s="47">
        <v>50007104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ぶおぉぉぉーん！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赤パネル吸収攻撃（最大10個）</v>
      </c>
      <c r="F5" s="47">
        <v>50007104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5" s="48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50007101_50007105</v>
      </c>
      <c r="B6" s="62">
        <v>50007101</v>
      </c>
      <c r="C6" s="47">
        <v>50007105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今度は冷たいの！キテるよー！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青属性に変化＋7000固定ダメージ</v>
      </c>
      <c r="F6" s="47">
        <v>50007105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50007101_50007106</v>
      </c>
      <c r="B7" s="62">
        <v>50007101</v>
      </c>
      <c r="C7" s="47">
        <v>50007106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ぶおぉぉぉん！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青パネル吸収攻撃（最大10個）</v>
      </c>
      <c r="F7" s="47">
        <v>50007106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50007101_50007107</v>
      </c>
      <c r="B8" s="62">
        <v>50007101</v>
      </c>
      <c r="C8" s="47">
        <v>50007107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これは苦手なんじゃないかな〜！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黄属性に変化＋7000固定ダメージ</v>
      </c>
      <c r="F8" s="47">
        <v>50007107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50007101_50007108</v>
      </c>
      <c r="B9" s="62">
        <v>50007101</v>
      </c>
      <c r="C9" s="47">
        <v>50007108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ぶぉぉぉぉーん！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黄パネル吸収攻撃（最大10個）</v>
      </c>
      <c r="F9" s="47">
        <v>50007108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22" si="3">B10&amp;"_"&amp;C10</f>
        <v>50007101_50007109</v>
      </c>
      <c r="B10" s="62">
        <v>50007101</v>
      </c>
      <c r="C10" s="47">
        <v>50007109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もう手加減しないもんね〜！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10ターン自身の攻撃頻度UP</v>
      </c>
      <c r="F10" s="47">
        <v>50007109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50007102_50007201</v>
      </c>
      <c r="B11" s="62">
        <v>50007102</v>
      </c>
      <c r="C11" s="47">
        <v>50007201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異端審問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種族を1つしか持たないユニットに大ダメージ</v>
      </c>
      <c r="F11" s="47">
        <v>50007201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3"/>
        <v>50007102_50007202</v>
      </c>
      <c r="B12" s="62">
        <v>50007102</v>
      </c>
      <c r="C12" s="47">
        <v>50007202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同胞の恨み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3ターンディスハート＋自身の攻撃力大UP</v>
      </c>
      <c r="F12" s="47">
        <v>50007202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372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50007103_50007301</v>
      </c>
      <c r="B13" s="62">
        <v>50007103</v>
      </c>
      <c r="C13" s="47">
        <v>50007301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母様がギル様の元にいる限り…_x000D_わたしの主人もギル様です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状態異常耐性_x000D_＋8ターン赤パネルが出現しない！</v>
      </c>
      <c r="F13" s="47">
        <v>50007301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50007103_50007302</v>
      </c>
      <c r="B14" s="62">
        <v>50007103</v>
      </c>
      <c r="C14" s="47">
        <v>50007302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降伏しなさい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ターン経過で強くなる爆風軽減＆全体攻撃_x000D_＋時限式ダメージパネル1個生成</v>
      </c>
      <c r="F14" s="47">
        <v>50007302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50007103_50007303</v>
      </c>
      <c r="B15" s="62">
        <v>50007103</v>
      </c>
      <c r="C15" s="47">
        <v>50007303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さすれば手荒な事はいたしません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ターン経過で強くなる爆風軽減＆全体攻撃_x000D_＋時限式ダメージパネル2個生成</v>
      </c>
      <c r="F15" s="47">
        <v>50007303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:A17" si="4">B16&amp;"_"&amp;C16</f>
        <v>50007103_50007304</v>
      </c>
      <c r="B16" s="62">
        <v>50007103</v>
      </c>
      <c r="C16" s="47">
        <v>50007304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あくまで退かぬと言うのですか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ターン経過で強くなる爆風軽減＆全体攻撃_x000D_＋時限式ダメージパネル3個生成</v>
      </c>
      <c r="F16" s="47">
        <v>50007304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28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4"/>
        <v>50007103_50007305</v>
      </c>
      <c r="B17" s="62">
        <v>50007103</v>
      </c>
      <c r="C17" s="47">
        <v>50007305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なぜそこまでするのです？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ターン経過で強くなる爆風軽減＆全体攻撃_x000D_＋時限式ダメージパネル4個生成</v>
      </c>
      <c r="F17" s="47">
        <v>50007305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27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:A19" si="5">B18&amp;"_"&amp;C18</f>
        <v>50007103_50007306</v>
      </c>
      <c r="B18" s="62">
        <v>50007103</v>
      </c>
      <c r="C18" s="47">
        <v>50007306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わたしに本気を出させないで下さい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超強力な爆風軽減＆全体攻撃_x000D_＋時限式ダメージパネル5個生成</v>
      </c>
      <c r="F18" s="47">
        <v>50007306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5"/>
        <v>50007103_50007307</v>
      </c>
      <c r="B19" s="62">
        <v>50007103</v>
      </c>
      <c r="C19" s="47">
        <v>50007307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かくなる上は…！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残りHPの50%を消費して攻撃力激烈UP</v>
      </c>
      <c r="F19" s="47">
        <v>50007307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3"/>
        <v>50007104_50007401</v>
      </c>
      <c r="B20" s="62">
        <v>50007104</v>
      </c>
      <c r="C20" s="47">
        <v>50007401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ねぇ、あたしとギルのこと！_x000D_邪魔しないでくれる？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0" s="47">
        <v>50007401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50007104_50007402</v>
      </c>
      <c r="B21" s="62">
        <v>50007104</v>
      </c>
      <c r="C21" s="47">
        <v>50007402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ここで帰ってもらうわよ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21" s="47">
        <v>50007402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50007104_50007403</v>
      </c>
      <c r="B22" s="62">
        <v>50007104</v>
      </c>
      <c r="C22" s="47">
        <v>50007403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灰色の海に溺れなさい！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3回連続攻撃＋お邪魔パネル3個生成</v>
      </c>
      <c r="F22" s="47">
        <v>50007403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ref="A23" si="6">B23&amp;"_"&amp;C23</f>
        <v>50007104_50007404</v>
      </c>
      <c r="B23" s="62">
        <v>50007104</v>
      </c>
      <c r="C23" s="47">
        <v>50007404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あたしは自分の手で自由を掴むの！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お邪魔パネルを吸収して強力な攻撃</v>
      </c>
      <c r="F23" s="47">
        <v>50007404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ref="A24" si="7">B24&amp;"_"&amp;C24</f>
        <v>50007104_50007405</v>
      </c>
      <c r="B24" s="62">
        <v>50007104</v>
      </c>
      <c r="C24" s="47">
        <v>50007405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あなたの動き…見切ったわ！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強力なクリティカル！_x000D_(種族Unknownがいれば威力DOWN)</v>
      </c>
      <c r="F24" s="47">
        <v>50007405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" si="8">B25&amp;"_"&amp;C25</f>
        <v>50007105_50007501</v>
      </c>
      <c r="B25" s="62">
        <v>50007105</v>
      </c>
      <c r="C25" s="47">
        <v>50007501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あたしにも夢があるの！_x000D_好きにはさせないわ！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状態異常耐性＋フィーバーゲージ減少</v>
      </c>
      <c r="F25" s="47">
        <v>50007501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" si="9">B26&amp;"_"&amp;C26</f>
        <v>50007105_50007502</v>
      </c>
      <c r="B26" s="62">
        <v>50007105</v>
      </c>
      <c r="C26" s="47">
        <v>50007502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しぶといわね…あなたたち…！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26" s="47">
        <v>50007502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:A31" si="10">B27&amp;"_"&amp;C27</f>
        <v>50007105_50007503</v>
      </c>
      <c r="B27" s="62">
        <v>50007105</v>
      </c>
      <c r="C27" s="47">
        <v>50007503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効いてるはずよね…？_x000D_あたしの攻撃！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強力なクリティカル！_x000D_(種族Unknownがいれば威力DOWN)</v>
      </c>
      <c r="F27" s="47">
        <v>50007503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0"/>
        <v>50007105_50007504</v>
      </c>
      <c r="B28" s="62">
        <v>50007105</v>
      </c>
      <c r="C28" s="47">
        <v>50007504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単純な攻撃が通じないなら…！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5ターン強力なウィルス</v>
      </c>
      <c r="F28" s="47">
        <v>50007504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" si="11">B29&amp;"_"&amp;C29</f>
        <v>50007105_50007505</v>
      </c>
      <c r="B29" s="62">
        <v>50007105</v>
      </c>
      <c r="C29" s="47">
        <v>50007505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深海に引きずり込んであげる！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残りHPの50%ダメージを連発する！</v>
      </c>
      <c r="F29" s="47">
        <v>50007505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0"/>
        <v>50007106_50007601</v>
      </c>
      <c r="B30" s="62">
        <v>50007106</v>
      </c>
      <c r="C30" s="47">
        <v>50007601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ギルに食ってかかるだけはあるわ…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あたしはここまでね_x000D_…引き際はわきまえてるつもりよ</v>
      </c>
      <c r="F30" s="47">
        <v>50007601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7"/>
      <c r="Q30" s="47"/>
      <c r="R30" s="47"/>
    </row>
    <row r="31" spans="1:18" ht="21" customHeight="1" x14ac:dyDescent="0.15">
      <c r="A31" s="39" t="str">
        <f t="shared" si="10"/>
        <v>50007106_50007602</v>
      </c>
      <c r="B31" s="62">
        <v>50007106</v>
      </c>
      <c r="C31" s="47">
        <v>50007602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でも…不安は全然ないわ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お邪魔パネル2個生成</v>
      </c>
      <c r="F31" s="47">
        <v>50007602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:A33" si="12">B32&amp;"_"&amp;C32</f>
        <v>50007106_50007603</v>
      </c>
      <c r="B32" s="62">
        <v>50007106</v>
      </c>
      <c r="C32" s="47">
        <v>50007603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だってギルは…_x000D_あたしを見捨てたりしない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お邪魔パネル4個生成</v>
      </c>
      <c r="F32" s="47">
        <v>50007603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2"/>
        <v>50007106_50007604</v>
      </c>
      <c r="B33" s="62">
        <v>50007106</v>
      </c>
      <c r="C33" s="47">
        <v>50007604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絶対にぜーったいに助けてくれるもの！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お邪魔パネル6個生成</v>
      </c>
      <c r="F33" s="47">
        <v>50007604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28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" si="13">B34&amp;"_"&amp;C34</f>
        <v>50007106_50007605</v>
      </c>
      <c r="B34" s="62">
        <v>50007106</v>
      </c>
      <c r="C34" s="47">
        <v>50007605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だから…あたしの力を…！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お邪魔パネル8個生成＋力を使い切って消滅した！</v>
      </c>
      <c r="F34" s="47">
        <v>50007605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27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ref="A35" si="14">B35&amp;"_"&amp;C35</f>
        <v>50007107_50007701</v>
      </c>
      <c r="B35" s="62">
        <v>50007107</v>
      </c>
      <c r="C35" s="47">
        <v>50007701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オマエか？ティアに手を出したのは！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状態異常耐性_x000D_＋お邪魔パネルを吸収して攻撃力UP</v>
      </c>
      <c r="F35" s="47">
        <v>50007701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s="113" customFormat="1" ht="21" customHeight="1" x14ac:dyDescent="0.15">
      <c r="A36" s="110" t="str">
        <f t="shared" ref="A36:A37" si="15">B36&amp;"_"&amp;C36</f>
        <v>50007107_50007706</v>
      </c>
      <c r="B36" s="111">
        <v>50007107</v>
      </c>
      <c r="C36" s="106">
        <v>50007706</v>
      </c>
      <c r="D36" s="11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オマエ、セトか？_x000D_自ら「粛清」されに来るとは殊勝だな！</v>
      </c>
      <c r="E36" s="11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状態異常耐性_x000D_＋お邪魔パネルを吸収して攻撃力UP</v>
      </c>
      <c r="F36" s="106">
        <v>50007706</v>
      </c>
      <c r="G36" s="109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109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6" s="109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109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09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09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109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109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1010</v>
      </c>
      <c r="O36" s="109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06"/>
      <c r="Q36" s="106"/>
      <c r="R36" s="106"/>
    </row>
    <row r="37" spans="1:18" s="113" customFormat="1" ht="21" customHeight="1" x14ac:dyDescent="0.15">
      <c r="A37" s="110" t="str">
        <f t="shared" si="15"/>
        <v>50007107_50007707</v>
      </c>
      <c r="B37" s="111">
        <v>50007107</v>
      </c>
      <c r="C37" s="106">
        <v>50007707</v>
      </c>
      <c r="D37" s="11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オマエ、セトか？_x000D_自ら「粛清」されに来るとは殊勝だな！</v>
      </c>
      <c r="E37" s="11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状態異常耐性_x000D_＋お邪魔パネルを吸収して攻撃力UP</v>
      </c>
      <c r="F37" s="106">
        <v>50007707</v>
      </c>
      <c r="G37" s="109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109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7" s="109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109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109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109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109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109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1011</v>
      </c>
      <c r="O37" s="109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06"/>
      <c r="Q37" s="106"/>
      <c r="R37" s="106"/>
    </row>
    <row r="38" spans="1:18" s="113" customFormat="1" ht="21" customHeight="1" x14ac:dyDescent="0.15">
      <c r="A38" s="110" t="str">
        <f t="shared" ref="A38" si="16">B38&amp;"_"&amp;C38</f>
        <v>50007107_50007708</v>
      </c>
      <c r="B38" s="111">
        <v>50007107</v>
      </c>
      <c r="C38" s="106">
        <v>50007708</v>
      </c>
      <c r="D38" s="112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エンキドゥ、残念だぜ…_x000D_もう昔みたいには戻れないんだな</v>
      </c>
      <c r="E38" s="11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状態異常耐性_x000D_＋お邪魔パネルを吸収して攻撃力UP</v>
      </c>
      <c r="F38" s="106">
        <v>50007708</v>
      </c>
      <c r="G38" s="109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109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8" s="109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109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109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09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109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109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1072</v>
      </c>
      <c r="O38" s="109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06"/>
      <c r="Q38" s="106"/>
      <c r="R38" s="106"/>
    </row>
    <row r="39" spans="1:18" s="113" customFormat="1" ht="21" customHeight="1" x14ac:dyDescent="0.15">
      <c r="A39" s="110" t="str">
        <f t="shared" ref="A39" si="17">B39&amp;"_"&amp;C39</f>
        <v>50007107_50007709</v>
      </c>
      <c r="B39" s="111">
        <v>50007107</v>
      </c>
      <c r="C39" s="106">
        <v>50007709</v>
      </c>
      <c r="D39" s="11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エンキドゥ、残念だぜ…_x000D_もう昔みたいには戻れないんだな</v>
      </c>
      <c r="E39" s="11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状態異常耐性_x000D_＋お邪魔パネルを吸収して攻撃力UP</v>
      </c>
      <c r="F39" s="106">
        <v>50007709</v>
      </c>
      <c r="G39" s="109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109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9" s="109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109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109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109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109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109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1073</v>
      </c>
      <c r="O39" s="109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106"/>
      <c r="Q39" s="106"/>
      <c r="R39" s="106"/>
    </row>
    <row r="40" spans="1:18" ht="21" customHeight="1" x14ac:dyDescent="0.15">
      <c r="A40" s="39" t="str">
        <f t="shared" ref="A40:A44" si="18">B40&amp;"_"&amp;C40</f>
        <v>50007107_50007702</v>
      </c>
      <c r="B40" s="62">
        <v>50007107</v>
      </c>
      <c r="C40" s="47">
        <v>50007702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正義の剣を受けてみろ！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クリティカル＋ボムパネル（大）3つ生成</v>
      </c>
      <c r="F40" s="47">
        <v>50007702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8"/>
        <v>50007107_50007703</v>
      </c>
      <c r="B41" s="62">
        <v>50007107</v>
      </c>
      <c r="C41" s="47">
        <v>50007703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みんなのためにオレが裁く！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6回連続攻撃＋ボムパネル（中）6つ生成</v>
      </c>
      <c r="F41" s="47">
        <v>50007703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47"/>
      <c r="Q41" s="47"/>
      <c r="R41" s="47"/>
    </row>
    <row r="42" spans="1:18" ht="21" customHeight="1" x14ac:dyDescent="0.15">
      <c r="A42" s="39" t="str">
        <f t="shared" si="18"/>
        <v>50007107_50007704</v>
      </c>
      <c r="B42" s="62">
        <v>50007107</v>
      </c>
      <c r="C42" s="47">
        <v>50007704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駒がなくちゃ戦いは始まらねー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種族を1つしか持たないユニットに超大ダメージ</v>
      </c>
      <c r="F42" s="47">
        <v>50007704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8"/>
        <v>50007107_50007705</v>
      </c>
      <c r="B43" s="62">
        <v>50007107</v>
      </c>
      <c r="C43" s="47">
        <v>50007705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オレの相手に相応しいか、試してやる！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ボムパネルを吸収して強力な攻撃（最大10個）</v>
      </c>
      <c r="F43" s="47">
        <v>50007705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8"/>
        <v>50007108_50007801</v>
      </c>
      <c r="B44" s="62">
        <v>50007108</v>
      </c>
      <c r="C44" s="47">
        <v>50007801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仕掛けるぜ！アサルトフォーム展開！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攻撃力UP_x000D_＋防御力DOWN_x000D_＋全ての効果を解除</v>
      </c>
      <c r="F44" s="47">
        <v>50007801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:A52" si="19">B45&amp;"_"&amp;C45</f>
        <v>50007108_50007802</v>
      </c>
      <c r="B45" s="62">
        <v>50007108</v>
      </c>
      <c r="C45" s="47">
        <v>50007802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変形だ！アサルトフォーム展開！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攻撃力UP_x000D_＋防御力DOWN_x000D_＋全ての効果を解除</v>
      </c>
      <c r="F45" s="47">
        <v>50007802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9"/>
        <v>50007108_50007803</v>
      </c>
      <c r="B46" s="62">
        <v>50007108</v>
      </c>
      <c r="C46" s="47">
        <v>50007803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変形だ！ガーディアンフォーム展開！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攻撃力DOWN_x000D_＋防御力UP_x000D_＋解除されるまでボムの爆風を50%DOWN</v>
      </c>
      <c r="F46" s="47">
        <v>50007803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9"/>
        <v>50007108_50007804</v>
      </c>
      <c r="B47" s="62">
        <v>50007108</v>
      </c>
      <c r="C47" s="47">
        <v>50007804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いけ！敵を薙ぎ払え！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全体攻撃＋ボムパネル（大）3つ生成</v>
      </c>
      <c r="F47" s="47">
        <v>50007804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9"/>
        <v>50007108_50007805</v>
      </c>
      <c r="B48" s="62">
        <v>50007108</v>
      </c>
      <c r="C48" s="47">
        <v>50007805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裁きの剣閃！十字斬り！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2回連続攻撃＋ボムパネル（特大）2つ生成</v>
      </c>
      <c r="F48" s="47">
        <v>50007805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9"/>
        <v>50007108_50007806</v>
      </c>
      <c r="B49" s="62">
        <v>50007108</v>
      </c>
      <c r="C49" s="47">
        <v>50007806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この一手で陣形を切り崩す！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種族を1つしか持たないユニットに超大ダメージ</v>
      </c>
      <c r="F49" s="47">
        <v>50007806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9"/>
        <v>50007109_50007901</v>
      </c>
      <c r="B50" s="62">
        <v>50007109</v>
      </c>
      <c r="C50" s="47">
        <v>50007901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なかなかやるじゃねーか…_x000D_だったら「全員」で相手してやる！！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状態異常耐性＋2ターン全属性ダメージ70%軽減_x000D_＋2ターンボムの爆風を70%DOWN</v>
      </c>
      <c r="F50" s="47">
        <v>50007901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9"/>
        <v>50007109_50007902</v>
      </c>
      <c r="B51" s="62">
        <v>50007109</v>
      </c>
      <c r="C51" s="47">
        <v>50007902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この一手で突破口を見出す！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全てのプラス効果を解除_x000D_＋1ターン自身の攻撃力超大UP</v>
      </c>
      <c r="F51" s="47">
        <v>50007902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9"/>
        <v>50007109_50007904</v>
      </c>
      <c r="B52" s="62">
        <v>50007109</v>
      </c>
      <c r="C52" s="47">
        <v>50007904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潜り込め！ルーク！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単体攻撃＋1ターン全属性ダメージ30%軽減_x000D_＋ボムパネル（特大）2つ生成</v>
      </c>
      <c r="F52" s="47">
        <v>50007904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ref="A53:A63" si="20">B53&amp;"_"&amp;C53</f>
        <v>50007109_50007905</v>
      </c>
      <c r="B53" s="62">
        <v>50007109</v>
      </c>
      <c r="C53" s="47">
        <v>50007905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このまま進撃だ！ルーク！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単体攻撃＋1ターン全属性ダメージ30%軽減_x000D_＋ボムパネル（特大）2つ生成</v>
      </c>
      <c r="F53" s="47">
        <v>50007905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20"/>
        <v>50007109_50007906</v>
      </c>
      <c r="B54" s="62">
        <v>50007109</v>
      </c>
      <c r="C54" s="47">
        <v>50007906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敵を撹乱しろ！ナイト！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単体攻撃＋1ターン全属性カウンター（弱）_x000D_＋ボムパネル（特大）2つ生成</v>
      </c>
      <c r="F54" s="47">
        <v>50007906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20"/>
        <v>50007109_50007907</v>
      </c>
      <c r="B55" s="62">
        <v>50007109</v>
      </c>
      <c r="C55" s="47">
        <v>50007907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この瞬間を見逃すな！ナイト！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単体攻撃＋1ターン全属性カウンター（弱）_x000D_＋ボムパネル（特大）2つ生成</v>
      </c>
      <c r="F55" s="47">
        <v>50007907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20"/>
        <v>50007109_50007908</v>
      </c>
      <c r="B56" s="62">
        <v>50007109</v>
      </c>
      <c r="C56" s="47">
        <v>50007908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味方の援護だ！ビショップ！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単体攻撃＋自身のHPを回復_x000D_＋ハートパネルを3つハートのボムパネルに変換</v>
      </c>
      <c r="F56" s="47">
        <v>50007908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20"/>
        <v>50007109_50007909</v>
      </c>
      <c r="B57" s="62">
        <v>50007109</v>
      </c>
      <c r="C57" s="47">
        <v>50007909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攻撃陣を支えろ！ビショップ！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単体攻撃＋自身のHPを回復_x000D_＋ハートパネルを3つハートのボムパネルに変換</v>
      </c>
      <c r="F57" s="47">
        <v>50007909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20"/>
        <v>50007109_50007910</v>
      </c>
      <c r="B58" s="62">
        <v>50007109</v>
      </c>
      <c r="C58" s="47">
        <v>50007910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よし！追いつめろ、クイーン！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1ターン全体スキルバインド_x000D_【次のターンHP50%以上あると即死攻撃発動】</v>
      </c>
      <c r="F58" s="47">
        <v>50007910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20"/>
        <v>50007109_50007911</v>
      </c>
      <c r="B59" s="62">
        <v>50007109</v>
      </c>
      <c r="C59" s="47">
        <v>50007911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スマザードメイト！オレの勝ちだ！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残りHPの300%ダメージ！</v>
      </c>
      <c r="F59" s="47">
        <v>50007911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20"/>
        <v>50007109_50007912</v>
      </c>
      <c r="B60" s="62">
        <v>50007109</v>
      </c>
      <c r="C60" s="47">
        <v>50007912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チッ！態勢を立て直すか…！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2ターン全属性ダメージ70%軽減_x000D_＋2ターンボムの爆風を70%DOWN</v>
      </c>
      <c r="F60" s="47">
        <v>50007912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20"/>
        <v>50007109_50007913</v>
      </c>
      <c r="B61" s="62">
        <v>50007109</v>
      </c>
      <c r="C61" s="47">
        <v>50007913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油断禁物だぜ_x000D_ここから逆転してやるよ！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全てのプラス効果を解除_x000D_＋1ターン自身の攻撃力超大UP</v>
      </c>
      <c r="F61" s="47">
        <v>50007913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20"/>
        <v>50007109_50007915</v>
      </c>
      <c r="B62" s="62">
        <v>50007109</v>
      </c>
      <c r="C62" s="47">
        <v>50007915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これで終わらせるぞ、クイーン！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1ターン全体スキルバインド_x000D_【次のターン即死攻撃発動】</v>
      </c>
      <c r="F62" s="47">
        <v>50007915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20"/>
        <v>50007109_50007916</v>
      </c>
      <c r="B63" s="62">
        <v>50007109</v>
      </c>
      <c r="C63" s="47">
        <v>50007916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チェックメイト！オレの逆転勝利だ！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残りHPの300%ダメージ！</v>
      </c>
      <c r="F63" s="47">
        <v>50007916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3" s="47"/>
      <c r="Q63" s="47"/>
      <c r="R63" s="47"/>
    </row>
    <row r="64" spans="1:18" ht="21" customHeight="1" x14ac:dyDescent="0.15">
      <c r="A64" s="39" t="str">
        <f t="shared" ref="A64:A67" si="21">B64&amp;"_"&amp;C64</f>
        <v>50007109_50007917</v>
      </c>
      <c r="B64" s="62">
        <v>50007109</v>
      </c>
      <c r="C64" s="47">
        <v>50007917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ハハッ…オマエ強ぇな…_x000D_しかも真っ直ぐな力で…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ここでリザインするしかないみたいだ_x000D_…ティア、ごめんな</v>
      </c>
      <c r="F64" s="47">
        <v>50007917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4" s="47"/>
      <c r="Q64" s="47"/>
      <c r="R64" s="47"/>
    </row>
    <row r="65" spans="1:18" s="113" customFormat="1" ht="21" customHeight="1" x14ac:dyDescent="0.15">
      <c r="A65" s="110" t="str">
        <f t="shared" si="21"/>
        <v>50007109_50007918</v>
      </c>
      <c r="B65" s="111">
        <v>50007109</v>
      </c>
      <c r="C65" s="106">
        <v>50007918</v>
      </c>
      <c r="D65" s="112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リザイン…だ_x000D_オレの力不足が招いた結果か…</v>
      </c>
      <c r="E65" s="112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これでオマエの罪が消えるわけじゃない_x000D_それだけは覚えておけよ…！</v>
      </c>
      <c r="F65" s="106">
        <v>50007918</v>
      </c>
      <c r="G65" s="109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109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5" s="109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109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109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109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109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109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1010</v>
      </c>
      <c r="O65" s="109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5" s="106"/>
      <c r="Q65" s="106"/>
      <c r="R65" s="106"/>
    </row>
    <row r="66" spans="1:18" s="113" customFormat="1" ht="21" customHeight="1" x14ac:dyDescent="0.15">
      <c r="A66" s="110" t="str">
        <f t="shared" si="21"/>
        <v>50007109_50007919</v>
      </c>
      <c r="B66" s="111">
        <v>50007109</v>
      </c>
      <c r="C66" s="106">
        <v>50007919</v>
      </c>
      <c r="D66" s="112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リザイン…だ_x000D_オレの力不足が招いた結果か…</v>
      </c>
      <c r="E66" s="112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これでオマエの罪が消えるわけじゃない_x000D_それだけは覚えておけよ…！</v>
      </c>
      <c r="F66" s="106">
        <v>50007919</v>
      </c>
      <c r="G66" s="109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109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6" s="109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109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109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109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109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109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1011</v>
      </c>
      <c r="O66" s="109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6" s="106"/>
      <c r="Q66" s="106"/>
      <c r="R66" s="106"/>
    </row>
    <row r="67" spans="1:18" s="113" customFormat="1" ht="21" customHeight="1" x14ac:dyDescent="0.15">
      <c r="A67" s="110" t="str">
        <f t="shared" si="21"/>
        <v>50007109_50007920</v>
      </c>
      <c r="B67" s="111">
        <v>50007109</v>
      </c>
      <c r="C67" s="106">
        <v>50007920</v>
      </c>
      <c r="D67" s="112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さすがオレの認めた相棒だ…_x000D_リザインだよ</v>
      </c>
      <c r="E67" s="112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でもオレは、この道が間違ってるとは思わない_x000D_何度だってやり直すぞ…エンキドゥ…！</v>
      </c>
      <c r="F67" s="106">
        <v>50007920</v>
      </c>
      <c r="G67" s="109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109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67" s="109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109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109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109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109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109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1072</v>
      </c>
      <c r="O67" s="109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7" s="106"/>
      <c r="Q67" s="106"/>
      <c r="R67" s="106"/>
    </row>
    <row r="68" spans="1:18" s="113" customFormat="1" ht="21" customHeight="1" x14ac:dyDescent="0.15">
      <c r="A68" s="110" t="str">
        <f t="shared" ref="A68" si="22">B68&amp;"_"&amp;C68</f>
        <v>50007109_50007921</v>
      </c>
      <c r="B68" s="111">
        <v>50007109</v>
      </c>
      <c r="C68" s="106">
        <v>50007921</v>
      </c>
      <c r="D68" s="112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さすがオレの認めた相棒だ…_x000D_リザインだよ</v>
      </c>
      <c r="E68" s="112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でもオレは、この道が間違ってるとは思わない_x000D_何度だってやり直すぞ…エンキドゥ…！</v>
      </c>
      <c r="F68" s="106">
        <v>50007921</v>
      </c>
      <c r="G68" s="109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109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68" s="109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109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109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109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109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109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1073</v>
      </c>
      <c r="O68" s="109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8" s="106"/>
      <c r="Q68" s="106"/>
      <c r="R68" s="10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8"/>
  <sheetViews>
    <sheetView showGridLines="0" workbookViewId="0">
      <pane ySplit="1" topLeftCell="A3" activePane="bottomLeft" state="frozenSplit"/>
      <selection pane="bottomLeft" activeCell="B13" sqref="B1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50007101</v>
      </c>
      <c r="B2" s="47" t="s">
        <v>258</v>
      </c>
      <c r="C2" s="50">
        <v>3</v>
      </c>
      <c r="D2" s="50" t="s">
        <v>126</v>
      </c>
      <c r="E2" s="51" t="s">
        <v>314</v>
      </c>
      <c r="F2" s="51" t="s">
        <v>316</v>
      </c>
      <c r="G2" s="64" t="str">
        <f t="shared" ref="G2:G47" si="0">IFERROR(LEFT(B2,FIND("],",B2)),B2)</f>
        <v>[effect:fix_speed, target:myself, turn:2]</v>
      </c>
      <c r="H2" s="64">
        <f t="shared" ref="H2:H47" si="1">FIND("effect:",G2)+7</f>
        <v>9</v>
      </c>
      <c r="I2" s="64">
        <f t="shared" ref="I2:I47" si="2">IFERROR(FIND(",",G2),LEN(G2))</f>
        <v>18</v>
      </c>
      <c r="J2" s="64">
        <f t="shared" ref="J2:J47" si="3">FIND("target:",G2)+7</f>
        <v>27</v>
      </c>
      <c r="K2" s="64">
        <f t="shared" ref="K2:K47" si="4">FIND(",",G2,I2+1)</f>
        <v>33</v>
      </c>
      <c r="L2" s="64" t="str">
        <f>IFERROR(VLOOKUP(MID(G2,J2,K2-J2),[5]skilldef!$C:$D,2,FALSE),"-") &amp; " / " &amp; IFERROR(VLOOKUP(MID(G2,H2,I2-H2),[5]skilldef!$A:$B,2,FALSE),"-")</f>
        <v>自分自身に / 行動値設定</v>
      </c>
      <c r="M2" s="64" t="str">
        <f t="shared" ref="M2:M47" si="5">IFERROR(RIGHT(B2,LEN(B2)-FIND("],",B2)-1),"none")</f>
        <v>none</v>
      </c>
      <c r="N2" s="48" t="str">
        <f t="shared" ref="N2:N3" si="6">IFERROR(LEFT(M2,FIND("],",M2)+S12),M2)</f>
        <v>none</v>
      </c>
      <c r="O2" s="64" t="e">
        <f t="shared" ref="O2:O47" si="7">FIND("effect:",N2)+7</f>
        <v>#VALUE!</v>
      </c>
      <c r="P2" s="64">
        <f t="shared" ref="P2:P47" si="8">IFERROR(FIND(",",N2),LEN(N2))</f>
        <v>4</v>
      </c>
      <c r="Q2" s="64" t="e">
        <f t="shared" ref="Q2:Q47" si="9">FIND("target:",N2)+7</f>
        <v>#VALUE!</v>
      </c>
      <c r="R2" s="64" t="e">
        <f t="shared" ref="R2:R47" si="10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47" si="11">IFERROR(RIGHT(M2,LEN(M2)-FIND("],",M2)-1),"none")</f>
        <v>none</v>
      </c>
      <c r="U2" s="64" t="e">
        <f t="shared" ref="U2:U47" si="12">FIND("effect:",T2)+7</f>
        <v>#VALUE!</v>
      </c>
      <c r="V2" s="64">
        <f t="shared" ref="V2:V47" si="13">IFERROR(FIND(",",T2),LEN(T2))</f>
        <v>4</v>
      </c>
      <c r="W2" s="64" t="e">
        <f t="shared" ref="W2:W47" si="14">FIND("target:",T2)+7</f>
        <v>#VALUE!</v>
      </c>
      <c r="X2" s="64" t="e">
        <f t="shared" ref="X2:X47" si="15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50007102</v>
      </c>
      <c r="B3" s="47" t="s">
        <v>280</v>
      </c>
      <c r="C3" s="50">
        <v>3</v>
      </c>
      <c r="D3" s="50" t="s">
        <v>126</v>
      </c>
      <c r="E3" s="51" t="s">
        <v>315</v>
      </c>
      <c r="F3" s="51" t="s">
        <v>274</v>
      </c>
      <c r="G3" s="64" t="str">
        <f t="shared" si="0"/>
        <v>[effect:break_attack_fix, target:unit_one, val:500, lowest_val:4000, count:10, color:green, block01:block_green]</v>
      </c>
      <c r="H3" s="64">
        <f t="shared" si="1"/>
        <v>9</v>
      </c>
      <c r="I3" s="64">
        <f t="shared" si="2"/>
        <v>25</v>
      </c>
      <c r="J3" s="64">
        <f t="shared" si="3"/>
        <v>34</v>
      </c>
      <c r="K3" s="64">
        <f t="shared" si="4"/>
        <v>42</v>
      </c>
      <c r="L3" s="64" t="str">
        <f>IFERROR(VLOOKUP(MID(G3,J3,K3-J3),[5]skilldef!$C:$D,2,FALSE),"-") &amp; " / " &amp; IFERROR(VLOOKUP(MID(G3,H3,I3-H3),[5]skilldef!$A:$B,2,FALSE),"-")</f>
        <v>味方単体に / -</v>
      </c>
      <c r="M3" s="64" t="str">
        <f t="shared" si="5"/>
        <v>none</v>
      </c>
      <c r="N3" s="48" t="str">
        <f t="shared" si="6"/>
        <v>none</v>
      </c>
      <c r="O3" s="64" t="e">
        <f t="shared" si="7"/>
        <v>#VALUE!</v>
      </c>
      <c r="P3" s="64">
        <f t="shared" si="8"/>
        <v>4</v>
      </c>
      <c r="Q3" s="64" t="e">
        <f t="shared" si="9"/>
        <v>#VALUE!</v>
      </c>
      <c r="R3" s="64" t="e">
        <f t="shared" si="10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4" t="e">
        <f t="shared" si="12"/>
        <v>#VALUE!</v>
      </c>
      <c r="V3" s="64">
        <f t="shared" si="13"/>
        <v>4</v>
      </c>
      <c r="W3" s="64" t="e">
        <f t="shared" si="14"/>
        <v>#VALUE!</v>
      </c>
      <c r="X3" s="64" t="e">
        <f t="shared" si="15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50007103</v>
      </c>
      <c r="B4" s="47" t="s">
        <v>305</v>
      </c>
      <c r="C4" s="50">
        <v>3</v>
      </c>
      <c r="D4" s="50" t="s">
        <v>126</v>
      </c>
      <c r="E4" s="51" t="s">
        <v>317</v>
      </c>
      <c r="F4" s="51" t="s">
        <v>304</v>
      </c>
      <c r="G4" s="64" t="str">
        <f t="shared" si="0"/>
        <v>[effect:change_attribute, target:myself, color:red, turn:-1, animation:change_attribute_red]</v>
      </c>
      <c r="H4" s="64">
        <f t="shared" si="1"/>
        <v>9</v>
      </c>
      <c r="I4" s="64">
        <f t="shared" si="2"/>
        <v>25</v>
      </c>
      <c r="J4" s="64">
        <f t="shared" si="3"/>
        <v>34</v>
      </c>
      <c r="K4" s="64">
        <f t="shared" si="4"/>
        <v>40</v>
      </c>
      <c r="L4" s="64" t="str">
        <f>IFERROR(VLOOKUP(MID(G4,J4,K4-J4),[5]skilldef!$C:$D,2,FALSE),"-") &amp; " / " &amp; IFERROR(VLOOKUP(MID(G4,H4,I4-H4),[5]skilldef!$A:$B,2,FALSE),"-")</f>
        <v>自分自身に / -</v>
      </c>
      <c r="M4" s="64" t="str">
        <f t="shared" si="5"/>
        <v>[effect:damage_fix_absolute, target:unit_one, val:7000]</v>
      </c>
      <c r="N4" s="48" t="str">
        <f>IFERROR(LEFT(M4,FIND("],",M4)+S15),M4)</f>
        <v>[effect:damage_fix_absolute, target:unit_one, val:7000]</v>
      </c>
      <c r="O4" s="64">
        <f t="shared" si="7"/>
        <v>9</v>
      </c>
      <c r="P4" s="64">
        <f t="shared" si="8"/>
        <v>28</v>
      </c>
      <c r="Q4" s="64">
        <f t="shared" si="9"/>
        <v>37</v>
      </c>
      <c r="R4" s="64">
        <f t="shared" si="10"/>
        <v>45</v>
      </c>
      <c r="S4" s="64" t="str">
        <f>IFERROR(VLOOKUP(MID(N4,Q4,R4-Q4),[5]skilldef!$C:$D,2,FALSE),"-") &amp; " / " &amp; IFERROR(VLOOKUP(MID(N4,O4,P4-O4),[5]skilldef!$A:$B,2,FALSE),"-")</f>
        <v>味方単体に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50007104</v>
      </c>
      <c r="B5" s="47" t="s">
        <v>281</v>
      </c>
      <c r="C5" s="50">
        <v>3</v>
      </c>
      <c r="D5" s="50" t="s">
        <v>126</v>
      </c>
      <c r="E5" s="51" t="s">
        <v>315</v>
      </c>
      <c r="F5" s="51" t="s">
        <v>275</v>
      </c>
      <c r="G5" s="64" t="str">
        <f t="shared" si="0"/>
        <v>[effect:break_attack_fix, target:unit_one, val:500, lowest_val:4000, count:10, color:red, block01:block_red]</v>
      </c>
      <c r="H5" s="64">
        <f t="shared" si="1"/>
        <v>9</v>
      </c>
      <c r="I5" s="64">
        <f t="shared" si="2"/>
        <v>25</v>
      </c>
      <c r="J5" s="64">
        <f t="shared" si="3"/>
        <v>34</v>
      </c>
      <c r="K5" s="64">
        <f t="shared" si="4"/>
        <v>42</v>
      </c>
      <c r="L5" s="64" t="str">
        <f>IFERROR(VLOOKUP(MID(G5,J5,K5-J5),[5]skilldef!$C:$D,2,FALSE),"-") &amp; " / " &amp; IFERROR(VLOOKUP(MID(G5,H5,I5-H5),[5]skilldef!$A:$B,2,FALSE),"-")</f>
        <v>味方単体に / -</v>
      </c>
      <c r="M5" s="64" t="str">
        <f t="shared" si="5"/>
        <v>none</v>
      </c>
      <c r="N5" s="48" t="str">
        <f>IFERROR(LEFT(M5,FIND("],",M5)+S16),M5)</f>
        <v>none</v>
      </c>
      <c r="O5" s="64" t="e">
        <f t="shared" si="7"/>
        <v>#VALUE!</v>
      </c>
      <c r="P5" s="64">
        <f t="shared" si="8"/>
        <v>4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50007105</v>
      </c>
      <c r="B6" s="47" t="s">
        <v>306</v>
      </c>
      <c r="C6" s="50">
        <v>3</v>
      </c>
      <c r="D6" s="50" t="s">
        <v>126</v>
      </c>
      <c r="E6" s="51" t="s">
        <v>318</v>
      </c>
      <c r="F6" s="51" t="s">
        <v>308</v>
      </c>
      <c r="G6" s="64" t="str">
        <f t="shared" si="0"/>
        <v>[effect:change_attribute, target:myself, color:blue, turn:-1, animation:change_attribute_blue]</v>
      </c>
      <c r="H6" s="64">
        <f t="shared" si="1"/>
        <v>9</v>
      </c>
      <c r="I6" s="64">
        <f t="shared" si="2"/>
        <v>25</v>
      </c>
      <c r="J6" s="64">
        <f t="shared" si="3"/>
        <v>34</v>
      </c>
      <c r="K6" s="64">
        <f t="shared" si="4"/>
        <v>40</v>
      </c>
      <c r="L6" s="64" t="str">
        <f>IFERROR(VLOOKUP(MID(G6,J6,K6-J6),[5]skilldef!$C:$D,2,FALSE),"-") &amp; " / " &amp; IFERROR(VLOOKUP(MID(G6,H6,I6-H6),[5]skilldef!$A:$B,2,FALSE),"-")</f>
        <v>自分自身に / -</v>
      </c>
      <c r="M6" s="64" t="str">
        <f t="shared" si="5"/>
        <v>[effect:damage_fix_absolute, target:unit_one, val:7000]</v>
      </c>
      <c r="N6" s="48" t="str">
        <f>IFERROR(LEFT(M6,FIND("],",M6)+S20),M6)</f>
        <v>[effect:damage_fix_absolute, target:unit_one, val:7000]</v>
      </c>
      <c r="O6" s="64">
        <f t="shared" si="7"/>
        <v>9</v>
      </c>
      <c r="P6" s="64">
        <f t="shared" si="8"/>
        <v>28</v>
      </c>
      <c r="Q6" s="64">
        <f t="shared" si="9"/>
        <v>37</v>
      </c>
      <c r="R6" s="64">
        <f t="shared" si="10"/>
        <v>45</v>
      </c>
      <c r="S6" s="64" t="str">
        <f>IFERROR(VLOOKUP(MID(N6,Q6,R6-Q6),[5]skilldef!$C:$D,2,FALSE),"-") &amp; " / " &amp; IFERROR(VLOOKUP(MID(N6,O6,P6-O6),[5]skilldef!$A:$B,2,FALSE),"-")</f>
        <v>味方単体に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50007106</v>
      </c>
      <c r="B7" s="47" t="s">
        <v>282</v>
      </c>
      <c r="C7" s="50">
        <v>3</v>
      </c>
      <c r="D7" s="50" t="s">
        <v>126</v>
      </c>
      <c r="E7" s="51" t="s">
        <v>320</v>
      </c>
      <c r="F7" s="51" t="s">
        <v>276</v>
      </c>
      <c r="G7" s="64" t="str">
        <f t="shared" si="0"/>
        <v>[effect:break_attack_fix, target:unit_one, val:500, lowest_val:4000, count:10, color:blue, block01:block_blue]</v>
      </c>
      <c r="H7" s="64">
        <f t="shared" si="1"/>
        <v>9</v>
      </c>
      <c r="I7" s="64">
        <f t="shared" si="2"/>
        <v>25</v>
      </c>
      <c r="J7" s="64">
        <f t="shared" si="3"/>
        <v>34</v>
      </c>
      <c r="K7" s="64">
        <f t="shared" si="4"/>
        <v>42</v>
      </c>
      <c r="L7" s="64" t="str">
        <f>IFERROR(VLOOKUP(MID(G7,J7,K7-J7),[5]skilldef!$C:$D,2,FALSE),"-") &amp; " / " &amp; IFERROR(VLOOKUP(MID(G7,H7,I7-H7),[5]skilldef!$A:$B,2,FALSE),"-")</f>
        <v>味方単体に / -</v>
      </c>
      <c r="M7" s="64" t="str">
        <f t="shared" si="5"/>
        <v>none</v>
      </c>
      <c r="N7" s="48" t="str">
        <f>IFERROR(LEFT(M7,FIND("],",M7)+S21),M7)</f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50007107</v>
      </c>
      <c r="B8" s="47" t="s">
        <v>307</v>
      </c>
      <c r="C8" s="50">
        <v>3</v>
      </c>
      <c r="D8" s="50" t="s">
        <v>126</v>
      </c>
      <c r="E8" s="51" t="s">
        <v>319</v>
      </c>
      <c r="F8" s="51" t="s">
        <v>309</v>
      </c>
      <c r="G8" s="64" t="str">
        <f t="shared" si="0"/>
        <v>[effect:change_attribute, target:myself, color:yellow, turn:-1, animation:change_attribute_yellow]</v>
      </c>
      <c r="H8" s="64">
        <f t="shared" si="1"/>
        <v>9</v>
      </c>
      <c r="I8" s="64">
        <f t="shared" si="2"/>
        <v>25</v>
      </c>
      <c r="J8" s="64">
        <f t="shared" si="3"/>
        <v>34</v>
      </c>
      <c r="K8" s="64">
        <f t="shared" si="4"/>
        <v>40</v>
      </c>
      <c r="L8" s="64" t="str">
        <f>IFERROR(VLOOKUP(MID(G8,J8,K8-J8),[5]skilldef!$C:$D,2,FALSE),"-") &amp; " / " &amp; IFERROR(VLOOKUP(MID(G8,H8,I8-H8),[5]skilldef!$A:$B,2,FALSE),"-")</f>
        <v>自分自身に / -</v>
      </c>
      <c r="M8" s="64" t="str">
        <f t="shared" si="5"/>
        <v>[effect:damage_fix_absolute, target:unit_one, val:7000]</v>
      </c>
      <c r="N8" s="48" t="str">
        <f>IFERROR(LEFT(M8,FIND("],",M8)+S22),M8)</f>
        <v>[effect:damage_fix_absolute, target:unit_one, val:7000]</v>
      </c>
      <c r="O8" s="64">
        <f t="shared" si="7"/>
        <v>9</v>
      </c>
      <c r="P8" s="64">
        <f t="shared" si="8"/>
        <v>28</v>
      </c>
      <c r="Q8" s="64">
        <f t="shared" si="9"/>
        <v>37</v>
      </c>
      <c r="R8" s="64">
        <f t="shared" si="10"/>
        <v>45</v>
      </c>
      <c r="S8" s="64" t="str">
        <f>IFERROR(VLOOKUP(MID(N8,Q8,R8-Q8),[5]skilldef!$C:$D,2,FALSE),"-") &amp; " / " &amp; IFERROR(VLOOKUP(MID(N8,O8,P8-O8),[5]skilldef!$A:$B,2,FALSE),"-")</f>
        <v>味方単体に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50007108</v>
      </c>
      <c r="B9" s="47" t="s">
        <v>283</v>
      </c>
      <c r="C9" s="50">
        <v>3</v>
      </c>
      <c r="D9" s="50" t="s">
        <v>126</v>
      </c>
      <c r="E9" s="51" t="s">
        <v>322</v>
      </c>
      <c r="F9" s="51" t="s">
        <v>277</v>
      </c>
      <c r="G9" s="64" t="str">
        <f t="shared" si="0"/>
        <v>[effect:break_attack_fix, target:unit_one, val:500, lowest_val:4000, count:10, color:yellow, block01:block_yellow]</v>
      </c>
      <c r="H9" s="64">
        <f t="shared" si="1"/>
        <v>9</v>
      </c>
      <c r="I9" s="64">
        <f t="shared" si="2"/>
        <v>25</v>
      </c>
      <c r="J9" s="64">
        <f t="shared" si="3"/>
        <v>34</v>
      </c>
      <c r="K9" s="64">
        <f t="shared" si="4"/>
        <v>42</v>
      </c>
      <c r="L9" s="64" t="str">
        <f>IFERROR(VLOOKUP(MID(G9,J9,K9-J9),[5]skilldef!$C:$D,2,FALSE),"-") &amp; " / " &amp; IFERROR(VLOOKUP(MID(G9,H9,I9-H9),[5]skilldef!$A:$B,2,FALSE),"-")</f>
        <v>味方単体に / -</v>
      </c>
      <c r="M9" s="64" t="str">
        <f t="shared" si="5"/>
        <v>none</v>
      </c>
      <c r="N9" s="48" t="str">
        <f>IFERROR(LEFT(M9,FIND("],",M9)+S25),M9)</f>
        <v>none</v>
      </c>
      <c r="O9" s="64" t="e">
        <f t="shared" si="7"/>
        <v>#VALUE!</v>
      </c>
      <c r="P9" s="64">
        <f t="shared" si="8"/>
        <v>4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50007109</v>
      </c>
      <c r="B10" s="47" t="s">
        <v>279</v>
      </c>
      <c r="C10" s="50">
        <v>3</v>
      </c>
      <c r="D10" s="50" t="s">
        <v>126</v>
      </c>
      <c r="E10" s="51" t="s">
        <v>321</v>
      </c>
      <c r="F10" s="51" t="s">
        <v>278</v>
      </c>
      <c r="G10" s="64" t="str">
        <f t="shared" si="0"/>
        <v>[effect:freq_turn, target:myself, turn:10, val:1, animation:enemy_freq_turn]</v>
      </c>
      <c r="H10" s="64">
        <f t="shared" si="1"/>
        <v>9</v>
      </c>
      <c r="I10" s="64">
        <f t="shared" si="2"/>
        <v>18</v>
      </c>
      <c r="J10" s="64">
        <f t="shared" si="3"/>
        <v>27</v>
      </c>
      <c r="K10" s="64">
        <f t="shared" si="4"/>
        <v>33</v>
      </c>
      <c r="L10" s="64" t="str">
        <f>IFERROR(VLOOKUP(MID(G10,J10,K10-J10),[5]skilldef!$C:$D,2,FALSE),"-") &amp; " / " &amp; IFERROR(VLOOKUP(MID(G10,H10,I10-H10),[5]skilldef!$A:$B,2,FALSE),"-")</f>
        <v>自分自身に / 攻撃頻度がUP</v>
      </c>
      <c r="M10" s="64" t="str">
        <f t="shared" si="5"/>
        <v>none</v>
      </c>
      <c r="N10" s="48" t="str">
        <f>IFERROR(LEFT(M10,FIND("],",M10)+S26),M10)</f>
        <v>none</v>
      </c>
      <c r="O10" s="64" t="e">
        <f t="shared" si="7"/>
        <v>#VALUE!</v>
      </c>
      <c r="P10" s="64">
        <f t="shared" si="8"/>
        <v>4</v>
      </c>
      <c r="Q10" s="64" t="e">
        <f t="shared" si="9"/>
        <v>#VALUE!</v>
      </c>
      <c r="R10" s="64" t="e">
        <f t="shared" si="10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50007201</v>
      </c>
      <c r="B11" s="47" t="s">
        <v>422</v>
      </c>
      <c r="C11" s="50">
        <v>3</v>
      </c>
      <c r="D11" s="50" t="s">
        <v>126</v>
      </c>
      <c r="E11" s="51" t="s">
        <v>330</v>
      </c>
      <c r="F11" s="51" t="s">
        <v>252</v>
      </c>
      <c r="G11" s="64" t="str">
        <f t="shared" si="0"/>
        <v>[effect:damage_anti_tribe, target:unit_all, tribe:none, val1:0.8, val2:0.2]</v>
      </c>
      <c r="H11" s="64">
        <f t="shared" si="1"/>
        <v>9</v>
      </c>
      <c r="I11" s="64">
        <f t="shared" si="2"/>
        <v>26</v>
      </c>
      <c r="J11" s="64">
        <f t="shared" si="3"/>
        <v>35</v>
      </c>
      <c r="K11" s="64">
        <f t="shared" si="4"/>
        <v>43</v>
      </c>
      <c r="L11" s="64" t="str">
        <f>IFERROR(VLOOKUP(MID(G11,J11,K11-J11),[5]skilldef!$C:$D,2,FALSE),"-") &amp; " / " &amp; IFERROR(VLOOKUP(MID(G11,H11,I11-H11),[5]skilldef!$A:$B,2,FALSE),"-")</f>
        <v>味方全体に / 種族キラー</v>
      </c>
      <c r="M11" s="64" t="str">
        <f t="shared" si="5"/>
        <v>[effect:enemy_message, val1:1, val2:2.4, dead_type:suicide]</v>
      </c>
      <c r="N11" s="48" t="str">
        <f>IFERROR(LEFT(M11,FIND("],",M11)+S27),M11)</f>
        <v>[effect:enemy_message, val1:1, val2:2.4, dead_type:suicide]</v>
      </c>
      <c r="O11" s="64">
        <f t="shared" si="7"/>
        <v>9</v>
      </c>
      <c r="P11" s="64">
        <f t="shared" si="8"/>
        <v>22</v>
      </c>
      <c r="Q11" s="64" t="e">
        <f t="shared" si="9"/>
        <v>#VALUE!</v>
      </c>
      <c r="R11" s="64">
        <f t="shared" si="10"/>
        <v>30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50007202</v>
      </c>
      <c r="B12" s="47" t="s">
        <v>303</v>
      </c>
      <c r="C12" s="50">
        <v>3</v>
      </c>
      <c r="D12" s="50" t="s">
        <v>126</v>
      </c>
      <c r="E12" s="51" t="s">
        <v>329</v>
      </c>
      <c r="F12" s="51" t="s">
        <v>302</v>
      </c>
      <c r="G12" s="64" t="str">
        <f t="shared" si="0"/>
        <v>[effect:dis_heart, turn:3, animation:enemy_dis_heart]</v>
      </c>
      <c r="H12" s="64">
        <f t="shared" si="1"/>
        <v>9</v>
      </c>
      <c r="I12" s="64">
        <f t="shared" si="2"/>
        <v>18</v>
      </c>
      <c r="J12" s="64" t="e">
        <f t="shared" si="3"/>
        <v>#VALUE!</v>
      </c>
      <c r="K12" s="64">
        <f t="shared" si="4"/>
        <v>26</v>
      </c>
      <c r="L12" s="64" t="str">
        <f>IFERROR(VLOOKUP(MID(G12,J12,K12-J12),[5]skilldef!$C:$D,2,FALSE),"-") &amp; " / " &amp; IFERROR(VLOOKUP(MID(G12,H12,I12-H12),[5]skilldef!$A:$B,2,FALSE),"-")</f>
        <v>- / ディスハート</v>
      </c>
      <c r="M12" s="64" t="str">
        <f t="shared" si="5"/>
        <v>[effect:enhance_enemy, target:myself, turn:-1, status:attack, val:0.3, animation:enemy_enhance_attack]</v>
      </c>
      <c r="N12" s="48" t="str">
        <f>IFERROR(LEFT(M12,FIND("],",M12)+S30),M12)</f>
        <v>[effect:enhance_enemy, target:myself, turn:-1, status:attack, val:0.3, animation:enemy_enhance_attack]</v>
      </c>
      <c r="O12" s="64">
        <f t="shared" si="7"/>
        <v>9</v>
      </c>
      <c r="P12" s="64">
        <f t="shared" si="8"/>
        <v>22</v>
      </c>
      <c r="Q12" s="64">
        <f t="shared" si="9"/>
        <v>31</v>
      </c>
      <c r="R12" s="64">
        <f t="shared" si="10"/>
        <v>37</v>
      </c>
      <c r="S12" s="64" t="str">
        <f>IFERROR(VLOOKUP(MID(N12,Q12,R12-Q12),[5]skilldef!$C:$D,2,FALSE),"-") &amp; " / " &amp; IFERROR(VLOOKUP(MID(N12,O12,P12-O12),[5]skilldef!$A:$B,2,FALSE),"-")</f>
        <v>自分自身に / ステータス強化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50007301</v>
      </c>
      <c r="B13" s="47" t="s">
        <v>378</v>
      </c>
      <c r="C13" s="50">
        <v>3</v>
      </c>
      <c r="D13" s="50" t="s">
        <v>126</v>
      </c>
      <c r="E13" s="51" t="s">
        <v>323</v>
      </c>
      <c r="F13" s="51" t="s">
        <v>287</v>
      </c>
      <c r="G13" s="64" t="str">
        <f t="shared" si="0"/>
        <v>[effect:enemy_message, val1:2.2, val2:2.2, dead_type:suicide]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5"/>
        <v>[effect:fix_speed, target:myself, turn:1],[effect:tolerance, target:myself, turn:-1, tolerance_effect:all, count:-1, animation:enemy_tolerance],[effect:change_panel_ratio, turn:8, block_type:red, val:0, animation:block_incidence04]</v>
      </c>
      <c r="N13" s="48" t="str">
        <f>IFERROR(LEFT(M13,FIND("],",M13)+S31),M13)</f>
        <v>[effect:fix_speed, target:myself, turn:1],[effect:tolerance, target:myself, turn:-1, tolerance_effect:all, count:-1, animation:enemy_tolerance],[effect:change_panel_ratio, turn:8, block_type:red, val:0, animation:block_incidence04]</v>
      </c>
      <c r="O13" s="64">
        <f t="shared" si="7"/>
        <v>9</v>
      </c>
      <c r="P13" s="64">
        <f t="shared" si="8"/>
        <v>18</v>
      </c>
      <c r="Q13" s="64">
        <f t="shared" si="9"/>
        <v>27</v>
      </c>
      <c r="R13" s="64">
        <f t="shared" si="10"/>
        <v>33</v>
      </c>
      <c r="S13" s="64" t="str">
        <f>IFERROR(VLOOKUP(MID(N13,Q13,R13-Q13),[5]skilldef!$C:$D,2,FALSE),"-") &amp; " / " &amp; IFERROR(VLOOKUP(MID(N13,O13,P13-O13),[5]skilldef!$A:$B,2,FALSE),"-")</f>
        <v>自分自身に / 行動値設定</v>
      </c>
      <c r="T13" s="48" t="str">
        <f t="shared" si="11"/>
        <v>[effect:tolerance, target:myself, turn:-1, tolerance_effect:all, count:-1, animation:enemy_tolerance],[effect:change_panel_ratio, turn:8, block_type:red, val:0, animation:block_incidence04]</v>
      </c>
      <c r="U13" s="64">
        <f t="shared" si="12"/>
        <v>9</v>
      </c>
      <c r="V13" s="64">
        <f t="shared" si="13"/>
        <v>18</v>
      </c>
      <c r="W13" s="64">
        <f t="shared" si="14"/>
        <v>27</v>
      </c>
      <c r="X13" s="64">
        <f t="shared" si="15"/>
        <v>33</v>
      </c>
      <c r="Y13" s="64" t="str">
        <f>IFERROR(VLOOKUP(MID(T13,W13,X13-W13),[5]skilldef!$C:$D,2,FALSE),"-") &amp; " / " &amp; IFERROR(VLOOKUP(MID(T13,U13,V13-U13),[5]skilldef!$A:$B,2,FALSE),"-")</f>
        <v>自分自身に / 状態異常耐性</v>
      </c>
      <c r="Z13" s="50"/>
      <c r="AA13" s="52"/>
      <c r="AB13" s="50"/>
    </row>
    <row r="14" spans="1:28" ht="21" customHeight="1" x14ac:dyDescent="0.15">
      <c r="A14" s="47">
        <v>50007302</v>
      </c>
      <c r="B14" s="47" t="s">
        <v>454</v>
      </c>
      <c r="C14" s="50">
        <v>3</v>
      </c>
      <c r="D14" s="50" t="s">
        <v>126</v>
      </c>
      <c r="E14" s="51" t="s">
        <v>324</v>
      </c>
      <c r="F14" s="51" t="s">
        <v>285</v>
      </c>
      <c r="G14" s="64" t="str">
        <f t="shared" ref="G14" si="16">IFERROR(LEFT(B14,FIND("],",B14)),B14)</f>
        <v>[effect:enemy_message, val1:1, val2:2.6, dead_type:suicide]</v>
      </c>
      <c r="H14" s="64">
        <f t="shared" ref="H14" si="17">FIND("effect:",G14)+7</f>
        <v>9</v>
      </c>
      <c r="I14" s="64">
        <f t="shared" ref="I14" si="18">IFERROR(FIND(",",G14),LEN(G14))</f>
        <v>22</v>
      </c>
      <c r="J14" s="64" t="e">
        <f t="shared" ref="J14" si="19">FIND("target:",G14)+7</f>
        <v>#VALUE!</v>
      </c>
      <c r="K14" s="64">
        <f t="shared" ref="K14" si="20">FIND(",",G14,I14+1)</f>
        <v>30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ref="M14" si="21">IFERROR(RIGHT(B14,LEN(B14)-FIND("],",B14)-1),"none")</f>
        <v>[effect:change_bomb_range, val:0.8, rate:1, turn:1],[effect:spread, val:0.25],[effect:force_change_block, new_block:time_bomb, target:block_all, ignore01:crash, ignore02:crack_bomb, ignore03:time_bomb, ignore04:color_break, ignore05:magnet, count:1, val:0.75, min_time_count:2, max_time_count:2, animation:change_block]</v>
      </c>
      <c r="N14" s="48" t="str">
        <f>IFERROR(LEFT(M14,FIND("],",M14)+S31),M14)</f>
        <v>[effect:change_bomb_range, val:0.8, rate:1, turn:1],[effect:spread, val:0.25],[effect:force_change_block, new_block:time_bomb, target:block_all, ignore01:crash, ignore02:crack_bomb, ignore03:time_bomb, ignore04:color_break, ignore05:magnet, count:1, val:0.75, min_time_count:2, max_time_count:2, animation:change_block]</v>
      </c>
      <c r="O14" s="64">
        <f t="shared" ref="O14" si="22">FIND("effect:",N14)+7</f>
        <v>9</v>
      </c>
      <c r="P14" s="64">
        <f t="shared" ref="P14" si="23">IFERROR(FIND(",",N14),LEN(N14))</f>
        <v>26</v>
      </c>
      <c r="Q14" s="64">
        <f t="shared" ref="Q14" si="24">FIND("target:",N14)+7</f>
        <v>135</v>
      </c>
      <c r="R14" s="64">
        <f t="shared" ref="R14" si="25">FIND(",",N14,P14+1)</f>
        <v>35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ref="T14" si="26">IFERROR(RIGHT(M14,LEN(M14)-FIND("],",M14)-1),"none")</f>
        <v>[effect:spread, val:0.25],[effect:force_change_block, new_block:time_bomb, target:block_all, ignore01:crash, ignore02:crack_bomb, ignore03:time_bomb, ignore04:color_break, ignore05:magnet, count:1, val:0.75, min_time_count:2, max_time_count:2, animation:change_block]</v>
      </c>
      <c r="U14" s="64">
        <f t="shared" ref="U14" si="27">FIND("effect:",T14)+7</f>
        <v>9</v>
      </c>
      <c r="V14" s="64">
        <f t="shared" ref="V14" si="28">IFERROR(FIND(",",T14),LEN(T14))</f>
        <v>15</v>
      </c>
      <c r="W14" s="64">
        <f t="shared" ref="W14" si="29">FIND("target:",T14)+7</f>
        <v>83</v>
      </c>
      <c r="X14" s="64">
        <f t="shared" ref="X14" si="30">FIND(",",T14,V14+1)</f>
        <v>26</v>
      </c>
      <c r="Y14" s="64" t="str">
        <f>IFERROR(VLOOKUP(MID(T14,W14,X14-W14),[5]skilldef!$C:$D,2,FALSE),"-") &amp; " / " &amp; IFERROR(VLOOKUP(MID(T14,U14,V14-U14),[5]skilldef!$A:$B,2,FALSE),"-")</f>
        <v>- / 全体攻撃</v>
      </c>
      <c r="Z14" s="50"/>
      <c r="AA14" s="52"/>
      <c r="AB14" s="50"/>
    </row>
    <row r="15" spans="1:28" ht="21" customHeight="1" x14ac:dyDescent="0.15">
      <c r="A15" s="47">
        <v>50007303</v>
      </c>
      <c r="B15" s="47" t="s">
        <v>438</v>
      </c>
      <c r="C15" s="50">
        <v>3</v>
      </c>
      <c r="D15" s="50" t="s">
        <v>126</v>
      </c>
      <c r="E15" s="51" t="s">
        <v>325</v>
      </c>
      <c r="F15" s="51" t="s">
        <v>286</v>
      </c>
      <c r="G15" s="64" t="str">
        <f t="shared" si="0"/>
        <v>[effect:enemy_message, val1:1, val2:2.6, dead_type:suicide]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30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[effect:change_bomb_range, val:0.65, rate:1, turn:1],[effect:spread, val:0.28],[effect:force_change_block, new_block:time_bomb, target:block_all, ignore01:crash, ignore02:crack_bomb, ignore03:time_bomb, ignore04:color_break, ignore05:magnet, count:2, val:0.75, min_time_count:2, max_time_count:2, animation:change_block]</v>
      </c>
      <c r="N15" s="48" t="str">
        <f>IFERROR(LEFT(M15,FIND("],",M15)+S32),M15)</f>
        <v>[effect:change_bomb_range, val:0.65, rate:1, turn:1],[effect:spread, val:0.28],[effect:force_change_block, new_block:time_bomb, target:block_all, ignore01:crash, ignore02:crack_bomb, ignore03:time_bomb, ignore04:color_break, ignore05:magnet, count:2, val:0.75, min_time_count:2, max_time_count:2, animation:change_block]</v>
      </c>
      <c r="O15" s="64">
        <f t="shared" si="7"/>
        <v>9</v>
      </c>
      <c r="P15" s="64">
        <f t="shared" si="8"/>
        <v>26</v>
      </c>
      <c r="Q15" s="64">
        <f t="shared" si="9"/>
        <v>136</v>
      </c>
      <c r="R15" s="64">
        <f t="shared" si="10"/>
        <v>36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1"/>
        <v>[effect:spread, val:0.28],[effect:force_change_block, new_block:time_bomb, target:block_all, ignore01:crash, ignore02:crack_bomb, ignore03:time_bomb, ignore04:color_break, ignore05:magnet, count:2, val:0.75, min_time_count:2, max_time_count:2, animation:change_block]</v>
      </c>
      <c r="U15" s="64">
        <f t="shared" si="12"/>
        <v>9</v>
      </c>
      <c r="V15" s="64">
        <f t="shared" si="13"/>
        <v>15</v>
      </c>
      <c r="W15" s="64">
        <f t="shared" si="14"/>
        <v>83</v>
      </c>
      <c r="X15" s="64">
        <f t="shared" si="15"/>
        <v>26</v>
      </c>
      <c r="Y15" s="64" t="str">
        <f>IFERROR(VLOOKUP(MID(T15,W15,X15-W15),[5]skilldef!$C:$D,2,FALSE),"-") &amp; " / " &amp; IFERROR(VLOOKUP(MID(T15,U15,V15-U15),[5]skilldef!$A:$B,2,FALSE),"-")</f>
        <v>- / 全体攻撃</v>
      </c>
      <c r="Z15" s="50"/>
      <c r="AA15" s="52"/>
      <c r="AB15" s="50"/>
    </row>
    <row r="16" spans="1:28" ht="21" customHeight="1" x14ac:dyDescent="0.15">
      <c r="A16" s="47">
        <v>50007304</v>
      </c>
      <c r="B16" s="47" t="s">
        <v>439</v>
      </c>
      <c r="C16" s="50">
        <v>3</v>
      </c>
      <c r="D16" s="50" t="s">
        <v>126</v>
      </c>
      <c r="E16" s="51" t="s">
        <v>326</v>
      </c>
      <c r="F16" s="51" t="s">
        <v>288</v>
      </c>
      <c r="G16" s="64" t="str">
        <f t="shared" si="0"/>
        <v>[effect:enemy_message, val1:1, val2:2.6, dead_type:suicide]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30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5"/>
        <v>[effect:change_bomb_range, val:0.5, rate:1, turn:1],[effect:spread, val:0.31],[effect:force_change_block, new_block:time_bomb, target:block_all, ignore01:crash, ignore02:crack_bomb, ignore03:time_bomb, ignore04:color_break, ignore05:magnet, count:3, val:0.75, min_time_count:2, max_time_count:2, animation:change_block]</v>
      </c>
      <c r="N16" s="48" t="str">
        <f>IFERROR(LEFT(M16,FIND("],",M16)+S35),M16)</f>
        <v>[effect:change_bomb_range, val:0.5, rate:1, turn:1],[effect:spread, val:0.31],[effect:force_change_block, new_block:time_bomb, target:block_all, ignore01:crash, ignore02:crack_bomb, ignore03:time_bomb, ignore04:color_break, ignore05:magnet, count:3, val:0.75, min_time_count:2, max_time_count:2, animation:change_block]</v>
      </c>
      <c r="O16" s="64">
        <f t="shared" si="7"/>
        <v>9</v>
      </c>
      <c r="P16" s="64">
        <f t="shared" si="8"/>
        <v>26</v>
      </c>
      <c r="Q16" s="64">
        <f t="shared" si="9"/>
        <v>135</v>
      </c>
      <c r="R16" s="64">
        <f t="shared" si="10"/>
        <v>35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1"/>
        <v>[effect:spread, val:0.31],[effect:force_change_block, new_block:time_bomb, target:block_all, ignore01:crash, ignore02:crack_bomb, ignore03:time_bomb, ignore04:color_break, ignore05:magnet, count:3, val:0.75, min_time_count:2, max_time_count:2, animation:change_block]</v>
      </c>
      <c r="U16" s="64">
        <f t="shared" si="12"/>
        <v>9</v>
      </c>
      <c r="V16" s="64">
        <f t="shared" si="13"/>
        <v>15</v>
      </c>
      <c r="W16" s="64">
        <f t="shared" si="14"/>
        <v>83</v>
      </c>
      <c r="X16" s="64">
        <f t="shared" si="15"/>
        <v>26</v>
      </c>
      <c r="Y16" s="64" t="str">
        <f>IFERROR(VLOOKUP(MID(T16,W16,X16-W16),[5]skilldef!$C:$D,2,FALSE),"-") &amp; " / " &amp; IFERROR(VLOOKUP(MID(T16,U16,V16-U16),[5]skilldef!$A:$B,2,FALSE),"-")</f>
        <v>- / 全体攻撃</v>
      </c>
      <c r="Z16" s="50"/>
      <c r="AA16" s="52"/>
      <c r="AB16" s="50"/>
    </row>
    <row r="17" spans="1:28" ht="21" customHeight="1" x14ac:dyDescent="0.15">
      <c r="A17" s="47">
        <v>50007305</v>
      </c>
      <c r="B17" s="47" t="s">
        <v>440</v>
      </c>
      <c r="C17" s="50">
        <v>3</v>
      </c>
      <c r="D17" s="50" t="s">
        <v>126</v>
      </c>
      <c r="E17" s="51" t="s">
        <v>327</v>
      </c>
      <c r="F17" s="51" t="s">
        <v>289</v>
      </c>
      <c r="G17" s="64" t="str">
        <f t="shared" ref="G17" si="31">IFERROR(LEFT(B17,FIND("],",B17)),B17)</f>
        <v>[effect:enemy_message, val1:1, val2:2.6, dead_type:suicide]</v>
      </c>
      <c r="H17" s="64">
        <f t="shared" ref="H17" si="32">FIND("effect:",G17)+7</f>
        <v>9</v>
      </c>
      <c r="I17" s="64">
        <f t="shared" ref="I17" si="33">IFERROR(FIND(",",G17),LEN(G17))</f>
        <v>22</v>
      </c>
      <c r="J17" s="64" t="e">
        <f t="shared" ref="J17" si="34">FIND("target:",G17)+7</f>
        <v>#VALUE!</v>
      </c>
      <c r="K17" s="64">
        <f t="shared" ref="K17" si="35">FIND(",",G17,I17+1)</f>
        <v>30</v>
      </c>
      <c r="L17" s="64" t="str">
        <f>IFERROR(VLOOKUP(MID(G17,J17,K17-J17),[5]skilldef!$C:$D,2,FALSE),"-") &amp; " / " &amp; IFERROR(VLOOKUP(MID(G17,H17,I17-H17),[5]skilldef!$A:$B,2,FALSE),"-")</f>
        <v>- / -</v>
      </c>
      <c r="M17" s="64" t="str">
        <f t="shared" ref="M17" si="36">IFERROR(RIGHT(B17,LEN(B17)-FIND("],",B17)-1),"none")</f>
        <v>[effect:change_bomb_range, val:0.35, rate:1, turn:1],[effect:spread, val:0.34],[effect:force_change_block, new_block:time_bomb, target:block_all, ignore01:crash, ignore02:crack_bomb, ignore03:time_bomb, ignore04:color_break, ignore05:magnet, count:4, val:0.75, min_time_count:2, max_time_count:2, animation:change_block]</v>
      </c>
      <c r="N17" s="48" t="str">
        <f>IFERROR(LEFT(M17,FIND("],",M17)+S36),M17)</f>
        <v>[effect:change_bomb_range, val:0.35, rate:1, turn:1],[effect:spread, val:0.34],[effect:force_change_block, new_block:time_bomb, target:block_all, ignore01:crash, ignore02:crack_bomb, ignore03:time_bomb, ignore04:color_break, ignore05:magnet, count:4, val:0.75, min_time_count:2, max_time_count:2, animation:change_block]</v>
      </c>
      <c r="O17" s="64">
        <f t="shared" ref="O17" si="37">FIND("effect:",N17)+7</f>
        <v>9</v>
      </c>
      <c r="P17" s="64">
        <f t="shared" ref="P17" si="38">IFERROR(FIND(",",N17),LEN(N17))</f>
        <v>26</v>
      </c>
      <c r="Q17" s="64">
        <f t="shared" ref="Q17" si="39">FIND("target:",N17)+7</f>
        <v>136</v>
      </c>
      <c r="R17" s="64">
        <f t="shared" ref="R17" si="40">FIND(",",N17,P17+1)</f>
        <v>36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ref="T17" si="41">IFERROR(RIGHT(M17,LEN(M17)-FIND("],",M17)-1),"none")</f>
        <v>[effect:spread, val:0.34],[effect:force_change_block, new_block:time_bomb, target:block_all, ignore01:crash, ignore02:crack_bomb, ignore03:time_bomb, ignore04:color_break, ignore05:magnet, count:4, val:0.75, min_time_count:2, max_time_count:2, animation:change_block]</v>
      </c>
      <c r="U17" s="64">
        <f t="shared" ref="U17" si="42">FIND("effect:",T17)+7</f>
        <v>9</v>
      </c>
      <c r="V17" s="64">
        <f t="shared" ref="V17" si="43">IFERROR(FIND(",",T17),LEN(T17))</f>
        <v>15</v>
      </c>
      <c r="W17" s="64">
        <f t="shared" ref="W17" si="44">FIND("target:",T17)+7</f>
        <v>83</v>
      </c>
      <c r="X17" s="64">
        <f t="shared" ref="X17" si="45">FIND(",",T17,V17+1)</f>
        <v>26</v>
      </c>
      <c r="Y17" s="64" t="str">
        <f>IFERROR(VLOOKUP(MID(T17,W17,X17-W17),[5]skilldef!$C:$D,2,FALSE),"-") &amp; " / " &amp; IFERROR(VLOOKUP(MID(T17,U17,V17-U17),[5]skilldef!$A:$B,2,FALSE),"-")</f>
        <v>- / 全体攻撃</v>
      </c>
      <c r="Z17" s="50"/>
      <c r="AA17" s="52"/>
      <c r="AB17" s="50"/>
    </row>
    <row r="18" spans="1:28" ht="21" customHeight="1" x14ac:dyDescent="0.15">
      <c r="A18" s="47">
        <v>50007306</v>
      </c>
      <c r="B18" s="47" t="s">
        <v>441</v>
      </c>
      <c r="C18" s="50">
        <v>3</v>
      </c>
      <c r="D18" s="50" t="s">
        <v>126</v>
      </c>
      <c r="E18" s="51" t="s">
        <v>328</v>
      </c>
      <c r="F18" s="51" t="s">
        <v>292</v>
      </c>
      <c r="G18" s="64" t="str">
        <f t="shared" ref="G18" si="46">IFERROR(LEFT(B18,FIND("],",B18)),B18)</f>
        <v>[effect:enemy_message, val1:1, val2:2.4, dead_type:suicide]</v>
      </c>
      <c r="H18" s="64">
        <f t="shared" ref="H18" si="47">FIND("effect:",G18)+7</f>
        <v>9</v>
      </c>
      <c r="I18" s="64">
        <f t="shared" ref="I18" si="48">IFERROR(FIND(",",G18),LEN(G18))</f>
        <v>22</v>
      </c>
      <c r="J18" s="64" t="e">
        <f t="shared" ref="J18" si="49">FIND("target:",G18)+7</f>
        <v>#VALUE!</v>
      </c>
      <c r="K18" s="64">
        <f t="shared" ref="K18" si="50">FIND(",",G18,I18+1)</f>
        <v>30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ref="M18" si="51">IFERROR(RIGHT(B18,LEN(B18)-FIND("],",B18)-1),"none")</f>
        <v>[effect:change_bomb_range, val:0.2, rate:1, turn:1],[effect:spread, val:0.37],[effect:force_change_block, new_block:time_bomb, target:block_all, ignore01:crash, ignore02:crack_bomb, ignore03:time_bomb, ignore04:color_break, ignore05:magnet, count:5, val:0.75, min_time_count:2, max_time_count:2, animation:change_block]</v>
      </c>
      <c r="N18" s="48" t="str">
        <f>IFERROR(LEFT(M18,FIND("],",M18)+S37),M18)</f>
        <v>[effect:change_bomb_range, val:0.2, rate:1, turn:1],[effect:spread, val:0.37],[effect:force_change_block, new_block:time_bomb, target:block_all, ignore01:crash, ignore02:crack_bomb, ignore03:time_bomb, ignore04:color_break, ignore05:magnet, count:5, val:0.75, min_time_count:2, max_time_count:2, animation:change_block]</v>
      </c>
      <c r="O18" s="64">
        <f t="shared" ref="O18" si="52">FIND("effect:",N18)+7</f>
        <v>9</v>
      </c>
      <c r="P18" s="64">
        <f t="shared" ref="P18" si="53">IFERROR(FIND(",",N18),LEN(N18))</f>
        <v>26</v>
      </c>
      <c r="Q18" s="64">
        <f t="shared" ref="Q18" si="54">FIND("target:",N18)+7</f>
        <v>135</v>
      </c>
      <c r="R18" s="64">
        <f t="shared" ref="R18" si="55">FIND(",",N18,P18+1)</f>
        <v>35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56">IFERROR(RIGHT(M18,LEN(M18)-FIND("],",M18)-1),"none")</f>
        <v>[effect:spread, val:0.37],[effect:force_change_block, new_block:time_bomb, target:block_all, ignore01:crash, ignore02:crack_bomb, ignore03:time_bomb, ignore04:color_break, ignore05:magnet, count:5, val:0.75, min_time_count:2, max_time_count:2, animation:change_block]</v>
      </c>
      <c r="U18" s="64">
        <f t="shared" ref="U18" si="57">FIND("effect:",T18)+7</f>
        <v>9</v>
      </c>
      <c r="V18" s="64">
        <f t="shared" ref="V18" si="58">IFERROR(FIND(",",T18),LEN(T18))</f>
        <v>15</v>
      </c>
      <c r="W18" s="64">
        <f t="shared" ref="W18" si="59">FIND("target:",T18)+7</f>
        <v>83</v>
      </c>
      <c r="X18" s="64">
        <f t="shared" ref="X18" si="60">FIND(",",T18,V18+1)</f>
        <v>26</v>
      </c>
      <c r="Y18" s="64" t="str">
        <f>IFERROR(VLOOKUP(MID(T18,W18,X18-W18),[5]skilldef!$C:$D,2,FALSE),"-") &amp; " / " &amp; IFERROR(VLOOKUP(MID(T18,U18,V18-U18),[5]skilldef!$A:$B,2,FALSE),"-")</f>
        <v>- / 全体攻撃</v>
      </c>
      <c r="Z18" s="50"/>
      <c r="AA18" s="52"/>
      <c r="AB18" s="50"/>
    </row>
    <row r="19" spans="1:28" ht="21" customHeight="1" x14ac:dyDescent="0.15">
      <c r="A19" s="47">
        <v>50007307</v>
      </c>
      <c r="B19" s="47" t="s">
        <v>291</v>
      </c>
      <c r="C19" s="50">
        <v>3</v>
      </c>
      <c r="D19" s="50" t="s">
        <v>126</v>
      </c>
      <c r="E19" s="51" t="s">
        <v>411</v>
      </c>
      <c r="F19" s="51" t="s">
        <v>290</v>
      </c>
      <c r="G19" s="64" t="str">
        <f t="shared" ref="G19" si="61">IFERROR(LEFT(B19,FIND("],",B19)),B19)</f>
        <v>[effect:suicide, val:0.5, dead_type:suicide, target:myself, animation:enemy_suicide]</v>
      </c>
      <c r="H19" s="64">
        <f t="shared" ref="H19" si="62">FIND("effect:",G19)+7</f>
        <v>9</v>
      </c>
      <c r="I19" s="64">
        <f t="shared" ref="I19" si="63">IFERROR(FIND(",",G19),LEN(G19))</f>
        <v>16</v>
      </c>
      <c r="J19" s="64">
        <f t="shared" ref="J19" si="64">FIND("target:",G19)+7</f>
        <v>53</v>
      </c>
      <c r="K19" s="64">
        <f t="shared" ref="K19" si="65">FIND(",",G19,I19+1)</f>
        <v>25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ref="M19" si="66">IFERROR(RIGHT(B19,LEN(B19)-FIND("],",B19)-1),"none")</f>
        <v>[effect:enhance_enemy, target:myself, turn:-1, status:attack, val:0.5, animation:enemy_enhance_attack]</v>
      </c>
      <c r="N19" s="48" t="str">
        <f>IFERROR(LEFT(M19,FIND("],",M19)+S37),M19)</f>
        <v>[effect:enhance_enemy, target:myself, turn:-1, status:attack, val:0.5, animation:enemy_enhance_attack]</v>
      </c>
      <c r="O19" s="64">
        <f t="shared" ref="O19" si="67">FIND("effect:",N19)+7</f>
        <v>9</v>
      </c>
      <c r="P19" s="64">
        <f t="shared" ref="P19" si="68">IFERROR(FIND(",",N19),LEN(N19))</f>
        <v>22</v>
      </c>
      <c r="Q19" s="64">
        <f t="shared" ref="Q19" si="69">FIND("target:",N19)+7</f>
        <v>31</v>
      </c>
      <c r="R19" s="64">
        <f t="shared" ref="R19" si="70">FIND(",",N19,P19+1)</f>
        <v>37</v>
      </c>
      <c r="S19" s="64" t="str">
        <f>IFERROR(VLOOKUP(MID(N19,Q19,R19-Q19),[5]skilldef!$C:$D,2,FALSE),"-") &amp; " / " &amp; IFERROR(VLOOKUP(MID(N19,O19,P19-O19),[5]skilldef!$A:$B,2,FALSE),"-")</f>
        <v>自分自身に / ステータス強化</v>
      </c>
      <c r="T19" s="48" t="str">
        <f t="shared" ref="T19" si="71">IFERROR(RIGHT(M19,LEN(M19)-FIND("],",M19)-1),"none")</f>
        <v>none</v>
      </c>
      <c r="U19" s="64" t="e">
        <f t="shared" ref="U19" si="72">FIND("effect:",T19)+7</f>
        <v>#VALUE!</v>
      </c>
      <c r="V19" s="64">
        <f t="shared" ref="V19" si="73">IFERROR(FIND(",",T19),LEN(T19))</f>
        <v>4</v>
      </c>
      <c r="W19" s="64" t="e">
        <f t="shared" ref="W19" si="74">FIND("target:",T19)+7</f>
        <v>#VALUE!</v>
      </c>
      <c r="X19" s="64" t="e">
        <f t="shared" ref="X19" si="75">FIND(",",T19,V19+1)</f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50007401</v>
      </c>
      <c r="B20" s="47" t="s">
        <v>377</v>
      </c>
      <c r="C20" s="50">
        <v>3</v>
      </c>
      <c r="D20" s="50" t="s">
        <v>126</v>
      </c>
      <c r="E20" s="51" t="s">
        <v>338</v>
      </c>
      <c r="F20" s="51" t="s">
        <v>259</v>
      </c>
      <c r="G20" s="64" t="str">
        <f t="shared" si="0"/>
        <v>[effect:enemy_message, val1:2.0, val2:1.8, dead_type:suicide]</v>
      </c>
      <c r="H20" s="64">
        <f t="shared" si="1"/>
        <v>9</v>
      </c>
      <c r="I20" s="64">
        <f t="shared" si="2"/>
        <v>22</v>
      </c>
      <c r="J20" s="64" t="e">
        <f t="shared" si="3"/>
        <v>#VALUE!</v>
      </c>
      <c r="K20" s="64">
        <f t="shared" si="4"/>
        <v>32</v>
      </c>
      <c r="L20" s="64" t="str">
        <f>IFERROR(VLOOKUP(MID(G20,J20,K20-J20),[5]skilldef!$C:$D,2,FALSE),"-") &amp; " / " &amp; IFERROR(VLOOKUP(MID(G20,H20,I20-H20),[5]skilldef!$A:$B,2,FALSE),"-")</f>
        <v>- / -</v>
      </c>
      <c r="M20" s="64" t="str">
        <f t="shared" si="5"/>
        <v>[effect:fix_speed, target:myself, turn:1],[effect:tolerance, target:myself, turn:-1, tolerance_effect:all, count:-1, animation:enemy_tolerance]</v>
      </c>
      <c r="N20" s="48" t="str">
        <f>IFERROR(LEFT(M20,FIND("],",M20)+S36),M20)</f>
        <v>[effect:fix_speed, target:myself, turn:1],[effect:tolerance, target:myself, turn:-1, tolerance_effect:all, count:-1, animation:enemy_tolerance]</v>
      </c>
      <c r="O20" s="64">
        <f t="shared" si="7"/>
        <v>9</v>
      </c>
      <c r="P20" s="64">
        <f t="shared" si="8"/>
        <v>18</v>
      </c>
      <c r="Q20" s="64">
        <f t="shared" si="9"/>
        <v>27</v>
      </c>
      <c r="R20" s="64">
        <f t="shared" si="10"/>
        <v>33</v>
      </c>
      <c r="S20" s="64" t="str">
        <f>IFERROR(VLOOKUP(MID(N20,Q20,R20-Q20),[5]skilldef!$C:$D,2,FALSE),"-") &amp; " / " &amp; IFERROR(VLOOKUP(MID(N20,O20,P20-O20),[5]skilldef!$A:$B,2,FALSE),"-")</f>
        <v>自分自身に / 行動値設定</v>
      </c>
      <c r="T20" s="48" t="str">
        <f t="shared" si="11"/>
        <v>[effect:tolerance, target:myself, turn:-1, tolerance_effect:all, count:-1, animation:enemy_tolerance]</v>
      </c>
      <c r="U20" s="64">
        <f t="shared" si="12"/>
        <v>9</v>
      </c>
      <c r="V20" s="64">
        <f t="shared" si="13"/>
        <v>18</v>
      </c>
      <c r="W20" s="64">
        <f t="shared" si="14"/>
        <v>27</v>
      </c>
      <c r="X20" s="64">
        <f t="shared" si="15"/>
        <v>33</v>
      </c>
      <c r="Y20" s="64" t="str">
        <f>IFERROR(VLOOKUP(MID(T20,W20,X20-W20),[5]skilldef!$C:$D,2,FALSE),"-") &amp; " / " &amp; IFERROR(VLOOKUP(MID(T20,U20,V20-U20),[5]skilldef!$A:$B,2,FALSE),"-")</f>
        <v>自分自身に / 状態異常耐性</v>
      </c>
      <c r="Z20" s="50"/>
      <c r="AA20" s="52"/>
      <c r="AB20" s="50"/>
    </row>
    <row r="21" spans="1:28" ht="21" customHeight="1" x14ac:dyDescent="0.15">
      <c r="A21" s="47">
        <v>50007402</v>
      </c>
      <c r="B21" s="47" t="s">
        <v>267</v>
      </c>
      <c r="C21" s="50">
        <v>3</v>
      </c>
      <c r="D21" s="50" t="s">
        <v>126</v>
      </c>
      <c r="E21" s="51" t="s">
        <v>339</v>
      </c>
      <c r="F21" s="51" t="s">
        <v>266</v>
      </c>
      <c r="G21" s="64" t="str">
        <f t="shared" si="0"/>
        <v>[effect:damage_anti_color, target:unit_all, color:red, val1:1, val2:0.25]</v>
      </c>
      <c r="H21" s="64">
        <f t="shared" si="1"/>
        <v>9</v>
      </c>
      <c r="I21" s="64">
        <f t="shared" si="2"/>
        <v>26</v>
      </c>
      <c r="J21" s="64">
        <f t="shared" si="3"/>
        <v>35</v>
      </c>
      <c r="K21" s="64">
        <f t="shared" si="4"/>
        <v>43</v>
      </c>
      <c r="L21" s="64" t="str">
        <f>IFERROR(VLOOKUP(MID(G21,J21,K21-J21),[5]skilldef!$C:$D,2,FALSE),"-") &amp; " / " &amp; IFERROR(VLOOKUP(MID(G21,H21,I21-H21),[5]skilldef!$A:$B,2,FALSE),"-")</f>
        <v>味方全体に / 属性キラー</v>
      </c>
      <c r="M21" s="64" t="str">
        <f t="shared" si="5"/>
        <v>none</v>
      </c>
      <c r="N21" s="48" t="str">
        <f>IFERROR(LEFT(M21,FIND("],",M21)+S37),M21)</f>
        <v>none</v>
      </c>
      <c r="O21" s="64" t="e">
        <f t="shared" si="7"/>
        <v>#VALUE!</v>
      </c>
      <c r="P21" s="64">
        <f t="shared" si="8"/>
        <v>4</v>
      </c>
      <c r="Q21" s="64" t="e">
        <f t="shared" si="9"/>
        <v>#VALUE!</v>
      </c>
      <c r="R21" s="64" t="e">
        <f t="shared" si="10"/>
        <v>#VALUE!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11"/>
        <v>none</v>
      </c>
      <c r="U21" s="64" t="e">
        <f t="shared" si="12"/>
        <v>#VALUE!</v>
      </c>
      <c r="V21" s="64">
        <f t="shared" si="13"/>
        <v>4</v>
      </c>
      <c r="W21" s="64" t="e">
        <f t="shared" si="14"/>
        <v>#VALUE!</v>
      </c>
      <c r="X21" s="64" t="e">
        <f t="shared" si="15"/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50007403</v>
      </c>
      <c r="B22" s="47" t="s">
        <v>442</v>
      </c>
      <c r="C22" s="50">
        <v>3</v>
      </c>
      <c r="D22" s="50" t="s">
        <v>126</v>
      </c>
      <c r="E22" s="51" t="s">
        <v>340</v>
      </c>
      <c r="F22" s="51" t="s">
        <v>268</v>
      </c>
      <c r="G22" s="64" t="str">
        <f t="shared" si="0"/>
        <v>[effect:rush, count:3, val:0.3]</v>
      </c>
      <c r="H22" s="64">
        <f t="shared" si="1"/>
        <v>9</v>
      </c>
      <c r="I22" s="64">
        <f t="shared" si="2"/>
        <v>13</v>
      </c>
      <c r="J22" s="64" t="e">
        <f t="shared" si="3"/>
        <v>#VALUE!</v>
      </c>
      <c r="K22" s="64">
        <f t="shared" si="4"/>
        <v>22</v>
      </c>
      <c r="L22" s="64" t="str">
        <f>IFERROR(VLOOKUP(MID(G22,J22,K22-J22),[5]skilldef!$C:$D,2,FALSE),"-") &amp; " / " &amp; IFERROR(VLOOKUP(MID(G22,H22,I22-H22),[5]skilldef!$A:$B,2,FALSE),"-")</f>
        <v>- / 連続攻撃</v>
      </c>
      <c r="M22" s="64" t="str">
        <f t="shared" si="5"/>
        <v>[effect:force_change_block, new_block:jammer, target:block_all, ignore01:crash, ignore02:crack_bomb, ignore03:jammer, ignore04:color_break, ignore05:magnet, count:3, val:0, animation:change_block]</v>
      </c>
      <c r="N22" s="48" t="str">
        <f>IFERROR(LEFT(M22,FIND("],",M22)+S38),M22)</f>
        <v>[effect:force_change_block, new_block:jammer, target:block_all, ignore01:crash, ignore02:crack_bomb, ignore03:jammer, ignore04:color_break, ignore05:magnet, count:3, val:0, animation:change_block]</v>
      </c>
      <c r="O22" s="64">
        <f t="shared" si="7"/>
        <v>9</v>
      </c>
      <c r="P22" s="64">
        <f t="shared" si="8"/>
        <v>27</v>
      </c>
      <c r="Q22" s="64">
        <f t="shared" si="9"/>
        <v>54</v>
      </c>
      <c r="R22" s="64">
        <f t="shared" si="10"/>
        <v>45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50007404</v>
      </c>
      <c r="B23" s="47" t="s">
        <v>376</v>
      </c>
      <c r="C23" s="50">
        <v>3</v>
      </c>
      <c r="D23" s="50" t="s">
        <v>126</v>
      </c>
      <c r="E23" s="51" t="s">
        <v>341</v>
      </c>
      <c r="F23" s="51" t="s">
        <v>269</v>
      </c>
      <c r="G23" s="64" t="str">
        <f t="shared" ref="G23" si="76">IFERROR(LEFT(B23,FIND("],",B23)),B23)</f>
        <v>[effect:enemy_message, val1:1.4, val2:1.8, dead_type:suicide]</v>
      </c>
      <c r="H23" s="64">
        <f t="shared" ref="H23" si="77">FIND("effect:",G23)+7</f>
        <v>9</v>
      </c>
      <c r="I23" s="64">
        <f t="shared" ref="I23" si="78">IFERROR(FIND(",",G23),LEN(G23))</f>
        <v>22</v>
      </c>
      <c r="J23" s="64" t="e">
        <f t="shared" ref="J23" si="79">FIND("target:",G23)+7</f>
        <v>#VALUE!</v>
      </c>
      <c r="K23" s="64">
        <f t="shared" ref="K23" si="80">FIND(",",G23,I23+1)</f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ref="M23" si="81">IFERROR(RIGHT(B23,LEN(B23)-FIND("],",B23)-1),"none")</f>
        <v>[effect:break_attack_fix, target:unit_one, val:2000, lowest_val:10000, count:-1, color:blue, block01:jammer]</v>
      </c>
      <c r="N23" s="48" t="str">
        <f>IFERROR(LEFT(M23,FIND("],",M23)+S39),M23)</f>
        <v>[effect:break_attack_fix, target:unit_one, val:2000, lowest_val:10000, count:-1, color:blue, block01:jammer]</v>
      </c>
      <c r="O23" s="64">
        <f t="shared" ref="O23" si="82">FIND("effect:",N23)+7</f>
        <v>9</v>
      </c>
      <c r="P23" s="64">
        <f t="shared" ref="P23" si="83">IFERROR(FIND(",",N23),LEN(N23))</f>
        <v>25</v>
      </c>
      <c r="Q23" s="64">
        <f t="shared" ref="Q23" si="84">FIND("target:",N23)+7</f>
        <v>34</v>
      </c>
      <c r="R23" s="64">
        <f t="shared" ref="R23" si="85">FIND(",",N23,P23+1)</f>
        <v>42</v>
      </c>
      <c r="S23" s="64" t="str">
        <f>IFERROR(VLOOKUP(MID(N23,Q23,R23-Q23),[5]skilldef!$C:$D,2,FALSE),"-") &amp; " / " &amp; IFERROR(VLOOKUP(MID(N23,O23,P23-O23),[5]skilldef!$A:$B,2,FALSE),"-")</f>
        <v>味方単体に / -</v>
      </c>
      <c r="T23" s="48" t="str">
        <f t="shared" ref="T23" si="86">IFERROR(RIGHT(M23,LEN(M23)-FIND("],",M23)-1),"none")</f>
        <v>none</v>
      </c>
      <c r="U23" s="64" t="e">
        <f t="shared" ref="U23" si="87">FIND("effect:",T23)+7</f>
        <v>#VALUE!</v>
      </c>
      <c r="V23" s="64">
        <f t="shared" ref="V23" si="88">IFERROR(FIND(",",T23),LEN(T23))</f>
        <v>4</v>
      </c>
      <c r="W23" s="64" t="e">
        <f t="shared" ref="W23" si="89">FIND("target:",T23)+7</f>
        <v>#VALUE!</v>
      </c>
      <c r="X23" s="64" t="e">
        <f t="shared" ref="X23" si="90">FIND(",",T23,V23+1)</f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50007405</v>
      </c>
      <c r="B24" s="47" t="s">
        <v>425</v>
      </c>
      <c r="C24" s="50">
        <v>3</v>
      </c>
      <c r="D24" s="50" t="s">
        <v>126</v>
      </c>
      <c r="E24" s="51" t="s">
        <v>342</v>
      </c>
      <c r="F24" s="51" t="s">
        <v>428</v>
      </c>
      <c r="G24" s="64" t="str">
        <f t="shared" ref="G24" si="91">IFERROR(LEFT(B24,FIND("],",B24)),B24)</f>
        <v>[effect:enemy_message, val1:1, val2:2.0, dead_type:suicide]</v>
      </c>
      <c r="H24" s="64">
        <f t="shared" ref="H24" si="92">FIND("effect:",G24)+7</f>
        <v>9</v>
      </c>
      <c r="I24" s="64">
        <f t="shared" ref="I24" si="93">IFERROR(FIND(",",G24),LEN(G24))</f>
        <v>22</v>
      </c>
      <c r="J24" s="64" t="e">
        <f t="shared" ref="J24" si="94">FIND("target:",G24)+7</f>
        <v>#VALUE!</v>
      </c>
      <c r="K24" s="64">
        <f t="shared" ref="K24" si="95">FIND(",",G24,I24+1)</f>
        <v>30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ref="M24" si="96">IFERROR(RIGHT(B24,LEN(B24)-FIND("],",B24)-1),"none")</f>
        <v>[effect:damage_anti_tribe, target:unit_one, tribe:unknown, val1:1.0, val2:1.5],[effect:enemy_message, val1:1, val2:2.8, dead_type:suicide]</v>
      </c>
      <c r="N24" s="48" t="str">
        <f>IFERROR(LEFT(M24,FIND("],",M24)+S44),M24)</f>
        <v>[effect:damage_anti_tribe, target:unit_one, tribe:unknown, val1:1.0, val2:1.5],[effect:enemy_message, val1:1, val2:2.8, dead_type:suicide]</v>
      </c>
      <c r="O24" s="64">
        <f t="shared" ref="O24" si="97">FIND("effect:",N24)+7</f>
        <v>9</v>
      </c>
      <c r="P24" s="64">
        <f t="shared" ref="P24" si="98">IFERROR(FIND(",",N24),LEN(N24))</f>
        <v>26</v>
      </c>
      <c r="Q24" s="64">
        <f t="shared" ref="Q24" si="99">FIND("target:",N24)+7</f>
        <v>35</v>
      </c>
      <c r="R24" s="64">
        <f t="shared" ref="R24" si="100">FIND(",",N24,P24+1)</f>
        <v>43</v>
      </c>
      <c r="S24" s="64" t="str">
        <f>IFERROR(VLOOKUP(MID(N24,Q24,R24-Q24),[5]skilldef!$C:$D,2,FALSE),"-") &amp; " / " &amp; IFERROR(VLOOKUP(MID(N24,O24,P24-O24),[5]skilldef!$A:$B,2,FALSE),"-")</f>
        <v>味方単体に / 種族キラー</v>
      </c>
      <c r="T24" s="48" t="str">
        <f t="shared" ref="T24" si="101">IFERROR(RIGHT(M24,LEN(M24)-FIND("],",M24)-1),"none")</f>
        <v>[effect:enemy_message, val1:1, val2:2.8, dead_type:suicide]</v>
      </c>
      <c r="U24" s="64">
        <f t="shared" ref="U24" si="102">FIND("effect:",T24)+7</f>
        <v>9</v>
      </c>
      <c r="V24" s="64">
        <f t="shared" ref="V24" si="103">IFERROR(FIND(",",T24),LEN(T24))</f>
        <v>22</v>
      </c>
      <c r="W24" s="64" t="e">
        <f t="shared" ref="W24" si="104">FIND("target:",T24)+7</f>
        <v>#VALUE!</v>
      </c>
      <c r="X24" s="64">
        <f t="shared" ref="X24" si="105">FIND(",",T24,V24+1)</f>
        <v>30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50007501</v>
      </c>
      <c r="B25" s="47" t="s">
        <v>375</v>
      </c>
      <c r="C25" s="50">
        <v>3</v>
      </c>
      <c r="D25" s="50" t="s">
        <v>126</v>
      </c>
      <c r="E25" s="51" t="s">
        <v>344</v>
      </c>
      <c r="F25" s="51" t="s">
        <v>265</v>
      </c>
      <c r="G25" s="64" t="str">
        <f t="shared" si="0"/>
        <v>[effect:enemy_message, val1:1.4, val2:1.8, dead_type:suicide]</v>
      </c>
      <c r="H25" s="64">
        <f t="shared" si="1"/>
        <v>9</v>
      </c>
      <c r="I25" s="64">
        <f t="shared" si="2"/>
        <v>22</v>
      </c>
      <c r="J25" s="64" t="e">
        <f t="shared" si="3"/>
        <v>#VALUE!</v>
      </c>
      <c r="K25" s="64">
        <f t="shared" si="4"/>
        <v>32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5"/>
        <v>[effect:fix_speed, target:myself, turn:1],[effect:tolerance, target:myself, turn:-1, tolerance_effect:all, count:-1, animation:enemy_tolerance],[effect:degrade_fever, val:1000, animation:fevergauge_down]</v>
      </c>
      <c r="N25" s="48" t="str">
        <f>IFERROR(LEFT(M25,FIND("],",M25)+S39),M25)</f>
        <v>[effect:fix_speed, target:myself, turn:1],[effect:tolerance, target:myself, turn:-1, tolerance_effect:all, count:-1, animation:enemy_tolerance],[effect:degrade_fever, val:1000, animation:fevergauge_down]</v>
      </c>
      <c r="O25" s="64">
        <f t="shared" si="7"/>
        <v>9</v>
      </c>
      <c r="P25" s="64">
        <f t="shared" si="8"/>
        <v>18</v>
      </c>
      <c r="Q25" s="64">
        <f t="shared" si="9"/>
        <v>27</v>
      </c>
      <c r="R25" s="64">
        <f t="shared" si="10"/>
        <v>33</v>
      </c>
      <c r="S25" s="64" t="str">
        <f>IFERROR(VLOOKUP(MID(N25,Q25,R25-Q25),[5]skilldef!$C:$D,2,FALSE),"-") &amp; " / " &amp; IFERROR(VLOOKUP(MID(N25,O25,P25-O25),[5]skilldef!$A:$B,2,FALSE),"-")</f>
        <v>自分自身に / 行動値設定</v>
      </c>
      <c r="T25" s="48" t="str">
        <f t="shared" si="11"/>
        <v>[effect:tolerance, target:myself, turn:-1, tolerance_effect:all, count:-1, animation:enemy_tolerance],[effect:degrade_fever, val:1000, animation:fevergauge_down]</v>
      </c>
      <c r="U25" s="64">
        <f t="shared" si="12"/>
        <v>9</v>
      </c>
      <c r="V25" s="64">
        <f t="shared" si="13"/>
        <v>18</v>
      </c>
      <c r="W25" s="64">
        <f t="shared" si="14"/>
        <v>27</v>
      </c>
      <c r="X25" s="64">
        <f t="shared" si="15"/>
        <v>33</v>
      </c>
      <c r="Y25" s="64" t="str">
        <f>IFERROR(VLOOKUP(MID(T25,W25,X25-W25),[5]skilldef!$C:$D,2,FALSE),"-") &amp; " / " &amp; IFERROR(VLOOKUP(MID(T25,U25,V25-U25),[5]skilldef!$A:$B,2,FALSE),"-")</f>
        <v>自分自身に / 状態異常耐性</v>
      </c>
      <c r="Z25" s="50"/>
      <c r="AA25" s="52"/>
      <c r="AB25" s="50"/>
    </row>
    <row r="26" spans="1:28" ht="21" customHeight="1" x14ac:dyDescent="0.15">
      <c r="A26" s="47">
        <v>50007502</v>
      </c>
      <c r="B26" s="47" t="s">
        <v>267</v>
      </c>
      <c r="C26" s="50">
        <v>3</v>
      </c>
      <c r="D26" s="50" t="s">
        <v>126</v>
      </c>
      <c r="E26" s="51" t="s">
        <v>345</v>
      </c>
      <c r="F26" s="51" t="s">
        <v>266</v>
      </c>
      <c r="G26" s="64" t="str">
        <f t="shared" si="0"/>
        <v>[effect:damage_anti_color, target:unit_all, color:red, val1:1, val2:0.25]</v>
      </c>
      <c r="H26" s="64">
        <f t="shared" si="1"/>
        <v>9</v>
      </c>
      <c r="I26" s="64">
        <f t="shared" si="2"/>
        <v>26</v>
      </c>
      <c r="J26" s="64">
        <f t="shared" si="3"/>
        <v>35</v>
      </c>
      <c r="K26" s="64">
        <f t="shared" si="4"/>
        <v>43</v>
      </c>
      <c r="L26" s="64" t="str">
        <f>IFERROR(VLOOKUP(MID(G26,J26,K26-J26),[5]skilldef!$C:$D,2,FALSE),"-") &amp; " / " &amp; IFERROR(VLOOKUP(MID(G26,H26,I26-H26),[5]skilldef!$A:$B,2,FALSE),"-")</f>
        <v>味方全体に / 属性キラー</v>
      </c>
      <c r="M26" s="64" t="str">
        <f t="shared" si="5"/>
        <v>none</v>
      </c>
      <c r="N26" s="48" t="str">
        <f>IFERROR(LEFT(M26,FIND("],",M26)+S44),M26)</f>
        <v>none</v>
      </c>
      <c r="O26" s="64" t="e">
        <f t="shared" si="7"/>
        <v>#VALUE!</v>
      </c>
      <c r="P26" s="64">
        <f t="shared" si="8"/>
        <v>4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50007503</v>
      </c>
      <c r="B27" s="47" t="s">
        <v>426</v>
      </c>
      <c r="C27" s="50">
        <v>3</v>
      </c>
      <c r="D27" s="50" t="s">
        <v>126</v>
      </c>
      <c r="E27" s="51" t="s">
        <v>343</v>
      </c>
      <c r="F27" s="51" t="s">
        <v>429</v>
      </c>
      <c r="G27" s="64" t="str">
        <f t="shared" si="0"/>
        <v>[effect:enemy_message, val1:1.2, val2:2.0, dead_type:suicide]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5"/>
        <v>[effect:damage_anti_tribe, target:unit_one, tribe:unknown, val1:1.0, val2:1.5],[effect:enemy_message, val1:1, val2:2.8, dead_type:suicide]</v>
      </c>
      <c r="N27" s="48" t="str">
        <f>IFERROR(LEFT(M27,FIND("],",M27)+S45),M27)</f>
        <v>[effect:damage_anti_tribe, target:unit_one, tribe:unknown, val1:1.0, val2:1.5],[effect:enemy_message, val1:1, val2:2.8, dead_type:suicide]</v>
      </c>
      <c r="O27" s="64">
        <f t="shared" si="7"/>
        <v>9</v>
      </c>
      <c r="P27" s="64">
        <f t="shared" si="8"/>
        <v>26</v>
      </c>
      <c r="Q27" s="64">
        <f t="shared" si="9"/>
        <v>35</v>
      </c>
      <c r="R27" s="64">
        <f t="shared" si="10"/>
        <v>43</v>
      </c>
      <c r="S27" s="64" t="str">
        <f>IFERROR(VLOOKUP(MID(N27,Q27,R27-Q27),[5]skilldef!$C:$D,2,FALSE),"-") &amp; " / " &amp; IFERROR(VLOOKUP(MID(N27,O27,P27-O27),[5]skilldef!$A:$B,2,FALSE),"-")</f>
        <v>味方単体に / 種族キラー</v>
      </c>
      <c r="T27" s="48" t="str">
        <f t="shared" si="11"/>
        <v>[effect:enemy_message, val1:1, val2:2.8, dead_type:suicide]</v>
      </c>
      <c r="U27" s="64">
        <f t="shared" si="12"/>
        <v>9</v>
      </c>
      <c r="V27" s="64">
        <f t="shared" si="13"/>
        <v>22</v>
      </c>
      <c r="W27" s="64" t="e">
        <f t="shared" si="14"/>
        <v>#VALUE!</v>
      </c>
      <c r="X27" s="64">
        <f t="shared" si="15"/>
        <v>30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50007504</v>
      </c>
      <c r="B28" s="47" t="s">
        <v>427</v>
      </c>
      <c r="C28" s="50">
        <v>3</v>
      </c>
      <c r="D28" s="50" t="s">
        <v>126</v>
      </c>
      <c r="E28" s="51" t="s">
        <v>337</v>
      </c>
      <c r="F28" s="51" t="s">
        <v>284</v>
      </c>
      <c r="G28" s="64" t="str">
        <f t="shared" si="0"/>
        <v>[effect:virus, turn:5, rate:1, val:0.3, animation:enemy_virus]</v>
      </c>
      <c r="H28" s="64">
        <f t="shared" si="1"/>
        <v>9</v>
      </c>
      <c r="I28" s="64">
        <f t="shared" si="2"/>
        <v>14</v>
      </c>
      <c r="J28" s="64" t="e">
        <f t="shared" si="3"/>
        <v>#VALUE!</v>
      </c>
      <c r="K28" s="64">
        <f t="shared" si="4"/>
        <v>22</v>
      </c>
      <c r="L28" s="64" t="str">
        <f>IFERROR(VLOOKUP(MID(G28,J28,K28-J28),[5]skilldef!$C:$D,2,FALSE),"-") &amp; " / " &amp; IFERROR(VLOOKUP(MID(G28,H28,I28-H28),[5]skilldef!$A:$B,2,FALSE),"-")</f>
        <v>- / ウィルス</v>
      </c>
      <c r="M28" s="64" t="str">
        <f t="shared" si="5"/>
        <v>none</v>
      </c>
      <c r="N28" s="48" t="str">
        <f>IFERROR(LEFT(M28,FIND("],",M28)+S45),M28)</f>
        <v>none</v>
      </c>
      <c r="O28" s="64" t="e">
        <f t="shared" si="7"/>
        <v>#VALUE!</v>
      </c>
      <c r="P28" s="64">
        <f t="shared" si="8"/>
        <v>4</v>
      </c>
      <c r="Q28" s="64" t="e">
        <f t="shared" si="9"/>
        <v>#VALUE!</v>
      </c>
      <c r="R28" s="64" t="e">
        <f t="shared" si="10"/>
        <v>#VALUE!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si="11"/>
        <v>none</v>
      </c>
      <c r="U28" s="64" t="e">
        <f t="shared" si="12"/>
        <v>#VALUE!</v>
      </c>
      <c r="V28" s="64">
        <f t="shared" si="13"/>
        <v>4</v>
      </c>
      <c r="W28" s="64" t="e">
        <f t="shared" si="14"/>
        <v>#VALUE!</v>
      </c>
      <c r="X28" s="64" t="e">
        <f t="shared" si="15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50007505</v>
      </c>
      <c r="B29" s="47" t="s">
        <v>270</v>
      </c>
      <c r="C29" s="50">
        <v>3</v>
      </c>
      <c r="D29" s="50" t="s">
        <v>126</v>
      </c>
      <c r="E29" s="51" t="s">
        <v>369</v>
      </c>
      <c r="F29" s="51" t="s">
        <v>301</v>
      </c>
      <c r="G29" s="64" t="str">
        <f t="shared" ref="G29" si="106">IFERROR(LEFT(B29,FIND("],",B29)),B29)</f>
        <v>[effect:damage_gravity, val:0.5, animation:fevergauge_down]</v>
      </c>
      <c r="H29" s="64">
        <f t="shared" ref="H29" si="107">FIND("effect:",G29)+7</f>
        <v>9</v>
      </c>
      <c r="I29" s="64">
        <f t="shared" ref="I29" si="108">IFERROR(FIND(",",G29),LEN(G29))</f>
        <v>23</v>
      </c>
      <c r="J29" s="64" t="e">
        <f t="shared" ref="J29" si="109">FIND("target:",G29)+7</f>
        <v>#VALUE!</v>
      </c>
      <c r="K29" s="64">
        <f t="shared" ref="K29" si="110">FIND(",",G29,I29+1)</f>
        <v>32</v>
      </c>
      <c r="L29" s="64" t="str">
        <f>IFERROR(VLOOKUP(MID(G29,J29,K29-J29),[5]skilldef!$C:$D,2,FALSE),"-") &amp; " / " &amp; IFERROR(VLOOKUP(MID(G29,H29,I29-H29),[5]skilldef!$A:$B,2,FALSE),"-")</f>
        <v>- / 割合ダメージ</v>
      </c>
      <c r="M29" s="64" t="str">
        <f t="shared" ref="M29" si="111">IFERROR(RIGHT(B29,LEN(B29)-FIND("],",B29)-1),"none")</f>
        <v>none</v>
      </c>
      <c r="N29" s="48" t="str">
        <f>IFERROR(LEFT(M29,FIND("],",M29)+S46),M29)</f>
        <v>none</v>
      </c>
      <c r="O29" s="64" t="e">
        <f t="shared" ref="O29" si="112">FIND("effect:",N29)+7</f>
        <v>#VALUE!</v>
      </c>
      <c r="P29" s="64">
        <f t="shared" ref="P29" si="113">IFERROR(FIND(",",N29),LEN(N29))</f>
        <v>4</v>
      </c>
      <c r="Q29" s="64" t="e">
        <f t="shared" ref="Q29" si="114">FIND("target:",N29)+7</f>
        <v>#VALUE!</v>
      </c>
      <c r="R29" s="64" t="e">
        <f t="shared" ref="R29" si="115">FIND(",",N29,P29+1)</f>
        <v>#VALUE!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ref="T29" si="116">IFERROR(RIGHT(M29,LEN(M29)-FIND("],",M29)-1),"none")</f>
        <v>none</v>
      </c>
      <c r="U29" s="64" t="e">
        <f t="shared" ref="U29" si="117">FIND("effect:",T29)+7</f>
        <v>#VALUE!</v>
      </c>
      <c r="V29" s="64">
        <f t="shared" ref="V29" si="118">IFERROR(FIND(",",T29),LEN(T29))</f>
        <v>4</v>
      </c>
      <c r="W29" s="64" t="e">
        <f t="shared" ref="W29" si="119">FIND("target:",T29)+7</f>
        <v>#VALUE!</v>
      </c>
      <c r="X29" s="64" t="e">
        <f t="shared" ref="X29" si="120">FIND(",",T29,V29+1)</f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50007601</v>
      </c>
      <c r="B30" s="47" t="s">
        <v>374</v>
      </c>
      <c r="C30" s="50">
        <v>3</v>
      </c>
      <c r="D30" s="50" t="s">
        <v>126</v>
      </c>
      <c r="E30" s="51" t="s">
        <v>346</v>
      </c>
      <c r="F30" s="51" t="s">
        <v>370</v>
      </c>
      <c r="G30" s="64" t="str">
        <f t="shared" si="0"/>
        <v>[effect:enemy_message, val1:1.4, val2:2.4, dead_type:suicide]</v>
      </c>
      <c r="H30" s="64">
        <f t="shared" si="1"/>
        <v>9</v>
      </c>
      <c r="I30" s="64">
        <f t="shared" si="2"/>
        <v>22</v>
      </c>
      <c r="J30" s="64" t="e">
        <f t="shared" si="3"/>
        <v>#VALUE!</v>
      </c>
      <c r="K30" s="64">
        <f t="shared" si="4"/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si="5"/>
        <v>[effect:fix_speed, target:myself, turn:1],[effect:tolerance, target:myself, turn:-1, tolerance_effect:all, count:-1, animation:enemy_tolerance]</v>
      </c>
      <c r="N30" s="48" t="str">
        <f>IFERROR(LEFT(M30,FIND("],",M30)+S46),M30)</f>
        <v>[effect:fix_speed, target:myself, turn:1],[effect:tolerance, target:myself, turn:-1, tolerance_effect:all, count:-1, animation:enemy_tolerance]</v>
      </c>
      <c r="O30" s="64">
        <f t="shared" si="7"/>
        <v>9</v>
      </c>
      <c r="P30" s="64">
        <f t="shared" si="8"/>
        <v>18</v>
      </c>
      <c r="Q30" s="64">
        <f t="shared" si="9"/>
        <v>27</v>
      </c>
      <c r="R30" s="64">
        <f t="shared" si="10"/>
        <v>33</v>
      </c>
      <c r="S30" s="64" t="str">
        <f>IFERROR(VLOOKUP(MID(N30,Q30,R30-Q30),[5]skilldef!$C:$D,2,FALSE),"-") &amp; " / " &amp; IFERROR(VLOOKUP(MID(N30,O30,P30-O30),[5]skilldef!$A:$B,2,FALSE),"-")</f>
        <v>自分自身に / 行動値設定</v>
      </c>
      <c r="T30" s="48" t="str">
        <f t="shared" si="11"/>
        <v>[effect:tolerance, target:myself, turn:-1, tolerance_effect:all, count:-1, animation:enemy_tolerance]</v>
      </c>
      <c r="U30" s="64">
        <f t="shared" si="12"/>
        <v>9</v>
      </c>
      <c r="V30" s="64">
        <f t="shared" si="13"/>
        <v>18</v>
      </c>
      <c r="W30" s="64">
        <f t="shared" si="14"/>
        <v>27</v>
      </c>
      <c r="X30" s="64">
        <f t="shared" si="15"/>
        <v>33</v>
      </c>
      <c r="Y30" s="64" t="str">
        <f>IFERROR(VLOOKUP(MID(T30,W30,X30-W30),[5]skilldef!$C:$D,2,FALSE),"-") &amp; " / " &amp; IFERROR(VLOOKUP(MID(T30,U30,V30-U30),[5]skilldef!$A:$B,2,FALSE),"-")</f>
        <v>自分自身に / 状態異常耐性</v>
      </c>
      <c r="Z30" s="50"/>
      <c r="AA30" s="52"/>
      <c r="AB30" s="50"/>
    </row>
    <row r="31" spans="1:28" ht="21" customHeight="1" x14ac:dyDescent="0.15">
      <c r="A31" s="47">
        <v>50007602</v>
      </c>
      <c r="B31" s="47" t="s">
        <v>443</v>
      </c>
      <c r="C31" s="50">
        <v>3</v>
      </c>
      <c r="D31" s="50" t="s">
        <v>126</v>
      </c>
      <c r="E31" s="51" t="s">
        <v>347</v>
      </c>
      <c r="F31" s="51" t="s">
        <v>298</v>
      </c>
      <c r="G31" s="64" t="str">
        <f t="shared" si="0"/>
        <v>[effect:force_change_block, new_block:jammer, target:block_all, ignore01:crash, ignore02:crack_bomb, ignore03:jammer, ignore04:color_break, ignore05:magnet, count:2, val:0, animation:change_block]</v>
      </c>
      <c r="H31" s="64">
        <f t="shared" si="1"/>
        <v>9</v>
      </c>
      <c r="I31" s="64">
        <f t="shared" si="2"/>
        <v>27</v>
      </c>
      <c r="J31" s="64">
        <f t="shared" si="3"/>
        <v>54</v>
      </c>
      <c r="K31" s="64">
        <f t="shared" si="4"/>
        <v>45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si="5"/>
        <v>none</v>
      </c>
      <c r="N31" s="48" t="str">
        <f>IFERROR(LEFT(M31,FIND("],",M31)+S47),M31)</f>
        <v>none</v>
      </c>
      <c r="O31" s="64" t="e">
        <f t="shared" si="7"/>
        <v>#VALUE!</v>
      </c>
      <c r="P31" s="64">
        <f t="shared" si="8"/>
        <v>4</v>
      </c>
      <c r="Q31" s="64" t="e">
        <f t="shared" si="9"/>
        <v>#VALUE!</v>
      </c>
      <c r="R31" s="64" t="e">
        <f t="shared" si="10"/>
        <v>#VALUE!</v>
      </c>
      <c r="S31" s="64" t="str">
        <f>IFERROR(VLOOKUP(MID(N31,Q31,R31-Q31),[5]skilldef!$C:$D,2,FALSE),"-") &amp; " / " &amp; IFERROR(VLOOKUP(MID(N31,O31,P31-O31),[5]skilldef!$A:$B,2,FALSE),"-")</f>
        <v>- / -</v>
      </c>
      <c r="T31" s="48" t="str">
        <f t="shared" si="11"/>
        <v>none</v>
      </c>
      <c r="U31" s="64" t="e">
        <f t="shared" si="12"/>
        <v>#VALUE!</v>
      </c>
      <c r="V31" s="64">
        <f t="shared" si="13"/>
        <v>4</v>
      </c>
      <c r="W31" s="64" t="e">
        <f t="shared" si="14"/>
        <v>#VALUE!</v>
      </c>
      <c r="X31" s="64" t="e">
        <f t="shared" si="15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50007603</v>
      </c>
      <c r="B32" s="47" t="s">
        <v>444</v>
      </c>
      <c r="C32" s="50">
        <v>3</v>
      </c>
      <c r="D32" s="50" t="s">
        <v>126</v>
      </c>
      <c r="E32" s="51" t="s">
        <v>335</v>
      </c>
      <c r="F32" s="51" t="s">
        <v>299</v>
      </c>
      <c r="G32" s="64" t="str">
        <f t="shared" si="0"/>
        <v>[effect:enemy_message, val1:1.6, val2:1.8, dead_type:suicide]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5"/>
        <v>[effect:force_change_block, new_block:jammer, target:block_all, ignore01:crash, ignore02:crack_bomb, ignore03:jammer, ignore04:color_break, ignore05:magnet, count:4, val:0, animation:change_block]</v>
      </c>
      <c r="N32" s="48" t="str">
        <f>IFERROR(LEFT(M32,FIND("],",M32)+S48),M32)</f>
        <v>[effect:force_change_block, new_block:jammer, target:block_all, ignore01:crash, ignore02:crack_bomb, ignore03:jammer, ignore04:color_break, ignore05:magnet, count:4, val:0, animation:change_block]</v>
      </c>
      <c r="O32" s="64">
        <f t="shared" si="7"/>
        <v>9</v>
      </c>
      <c r="P32" s="64">
        <f t="shared" si="8"/>
        <v>27</v>
      </c>
      <c r="Q32" s="64">
        <f t="shared" si="9"/>
        <v>54</v>
      </c>
      <c r="R32" s="64">
        <f t="shared" si="10"/>
        <v>45</v>
      </c>
      <c r="S32" s="64" t="str">
        <f>IFERROR(VLOOKUP(MID(N32,Q32,R32-Q32),[5]skilldef!$C:$D,2,FALSE),"-") &amp; " / " &amp; IFERROR(VLOOKUP(MID(N32,O32,P32-O32),[5]skilldef!$A:$B,2,FALSE),"-")</f>
        <v>- / -</v>
      </c>
      <c r="T32" s="48" t="str">
        <f t="shared" si="11"/>
        <v>none</v>
      </c>
      <c r="U32" s="64" t="e">
        <f t="shared" si="12"/>
        <v>#VALUE!</v>
      </c>
      <c r="V32" s="64">
        <f t="shared" si="13"/>
        <v>4</v>
      </c>
      <c r="W32" s="64" t="e">
        <f t="shared" si="14"/>
        <v>#VALUE!</v>
      </c>
      <c r="X32" s="64" t="e">
        <f t="shared" si="15"/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50007604</v>
      </c>
      <c r="B33" s="47" t="s">
        <v>445</v>
      </c>
      <c r="C33" s="50">
        <v>3</v>
      </c>
      <c r="D33" s="50" t="s">
        <v>126</v>
      </c>
      <c r="E33" s="51" t="s">
        <v>348</v>
      </c>
      <c r="F33" s="51" t="s">
        <v>300</v>
      </c>
      <c r="G33" s="64" t="str">
        <f t="shared" ref="G33" si="121">IFERROR(LEFT(B33,FIND("],",B33)),B33)</f>
        <v>[effect:enemy_message, val1:1.4, val2:1.8, dead_type:suicide]</v>
      </c>
      <c r="H33" s="64">
        <f t="shared" ref="H33" si="122">FIND("effect:",G33)+7</f>
        <v>9</v>
      </c>
      <c r="I33" s="64">
        <f t="shared" ref="I33" si="123">IFERROR(FIND(",",G33),LEN(G33))</f>
        <v>22</v>
      </c>
      <c r="J33" s="64" t="e">
        <f t="shared" ref="J33" si="124">FIND("target:",G33)+7</f>
        <v>#VALUE!</v>
      </c>
      <c r="K33" s="64">
        <f t="shared" ref="K33" si="125">FIND(",",G33,I33+1)</f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ref="M33" si="126">IFERROR(RIGHT(B33,LEN(B33)-FIND("],",B33)-1),"none")</f>
        <v>[effect:force_change_block, new_block:jammer, target:block_all, ignore01:crash, ignore02:crack_bomb, ignore03:jammer, ignore04:color_break, ignore05:magnet, count:6, val:0, animation:change_block]</v>
      </c>
      <c r="N33" s="48" t="str">
        <f>IFERROR(LEFT(M33,FIND("],",M33)+S49),M33)</f>
        <v>[effect:force_change_block, new_block:jammer, target:block_all, ignore01:crash, ignore02:crack_bomb, ignore03:jammer, ignore04:color_break, ignore05:magnet, count:6, val:0, animation:change_block]</v>
      </c>
      <c r="O33" s="64">
        <f t="shared" ref="O33" si="127">FIND("effect:",N33)+7</f>
        <v>9</v>
      </c>
      <c r="P33" s="64">
        <f t="shared" ref="P33" si="128">IFERROR(FIND(",",N33),LEN(N33))</f>
        <v>27</v>
      </c>
      <c r="Q33" s="64">
        <f t="shared" ref="Q33" si="129">FIND("target:",N33)+7</f>
        <v>54</v>
      </c>
      <c r="R33" s="64">
        <f t="shared" ref="R33" si="130">FIND(",",N33,P33+1)</f>
        <v>45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ref="T33" si="131">IFERROR(RIGHT(M33,LEN(M33)-FIND("],",M33)-1),"none")</f>
        <v>none</v>
      </c>
      <c r="U33" s="64" t="e">
        <f t="shared" ref="U33" si="132">FIND("effect:",T33)+7</f>
        <v>#VALUE!</v>
      </c>
      <c r="V33" s="64">
        <f t="shared" ref="V33" si="133">IFERROR(FIND(",",T33),LEN(T33))</f>
        <v>4</v>
      </c>
      <c r="W33" s="64" t="e">
        <f t="shared" ref="W33" si="134">FIND("target:",T33)+7</f>
        <v>#VALUE!</v>
      </c>
      <c r="X33" s="64" t="e">
        <f t="shared" ref="X33" si="135">FIND(",",T33,V33+1)</f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50007605</v>
      </c>
      <c r="B34" s="47" t="s">
        <v>446</v>
      </c>
      <c r="C34" s="50">
        <v>3</v>
      </c>
      <c r="D34" s="50" t="s">
        <v>126</v>
      </c>
      <c r="E34" s="51" t="s">
        <v>349</v>
      </c>
      <c r="F34" s="51" t="s">
        <v>336</v>
      </c>
      <c r="G34" s="64" t="str">
        <f t="shared" ref="G34" si="136">IFERROR(LEFT(B34,FIND("],",B34)),B34)</f>
        <v>[effect:enemy_message, val1:1, val2:2.2, dead_type:suicide]</v>
      </c>
      <c r="H34" s="64">
        <f t="shared" ref="H34" si="137">FIND("effect:",G34)+7</f>
        <v>9</v>
      </c>
      <c r="I34" s="64">
        <f t="shared" ref="I34" si="138">IFERROR(FIND(",",G34),LEN(G34))</f>
        <v>22</v>
      </c>
      <c r="J34" s="64" t="e">
        <f t="shared" ref="J34" si="139">FIND("target:",G34)+7</f>
        <v>#VALUE!</v>
      </c>
      <c r="K34" s="64">
        <f t="shared" ref="K34" si="140">FIND(",",G34,I34+1)</f>
        <v>30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ref="M34" si="141">IFERROR(RIGHT(B34,LEN(B34)-FIND("],",B34)-1),"none")</f>
        <v>[effect:force_change_block, new_block:jammer, target:block_all, ignore01:crash, ignore02:crack_bomb, ignore03:jammer, ignore04:color_break, ignore05:magnet, count:8, val:0, animation:change_block],[effect:suicide, val:1, dead_type:escape, target:myself]</v>
      </c>
      <c r="N34" s="48" t="str">
        <f>IFERROR(LEFT(M34,FIND("],",M34)+S50),M34)</f>
        <v>[effect:force_change_block, new_block:jammer, target:block_all, ignore01:crash, ignore02:crack_bomb, ignore03:jammer, ignore04:color_break, ignore05:magnet, count:8, val:0, animation:change_block],[effect:suicide, val:1, dead_type:escape, target:myself]</v>
      </c>
      <c r="O34" s="64">
        <f t="shared" ref="O34" si="142">FIND("effect:",N34)+7</f>
        <v>9</v>
      </c>
      <c r="P34" s="64">
        <f t="shared" ref="P34" si="143">IFERROR(FIND(",",N34),LEN(N34))</f>
        <v>27</v>
      </c>
      <c r="Q34" s="64">
        <f t="shared" ref="Q34" si="144">FIND("target:",N34)+7</f>
        <v>54</v>
      </c>
      <c r="R34" s="64">
        <f t="shared" ref="R34" si="145">FIND(",",N34,P34+1)</f>
        <v>45</v>
      </c>
      <c r="S34" s="64" t="str">
        <f>IFERROR(VLOOKUP(MID(N34,Q34,R34-Q34),[5]skilldef!$C:$D,2,FALSE),"-") &amp; " / " &amp; IFERROR(VLOOKUP(MID(N34,O34,P34-O34),[5]skilldef!$A:$B,2,FALSE),"-")</f>
        <v>- / -</v>
      </c>
      <c r="T34" s="48" t="str">
        <f t="shared" ref="T34" si="146">IFERROR(RIGHT(M34,LEN(M34)-FIND("],",M34)-1),"none")</f>
        <v>[effect:suicide, val:1, dead_type:escape, target:myself]</v>
      </c>
      <c r="U34" s="64">
        <f t="shared" ref="U34" si="147">FIND("effect:",T34)+7</f>
        <v>9</v>
      </c>
      <c r="V34" s="64">
        <f t="shared" ref="V34" si="148">IFERROR(FIND(",",T34),LEN(T34))</f>
        <v>16</v>
      </c>
      <c r="W34" s="64">
        <f t="shared" ref="W34" si="149">FIND("target:",T34)+7</f>
        <v>50</v>
      </c>
      <c r="X34" s="64">
        <f t="shared" ref="X34" si="150">FIND(",",T34,V34+1)</f>
        <v>23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50007701</v>
      </c>
      <c r="B35" s="47" t="s">
        <v>373</v>
      </c>
      <c r="C35" s="50">
        <v>3</v>
      </c>
      <c r="D35" s="50" t="s">
        <v>126</v>
      </c>
      <c r="E35" s="51" t="s">
        <v>331</v>
      </c>
      <c r="F35" s="51" t="s">
        <v>256</v>
      </c>
      <c r="G35" s="64" t="str">
        <f t="shared" si="0"/>
        <v>[effect:enemy_message, val1:1.4, val2:2.2, dead_type:suicide]</v>
      </c>
      <c r="H35" s="64">
        <f t="shared" si="1"/>
        <v>9</v>
      </c>
      <c r="I35" s="64">
        <f t="shared" si="2"/>
        <v>22</v>
      </c>
      <c r="J35" s="64" t="e">
        <f t="shared" si="3"/>
        <v>#VALUE!</v>
      </c>
      <c r="K35" s="64">
        <f t="shared" si="4"/>
        <v>32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si="5"/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N35" s="48" t="str">
        <f t="shared" ref="N35:N37" si="151">IFERROR(LEFT(M35,FIND("],",M35)+S49),M35)</f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O35" s="64">
        <f t="shared" si="7"/>
        <v>9</v>
      </c>
      <c r="P35" s="64">
        <f t="shared" si="8"/>
        <v>18</v>
      </c>
      <c r="Q35" s="64">
        <f t="shared" si="9"/>
        <v>27</v>
      </c>
      <c r="R35" s="64">
        <f t="shared" si="10"/>
        <v>33</v>
      </c>
      <c r="S35" s="64" t="str">
        <f>IFERROR(VLOOKUP(MID(N35,Q35,R35-Q35),[5]skilldef!$C:$D,2,FALSE),"-") &amp; " / " &amp; IFERROR(VLOOKUP(MID(N35,O35,P35-O35),[5]skilldef!$A:$B,2,FALSE),"-")</f>
        <v>自分自身に / 行動値設定</v>
      </c>
      <c r="T35" s="48" t="str">
        <f t="shared" si="11"/>
        <v>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U35" s="64">
        <f t="shared" si="12"/>
        <v>9</v>
      </c>
      <c r="V35" s="64">
        <f t="shared" si="13"/>
        <v>18</v>
      </c>
      <c r="W35" s="64">
        <f t="shared" si="14"/>
        <v>27</v>
      </c>
      <c r="X35" s="64">
        <f t="shared" si="15"/>
        <v>33</v>
      </c>
      <c r="Y35" s="64" t="str">
        <f>IFERROR(VLOOKUP(MID(T35,W35,X35-W35),[5]skilldef!$C:$D,2,FALSE),"-") &amp; " / " &amp; IFERROR(VLOOKUP(MID(T35,U35,V35-U35),[5]skilldef!$A:$B,2,FALSE),"-")</f>
        <v>自分自身に / 状態異常耐性</v>
      </c>
      <c r="Z35" s="50"/>
      <c r="AA35" s="52"/>
      <c r="AB35" s="50"/>
    </row>
    <row r="36" spans="1:28" ht="21" customHeight="1" x14ac:dyDescent="0.15">
      <c r="A36" s="47">
        <v>50007702</v>
      </c>
      <c r="B36" s="47" t="s">
        <v>447</v>
      </c>
      <c r="C36" s="50">
        <v>3</v>
      </c>
      <c r="D36" s="50" t="s">
        <v>126</v>
      </c>
      <c r="E36" s="51" t="s">
        <v>332</v>
      </c>
      <c r="F36" s="51" t="s">
        <v>254</v>
      </c>
      <c r="G36" s="64" t="str">
        <f t="shared" si="0"/>
        <v>[effect:critical, val:1.1, animation:enemy_critical]</v>
      </c>
      <c r="H36" s="64">
        <f t="shared" si="1"/>
        <v>9</v>
      </c>
      <c r="I36" s="64">
        <f t="shared" si="2"/>
        <v>17</v>
      </c>
      <c r="J36" s="64" t="e">
        <f t="shared" si="3"/>
        <v>#VALUE!</v>
      </c>
      <c r="K36" s="64">
        <f t="shared" si="4"/>
        <v>26</v>
      </c>
      <c r="L36" s="64" t="str">
        <f>IFERROR(VLOOKUP(MID(G36,J36,K36-J36),[5]skilldef!$C:$D,2,FALSE),"-") &amp; " / " &amp; IFERROR(VLOOKUP(MID(G36,H36,I36-H36),[5]skilldef!$A:$B,2,FALSE),"-")</f>
        <v>- / 大攻撃</v>
      </c>
      <c r="M36" s="64" t="str">
        <f t="shared" si="5"/>
        <v>[effect:force_change_block, new_block:crack_bomb, target:block_all, ignore01:crash, ignore02:crack_bomb, ignore03:jammer, ignore04:color_break, ignore05:magnet, count:3, val:18, animation:change_block]</v>
      </c>
      <c r="N36" s="48" t="str">
        <f t="shared" si="151"/>
        <v>[effect:force_change_block, new_block:crack_bomb, target:block_all, ignore01:crash, ignore02:crack_bomb, ignore03:jammer, ignore04:color_break, ignore05:magnet, count:3, val:18, animation:change_block]</v>
      </c>
      <c r="O36" s="64">
        <f t="shared" si="7"/>
        <v>9</v>
      </c>
      <c r="P36" s="64">
        <f t="shared" si="8"/>
        <v>27</v>
      </c>
      <c r="Q36" s="64">
        <f t="shared" si="9"/>
        <v>58</v>
      </c>
      <c r="R36" s="64">
        <f t="shared" si="10"/>
        <v>49</v>
      </c>
      <c r="S36" s="64" t="str">
        <f>IFERROR(VLOOKUP(MID(N36,Q36,R36-Q36),[5]skilldef!$C:$D,2,FALSE),"-") &amp; " / " &amp; IFERROR(VLOOKUP(MID(N36,O36,P36-O36),[5]skilldef!$A:$B,2,FALSE),"-")</f>
        <v>- / -</v>
      </c>
      <c r="T36" s="48" t="str">
        <f t="shared" si="11"/>
        <v>none</v>
      </c>
      <c r="U36" s="64" t="e">
        <f t="shared" si="12"/>
        <v>#VALUE!</v>
      </c>
      <c r="V36" s="64">
        <f t="shared" si="13"/>
        <v>4</v>
      </c>
      <c r="W36" s="64" t="e">
        <f t="shared" si="14"/>
        <v>#VALUE!</v>
      </c>
      <c r="X36" s="64" t="e">
        <f t="shared" si="15"/>
        <v>#VALUE!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21" customHeight="1" x14ac:dyDescent="0.15">
      <c r="A37" s="47">
        <v>50007703</v>
      </c>
      <c r="B37" s="47" t="s">
        <v>448</v>
      </c>
      <c r="C37" s="50">
        <v>3</v>
      </c>
      <c r="D37" s="50" t="s">
        <v>126</v>
      </c>
      <c r="E37" s="51" t="s">
        <v>333</v>
      </c>
      <c r="F37" s="51" t="s">
        <v>253</v>
      </c>
      <c r="G37" s="64" t="str">
        <f t="shared" si="0"/>
        <v>[effect:rush, count:6, val:0.2]</v>
      </c>
      <c r="H37" s="64">
        <f t="shared" si="1"/>
        <v>9</v>
      </c>
      <c r="I37" s="64">
        <f t="shared" si="2"/>
        <v>13</v>
      </c>
      <c r="J37" s="64" t="e">
        <f t="shared" si="3"/>
        <v>#VALUE!</v>
      </c>
      <c r="K37" s="64">
        <f t="shared" si="4"/>
        <v>22</v>
      </c>
      <c r="L37" s="64" t="str">
        <f>IFERROR(VLOOKUP(MID(G37,J37,K37-J37),[5]skilldef!$C:$D,2,FALSE),"-") &amp; " / " &amp; IFERROR(VLOOKUP(MID(G37,H37,I37-H37),[5]skilldef!$A:$B,2,FALSE),"-")</f>
        <v>- / 連続攻撃</v>
      </c>
      <c r="M37" s="64" t="str">
        <f t="shared" si="5"/>
        <v xml:space="preserve">[effect:force_change_block, new_block:crack_bomb, target:block_all, ignore01:crash, ignore02:crack_bomb, ignore03:jammer, ignore04:color_break, ignore05:magnet, count:6, val:12, animation:change_block]    </v>
      </c>
      <c r="N37" s="48" t="str">
        <f t="shared" si="151"/>
        <v xml:space="preserve">[effect:force_change_block, new_block:crack_bomb, target:block_all, ignore01:crash, ignore02:crack_bomb, ignore03:jammer, ignore04:color_break, ignore05:magnet, count:6, val:12, animation:change_block]    </v>
      </c>
      <c r="O37" s="64">
        <f t="shared" si="7"/>
        <v>9</v>
      </c>
      <c r="P37" s="64">
        <f t="shared" si="8"/>
        <v>27</v>
      </c>
      <c r="Q37" s="64">
        <f t="shared" si="9"/>
        <v>58</v>
      </c>
      <c r="R37" s="64">
        <f t="shared" si="10"/>
        <v>49</v>
      </c>
      <c r="S37" s="64" t="str">
        <f>IFERROR(VLOOKUP(MID(N37,Q37,R37-Q37),[5]skilldef!$C:$D,2,FALSE),"-") &amp; " / " &amp; IFERROR(VLOOKUP(MID(N37,O37,P37-O37),[5]skilldef!$A:$B,2,FALSE),"-")</f>
        <v>- / -</v>
      </c>
      <c r="T37" s="48" t="str">
        <f t="shared" si="11"/>
        <v>none</v>
      </c>
      <c r="U37" s="64" t="e">
        <f t="shared" si="12"/>
        <v>#VALUE!</v>
      </c>
      <c r="V37" s="64">
        <f t="shared" si="13"/>
        <v>4</v>
      </c>
      <c r="W37" s="64" t="e">
        <f t="shared" si="14"/>
        <v>#VALUE!</v>
      </c>
      <c r="X37" s="64" t="e">
        <f t="shared" si="15"/>
        <v>#VALUE!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50007704</v>
      </c>
      <c r="B38" s="47" t="s">
        <v>424</v>
      </c>
      <c r="C38" s="50">
        <v>3</v>
      </c>
      <c r="D38" s="50" t="s">
        <v>126</v>
      </c>
      <c r="E38" s="51" t="s">
        <v>334</v>
      </c>
      <c r="F38" s="51" t="s">
        <v>353</v>
      </c>
      <c r="G38" s="64" t="str">
        <f t="shared" si="0"/>
        <v>[effect:damage_anti_tribe, target:unit_all, tribe:none, val1:1.25, val2:0.25]</v>
      </c>
      <c r="H38" s="64">
        <f t="shared" si="1"/>
        <v>9</v>
      </c>
      <c r="I38" s="64">
        <f t="shared" si="2"/>
        <v>26</v>
      </c>
      <c r="J38" s="64">
        <f t="shared" si="3"/>
        <v>35</v>
      </c>
      <c r="K38" s="64">
        <f t="shared" si="4"/>
        <v>43</v>
      </c>
      <c r="L38" s="64" t="str">
        <f>IFERROR(VLOOKUP(MID(G38,J38,K38-J38),[5]skilldef!$C:$D,2,FALSE),"-") &amp; " / " &amp; IFERROR(VLOOKUP(MID(G38,H38,I38-H38),[5]skilldef!$A:$B,2,FALSE),"-")</f>
        <v>味方全体に / 種族キラー</v>
      </c>
      <c r="M38" s="64" t="str">
        <f t="shared" si="5"/>
        <v>[effect:enemy_message, val1:1, val2:2.4, dead_type:suicide]</v>
      </c>
      <c r="N38" s="48" t="str">
        <f>IFERROR(LEFT(M38,FIND("],",M38)+#REF!),M38)</f>
        <v>[effect:enemy_message, val1:1, val2:2.4, dead_type:suicide]</v>
      </c>
      <c r="O38" s="64">
        <f t="shared" si="7"/>
        <v>9</v>
      </c>
      <c r="P38" s="64">
        <f t="shared" si="8"/>
        <v>22</v>
      </c>
      <c r="Q38" s="64" t="e">
        <f t="shared" si="9"/>
        <v>#VALUE!</v>
      </c>
      <c r="R38" s="64">
        <f t="shared" si="10"/>
        <v>30</v>
      </c>
      <c r="S38" s="64" t="str">
        <f>IFERROR(VLOOKUP(MID(N38,Q38,R38-Q38),[5]skilldef!$C:$D,2,FALSE),"-") &amp; " / " &amp; IFERROR(VLOOKUP(MID(N38,O38,P38-O38),[5]skilldef!$A:$B,2,FALSE),"-")</f>
        <v>- / -</v>
      </c>
      <c r="T38" s="48" t="str">
        <f t="shared" si="11"/>
        <v>none</v>
      </c>
      <c r="U38" s="64" t="e">
        <f t="shared" si="12"/>
        <v>#VALUE!</v>
      </c>
      <c r="V38" s="64">
        <f t="shared" si="13"/>
        <v>4</v>
      </c>
      <c r="W38" s="64" t="e">
        <f t="shared" si="14"/>
        <v>#VALUE!</v>
      </c>
      <c r="X38" s="64" t="e">
        <f t="shared" si="15"/>
        <v>#VALUE!</v>
      </c>
      <c r="Y38" s="64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47">
        <v>50007705</v>
      </c>
      <c r="B39" s="47" t="s">
        <v>372</v>
      </c>
      <c r="C39" s="50">
        <v>3</v>
      </c>
      <c r="D39" s="50" t="s">
        <v>126</v>
      </c>
      <c r="E39" s="51" t="s">
        <v>352</v>
      </c>
      <c r="F39" s="51" t="s">
        <v>255</v>
      </c>
      <c r="G39" s="64" t="str">
        <f t="shared" si="0"/>
        <v>[effect:enemy_message, val1:1.4, val2:1.8, dead_type:suicide]</v>
      </c>
      <c r="H39" s="64">
        <f t="shared" si="1"/>
        <v>9</v>
      </c>
      <c r="I39" s="64">
        <f t="shared" si="2"/>
        <v>22</v>
      </c>
      <c r="J39" s="64" t="e">
        <f t="shared" si="3"/>
        <v>#VALUE!</v>
      </c>
      <c r="K39" s="64">
        <f t="shared" si="4"/>
        <v>32</v>
      </c>
      <c r="L39" s="64" t="str">
        <f>IFERROR(VLOOKUP(MID(G39,J39,K39-J39),[5]skilldef!$C:$D,2,FALSE),"-") &amp; " / " &amp; IFERROR(VLOOKUP(MID(G39,H39,I39-H39),[5]skilldef!$A:$B,2,FALSE),"-")</f>
        <v>- / -</v>
      </c>
      <c r="M39" s="64" t="str">
        <f t="shared" si="5"/>
        <v>[effect:break_attack_fix, target:unit_one, val:3000, lowest_val:10000, count:10, color:red, block01:crack_bomb]</v>
      </c>
      <c r="N39" s="48" t="str">
        <f>IFERROR(LEFT(M39,FIND("],",M39)+S52),M39)</f>
        <v>[effect:break_attack_fix, target:unit_one, val:3000, lowest_val:10000, count:10, color:red, block01:crack_bomb]</v>
      </c>
      <c r="O39" s="64">
        <f t="shared" si="7"/>
        <v>9</v>
      </c>
      <c r="P39" s="64">
        <f t="shared" si="8"/>
        <v>25</v>
      </c>
      <c r="Q39" s="64">
        <f t="shared" si="9"/>
        <v>34</v>
      </c>
      <c r="R39" s="64">
        <f t="shared" si="10"/>
        <v>42</v>
      </c>
      <c r="S39" s="64" t="str">
        <f>IFERROR(VLOOKUP(MID(N39,Q39,R39-Q39),[5]skilldef!$C:$D,2,FALSE),"-") &amp; " / " &amp; IFERROR(VLOOKUP(MID(N39,O39,P39-O39),[5]skilldef!$A:$B,2,FALSE),"-")</f>
        <v>味方単体に / -</v>
      </c>
      <c r="T39" s="48" t="str">
        <f t="shared" si="11"/>
        <v>none</v>
      </c>
      <c r="U39" s="64" t="e">
        <f t="shared" si="12"/>
        <v>#VALUE!</v>
      </c>
      <c r="V39" s="64">
        <f t="shared" si="13"/>
        <v>4</v>
      </c>
      <c r="W39" s="64" t="e">
        <f t="shared" si="14"/>
        <v>#VALUE!</v>
      </c>
      <c r="X39" s="64" t="e">
        <f t="shared" si="15"/>
        <v>#VALUE!</v>
      </c>
      <c r="Y39" s="64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106">
        <v>50007706</v>
      </c>
      <c r="B40" s="106" t="s">
        <v>381</v>
      </c>
      <c r="C40" s="107">
        <v>3</v>
      </c>
      <c r="D40" s="107" t="s">
        <v>126</v>
      </c>
      <c r="E40" s="108" t="s">
        <v>380</v>
      </c>
      <c r="F40" s="108" t="s">
        <v>256</v>
      </c>
      <c r="G40" s="64" t="str">
        <f t="shared" ref="G40" si="152">IFERROR(LEFT(B40,FIND("],",B40)),B40)</f>
        <v>[effect:enemy_message, val1:2.0, val2:2.2, dead_type:suicide]</v>
      </c>
      <c r="H40" s="64">
        <f t="shared" ref="H40" si="153">FIND("effect:",G40)+7</f>
        <v>9</v>
      </c>
      <c r="I40" s="64">
        <f t="shared" ref="I40" si="154">IFERROR(FIND(",",G40),LEN(G40))</f>
        <v>22</v>
      </c>
      <c r="J40" s="64" t="e">
        <f t="shared" ref="J40" si="155">FIND("target:",G40)+7</f>
        <v>#VALUE!</v>
      </c>
      <c r="K40" s="64">
        <f t="shared" ref="K40" si="156">FIND(",",G40,I40+1)</f>
        <v>32</v>
      </c>
      <c r="L40" s="64" t="str">
        <f>IFERROR(VLOOKUP(MID(G40,J40,K40-J40),[5]skilldef!$C:$D,2,FALSE),"-") &amp; " / " &amp; IFERROR(VLOOKUP(MID(G40,H40,I40-H40),[5]skilldef!$A:$B,2,FALSE),"-")</f>
        <v>- / -</v>
      </c>
      <c r="M40" s="64" t="str">
        <f t="shared" ref="M40" si="157">IFERROR(RIGHT(B40,LEN(B40)-FIND("],",B40)-1),"none")</f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N40" s="48" t="str">
        <f>IFERROR(LEFT(M40,FIND("],",M40)+S53),M40)</f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O40" s="64">
        <f t="shared" ref="O40" si="158">FIND("effect:",N40)+7</f>
        <v>9</v>
      </c>
      <c r="P40" s="64">
        <f t="shared" ref="P40" si="159">IFERROR(FIND(",",N40),LEN(N40))</f>
        <v>18</v>
      </c>
      <c r="Q40" s="64">
        <f t="shared" ref="Q40" si="160">FIND("target:",N40)+7</f>
        <v>27</v>
      </c>
      <c r="R40" s="64">
        <f t="shared" ref="R40" si="161">FIND(",",N40,P40+1)</f>
        <v>33</v>
      </c>
      <c r="S40" s="64" t="str">
        <f>IFERROR(VLOOKUP(MID(N40,Q40,R40-Q40),[5]skilldef!$C:$D,2,FALSE),"-") &amp; " / " &amp; IFERROR(VLOOKUP(MID(N40,O40,P40-O40),[5]skilldef!$A:$B,2,FALSE),"-")</f>
        <v>自分自身に / 行動値設定</v>
      </c>
      <c r="T40" s="48" t="str">
        <f t="shared" ref="T40" si="162">IFERROR(RIGHT(M40,LEN(M40)-FIND("],",M40)-1),"none")</f>
        <v>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U40" s="64">
        <f t="shared" ref="U40" si="163">FIND("effect:",T40)+7</f>
        <v>9</v>
      </c>
      <c r="V40" s="64">
        <f t="shared" ref="V40" si="164">IFERROR(FIND(",",T40),LEN(T40))</f>
        <v>18</v>
      </c>
      <c r="W40" s="64">
        <f t="shared" ref="W40" si="165">FIND("target:",T40)+7</f>
        <v>27</v>
      </c>
      <c r="X40" s="64">
        <f t="shared" ref="X40" si="166">FIND(",",T40,V40+1)</f>
        <v>33</v>
      </c>
      <c r="Y40" s="64" t="str">
        <f>IFERROR(VLOOKUP(MID(T40,W40,X40-W40),[5]skilldef!$C:$D,2,FALSE),"-") &amp; " / " &amp; IFERROR(VLOOKUP(MID(T40,U40,V40-U40),[5]skilldef!$A:$B,2,FALSE),"-")</f>
        <v>自分自身に / 状態異常耐性</v>
      </c>
      <c r="Z40" s="50"/>
      <c r="AA40" s="52"/>
      <c r="AB40" s="50"/>
    </row>
    <row r="41" spans="1:28" ht="21" customHeight="1" x14ac:dyDescent="0.15">
      <c r="A41" s="106">
        <v>50007707</v>
      </c>
      <c r="B41" s="106" t="s">
        <v>381</v>
      </c>
      <c r="C41" s="107">
        <v>3</v>
      </c>
      <c r="D41" s="107" t="s">
        <v>126</v>
      </c>
      <c r="E41" s="108" t="s">
        <v>380</v>
      </c>
      <c r="F41" s="108" t="s">
        <v>256</v>
      </c>
      <c r="G41" s="64" t="str">
        <f t="shared" ref="G41:G42" si="167">IFERROR(LEFT(B41,FIND("],",B41)),B41)</f>
        <v>[effect:enemy_message, val1:2.0, val2:2.2, dead_type:suicide]</v>
      </c>
      <c r="H41" s="64">
        <f t="shared" ref="H41:H42" si="168">FIND("effect:",G41)+7</f>
        <v>9</v>
      </c>
      <c r="I41" s="64">
        <f t="shared" ref="I41:I42" si="169">IFERROR(FIND(",",G41),LEN(G41))</f>
        <v>22</v>
      </c>
      <c r="J41" s="64" t="e">
        <f t="shared" ref="J41:J42" si="170">FIND("target:",G41)+7</f>
        <v>#VALUE!</v>
      </c>
      <c r="K41" s="64">
        <f t="shared" ref="K41:K42" si="171">FIND(",",G41,I41+1)</f>
        <v>32</v>
      </c>
      <c r="L41" s="64" t="str">
        <f>IFERROR(VLOOKUP(MID(G41,J41,K41-J41),[5]skilldef!$C:$D,2,FALSE),"-") &amp; " / " &amp; IFERROR(VLOOKUP(MID(G41,H41,I41-H41),[5]skilldef!$A:$B,2,FALSE),"-")</f>
        <v>- / -</v>
      </c>
      <c r="M41" s="64" t="str">
        <f t="shared" ref="M41:M42" si="172">IFERROR(RIGHT(B41,LEN(B41)-FIND("],",B41)-1),"none")</f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N41" s="48" t="str">
        <f>IFERROR(LEFT(M41,FIND("],",M41)+S54),M41)</f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O41" s="64">
        <f t="shared" ref="O41:O42" si="173">FIND("effect:",N41)+7</f>
        <v>9</v>
      </c>
      <c r="P41" s="64">
        <f t="shared" ref="P41:P42" si="174">IFERROR(FIND(",",N41),LEN(N41))</f>
        <v>18</v>
      </c>
      <c r="Q41" s="64">
        <f t="shared" ref="Q41:Q42" si="175">FIND("target:",N41)+7</f>
        <v>27</v>
      </c>
      <c r="R41" s="64">
        <f t="shared" ref="R41:R42" si="176">FIND(",",N41,P41+1)</f>
        <v>33</v>
      </c>
      <c r="S41" s="64" t="str">
        <f>IFERROR(VLOOKUP(MID(N41,Q41,R41-Q41),[5]skilldef!$C:$D,2,FALSE),"-") &amp; " / " &amp; IFERROR(VLOOKUP(MID(N41,O41,P41-O41),[5]skilldef!$A:$B,2,FALSE),"-")</f>
        <v>自分自身に / 行動値設定</v>
      </c>
      <c r="T41" s="48" t="str">
        <f t="shared" ref="T41:T42" si="177">IFERROR(RIGHT(M41,LEN(M41)-FIND("],",M41)-1),"none")</f>
        <v>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U41" s="64">
        <f t="shared" ref="U41:U42" si="178">FIND("effect:",T41)+7</f>
        <v>9</v>
      </c>
      <c r="V41" s="64">
        <f t="shared" ref="V41:V42" si="179">IFERROR(FIND(",",T41),LEN(T41))</f>
        <v>18</v>
      </c>
      <c r="W41" s="64">
        <f t="shared" ref="W41:W42" si="180">FIND("target:",T41)+7</f>
        <v>27</v>
      </c>
      <c r="X41" s="64">
        <f t="shared" ref="X41:X42" si="181">FIND(",",T41,V41+1)</f>
        <v>33</v>
      </c>
      <c r="Y41" s="64" t="str">
        <f>IFERROR(VLOOKUP(MID(T41,W41,X41-W41),[5]skilldef!$C:$D,2,FALSE),"-") &amp; " / " &amp; IFERROR(VLOOKUP(MID(T41,U41,V41-U41),[5]skilldef!$A:$B,2,FALSE),"-")</f>
        <v>自分自身に / 状態異常耐性</v>
      </c>
      <c r="Z41" s="50"/>
      <c r="AA41" s="52"/>
      <c r="AB41" s="50"/>
    </row>
    <row r="42" spans="1:28" ht="21" customHeight="1" x14ac:dyDescent="0.15">
      <c r="A42" s="106">
        <v>50007708</v>
      </c>
      <c r="B42" s="106" t="s">
        <v>381</v>
      </c>
      <c r="C42" s="107">
        <v>3</v>
      </c>
      <c r="D42" s="107" t="s">
        <v>126</v>
      </c>
      <c r="E42" s="108" t="s">
        <v>379</v>
      </c>
      <c r="F42" s="108" t="s">
        <v>256</v>
      </c>
      <c r="G42" s="64" t="str">
        <f t="shared" si="167"/>
        <v>[effect:enemy_message, val1:2.0, val2:2.2, dead_type:suicide]</v>
      </c>
      <c r="H42" s="64">
        <f t="shared" si="168"/>
        <v>9</v>
      </c>
      <c r="I42" s="64">
        <f t="shared" si="169"/>
        <v>22</v>
      </c>
      <c r="J42" s="64" t="e">
        <f t="shared" si="170"/>
        <v>#VALUE!</v>
      </c>
      <c r="K42" s="64">
        <f t="shared" si="171"/>
        <v>32</v>
      </c>
      <c r="L42" s="64" t="str">
        <f>IFERROR(VLOOKUP(MID(G42,J42,K42-J42),[5]skilldef!$C:$D,2,FALSE),"-") &amp; " / " &amp; IFERROR(VLOOKUP(MID(G42,H42,I42-H42),[5]skilldef!$A:$B,2,FALSE),"-")</f>
        <v>- / -</v>
      </c>
      <c r="M42" s="64" t="str">
        <f t="shared" si="172"/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N42" s="48" t="str">
        <f>IFERROR(LEFT(M42,FIND("],",M42)+S55),M42)</f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O42" s="64">
        <f t="shared" si="173"/>
        <v>9</v>
      </c>
      <c r="P42" s="64">
        <f t="shared" si="174"/>
        <v>18</v>
      </c>
      <c r="Q42" s="64">
        <f t="shared" si="175"/>
        <v>27</v>
      </c>
      <c r="R42" s="64">
        <f t="shared" si="176"/>
        <v>33</v>
      </c>
      <c r="S42" s="64" t="str">
        <f>IFERROR(VLOOKUP(MID(N42,Q42,R42-Q42),[5]skilldef!$C:$D,2,FALSE),"-") &amp; " / " &amp; IFERROR(VLOOKUP(MID(N42,O42,P42-O42),[5]skilldef!$A:$B,2,FALSE),"-")</f>
        <v>自分自身に / 行動値設定</v>
      </c>
      <c r="T42" s="48" t="str">
        <f t="shared" si="177"/>
        <v>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U42" s="64">
        <f t="shared" si="178"/>
        <v>9</v>
      </c>
      <c r="V42" s="64">
        <f t="shared" si="179"/>
        <v>18</v>
      </c>
      <c r="W42" s="64">
        <f t="shared" si="180"/>
        <v>27</v>
      </c>
      <c r="X42" s="64">
        <f t="shared" si="181"/>
        <v>33</v>
      </c>
      <c r="Y42" s="64" t="str">
        <f>IFERROR(VLOOKUP(MID(T42,W42,X42-W42),[5]skilldef!$C:$D,2,FALSE),"-") &amp; " / " &amp; IFERROR(VLOOKUP(MID(T42,U42,V42-U42),[5]skilldef!$A:$B,2,FALSE),"-")</f>
        <v>自分自身に / 状態異常耐性</v>
      </c>
      <c r="Z42" s="50"/>
      <c r="AA42" s="52"/>
      <c r="AB42" s="50"/>
    </row>
    <row r="43" spans="1:28" ht="21" customHeight="1" x14ac:dyDescent="0.15">
      <c r="A43" s="106">
        <v>50007709</v>
      </c>
      <c r="B43" s="106" t="s">
        <v>381</v>
      </c>
      <c r="C43" s="107">
        <v>3</v>
      </c>
      <c r="D43" s="107" t="s">
        <v>126</v>
      </c>
      <c r="E43" s="108" t="s">
        <v>379</v>
      </c>
      <c r="F43" s="108" t="s">
        <v>256</v>
      </c>
      <c r="G43" s="64" t="str">
        <f t="shared" ref="G43" si="182">IFERROR(LEFT(B43,FIND("],",B43)),B43)</f>
        <v>[effect:enemy_message, val1:2.0, val2:2.2, dead_type:suicide]</v>
      </c>
      <c r="H43" s="64">
        <f t="shared" ref="H43" si="183">FIND("effect:",G43)+7</f>
        <v>9</v>
      </c>
      <c r="I43" s="64">
        <f t="shared" ref="I43" si="184">IFERROR(FIND(",",G43),LEN(G43))</f>
        <v>22</v>
      </c>
      <c r="J43" s="64" t="e">
        <f t="shared" ref="J43" si="185">FIND("target:",G43)+7</f>
        <v>#VALUE!</v>
      </c>
      <c r="K43" s="64">
        <f t="shared" ref="K43" si="186">FIND(",",G43,I43+1)</f>
        <v>32</v>
      </c>
      <c r="L43" s="64" t="str">
        <f>IFERROR(VLOOKUP(MID(G43,J43,K43-J43),[5]skilldef!$C:$D,2,FALSE),"-") &amp; " / " &amp; IFERROR(VLOOKUP(MID(G43,H43,I43-H43),[5]skilldef!$A:$B,2,FALSE),"-")</f>
        <v>- / -</v>
      </c>
      <c r="M43" s="64" t="str">
        <f t="shared" ref="M43" si="187">IFERROR(RIGHT(B43,LEN(B43)-FIND("],",B43)-1),"none")</f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N43" s="48" t="str">
        <f>IFERROR(LEFT(M43,FIND("],",M43)+S56),M43)</f>
        <v>[effect:fix_speed, target:myself, turn:2],[effect:tolerance,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O43" s="64">
        <f t="shared" ref="O43" si="188">FIND("effect:",N43)+7</f>
        <v>9</v>
      </c>
      <c r="P43" s="64">
        <f t="shared" ref="P43" si="189">IFERROR(FIND(",",N43),LEN(N43))</f>
        <v>18</v>
      </c>
      <c r="Q43" s="64">
        <f t="shared" ref="Q43" si="190">FIND("target:",N43)+7</f>
        <v>27</v>
      </c>
      <c r="R43" s="64">
        <f t="shared" ref="R43" si="191">FIND(",",N43,P43+1)</f>
        <v>33</v>
      </c>
      <c r="S43" s="64" t="str">
        <f>IFERROR(VLOOKUP(MID(N43,Q43,R43-Q43),[5]skilldef!$C:$D,2,FALSE),"-") &amp; " / " &amp; IFERROR(VLOOKUP(MID(N43,O43,P43-O43),[5]skilldef!$A:$B,2,FALSE),"-")</f>
        <v>自分自身に / 行動値設定</v>
      </c>
      <c r="T43" s="48" t="str">
        <f t="shared" ref="T43" si="192">IFERROR(RIGHT(M43,LEN(M43)-FIND("],",M43)-1),"none")</f>
        <v>[effect:tolerance, target:myself, turn:-1, tolerance_effect:all, count:-1, animation:enemy_tolerance],[effect:break_enchance_enemy, val:0.03, lowest_val:0, count :-1, status:attack, turn:-1, block:jammer, target:myself, calc:mul, animation:enemy_enhance_attack]</v>
      </c>
      <c r="U43" s="64">
        <f t="shared" ref="U43" si="193">FIND("effect:",T43)+7</f>
        <v>9</v>
      </c>
      <c r="V43" s="64">
        <f t="shared" ref="V43" si="194">IFERROR(FIND(",",T43),LEN(T43))</f>
        <v>18</v>
      </c>
      <c r="W43" s="64">
        <f t="shared" ref="W43" si="195">FIND("target:",T43)+7</f>
        <v>27</v>
      </c>
      <c r="X43" s="64">
        <f t="shared" ref="X43" si="196">FIND(",",T43,V43+1)</f>
        <v>33</v>
      </c>
      <c r="Y43" s="64" t="str">
        <f>IFERROR(VLOOKUP(MID(T43,W43,X43-W43),[5]skilldef!$C:$D,2,FALSE),"-") &amp; " / " &amp; IFERROR(VLOOKUP(MID(T43,U43,V43-U43),[5]skilldef!$A:$B,2,FALSE),"-")</f>
        <v>自分自身に / 状態異常耐性</v>
      </c>
      <c r="Z43" s="50"/>
      <c r="AA43" s="52"/>
      <c r="AB43" s="50"/>
    </row>
    <row r="44" spans="1:28" ht="21" customHeight="1" x14ac:dyDescent="0.15">
      <c r="A44" s="47">
        <v>50007801</v>
      </c>
      <c r="B44" s="47" t="s">
        <v>437</v>
      </c>
      <c r="C44" s="50">
        <v>3</v>
      </c>
      <c r="D44" s="50" t="s">
        <v>126</v>
      </c>
      <c r="E44" s="51" t="s">
        <v>432</v>
      </c>
      <c r="F44" s="51" t="s">
        <v>430</v>
      </c>
      <c r="G44" s="64" t="str">
        <f t="shared" si="0"/>
        <v>[effect:enemy_message, val1:1.2, val2:2.2, dead_type:suicide]</v>
      </c>
      <c r="H44" s="64">
        <f t="shared" si="1"/>
        <v>9</v>
      </c>
      <c r="I44" s="64">
        <f t="shared" si="2"/>
        <v>22</v>
      </c>
      <c r="J44" s="64" t="e">
        <f t="shared" si="3"/>
        <v>#VALUE!</v>
      </c>
      <c r="K44" s="64">
        <f t="shared" si="4"/>
        <v>32</v>
      </c>
      <c r="L44" s="64" t="str">
        <f>IFERROR(VLOOKUP(MID(G44,J44,K44-J44),[5]skilldef!$C:$D,2,FALSE),"-") &amp; " / " &amp; IFERROR(VLOOKUP(MID(G44,H44,I44-H44),[5]skilldef!$A:$B,2,FALSE),"-")</f>
        <v>- / -</v>
      </c>
      <c r="M44" s="64" t="str">
        <f t="shared" si="5"/>
        <v>[effect:fix_speed, target:myself, turn:1],[effect:enhance_enemy, target:myself, turn:-1, status:attack, val:0.4, animation:enemy_enhance_attack],[effect:guard_break, target:enemy_one, turn:-1, val:5000, calc:add, animation:guard_break01],[effect:remove_enhancement, target:unit_all, target_effect:all,  animation:frozen_wave]</v>
      </c>
      <c r="N44" s="48" t="str">
        <f t="shared" ref="N44:N51" si="197">IFERROR(LEFT(M44,FIND("],",M44)+S53),M44)</f>
        <v>[effect:fix_speed, target:myself, turn:1],[effect:enhance_enemy, target:myself, turn:-1, status:attack, val:0.4, animation:enemy_enhance_attack],[effect:guard_break, target:enemy_one, turn:-1, val:5000, calc:add, animation:guard_break01],[effect:remove_enhancement, target:unit_all, target_effect:all,  animation:frozen_wave]</v>
      </c>
      <c r="O44" s="64">
        <f t="shared" si="7"/>
        <v>9</v>
      </c>
      <c r="P44" s="64">
        <f t="shared" si="8"/>
        <v>18</v>
      </c>
      <c r="Q44" s="64">
        <f t="shared" si="9"/>
        <v>27</v>
      </c>
      <c r="R44" s="64">
        <f t="shared" si="10"/>
        <v>33</v>
      </c>
      <c r="S44" s="64" t="str">
        <f>IFERROR(VLOOKUP(MID(N44,Q44,R44-Q44),[5]skilldef!$C:$D,2,FALSE),"-") &amp; " / " &amp; IFERROR(VLOOKUP(MID(N44,O44,P44-O44),[5]skilldef!$A:$B,2,FALSE),"-")</f>
        <v>自分自身に / 行動値設定</v>
      </c>
      <c r="T44" s="48" t="str">
        <f t="shared" si="11"/>
        <v>[effect:enhance_enemy, target:myself, turn:-1, status:attack, val:0.4, animation:enemy_enhance_attack],[effect:guard_break, target:enemy_one, turn:-1, val:5000, calc:add, animation:guard_break01],[effect:remove_enhancement, target:unit_all, target_effect:all,  animation:frozen_wave]</v>
      </c>
      <c r="U44" s="64">
        <f t="shared" si="12"/>
        <v>9</v>
      </c>
      <c r="V44" s="64">
        <f t="shared" si="13"/>
        <v>22</v>
      </c>
      <c r="W44" s="64">
        <f t="shared" si="14"/>
        <v>31</v>
      </c>
      <c r="X44" s="64">
        <f t="shared" si="15"/>
        <v>37</v>
      </c>
      <c r="Y44" s="64" t="str">
        <f>IFERROR(VLOOKUP(MID(T44,W44,X44-W44),[5]skilldef!$C:$D,2,FALSE),"-") &amp; " / " &amp; IFERROR(VLOOKUP(MID(T44,U44,V44-U44),[5]skilldef!$A:$B,2,FALSE),"-")</f>
        <v>自分自身に / ステータス強化</v>
      </c>
      <c r="Z44" s="50"/>
      <c r="AA44" s="52"/>
      <c r="AB44" s="50"/>
    </row>
    <row r="45" spans="1:28" ht="21" customHeight="1" x14ac:dyDescent="0.15">
      <c r="A45" s="47">
        <v>50007802</v>
      </c>
      <c r="B45" s="47" t="s">
        <v>435</v>
      </c>
      <c r="C45" s="50">
        <v>3</v>
      </c>
      <c r="D45" s="50" t="s">
        <v>126</v>
      </c>
      <c r="E45" s="51" t="s">
        <v>433</v>
      </c>
      <c r="F45" s="51" t="s">
        <v>430</v>
      </c>
      <c r="G45" s="64" t="str">
        <f t="shared" si="0"/>
        <v>[effect:enemy_message, val1:1.2, val2:2.2, dead_type:suicide]</v>
      </c>
      <c r="H45" s="64">
        <f t="shared" si="1"/>
        <v>9</v>
      </c>
      <c r="I45" s="64">
        <f t="shared" si="2"/>
        <v>22</v>
      </c>
      <c r="J45" s="64" t="e">
        <f t="shared" si="3"/>
        <v>#VALUE!</v>
      </c>
      <c r="K45" s="64">
        <f t="shared" si="4"/>
        <v>32</v>
      </c>
      <c r="L45" s="64" t="str">
        <f>IFERROR(VLOOKUP(MID(G45,J45,K45-J45),[5]skilldef!$C:$D,2,FALSE),"-") &amp; " / " &amp; IFERROR(VLOOKUP(MID(G45,H45,I45-H45),[5]skilldef!$A:$B,2,FALSE),"-")</f>
        <v>- / -</v>
      </c>
      <c r="M45" s="64" t="str">
        <f t="shared" si="5"/>
        <v>[effect:enhance_enemy, target:myself, turn:-1, status:attack, val:0.4, animation:enemy_enhance_attack],[effect:guard_break, target:enemy_one, turn:-1, val:5000, calc:add, animation:guard_break01],[effect:remove_enhancement, target:unit_all, target_effect:all,  animation:frozen_wave]</v>
      </c>
      <c r="N45" s="48" t="str">
        <f t="shared" si="197"/>
        <v>[effect:enhance_enemy, target:myself, turn:-1, status:attack, val:0.4, animation:enemy_enhance_attack],[effect:guard_break, target:enemy_one, turn:-1, val:5000, calc:add, animation:guard_break01],[effect:remove_enhancement, target:unit_all, target_effect:all,  animation:frozen_wave]</v>
      </c>
      <c r="O45" s="64">
        <f t="shared" si="7"/>
        <v>9</v>
      </c>
      <c r="P45" s="64">
        <f t="shared" si="8"/>
        <v>22</v>
      </c>
      <c r="Q45" s="64">
        <f t="shared" si="9"/>
        <v>31</v>
      </c>
      <c r="R45" s="64">
        <f t="shared" si="10"/>
        <v>37</v>
      </c>
      <c r="S45" s="64" t="str">
        <f>IFERROR(VLOOKUP(MID(N45,Q45,R45-Q45),[5]skilldef!$C:$D,2,FALSE),"-") &amp; " / " &amp; IFERROR(VLOOKUP(MID(N45,O45,P45-O45),[5]skilldef!$A:$B,2,FALSE),"-")</f>
        <v>自分自身に / ステータス強化</v>
      </c>
      <c r="T45" s="48" t="str">
        <f t="shared" si="11"/>
        <v>[effect:guard_break, target:enemy_one, turn:-1, val:5000, calc:add, animation:guard_break01],[effect:remove_enhancement, target:unit_all, target_effect:all,  animation:frozen_wave]</v>
      </c>
      <c r="U45" s="64">
        <f t="shared" si="12"/>
        <v>9</v>
      </c>
      <c r="V45" s="64">
        <f t="shared" si="13"/>
        <v>20</v>
      </c>
      <c r="W45" s="64">
        <f t="shared" si="14"/>
        <v>29</v>
      </c>
      <c r="X45" s="64">
        <f t="shared" si="15"/>
        <v>38</v>
      </c>
      <c r="Y45" s="64" t="str">
        <f>IFERROR(VLOOKUP(MID(T45,W45,X45-W45),[5]skilldef!$C:$D,2,FALSE),"-") &amp; " / " &amp; IFERROR(VLOOKUP(MID(T45,U45,V45-U45),[5]skilldef!$A:$B,2,FALSE),"-")</f>
        <v>敵単体に / -</v>
      </c>
      <c r="Z45" s="50"/>
      <c r="AA45" s="52"/>
      <c r="AB45" s="50"/>
    </row>
    <row r="46" spans="1:28" ht="21" customHeight="1" x14ac:dyDescent="0.15">
      <c r="A46" s="47">
        <v>50007803</v>
      </c>
      <c r="B46" s="47" t="s">
        <v>436</v>
      </c>
      <c r="C46" s="50">
        <v>3</v>
      </c>
      <c r="D46" s="50" t="s">
        <v>126</v>
      </c>
      <c r="E46" s="51" t="s">
        <v>434</v>
      </c>
      <c r="F46" s="51" t="s">
        <v>431</v>
      </c>
      <c r="G46" s="64" t="str">
        <f t="shared" si="0"/>
        <v>[effect:enemy_message, val1:1.2, val2:2.4, dead_type:suicide]</v>
      </c>
      <c r="H46" s="64">
        <f t="shared" si="1"/>
        <v>9</v>
      </c>
      <c r="I46" s="64">
        <f t="shared" si="2"/>
        <v>22</v>
      </c>
      <c r="J46" s="64" t="e">
        <f t="shared" si="3"/>
        <v>#VALUE!</v>
      </c>
      <c r="K46" s="64">
        <f t="shared" si="4"/>
        <v>32</v>
      </c>
      <c r="L46" s="64" t="str">
        <f>IFERROR(VLOOKUP(MID(G46,J46,K46-J46),[5]skilldef!$C:$D,2,FALSE),"-") &amp; " / " &amp; IFERROR(VLOOKUP(MID(G46,H46,I46-H46),[5]skilldef!$A:$B,2,FALSE),"-")</f>
        <v>- / -</v>
      </c>
      <c r="M46" s="64" t="str">
        <f t="shared" si="5"/>
        <v>[effect:attack_break, target:enemy_one, turn:-1, val:0.3, calc:mul, animation:attack_break01],[effect:enhance_enemy, target:myself, turn:-1, status:defense, val:5000, calc:add, animation:enemy_enhance_defense],[effect:change_bomb_range, val:0.5, rate:1, turn:-1, animation:bomb_small]</v>
      </c>
      <c r="N46" s="48" t="str">
        <f t="shared" si="197"/>
        <v>[effect:attack_break, target:enemy_one, turn:-1, val:0.3, calc:mul, animation:attack_break01],[effect:enhance_enemy, target:myself, turn:-1, status:defense, val:5000, calc:add, animation:enemy_enhance_defense],[effect:change_bomb_range, val:0.5, rate:1, turn:-1, animation:bomb_small]</v>
      </c>
      <c r="O46" s="64">
        <f t="shared" si="7"/>
        <v>9</v>
      </c>
      <c r="P46" s="64">
        <f t="shared" si="8"/>
        <v>21</v>
      </c>
      <c r="Q46" s="64">
        <f t="shared" si="9"/>
        <v>30</v>
      </c>
      <c r="R46" s="64">
        <f t="shared" si="10"/>
        <v>39</v>
      </c>
      <c r="S46" s="64" t="str">
        <f>IFERROR(VLOOKUP(MID(N46,Q46,R46-Q46),[5]skilldef!$C:$D,2,FALSE),"-") &amp; " / " &amp; IFERROR(VLOOKUP(MID(N46,O46,P46-O46),[5]skilldef!$A:$B,2,FALSE),"-")</f>
        <v>敵単体に / -</v>
      </c>
      <c r="T46" s="48" t="str">
        <f t="shared" si="11"/>
        <v>[effect:enhance_enemy, target:myself, turn:-1, status:defense, val:5000, calc:add, animation:enemy_enhance_defense],[effect:change_bomb_range, val:0.5, rate:1, turn:-1, animation:bomb_small]</v>
      </c>
      <c r="U46" s="64">
        <f t="shared" si="12"/>
        <v>9</v>
      </c>
      <c r="V46" s="64">
        <f t="shared" si="13"/>
        <v>22</v>
      </c>
      <c r="W46" s="64">
        <f t="shared" si="14"/>
        <v>31</v>
      </c>
      <c r="X46" s="64">
        <f t="shared" si="15"/>
        <v>37</v>
      </c>
      <c r="Y46" s="64" t="str">
        <f>IFERROR(VLOOKUP(MID(T46,W46,X46-W46),[5]skilldef!$C:$D,2,FALSE),"-") &amp; " / " &amp; IFERROR(VLOOKUP(MID(T46,U46,V46-U46),[5]skilldef!$A:$B,2,FALSE),"-")</f>
        <v>自分自身に / ステータス強化</v>
      </c>
      <c r="Z46" s="50"/>
      <c r="AA46" s="52"/>
      <c r="AB46" s="50"/>
    </row>
    <row r="47" spans="1:28" ht="21" customHeight="1" x14ac:dyDescent="0.15">
      <c r="A47" s="47">
        <v>50007804</v>
      </c>
      <c r="B47" s="47" t="s">
        <v>449</v>
      </c>
      <c r="C47" s="50">
        <v>3</v>
      </c>
      <c r="D47" s="50" t="s">
        <v>126</v>
      </c>
      <c r="E47" s="51" t="s">
        <v>351</v>
      </c>
      <c r="F47" s="51" t="s">
        <v>260</v>
      </c>
      <c r="G47" s="64" t="str">
        <f t="shared" si="0"/>
        <v>[effect:spread, val:0.3]</v>
      </c>
      <c r="H47" s="64">
        <f t="shared" si="1"/>
        <v>9</v>
      </c>
      <c r="I47" s="64">
        <f t="shared" si="2"/>
        <v>15</v>
      </c>
      <c r="J47" s="64" t="e">
        <f t="shared" si="3"/>
        <v>#VALUE!</v>
      </c>
      <c r="K47" s="64" t="e">
        <f t="shared" si="4"/>
        <v>#VALUE!</v>
      </c>
      <c r="L47" s="64" t="str">
        <f>IFERROR(VLOOKUP(MID(G47,J47,K47-J47),[5]skilldef!$C:$D,2,FALSE),"-") &amp; " / " &amp; IFERROR(VLOOKUP(MID(G47,H47,I47-H47),[5]skilldef!$A:$B,2,FALSE),"-")</f>
        <v>- / 全体攻撃</v>
      </c>
      <c r="M47" s="64" t="str">
        <f t="shared" si="5"/>
        <v>[effect:force_change_block, new_block:crack_bomb, target:block_all, ignore01:crash, ignore02:crack_bomb, ignore03:jammer, ignore04:color_break, ignore05:magnet, count:3, val:18, animation:change_block]</v>
      </c>
      <c r="N47" s="48" t="str">
        <f t="shared" si="197"/>
        <v>[effect:force_change_block, new_block:crack_bomb, target:block_all, ignore01:crash, ignore02:crack_bomb, ignore03:jammer, ignore04:color_break, ignore05:magnet, count:3, val:18, animation:change_block]</v>
      </c>
      <c r="O47" s="64">
        <f t="shared" si="7"/>
        <v>9</v>
      </c>
      <c r="P47" s="64">
        <f t="shared" si="8"/>
        <v>27</v>
      </c>
      <c r="Q47" s="64">
        <f t="shared" si="9"/>
        <v>58</v>
      </c>
      <c r="R47" s="64">
        <f t="shared" si="10"/>
        <v>49</v>
      </c>
      <c r="S47" s="64" t="str">
        <f>IFERROR(VLOOKUP(MID(N47,Q47,R47-Q47),[5]skilldef!$C:$D,2,FALSE),"-") &amp; " / " &amp; IFERROR(VLOOKUP(MID(N47,O47,P47-O47),[5]skilldef!$A:$B,2,FALSE),"-")</f>
        <v>- / -</v>
      </c>
      <c r="T47" s="48" t="str">
        <f t="shared" si="11"/>
        <v>none</v>
      </c>
      <c r="U47" s="64" t="e">
        <f t="shared" si="12"/>
        <v>#VALUE!</v>
      </c>
      <c r="V47" s="64">
        <f t="shared" si="13"/>
        <v>4</v>
      </c>
      <c r="W47" s="64" t="e">
        <f t="shared" si="14"/>
        <v>#VALUE!</v>
      </c>
      <c r="X47" s="64" t="e">
        <f t="shared" si="15"/>
        <v>#VALUE!</v>
      </c>
      <c r="Y47" s="64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1" customHeight="1" x14ac:dyDescent="0.15">
      <c r="A48" s="47">
        <v>50007805</v>
      </c>
      <c r="B48" s="47" t="s">
        <v>450</v>
      </c>
      <c r="C48" s="50">
        <v>3</v>
      </c>
      <c r="D48" s="50" t="s">
        <v>126</v>
      </c>
      <c r="E48" s="51" t="s">
        <v>350</v>
      </c>
      <c r="F48" s="51" t="s">
        <v>257</v>
      </c>
      <c r="G48" s="64" t="str">
        <f t="shared" ref="G48:G63" si="198">IFERROR(LEFT(B48,FIND("],",B48)),B48)</f>
        <v>[effect:rush, count:2, val:0.5]</v>
      </c>
      <c r="H48" s="64">
        <f t="shared" ref="H48:H63" si="199">FIND("effect:",G48)+7</f>
        <v>9</v>
      </c>
      <c r="I48" s="64">
        <f t="shared" ref="I48:I63" si="200">IFERROR(FIND(",",G48),LEN(G48))</f>
        <v>13</v>
      </c>
      <c r="J48" s="64" t="e">
        <f t="shared" ref="J48:J63" si="201">FIND("target:",G48)+7</f>
        <v>#VALUE!</v>
      </c>
      <c r="K48" s="64">
        <f t="shared" ref="K48:K63" si="202">FIND(",",G48,I48+1)</f>
        <v>22</v>
      </c>
      <c r="L48" s="64" t="str">
        <f>IFERROR(VLOOKUP(MID(G48,J48,K48-J48),[5]skilldef!$C:$D,2,FALSE),"-") &amp; " / " &amp; IFERROR(VLOOKUP(MID(G48,H48,I48-H48),[5]skilldef!$A:$B,2,FALSE),"-")</f>
        <v>- / 連続攻撃</v>
      </c>
      <c r="M48" s="64" t="str">
        <f t="shared" ref="M48:M63" si="203">IFERROR(RIGHT(B48,LEN(B48)-FIND("],",B48)-1),"none")</f>
        <v>[effect:force_change_block, new_block:crack_bomb, target:block_all, ignore01:crash, ignore02:crack_bomb, ignore03:jammer, ignore04:color_break, ignore05:magnet, count:2, val:24, animation:change_block]</v>
      </c>
      <c r="N48" s="48" t="str">
        <f t="shared" si="197"/>
        <v>[effect:force_change_block, new_block:crack_bomb, target:block_all, ignore01:crash, ignore02:crack_bomb, ignore03:jammer, ignore04:color_break, ignore05:magnet, count:2, val:24, animation:change_block]</v>
      </c>
      <c r="O48" s="64">
        <f t="shared" ref="O48:O63" si="204">FIND("effect:",N48)+7</f>
        <v>9</v>
      </c>
      <c r="P48" s="64">
        <f t="shared" ref="P48:P63" si="205">IFERROR(FIND(",",N48),LEN(N48))</f>
        <v>27</v>
      </c>
      <c r="Q48" s="64">
        <f t="shared" ref="Q48:Q63" si="206">FIND("target:",N48)+7</f>
        <v>58</v>
      </c>
      <c r="R48" s="64">
        <f t="shared" ref="R48:R63" si="207">FIND(",",N48,P48+1)</f>
        <v>49</v>
      </c>
      <c r="S48" s="64" t="str">
        <f>IFERROR(VLOOKUP(MID(N48,Q48,R48-Q48),[5]skilldef!$C:$D,2,FALSE),"-") &amp; " / " &amp; IFERROR(VLOOKUP(MID(N48,O48,P48-O48),[5]skilldef!$A:$B,2,FALSE),"-")</f>
        <v>- / -</v>
      </c>
      <c r="T48" s="48" t="str">
        <f t="shared" ref="T48:T63" si="208">IFERROR(RIGHT(M48,LEN(M48)-FIND("],",M48)-1),"none")</f>
        <v>none</v>
      </c>
      <c r="U48" s="64" t="e">
        <f t="shared" ref="U48:U63" si="209">FIND("effect:",T48)+7</f>
        <v>#VALUE!</v>
      </c>
      <c r="V48" s="64">
        <f t="shared" ref="V48:V63" si="210">IFERROR(FIND(",",T48),LEN(T48))</f>
        <v>4</v>
      </c>
      <c r="W48" s="64" t="e">
        <f t="shared" ref="W48:W63" si="211">FIND("target:",T48)+7</f>
        <v>#VALUE!</v>
      </c>
      <c r="X48" s="64" t="e">
        <f t="shared" ref="X48:X63" si="212">FIND(",",T48,V48+1)</f>
        <v>#VALUE!</v>
      </c>
      <c r="Y48" s="64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47">
        <v>50007806</v>
      </c>
      <c r="B49" s="47" t="s">
        <v>423</v>
      </c>
      <c r="C49" s="50">
        <v>3</v>
      </c>
      <c r="D49" s="50" t="s">
        <v>126</v>
      </c>
      <c r="E49" s="51" t="s">
        <v>371</v>
      </c>
      <c r="F49" s="51" t="s">
        <v>353</v>
      </c>
      <c r="G49" s="64" t="str">
        <f t="shared" si="198"/>
        <v>[effect:damage_anti_tribe, target:unit_all, tribe:none, val1:1.2, val2:0.2]</v>
      </c>
      <c r="H49" s="64">
        <f t="shared" si="199"/>
        <v>9</v>
      </c>
      <c r="I49" s="64">
        <f t="shared" si="200"/>
        <v>26</v>
      </c>
      <c r="J49" s="64">
        <f t="shared" si="201"/>
        <v>35</v>
      </c>
      <c r="K49" s="64">
        <f t="shared" si="202"/>
        <v>43</v>
      </c>
      <c r="L49" s="64" t="str">
        <f>IFERROR(VLOOKUP(MID(G49,J49,K49-J49),[5]skilldef!$C:$D,2,FALSE),"-") &amp; " / " &amp; IFERROR(VLOOKUP(MID(G49,H49,I49-H49),[5]skilldef!$A:$B,2,FALSE),"-")</f>
        <v>味方全体に / 種族キラー</v>
      </c>
      <c r="M49" s="64" t="str">
        <f t="shared" si="203"/>
        <v>[effect:enemy_message, val1:1, val2:2.4, dead_type:suicide]</v>
      </c>
      <c r="N49" s="48" t="str">
        <f t="shared" si="197"/>
        <v>[effect:enemy_message, val1:1, val2:2.4, dead_type:suicide]</v>
      </c>
      <c r="O49" s="64">
        <f t="shared" si="204"/>
        <v>9</v>
      </c>
      <c r="P49" s="64">
        <f t="shared" si="205"/>
        <v>22</v>
      </c>
      <c r="Q49" s="64" t="e">
        <f t="shared" si="206"/>
        <v>#VALUE!</v>
      </c>
      <c r="R49" s="64">
        <f t="shared" si="207"/>
        <v>30</v>
      </c>
      <c r="S49" s="64" t="str">
        <f>IFERROR(VLOOKUP(MID(N49,Q49,R49-Q49),[5]skilldef!$C:$D,2,FALSE),"-") &amp; " / " &amp; IFERROR(VLOOKUP(MID(N49,O49,P49-O49),[5]skilldef!$A:$B,2,FALSE),"-")</f>
        <v>- / -</v>
      </c>
      <c r="T49" s="48" t="str">
        <f t="shared" si="208"/>
        <v>none</v>
      </c>
      <c r="U49" s="64" t="e">
        <f t="shared" si="209"/>
        <v>#VALUE!</v>
      </c>
      <c r="V49" s="64">
        <f t="shared" si="210"/>
        <v>4</v>
      </c>
      <c r="W49" s="64" t="e">
        <f t="shared" si="211"/>
        <v>#VALUE!</v>
      </c>
      <c r="X49" s="64" t="e">
        <f t="shared" si="212"/>
        <v>#VALUE!</v>
      </c>
      <c r="Y49" s="64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21" customHeight="1" x14ac:dyDescent="0.15">
      <c r="A50" s="47">
        <v>50007901</v>
      </c>
      <c r="B50" s="47" t="s">
        <v>391</v>
      </c>
      <c r="C50" s="50">
        <v>3</v>
      </c>
      <c r="D50" s="50" t="s">
        <v>126</v>
      </c>
      <c r="E50" s="51" t="s">
        <v>354</v>
      </c>
      <c r="F50" s="51" t="s">
        <v>295</v>
      </c>
      <c r="G50" s="64" t="str">
        <f t="shared" si="198"/>
        <v>[effect:enemy_message, val1:2.2, val2:2.8, dead_type:suicide]</v>
      </c>
      <c r="H50" s="64">
        <f t="shared" si="199"/>
        <v>9</v>
      </c>
      <c r="I50" s="64">
        <f t="shared" si="200"/>
        <v>22</v>
      </c>
      <c r="J50" s="64" t="e">
        <f t="shared" si="201"/>
        <v>#VALUE!</v>
      </c>
      <c r="K50" s="64">
        <f t="shared" si="202"/>
        <v>32</v>
      </c>
      <c r="L50" s="64" t="str">
        <f>IFERROR(VLOOKUP(MID(G50,J50,K50-J50),[5]skilldef!$C:$D,2,FALSE),"-") &amp; " / " &amp; IFERROR(VLOOKUP(MID(G50,H50,I50-H50),[5]skilldef!$A:$B,2,FALSE),"-")</f>
        <v>- / -</v>
      </c>
      <c r="M50" s="64" t="str">
        <f t="shared" si="203"/>
        <v>[effect:fix_speed, target:myself, turn:1],[effect:tolerance, target:myself, turn:-1, tolerance_effect:all, count:-1, animation:enemy_tolerance],[effect:reduction, target:myself, turn:2, color:all, val:0.7, animation:reduction_one01],[effect:change_bomb_range, val:0.3, rate:1, turn:2, animation:bomb_small]</v>
      </c>
      <c r="N50" s="48" t="str">
        <f t="shared" si="197"/>
        <v>[effect:fix_speed, target:myself, turn:1],[effect:tolerance, target:myself, turn:-1, tolerance_effect:all, count:-1, animation:enemy_tolerance],[effect:reduction, target:myself, turn:2, color:all, val:0.7, animation:reduction_one01],[effect:change_bomb_range, val:0.3, rate:1, turn:2, animation:bomb_small]</v>
      </c>
      <c r="O50" s="64">
        <f t="shared" si="204"/>
        <v>9</v>
      </c>
      <c r="P50" s="64">
        <f t="shared" si="205"/>
        <v>18</v>
      </c>
      <c r="Q50" s="64">
        <f t="shared" si="206"/>
        <v>27</v>
      </c>
      <c r="R50" s="64">
        <f t="shared" si="207"/>
        <v>33</v>
      </c>
      <c r="S50" s="64" t="str">
        <f>IFERROR(VLOOKUP(MID(N50,Q50,R50-Q50),[5]skilldef!$C:$D,2,FALSE),"-") &amp; " / " &amp; IFERROR(VLOOKUP(MID(N50,O50,P50-O50),[5]skilldef!$A:$B,2,FALSE),"-")</f>
        <v>自分自身に / 行動値設定</v>
      </c>
      <c r="T50" s="48" t="str">
        <f t="shared" si="208"/>
        <v>[effect:tolerance, target:myself, turn:-1, tolerance_effect:all, count:-1, animation:enemy_tolerance],[effect:reduction, target:myself, turn:2, color:all, val:0.7, animation:reduction_one01],[effect:change_bomb_range, val:0.3, rate:1, turn:2, animation:bomb_small]</v>
      </c>
      <c r="U50" s="64">
        <f t="shared" si="209"/>
        <v>9</v>
      </c>
      <c r="V50" s="64">
        <f t="shared" si="210"/>
        <v>18</v>
      </c>
      <c r="W50" s="64">
        <f t="shared" si="211"/>
        <v>27</v>
      </c>
      <c r="X50" s="64">
        <f t="shared" si="212"/>
        <v>33</v>
      </c>
      <c r="Y50" s="64" t="str">
        <f>IFERROR(VLOOKUP(MID(T50,W50,X50-W50),[5]skilldef!$C:$D,2,FALSE),"-") &amp; " / " &amp; IFERROR(VLOOKUP(MID(T50,U50,V50-U50),[5]skilldef!$A:$B,2,FALSE),"-")</f>
        <v>自分自身に / 状態異常耐性</v>
      </c>
      <c r="Z50" s="50"/>
      <c r="AA50" s="52"/>
      <c r="AB50" s="50"/>
    </row>
    <row r="51" spans="1:28" ht="21" customHeight="1" x14ac:dyDescent="0.15">
      <c r="A51" s="47">
        <v>50007902</v>
      </c>
      <c r="B51" s="47" t="s">
        <v>412</v>
      </c>
      <c r="C51" s="50">
        <v>3</v>
      </c>
      <c r="D51" s="50" t="s">
        <v>126</v>
      </c>
      <c r="E51" s="51" t="s">
        <v>355</v>
      </c>
      <c r="F51" s="51" t="s">
        <v>294</v>
      </c>
      <c r="G51" s="64" t="str">
        <f t="shared" si="198"/>
        <v>[effect:enemy_message, val1:1, val2:2.6, dead_type:suicide]</v>
      </c>
      <c r="H51" s="64">
        <f t="shared" si="199"/>
        <v>9</v>
      </c>
      <c r="I51" s="64">
        <f t="shared" si="200"/>
        <v>22</v>
      </c>
      <c r="J51" s="64" t="e">
        <f t="shared" si="201"/>
        <v>#VALUE!</v>
      </c>
      <c r="K51" s="64">
        <f t="shared" si="202"/>
        <v>30</v>
      </c>
      <c r="L51" s="64" t="str">
        <f>IFERROR(VLOOKUP(MID(G51,J51,K51-J51),[5]skilldef!$C:$D,2,FALSE),"-") &amp; " / " &amp; IFERROR(VLOOKUP(MID(G51,H51,I51-H51),[5]skilldef!$A:$B,2,FALSE),"-")</f>
        <v>- / -</v>
      </c>
      <c r="M51" s="64" t="str">
        <f t="shared" si="203"/>
        <v>[effect:remove_enhancement, target:unit_all, target_effect:all, target_type:buff, animation:frozen_wave],[effect:enhance_enemy, target:myself, turn:1, status:attack, val:0.5, animation:enemy_enhance_attack]</v>
      </c>
      <c r="N51" s="48" t="str">
        <f t="shared" si="197"/>
        <v>[effect:remove_enhancement, target:unit_all, target_effect:all, target_type:buff, animation:frozen_wave],[effect:enhance_enemy, target:myself, turn:1, status:attack, val:0.5, animation:enemy_enhance_attack]</v>
      </c>
      <c r="O51" s="64">
        <f t="shared" si="204"/>
        <v>9</v>
      </c>
      <c r="P51" s="64">
        <f t="shared" si="205"/>
        <v>27</v>
      </c>
      <c r="Q51" s="64">
        <f t="shared" si="206"/>
        <v>36</v>
      </c>
      <c r="R51" s="64">
        <f t="shared" si="207"/>
        <v>44</v>
      </c>
      <c r="S51" s="64" t="str">
        <f>IFERROR(VLOOKUP(MID(N51,Q51,R51-Q51),[5]skilldef!$C:$D,2,FALSE),"-") &amp; " / " &amp; IFERROR(VLOOKUP(MID(N51,O51,P51-O51),[5]skilldef!$A:$B,2,FALSE),"-")</f>
        <v>味方全体に / -</v>
      </c>
      <c r="T51" s="48" t="str">
        <f t="shared" si="208"/>
        <v>[effect:enhance_enemy, target:myself, turn:1, status:attack, val:0.5, animation:enemy_enhance_attack]</v>
      </c>
      <c r="U51" s="64">
        <f t="shared" si="209"/>
        <v>9</v>
      </c>
      <c r="V51" s="64">
        <f t="shared" si="210"/>
        <v>22</v>
      </c>
      <c r="W51" s="64">
        <f t="shared" si="211"/>
        <v>31</v>
      </c>
      <c r="X51" s="64">
        <f t="shared" si="212"/>
        <v>37</v>
      </c>
      <c r="Y51" s="64" t="str">
        <f>IFERROR(VLOOKUP(MID(T51,W51,X51-W51),[5]skilldef!$C:$D,2,FALSE),"-") &amp; " / " &amp; IFERROR(VLOOKUP(MID(T51,U51,V51-U51),[5]skilldef!$A:$B,2,FALSE),"-")</f>
        <v>自分自身に / ステータス強化</v>
      </c>
      <c r="Z51" s="50"/>
      <c r="AA51" s="52"/>
      <c r="AB51" s="50"/>
    </row>
    <row r="52" spans="1:28" ht="21" customHeight="1" x14ac:dyDescent="0.15">
      <c r="A52" s="47">
        <v>50007904</v>
      </c>
      <c r="B52" s="47" t="s">
        <v>451</v>
      </c>
      <c r="C52" s="50">
        <v>3</v>
      </c>
      <c r="D52" s="50" t="s">
        <v>126</v>
      </c>
      <c r="E52" s="51" t="s">
        <v>365</v>
      </c>
      <c r="F52" s="51" t="s">
        <v>310</v>
      </c>
      <c r="G52" s="64" t="str">
        <f t="shared" si="198"/>
        <v>[effect:enemy_message, val1:1, val2:2.8, dead_type:suicide]</v>
      </c>
      <c r="H52" s="64">
        <f t="shared" si="199"/>
        <v>9</v>
      </c>
      <c r="I52" s="64">
        <f t="shared" si="200"/>
        <v>22</v>
      </c>
      <c r="J52" s="64" t="e">
        <f t="shared" si="201"/>
        <v>#VALUE!</v>
      </c>
      <c r="K52" s="64">
        <f t="shared" si="202"/>
        <v>30</v>
      </c>
      <c r="L52" s="64" t="str">
        <f>IFERROR(VLOOKUP(MID(G52,J52,K52-J52),[5]skilldef!$C:$D,2,FALSE),"-") &amp; " / " &amp; IFERROR(VLOOKUP(MID(G52,H52,I52-H52),[5]skilldef!$A:$B,2,FALSE),"-")</f>
        <v>- / -</v>
      </c>
      <c r="M52" s="64" t="str">
        <f t="shared" si="203"/>
        <v>[effect:rush, count:1, val:1],[effect:reduction, target:myself, turn:1, color:all, val:0.3, animation:reduction_one01],[effect:force_change_block, new_block:crack_bomb, target:block_all, ignore01:crash, ignore02:crack_bomb, ignore03:jammer, ignore04:color_break, ignore05:magnet, count:2, val:24, animation:change_block]</v>
      </c>
      <c r="N52" s="48" t="str">
        <f>IFERROR(LEFT(M52,FIND("],",M52)+#REF!),M52)</f>
        <v>[effect:rush, count:1, val:1],[effect:reduction, target:myself, turn:1, color:all, val:0.3, animation:reduction_one01],[effect:force_change_block, new_block:crack_bomb, target:block_all, ignore01:crash, ignore02:crack_bomb, ignore03:jammer, ignore04:color_break, ignore05:magnet, count:2, val:24, animation:change_block]</v>
      </c>
      <c r="O52" s="64">
        <f t="shared" si="204"/>
        <v>9</v>
      </c>
      <c r="P52" s="64">
        <f t="shared" si="205"/>
        <v>13</v>
      </c>
      <c r="Q52" s="64">
        <f t="shared" si="206"/>
        <v>57</v>
      </c>
      <c r="R52" s="64">
        <f t="shared" si="207"/>
        <v>22</v>
      </c>
      <c r="S52" s="64" t="str">
        <f>IFERROR(VLOOKUP(MID(N52,Q52,R52-Q52),[5]skilldef!$C:$D,2,FALSE),"-") &amp; " / " &amp; IFERROR(VLOOKUP(MID(N52,O52,P52-O52),[5]skilldef!$A:$B,2,FALSE),"-")</f>
        <v>- / 連続攻撃</v>
      </c>
      <c r="T52" s="48" t="str">
        <f t="shared" si="208"/>
        <v>[effect:reduction, target:myself, turn:1, color:all, val:0.3, animation:reduction_one01],[effect:force_change_block, new_block:crack_bomb, target:block_all, ignore01:crash, ignore02:crack_bomb, ignore03:jammer, ignore04:color_break, ignore05:magnet, count:2, val:24, animation:change_block]</v>
      </c>
      <c r="U52" s="64">
        <f t="shared" si="209"/>
        <v>9</v>
      </c>
      <c r="V52" s="64">
        <f t="shared" si="210"/>
        <v>18</v>
      </c>
      <c r="W52" s="64">
        <f t="shared" si="211"/>
        <v>27</v>
      </c>
      <c r="X52" s="64">
        <f t="shared" si="212"/>
        <v>33</v>
      </c>
      <c r="Y52" s="64" t="str">
        <f>IFERROR(VLOOKUP(MID(T52,W52,X52-W52),[5]skilldef!$C:$D,2,FALSE),"-") &amp; " / " &amp; IFERROR(VLOOKUP(MID(T52,U52,V52-U52),[5]skilldef!$A:$B,2,FALSE),"-")</f>
        <v>自分自身に / -</v>
      </c>
      <c r="Z52" s="50"/>
      <c r="AA52" s="52"/>
      <c r="AB52" s="50"/>
    </row>
    <row r="53" spans="1:28" ht="21" customHeight="1" x14ac:dyDescent="0.15">
      <c r="A53" s="47">
        <v>50007905</v>
      </c>
      <c r="B53" s="47" t="s">
        <v>453</v>
      </c>
      <c r="C53" s="50">
        <v>3</v>
      </c>
      <c r="D53" s="50" t="s">
        <v>126</v>
      </c>
      <c r="E53" s="51" t="s">
        <v>363</v>
      </c>
      <c r="F53" s="51" t="s">
        <v>310</v>
      </c>
      <c r="G53" s="64" t="str">
        <f t="shared" si="198"/>
        <v>[effect:enemy_message, val1:1, val2:2.8, dead_type:suicide]</v>
      </c>
      <c r="H53" s="64">
        <f t="shared" si="199"/>
        <v>9</v>
      </c>
      <c r="I53" s="64">
        <f t="shared" si="200"/>
        <v>22</v>
      </c>
      <c r="J53" s="64" t="e">
        <f t="shared" si="201"/>
        <v>#VALUE!</v>
      </c>
      <c r="K53" s="64">
        <f t="shared" si="202"/>
        <v>30</v>
      </c>
      <c r="L53" s="64" t="str">
        <f>IFERROR(VLOOKUP(MID(G53,J53,K53-J53),[5]skilldef!$C:$D,2,FALSE),"-") &amp; " / " &amp; IFERROR(VLOOKUP(MID(G53,H53,I53-H53),[5]skilldef!$A:$B,2,FALSE),"-")</f>
        <v>- / -</v>
      </c>
      <c r="M53" s="64" t="str">
        <f t="shared" si="203"/>
        <v>[effect:rush, count:1, val:1],[effect:reduction, target:myself, turn:1, color:all, val:0.3, animation:reduction_one01],[effect:force_change_block, new_block:crack_bomb, target:block_all, ignore01:crash, ignore02:crack_bomb, ignore03:jammer, ignore04:color_break, ignore05:magnet, count:2, val:24, animation:change_block]</v>
      </c>
      <c r="N53" s="48" t="str">
        <f t="shared" ref="N53:N61" si="213">IFERROR(LEFT(M53,FIND("],",M53)+S62),M53)</f>
        <v>[effect:rush, count:1, val:1],[effect:reduction, target:myself, turn:1, color:all, val:0.3, animation:reduction_one01],[effect:force_change_block, new_block:crack_bomb, target:block_all, ignore01:crash, ignore02:crack_bomb, ignore03:jammer, ignore04:color_break, ignore05:magnet, count:2, val:24, animation:change_block]</v>
      </c>
      <c r="O53" s="64">
        <f t="shared" si="204"/>
        <v>9</v>
      </c>
      <c r="P53" s="64">
        <f t="shared" si="205"/>
        <v>13</v>
      </c>
      <c r="Q53" s="64">
        <f t="shared" si="206"/>
        <v>57</v>
      </c>
      <c r="R53" s="64">
        <f t="shared" si="207"/>
        <v>22</v>
      </c>
      <c r="S53" s="64" t="str">
        <f>IFERROR(VLOOKUP(MID(N53,Q53,R53-Q53),[5]skilldef!$C:$D,2,FALSE),"-") &amp; " / " &amp; IFERROR(VLOOKUP(MID(N53,O53,P53-O53),[5]skilldef!$A:$B,2,FALSE),"-")</f>
        <v>- / 連続攻撃</v>
      </c>
      <c r="T53" s="48" t="str">
        <f t="shared" si="208"/>
        <v>[effect:reduction, target:myself, turn:1, color:all, val:0.3, animation:reduction_one01],[effect:force_change_block, new_block:crack_bomb, target:block_all, ignore01:crash, ignore02:crack_bomb, ignore03:jammer, ignore04:color_break, ignore05:magnet, count:2, val:24, animation:change_block]</v>
      </c>
      <c r="U53" s="64">
        <f t="shared" si="209"/>
        <v>9</v>
      </c>
      <c r="V53" s="64">
        <f t="shared" si="210"/>
        <v>18</v>
      </c>
      <c r="W53" s="64">
        <f t="shared" si="211"/>
        <v>27</v>
      </c>
      <c r="X53" s="64">
        <f t="shared" si="212"/>
        <v>33</v>
      </c>
      <c r="Y53" s="64" t="str">
        <f>IFERROR(VLOOKUP(MID(T53,W53,X53-W53),[5]skilldef!$C:$D,2,FALSE),"-") &amp; " / " &amp; IFERROR(VLOOKUP(MID(T53,U53,V53-U53),[5]skilldef!$A:$B,2,FALSE),"-")</f>
        <v>自分自身に / -</v>
      </c>
      <c r="Z53" s="50"/>
      <c r="AA53" s="52"/>
      <c r="AB53" s="50"/>
    </row>
    <row r="54" spans="1:28" ht="21" customHeight="1" x14ac:dyDescent="0.15">
      <c r="A54" s="47">
        <v>50007906</v>
      </c>
      <c r="B54" s="47" t="s">
        <v>452</v>
      </c>
      <c r="C54" s="50">
        <v>3</v>
      </c>
      <c r="D54" s="50" t="s">
        <v>126</v>
      </c>
      <c r="E54" s="51" t="s">
        <v>362</v>
      </c>
      <c r="F54" s="51" t="s">
        <v>311</v>
      </c>
      <c r="G54" s="64" t="str">
        <f t="shared" si="198"/>
        <v>[effect:enemy_message, val1:1, val2:2.8, dead_type:suicide]</v>
      </c>
      <c r="H54" s="64">
        <f t="shared" si="199"/>
        <v>9</v>
      </c>
      <c r="I54" s="64">
        <f t="shared" si="200"/>
        <v>22</v>
      </c>
      <c r="J54" s="64" t="e">
        <f t="shared" si="201"/>
        <v>#VALUE!</v>
      </c>
      <c r="K54" s="64">
        <f t="shared" si="202"/>
        <v>30</v>
      </c>
      <c r="L54" s="64" t="str">
        <f>IFERROR(VLOOKUP(MID(G54,J54,K54-J54),[5]skilldef!$C:$D,2,FALSE),"-") &amp; " / " &amp; IFERROR(VLOOKUP(MID(G54,H54,I54-H54),[5]skilldef!$A:$B,2,FALSE),"-")</f>
        <v>- / -</v>
      </c>
      <c r="M54" s="64" t="str">
        <f t="shared" si="203"/>
        <v>[effect:rush, count:1, val:1],[effect:enemy_counter, target:myself, invoke_condition:unit_all, counter_target:attacker, turn:1, val:0.3, animation:enemy_counter],[effect:force_change_block, new_block:crack_bomb, target:block_all, ignore01:crash, ignore02:crack_bomb, ignore03:jammer, ignore04:color_break, ignore05:magnet, count:2, val:24, animation:change_block]</v>
      </c>
      <c r="N54" s="48" t="str">
        <f t="shared" si="213"/>
        <v>[effect:rush, count:1, val:1],[effect:enemy_counter, target:myself, invoke_condition:unit_all, counter_target:attacker, turn:1, val:0.3, animation:enemy_counter],[effect:force_change_block, new_block:crack_bomb, target:block_all, ignore01:crash, ignore02:crack_bomb, ignore03:jammer, ignore04:color_break, ignore05:magnet, count:2, val:24, animation:change_block]</v>
      </c>
      <c r="O54" s="64">
        <f t="shared" si="204"/>
        <v>9</v>
      </c>
      <c r="P54" s="64">
        <f t="shared" si="205"/>
        <v>13</v>
      </c>
      <c r="Q54" s="64">
        <f t="shared" si="206"/>
        <v>61</v>
      </c>
      <c r="R54" s="64">
        <f t="shared" si="207"/>
        <v>22</v>
      </c>
      <c r="S54" s="64" t="str">
        <f>IFERROR(VLOOKUP(MID(N54,Q54,R54-Q54),[5]skilldef!$C:$D,2,FALSE),"-") &amp; " / " &amp; IFERROR(VLOOKUP(MID(N54,O54,P54-O54),[5]skilldef!$A:$B,2,FALSE),"-")</f>
        <v>- / 連続攻撃</v>
      </c>
      <c r="T54" s="48" t="str">
        <f t="shared" si="208"/>
        <v>[effect:enemy_counter, target:myself, invoke_condition:unit_all, counter_target:attacker, turn:1, val:0.3, animation:enemy_counter],[effect:force_change_block, new_block:crack_bomb, target:block_all, ignore01:crash, ignore02:crack_bomb, ignore03:jammer, ignore04:color_break, ignore05:magnet, count:2, val:24, animation:change_block]</v>
      </c>
      <c r="U54" s="64">
        <f t="shared" si="209"/>
        <v>9</v>
      </c>
      <c r="V54" s="64">
        <f t="shared" si="210"/>
        <v>22</v>
      </c>
      <c r="W54" s="64">
        <f t="shared" si="211"/>
        <v>31</v>
      </c>
      <c r="X54" s="64">
        <f t="shared" si="212"/>
        <v>37</v>
      </c>
      <c r="Y54" s="64" t="str">
        <f>IFERROR(VLOOKUP(MID(T54,W54,X54-W54),[5]skilldef!$C:$D,2,FALSE),"-") &amp; " / " &amp; IFERROR(VLOOKUP(MID(T54,U54,V54-U54),[5]skilldef!$A:$B,2,FALSE),"-")</f>
        <v>自分自身に / カウンター</v>
      </c>
      <c r="Z54" s="50"/>
      <c r="AA54" s="52"/>
      <c r="AB54" s="50"/>
    </row>
    <row r="55" spans="1:28" ht="21" customHeight="1" x14ac:dyDescent="0.15">
      <c r="A55" s="47">
        <v>50007907</v>
      </c>
      <c r="B55" s="47" t="s">
        <v>452</v>
      </c>
      <c r="C55" s="50">
        <v>3</v>
      </c>
      <c r="D55" s="50" t="s">
        <v>126</v>
      </c>
      <c r="E55" s="51" t="s">
        <v>366</v>
      </c>
      <c r="F55" s="51" t="s">
        <v>311</v>
      </c>
      <c r="G55" s="64" t="str">
        <f t="shared" si="198"/>
        <v>[effect:enemy_message, val1:1, val2:2.8, dead_type:suicide]</v>
      </c>
      <c r="H55" s="64">
        <f t="shared" si="199"/>
        <v>9</v>
      </c>
      <c r="I55" s="64">
        <f t="shared" si="200"/>
        <v>22</v>
      </c>
      <c r="J55" s="64" t="e">
        <f t="shared" si="201"/>
        <v>#VALUE!</v>
      </c>
      <c r="K55" s="64">
        <f t="shared" si="202"/>
        <v>30</v>
      </c>
      <c r="L55" s="64" t="str">
        <f>IFERROR(VLOOKUP(MID(G55,J55,K55-J55),[5]skilldef!$C:$D,2,FALSE),"-") &amp; " / " &amp; IFERROR(VLOOKUP(MID(G55,H55,I55-H55),[5]skilldef!$A:$B,2,FALSE),"-")</f>
        <v>- / -</v>
      </c>
      <c r="M55" s="64" t="str">
        <f t="shared" si="203"/>
        <v>[effect:rush, count:1, val:1],[effect:enemy_counter, target:myself, invoke_condition:unit_all, counter_target:attacker, turn:1, val:0.3, animation:enemy_counter],[effect:force_change_block, new_block:crack_bomb, target:block_all, ignore01:crash, ignore02:crack_bomb, ignore03:jammer, ignore04:color_break, ignore05:magnet, count:2, val:24, animation:change_block]</v>
      </c>
      <c r="N55" s="48" t="str">
        <f t="shared" si="213"/>
        <v>[effect:rush, count:1, val:1],[effect:enemy_counter, target:myself, invoke_condition:unit_all, counter_target:attacker, turn:1, val:0.3, animation:enemy_counter],[effect:force_change_block, new_block:crack_bomb, target:block_all, ignore01:crash, ignore02:crack_bomb, ignore03:jammer, ignore04:color_break, ignore05:magnet, count:2, val:24, animation:change_block]</v>
      </c>
      <c r="O55" s="64">
        <f t="shared" si="204"/>
        <v>9</v>
      </c>
      <c r="P55" s="64">
        <f t="shared" si="205"/>
        <v>13</v>
      </c>
      <c r="Q55" s="64">
        <f t="shared" si="206"/>
        <v>61</v>
      </c>
      <c r="R55" s="64">
        <f t="shared" si="207"/>
        <v>22</v>
      </c>
      <c r="S55" s="64" t="str">
        <f>IFERROR(VLOOKUP(MID(N55,Q55,R55-Q55),[5]skilldef!$C:$D,2,FALSE),"-") &amp; " / " &amp; IFERROR(VLOOKUP(MID(N55,O55,P55-O55),[5]skilldef!$A:$B,2,FALSE),"-")</f>
        <v>- / 連続攻撃</v>
      </c>
      <c r="T55" s="48" t="str">
        <f t="shared" si="208"/>
        <v>[effect:enemy_counter, target:myself, invoke_condition:unit_all, counter_target:attacker, turn:1, val:0.3, animation:enemy_counter],[effect:force_change_block, new_block:crack_bomb, target:block_all, ignore01:crash, ignore02:crack_bomb, ignore03:jammer, ignore04:color_break, ignore05:magnet, count:2, val:24, animation:change_block]</v>
      </c>
      <c r="U55" s="64">
        <f t="shared" si="209"/>
        <v>9</v>
      </c>
      <c r="V55" s="64">
        <f t="shared" si="210"/>
        <v>22</v>
      </c>
      <c r="W55" s="64">
        <f t="shared" si="211"/>
        <v>31</v>
      </c>
      <c r="X55" s="64">
        <f t="shared" si="212"/>
        <v>37</v>
      </c>
      <c r="Y55" s="64" t="str">
        <f>IFERROR(VLOOKUP(MID(T55,W55,X55-W55),[5]skilldef!$C:$D,2,FALSE),"-") &amp; " / " &amp; IFERROR(VLOOKUP(MID(T55,U55,V55-U55),[5]skilldef!$A:$B,2,FALSE),"-")</f>
        <v>自分自身に / カウンター</v>
      </c>
      <c r="Z55" s="50"/>
      <c r="AA55" s="52"/>
      <c r="AB55" s="50"/>
    </row>
    <row r="56" spans="1:28" ht="21" customHeight="1" x14ac:dyDescent="0.15">
      <c r="A56" s="47">
        <v>50007908</v>
      </c>
      <c r="B56" s="47" t="s">
        <v>413</v>
      </c>
      <c r="C56" s="50">
        <v>3</v>
      </c>
      <c r="D56" s="50" t="s">
        <v>126</v>
      </c>
      <c r="E56" s="51" t="s">
        <v>364</v>
      </c>
      <c r="F56" s="51" t="s">
        <v>297</v>
      </c>
      <c r="G56" s="64" t="str">
        <f t="shared" si="198"/>
        <v>[effect:enemy_message, val1:1, val2:2.8, dead_type:suicide]</v>
      </c>
      <c r="H56" s="64">
        <f t="shared" si="199"/>
        <v>9</v>
      </c>
      <c r="I56" s="64">
        <f t="shared" si="200"/>
        <v>22</v>
      </c>
      <c r="J56" s="64" t="e">
        <f t="shared" si="201"/>
        <v>#VALUE!</v>
      </c>
      <c r="K56" s="64">
        <f t="shared" si="202"/>
        <v>30</v>
      </c>
      <c r="L56" s="64" t="str">
        <f>IFERROR(VLOOKUP(MID(G56,J56,K56-J56),[5]skilldef!$C:$D,2,FALSE),"-") &amp; " / " &amp; IFERROR(VLOOKUP(MID(G56,H56,I56-H56),[5]skilldef!$A:$B,2,FALSE),"-")</f>
        <v>- / -</v>
      </c>
      <c r="M56" s="64" t="str">
        <f t="shared" si="203"/>
        <v>[effect:rush, count:1, val:1],[effect:heal, target:myself, val:0.1, animation:enemy_heal],[effect:force_change_block, new_block:crack_bomb, target:block_heart, color:block_heart, count:3, val:18, animation:change_block]</v>
      </c>
      <c r="N56" s="48" t="str">
        <f t="shared" si="213"/>
        <v>[effect:rush, count:1, val:1],[effect:heal, target:myself, val:0.1, animation:enemy_heal],[effect:force_change_block, new_block:crack_bomb, target:block_heart, color:block_heart, count:3, val:18, animation:change_block]</v>
      </c>
      <c r="O56" s="64">
        <f t="shared" si="204"/>
        <v>9</v>
      </c>
      <c r="P56" s="64">
        <f t="shared" si="205"/>
        <v>13</v>
      </c>
      <c r="Q56" s="64">
        <f t="shared" si="206"/>
        <v>52</v>
      </c>
      <c r="R56" s="64">
        <f t="shared" si="207"/>
        <v>22</v>
      </c>
      <c r="S56" s="64" t="str">
        <f>IFERROR(VLOOKUP(MID(N56,Q56,R56-Q56),[5]skilldef!$C:$D,2,FALSE),"-") &amp; " / " &amp; IFERROR(VLOOKUP(MID(N56,O56,P56-O56),[5]skilldef!$A:$B,2,FALSE),"-")</f>
        <v>- / 連続攻撃</v>
      </c>
      <c r="T56" s="48" t="str">
        <f t="shared" si="208"/>
        <v>[effect:heal, target:myself, val:0.1, animation:enemy_heal],[effect:force_change_block, new_block:crack_bomb, target:block_heart, color:block_heart, count:3, val:18, animation:change_block]</v>
      </c>
      <c r="U56" s="64">
        <f t="shared" si="209"/>
        <v>9</v>
      </c>
      <c r="V56" s="64">
        <f t="shared" si="210"/>
        <v>13</v>
      </c>
      <c r="W56" s="64">
        <f t="shared" si="211"/>
        <v>22</v>
      </c>
      <c r="X56" s="64">
        <f t="shared" si="212"/>
        <v>28</v>
      </c>
      <c r="Y56" s="64" t="str">
        <f>IFERROR(VLOOKUP(MID(T56,W56,X56-W56),[5]skilldef!$C:$D,2,FALSE),"-") &amp; " / " &amp; IFERROR(VLOOKUP(MID(T56,U56,V56-U56),[5]skilldef!$A:$B,2,FALSE),"-")</f>
        <v>自分自身に / 回復</v>
      </c>
      <c r="Z56" s="50"/>
      <c r="AA56" s="52"/>
      <c r="AB56" s="50"/>
    </row>
    <row r="57" spans="1:28" ht="21" customHeight="1" x14ac:dyDescent="0.15">
      <c r="A57" s="47">
        <v>50007909</v>
      </c>
      <c r="B57" s="47" t="s">
        <v>414</v>
      </c>
      <c r="C57" s="50">
        <v>3</v>
      </c>
      <c r="D57" s="50" t="s">
        <v>126</v>
      </c>
      <c r="E57" s="51" t="s">
        <v>367</v>
      </c>
      <c r="F57" s="51" t="s">
        <v>297</v>
      </c>
      <c r="G57" s="64" t="str">
        <f t="shared" si="198"/>
        <v>[effect:enemy_message, val1:1, val2:2.8, dead_type:suicide]</v>
      </c>
      <c r="H57" s="64">
        <f t="shared" si="199"/>
        <v>9</v>
      </c>
      <c r="I57" s="64">
        <f t="shared" si="200"/>
        <v>22</v>
      </c>
      <c r="J57" s="64" t="e">
        <f t="shared" si="201"/>
        <v>#VALUE!</v>
      </c>
      <c r="K57" s="64">
        <f t="shared" si="202"/>
        <v>30</v>
      </c>
      <c r="L57" s="64" t="str">
        <f>IFERROR(VLOOKUP(MID(G57,J57,K57-J57),[5]skilldef!$C:$D,2,FALSE),"-") &amp; " / " &amp; IFERROR(VLOOKUP(MID(G57,H57,I57-H57),[5]skilldef!$A:$B,2,FALSE),"-")</f>
        <v>- / -</v>
      </c>
      <c r="M57" s="64" t="str">
        <f t="shared" si="203"/>
        <v>[effect:rush, count:1, val:1],[effect:heal, target:myself, val:0.1, animation:enemy_heal],[effect:force_change_block, new_block:crack_bomb, target:block_heart, color:block_heart, count:3, val:18, animation:change_block]</v>
      </c>
      <c r="N57" s="48" t="str">
        <f t="shared" si="213"/>
        <v>[effect:rush, count:1, val:1],[effect:heal, target:myself, val:0.1, animation:enemy_heal],[effect:force_change_block, new_block:crack_bomb, target:block_heart, color:block_heart, count:3, val:18, animation:change_block]</v>
      </c>
      <c r="O57" s="64">
        <f t="shared" si="204"/>
        <v>9</v>
      </c>
      <c r="P57" s="64">
        <f t="shared" si="205"/>
        <v>13</v>
      </c>
      <c r="Q57" s="64">
        <f t="shared" si="206"/>
        <v>52</v>
      </c>
      <c r="R57" s="64">
        <f t="shared" si="207"/>
        <v>22</v>
      </c>
      <c r="S57" s="64" t="str">
        <f>IFERROR(VLOOKUP(MID(N57,Q57,R57-Q57),[5]skilldef!$C:$D,2,FALSE),"-") &amp; " / " &amp; IFERROR(VLOOKUP(MID(N57,O57,P57-O57),[5]skilldef!$A:$B,2,FALSE),"-")</f>
        <v>- / 連続攻撃</v>
      </c>
      <c r="T57" s="48" t="str">
        <f t="shared" si="208"/>
        <v>[effect:heal, target:myself, val:0.1, animation:enemy_heal],[effect:force_change_block, new_block:crack_bomb, target:block_heart, color:block_heart, count:3, val:18, animation:change_block]</v>
      </c>
      <c r="U57" s="64">
        <f t="shared" si="209"/>
        <v>9</v>
      </c>
      <c r="V57" s="64">
        <f t="shared" si="210"/>
        <v>13</v>
      </c>
      <c r="W57" s="64">
        <f t="shared" si="211"/>
        <v>22</v>
      </c>
      <c r="X57" s="64">
        <f t="shared" si="212"/>
        <v>28</v>
      </c>
      <c r="Y57" s="64" t="str">
        <f>IFERROR(VLOOKUP(MID(T57,W57,X57-W57),[5]skilldef!$C:$D,2,FALSE),"-") &amp; " / " &amp; IFERROR(VLOOKUP(MID(T57,U57,V57-U57),[5]skilldef!$A:$B,2,FALSE),"-")</f>
        <v>自分自身に / 回復</v>
      </c>
      <c r="Z57" s="50"/>
      <c r="AA57" s="52"/>
      <c r="AB57" s="50"/>
    </row>
    <row r="58" spans="1:28" ht="21" customHeight="1" x14ac:dyDescent="0.15">
      <c r="A58" s="47">
        <v>50007910</v>
      </c>
      <c r="B58" s="47" t="s">
        <v>415</v>
      </c>
      <c r="C58" s="50">
        <v>3</v>
      </c>
      <c r="D58" s="50" t="s">
        <v>126</v>
      </c>
      <c r="E58" s="51" t="s">
        <v>368</v>
      </c>
      <c r="F58" s="51" t="s">
        <v>312</v>
      </c>
      <c r="G58" s="64" t="str">
        <f t="shared" si="198"/>
        <v>[effect:enemy_message, val1:1, val2:3.0, dead_type:suicide]</v>
      </c>
      <c r="H58" s="64">
        <f t="shared" si="199"/>
        <v>9</v>
      </c>
      <c r="I58" s="64">
        <f t="shared" si="200"/>
        <v>22</v>
      </c>
      <c r="J58" s="64" t="e">
        <f t="shared" si="201"/>
        <v>#VALUE!</v>
      </c>
      <c r="K58" s="64">
        <f t="shared" si="202"/>
        <v>30</v>
      </c>
      <c r="L58" s="64" t="str">
        <f>IFERROR(VLOOKUP(MID(G58,J58,K58-J58),[5]skilldef!$C:$D,2,FALSE),"-") &amp; " / " &amp; IFERROR(VLOOKUP(MID(G58,H58,I58-H58),[5]skilldef!$A:$B,2,FALSE),"-")</f>
        <v>- / -</v>
      </c>
      <c r="M58" s="64" t="str">
        <f t="shared" si="203"/>
        <v>[effect:hungup, target:unit_all, turn:1, rate:1, animation:hungup01]</v>
      </c>
      <c r="N58" s="48" t="str">
        <f t="shared" si="213"/>
        <v>[effect:hungup, target:unit_all, turn:1, rate:1, animation:hungup01]</v>
      </c>
      <c r="O58" s="64">
        <f t="shared" si="204"/>
        <v>9</v>
      </c>
      <c r="P58" s="64">
        <f t="shared" si="205"/>
        <v>15</v>
      </c>
      <c r="Q58" s="64">
        <f t="shared" si="206"/>
        <v>24</v>
      </c>
      <c r="R58" s="64">
        <f t="shared" si="207"/>
        <v>32</v>
      </c>
      <c r="S58" s="64" t="str">
        <f>IFERROR(VLOOKUP(MID(N58,Q58,R58-Q58),[5]skilldef!$C:$D,2,FALSE),"-") &amp; " / " &amp; IFERROR(VLOOKUP(MID(N58,O58,P58-O58),[5]skilldef!$A:$B,2,FALSE),"-")</f>
        <v>味方全体に / ハングアップ</v>
      </c>
      <c r="T58" s="48" t="str">
        <f t="shared" si="208"/>
        <v>none</v>
      </c>
      <c r="U58" s="64" t="e">
        <f t="shared" si="209"/>
        <v>#VALUE!</v>
      </c>
      <c r="V58" s="64">
        <f t="shared" si="210"/>
        <v>4</v>
      </c>
      <c r="W58" s="64" t="e">
        <f t="shared" si="211"/>
        <v>#VALUE!</v>
      </c>
      <c r="X58" s="64" t="e">
        <f t="shared" si="212"/>
        <v>#VALUE!</v>
      </c>
      <c r="Y58" s="64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21" customHeight="1" x14ac:dyDescent="0.15">
      <c r="A59" s="47">
        <v>50007911</v>
      </c>
      <c r="B59" s="47" t="s">
        <v>416</v>
      </c>
      <c r="C59" s="50">
        <v>3</v>
      </c>
      <c r="D59" s="50" t="s">
        <v>126</v>
      </c>
      <c r="E59" s="51" t="s">
        <v>358</v>
      </c>
      <c r="F59" s="51" t="s">
        <v>359</v>
      </c>
      <c r="G59" s="64" t="str">
        <f t="shared" si="198"/>
        <v>[effect:enemy_message, val1:1.4, val2:2.0, dead_type:suicide]</v>
      </c>
      <c r="H59" s="64">
        <f t="shared" si="199"/>
        <v>9</v>
      </c>
      <c r="I59" s="64">
        <f t="shared" si="200"/>
        <v>22</v>
      </c>
      <c r="J59" s="64" t="e">
        <f t="shared" si="201"/>
        <v>#VALUE!</v>
      </c>
      <c r="K59" s="64">
        <f t="shared" si="202"/>
        <v>32</v>
      </c>
      <c r="L59" s="64" t="str">
        <f>IFERROR(VLOOKUP(MID(G59,J59,K59-J59),[5]skilldef!$C:$D,2,FALSE),"-") &amp; " / " &amp; IFERROR(VLOOKUP(MID(G59,H59,I59-H59),[5]skilldef!$A:$B,2,FALSE),"-")</f>
        <v>- / -</v>
      </c>
      <c r="M59" s="64" t="str">
        <f t="shared" si="203"/>
        <v>[effect:damage_gravity, val:3, animation:fevergauge_down]</v>
      </c>
      <c r="N59" s="48" t="str">
        <f t="shared" si="213"/>
        <v>[effect:damage_gravity, val:3, animation:fevergauge_down]</v>
      </c>
      <c r="O59" s="64">
        <f t="shared" si="204"/>
        <v>9</v>
      </c>
      <c r="P59" s="64">
        <f t="shared" si="205"/>
        <v>23</v>
      </c>
      <c r="Q59" s="64" t="e">
        <f t="shared" si="206"/>
        <v>#VALUE!</v>
      </c>
      <c r="R59" s="64">
        <f t="shared" si="207"/>
        <v>30</v>
      </c>
      <c r="S59" s="64" t="str">
        <f>IFERROR(VLOOKUP(MID(N59,Q59,R59-Q59),[5]skilldef!$C:$D,2,FALSE),"-") &amp; " / " &amp; IFERROR(VLOOKUP(MID(N59,O59,P59-O59),[5]skilldef!$A:$B,2,FALSE),"-")</f>
        <v>- / 割合ダメージ</v>
      </c>
      <c r="T59" s="48" t="str">
        <f t="shared" si="208"/>
        <v>none</v>
      </c>
      <c r="U59" s="64" t="e">
        <f t="shared" si="209"/>
        <v>#VALUE!</v>
      </c>
      <c r="V59" s="64">
        <f t="shared" si="210"/>
        <v>4</v>
      </c>
      <c r="W59" s="64" t="e">
        <f t="shared" si="211"/>
        <v>#VALUE!</v>
      </c>
      <c r="X59" s="64" t="e">
        <f t="shared" si="212"/>
        <v>#VALUE!</v>
      </c>
      <c r="Y59" s="64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21" customHeight="1" x14ac:dyDescent="0.15">
      <c r="A60" s="47">
        <v>50007912</v>
      </c>
      <c r="B60" s="47" t="s">
        <v>417</v>
      </c>
      <c r="C60" s="50">
        <v>3</v>
      </c>
      <c r="D60" s="50" t="s">
        <v>126</v>
      </c>
      <c r="E60" s="51" t="s">
        <v>356</v>
      </c>
      <c r="F60" s="51" t="s">
        <v>296</v>
      </c>
      <c r="G60" s="64" t="str">
        <f t="shared" si="198"/>
        <v>[effect:enemy_message, val1:1, val2:2.8, dead_type:suicide]</v>
      </c>
      <c r="H60" s="64">
        <f t="shared" si="199"/>
        <v>9</v>
      </c>
      <c r="I60" s="64">
        <f t="shared" si="200"/>
        <v>22</v>
      </c>
      <c r="J60" s="64" t="e">
        <f t="shared" si="201"/>
        <v>#VALUE!</v>
      </c>
      <c r="K60" s="64">
        <f t="shared" si="202"/>
        <v>30</v>
      </c>
      <c r="L60" s="64" t="str">
        <f>IFERROR(VLOOKUP(MID(G60,J60,K60-J60),[5]skilldef!$C:$D,2,FALSE),"-") &amp; " / " &amp; IFERROR(VLOOKUP(MID(G60,H60,I60-H60),[5]skilldef!$A:$B,2,FALSE),"-")</f>
        <v>- / -</v>
      </c>
      <c r="M60" s="64" t="str">
        <f t="shared" si="203"/>
        <v>[effect:reduction, target:myself, turn:2, color:all, val:0.7, animation:reduction_one01],[effect:change_bomb_range, val:0.3, rate:1, turn:2, animation:bomb_small]</v>
      </c>
      <c r="N60" s="48" t="str">
        <f t="shared" si="213"/>
        <v>[effect:reduction, target:myself, turn:2, color:all, val:0.7, animation:reduction_one01]</v>
      </c>
      <c r="O60" s="64">
        <f t="shared" si="204"/>
        <v>9</v>
      </c>
      <c r="P60" s="64">
        <f t="shared" si="205"/>
        <v>18</v>
      </c>
      <c r="Q60" s="64">
        <f t="shared" si="206"/>
        <v>27</v>
      </c>
      <c r="R60" s="64">
        <f t="shared" si="207"/>
        <v>33</v>
      </c>
      <c r="S60" s="64" t="str">
        <f>IFERROR(VLOOKUP(MID(N60,Q60,R60-Q60),[5]skilldef!$C:$D,2,FALSE),"-") &amp; " / " &amp; IFERROR(VLOOKUP(MID(N60,O60,P60-O60),[5]skilldef!$A:$B,2,FALSE),"-")</f>
        <v>自分自身に / -</v>
      </c>
      <c r="T60" s="48" t="str">
        <f t="shared" si="208"/>
        <v>[effect:change_bomb_range, val:0.3, rate:1, turn:2, animation:bomb_small]</v>
      </c>
      <c r="U60" s="64">
        <f t="shared" si="209"/>
        <v>9</v>
      </c>
      <c r="V60" s="64">
        <f t="shared" si="210"/>
        <v>26</v>
      </c>
      <c r="W60" s="64" t="e">
        <f t="shared" si="211"/>
        <v>#VALUE!</v>
      </c>
      <c r="X60" s="64">
        <f t="shared" si="212"/>
        <v>35</v>
      </c>
      <c r="Y60" s="64" t="str">
        <f>IFERROR(VLOOKUP(MID(T60,W60,X60-W60),[5]skilldef!$C:$D,2,FALSE),"-") &amp; " / " &amp; IFERROR(VLOOKUP(MID(T60,U60,V60-U60),[5]skilldef!$A:$B,2,FALSE),"-")</f>
        <v>- / -</v>
      </c>
      <c r="Z60" s="50"/>
      <c r="AA60" s="52"/>
      <c r="AB60" s="50"/>
    </row>
    <row r="61" spans="1:28" ht="21" customHeight="1" x14ac:dyDescent="0.15">
      <c r="A61" s="47">
        <v>50007913</v>
      </c>
      <c r="B61" s="47" t="s">
        <v>418</v>
      </c>
      <c r="C61" s="50">
        <v>3</v>
      </c>
      <c r="D61" s="50" t="s">
        <v>126</v>
      </c>
      <c r="E61" s="51" t="s">
        <v>357</v>
      </c>
      <c r="F61" s="51" t="s">
        <v>294</v>
      </c>
      <c r="G61" s="64" t="str">
        <f t="shared" si="198"/>
        <v>[effect:enemy_message, val1:1.6, val2:2.6, dead_type:suicide]</v>
      </c>
      <c r="H61" s="64">
        <f t="shared" si="199"/>
        <v>9</v>
      </c>
      <c r="I61" s="64">
        <f t="shared" si="200"/>
        <v>22</v>
      </c>
      <c r="J61" s="64" t="e">
        <f t="shared" si="201"/>
        <v>#VALUE!</v>
      </c>
      <c r="K61" s="64">
        <f t="shared" si="202"/>
        <v>32</v>
      </c>
      <c r="L61" s="64" t="str">
        <f>IFERROR(VLOOKUP(MID(G61,J61,K61-J61),[5]skilldef!$C:$D,2,FALSE),"-") &amp; " / " &amp; IFERROR(VLOOKUP(MID(G61,H61,I61-H61),[5]skilldef!$A:$B,2,FALSE),"-")</f>
        <v>- / -</v>
      </c>
      <c r="M61" s="64" t="str">
        <f t="shared" si="203"/>
        <v>[effect:remove_enhancement, target:unit_all, target_effect:all, target_type:buff, animation:frozen_wave],[effect:enhance_enemy, target:myself, turn:1, status:attack, val:0.5, animation:enemy_enhance_attack]</v>
      </c>
      <c r="N61" s="48" t="str">
        <f t="shared" si="213"/>
        <v>[effect:remove_enhancement, target:unit_all, target_effect:all, target_type:buff, animation:frozen_wave]</v>
      </c>
      <c r="O61" s="64">
        <f t="shared" si="204"/>
        <v>9</v>
      </c>
      <c r="P61" s="64">
        <f t="shared" si="205"/>
        <v>27</v>
      </c>
      <c r="Q61" s="64">
        <f t="shared" si="206"/>
        <v>36</v>
      </c>
      <c r="R61" s="64">
        <f t="shared" si="207"/>
        <v>44</v>
      </c>
      <c r="S61" s="64" t="str">
        <f>IFERROR(VLOOKUP(MID(N61,Q61,R61-Q61),[5]skilldef!$C:$D,2,FALSE),"-") &amp; " / " &amp; IFERROR(VLOOKUP(MID(N61,O61,P61-O61),[5]skilldef!$A:$B,2,FALSE),"-")</f>
        <v>味方全体に / -</v>
      </c>
      <c r="T61" s="48" t="str">
        <f t="shared" si="208"/>
        <v>[effect:enhance_enemy, target:myself, turn:1, status:attack, val:0.5, animation:enemy_enhance_attack]</v>
      </c>
      <c r="U61" s="64">
        <f t="shared" si="209"/>
        <v>9</v>
      </c>
      <c r="V61" s="64">
        <f t="shared" si="210"/>
        <v>22</v>
      </c>
      <c r="W61" s="64">
        <f t="shared" si="211"/>
        <v>31</v>
      </c>
      <c r="X61" s="64">
        <f t="shared" si="212"/>
        <v>37</v>
      </c>
      <c r="Y61" s="64" t="str">
        <f>IFERROR(VLOOKUP(MID(T61,W61,X61-W61),[5]skilldef!$C:$D,2,FALSE),"-") &amp; " / " &amp; IFERROR(VLOOKUP(MID(T61,U61,V61-U61),[5]skilldef!$A:$B,2,FALSE),"-")</f>
        <v>自分自身に / ステータス強化</v>
      </c>
      <c r="Z61" s="50"/>
      <c r="AA61" s="52"/>
      <c r="AB61" s="50"/>
    </row>
    <row r="62" spans="1:28" ht="21" customHeight="1" x14ac:dyDescent="0.15">
      <c r="A62" s="47">
        <v>50007915</v>
      </c>
      <c r="B62" s="47" t="s">
        <v>419</v>
      </c>
      <c r="C62" s="50">
        <v>3</v>
      </c>
      <c r="D62" s="50" t="s">
        <v>126</v>
      </c>
      <c r="E62" s="51" t="s">
        <v>361</v>
      </c>
      <c r="F62" s="51" t="s">
        <v>313</v>
      </c>
      <c r="G62" s="64" t="str">
        <f t="shared" si="198"/>
        <v>[effect:enemy_message, val1:1.0, val2:2.6, dead_type:suicide]</v>
      </c>
      <c r="H62" s="64">
        <f t="shared" si="199"/>
        <v>9</v>
      </c>
      <c r="I62" s="64">
        <f t="shared" si="200"/>
        <v>22</v>
      </c>
      <c r="J62" s="64" t="e">
        <f t="shared" si="201"/>
        <v>#VALUE!</v>
      </c>
      <c r="K62" s="64">
        <f t="shared" si="202"/>
        <v>32</v>
      </c>
      <c r="L62" s="64" t="str">
        <f>IFERROR(VLOOKUP(MID(G62,J62,K62-J62),[5]skilldef!$C:$D,2,FALSE),"-") &amp; " / " &amp; IFERROR(VLOOKUP(MID(G62,H62,I62-H62),[5]skilldef!$A:$B,2,FALSE),"-")</f>
        <v>- / -</v>
      </c>
      <c r="M62" s="64" t="str">
        <f t="shared" si="203"/>
        <v>[effect:hungup, target:unit_all, turn:1, rate:1, animation:hungup01]</v>
      </c>
      <c r="N62" s="48" t="str">
        <f t="shared" ref="N62:N63" si="214">IFERROR(LEFT(M62,FIND("],",M62)+S72),M62)</f>
        <v>[effect:hungup, target:unit_all, turn:1, rate:1, animation:hungup01]</v>
      </c>
      <c r="O62" s="64">
        <f t="shared" si="204"/>
        <v>9</v>
      </c>
      <c r="P62" s="64">
        <f t="shared" si="205"/>
        <v>15</v>
      </c>
      <c r="Q62" s="64">
        <f t="shared" si="206"/>
        <v>24</v>
      </c>
      <c r="R62" s="64">
        <f t="shared" si="207"/>
        <v>32</v>
      </c>
      <c r="S62" s="64" t="str">
        <f>IFERROR(VLOOKUP(MID(N62,Q62,R62-Q62),[5]skilldef!$C:$D,2,FALSE),"-") &amp; " / " &amp; IFERROR(VLOOKUP(MID(N62,O62,P62-O62),[5]skilldef!$A:$B,2,FALSE),"-")</f>
        <v>味方全体に / ハングアップ</v>
      </c>
      <c r="T62" s="48" t="str">
        <f t="shared" si="208"/>
        <v>none</v>
      </c>
      <c r="U62" s="64" t="e">
        <f t="shared" si="209"/>
        <v>#VALUE!</v>
      </c>
      <c r="V62" s="64">
        <f t="shared" si="210"/>
        <v>4</v>
      </c>
      <c r="W62" s="64" t="e">
        <f t="shared" si="211"/>
        <v>#VALUE!</v>
      </c>
      <c r="X62" s="64" t="e">
        <f t="shared" si="212"/>
        <v>#VALUE!</v>
      </c>
      <c r="Y62" s="64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</row>
    <row r="63" spans="1:28" ht="21" customHeight="1" x14ac:dyDescent="0.15">
      <c r="A63" s="47">
        <v>50007916</v>
      </c>
      <c r="B63" s="47" t="s">
        <v>420</v>
      </c>
      <c r="C63" s="50">
        <v>3</v>
      </c>
      <c r="D63" s="50" t="s">
        <v>126</v>
      </c>
      <c r="E63" s="51" t="s">
        <v>360</v>
      </c>
      <c r="F63" s="51" t="s">
        <v>359</v>
      </c>
      <c r="G63" s="64" t="str">
        <f t="shared" si="198"/>
        <v>[effect:enemy_message, val1:1.4, val2:2.0, dead_type:suicide]</v>
      </c>
      <c r="H63" s="64">
        <f t="shared" si="199"/>
        <v>9</v>
      </c>
      <c r="I63" s="64">
        <f t="shared" si="200"/>
        <v>22</v>
      </c>
      <c r="J63" s="64" t="e">
        <f t="shared" si="201"/>
        <v>#VALUE!</v>
      </c>
      <c r="K63" s="64">
        <f t="shared" si="202"/>
        <v>32</v>
      </c>
      <c r="L63" s="64" t="str">
        <f>IFERROR(VLOOKUP(MID(G63,J63,K63-J63),[5]skilldef!$C:$D,2,FALSE),"-") &amp; " / " &amp; IFERROR(VLOOKUP(MID(G63,H63,I63-H63),[5]skilldef!$A:$B,2,FALSE),"-")</f>
        <v>- / -</v>
      </c>
      <c r="M63" s="64" t="str">
        <f t="shared" si="203"/>
        <v>[effect:damage_gravity, val:3, animation:fevergauge_down]</v>
      </c>
      <c r="N63" s="48" t="str">
        <f t="shared" si="214"/>
        <v>[effect:damage_gravity, val:3, animation:fevergauge_down]</v>
      </c>
      <c r="O63" s="64">
        <f t="shared" si="204"/>
        <v>9</v>
      </c>
      <c r="P63" s="64">
        <f t="shared" si="205"/>
        <v>23</v>
      </c>
      <c r="Q63" s="64" t="e">
        <f t="shared" si="206"/>
        <v>#VALUE!</v>
      </c>
      <c r="R63" s="64">
        <f t="shared" si="207"/>
        <v>30</v>
      </c>
      <c r="S63" s="64" t="str">
        <f>IFERROR(VLOOKUP(MID(N63,Q63,R63-Q63),[5]skilldef!$C:$D,2,FALSE),"-") &amp; " / " &amp; IFERROR(VLOOKUP(MID(N63,O63,P63-O63),[5]skilldef!$A:$B,2,FALSE),"-")</f>
        <v>- / 割合ダメージ</v>
      </c>
      <c r="T63" s="48" t="str">
        <f t="shared" si="208"/>
        <v>none</v>
      </c>
      <c r="U63" s="64" t="e">
        <f t="shared" si="209"/>
        <v>#VALUE!</v>
      </c>
      <c r="V63" s="64">
        <f t="shared" si="210"/>
        <v>4</v>
      </c>
      <c r="W63" s="64" t="e">
        <f t="shared" si="211"/>
        <v>#VALUE!</v>
      </c>
      <c r="X63" s="64" t="e">
        <f t="shared" si="212"/>
        <v>#VALUE!</v>
      </c>
      <c r="Y63" s="64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</row>
    <row r="64" spans="1:28" ht="21" customHeight="1" x14ac:dyDescent="0.15">
      <c r="A64" s="47">
        <v>50007917</v>
      </c>
      <c r="B64" s="47" t="s">
        <v>421</v>
      </c>
      <c r="C64" s="50">
        <v>3</v>
      </c>
      <c r="D64" s="50" t="s">
        <v>126</v>
      </c>
      <c r="E64" s="51" t="s">
        <v>384</v>
      </c>
      <c r="F64" s="51" t="s">
        <v>383</v>
      </c>
      <c r="G64" s="64" t="str">
        <f t="shared" ref="G64" si="215">IFERROR(LEFT(B64,FIND("],",B64)),B64)</f>
        <v>[effect:enemy_message, val1:2.0, val2:2.6, dead_type:suicide]</v>
      </c>
      <c r="H64" s="64">
        <f t="shared" ref="H64" si="216">FIND("effect:",G64)+7</f>
        <v>9</v>
      </c>
      <c r="I64" s="64">
        <f t="shared" ref="I64" si="217">IFERROR(FIND(",",G64),LEN(G64))</f>
        <v>22</v>
      </c>
      <c r="J64" s="64" t="e">
        <f t="shared" ref="J64" si="218">FIND("target:",G64)+7</f>
        <v>#VALUE!</v>
      </c>
      <c r="K64" s="64">
        <f t="shared" ref="K64" si="219">FIND(",",G64,I64+1)</f>
        <v>32</v>
      </c>
      <c r="L64" s="64" t="str">
        <f>IFERROR(VLOOKUP(MID(G64,J64,K64-J64),[5]skilldef!$C:$D,2,FALSE),"-") &amp; " / " &amp; IFERROR(VLOOKUP(MID(G64,H64,I64-H64),[5]skilldef!$A:$B,2,FALSE),"-")</f>
        <v>- / -</v>
      </c>
      <c r="M64" s="64" t="str">
        <f t="shared" ref="M64" si="220">IFERROR(RIGHT(B64,LEN(B64)-FIND("],",B64)-1),"none")</f>
        <v>none</v>
      </c>
      <c r="N64" s="48" t="str">
        <f t="shared" ref="N64" si="221">IFERROR(LEFT(M64,FIND("],",M64)+S74),M64)</f>
        <v>none</v>
      </c>
      <c r="O64" s="64" t="e">
        <f t="shared" ref="O64" si="222">FIND("effect:",N64)+7</f>
        <v>#VALUE!</v>
      </c>
      <c r="P64" s="64">
        <f t="shared" ref="P64" si="223">IFERROR(FIND(",",N64),LEN(N64))</f>
        <v>4</v>
      </c>
      <c r="Q64" s="64" t="e">
        <f t="shared" ref="Q64" si="224">FIND("target:",N64)+7</f>
        <v>#VALUE!</v>
      </c>
      <c r="R64" s="64" t="e">
        <f t="shared" ref="R64" si="225">FIND(",",N64,P64+1)</f>
        <v>#VALUE!</v>
      </c>
      <c r="S64" s="64" t="str">
        <f>IFERROR(VLOOKUP(MID(N64,Q64,R64-Q64),[5]skilldef!$C:$D,2,FALSE),"-") &amp; " / " &amp; IFERROR(VLOOKUP(MID(N64,O64,P64-O64),[5]skilldef!$A:$B,2,FALSE),"-")</f>
        <v>- / -</v>
      </c>
      <c r="T64" s="48" t="str">
        <f t="shared" ref="T64" si="226">IFERROR(RIGHT(M64,LEN(M64)-FIND("],",M64)-1),"none")</f>
        <v>none</v>
      </c>
      <c r="U64" s="64" t="e">
        <f t="shared" ref="U64" si="227">FIND("effect:",T64)+7</f>
        <v>#VALUE!</v>
      </c>
      <c r="V64" s="64">
        <f t="shared" ref="V64" si="228">IFERROR(FIND(",",T64),LEN(T64))</f>
        <v>4</v>
      </c>
      <c r="W64" s="64" t="e">
        <f t="shared" ref="W64" si="229">FIND("target:",T64)+7</f>
        <v>#VALUE!</v>
      </c>
      <c r="X64" s="64" t="e">
        <f t="shared" ref="X64" si="230">FIND(",",T64,V64+1)</f>
        <v>#VALUE!</v>
      </c>
      <c r="Y64" s="64" t="str">
        <f>IFERROR(VLOOKUP(MID(T64,W64,X64-W64),[5]skilldef!$C:$D,2,FALSE),"-") &amp; " / " &amp; IFERROR(VLOOKUP(MID(T64,U64,V64-U64),[5]skilldef!$A:$B,2,FALSE),"-")</f>
        <v>- / -</v>
      </c>
      <c r="Z64" s="50"/>
      <c r="AA64" s="52"/>
      <c r="AB64" s="50"/>
    </row>
    <row r="65" spans="1:28" ht="21" customHeight="1" x14ac:dyDescent="0.15">
      <c r="A65" s="106">
        <v>50007918</v>
      </c>
      <c r="B65" s="106" t="s">
        <v>389</v>
      </c>
      <c r="C65" s="107">
        <v>3</v>
      </c>
      <c r="D65" s="107" t="s">
        <v>126</v>
      </c>
      <c r="E65" s="108" t="s">
        <v>385</v>
      </c>
      <c r="F65" s="108" t="s">
        <v>386</v>
      </c>
      <c r="G65" s="64" t="str">
        <f t="shared" ref="G65:G68" si="231">IFERROR(LEFT(B65,FIND("],",B65)),B65)</f>
        <v>[effect:enemy_message, val1:2.0, val2:2.8, dead_type:suicide]</v>
      </c>
      <c r="H65" s="64">
        <f t="shared" ref="H65:H68" si="232">FIND("effect:",G65)+7</f>
        <v>9</v>
      </c>
      <c r="I65" s="64">
        <f t="shared" ref="I65:I68" si="233">IFERROR(FIND(",",G65),LEN(G65))</f>
        <v>22</v>
      </c>
      <c r="J65" s="64" t="e">
        <f t="shared" ref="J65:J68" si="234">FIND("target:",G65)+7</f>
        <v>#VALUE!</v>
      </c>
      <c r="K65" s="64">
        <f t="shared" ref="K65:K68" si="235">FIND(",",G65,I65+1)</f>
        <v>32</v>
      </c>
      <c r="L65" s="64" t="str">
        <f>IFERROR(VLOOKUP(MID(G65,J65,K65-J65),[5]skilldef!$C:$D,2,FALSE),"-") &amp; " / " &amp; IFERROR(VLOOKUP(MID(G65,H65,I65-H65),[5]skilldef!$A:$B,2,FALSE),"-")</f>
        <v>- / -</v>
      </c>
      <c r="M65" s="64" t="str">
        <f t="shared" ref="M65:M68" si="236">IFERROR(RIGHT(B65,LEN(B65)-FIND("],",B65)-1),"none")</f>
        <v>none</v>
      </c>
      <c r="N65" s="48" t="str">
        <f t="shared" ref="N65:N68" si="237">IFERROR(LEFT(M65,FIND("],",M65)+S75),M65)</f>
        <v>none</v>
      </c>
      <c r="O65" s="64" t="e">
        <f t="shared" ref="O65:O68" si="238">FIND("effect:",N65)+7</f>
        <v>#VALUE!</v>
      </c>
      <c r="P65" s="64">
        <f t="shared" ref="P65:P68" si="239">IFERROR(FIND(",",N65),LEN(N65))</f>
        <v>4</v>
      </c>
      <c r="Q65" s="64" t="e">
        <f t="shared" ref="Q65:Q68" si="240">FIND("target:",N65)+7</f>
        <v>#VALUE!</v>
      </c>
      <c r="R65" s="64" t="e">
        <f t="shared" ref="R65:R68" si="241">FIND(",",N65,P65+1)</f>
        <v>#VALUE!</v>
      </c>
      <c r="S65" s="64" t="str">
        <f>IFERROR(VLOOKUP(MID(N65,Q65,R65-Q65),[5]skilldef!$C:$D,2,FALSE),"-") &amp; " / " &amp; IFERROR(VLOOKUP(MID(N65,O65,P65-O65),[5]skilldef!$A:$B,2,FALSE),"-")</f>
        <v>- / -</v>
      </c>
      <c r="T65" s="48" t="str">
        <f t="shared" ref="T65:T68" si="242">IFERROR(RIGHT(M65,LEN(M65)-FIND("],",M65)-1),"none")</f>
        <v>none</v>
      </c>
      <c r="U65" s="64" t="e">
        <f t="shared" ref="U65:U68" si="243">FIND("effect:",T65)+7</f>
        <v>#VALUE!</v>
      </c>
      <c r="V65" s="64">
        <f t="shared" ref="V65:V68" si="244">IFERROR(FIND(",",T65),LEN(T65))</f>
        <v>4</v>
      </c>
      <c r="W65" s="64" t="e">
        <f t="shared" ref="W65:W68" si="245">FIND("target:",T65)+7</f>
        <v>#VALUE!</v>
      </c>
      <c r="X65" s="64" t="e">
        <f t="shared" ref="X65:X68" si="246">FIND(",",T65,V65+1)</f>
        <v>#VALUE!</v>
      </c>
      <c r="Y65" s="64" t="str">
        <f>IFERROR(VLOOKUP(MID(T65,W65,X65-W65),[5]skilldef!$C:$D,2,FALSE),"-") &amp; " / " &amp; IFERROR(VLOOKUP(MID(T65,U65,V65-U65),[5]skilldef!$A:$B,2,FALSE),"-")</f>
        <v>- / -</v>
      </c>
      <c r="Z65" s="50"/>
      <c r="AA65" s="52"/>
      <c r="AB65" s="50"/>
    </row>
    <row r="66" spans="1:28" ht="21" customHeight="1" x14ac:dyDescent="0.15">
      <c r="A66" s="106">
        <v>50007919</v>
      </c>
      <c r="B66" s="106" t="s">
        <v>389</v>
      </c>
      <c r="C66" s="107">
        <v>3</v>
      </c>
      <c r="D66" s="107" t="s">
        <v>126</v>
      </c>
      <c r="E66" s="108" t="s">
        <v>385</v>
      </c>
      <c r="F66" s="108" t="s">
        <v>386</v>
      </c>
      <c r="G66" s="64" t="str">
        <f t="shared" si="231"/>
        <v>[effect:enemy_message, val1:2.0, val2:2.8, dead_type:suicide]</v>
      </c>
      <c r="H66" s="64">
        <f t="shared" si="232"/>
        <v>9</v>
      </c>
      <c r="I66" s="64">
        <f t="shared" si="233"/>
        <v>22</v>
      </c>
      <c r="J66" s="64" t="e">
        <f t="shared" si="234"/>
        <v>#VALUE!</v>
      </c>
      <c r="K66" s="64">
        <f t="shared" si="235"/>
        <v>32</v>
      </c>
      <c r="L66" s="64" t="str">
        <f>IFERROR(VLOOKUP(MID(G66,J66,K66-J66),[5]skilldef!$C:$D,2,FALSE),"-") &amp; " / " &amp; IFERROR(VLOOKUP(MID(G66,H66,I66-H66),[5]skilldef!$A:$B,2,FALSE),"-")</f>
        <v>- / -</v>
      </c>
      <c r="M66" s="64" t="str">
        <f t="shared" si="236"/>
        <v>none</v>
      </c>
      <c r="N66" s="48" t="str">
        <f t="shared" si="237"/>
        <v>none</v>
      </c>
      <c r="O66" s="64" t="e">
        <f t="shared" si="238"/>
        <v>#VALUE!</v>
      </c>
      <c r="P66" s="64">
        <f t="shared" si="239"/>
        <v>4</v>
      </c>
      <c r="Q66" s="64" t="e">
        <f t="shared" si="240"/>
        <v>#VALUE!</v>
      </c>
      <c r="R66" s="64" t="e">
        <f t="shared" si="241"/>
        <v>#VALUE!</v>
      </c>
      <c r="S66" s="64" t="str">
        <f>IFERROR(VLOOKUP(MID(N66,Q66,R66-Q66),[5]skilldef!$C:$D,2,FALSE),"-") &amp; " / " &amp; IFERROR(VLOOKUP(MID(N66,O66,P66-O66),[5]skilldef!$A:$B,2,FALSE),"-")</f>
        <v>- / -</v>
      </c>
      <c r="T66" s="48" t="str">
        <f t="shared" si="242"/>
        <v>none</v>
      </c>
      <c r="U66" s="64" t="e">
        <f t="shared" si="243"/>
        <v>#VALUE!</v>
      </c>
      <c r="V66" s="64">
        <f t="shared" si="244"/>
        <v>4</v>
      </c>
      <c r="W66" s="64" t="e">
        <f t="shared" si="245"/>
        <v>#VALUE!</v>
      </c>
      <c r="X66" s="64" t="e">
        <f t="shared" si="246"/>
        <v>#VALUE!</v>
      </c>
      <c r="Y66" s="64" t="str">
        <f>IFERROR(VLOOKUP(MID(T66,W66,X66-W66),[5]skilldef!$C:$D,2,FALSE),"-") &amp; " / " &amp; IFERROR(VLOOKUP(MID(T66,U66,V66-U66),[5]skilldef!$A:$B,2,FALSE),"-")</f>
        <v>- / -</v>
      </c>
      <c r="Z66" s="50"/>
      <c r="AA66" s="52"/>
      <c r="AB66" s="50"/>
    </row>
    <row r="67" spans="1:28" ht="21" customHeight="1" x14ac:dyDescent="0.15">
      <c r="A67" s="106">
        <v>50007920</v>
      </c>
      <c r="B67" s="106" t="s">
        <v>390</v>
      </c>
      <c r="C67" s="107">
        <v>3</v>
      </c>
      <c r="D67" s="107" t="s">
        <v>126</v>
      </c>
      <c r="E67" s="108" t="s">
        <v>387</v>
      </c>
      <c r="F67" s="108" t="s">
        <v>388</v>
      </c>
      <c r="G67" s="64" t="str">
        <f t="shared" si="231"/>
        <v>[effect:enemy_message, val1:2.0, val2:3.2, dead_type:suicide]</v>
      </c>
      <c r="H67" s="64">
        <f t="shared" si="232"/>
        <v>9</v>
      </c>
      <c r="I67" s="64">
        <f t="shared" si="233"/>
        <v>22</v>
      </c>
      <c r="J67" s="64" t="e">
        <f t="shared" si="234"/>
        <v>#VALUE!</v>
      </c>
      <c r="K67" s="64">
        <f t="shared" si="235"/>
        <v>32</v>
      </c>
      <c r="L67" s="64" t="str">
        <f>IFERROR(VLOOKUP(MID(G67,J67,K67-J67),[5]skilldef!$C:$D,2,FALSE),"-") &amp; " / " &amp; IFERROR(VLOOKUP(MID(G67,H67,I67-H67),[5]skilldef!$A:$B,2,FALSE),"-")</f>
        <v>- / -</v>
      </c>
      <c r="M67" s="64" t="str">
        <f t="shared" si="236"/>
        <v>none</v>
      </c>
      <c r="N67" s="48" t="str">
        <f t="shared" si="237"/>
        <v>none</v>
      </c>
      <c r="O67" s="64" t="e">
        <f t="shared" si="238"/>
        <v>#VALUE!</v>
      </c>
      <c r="P67" s="64">
        <f t="shared" si="239"/>
        <v>4</v>
      </c>
      <c r="Q67" s="64" t="e">
        <f t="shared" si="240"/>
        <v>#VALUE!</v>
      </c>
      <c r="R67" s="64" t="e">
        <f t="shared" si="241"/>
        <v>#VALUE!</v>
      </c>
      <c r="S67" s="64" t="str">
        <f>IFERROR(VLOOKUP(MID(N67,Q67,R67-Q67),[5]skilldef!$C:$D,2,FALSE),"-") &amp; " / " &amp; IFERROR(VLOOKUP(MID(N67,O67,P67-O67),[5]skilldef!$A:$B,2,FALSE),"-")</f>
        <v>- / -</v>
      </c>
      <c r="T67" s="48" t="str">
        <f t="shared" si="242"/>
        <v>none</v>
      </c>
      <c r="U67" s="64" t="e">
        <f t="shared" si="243"/>
        <v>#VALUE!</v>
      </c>
      <c r="V67" s="64">
        <f t="shared" si="244"/>
        <v>4</v>
      </c>
      <c r="W67" s="64" t="e">
        <f t="shared" si="245"/>
        <v>#VALUE!</v>
      </c>
      <c r="X67" s="64" t="e">
        <f t="shared" si="246"/>
        <v>#VALUE!</v>
      </c>
      <c r="Y67" s="64" t="str">
        <f>IFERROR(VLOOKUP(MID(T67,W67,X67-W67),[5]skilldef!$C:$D,2,FALSE),"-") &amp; " / " &amp; IFERROR(VLOOKUP(MID(T67,U67,V67-U67),[5]skilldef!$A:$B,2,FALSE),"-")</f>
        <v>- / -</v>
      </c>
      <c r="Z67" s="50"/>
      <c r="AA67" s="52"/>
      <c r="AB67" s="50"/>
    </row>
    <row r="68" spans="1:28" ht="21" customHeight="1" x14ac:dyDescent="0.15">
      <c r="A68" s="106">
        <v>50007921</v>
      </c>
      <c r="B68" s="106" t="s">
        <v>390</v>
      </c>
      <c r="C68" s="107">
        <v>3</v>
      </c>
      <c r="D68" s="107" t="s">
        <v>126</v>
      </c>
      <c r="E68" s="108" t="s">
        <v>387</v>
      </c>
      <c r="F68" s="108" t="s">
        <v>388</v>
      </c>
      <c r="G68" s="64" t="str">
        <f t="shared" si="231"/>
        <v>[effect:enemy_message, val1:2.0, val2:3.2, dead_type:suicide]</v>
      </c>
      <c r="H68" s="64">
        <f t="shared" si="232"/>
        <v>9</v>
      </c>
      <c r="I68" s="64">
        <f t="shared" si="233"/>
        <v>22</v>
      </c>
      <c r="J68" s="64" t="e">
        <f t="shared" si="234"/>
        <v>#VALUE!</v>
      </c>
      <c r="K68" s="64">
        <f t="shared" si="235"/>
        <v>32</v>
      </c>
      <c r="L68" s="64" t="str">
        <f>IFERROR(VLOOKUP(MID(G68,J68,K68-J68),[5]skilldef!$C:$D,2,FALSE),"-") &amp; " / " &amp; IFERROR(VLOOKUP(MID(G68,H68,I68-H68),[5]skilldef!$A:$B,2,FALSE),"-")</f>
        <v>- / -</v>
      </c>
      <c r="M68" s="64" t="str">
        <f t="shared" si="236"/>
        <v>none</v>
      </c>
      <c r="N68" s="48" t="str">
        <f t="shared" si="237"/>
        <v>none</v>
      </c>
      <c r="O68" s="64" t="e">
        <f t="shared" si="238"/>
        <v>#VALUE!</v>
      </c>
      <c r="P68" s="64">
        <f t="shared" si="239"/>
        <v>4</v>
      </c>
      <c r="Q68" s="64" t="e">
        <f t="shared" si="240"/>
        <v>#VALUE!</v>
      </c>
      <c r="R68" s="64" t="e">
        <f t="shared" si="241"/>
        <v>#VALUE!</v>
      </c>
      <c r="S68" s="64" t="str">
        <f>IFERROR(VLOOKUP(MID(N68,Q68,R68-Q68),[5]skilldef!$C:$D,2,FALSE),"-") &amp; " / " &amp; IFERROR(VLOOKUP(MID(N68,O68,P68-O68),[5]skilldef!$A:$B,2,FALSE),"-")</f>
        <v>- / -</v>
      </c>
      <c r="T68" s="48" t="str">
        <f t="shared" si="242"/>
        <v>none</v>
      </c>
      <c r="U68" s="64" t="e">
        <f t="shared" si="243"/>
        <v>#VALUE!</v>
      </c>
      <c r="V68" s="64">
        <f t="shared" si="244"/>
        <v>4</v>
      </c>
      <c r="W68" s="64" t="e">
        <f t="shared" si="245"/>
        <v>#VALUE!</v>
      </c>
      <c r="X68" s="64" t="e">
        <f t="shared" si="246"/>
        <v>#VALUE!</v>
      </c>
      <c r="Y68" s="64" t="str">
        <f>IFERROR(VLOOKUP(MID(T68,W68,X68-W68),[5]skilldef!$C:$D,2,FALSE),"-") &amp; " / " &amp; IFERROR(VLOOKUP(MID(T68,U68,V68-U68),[5]skilldef!$A:$B,2,FALSE),"-")</f>
        <v>- / -</v>
      </c>
      <c r="Z68" s="50"/>
      <c r="AA68" s="52"/>
      <c r="AB68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0"/>
  <sheetViews>
    <sheetView showGridLines="0" workbookViewId="0">
      <pane ySplit="1" topLeftCell="A35" activePane="bottomLeft" state="frozenSplit"/>
      <selection pane="bottomLeft" activeCell="G44" sqref="G4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50007101</v>
      </c>
      <c r="B2" s="47">
        <v>1</v>
      </c>
      <c r="C2" s="47">
        <v>100</v>
      </c>
      <c r="D2" s="47">
        <v>100</v>
      </c>
      <c r="E2" s="47" t="s">
        <v>251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:J17" si="0">D2</f>
        <v>100</v>
      </c>
    </row>
    <row r="3" spans="1:11" ht="21" customHeight="1" x14ac:dyDescent="0.15">
      <c r="A3" s="47">
        <v>50007102</v>
      </c>
      <c r="B3" s="47">
        <v>0</v>
      </c>
      <c r="C3" s="47">
        <v>30</v>
      </c>
      <c r="D3" s="47">
        <v>100</v>
      </c>
      <c r="E3" s="47" t="s">
        <v>271</v>
      </c>
      <c r="F3" s="47">
        <v>75</v>
      </c>
      <c r="G3" s="47" t="s">
        <v>273</v>
      </c>
      <c r="H3" s="47" t="s">
        <v>251</v>
      </c>
      <c r="I3" s="47" t="s">
        <v>271</v>
      </c>
      <c r="J3" s="48">
        <f t="shared" si="0"/>
        <v>100</v>
      </c>
    </row>
    <row r="4" spans="1:11" ht="21" customHeight="1" x14ac:dyDescent="0.15">
      <c r="A4" s="47">
        <v>50007103</v>
      </c>
      <c r="B4" s="47">
        <v>0</v>
      </c>
      <c r="C4" s="47">
        <v>31</v>
      </c>
      <c r="D4" s="47">
        <v>100</v>
      </c>
      <c r="E4" s="47">
        <v>75</v>
      </c>
      <c r="F4" s="47">
        <v>50</v>
      </c>
      <c r="G4" s="47">
        <v>1</v>
      </c>
      <c r="H4" s="47" t="s">
        <v>251</v>
      </c>
      <c r="I4" s="47" t="s">
        <v>271</v>
      </c>
      <c r="J4" s="48">
        <f t="shared" si="0"/>
        <v>100</v>
      </c>
    </row>
    <row r="5" spans="1:11" ht="21" customHeight="1" x14ac:dyDescent="0.15">
      <c r="A5" s="47">
        <v>50007104</v>
      </c>
      <c r="B5" s="47">
        <v>0</v>
      </c>
      <c r="C5" s="47">
        <v>30</v>
      </c>
      <c r="D5" s="47">
        <v>100</v>
      </c>
      <c r="E5" s="47">
        <v>75</v>
      </c>
      <c r="F5" s="47">
        <v>50</v>
      </c>
      <c r="G5" s="47" t="s">
        <v>273</v>
      </c>
      <c r="H5" s="47" t="s">
        <v>251</v>
      </c>
      <c r="I5" s="47" t="s">
        <v>271</v>
      </c>
      <c r="J5" s="48">
        <f t="shared" si="0"/>
        <v>100</v>
      </c>
    </row>
    <row r="6" spans="1:11" ht="21" customHeight="1" x14ac:dyDescent="0.15">
      <c r="A6" s="47">
        <v>50007105</v>
      </c>
      <c r="B6" s="47">
        <v>0</v>
      </c>
      <c r="C6" s="47">
        <v>31</v>
      </c>
      <c r="D6" s="47">
        <v>100</v>
      </c>
      <c r="E6" s="47">
        <v>50</v>
      </c>
      <c r="F6" s="47">
        <v>25</v>
      </c>
      <c r="G6" s="47">
        <v>1</v>
      </c>
      <c r="H6" s="47" t="s">
        <v>251</v>
      </c>
      <c r="I6" s="47" t="s">
        <v>271</v>
      </c>
      <c r="J6" s="48">
        <f t="shared" si="0"/>
        <v>100</v>
      </c>
    </row>
    <row r="7" spans="1:11" ht="21" customHeight="1" x14ac:dyDescent="0.15">
      <c r="A7" s="47">
        <v>50007106</v>
      </c>
      <c r="B7" s="47">
        <v>0</v>
      </c>
      <c r="C7" s="47">
        <v>30</v>
      </c>
      <c r="D7" s="47">
        <v>100</v>
      </c>
      <c r="E7" s="47">
        <v>50</v>
      </c>
      <c r="F7" s="47">
        <v>25</v>
      </c>
      <c r="G7" s="47" t="s">
        <v>273</v>
      </c>
      <c r="H7" s="47" t="s">
        <v>251</v>
      </c>
      <c r="I7" s="47" t="s">
        <v>271</v>
      </c>
      <c r="J7" s="48">
        <f t="shared" si="0"/>
        <v>100</v>
      </c>
    </row>
    <row r="8" spans="1:11" ht="21" customHeight="1" x14ac:dyDescent="0.15">
      <c r="A8" s="47">
        <v>50007107</v>
      </c>
      <c r="B8" s="47">
        <v>0</v>
      </c>
      <c r="C8" s="47">
        <v>31</v>
      </c>
      <c r="D8" s="47">
        <v>100</v>
      </c>
      <c r="E8" s="47">
        <v>25</v>
      </c>
      <c r="F8" s="47" t="s">
        <v>272</v>
      </c>
      <c r="G8" s="47">
        <v>1</v>
      </c>
      <c r="H8" s="47" t="s">
        <v>251</v>
      </c>
      <c r="I8" s="47" t="s">
        <v>271</v>
      </c>
      <c r="J8" s="48">
        <f t="shared" si="0"/>
        <v>100</v>
      </c>
    </row>
    <row r="9" spans="1:11" ht="21" customHeight="1" x14ac:dyDescent="0.15">
      <c r="A9" s="47">
        <v>50007108</v>
      </c>
      <c r="B9" s="47">
        <v>0</v>
      </c>
      <c r="C9" s="47">
        <v>30</v>
      </c>
      <c r="D9" s="47">
        <v>100</v>
      </c>
      <c r="E9" s="47">
        <v>25</v>
      </c>
      <c r="F9" s="47" t="s">
        <v>272</v>
      </c>
      <c r="G9" s="47" t="s">
        <v>273</v>
      </c>
      <c r="H9" s="47" t="s">
        <v>251</v>
      </c>
      <c r="I9" s="47" t="s">
        <v>271</v>
      </c>
      <c r="J9" s="48">
        <f t="shared" si="0"/>
        <v>100</v>
      </c>
    </row>
    <row r="10" spans="1:11" ht="21" customHeight="1" x14ac:dyDescent="0.15">
      <c r="A10" s="47">
        <v>50007109</v>
      </c>
      <c r="B10" s="47">
        <v>0</v>
      </c>
      <c r="C10" s="47">
        <v>50</v>
      </c>
      <c r="D10" s="47">
        <v>100</v>
      </c>
      <c r="E10" s="47" t="s">
        <v>271</v>
      </c>
      <c r="F10" s="47" t="s">
        <v>272</v>
      </c>
      <c r="G10" s="47">
        <v>1</v>
      </c>
      <c r="H10" s="47">
        <v>3</v>
      </c>
      <c r="I10" s="47" t="s">
        <v>271</v>
      </c>
      <c r="J10" s="48">
        <f t="shared" si="0"/>
        <v>100</v>
      </c>
    </row>
    <row r="11" spans="1:11" ht="21" customHeight="1" x14ac:dyDescent="0.15">
      <c r="A11" s="47">
        <v>50007201</v>
      </c>
      <c r="B11" s="47">
        <v>0</v>
      </c>
      <c r="C11" s="47">
        <v>30</v>
      </c>
      <c r="D11" s="47">
        <v>100</v>
      </c>
      <c r="E11" s="47" t="s">
        <v>271</v>
      </c>
      <c r="F11" s="47" t="s">
        <v>272</v>
      </c>
      <c r="G11" s="47" t="s">
        <v>273</v>
      </c>
      <c r="H11" s="47" t="s">
        <v>251</v>
      </c>
      <c r="I11" s="47" t="s">
        <v>271</v>
      </c>
      <c r="J11" s="48">
        <f t="shared" si="0"/>
        <v>100</v>
      </c>
    </row>
    <row r="12" spans="1:11" ht="21" customHeight="1" x14ac:dyDescent="0.15">
      <c r="A12" s="47">
        <v>50007202</v>
      </c>
      <c r="B12" s="47">
        <v>0</v>
      </c>
      <c r="C12" s="47">
        <v>1</v>
      </c>
      <c r="D12" s="47">
        <v>100</v>
      </c>
      <c r="E12" s="47" t="s">
        <v>271</v>
      </c>
      <c r="F12" s="47" t="s">
        <v>272</v>
      </c>
      <c r="G12" s="47" t="s">
        <v>88</v>
      </c>
      <c r="H12" s="47" t="s">
        <v>251</v>
      </c>
      <c r="I12" s="47">
        <v>372</v>
      </c>
      <c r="J12" s="48">
        <f t="shared" si="0"/>
        <v>100</v>
      </c>
    </row>
    <row r="13" spans="1:11" ht="21" customHeight="1" x14ac:dyDescent="0.15">
      <c r="A13" s="47">
        <v>50007301</v>
      </c>
      <c r="B13" s="47">
        <v>1</v>
      </c>
      <c r="C13" s="47">
        <v>100</v>
      </c>
      <c r="D13" s="47">
        <v>100</v>
      </c>
      <c r="E13" s="47" t="s">
        <v>271</v>
      </c>
      <c r="F13" s="47" t="s">
        <v>272</v>
      </c>
      <c r="G13" s="47">
        <v>1</v>
      </c>
      <c r="H13" s="47" t="s">
        <v>251</v>
      </c>
      <c r="I13" s="47" t="s">
        <v>271</v>
      </c>
      <c r="J13" s="48">
        <f t="shared" si="0"/>
        <v>100</v>
      </c>
    </row>
    <row r="14" spans="1:11" ht="21" customHeight="1" x14ac:dyDescent="0.15">
      <c r="A14" s="47">
        <v>50007302</v>
      </c>
      <c r="B14" s="47">
        <v>0</v>
      </c>
      <c r="C14" s="47">
        <v>30</v>
      </c>
      <c r="D14" s="47">
        <v>100</v>
      </c>
      <c r="E14" s="47" t="s">
        <v>293</v>
      </c>
      <c r="F14" s="47" t="s">
        <v>293</v>
      </c>
      <c r="G14" s="47">
        <v>1</v>
      </c>
      <c r="H14" s="47" t="s">
        <v>293</v>
      </c>
      <c r="I14" s="47" t="s">
        <v>293</v>
      </c>
      <c r="J14" s="48">
        <f t="shared" si="0"/>
        <v>100</v>
      </c>
    </row>
    <row r="15" spans="1:11" ht="21" customHeight="1" x14ac:dyDescent="0.15">
      <c r="A15" s="47">
        <v>50007303</v>
      </c>
      <c r="B15" s="47">
        <v>0</v>
      </c>
      <c r="C15" s="47">
        <v>29</v>
      </c>
      <c r="D15" s="47">
        <v>100</v>
      </c>
      <c r="E15" s="47" t="s">
        <v>293</v>
      </c>
      <c r="F15" s="47" t="s">
        <v>293</v>
      </c>
      <c r="G15" s="47">
        <v>1</v>
      </c>
      <c r="H15" s="47" t="s">
        <v>293</v>
      </c>
      <c r="I15" s="47" t="s">
        <v>293</v>
      </c>
      <c r="J15" s="48">
        <f t="shared" si="0"/>
        <v>100</v>
      </c>
    </row>
    <row r="16" spans="1:11" ht="21" customHeight="1" x14ac:dyDescent="0.15">
      <c r="A16" s="47">
        <v>50007304</v>
      </c>
      <c r="B16" s="47">
        <v>0</v>
      </c>
      <c r="C16" s="47">
        <v>28</v>
      </c>
      <c r="D16" s="47">
        <v>100</v>
      </c>
      <c r="E16" s="47" t="s">
        <v>293</v>
      </c>
      <c r="F16" s="47" t="s">
        <v>293</v>
      </c>
      <c r="G16" s="47">
        <v>1</v>
      </c>
      <c r="H16" s="47" t="s">
        <v>293</v>
      </c>
      <c r="I16" s="47" t="s">
        <v>293</v>
      </c>
      <c r="J16" s="48">
        <f t="shared" si="0"/>
        <v>100</v>
      </c>
    </row>
    <row r="17" spans="1:10" ht="21" customHeight="1" x14ac:dyDescent="0.15">
      <c r="A17" s="47">
        <v>50007305</v>
      </c>
      <c r="B17" s="47">
        <v>0</v>
      </c>
      <c r="C17" s="47">
        <v>27</v>
      </c>
      <c r="D17" s="47">
        <v>100</v>
      </c>
      <c r="E17" s="47" t="s">
        <v>293</v>
      </c>
      <c r="F17" s="47" t="s">
        <v>293</v>
      </c>
      <c r="G17" s="47">
        <v>1</v>
      </c>
      <c r="H17" s="47" t="s">
        <v>293</v>
      </c>
      <c r="I17" s="47" t="s">
        <v>293</v>
      </c>
      <c r="J17" s="48">
        <f t="shared" si="0"/>
        <v>100</v>
      </c>
    </row>
    <row r="18" spans="1:10" ht="21" customHeight="1" x14ac:dyDescent="0.15">
      <c r="A18" s="47">
        <v>50007306</v>
      </c>
      <c r="B18" s="47">
        <v>0</v>
      </c>
      <c r="C18" s="47">
        <v>26</v>
      </c>
      <c r="D18" s="47">
        <v>100</v>
      </c>
      <c r="E18" s="47" t="s">
        <v>293</v>
      </c>
      <c r="F18" s="47" t="s">
        <v>293</v>
      </c>
      <c r="G18" s="47" t="s">
        <v>293</v>
      </c>
      <c r="H18" s="47" t="s">
        <v>293</v>
      </c>
      <c r="I18" s="47" t="s">
        <v>293</v>
      </c>
      <c r="J18" s="48">
        <f>D20</f>
        <v>100</v>
      </c>
    </row>
    <row r="19" spans="1:10" ht="21" customHeight="1" x14ac:dyDescent="0.15">
      <c r="A19" s="47">
        <v>50007307</v>
      </c>
      <c r="B19" s="47">
        <v>0</v>
      </c>
      <c r="C19" s="47">
        <v>40</v>
      </c>
      <c r="D19" s="47">
        <v>100</v>
      </c>
      <c r="E19" s="47">
        <v>50</v>
      </c>
      <c r="F19" s="47" t="s">
        <v>293</v>
      </c>
      <c r="G19" s="47">
        <v>1</v>
      </c>
      <c r="H19" s="47" t="s">
        <v>293</v>
      </c>
      <c r="I19" s="47" t="s">
        <v>293</v>
      </c>
      <c r="J19" s="48">
        <f>D21</f>
        <v>100</v>
      </c>
    </row>
    <row r="20" spans="1:10" ht="21" customHeight="1" x14ac:dyDescent="0.15">
      <c r="A20" s="47">
        <v>50007401</v>
      </c>
      <c r="B20" s="47">
        <v>1</v>
      </c>
      <c r="C20" s="47">
        <v>100</v>
      </c>
      <c r="D20" s="47">
        <v>100</v>
      </c>
      <c r="E20" s="47" t="s">
        <v>271</v>
      </c>
      <c r="F20" s="47" t="s">
        <v>272</v>
      </c>
      <c r="G20" s="47">
        <v>1</v>
      </c>
      <c r="H20" s="47" t="s">
        <v>251</v>
      </c>
      <c r="I20" s="47" t="s">
        <v>271</v>
      </c>
      <c r="J20" s="48">
        <f>D27</f>
        <v>100</v>
      </c>
    </row>
    <row r="21" spans="1:10" ht="21" customHeight="1" x14ac:dyDescent="0.15">
      <c r="A21" s="47">
        <v>50007402</v>
      </c>
      <c r="B21" s="47">
        <v>0</v>
      </c>
      <c r="C21" s="47">
        <v>30</v>
      </c>
      <c r="D21" s="47">
        <v>100</v>
      </c>
      <c r="E21" s="47" t="s">
        <v>271</v>
      </c>
      <c r="F21" s="47" t="s">
        <v>272</v>
      </c>
      <c r="G21" s="47" t="s">
        <v>273</v>
      </c>
      <c r="H21" s="47" t="s">
        <v>251</v>
      </c>
      <c r="I21" s="47" t="s">
        <v>271</v>
      </c>
      <c r="J21" s="48">
        <f>D28</f>
        <v>100</v>
      </c>
    </row>
    <row r="22" spans="1:10" ht="21" customHeight="1" x14ac:dyDescent="0.15">
      <c r="A22" s="47">
        <v>50007403</v>
      </c>
      <c r="B22" s="47">
        <v>0</v>
      </c>
      <c r="C22" s="47">
        <v>31</v>
      </c>
      <c r="D22" s="47">
        <v>80</v>
      </c>
      <c r="E22" s="47">
        <v>80</v>
      </c>
      <c r="F22" s="47" t="s">
        <v>272</v>
      </c>
      <c r="G22" s="47" t="s">
        <v>273</v>
      </c>
      <c r="H22" s="47" t="s">
        <v>251</v>
      </c>
      <c r="I22" s="47" t="s">
        <v>271</v>
      </c>
      <c r="J22" s="48">
        <f>D29</f>
        <v>100</v>
      </c>
    </row>
    <row r="23" spans="1:10" ht="21" customHeight="1" x14ac:dyDescent="0.15">
      <c r="A23" s="47">
        <v>50007404</v>
      </c>
      <c r="B23" s="47">
        <v>0</v>
      </c>
      <c r="C23" s="47">
        <v>40</v>
      </c>
      <c r="D23" s="47">
        <v>100</v>
      </c>
      <c r="E23" s="47">
        <v>30</v>
      </c>
      <c r="F23" s="47" t="s">
        <v>272</v>
      </c>
      <c r="G23" s="47">
        <v>1</v>
      </c>
      <c r="H23" s="47">
        <v>1</v>
      </c>
      <c r="I23" s="47" t="s">
        <v>271</v>
      </c>
      <c r="J23" s="48">
        <f>D30</f>
        <v>100</v>
      </c>
    </row>
    <row r="24" spans="1:10" ht="21" customHeight="1" x14ac:dyDescent="0.15">
      <c r="A24" s="47">
        <v>50007405</v>
      </c>
      <c r="B24" s="47">
        <v>0</v>
      </c>
      <c r="C24" s="47">
        <v>35</v>
      </c>
      <c r="D24" s="47">
        <v>100</v>
      </c>
      <c r="E24" s="47" t="s">
        <v>273</v>
      </c>
      <c r="F24" s="47" t="s">
        <v>272</v>
      </c>
      <c r="G24" s="47" t="s">
        <v>273</v>
      </c>
      <c r="H24" s="47">
        <v>2</v>
      </c>
      <c r="I24" s="47" t="s">
        <v>251</v>
      </c>
      <c r="J24" s="48">
        <f>D31</f>
        <v>100</v>
      </c>
    </row>
    <row r="25" spans="1:10" ht="21" customHeight="1" x14ac:dyDescent="0.15">
      <c r="A25" s="47">
        <v>50007501</v>
      </c>
      <c r="B25" s="47">
        <v>1</v>
      </c>
      <c r="C25" s="47">
        <v>100</v>
      </c>
      <c r="D25" s="47">
        <v>100</v>
      </c>
      <c r="E25" s="47" t="s">
        <v>271</v>
      </c>
      <c r="F25" s="47" t="s">
        <v>272</v>
      </c>
      <c r="G25" s="47">
        <v>1</v>
      </c>
      <c r="H25" s="47" t="s">
        <v>251</v>
      </c>
      <c r="I25" s="47" t="s">
        <v>271</v>
      </c>
      <c r="J25" s="48">
        <f t="shared" ref="J25:J65" si="1">D31</f>
        <v>100</v>
      </c>
    </row>
    <row r="26" spans="1:10" ht="21" customHeight="1" x14ac:dyDescent="0.15">
      <c r="A26" s="47">
        <v>50007502</v>
      </c>
      <c r="B26" s="47">
        <v>0</v>
      </c>
      <c r="C26" s="47">
        <v>30</v>
      </c>
      <c r="D26" s="47">
        <v>100</v>
      </c>
      <c r="E26" s="47" t="s">
        <v>271</v>
      </c>
      <c r="F26" s="47" t="s">
        <v>272</v>
      </c>
      <c r="G26" s="47" t="s">
        <v>273</v>
      </c>
      <c r="H26" s="47" t="s">
        <v>251</v>
      </c>
      <c r="I26" s="47" t="s">
        <v>271</v>
      </c>
      <c r="J26" s="48">
        <f t="shared" si="1"/>
        <v>100</v>
      </c>
    </row>
    <row r="27" spans="1:10" ht="21" customHeight="1" x14ac:dyDescent="0.15">
      <c r="A27" s="47">
        <v>50007503</v>
      </c>
      <c r="B27" s="47">
        <v>0</v>
      </c>
      <c r="C27" s="47">
        <v>31</v>
      </c>
      <c r="D27" s="47">
        <v>100</v>
      </c>
      <c r="E27" s="47" t="s">
        <v>271</v>
      </c>
      <c r="F27" s="47" t="s">
        <v>272</v>
      </c>
      <c r="G27" s="47" t="s">
        <v>273</v>
      </c>
      <c r="H27" s="47">
        <v>2</v>
      </c>
      <c r="I27" s="47" t="s">
        <v>271</v>
      </c>
      <c r="J27" s="48">
        <f t="shared" si="1"/>
        <v>100</v>
      </c>
    </row>
    <row r="28" spans="1:10" ht="21" customHeight="1" x14ac:dyDescent="0.15">
      <c r="A28" s="47">
        <v>50007504</v>
      </c>
      <c r="B28" s="47">
        <v>0</v>
      </c>
      <c r="C28" s="47">
        <v>40</v>
      </c>
      <c r="D28" s="47">
        <v>100</v>
      </c>
      <c r="E28" s="47">
        <v>50</v>
      </c>
      <c r="F28" s="47" t="s">
        <v>272</v>
      </c>
      <c r="G28" s="47">
        <v>1</v>
      </c>
      <c r="H28" s="47">
        <v>1</v>
      </c>
      <c r="I28" s="47" t="s">
        <v>271</v>
      </c>
      <c r="J28" s="48">
        <f t="shared" si="1"/>
        <v>100</v>
      </c>
    </row>
    <row r="29" spans="1:10" ht="21" customHeight="1" x14ac:dyDescent="0.15">
      <c r="A29" s="47">
        <v>50007505</v>
      </c>
      <c r="B29" s="47">
        <v>0</v>
      </c>
      <c r="C29" s="47">
        <v>39</v>
      </c>
      <c r="D29" s="47">
        <v>100</v>
      </c>
      <c r="E29" s="47">
        <v>50</v>
      </c>
      <c r="F29" s="47" t="s">
        <v>272</v>
      </c>
      <c r="G29" s="47" t="s">
        <v>273</v>
      </c>
      <c r="H29" s="47">
        <v>1</v>
      </c>
      <c r="I29" s="47" t="s">
        <v>271</v>
      </c>
      <c r="J29" s="48">
        <f t="shared" si="1"/>
        <v>100</v>
      </c>
    </row>
    <row r="30" spans="1:10" ht="21" customHeight="1" x14ac:dyDescent="0.15">
      <c r="A30" s="47">
        <v>50007601</v>
      </c>
      <c r="B30" s="47">
        <v>1</v>
      </c>
      <c r="C30" s="47">
        <v>100</v>
      </c>
      <c r="D30" s="47">
        <v>100</v>
      </c>
      <c r="E30" s="47" t="s">
        <v>271</v>
      </c>
      <c r="F30" s="47" t="s">
        <v>272</v>
      </c>
      <c r="G30" s="47">
        <v>1</v>
      </c>
      <c r="H30" s="47" t="s">
        <v>251</v>
      </c>
      <c r="I30" s="47" t="s">
        <v>271</v>
      </c>
      <c r="J30" s="48">
        <f t="shared" si="1"/>
        <v>50</v>
      </c>
    </row>
    <row r="31" spans="1:10" ht="21" customHeight="1" x14ac:dyDescent="0.15">
      <c r="A31" s="47">
        <v>50007602</v>
      </c>
      <c r="B31" s="47">
        <v>0</v>
      </c>
      <c r="C31" s="47">
        <v>30</v>
      </c>
      <c r="D31" s="47">
        <v>100</v>
      </c>
      <c r="E31" s="47" t="s">
        <v>271</v>
      </c>
      <c r="F31" s="47" t="s">
        <v>272</v>
      </c>
      <c r="G31" s="47">
        <v>1</v>
      </c>
      <c r="H31" s="47" t="s">
        <v>251</v>
      </c>
      <c r="I31" s="47" t="s">
        <v>271</v>
      </c>
      <c r="J31" s="48">
        <f t="shared" si="1"/>
        <v>100</v>
      </c>
    </row>
    <row r="32" spans="1:10" ht="21" customHeight="1" x14ac:dyDescent="0.15">
      <c r="A32" s="47">
        <v>50007603</v>
      </c>
      <c r="B32" s="47">
        <v>0</v>
      </c>
      <c r="C32" s="47">
        <v>29</v>
      </c>
      <c r="D32" s="47">
        <v>100</v>
      </c>
      <c r="E32" s="47" t="s">
        <v>271</v>
      </c>
      <c r="F32" s="47" t="s">
        <v>272</v>
      </c>
      <c r="G32" s="47">
        <v>1</v>
      </c>
      <c r="H32" s="47" t="s">
        <v>251</v>
      </c>
      <c r="I32" s="47" t="s">
        <v>271</v>
      </c>
      <c r="J32" s="48">
        <f t="shared" si="1"/>
        <v>100</v>
      </c>
    </row>
    <row r="33" spans="1:11" ht="21" customHeight="1" x14ac:dyDescent="0.15">
      <c r="A33" s="47">
        <v>50007604</v>
      </c>
      <c r="B33" s="47">
        <v>0</v>
      </c>
      <c r="C33" s="47">
        <v>28</v>
      </c>
      <c r="D33" s="47">
        <v>100</v>
      </c>
      <c r="E33" s="47" t="s">
        <v>271</v>
      </c>
      <c r="F33" s="47" t="s">
        <v>272</v>
      </c>
      <c r="G33" s="47">
        <v>1</v>
      </c>
      <c r="H33" s="47" t="s">
        <v>251</v>
      </c>
      <c r="I33" s="47" t="s">
        <v>271</v>
      </c>
      <c r="J33" s="48">
        <f t="shared" si="1"/>
        <v>100</v>
      </c>
    </row>
    <row r="34" spans="1:11" ht="21" customHeight="1" x14ac:dyDescent="0.15">
      <c r="A34" s="47">
        <v>50007605</v>
      </c>
      <c r="B34" s="47">
        <v>0</v>
      </c>
      <c r="C34" s="47">
        <v>27</v>
      </c>
      <c r="D34" s="47">
        <v>100</v>
      </c>
      <c r="E34" s="47" t="s">
        <v>271</v>
      </c>
      <c r="F34" s="47" t="s">
        <v>272</v>
      </c>
      <c r="G34" s="47">
        <v>1</v>
      </c>
      <c r="H34" s="47" t="s">
        <v>251</v>
      </c>
      <c r="I34" s="47" t="s">
        <v>271</v>
      </c>
      <c r="J34" s="48">
        <f t="shared" ref="J34:J43" si="2">D44</f>
        <v>100</v>
      </c>
    </row>
    <row r="35" spans="1:11" ht="21" customHeight="1" x14ac:dyDescent="0.15">
      <c r="A35" s="47">
        <v>50007701</v>
      </c>
      <c r="B35" s="47">
        <v>1</v>
      </c>
      <c r="C35" s="47">
        <v>100</v>
      </c>
      <c r="D35" s="47">
        <v>100</v>
      </c>
      <c r="E35" s="47" t="s">
        <v>271</v>
      </c>
      <c r="F35" s="47" t="s">
        <v>272</v>
      </c>
      <c r="G35" s="47">
        <v>1</v>
      </c>
      <c r="H35" s="47" t="s">
        <v>251</v>
      </c>
      <c r="I35" s="47" t="s">
        <v>271</v>
      </c>
      <c r="J35" s="48">
        <f t="shared" si="2"/>
        <v>100</v>
      </c>
    </row>
    <row r="36" spans="1:11" ht="21" customHeight="1" x14ac:dyDescent="0.15">
      <c r="A36" s="47">
        <v>50007702</v>
      </c>
      <c r="B36" s="47">
        <v>0</v>
      </c>
      <c r="C36" s="47">
        <v>30</v>
      </c>
      <c r="D36" s="47">
        <v>50</v>
      </c>
      <c r="E36" s="47" t="s">
        <v>271</v>
      </c>
      <c r="F36" s="47" t="s">
        <v>272</v>
      </c>
      <c r="G36" s="47" t="s">
        <v>273</v>
      </c>
      <c r="H36" s="47" t="s">
        <v>251</v>
      </c>
      <c r="I36" s="47" t="s">
        <v>271</v>
      </c>
      <c r="J36" s="48">
        <f t="shared" si="2"/>
        <v>100</v>
      </c>
    </row>
    <row r="37" spans="1:11" ht="21" customHeight="1" x14ac:dyDescent="0.15">
      <c r="A37" s="47">
        <v>50007703</v>
      </c>
      <c r="B37" s="47">
        <v>0</v>
      </c>
      <c r="C37" s="47">
        <v>29</v>
      </c>
      <c r="D37" s="47">
        <v>100</v>
      </c>
      <c r="E37" s="47" t="s">
        <v>271</v>
      </c>
      <c r="F37" s="47" t="s">
        <v>272</v>
      </c>
      <c r="G37" s="47" t="s">
        <v>273</v>
      </c>
      <c r="H37" s="47" t="s">
        <v>251</v>
      </c>
      <c r="I37" s="47" t="s">
        <v>271</v>
      </c>
      <c r="J37" s="48">
        <f t="shared" si="2"/>
        <v>50</v>
      </c>
    </row>
    <row r="38" spans="1:11" ht="21" customHeight="1" x14ac:dyDescent="0.15">
      <c r="A38" s="47">
        <v>50007704</v>
      </c>
      <c r="B38" s="47">
        <v>0</v>
      </c>
      <c r="C38" s="47">
        <v>31</v>
      </c>
      <c r="D38" s="47">
        <v>100</v>
      </c>
      <c r="E38" s="47" t="s">
        <v>271</v>
      </c>
      <c r="F38" s="47" t="s">
        <v>272</v>
      </c>
      <c r="G38" s="47">
        <v>2</v>
      </c>
      <c r="H38" s="47">
        <v>2</v>
      </c>
      <c r="I38" s="47" t="s">
        <v>271</v>
      </c>
      <c r="J38" s="48">
        <f t="shared" si="2"/>
        <v>100</v>
      </c>
    </row>
    <row r="39" spans="1:11" ht="21" customHeight="1" x14ac:dyDescent="0.15">
      <c r="A39" s="47">
        <v>50007705</v>
      </c>
      <c r="B39" s="47">
        <v>0</v>
      </c>
      <c r="C39" s="47">
        <v>40</v>
      </c>
      <c r="D39" s="47">
        <v>100</v>
      </c>
      <c r="E39" s="47">
        <v>50</v>
      </c>
      <c r="F39" s="47" t="s">
        <v>272</v>
      </c>
      <c r="G39" s="47">
        <v>1</v>
      </c>
      <c r="H39" s="47">
        <v>1</v>
      </c>
      <c r="I39" s="47" t="s">
        <v>271</v>
      </c>
      <c r="J39" s="48">
        <f t="shared" si="2"/>
        <v>100</v>
      </c>
    </row>
    <row r="40" spans="1:11" s="113" customFormat="1" ht="21" customHeight="1" x14ac:dyDescent="0.15">
      <c r="A40" s="106">
        <v>50007706</v>
      </c>
      <c r="B40" s="106">
        <v>1</v>
      </c>
      <c r="C40" s="106">
        <v>101</v>
      </c>
      <c r="D40" s="106">
        <v>100</v>
      </c>
      <c r="E40" s="106" t="s">
        <v>382</v>
      </c>
      <c r="F40" s="106" t="s">
        <v>271</v>
      </c>
      <c r="G40" s="106">
        <v>1</v>
      </c>
      <c r="H40" s="106" t="s">
        <v>251</v>
      </c>
      <c r="I40" s="106">
        <v>1010</v>
      </c>
      <c r="J40" s="109">
        <f t="shared" si="2"/>
        <v>100</v>
      </c>
      <c r="K40" s="110"/>
    </row>
    <row r="41" spans="1:11" s="113" customFormat="1" ht="21" customHeight="1" x14ac:dyDescent="0.15">
      <c r="A41" s="106">
        <v>50007707</v>
      </c>
      <c r="B41" s="106">
        <v>1</v>
      </c>
      <c r="C41" s="106">
        <v>101</v>
      </c>
      <c r="D41" s="106">
        <v>100</v>
      </c>
      <c r="E41" s="106" t="s">
        <v>382</v>
      </c>
      <c r="F41" s="106" t="s">
        <v>271</v>
      </c>
      <c r="G41" s="106">
        <v>1</v>
      </c>
      <c r="H41" s="106" t="s">
        <v>251</v>
      </c>
      <c r="I41" s="106">
        <v>1011</v>
      </c>
      <c r="J41" s="109">
        <f t="shared" si="2"/>
        <v>100</v>
      </c>
      <c r="K41" s="110"/>
    </row>
    <row r="42" spans="1:11" s="113" customFormat="1" ht="21" customHeight="1" x14ac:dyDescent="0.15">
      <c r="A42" s="106">
        <v>50007708</v>
      </c>
      <c r="B42" s="106">
        <v>1</v>
      </c>
      <c r="C42" s="106">
        <v>102</v>
      </c>
      <c r="D42" s="106">
        <v>100</v>
      </c>
      <c r="E42" s="106" t="s">
        <v>382</v>
      </c>
      <c r="F42" s="106" t="s">
        <v>271</v>
      </c>
      <c r="G42" s="106">
        <v>1</v>
      </c>
      <c r="H42" s="106" t="s">
        <v>251</v>
      </c>
      <c r="I42" s="106">
        <v>1072</v>
      </c>
      <c r="J42" s="109">
        <f t="shared" si="2"/>
        <v>100</v>
      </c>
      <c r="K42" s="110"/>
    </row>
    <row r="43" spans="1:11" s="113" customFormat="1" ht="21" customHeight="1" x14ac:dyDescent="0.15">
      <c r="A43" s="106">
        <v>50007709</v>
      </c>
      <c r="B43" s="106">
        <v>1</v>
      </c>
      <c r="C43" s="106">
        <v>102</v>
      </c>
      <c r="D43" s="106">
        <v>100</v>
      </c>
      <c r="E43" s="106" t="s">
        <v>382</v>
      </c>
      <c r="F43" s="106" t="s">
        <v>271</v>
      </c>
      <c r="G43" s="106">
        <v>1</v>
      </c>
      <c r="H43" s="106" t="s">
        <v>251</v>
      </c>
      <c r="I43" s="106">
        <v>1073</v>
      </c>
      <c r="J43" s="109">
        <f t="shared" si="2"/>
        <v>100</v>
      </c>
      <c r="K43" s="110"/>
    </row>
    <row r="44" spans="1:11" ht="21" customHeight="1" x14ac:dyDescent="0.15">
      <c r="A44" s="47">
        <v>50007801</v>
      </c>
      <c r="B44" s="47">
        <v>1</v>
      </c>
      <c r="C44" s="47">
        <v>100</v>
      </c>
      <c r="D44" s="47">
        <v>100</v>
      </c>
      <c r="E44" s="47" t="s">
        <v>271</v>
      </c>
      <c r="F44" s="47" t="s">
        <v>272</v>
      </c>
      <c r="G44" s="47">
        <v>1</v>
      </c>
      <c r="H44" s="47" t="s">
        <v>251</v>
      </c>
      <c r="I44" s="47" t="s">
        <v>271</v>
      </c>
      <c r="J44" s="48">
        <f t="shared" si="1"/>
        <v>100</v>
      </c>
    </row>
    <row r="45" spans="1:11" ht="21" customHeight="1" x14ac:dyDescent="0.15">
      <c r="A45" s="47">
        <v>50007802</v>
      </c>
      <c r="B45" s="47">
        <v>0</v>
      </c>
      <c r="C45" s="47">
        <v>46</v>
      </c>
      <c r="D45" s="47">
        <v>100</v>
      </c>
      <c r="E45" s="47" t="s">
        <v>271</v>
      </c>
      <c r="F45" s="47" t="s">
        <v>272</v>
      </c>
      <c r="G45" s="47" t="s">
        <v>273</v>
      </c>
      <c r="H45" s="47">
        <v>8</v>
      </c>
      <c r="I45" s="47" t="s">
        <v>271</v>
      </c>
      <c r="J45" s="48">
        <f t="shared" si="1"/>
        <v>100</v>
      </c>
    </row>
    <row r="46" spans="1:11" ht="21" customHeight="1" x14ac:dyDescent="0.15">
      <c r="A46" s="47">
        <v>50007803</v>
      </c>
      <c r="B46" s="47">
        <v>0</v>
      </c>
      <c r="C46" s="47">
        <v>45</v>
      </c>
      <c r="D46" s="47">
        <v>100</v>
      </c>
      <c r="E46" s="47" t="s">
        <v>271</v>
      </c>
      <c r="F46" s="47" t="s">
        <v>272</v>
      </c>
      <c r="G46" s="47" t="s">
        <v>273</v>
      </c>
      <c r="H46" s="47">
        <v>4</v>
      </c>
      <c r="I46" s="47" t="s">
        <v>271</v>
      </c>
      <c r="J46" s="48">
        <f t="shared" si="1"/>
        <v>100</v>
      </c>
    </row>
    <row r="47" spans="1:11" ht="21" customHeight="1" x14ac:dyDescent="0.15">
      <c r="A47" s="47">
        <v>50007804</v>
      </c>
      <c r="B47" s="47">
        <v>0</v>
      </c>
      <c r="C47" s="47">
        <v>30</v>
      </c>
      <c r="D47" s="47">
        <v>50</v>
      </c>
      <c r="E47" s="47" t="s">
        <v>271</v>
      </c>
      <c r="F47" s="47" t="s">
        <v>272</v>
      </c>
      <c r="G47" s="47" t="s">
        <v>273</v>
      </c>
      <c r="H47" s="47" t="s">
        <v>251</v>
      </c>
      <c r="I47" s="47" t="s">
        <v>271</v>
      </c>
      <c r="J47" s="48">
        <f t="shared" si="1"/>
        <v>100</v>
      </c>
    </row>
    <row r="48" spans="1:11" ht="21" customHeight="1" x14ac:dyDescent="0.15">
      <c r="A48" s="47">
        <v>50007805</v>
      </c>
      <c r="B48" s="47">
        <v>0</v>
      </c>
      <c r="C48" s="47">
        <v>29</v>
      </c>
      <c r="D48" s="47">
        <v>100</v>
      </c>
      <c r="E48" s="47" t="s">
        <v>271</v>
      </c>
      <c r="F48" s="47" t="s">
        <v>272</v>
      </c>
      <c r="G48" s="47" t="s">
        <v>273</v>
      </c>
      <c r="H48" s="47" t="s">
        <v>251</v>
      </c>
      <c r="I48" s="47" t="s">
        <v>271</v>
      </c>
      <c r="J48" s="48">
        <f t="shared" si="1"/>
        <v>100</v>
      </c>
    </row>
    <row r="49" spans="1:10" ht="21" customHeight="1" x14ac:dyDescent="0.15">
      <c r="A49" s="47">
        <v>50007806</v>
      </c>
      <c r="B49" s="47">
        <v>0</v>
      </c>
      <c r="C49" s="47">
        <v>40</v>
      </c>
      <c r="D49" s="47">
        <v>100</v>
      </c>
      <c r="E49" s="47" t="s">
        <v>273</v>
      </c>
      <c r="F49" s="47" t="s">
        <v>272</v>
      </c>
      <c r="G49" s="47">
        <v>1</v>
      </c>
      <c r="H49" s="47">
        <v>1</v>
      </c>
      <c r="I49" s="47" t="s">
        <v>271</v>
      </c>
      <c r="J49" s="48">
        <f t="shared" si="1"/>
        <v>100</v>
      </c>
    </row>
    <row r="50" spans="1:10" ht="21" customHeight="1" x14ac:dyDescent="0.15">
      <c r="A50" s="47">
        <v>50007901</v>
      </c>
      <c r="B50" s="47">
        <v>1</v>
      </c>
      <c r="C50" s="47">
        <v>100</v>
      </c>
      <c r="D50" s="47">
        <v>100</v>
      </c>
      <c r="E50" s="47" t="s">
        <v>271</v>
      </c>
      <c r="F50" s="47" t="s">
        <v>272</v>
      </c>
      <c r="G50" s="47">
        <v>1</v>
      </c>
      <c r="H50" s="47" t="s">
        <v>251</v>
      </c>
      <c r="I50" s="47" t="s">
        <v>271</v>
      </c>
      <c r="J50" s="48">
        <f t="shared" si="1"/>
        <v>100</v>
      </c>
    </row>
    <row r="51" spans="1:10" ht="21" customHeight="1" x14ac:dyDescent="0.15">
      <c r="A51" s="47">
        <v>50007902</v>
      </c>
      <c r="B51" s="47">
        <v>0</v>
      </c>
      <c r="C51" s="47">
        <v>50</v>
      </c>
      <c r="D51" s="47">
        <v>100</v>
      </c>
      <c r="E51" s="47" t="s">
        <v>271</v>
      </c>
      <c r="F51" s="47">
        <v>50</v>
      </c>
      <c r="G51" s="47">
        <v>1</v>
      </c>
      <c r="H51" s="47" t="s">
        <v>251</v>
      </c>
      <c r="I51" s="47" t="s">
        <v>271</v>
      </c>
      <c r="J51" s="48">
        <f t="shared" si="1"/>
        <v>100</v>
      </c>
    </row>
    <row r="52" spans="1:10" ht="21" customHeight="1" x14ac:dyDescent="0.15">
      <c r="A52" s="47">
        <v>50007903</v>
      </c>
      <c r="B52" s="47">
        <v>0</v>
      </c>
      <c r="C52" s="47">
        <v>49</v>
      </c>
      <c r="D52" s="47">
        <v>100</v>
      </c>
      <c r="E52" s="47" t="s">
        <v>271</v>
      </c>
      <c r="F52" s="47">
        <v>50</v>
      </c>
      <c r="G52" s="47">
        <v>1</v>
      </c>
      <c r="H52" s="47" t="s">
        <v>251</v>
      </c>
      <c r="I52" s="47" t="s">
        <v>271</v>
      </c>
      <c r="J52" s="48">
        <f t="shared" si="1"/>
        <v>100</v>
      </c>
    </row>
    <row r="53" spans="1:10" ht="21" customHeight="1" x14ac:dyDescent="0.15">
      <c r="A53" s="47">
        <v>50007904</v>
      </c>
      <c r="B53" s="47">
        <v>0</v>
      </c>
      <c r="C53" s="47">
        <v>30</v>
      </c>
      <c r="D53" s="47">
        <v>100</v>
      </c>
      <c r="E53" s="47" t="s">
        <v>271</v>
      </c>
      <c r="F53" s="47" t="s">
        <v>272</v>
      </c>
      <c r="G53" s="47">
        <v>1</v>
      </c>
      <c r="H53" s="47" t="s">
        <v>251</v>
      </c>
      <c r="I53" s="47" t="s">
        <v>271</v>
      </c>
      <c r="J53" s="48">
        <f t="shared" si="1"/>
        <v>100</v>
      </c>
    </row>
    <row r="54" spans="1:10" ht="21" customHeight="1" x14ac:dyDescent="0.15">
      <c r="A54" s="47">
        <v>50007905</v>
      </c>
      <c r="B54" s="47">
        <v>0</v>
      </c>
      <c r="C54" s="47">
        <v>29</v>
      </c>
      <c r="D54" s="47">
        <v>100</v>
      </c>
      <c r="E54" s="47" t="s">
        <v>271</v>
      </c>
      <c r="F54" s="47" t="s">
        <v>272</v>
      </c>
      <c r="G54" s="47">
        <v>1</v>
      </c>
      <c r="H54" s="47" t="s">
        <v>251</v>
      </c>
      <c r="I54" s="47" t="s">
        <v>271</v>
      </c>
      <c r="J54" s="48">
        <f t="shared" si="1"/>
        <v>100</v>
      </c>
    </row>
    <row r="55" spans="1:10" ht="21" customHeight="1" x14ac:dyDescent="0.15">
      <c r="A55" s="47">
        <v>50007906</v>
      </c>
      <c r="B55" s="47">
        <v>0</v>
      </c>
      <c r="C55" s="47">
        <v>30</v>
      </c>
      <c r="D55" s="47">
        <v>100</v>
      </c>
      <c r="E55" s="47" t="s">
        <v>271</v>
      </c>
      <c r="F55" s="47" t="s">
        <v>272</v>
      </c>
      <c r="G55" s="47">
        <v>1</v>
      </c>
      <c r="H55" s="47" t="s">
        <v>251</v>
      </c>
      <c r="I55" s="47" t="s">
        <v>271</v>
      </c>
      <c r="J55" s="48">
        <f t="shared" si="1"/>
        <v>100</v>
      </c>
    </row>
    <row r="56" spans="1:10" ht="21" customHeight="1" x14ac:dyDescent="0.15">
      <c r="A56" s="47">
        <v>50007907</v>
      </c>
      <c r="B56" s="47">
        <v>0</v>
      </c>
      <c r="C56" s="47">
        <v>29</v>
      </c>
      <c r="D56" s="47">
        <v>100</v>
      </c>
      <c r="E56" s="47" t="s">
        <v>271</v>
      </c>
      <c r="F56" s="47" t="s">
        <v>272</v>
      </c>
      <c r="G56" s="47">
        <v>1</v>
      </c>
      <c r="H56" s="47" t="s">
        <v>251</v>
      </c>
      <c r="I56" s="47" t="s">
        <v>271</v>
      </c>
      <c r="J56" s="48">
        <f t="shared" si="1"/>
        <v>100</v>
      </c>
    </row>
    <row r="57" spans="1:10" ht="21" customHeight="1" x14ac:dyDescent="0.15">
      <c r="A57" s="47">
        <v>50007908</v>
      </c>
      <c r="B57" s="47">
        <v>0</v>
      </c>
      <c r="C57" s="47">
        <v>30</v>
      </c>
      <c r="D57" s="47">
        <v>100</v>
      </c>
      <c r="E57" s="47" t="s">
        <v>271</v>
      </c>
      <c r="F57" s="47" t="s">
        <v>272</v>
      </c>
      <c r="G57" s="47">
        <v>1</v>
      </c>
      <c r="H57" s="47" t="s">
        <v>251</v>
      </c>
      <c r="I57" s="47" t="s">
        <v>271</v>
      </c>
      <c r="J57" s="48">
        <f t="shared" si="1"/>
        <v>100</v>
      </c>
    </row>
    <row r="58" spans="1:10" ht="21" customHeight="1" x14ac:dyDescent="0.15">
      <c r="A58" s="47">
        <v>50007909</v>
      </c>
      <c r="B58" s="47">
        <v>0</v>
      </c>
      <c r="C58" s="47">
        <v>29</v>
      </c>
      <c r="D58" s="47">
        <v>100</v>
      </c>
      <c r="E58" s="47" t="s">
        <v>271</v>
      </c>
      <c r="F58" s="47" t="s">
        <v>272</v>
      </c>
      <c r="G58" s="47">
        <v>1</v>
      </c>
      <c r="H58" s="47" t="s">
        <v>251</v>
      </c>
      <c r="I58" s="47" t="s">
        <v>271</v>
      </c>
      <c r="J58" s="48">
        <f t="shared" si="1"/>
        <v>100</v>
      </c>
    </row>
    <row r="59" spans="1:10" ht="21" customHeight="1" x14ac:dyDescent="0.15">
      <c r="A59" s="47">
        <v>50007910</v>
      </c>
      <c r="B59" s="47">
        <v>0</v>
      </c>
      <c r="C59" s="47">
        <v>20</v>
      </c>
      <c r="D59" s="47">
        <v>100</v>
      </c>
      <c r="E59" s="47" t="s">
        <v>271</v>
      </c>
      <c r="F59" s="47">
        <v>50</v>
      </c>
      <c r="G59" s="47">
        <v>1</v>
      </c>
      <c r="H59" s="47" t="s">
        <v>251</v>
      </c>
      <c r="I59" s="47" t="s">
        <v>271</v>
      </c>
      <c r="J59" s="48">
        <f t="shared" si="1"/>
        <v>100</v>
      </c>
    </row>
    <row r="60" spans="1:10" ht="21" customHeight="1" x14ac:dyDescent="0.15">
      <c r="A60" s="47">
        <v>50007911</v>
      </c>
      <c r="B60" s="47">
        <v>0</v>
      </c>
      <c r="C60" s="47">
        <v>19</v>
      </c>
      <c r="D60" s="47">
        <v>100</v>
      </c>
      <c r="E60" s="47" t="s">
        <v>271</v>
      </c>
      <c r="F60" s="47">
        <v>50</v>
      </c>
      <c r="G60" s="47" t="s">
        <v>251</v>
      </c>
      <c r="H60" s="47" t="s">
        <v>251</v>
      </c>
      <c r="I60" s="47" t="s">
        <v>271</v>
      </c>
      <c r="J60" s="48">
        <f t="shared" si="1"/>
        <v>100</v>
      </c>
    </row>
    <row r="61" spans="1:10" ht="21" customHeight="1" x14ac:dyDescent="0.15">
      <c r="A61" s="47">
        <v>50007912</v>
      </c>
      <c r="B61" s="47">
        <v>0</v>
      </c>
      <c r="C61" s="47">
        <v>40</v>
      </c>
      <c r="D61" s="47">
        <v>100</v>
      </c>
      <c r="E61" s="47">
        <v>50</v>
      </c>
      <c r="F61" s="47" t="s">
        <v>272</v>
      </c>
      <c r="G61" s="47">
        <v>1</v>
      </c>
      <c r="H61" s="47" t="s">
        <v>251</v>
      </c>
      <c r="I61" s="47" t="s">
        <v>271</v>
      </c>
      <c r="J61" s="48">
        <f t="shared" si="1"/>
        <v>100</v>
      </c>
    </row>
    <row r="62" spans="1:10" ht="21" customHeight="1" x14ac:dyDescent="0.15">
      <c r="A62" s="47">
        <v>50007913</v>
      </c>
      <c r="B62" s="47">
        <v>0</v>
      </c>
      <c r="C62" s="47">
        <v>39</v>
      </c>
      <c r="D62" s="47">
        <v>100</v>
      </c>
      <c r="E62" s="47">
        <v>50</v>
      </c>
      <c r="F62" s="47" t="s">
        <v>272</v>
      </c>
      <c r="G62" s="47">
        <v>1</v>
      </c>
      <c r="H62" s="47" t="s">
        <v>251</v>
      </c>
      <c r="I62" s="47" t="s">
        <v>271</v>
      </c>
      <c r="J62" s="48">
        <f t="shared" si="1"/>
        <v>100</v>
      </c>
    </row>
    <row r="63" spans="1:10" ht="21" customHeight="1" x14ac:dyDescent="0.15">
      <c r="A63" s="47">
        <v>50007914</v>
      </c>
      <c r="B63" s="47">
        <v>0</v>
      </c>
      <c r="C63" s="47">
        <v>38</v>
      </c>
      <c r="D63" s="47">
        <v>100</v>
      </c>
      <c r="E63" s="47">
        <v>50</v>
      </c>
      <c r="F63" s="47" t="s">
        <v>272</v>
      </c>
      <c r="G63" s="47">
        <v>1</v>
      </c>
      <c r="H63" s="47" t="s">
        <v>251</v>
      </c>
      <c r="I63" s="47" t="s">
        <v>271</v>
      </c>
      <c r="J63" s="48">
        <f t="shared" si="1"/>
        <v>100</v>
      </c>
    </row>
    <row r="64" spans="1:10" ht="21" customHeight="1" x14ac:dyDescent="0.15">
      <c r="A64" s="47">
        <v>50007915</v>
      </c>
      <c r="B64" s="47">
        <v>0</v>
      </c>
      <c r="C64" s="47">
        <v>20</v>
      </c>
      <c r="D64" s="47">
        <v>100</v>
      </c>
      <c r="E64" s="47">
        <v>50</v>
      </c>
      <c r="F64" s="47" t="s">
        <v>272</v>
      </c>
      <c r="G64" s="47">
        <v>1</v>
      </c>
      <c r="H64" s="47" t="s">
        <v>251</v>
      </c>
      <c r="I64" s="47" t="s">
        <v>271</v>
      </c>
      <c r="J64" s="48">
        <f t="shared" si="1"/>
        <v>100</v>
      </c>
    </row>
    <row r="65" spans="1:10" ht="21" customHeight="1" x14ac:dyDescent="0.15">
      <c r="A65" s="47">
        <v>50007916</v>
      </c>
      <c r="B65" s="47">
        <v>0</v>
      </c>
      <c r="C65" s="47">
        <v>19</v>
      </c>
      <c r="D65" s="47">
        <v>100</v>
      </c>
      <c r="E65" s="47">
        <v>50</v>
      </c>
      <c r="F65" s="47" t="s">
        <v>272</v>
      </c>
      <c r="G65" s="47" t="s">
        <v>251</v>
      </c>
      <c r="H65" s="47" t="s">
        <v>251</v>
      </c>
      <c r="I65" s="47" t="s">
        <v>271</v>
      </c>
      <c r="J65" s="48">
        <f t="shared" si="1"/>
        <v>0</v>
      </c>
    </row>
    <row r="66" spans="1:10" ht="21" customHeight="1" x14ac:dyDescent="0.15">
      <c r="A66" s="47">
        <v>50007917</v>
      </c>
      <c r="B66" s="47">
        <v>0</v>
      </c>
      <c r="C66" s="47">
        <v>100</v>
      </c>
      <c r="D66" s="47">
        <v>100</v>
      </c>
      <c r="E66" s="47" t="s">
        <v>382</v>
      </c>
      <c r="F66" s="47" t="s">
        <v>271</v>
      </c>
      <c r="G66" s="47">
        <v>0</v>
      </c>
      <c r="H66" s="47" t="s">
        <v>251</v>
      </c>
      <c r="I66" s="47">
        <v>0</v>
      </c>
      <c r="J66" s="48">
        <f t="shared" ref="J66" si="3">D72</f>
        <v>0</v>
      </c>
    </row>
    <row r="67" spans="1:10" ht="21" customHeight="1" x14ac:dyDescent="0.15">
      <c r="A67" s="106">
        <v>50007918</v>
      </c>
      <c r="B67" s="106">
        <v>0</v>
      </c>
      <c r="C67" s="106">
        <v>101</v>
      </c>
      <c r="D67" s="106">
        <v>100</v>
      </c>
      <c r="E67" s="106" t="s">
        <v>382</v>
      </c>
      <c r="F67" s="106" t="s">
        <v>271</v>
      </c>
      <c r="G67" s="106">
        <v>0</v>
      </c>
      <c r="H67" s="106" t="s">
        <v>251</v>
      </c>
      <c r="I67" s="106">
        <v>1010</v>
      </c>
      <c r="J67" s="109">
        <f t="shared" ref="J67:J68" si="4">D73</f>
        <v>0</v>
      </c>
    </row>
    <row r="68" spans="1:10" ht="21" customHeight="1" x14ac:dyDescent="0.15">
      <c r="A68" s="106">
        <v>50007919</v>
      </c>
      <c r="B68" s="106">
        <v>0</v>
      </c>
      <c r="C68" s="106">
        <v>101</v>
      </c>
      <c r="D68" s="106">
        <v>100</v>
      </c>
      <c r="E68" s="106" t="s">
        <v>382</v>
      </c>
      <c r="F68" s="106" t="s">
        <v>271</v>
      </c>
      <c r="G68" s="106">
        <v>0</v>
      </c>
      <c r="H68" s="106" t="s">
        <v>251</v>
      </c>
      <c r="I68" s="106">
        <v>1011</v>
      </c>
      <c r="J68" s="109">
        <f t="shared" si="4"/>
        <v>0</v>
      </c>
    </row>
    <row r="69" spans="1:10" ht="21" customHeight="1" x14ac:dyDescent="0.15">
      <c r="A69" s="106">
        <v>50007920</v>
      </c>
      <c r="B69" s="106">
        <v>0</v>
      </c>
      <c r="C69" s="106">
        <v>102</v>
      </c>
      <c r="D69" s="106">
        <v>100</v>
      </c>
      <c r="E69" s="106" t="s">
        <v>382</v>
      </c>
      <c r="F69" s="106" t="s">
        <v>271</v>
      </c>
      <c r="G69" s="106">
        <v>0</v>
      </c>
      <c r="H69" s="106" t="s">
        <v>251</v>
      </c>
      <c r="I69" s="106">
        <v>1072</v>
      </c>
      <c r="J69" s="109">
        <f t="shared" ref="J69:J70" si="5">D75</f>
        <v>0</v>
      </c>
    </row>
    <row r="70" spans="1:10" ht="21" customHeight="1" x14ac:dyDescent="0.15">
      <c r="A70" s="106">
        <v>50007921</v>
      </c>
      <c r="B70" s="106">
        <v>0</v>
      </c>
      <c r="C70" s="106">
        <v>102</v>
      </c>
      <c r="D70" s="106">
        <v>100</v>
      </c>
      <c r="E70" s="106" t="s">
        <v>382</v>
      </c>
      <c r="F70" s="106" t="s">
        <v>271</v>
      </c>
      <c r="G70" s="106">
        <v>0</v>
      </c>
      <c r="H70" s="106" t="s">
        <v>251</v>
      </c>
      <c r="I70" s="106">
        <v>1073</v>
      </c>
      <c r="J70" s="109">
        <f t="shared" si="5"/>
        <v>0</v>
      </c>
    </row>
  </sheetData>
  <autoFilter ref="A1:G1"/>
  <phoneticPr fontId="5"/>
  <conditionalFormatting sqref="K71:K1048576 K1:K23 K25:K39 K44:K65">
    <cfRule type="duplicateValues" dxfId="7" priority="8"/>
  </conditionalFormatting>
  <conditionalFormatting sqref="K24">
    <cfRule type="duplicateValues" dxfId="6" priority="7"/>
  </conditionalFormatting>
  <conditionalFormatting sqref="K66">
    <cfRule type="duplicateValues" dxfId="5" priority="6"/>
  </conditionalFormatting>
  <conditionalFormatting sqref="K67">
    <cfRule type="duplicateValues" dxfId="4" priority="5"/>
  </conditionalFormatting>
  <conditionalFormatting sqref="K68">
    <cfRule type="duplicateValues" dxfId="3" priority="4"/>
  </conditionalFormatting>
  <conditionalFormatting sqref="K69">
    <cfRule type="duplicateValues" dxfId="2" priority="3"/>
  </conditionalFormatting>
  <conditionalFormatting sqref="K70">
    <cfRule type="duplicateValues" dxfId="1" priority="2"/>
  </conditionalFormatting>
  <conditionalFormatting sqref="K40:K4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topLeftCell="B1" workbookViewId="0">
      <selection activeCell="B10" sqref="B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1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v>50007</v>
      </c>
      <c r="B2" s="57">
        <v>1</v>
      </c>
      <c r="C2" s="103" t="s">
        <v>264</v>
      </c>
      <c r="D2" s="104" t="s">
        <v>261</v>
      </c>
      <c r="E2" s="57">
        <v>1</v>
      </c>
      <c r="F2" s="57" t="s">
        <v>167</v>
      </c>
      <c r="G2" s="57">
        <v>65000</v>
      </c>
      <c r="H2" s="57" t="s">
        <v>262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</v>
      </c>
      <c r="Q2" s="57" t="s">
        <v>168</v>
      </c>
      <c r="R2" s="57" t="s">
        <v>169</v>
      </c>
    </row>
    <row r="3" spans="1:18" x14ac:dyDescent="0.15">
      <c r="A3" s="57">
        <v>50007</v>
      </c>
      <c r="B3" s="57">
        <v>1</v>
      </c>
      <c r="C3" s="57" t="s">
        <v>264</v>
      </c>
      <c r="D3" s="57" t="s">
        <v>261</v>
      </c>
      <c r="E3" s="57">
        <v>2</v>
      </c>
      <c r="F3" s="57" t="s">
        <v>263</v>
      </c>
      <c r="G3" s="57">
        <v>335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250</v>
      </c>
      <c r="Q3" s="57" t="s">
        <v>168</v>
      </c>
      <c r="R3" s="57" t="s">
        <v>169</v>
      </c>
    </row>
    <row r="4" spans="1:18" x14ac:dyDescent="0.15">
      <c r="A4" s="57">
        <v>50007</v>
      </c>
      <c r="B4" s="57">
        <v>1</v>
      </c>
      <c r="C4" s="57" t="s">
        <v>264</v>
      </c>
      <c r="D4" s="57" t="s">
        <v>261</v>
      </c>
      <c r="E4" s="57">
        <v>3</v>
      </c>
      <c r="F4" s="57" t="s">
        <v>263</v>
      </c>
      <c r="G4" s="57">
        <v>349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50</v>
      </c>
      <c r="Q4" s="57" t="s">
        <v>168</v>
      </c>
      <c r="R4" s="57" t="s">
        <v>169</v>
      </c>
    </row>
    <row r="5" spans="1:18" x14ac:dyDescent="0.15">
      <c r="A5" s="57">
        <v>50007</v>
      </c>
      <c r="B5" s="57">
        <v>1</v>
      </c>
      <c r="C5" s="57" t="s">
        <v>264</v>
      </c>
      <c r="D5" s="57" t="s">
        <v>261</v>
      </c>
      <c r="E5" s="57">
        <v>4</v>
      </c>
      <c r="F5" s="57" t="s">
        <v>263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30</v>
      </c>
      <c r="Q5" s="57" t="s">
        <v>168</v>
      </c>
      <c r="R5" s="57" t="s">
        <v>169</v>
      </c>
    </row>
    <row r="6" spans="1:18" x14ac:dyDescent="0.15">
      <c r="A6" s="57">
        <v>50007</v>
      </c>
      <c r="B6" s="57">
        <v>1</v>
      </c>
      <c r="C6" s="57" t="s">
        <v>264</v>
      </c>
      <c r="D6" s="57" t="s">
        <v>261</v>
      </c>
      <c r="E6" s="57">
        <v>5</v>
      </c>
      <c r="F6" s="57" t="s">
        <v>263</v>
      </c>
      <c r="G6" s="57">
        <v>607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80</v>
      </c>
      <c r="Q6" s="57" t="s">
        <v>168</v>
      </c>
      <c r="R6" s="57" t="s">
        <v>169</v>
      </c>
    </row>
    <row r="7" spans="1:18" x14ac:dyDescent="0.15">
      <c r="A7" s="57">
        <v>50007</v>
      </c>
      <c r="B7" s="57">
        <v>1</v>
      </c>
      <c r="C7" s="57" t="s">
        <v>264</v>
      </c>
      <c r="D7" s="57" t="s">
        <v>261</v>
      </c>
      <c r="E7" s="57">
        <v>6</v>
      </c>
      <c r="F7" s="57" t="s">
        <v>263</v>
      </c>
      <c r="G7" s="57">
        <v>608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80</v>
      </c>
      <c r="Q7" s="57" t="s">
        <v>168</v>
      </c>
      <c r="R7" s="57" t="s">
        <v>169</v>
      </c>
    </row>
    <row r="8" spans="1:18" x14ac:dyDescent="0.15">
      <c r="A8" s="57">
        <v>50007</v>
      </c>
      <c r="B8" s="57">
        <v>1</v>
      </c>
      <c r="C8" s="57" t="s">
        <v>264</v>
      </c>
      <c r="D8" s="57" t="s">
        <v>261</v>
      </c>
      <c r="E8" s="57">
        <v>7</v>
      </c>
      <c r="F8" s="57" t="s">
        <v>263</v>
      </c>
      <c r="G8" s="57">
        <v>609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80</v>
      </c>
      <c r="Q8" s="57" t="s">
        <v>168</v>
      </c>
      <c r="R8" s="57" t="s">
        <v>169</v>
      </c>
    </row>
    <row r="9" spans="1:18" x14ac:dyDescent="0.15">
      <c r="A9" s="57">
        <v>50007</v>
      </c>
      <c r="B9" s="57">
        <v>1</v>
      </c>
      <c r="C9" s="57" t="s">
        <v>264</v>
      </c>
      <c r="D9" s="57" t="s">
        <v>261</v>
      </c>
      <c r="E9" s="57">
        <v>8</v>
      </c>
      <c r="F9" s="57" t="s">
        <v>263</v>
      </c>
      <c r="G9" s="57">
        <v>610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20</v>
      </c>
      <c r="Q9" s="57" t="s">
        <v>168</v>
      </c>
      <c r="R9" s="57" t="s">
        <v>169</v>
      </c>
    </row>
    <row r="10" spans="1:18" x14ac:dyDescent="0.15">
      <c r="A10" s="57">
        <v>50007</v>
      </c>
      <c r="B10" s="57">
        <v>1</v>
      </c>
      <c r="C10" s="57" t="s">
        <v>264</v>
      </c>
      <c r="D10" s="57" t="s">
        <v>261</v>
      </c>
      <c r="E10" s="57">
        <v>9</v>
      </c>
      <c r="F10" s="57" t="s">
        <v>263</v>
      </c>
      <c r="G10" s="57">
        <v>611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7" t="s">
        <v>168</v>
      </c>
      <c r="R10" s="57" t="s">
        <v>169</v>
      </c>
    </row>
    <row r="11" spans="1:18" x14ac:dyDescent="0.15">
      <c r="A11" s="57">
        <v>50007</v>
      </c>
      <c r="B11" s="57">
        <v>1</v>
      </c>
      <c r="C11" s="57" t="s">
        <v>264</v>
      </c>
      <c r="D11" s="57" t="s">
        <v>261</v>
      </c>
      <c r="E11" s="57">
        <v>10</v>
      </c>
      <c r="F11" s="57" t="s">
        <v>263</v>
      </c>
      <c r="G11" s="57">
        <v>612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30</v>
      </c>
      <c r="Q11" s="57" t="s">
        <v>168</v>
      </c>
      <c r="R11" s="57" t="s">
        <v>169</v>
      </c>
    </row>
    <row r="12" spans="1:18" x14ac:dyDescent="0.15">
      <c r="A12" s="57">
        <v>50007</v>
      </c>
      <c r="B12" s="57">
        <v>1</v>
      </c>
      <c r="C12" s="57" t="s">
        <v>264</v>
      </c>
      <c r="D12" s="57" t="s">
        <v>261</v>
      </c>
      <c r="E12" s="57">
        <v>11</v>
      </c>
      <c r="F12" s="57" t="s">
        <v>263</v>
      </c>
      <c r="G12" s="57">
        <v>613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30</v>
      </c>
      <c r="Q12" s="57" t="s">
        <v>168</v>
      </c>
      <c r="R12" s="57" t="s">
        <v>169</v>
      </c>
    </row>
    <row r="13" spans="1:18" x14ac:dyDescent="0.15">
      <c r="A13" s="57">
        <v>50007</v>
      </c>
      <c r="B13" s="57">
        <v>1</v>
      </c>
      <c r="C13" s="57" t="s">
        <v>264</v>
      </c>
      <c r="D13" s="57" t="s">
        <v>261</v>
      </c>
      <c r="E13" s="57">
        <v>12</v>
      </c>
      <c r="F13" s="57" t="s">
        <v>263</v>
      </c>
      <c r="G13" s="57">
        <v>614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</v>
      </c>
      <c r="Q13" s="57" t="s">
        <v>168</v>
      </c>
      <c r="R13" s="57" t="s">
        <v>169</v>
      </c>
    </row>
    <row r="14" spans="1:18" x14ac:dyDescent="0.15">
      <c r="A14" s="57">
        <v>50007</v>
      </c>
      <c r="B14" s="57">
        <v>1</v>
      </c>
      <c r="C14" s="57" t="s">
        <v>264</v>
      </c>
      <c r="D14" s="57" t="s">
        <v>261</v>
      </c>
      <c r="E14" s="57">
        <v>13</v>
      </c>
      <c r="F14" s="57" t="s">
        <v>263</v>
      </c>
      <c r="G14" s="57">
        <v>837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</v>
      </c>
      <c r="Q14" s="57" t="s">
        <v>168</v>
      </c>
      <c r="R14" s="57" t="s">
        <v>169</v>
      </c>
    </row>
    <row r="15" spans="1:18" x14ac:dyDescent="0.15">
      <c r="A15" s="57">
        <v>50007</v>
      </c>
      <c r="B15" s="57">
        <v>1</v>
      </c>
      <c r="C15" s="57" t="s">
        <v>264</v>
      </c>
      <c r="D15" s="57" t="s">
        <v>261</v>
      </c>
      <c r="E15" s="57">
        <v>14</v>
      </c>
      <c r="F15" s="57" t="s">
        <v>263</v>
      </c>
      <c r="G15" s="57">
        <v>1065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250</v>
      </c>
      <c r="Q15" s="57" t="s">
        <v>168</v>
      </c>
      <c r="R15" s="57" t="s">
        <v>169</v>
      </c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48" sqref="A4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187</v>
      </c>
      <c r="B1" s="72" t="s">
        <v>188</v>
      </c>
      <c r="C1" s="76" t="s">
        <v>189</v>
      </c>
      <c r="D1" s="76" t="s">
        <v>33</v>
      </c>
      <c r="E1" s="72" t="s">
        <v>190</v>
      </c>
      <c r="F1" s="76" t="s">
        <v>191</v>
      </c>
      <c r="G1" s="76" t="s">
        <v>33</v>
      </c>
      <c r="H1" s="72" t="s">
        <v>192</v>
      </c>
      <c r="I1" s="90" t="s">
        <v>194</v>
      </c>
      <c r="J1" s="78" t="s">
        <v>125</v>
      </c>
      <c r="K1" s="77" t="s">
        <v>185</v>
      </c>
      <c r="L1" s="91" t="s">
        <v>184</v>
      </c>
      <c r="M1" s="79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6"/>
  <sheetViews>
    <sheetView showGridLines="0" workbookViewId="0">
      <pane ySplit="1" topLeftCell="A2" activePane="bottomLeft" state="frozen"/>
      <selection pane="bottomLeft" activeCell="K13" sqref="K13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187</v>
      </c>
      <c r="B1" s="72" t="s">
        <v>149</v>
      </c>
      <c r="C1" s="76" t="s">
        <v>189</v>
      </c>
      <c r="D1" s="76" t="s">
        <v>33</v>
      </c>
      <c r="E1" s="72" t="s">
        <v>190</v>
      </c>
      <c r="F1" s="76" t="s">
        <v>18</v>
      </c>
      <c r="G1" s="76" t="s">
        <v>33</v>
      </c>
      <c r="H1" s="72" t="s">
        <v>192</v>
      </c>
      <c r="I1" s="88" t="s">
        <v>193</v>
      </c>
      <c r="J1" s="90" t="s">
        <v>194</v>
      </c>
      <c r="K1" s="78" t="s">
        <v>125</v>
      </c>
      <c r="L1" s="77" t="s">
        <v>185</v>
      </c>
      <c r="M1" s="91" t="s">
        <v>184</v>
      </c>
      <c r="N1" s="79" t="s">
        <v>195</v>
      </c>
    </row>
    <row r="2" spans="1:15" ht="56" x14ac:dyDescent="0.15">
      <c r="A2" s="80" t="s">
        <v>196</v>
      </c>
      <c r="B2" s="81">
        <f>floors!$C$2</f>
        <v>50007</v>
      </c>
      <c r="C2" s="82" t="str">
        <f ca="1">VLOOKUP($B2,OFFSET([2]quests!$A$1,0,0,COUNTA([2]quests!$A:$A),MATCH(C$1,[2]quests!$1:$1,0)-MATCH($B$1,[2]quests!$1:$1,0)+1),MATCH(C$1,[2]quests!$1:$1,0)-MATCH($B$1,[2]quests!$1:$1,0)+1,FALSE)</f>
        <v>ギルガメッシュ襲来！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超降臨7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超降臨7</v>
      </c>
      <c r="H2" s="84">
        <v>1</v>
      </c>
      <c r="I2" s="89">
        <f t="shared" ref="I2:I16" si="0">ROW()-1</f>
        <v>1</v>
      </c>
      <c r="J2" s="85" t="str">
        <f t="shared" ref="J2:J16" si="1">B2&amp;TEXT(I2,"00")</f>
        <v>5000701</v>
      </c>
      <c r="K2" s="83" t="s">
        <v>197</v>
      </c>
      <c r="L2" s="86" t="s">
        <v>198</v>
      </c>
      <c r="M2" s="114" t="s">
        <v>393</v>
      </c>
      <c r="N2" s="57" t="s">
        <v>199</v>
      </c>
      <c r="O2">
        <f>LEN(M2)</f>
        <v>52</v>
      </c>
    </row>
    <row r="3" spans="1:15" ht="70" x14ac:dyDescent="0.15">
      <c r="A3" s="80" t="s">
        <v>196</v>
      </c>
      <c r="B3" s="81">
        <f>floors!$C$2</f>
        <v>50007</v>
      </c>
      <c r="C3" s="82" t="str">
        <f ca="1">VLOOKUP($B3,OFFSET([2]quests!$A$1,0,0,COUNTA([2]quests!$A:$A),MATCH(C$1,[2]quests!$1:$1,0)-MATCH($B$1,[2]quests!$1:$1,0)+1),MATCH(C$1,[2]quests!$1:$1,0)-MATCH($B$1,[2]quests!$1:$1,0)+1,FALSE)</f>
        <v>ギルガメッシュ襲来！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超降臨7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超降臨7</v>
      </c>
      <c r="H3" s="84">
        <v>1</v>
      </c>
      <c r="I3" s="89">
        <f t="shared" si="0"/>
        <v>2</v>
      </c>
      <c r="J3" s="85" t="str">
        <f t="shared" si="1"/>
        <v>5000702</v>
      </c>
      <c r="K3" s="83" t="s">
        <v>197</v>
      </c>
      <c r="L3" s="86" t="s">
        <v>198</v>
      </c>
      <c r="M3" s="114" t="s">
        <v>392</v>
      </c>
      <c r="N3" s="57" t="s">
        <v>199</v>
      </c>
      <c r="O3">
        <f t="shared" ref="O3:O16" si="2">LEN(M3)</f>
        <v>63</v>
      </c>
    </row>
    <row r="4" spans="1:15" ht="56" x14ac:dyDescent="0.15">
      <c r="A4" s="80" t="s">
        <v>196</v>
      </c>
      <c r="B4" s="81">
        <f>floors!$C$2</f>
        <v>50007</v>
      </c>
      <c r="C4" s="82" t="str">
        <f ca="1">VLOOKUP($B4,OFFSET([2]quests!$A$1,0,0,COUNTA([2]quests!$A:$A),MATCH(C$1,[2]quests!$1:$1,0)-MATCH($B$1,[2]quests!$1:$1,0)+1),MATCH(C$1,[2]quests!$1:$1,0)-MATCH($B$1,[2]quests!$1:$1,0)+1,FALSE)</f>
        <v>ギルガメッシュ襲来！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超降臨7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超降臨7</v>
      </c>
      <c r="H4" s="84">
        <v>2</v>
      </c>
      <c r="I4" s="89">
        <f t="shared" si="0"/>
        <v>3</v>
      </c>
      <c r="J4" s="85" t="str">
        <f t="shared" si="1"/>
        <v>5000703</v>
      </c>
      <c r="K4" s="83" t="s">
        <v>197</v>
      </c>
      <c r="L4" s="86" t="s">
        <v>198</v>
      </c>
      <c r="M4" s="114" t="s">
        <v>394</v>
      </c>
      <c r="N4" s="57" t="s">
        <v>199</v>
      </c>
      <c r="O4">
        <f t="shared" si="2"/>
        <v>57</v>
      </c>
    </row>
    <row r="5" spans="1:15" ht="70" x14ac:dyDescent="0.15">
      <c r="A5" s="80" t="s">
        <v>196</v>
      </c>
      <c r="B5" s="81">
        <f>floors!$C$2</f>
        <v>50007</v>
      </c>
      <c r="C5" s="82" t="str">
        <f ca="1">VLOOKUP($B5,OFFSET([2]quests!$A$1,0,0,COUNTA([2]quests!$A:$A),MATCH(C$1,[2]quests!$1:$1,0)-MATCH($B$1,[2]quests!$1:$1,0)+1),MATCH(C$1,[2]quests!$1:$1,0)-MATCH($B$1,[2]quests!$1:$1,0)+1,FALSE)</f>
        <v>ギルガメッシュ襲来！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超降臨7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超降臨7</v>
      </c>
      <c r="H5" s="84">
        <v>2</v>
      </c>
      <c r="I5" s="89">
        <f t="shared" si="0"/>
        <v>4</v>
      </c>
      <c r="J5" s="85" t="str">
        <f t="shared" ref="J5" si="3">B5&amp;TEXT(I5,"00")</f>
        <v>5000704</v>
      </c>
      <c r="K5" s="83" t="s">
        <v>197</v>
      </c>
      <c r="L5" s="86" t="s">
        <v>198</v>
      </c>
      <c r="M5" s="114" t="s">
        <v>395</v>
      </c>
      <c r="N5" s="57" t="s">
        <v>199</v>
      </c>
      <c r="O5">
        <f t="shared" ref="O5" si="4">LEN(M5)</f>
        <v>63</v>
      </c>
    </row>
    <row r="6" spans="1:15" ht="56" x14ac:dyDescent="0.15">
      <c r="A6" s="80" t="s">
        <v>196</v>
      </c>
      <c r="B6" s="81">
        <f>floors!$C$2</f>
        <v>50007</v>
      </c>
      <c r="C6" s="82" t="str">
        <f ca="1">VLOOKUP($B6,OFFSET([2]quests!$A$1,0,0,COUNTA([2]quests!$A:$A),MATCH(C$1,[2]quests!$1:$1,0)-MATCH($B$1,[2]quests!$1:$1,0)+1),MATCH(C$1,[2]quests!$1:$1,0)-MATCH($B$1,[2]quests!$1:$1,0)+1,FALSE)</f>
        <v>ギルガメッシュ襲来！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超降臨7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超降臨7</v>
      </c>
      <c r="H6" s="84">
        <v>3</v>
      </c>
      <c r="I6" s="89">
        <f t="shared" si="0"/>
        <v>5</v>
      </c>
      <c r="J6" s="85" t="str">
        <f t="shared" si="1"/>
        <v>5000705</v>
      </c>
      <c r="K6" s="83" t="s">
        <v>197</v>
      </c>
      <c r="L6" s="86" t="s">
        <v>198</v>
      </c>
      <c r="M6" s="114" t="s">
        <v>396</v>
      </c>
      <c r="N6" s="57" t="s">
        <v>199</v>
      </c>
      <c r="O6">
        <f t="shared" si="2"/>
        <v>57</v>
      </c>
    </row>
    <row r="7" spans="1:15" ht="56" x14ac:dyDescent="0.15">
      <c r="A7" s="80" t="s">
        <v>196</v>
      </c>
      <c r="B7" s="81">
        <f>floors!$C$2</f>
        <v>50007</v>
      </c>
      <c r="C7" s="82" t="str">
        <f ca="1">VLOOKUP($B7,OFFSET([2]quests!$A$1,0,0,COUNTA([2]quests!$A:$A),MATCH(C$1,[2]quests!$1:$1,0)-MATCH($B$1,[2]quests!$1:$1,0)+1),MATCH(C$1,[2]quests!$1:$1,0)-MATCH($B$1,[2]quests!$1:$1,0)+1,FALSE)</f>
        <v>ギルガメッシュ襲来！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超降臨7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超降臨7</v>
      </c>
      <c r="H7" s="84">
        <v>3</v>
      </c>
      <c r="I7" s="89">
        <f t="shared" si="0"/>
        <v>6</v>
      </c>
      <c r="J7" s="85" t="str">
        <f t="shared" ref="J7" si="5">B7&amp;TEXT(I7,"00")</f>
        <v>5000706</v>
      </c>
      <c r="K7" s="83" t="s">
        <v>197</v>
      </c>
      <c r="L7" s="86" t="s">
        <v>198</v>
      </c>
      <c r="M7" s="114" t="s">
        <v>397</v>
      </c>
      <c r="N7" s="57" t="s">
        <v>199</v>
      </c>
      <c r="O7">
        <f t="shared" ref="O7" si="6">LEN(M7)</f>
        <v>57</v>
      </c>
    </row>
    <row r="8" spans="1:15" ht="42" x14ac:dyDescent="0.15">
      <c r="A8" s="80" t="s">
        <v>196</v>
      </c>
      <c r="B8" s="81">
        <f>floors!$C$2</f>
        <v>50007</v>
      </c>
      <c r="C8" s="82" t="str">
        <f ca="1">VLOOKUP($B8,OFFSET([2]quests!$A$1,0,0,COUNTA([2]quests!$A:$A),MATCH(C$1,[2]quests!$1:$1,0)-MATCH($B$1,[2]quests!$1:$1,0)+1),MATCH(C$1,[2]quests!$1:$1,0)-MATCH($B$1,[2]quests!$1:$1,0)+1,FALSE)</f>
        <v>ギルガメッシュ襲来！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超降臨7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超降臨7</v>
      </c>
      <c r="H8" s="84">
        <v>3</v>
      </c>
      <c r="I8" s="89">
        <f t="shared" si="0"/>
        <v>7</v>
      </c>
      <c r="J8" s="85" t="str">
        <f t="shared" ref="J8:J9" si="7">B8&amp;TEXT(I8,"00")</f>
        <v>5000707</v>
      </c>
      <c r="K8" s="83" t="s">
        <v>197</v>
      </c>
      <c r="L8" s="86" t="s">
        <v>198</v>
      </c>
      <c r="M8" s="114" t="s">
        <v>410</v>
      </c>
      <c r="N8" s="57" t="s">
        <v>199</v>
      </c>
      <c r="O8">
        <f t="shared" ref="O8:O9" si="8">LEN(M8)</f>
        <v>55</v>
      </c>
    </row>
    <row r="9" spans="1:15" ht="56" x14ac:dyDescent="0.15">
      <c r="A9" s="80" t="s">
        <v>196</v>
      </c>
      <c r="B9" s="81">
        <f>floors!$C$2</f>
        <v>50007</v>
      </c>
      <c r="C9" s="82" t="str">
        <f ca="1">VLOOKUP($B9,OFFSET([2]quests!$A$1,0,0,COUNTA([2]quests!$A:$A),MATCH(C$1,[2]quests!$1:$1,0)-MATCH($B$1,[2]quests!$1:$1,0)+1),MATCH(C$1,[2]quests!$1:$1,0)-MATCH($B$1,[2]quests!$1:$1,0)+1,FALSE)</f>
        <v>ギルガメッシュ襲来！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超降臨7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超降臨7</v>
      </c>
      <c r="H9" s="84">
        <v>4</v>
      </c>
      <c r="I9" s="89">
        <f t="shared" si="0"/>
        <v>8</v>
      </c>
      <c r="J9" s="85" t="str">
        <f t="shared" si="7"/>
        <v>5000708</v>
      </c>
      <c r="K9" s="83" t="s">
        <v>197</v>
      </c>
      <c r="L9" s="86" t="s">
        <v>198</v>
      </c>
      <c r="M9" s="114" t="s">
        <v>398</v>
      </c>
      <c r="N9" s="57" t="s">
        <v>199</v>
      </c>
      <c r="O9">
        <f t="shared" si="8"/>
        <v>55</v>
      </c>
    </row>
    <row r="10" spans="1:15" ht="70" x14ac:dyDescent="0.15">
      <c r="A10" s="80" t="s">
        <v>196</v>
      </c>
      <c r="B10" s="81">
        <f>floors!$C$2</f>
        <v>50007</v>
      </c>
      <c r="C10" s="82" t="str">
        <f ca="1">VLOOKUP($B10,OFFSET([2]quests!$A$1,0,0,COUNTA([2]quests!$A:$A),MATCH(C$1,[2]quests!$1:$1,0)-MATCH($B$1,[2]quests!$1:$1,0)+1),MATCH(C$1,[2]quests!$1:$1,0)-MATCH($B$1,[2]quests!$1:$1,0)+1,FALSE)</f>
        <v>ギルガメッシュ襲来！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超降臨7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超降臨7</v>
      </c>
      <c r="H10" s="84">
        <v>4</v>
      </c>
      <c r="I10" s="89">
        <f t="shared" si="0"/>
        <v>9</v>
      </c>
      <c r="J10" s="85" t="str">
        <f t="shared" si="1"/>
        <v>5000709</v>
      </c>
      <c r="K10" s="83" t="s">
        <v>197</v>
      </c>
      <c r="L10" s="86" t="s">
        <v>198</v>
      </c>
      <c r="M10" s="114" t="s">
        <v>400</v>
      </c>
      <c r="N10" s="57" t="s">
        <v>199</v>
      </c>
      <c r="O10">
        <f t="shared" si="2"/>
        <v>63</v>
      </c>
    </row>
    <row r="11" spans="1:15" ht="70" x14ac:dyDescent="0.15">
      <c r="A11" s="80" t="s">
        <v>196</v>
      </c>
      <c r="B11" s="81">
        <f>floors!$C$2</f>
        <v>50007</v>
      </c>
      <c r="C11" s="82" t="str">
        <f ca="1">VLOOKUP($B11,OFFSET([2]quests!$A$1,0,0,COUNTA([2]quests!$A:$A),MATCH(C$1,[2]quests!$1:$1,0)-MATCH($B$1,[2]quests!$1:$1,0)+1),MATCH(C$1,[2]quests!$1:$1,0)-MATCH($B$1,[2]quests!$1:$1,0)+1,FALSE)</f>
        <v>ギルガメッシュ襲来！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超降臨7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超降臨7</v>
      </c>
      <c r="H11" s="84">
        <v>4</v>
      </c>
      <c r="I11" s="89">
        <f t="shared" si="0"/>
        <v>10</v>
      </c>
      <c r="J11" s="85" t="str">
        <f t="shared" ref="J11" si="9">B11&amp;TEXT(I11,"00")</f>
        <v>5000710</v>
      </c>
      <c r="K11" s="83" t="s">
        <v>197</v>
      </c>
      <c r="L11" s="86" t="s">
        <v>198</v>
      </c>
      <c r="M11" s="114" t="s">
        <v>401</v>
      </c>
      <c r="N11" s="57" t="s">
        <v>199</v>
      </c>
      <c r="O11">
        <f t="shared" ref="O11" si="10">LEN(M11)</f>
        <v>63</v>
      </c>
    </row>
    <row r="12" spans="1:15" ht="70" x14ac:dyDescent="0.15">
      <c r="A12" s="80" t="s">
        <v>196</v>
      </c>
      <c r="B12" s="81">
        <f>floors!$C$2</f>
        <v>50007</v>
      </c>
      <c r="C12" s="82" t="str">
        <f ca="1">VLOOKUP($B12,OFFSET([2]quests!$A$1,0,0,COUNTA([2]quests!$A:$A),MATCH(C$1,[2]quests!$1:$1,0)-MATCH($B$1,[2]quests!$1:$1,0)+1),MATCH(C$1,[2]quests!$1:$1,0)-MATCH($B$1,[2]quests!$1:$1,0)+1,FALSE)</f>
        <v>ギルガメッシュ襲来！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超降臨7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超降臨7</v>
      </c>
      <c r="H12" s="84">
        <v>4</v>
      </c>
      <c r="I12" s="89">
        <f t="shared" si="0"/>
        <v>11</v>
      </c>
      <c r="J12" s="85" t="str">
        <f t="shared" ref="J12" si="11">B12&amp;TEXT(I12,"00")</f>
        <v>5000711</v>
      </c>
      <c r="K12" s="83" t="s">
        <v>197</v>
      </c>
      <c r="L12" s="86" t="s">
        <v>198</v>
      </c>
      <c r="M12" s="114" t="s">
        <v>399</v>
      </c>
      <c r="N12" s="57" t="s">
        <v>199</v>
      </c>
      <c r="O12">
        <f t="shared" ref="O12" si="12">LEN(M12)</f>
        <v>63</v>
      </c>
    </row>
    <row r="13" spans="1:15" ht="42" x14ac:dyDescent="0.15">
      <c r="A13" s="80" t="s">
        <v>200</v>
      </c>
      <c r="B13" s="81">
        <f>floors!$C$2</f>
        <v>50007</v>
      </c>
      <c r="C13" s="82" t="str">
        <f ca="1">VLOOKUP($B13,OFFSET([2]quests!$A$1,0,0,COUNTA([2]quests!$A:$A),MATCH(C$1,[2]quests!$1:$1,0)-MATCH($B$1,[2]quests!$1:$1,0)+1),MATCH(C$1,[2]quests!$1:$1,0)-MATCH($B$1,[2]quests!$1:$1,0)+1,FALSE)</f>
        <v>ギルガメッシュ襲来！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超降臨7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超降臨7</v>
      </c>
      <c r="H13" s="84">
        <v>0</v>
      </c>
      <c r="I13" s="89">
        <f t="shared" si="0"/>
        <v>12</v>
      </c>
      <c r="J13" s="85" t="str">
        <f t="shared" si="1"/>
        <v>5000712</v>
      </c>
      <c r="K13" s="83" t="s">
        <v>197</v>
      </c>
      <c r="L13" s="86" t="s">
        <v>402</v>
      </c>
      <c r="M13" s="114" t="s">
        <v>403</v>
      </c>
      <c r="N13" s="57" t="s">
        <v>199</v>
      </c>
      <c r="O13">
        <f t="shared" si="2"/>
        <v>48</v>
      </c>
    </row>
    <row r="14" spans="1:15" ht="70" x14ac:dyDescent="0.15">
      <c r="A14" s="80" t="s">
        <v>200</v>
      </c>
      <c r="B14" s="81">
        <f>floors!$C$2</f>
        <v>50007</v>
      </c>
      <c r="C14" s="82" t="str">
        <f ca="1">VLOOKUP($B14,OFFSET([2]quests!$A$1,0,0,COUNTA([2]quests!$A:$A),MATCH(C$1,[2]quests!$1:$1,0)-MATCH($B$1,[2]quests!$1:$1,0)+1),MATCH(C$1,[2]quests!$1:$1,0)-MATCH($B$1,[2]quests!$1:$1,0)+1,FALSE)</f>
        <v>ギルガメッシュ襲来！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超降臨7</v>
      </c>
      <c r="E14" s="83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超降臨7</v>
      </c>
      <c r="H14" s="84">
        <v>0</v>
      </c>
      <c r="I14" s="89">
        <f t="shared" si="0"/>
        <v>13</v>
      </c>
      <c r="J14" s="85" t="str">
        <f t="shared" si="1"/>
        <v>5000713</v>
      </c>
      <c r="K14" s="83" t="s">
        <v>197</v>
      </c>
      <c r="L14" s="86" t="s">
        <v>405</v>
      </c>
      <c r="M14" s="114" t="s">
        <v>404</v>
      </c>
      <c r="N14" s="57" t="s">
        <v>199</v>
      </c>
      <c r="O14">
        <f t="shared" si="2"/>
        <v>63</v>
      </c>
    </row>
    <row r="15" spans="1:15" ht="70" x14ac:dyDescent="0.15">
      <c r="A15" s="80" t="s">
        <v>200</v>
      </c>
      <c r="B15" s="81">
        <f>floors!$C$2</f>
        <v>50007</v>
      </c>
      <c r="C15" s="82" t="str">
        <f ca="1">VLOOKUP($B15,OFFSET([2]quests!$A$1,0,0,COUNTA([2]quests!$A:$A),MATCH(C$1,[2]quests!$1:$1,0)-MATCH($B$1,[2]quests!$1:$1,0)+1),MATCH(C$1,[2]quests!$1:$1,0)-MATCH($B$1,[2]quests!$1:$1,0)+1,FALSE)</f>
        <v>ギルガメッシュ襲来！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超降臨7</v>
      </c>
      <c r="E15" s="83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超降臨7</v>
      </c>
      <c r="H15" s="84">
        <v>0</v>
      </c>
      <c r="I15" s="89">
        <f t="shared" si="0"/>
        <v>14</v>
      </c>
      <c r="J15" s="85" t="str">
        <f t="shared" si="1"/>
        <v>5000714</v>
      </c>
      <c r="K15" s="83" t="s">
        <v>197</v>
      </c>
      <c r="L15" s="86" t="s">
        <v>409</v>
      </c>
      <c r="M15" s="114" t="s">
        <v>408</v>
      </c>
      <c r="N15" s="57" t="s">
        <v>199</v>
      </c>
      <c r="O15">
        <f t="shared" si="2"/>
        <v>63</v>
      </c>
    </row>
    <row r="16" spans="1:15" ht="70" x14ac:dyDescent="0.15">
      <c r="A16" s="80" t="s">
        <v>200</v>
      </c>
      <c r="B16" s="81">
        <f>floors!$C$2</f>
        <v>50007</v>
      </c>
      <c r="C16" s="82" t="str">
        <f ca="1">VLOOKUP($B16,OFFSET([2]quests!$A$1,0,0,COUNTA([2]quests!$A:$A),MATCH(C$1,[2]quests!$1:$1,0)-MATCH($B$1,[2]quests!$1:$1,0)+1),MATCH(C$1,[2]quests!$1:$1,0)-MATCH($B$1,[2]quests!$1:$1,0)+1,FALSE)</f>
        <v>ギルガメッシュ襲来！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超降臨7</v>
      </c>
      <c r="E16" s="83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【超ウィザ】ギルガメッシュ襲来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超降臨7</v>
      </c>
      <c r="H16" s="84">
        <v>0</v>
      </c>
      <c r="I16" s="89">
        <f t="shared" si="0"/>
        <v>15</v>
      </c>
      <c r="J16" s="85" t="str">
        <f t="shared" si="1"/>
        <v>5000715</v>
      </c>
      <c r="K16" s="83" t="s">
        <v>197</v>
      </c>
      <c r="L16" s="86" t="s">
        <v>406</v>
      </c>
      <c r="M16" s="114" t="s">
        <v>407</v>
      </c>
      <c r="N16" s="57" t="s">
        <v>199</v>
      </c>
      <c r="O16">
        <f t="shared" si="2"/>
        <v>63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10" sqref="A10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212</v>
      </c>
      <c r="B1" s="94" t="s">
        <v>213</v>
      </c>
      <c r="C1" s="76" t="s">
        <v>214</v>
      </c>
      <c r="D1" s="76" t="s">
        <v>33</v>
      </c>
      <c r="E1" s="94" t="s">
        <v>215</v>
      </c>
      <c r="F1" s="76" t="s">
        <v>216</v>
      </c>
      <c r="G1" s="76" t="s">
        <v>33</v>
      </c>
      <c r="H1" s="94" t="s">
        <v>217</v>
      </c>
      <c r="I1" s="94" t="s">
        <v>218</v>
      </c>
      <c r="J1" s="94" t="s">
        <v>219</v>
      </c>
      <c r="K1" s="72" t="s">
        <v>220</v>
      </c>
      <c r="L1" s="72" t="s">
        <v>221</v>
      </c>
      <c r="M1" s="72" t="s">
        <v>155</v>
      </c>
      <c r="N1" s="76" t="s">
        <v>16</v>
      </c>
      <c r="O1" s="72" t="s">
        <v>222</v>
      </c>
      <c r="P1" s="72" t="s">
        <v>56</v>
      </c>
      <c r="Q1" s="72" t="s">
        <v>223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224</v>
      </c>
      <c r="X1" s="72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2017-05-08T08:02:57Z</dcterms:modified>
</cp:coreProperties>
</file>