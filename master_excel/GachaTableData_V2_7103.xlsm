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860" windowWidth="25100" windowHeight="14640" tabRatio="943" activeTab="6"/>
  </bookViews>
  <sheets>
    <sheet name="確率の考え方" sheetId="110" r:id="rId1"/>
    <sheet name="Sheet1" sheetId="107" r:id="rId2"/>
    <sheet name="output" sheetId="103" r:id="rId3"/>
    <sheet name="input_337010" sheetId="106" r:id="rId4"/>
    <sheet name="tables_337010" sheetId="82" r:id="rId5"/>
    <sheet name="input_settle_7103100" sheetId="130" r:id="rId6"/>
    <sheet name="tables_settle_7103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  <externalReference r:id="rId12"/>
    <externalReference r:id="rId13"/>
  </externalReferences>
  <definedNames>
    <definedName name="_xlnm._FilterDatabase" localSheetId="7" hidden="1">gacha_bonus_tables!$A$1:$F$1</definedName>
    <definedName name="_xlnm._FilterDatabase" localSheetId="4" hidden="1">tables_337010!$A$1:$V$271</definedName>
    <definedName name="_xlnm._FilterDatabase" localSheetId="6" hidden="1">tables_settle_7103100!$A$1:$V$271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5" i="131" l="1"/>
  <c r="H14" i="131"/>
  <c r="C3" i="103"/>
  <c r="I14" i="131"/>
  <c r="D14" i="131"/>
  <c r="J14" i="131"/>
  <c r="E14" i="131"/>
  <c r="F14" i="131"/>
  <c r="C14" i="131"/>
  <c r="K14" i="131"/>
  <c r="L14" i="131"/>
  <c r="M14" i="131"/>
  <c r="N14" i="131"/>
  <c r="P14" i="131"/>
  <c r="I15" i="131"/>
  <c r="D15" i="131"/>
  <c r="J15" i="131"/>
  <c r="E15" i="131"/>
  <c r="F15" i="131"/>
  <c r="C15" i="131"/>
  <c r="K15" i="131"/>
  <c r="L15" i="131"/>
  <c r="M15" i="131"/>
  <c r="N15" i="131"/>
  <c r="P15" i="131"/>
  <c r="I12" i="131"/>
  <c r="D12" i="131"/>
  <c r="J12" i="131"/>
  <c r="E12" i="131"/>
  <c r="F12" i="131"/>
  <c r="C12" i="131"/>
  <c r="H12" i="131"/>
  <c r="K12" i="131"/>
  <c r="L12" i="131"/>
  <c r="M12" i="131"/>
  <c r="N12" i="131"/>
  <c r="P12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P9" i="131"/>
  <c r="N9" i="131"/>
  <c r="M9" i="131"/>
  <c r="L9" i="131"/>
  <c r="K9" i="131"/>
  <c r="J9" i="131"/>
  <c r="I9" i="131"/>
  <c r="H9" i="131"/>
  <c r="F9" i="131"/>
  <c r="E9" i="131"/>
  <c r="D9" i="131"/>
  <c r="C9" i="131"/>
  <c r="P8" i="131"/>
  <c r="N8" i="131"/>
  <c r="M8" i="131"/>
  <c r="L8" i="131"/>
  <c r="K8" i="131"/>
  <c r="J8" i="131"/>
  <c r="I8" i="131"/>
  <c r="H8" i="131"/>
  <c r="F8" i="131"/>
  <c r="E8" i="131"/>
  <c r="D8" i="131"/>
  <c r="C8" i="131"/>
  <c r="P7" i="131"/>
  <c r="N7" i="131"/>
  <c r="M7" i="131"/>
  <c r="L7" i="131"/>
  <c r="K7" i="131"/>
  <c r="J7" i="131"/>
  <c r="I7" i="131"/>
  <c r="H7" i="131"/>
  <c r="F7" i="131"/>
  <c r="E7" i="131"/>
  <c r="D7" i="131"/>
  <c r="C7" i="131"/>
  <c r="P6" i="131"/>
  <c r="N6" i="131"/>
  <c r="M6" i="131"/>
  <c r="L6" i="131"/>
  <c r="K6" i="131"/>
  <c r="J6" i="131"/>
  <c r="I6" i="131"/>
  <c r="H6" i="131"/>
  <c r="F6" i="131"/>
  <c r="E6" i="131"/>
  <c r="D6" i="131"/>
  <c r="C6" i="131"/>
  <c r="P5" i="131"/>
  <c r="N5" i="131"/>
  <c r="M5" i="131"/>
  <c r="L5" i="131"/>
  <c r="K5" i="131"/>
  <c r="J5" i="131"/>
  <c r="I5" i="131"/>
  <c r="H5" i="131"/>
  <c r="F5" i="131"/>
  <c r="E5" i="131"/>
  <c r="D5" i="131"/>
  <c r="C5" i="131"/>
  <c r="P4" i="131"/>
  <c r="N4" i="131"/>
  <c r="M4" i="131"/>
  <c r="L4" i="131"/>
  <c r="K4" i="131"/>
  <c r="J4" i="131"/>
  <c r="I4" i="131"/>
  <c r="H4" i="131"/>
  <c r="F4" i="131"/>
  <c r="E4" i="131"/>
  <c r="D4" i="131"/>
  <c r="C4" i="131"/>
  <c r="P3" i="131"/>
  <c r="N3" i="131"/>
  <c r="M3" i="131"/>
  <c r="L3" i="131"/>
  <c r="K3" i="131"/>
  <c r="J3" i="131"/>
  <c r="I3" i="131"/>
  <c r="H3" i="131"/>
  <c r="F3" i="131"/>
  <c r="E3" i="131"/>
  <c r="D3" i="131"/>
  <c r="C3" i="131"/>
  <c r="P2" i="131"/>
  <c r="N2" i="131"/>
  <c r="M2" i="131"/>
  <c r="L2" i="131"/>
  <c r="K2" i="131"/>
  <c r="J2" i="131"/>
  <c r="I2" i="131"/>
  <c r="H2" i="131"/>
  <c r="F2" i="131"/>
  <c r="E2" i="131"/>
  <c r="D2" i="131"/>
  <c r="C2" i="131"/>
  <c r="A2" i="130"/>
  <c r="F5" i="130"/>
  <c r="F6" i="130"/>
  <c r="A36" i="130"/>
  <c r="E5" i="130"/>
  <c r="B26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B29" i="130"/>
  <c r="G29" i="130"/>
  <c r="E29" i="130"/>
  <c r="H29" i="130"/>
  <c r="B28" i="130"/>
  <c r="G28" i="130"/>
  <c r="E28" i="130"/>
  <c r="H28" i="130"/>
  <c r="G17" i="130"/>
  <c r="E17" i="130"/>
  <c r="H17" i="130"/>
  <c r="G18" i="130"/>
  <c r="E18" i="130"/>
  <c r="H18" i="130"/>
  <c r="B5" i="130"/>
  <c r="B24" i="130"/>
  <c r="G24" i="130"/>
  <c r="E24" i="130"/>
  <c r="H24" i="130"/>
  <c r="B25" i="130"/>
  <c r="G25" i="130"/>
  <c r="E25" i="130"/>
  <c r="H25" i="130"/>
  <c r="G19" i="130"/>
  <c r="E19" i="130"/>
  <c r="H19" i="130"/>
  <c r="G20" i="130"/>
  <c r="E20" i="130"/>
  <c r="H20" i="130"/>
  <c r="E6" i="130"/>
  <c r="B21" i="130"/>
  <c r="G21" i="130"/>
  <c r="E21" i="130"/>
  <c r="H21" i="130"/>
  <c r="B27" i="130"/>
  <c r="G27" i="130"/>
  <c r="E27" i="130"/>
  <c r="H27" i="130"/>
  <c r="G22" i="130"/>
  <c r="E22" i="130"/>
  <c r="H22" i="130"/>
  <c r="B23" i="130"/>
  <c r="G23" i="130"/>
  <c r="E23" i="130"/>
  <c r="H23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E5" i="106"/>
  <c r="E3" i="103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F29" i="106"/>
  <c r="E26" i="106"/>
  <c r="B26" i="106"/>
  <c r="E28" i="106"/>
  <c r="B28" i="106"/>
  <c r="F6" i="106"/>
  <c r="E6" i="106"/>
  <c r="E21" i="106"/>
  <c r="B21" i="106"/>
  <c r="V6" i="106"/>
  <c r="B23" i="106"/>
  <c r="E22" i="106"/>
  <c r="B22" i="106"/>
  <c r="E19" i="106"/>
  <c r="B19" i="106"/>
  <c r="B10" i="106"/>
  <c r="A2" i="106"/>
  <c r="A272" i="82"/>
  <c r="A273" i="82"/>
  <c r="A274" i="82"/>
  <c r="A275" i="82"/>
  <c r="A276" i="82"/>
  <c r="A277" i="82"/>
  <c r="F272" i="82"/>
  <c r="H272" i="82"/>
  <c r="K272" i="82"/>
  <c r="L272" i="82"/>
  <c r="M272" i="82"/>
  <c r="N272" i="82"/>
  <c r="F273" i="82"/>
  <c r="F274" i="82"/>
  <c r="F275" i="82"/>
  <c r="F276" i="82"/>
  <c r="F277" i="82"/>
  <c r="A36" i="106"/>
  <c r="G29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<sst xmlns="http://schemas.openxmlformats.org/spreadsheetml/2006/main" count="440" uniqueCount="245">
  <si>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</si>
  <si>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</si>
  <si>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</si>
  <si>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</si>
  <si>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</si>
  <si>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</si>
  <si>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</si>
  <si>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</si>
  <si>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</si>
  <si>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</si>
  <si>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</si>
  <si>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</si>
  <si>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</si>
  <si>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</si>
  <si>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</si>
  <si>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</si>
  <si>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</si>
  <si>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</si>
  <si>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</si>
  <si>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</si>
  <si>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</si>
  <si>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</si>
  <si>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</si>
  <si>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</si>
  <si>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</si>
  <si>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</si>
  <si>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</si>
  <si>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</si>
  <si>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</si>
  <si>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</si>
  <si>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</si>
  <si>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</si>
  <si>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</si>
  <si>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</si>
  <si>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</si>
  <si>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</si>
  <si>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</si>
  <si>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</si>
  <si>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</si>
  <si>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</si>
  <si>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</si>
  <si>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</si>
  <si>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</si>
  <si>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</si>
  <si>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</si>
  <si>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</si>
  <si>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</si>
  <si>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</si>
  <si>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</si>
  <si>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</si>
  <si>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</si>
  <si>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</si>
  <si>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</si>
  <si>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</si>
  <si>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</si>
  <si>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</si>
  <si>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</si>
  <si>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</si>
  <si>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</si>
  <si>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</si>
  <si>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</si>
  <si>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</si>
  <si>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</si>
  <si>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</si>
  <si>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</si>
  <si>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</si>
  <si>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</si>
  <si>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</si>
  <si>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</si>
  <si>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</si>
  <si>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</si>
  <si>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</si>
  <si>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</si>
  <si>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</si>
  <si>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</si>
  <si>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</si>
  <si>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</si>
  <si>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</si>
  <si>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</si>
  <si>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</si>
  <si>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</si>
  <si>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</si>
  <si>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</si>
  <si>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</si>
  <si>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</si>
  <si>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</si>
  <si>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</si>
  <si>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</si>
  <si>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</si>
  <si>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</si>
  <si>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</si>
  <si>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</si>
  <si>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</si>
  <si>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</si>
  <si>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</si>
  <si>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</si>
  <si>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</si>
  <si>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</si>
  <si>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</si>
  <si>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</si>
  <si>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</si>
  <si>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</si>
  <si>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</si>
  <si>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</si>
  <si>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</si>
  <si>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</si>
  <si>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</si>
  <si>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</si>
  <si>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</si>
  <si>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</si>
  <si>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</si>
  <si>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</si>
  <si>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</si>
  <si>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</si>
  <si>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</si>
  <si>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</si>
  <si>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</si>
  <si>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</si>
  <si>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</si>
  <si>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</si>
  <si>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</si>
  <si>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</si>
  <si>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</si>
  <si>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</si>
  <si>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</si>
  <si>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</si>
  <si>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</si>
  <si>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</si>
  <si>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</si>
  <si>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</si>
  <si>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</si>
  <si>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</si>
  <si>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</si>
  <si>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</si>
  <si>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</si>
  <si>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</si>
  <si>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</si>
  <si>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</si>
  <si>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</si>
  <si>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</si>
  <si>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</si>
  <si>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</si>
  <si>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</si>
  <si>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</si>
  <si>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</si>
  <si>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</si>
  <si>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</si>
  <si>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</si>
  <si>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</si>
  <si>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</si>
  <si>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</si>
  <si>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</si>
  <si>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</si>
  <si>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</si>
  <si>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</si>
  <si>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</si>
  <si>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</si>
  <si>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</si>
  <si>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</si>
  <si>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</si>
  <si>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</si>
  <si>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</si>
  <si>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</si>
  <si>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</si>
  <si>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</si>
  <si>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</si>
  <si>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</si>
  <si>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</si>
  <si>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</si>
  <si>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</si>
  <si>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</si>
  <si>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</si>
  <si>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</si>
  <si>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</si>
  <si>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</si>
  <si>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</si>
  <si>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</si>
  <si>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</si>
  <si>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</si>
  <si>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</si>
  <si>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</si>
  <si>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</si>
  <si>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</si>
  <si>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</si>
  <si>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</si>
  <si>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</si>
  <si>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</si>
  <si>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</si>
  <si>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</si>
  <si>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</si>
  <si>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</si>
  <si>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</si>
  <si>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</si>
  <si>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</si>
  <si>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</si>
  <si>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</si>
  <si>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</si>
  <si>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</si>
  <si>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</si>
  <si>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</si>
  <si>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</si>
  <si>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</si>
  <si>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</si>
  <si>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</si>
  <si>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</si>
  <si>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</si>
  <si>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</si>
  <si>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</si>
  <si>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</si>
  <si>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</si>
  <si>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</si>
  <si>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</si>
  <si>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</si>
  <si>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</si>
  <si>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</si>
  <si>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</si>
  <si>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</si>
  <si>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</si>
  <si>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</si>
  <si>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</si>
  <si>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335103</t>
  </si>
  <si>
    <t>ja</t>
  </si>
  <si>
    <t>ガチャ特典</t>
    <rPh sb="3" eb="5">
      <t>トクテン</t>
    </rPh>
    <phoneticPr fontId="17"/>
  </si>
  <si>
    <t>item</t>
    <phoneticPr fontId="17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</si>
  <si>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7"/>
  </si>
  <si>
    <t>old</t>
    <phoneticPr fontId="17"/>
  </si>
  <si>
    <t>★6覚醒ユニット50%券x1</t>
    <rPh sb="2" eb="4">
      <t>カクセイ</t>
    </rPh>
    <rPh sb="11" eb="12">
      <t>ケン</t>
    </rPh>
    <phoneticPr fontId="17"/>
  </si>
  <si>
    <t>skip</t>
    <phoneticPr fontId="17"/>
  </si>
  <si>
    <t>hogehoge</t>
    <phoneticPr fontId="17"/>
  </si>
  <si>
    <t>いつもの確率</t>
    <rPh sb="4" eb="6">
      <t>カクリツ</t>
    </rPh>
    <phoneticPr fontId="17"/>
  </si>
  <si>
    <t>tables_337010</t>
    <phoneticPr fontId="17"/>
  </si>
  <si>
    <t>skip</t>
    <phoneticPr fontId="17"/>
  </si>
  <si>
    <t>gacha_settle_tables_</t>
    <phoneticPr fontId="17"/>
  </si>
  <si>
    <t>table_no</t>
    <phoneticPr fontId="17"/>
  </si>
  <si>
    <t>drop_label2</t>
    <phoneticPr fontId="17"/>
  </si>
  <si>
    <t>color2</t>
    <phoneticPr fontId="17"/>
  </si>
  <si>
    <t>name</t>
    <phoneticPr fontId="17"/>
  </si>
  <si>
    <t>drop_label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</si>
  <si>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</si>
  <si>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</si>
  <si>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</si>
  <si>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</si>
  <si>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weight</t>
    <phoneticPr fontId="17"/>
  </si>
  <si>
    <t>unit_level</t>
    <phoneticPr fontId="17"/>
  </si>
  <si>
    <t>tables_settle_7103100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</si>
</sst>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38" fontId="52" fillId="0" borderId="0" applyFont="0" applyFill="0" applyBorder="0" applyAlignment="0" applyProtection="0"/>
  </cellStyleXfs>
  <cellXfs count="93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4" fillId="0" borderId="1" xfId="3036" applyFont="1" applyBorder="1"/>
    <xf numFmtId="0" fontId="4" fillId="0" borderId="1" xfId="2978" applyFont="1" applyBorder="1"/>
    <xf numFmtId="178" fontId="0" fillId="4" borderId="0" xfId="0" applyNumberFormat="1" applyFill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182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00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1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7000100"/>
      <sheetName val="tables_7000100"/>
      <sheetName val="input_settle_7000100"/>
      <sheetName val="tables_settle_7000100"/>
      <sheetName val="gacha_bonus_tables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>
        <row r="21">
          <cell r="A21" t="str">
            <v>Premium5</v>
          </cell>
        </row>
        <row r="24">
          <cell r="A24" t="str">
            <v>Premium3R6release</v>
          </cell>
        </row>
        <row r="25">
          <cell r="A25" t="str">
            <v>Premium4R6release</v>
          </cell>
        </row>
        <row r="26">
          <cell r="A26" t="str">
            <v>Premium5R6release</v>
          </cell>
        </row>
        <row r="27">
          <cell r="A27" t="str">
            <v>PremiumSS4</v>
          </cell>
        </row>
        <row r="28">
          <cell r="A28" t="str">
            <v>PremiumSS5</v>
          </cell>
        </row>
        <row r="29">
          <cell r="A29" t="str">
            <v>PremiumSS5R5only</v>
          </cell>
        </row>
      </sheetData>
      <sheetData sheetId="6">
        <row r="1">
          <cell r="C1" t="str">
            <v>備考</v>
          </cell>
        </row>
        <row r="2">
          <cell r="C2" t="str">
            <v>PremiumW3</v>
          </cell>
        </row>
        <row r="3">
          <cell r="C3" t="str">
            <v>PremiumW4</v>
          </cell>
        </row>
        <row r="4">
          <cell r="C4" t="str">
            <v>PremiumW3</v>
          </cell>
        </row>
        <row r="5">
          <cell r="C5" t="str">
            <v>PremiumW4</v>
          </cell>
        </row>
        <row r="6">
          <cell r="C6" t="str">
            <v>PremiumW3</v>
          </cell>
        </row>
        <row r="7">
          <cell r="C7" t="str">
            <v>PremiumW4</v>
          </cell>
        </row>
        <row r="8">
          <cell r="C8" t="str">
            <v>PremiumW3</v>
          </cell>
        </row>
        <row r="9">
          <cell r="C9" t="str">
            <v>PremiumW4</v>
          </cell>
        </row>
        <row r="10">
          <cell r="C10" t="str">
            <v>PremiumW3</v>
          </cell>
        </row>
        <row r="11">
          <cell r="C11" t="str">
            <v>PremiumW4</v>
          </cell>
        </row>
        <row r="12">
          <cell r="C12" t="str">
            <v>PremiumW3</v>
          </cell>
        </row>
        <row r="13">
          <cell r="C13" t="str">
            <v>PremiumW4</v>
          </cell>
        </row>
        <row r="14">
          <cell r="C14" t="str">
            <v>PremiumW3</v>
          </cell>
        </row>
        <row r="15">
          <cell r="C15" t="str">
            <v>PremiumW4</v>
          </cell>
        </row>
        <row r="16">
          <cell r="C16" t="str">
            <v>PremiumW3</v>
          </cell>
        </row>
        <row r="17">
          <cell r="C17" t="str">
            <v>PremiumW4</v>
          </cell>
        </row>
        <row r="18">
          <cell r="C18" t="str">
            <v>PremiumW3</v>
          </cell>
        </row>
        <row r="19">
          <cell r="C19" t="str">
            <v>PremiumW4</v>
          </cell>
        </row>
        <row r="20">
          <cell r="C20" t="str">
            <v>PremiumW3</v>
          </cell>
        </row>
        <row r="21">
          <cell r="C21" t="str">
            <v>PremiumW4</v>
          </cell>
        </row>
        <row r="22">
          <cell r="C22" t="str">
            <v>PremiumW3</v>
          </cell>
        </row>
        <row r="23">
          <cell r="C23" t="str">
            <v>PremiumW4</v>
          </cell>
        </row>
        <row r="24">
          <cell r="C24" t="str">
            <v>PremiumW3</v>
          </cell>
        </row>
        <row r="25">
          <cell r="C25" t="str">
            <v>PremiumW4</v>
          </cell>
        </row>
        <row r="26">
          <cell r="C26" t="str">
            <v>PremiumW3</v>
          </cell>
        </row>
        <row r="27">
          <cell r="C27" t="str">
            <v>PremiumW4</v>
          </cell>
        </row>
        <row r="28">
          <cell r="C28" t="str">
            <v>PremiumW3</v>
          </cell>
        </row>
        <row r="29">
          <cell r="C29" t="str">
            <v>PremiumW4</v>
          </cell>
        </row>
        <row r="30">
          <cell r="C30" t="str">
            <v>PremiumW3</v>
          </cell>
        </row>
        <row r="31">
          <cell r="C31" t="str">
            <v>PremiumW4</v>
          </cell>
        </row>
        <row r="32">
          <cell r="C32" t="str">
            <v>PremiumW3</v>
          </cell>
        </row>
        <row r="33">
          <cell r="C33" t="str">
            <v>PremiumW4</v>
          </cell>
        </row>
        <row r="34">
          <cell r="C34" t="str">
            <v>PremiumW3</v>
          </cell>
        </row>
        <row r="35">
          <cell r="C35" t="str">
            <v>PremiumW4</v>
          </cell>
        </row>
        <row r="36">
          <cell r="C36" t="str">
            <v>PremiumW3</v>
          </cell>
        </row>
        <row r="37">
          <cell r="C37" t="str">
            <v>PremiumW4</v>
          </cell>
        </row>
        <row r="38">
          <cell r="C38" t="str">
            <v>PremiumW3</v>
          </cell>
        </row>
        <row r="39">
          <cell r="C39" t="str">
            <v>PremiumW4</v>
          </cell>
        </row>
        <row r="40">
          <cell r="C40" t="str">
            <v>PremiumW3</v>
          </cell>
        </row>
        <row r="41">
          <cell r="C41" t="str">
            <v>PremiumW4</v>
          </cell>
        </row>
        <row r="42">
          <cell r="C42" t="str">
            <v>Premium3R6release</v>
          </cell>
        </row>
        <row r="43">
          <cell r="C43" t="str">
            <v>Premium4R6release</v>
          </cell>
        </row>
        <row r="44">
          <cell r="C44" t="str">
            <v>Premium5R6release</v>
          </cell>
        </row>
        <row r="45">
          <cell r="C45" t="str">
            <v>Premium3R6release</v>
          </cell>
        </row>
        <row r="46">
          <cell r="C46" t="str">
            <v>Premium4R6release</v>
          </cell>
        </row>
        <row r="47">
          <cell r="C47" t="str">
            <v>Premium5R6release</v>
          </cell>
        </row>
        <row r="48">
          <cell r="C48" t="str">
            <v>Premium3R6release</v>
          </cell>
        </row>
        <row r="49">
          <cell r="C49" t="str">
            <v>Premium4R6release</v>
          </cell>
        </row>
        <row r="50">
          <cell r="C50" t="str">
            <v>Premium5R6release</v>
          </cell>
        </row>
        <row r="51">
          <cell r="C51" t="str">
            <v>Premium3</v>
          </cell>
        </row>
        <row r="52">
          <cell r="C52" t="str">
            <v>Premium4</v>
          </cell>
        </row>
        <row r="53">
          <cell r="C53" t="str">
            <v>Premium5</v>
          </cell>
        </row>
        <row r="54">
          <cell r="C54" t="str">
            <v>Premium3</v>
          </cell>
        </row>
        <row r="55">
          <cell r="C55" t="str">
            <v>Premium4</v>
          </cell>
        </row>
        <row r="56">
          <cell r="C56" t="str">
            <v>Premium5</v>
          </cell>
        </row>
        <row r="57">
          <cell r="C57" t="str">
            <v>Premium3</v>
          </cell>
        </row>
        <row r="58">
          <cell r="C58" t="str">
            <v>Premium4</v>
          </cell>
        </row>
        <row r="59">
          <cell r="C59" t="str">
            <v>Premium5</v>
          </cell>
        </row>
        <row r="60">
          <cell r="C60" t="str">
            <v>Premium3</v>
          </cell>
        </row>
        <row r="61">
          <cell r="C61" t="str">
            <v>Premium4</v>
          </cell>
        </row>
        <row r="62">
          <cell r="C62" t="str">
            <v>Premium5</v>
          </cell>
        </row>
        <row r="63">
          <cell r="C63" t="str">
            <v>Premium3</v>
          </cell>
        </row>
        <row r="64">
          <cell r="C64" t="str">
            <v>Premium4</v>
          </cell>
        </row>
        <row r="65">
          <cell r="C65" t="str">
            <v>Premium5</v>
          </cell>
        </row>
        <row r="66">
          <cell r="C66" t="str">
            <v>Premium3</v>
          </cell>
        </row>
        <row r="67">
          <cell r="C67" t="str">
            <v>Premium4</v>
          </cell>
        </row>
        <row r="68">
          <cell r="C68" t="str">
            <v>Premium5</v>
          </cell>
        </row>
        <row r="69">
          <cell r="C69" t="str">
            <v>Premium3</v>
          </cell>
        </row>
        <row r="70">
          <cell r="C70" t="str">
            <v>Premium4</v>
          </cell>
        </row>
        <row r="71">
          <cell r="C71" t="str">
            <v>Premium5</v>
          </cell>
        </row>
        <row r="72">
          <cell r="C72" t="str">
            <v>Premium3</v>
          </cell>
        </row>
        <row r="73">
          <cell r="C73" t="str">
            <v>Premium4</v>
          </cell>
        </row>
        <row r="74">
          <cell r="C74" t="str">
            <v>Premium5</v>
          </cell>
        </row>
        <row r="75">
          <cell r="C75" t="str">
            <v>Premium3</v>
          </cell>
        </row>
        <row r="76">
          <cell r="C76" t="str">
            <v>Premium4</v>
          </cell>
        </row>
        <row r="77">
          <cell r="C77" t="str">
            <v>Premium5</v>
          </cell>
        </row>
        <row r="78">
          <cell r="C78" t="str">
            <v>Premium3</v>
          </cell>
        </row>
        <row r="79">
          <cell r="C79" t="str">
            <v>Premium4</v>
          </cell>
        </row>
        <row r="80">
          <cell r="C80" t="str">
            <v>Premium5</v>
          </cell>
        </row>
        <row r="81">
          <cell r="C81" t="str">
            <v>Premium3</v>
          </cell>
        </row>
        <row r="82">
          <cell r="C82" t="str">
            <v>Premium4</v>
          </cell>
        </row>
        <row r="83">
          <cell r="C83" t="str">
            <v>Premium5</v>
          </cell>
        </row>
        <row r="84">
          <cell r="C84" t="str">
            <v>Premium3</v>
          </cell>
        </row>
        <row r="85">
          <cell r="C85" t="str">
            <v>Premium4</v>
          </cell>
        </row>
        <row r="86">
          <cell r="C86" t="str">
            <v>Premium5</v>
          </cell>
        </row>
        <row r="87">
          <cell r="C87" t="str">
            <v>Premium3</v>
          </cell>
        </row>
        <row r="88">
          <cell r="C88" t="str">
            <v>Premium4</v>
          </cell>
        </row>
        <row r="89">
          <cell r="C89" t="str">
            <v>Premium5</v>
          </cell>
        </row>
        <row r="90">
          <cell r="C90" t="str">
            <v>Premium3</v>
          </cell>
        </row>
        <row r="91">
          <cell r="C91" t="str">
            <v>Premium4</v>
          </cell>
        </row>
        <row r="92">
          <cell r="C92" t="str">
            <v>Premium5</v>
          </cell>
        </row>
        <row r="93">
          <cell r="C93" t="str">
            <v>Premium3</v>
          </cell>
        </row>
        <row r="94">
          <cell r="C94" t="str">
            <v>Premium4</v>
          </cell>
        </row>
        <row r="95">
          <cell r="C95" t="str">
            <v>Premium5</v>
          </cell>
        </row>
        <row r="96">
          <cell r="C96" t="str">
            <v>Premium3</v>
          </cell>
        </row>
        <row r="97">
          <cell r="C97" t="str">
            <v>Premium4</v>
          </cell>
        </row>
        <row r="98">
          <cell r="C98" t="str">
            <v>Premium5</v>
          </cell>
        </row>
        <row r="99">
          <cell r="C99" t="str">
            <v>Premium3</v>
          </cell>
        </row>
        <row r="100">
          <cell r="C100" t="str">
            <v>Premium4</v>
          </cell>
        </row>
        <row r="101">
          <cell r="C101" t="str">
            <v>Premium5</v>
          </cell>
        </row>
        <row r="102">
          <cell r="C102" t="str">
            <v>Premium3</v>
          </cell>
        </row>
        <row r="103">
          <cell r="C103" t="str">
            <v>Premium4</v>
          </cell>
        </row>
        <row r="104">
          <cell r="C104" t="str">
            <v>Premium5</v>
          </cell>
        </row>
        <row r="105">
          <cell r="C105" t="str">
            <v>Premium3</v>
          </cell>
        </row>
        <row r="106">
          <cell r="C106" t="str">
            <v>Premium4</v>
          </cell>
        </row>
        <row r="107">
          <cell r="C107" t="str">
            <v>Premium5</v>
          </cell>
        </row>
        <row r="108">
          <cell r="C108" t="str">
            <v>Premium3</v>
          </cell>
        </row>
        <row r="109">
          <cell r="C109" t="str">
            <v>Premium4</v>
          </cell>
        </row>
        <row r="110">
          <cell r="C110" t="str">
            <v>Premium5</v>
          </cell>
        </row>
        <row r="111">
          <cell r="C111" t="str">
            <v>Premium3R6release</v>
          </cell>
        </row>
        <row r="112">
          <cell r="C112" t="str">
            <v>Premium4R6release</v>
          </cell>
        </row>
        <row r="113">
          <cell r="C113" t="str">
            <v>Premium5R6release</v>
          </cell>
        </row>
        <row r="114">
          <cell r="C114" t="str">
            <v>Premium3</v>
          </cell>
        </row>
        <row r="115">
          <cell r="C115" t="str">
            <v>Premium4</v>
          </cell>
        </row>
        <row r="116">
          <cell r="C116" t="str">
            <v>Premium5</v>
          </cell>
        </row>
        <row r="117">
          <cell r="C117" t="str">
            <v>Premium3</v>
          </cell>
        </row>
        <row r="118">
          <cell r="C118" t="str">
            <v>Premium4</v>
          </cell>
        </row>
        <row r="119">
          <cell r="C119" t="str">
            <v>Premium5</v>
          </cell>
        </row>
        <row r="120">
          <cell r="C120" t="str">
            <v>Premium3</v>
          </cell>
        </row>
        <row r="121">
          <cell r="C121" t="str">
            <v>Premium4</v>
          </cell>
        </row>
        <row r="122">
          <cell r="C122" t="str">
            <v>Premium5</v>
          </cell>
        </row>
        <row r="123">
          <cell r="C123" t="str">
            <v>Premium3</v>
          </cell>
        </row>
        <row r="124">
          <cell r="C124" t="str">
            <v>Premium4</v>
          </cell>
        </row>
        <row r="125">
          <cell r="C125" t="str">
            <v>Premium5</v>
          </cell>
        </row>
        <row r="126">
          <cell r="C126" t="str">
            <v>Premium3</v>
          </cell>
        </row>
        <row r="127">
          <cell r="C127" t="str">
            <v>Premium4</v>
          </cell>
        </row>
        <row r="128">
          <cell r="C128" t="str">
            <v>Premium5</v>
          </cell>
        </row>
        <row r="129">
          <cell r="C129" t="str">
            <v>Premium3</v>
          </cell>
        </row>
        <row r="130">
          <cell r="C130" t="str">
            <v>Premium4</v>
          </cell>
        </row>
        <row r="131">
          <cell r="C131" t="str">
            <v>Premium5</v>
          </cell>
        </row>
        <row r="132">
          <cell r="C132" t="str">
            <v>Premium3</v>
          </cell>
        </row>
        <row r="133">
          <cell r="C133" t="str">
            <v>Premium4</v>
          </cell>
        </row>
        <row r="134">
          <cell r="C134" t="str">
            <v>Premium5</v>
          </cell>
        </row>
        <row r="135">
          <cell r="C135" t="str">
            <v>Premium3</v>
          </cell>
        </row>
        <row r="136">
          <cell r="C136" t="str">
            <v>Premium4</v>
          </cell>
        </row>
        <row r="137">
          <cell r="C137" t="str">
            <v>Premium5</v>
          </cell>
        </row>
        <row r="138">
          <cell r="C138" t="str">
            <v>PremiumSS4</v>
          </cell>
        </row>
        <row r="139">
          <cell r="C139" t="str">
            <v>PremiumSS5</v>
          </cell>
        </row>
        <row r="140">
          <cell r="C140" t="str">
            <v>PremiumSS4</v>
          </cell>
        </row>
        <row r="141">
          <cell r="C141" t="str">
            <v>PremiumSS5</v>
          </cell>
        </row>
        <row r="142">
          <cell r="C142" t="str">
            <v>PremiumSS4</v>
          </cell>
        </row>
        <row r="143">
          <cell r="C143" t="str">
            <v>PremiumSS5</v>
          </cell>
        </row>
        <row r="144">
          <cell r="C144" t="str">
            <v>PremiumSS4</v>
          </cell>
        </row>
        <row r="145">
          <cell r="C145" t="str">
            <v>PremiumSS5</v>
          </cell>
        </row>
        <row r="146">
          <cell r="C146" t="str">
            <v>Premium3</v>
          </cell>
        </row>
        <row r="147">
          <cell r="C147" t="str">
            <v>Premium4</v>
          </cell>
        </row>
        <row r="148">
          <cell r="C148" t="str">
            <v>Premium5</v>
          </cell>
        </row>
        <row r="149">
          <cell r="C149" t="str">
            <v>PremiumSS4</v>
          </cell>
        </row>
        <row r="150">
          <cell r="C150" t="str">
            <v>PremiumSS5</v>
          </cell>
        </row>
        <row r="151">
          <cell r="C151" t="str">
            <v>PremiumSS4</v>
          </cell>
        </row>
        <row r="152">
          <cell r="C152" t="str">
            <v>PremiumSS5</v>
          </cell>
        </row>
        <row r="153">
          <cell r="C153" t="str">
            <v>Premium3</v>
          </cell>
        </row>
        <row r="154">
          <cell r="C154" t="str">
            <v>Premium4</v>
          </cell>
        </row>
        <row r="155">
          <cell r="C155" t="str">
            <v>Premium5</v>
          </cell>
        </row>
        <row r="156">
          <cell r="C156" t="str">
            <v>PremiumSS4</v>
          </cell>
        </row>
        <row r="157">
          <cell r="C157" t="str">
            <v>PremiumSS5</v>
          </cell>
        </row>
        <row r="158">
          <cell r="C158" t="str">
            <v>Premium3</v>
          </cell>
        </row>
        <row r="159">
          <cell r="C159" t="str">
            <v>Premium4</v>
          </cell>
        </row>
        <row r="160">
          <cell r="C160" t="str">
            <v>Premium5</v>
          </cell>
        </row>
        <row r="161">
          <cell r="C161" t="str">
            <v>Premium3</v>
          </cell>
        </row>
        <row r="162">
          <cell r="C162" t="str">
            <v>Premium4</v>
          </cell>
        </row>
        <row r="163">
          <cell r="C163" t="str">
            <v>Premium5</v>
          </cell>
        </row>
        <row r="164">
          <cell r="C164" t="str">
            <v>PremiumSS4</v>
          </cell>
        </row>
        <row r="165">
          <cell r="C165" t="str">
            <v>PremiumSS5</v>
          </cell>
        </row>
        <row r="166">
          <cell r="C166" t="str">
            <v>Premium3</v>
          </cell>
        </row>
        <row r="167">
          <cell r="C167" t="str">
            <v>Premium4</v>
          </cell>
        </row>
        <row r="168">
          <cell r="C168" t="str">
            <v>Premium5</v>
          </cell>
        </row>
        <row r="169">
          <cell r="C169" t="str">
            <v>PremiumSS4</v>
          </cell>
        </row>
        <row r="170">
          <cell r="C170" t="str">
            <v>PremiumSS5</v>
          </cell>
        </row>
        <row r="171">
          <cell r="C171" t="str">
            <v>Premium3</v>
          </cell>
        </row>
        <row r="172">
          <cell r="C172" t="str">
            <v>Premium4</v>
          </cell>
        </row>
        <row r="173">
          <cell r="C173" t="str">
            <v>Premium5</v>
          </cell>
        </row>
        <row r="174">
          <cell r="C174" t="str">
            <v>PremiumSS4</v>
          </cell>
        </row>
        <row r="175">
          <cell r="C175" t="str">
            <v>PremiumSS5</v>
          </cell>
        </row>
        <row r="176">
          <cell r="C176" t="str">
            <v>PremiumSS4</v>
          </cell>
        </row>
        <row r="177">
          <cell r="C177" t="str">
            <v>PremiumSS5</v>
          </cell>
        </row>
        <row r="178">
          <cell r="C178" t="str">
            <v>Premium3</v>
          </cell>
        </row>
        <row r="179">
          <cell r="C179" t="str">
            <v>Premium4</v>
          </cell>
        </row>
        <row r="180">
          <cell r="C180" t="str">
            <v>Premium5</v>
          </cell>
        </row>
        <row r="181">
          <cell r="C181" t="str">
            <v>Premium3</v>
          </cell>
        </row>
        <row r="182">
          <cell r="C182" t="str">
            <v>Premium4</v>
          </cell>
        </row>
        <row r="183">
          <cell r="C183" t="str">
            <v>Premium5</v>
          </cell>
        </row>
        <row r="184">
          <cell r="C184" t="str">
            <v>PremiumSS4</v>
          </cell>
        </row>
        <row r="185">
          <cell r="C185" t="str">
            <v>PremiumSS5</v>
          </cell>
        </row>
        <row r="186">
          <cell r="C186" t="str">
            <v>Premium3</v>
          </cell>
        </row>
        <row r="187">
          <cell r="C187" t="str">
            <v>Premium4</v>
          </cell>
        </row>
        <row r="188">
          <cell r="C188" t="str">
            <v>Premium5</v>
          </cell>
        </row>
        <row r="189">
          <cell r="C189" t="str">
            <v>PremiumSS4</v>
          </cell>
        </row>
        <row r="190">
          <cell r="C190" t="str">
            <v>PremiumSS5</v>
          </cell>
        </row>
        <row r="191">
          <cell r="C191" t="str">
            <v>PremiumSS4</v>
          </cell>
        </row>
        <row r="192">
          <cell r="C192" t="str">
            <v>PremiumSS5</v>
          </cell>
        </row>
        <row r="193">
          <cell r="C193" t="str">
            <v>Premium3</v>
          </cell>
        </row>
        <row r="194">
          <cell r="C194" t="str">
            <v>Premium4</v>
          </cell>
        </row>
        <row r="195">
          <cell r="C195" t="str">
            <v>Premium5</v>
          </cell>
        </row>
        <row r="196">
          <cell r="C196" t="str">
            <v>PremiumSS4</v>
          </cell>
        </row>
        <row r="197">
          <cell r="C197" t="str">
            <v>PremiumSS5</v>
          </cell>
        </row>
        <row r="198">
          <cell r="C198" t="str">
            <v>Premium3</v>
          </cell>
        </row>
        <row r="199">
          <cell r="C199" t="str">
            <v>Premium4</v>
          </cell>
        </row>
        <row r="200">
          <cell r="C200" t="str">
            <v>Premium5</v>
          </cell>
        </row>
        <row r="201">
          <cell r="C201" t="str">
            <v>PremiumSS4</v>
          </cell>
        </row>
        <row r="202">
          <cell r="C202" t="str">
            <v>PremiumSS5</v>
          </cell>
        </row>
        <row r="203">
          <cell r="C203" t="str">
            <v>Premium3</v>
          </cell>
        </row>
        <row r="204">
          <cell r="C204" t="str">
            <v>Premium4</v>
          </cell>
        </row>
        <row r="205">
          <cell r="C205" t="str">
            <v>Premium5</v>
          </cell>
        </row>
        <row r="206">
          <cell r="C206" t="str">
            <v>PremiumSS4</v>
          </cell>
        </row>
        <row r="207">
          <cell r="C207" t="str">
            <v>PremiumSS5</v>
          </cell>
        </row>
        <row r="208">
          <cell r="C208" t="str">
            <v>PremiumSS4</v>
          </cell>
        </row>
        <row r="209">
          <cell r="C209" t="str">
            <v>PremiumSS5</v>
          </cell>
        </row>
        <row r="210">
          <cell r="C210" t="str">
            <v>Premium3</v>
          </cell>
        </row>
        <row r="211">
          <cell r="C211" t="str">
            <v>Premium4</v>
          </cell>
        </row>
        <row r="212">
          <cell r="C212" t="str">
            <v>Premium5</v>
          </cell>
        </row>
        <row r="213">
          <cell r="C213" t="str">
            <v>PremiumSS4</v>
          </cell>
        </row>
        <row r="214">
          <cell r="C214" t="str">
            <v>PremiumSS5</v>
          </cell>
        </row>
        <row r="215">
          <cell r="C215" t="str">
            <v>PremiumSS4</v>
          </cell>
        </row>
        <row r="216">
          <cell r="C216" t="str">
            <v>PremiumSS5</v>
          </cell>
        </row>
        <row r="217">
          <cell r="C217" t="str">
            <v>Premium3</v>
          </cell>
        </row>
        <row r="218">
          <cell r="C218" t="str">
            <v>Premium4</v>
          </cell>
        </row>
        <row r="219">
          <cell r="C219" t="str">
            <v>Premium5</v>
          </cell>
        </row>
        <row r="220">
          <cell r="C220" t="str">
            <v>Premium3</v>
          </cell>
        </row>
        <row r="221">
          <cell r="C221" t="str">
            <v>Premium4</v>
          </cell>
        </row>
        <row r="222">
          <cell r="C222" t="str">
            <v>Premium5</v>
          </cell>
        </row>
        <row r="223">
          <cell r="C223" t="str">
            <v>PremiumSS4</v>
          </cell>
        </row>
        <row r="224">
          <cell r="C224" t="str">
            <v>PremiumSS5</v>
          </cell>
        </row>
        <row r="225">
          <cell r="C225" t="str">
            <v>Premium3</v>
          </cell>
        </row>
        <row r="226">
          <cell r="C226" t="str">
            <v>Premium4</v>
          </cell>
        </row>
        <row r="227">
          <cell r="C227" t="str">
            <v>Premium5</v>
          </cell>
        </row>
        <row r="228">
          <cell r="C228" t="str">
            <v>Premium3</v>
          </cell>
        </row>
        <row r="229">
          <cell r="C229" t="str">
            <v>Premium4</v>
          </cell>
        </row>
        <row r="230">
          <cell r="C230" t="str">
            <v>Premium5</v>
          </cell>
        </row>
        <row r="231">
          <cell r="C231" t="str">
            <v>PremiumSS4</v>
          </cell>
        </row>
        <row r="232">
          <cell r="C232" t="str">
            <v>PremiumSS5</v>
          </cell>
        </row>
        <row r="233">
          <cell r="C233" t="str">
            <v>Premium3</v>
          </cell>
        </row>
        <row r="234">
          <cell r="C234" t="str">
            <v>Premium4</v>
          </cell>
        </row>
        <row r="235">
          <cell r="C235" t="str">
            <v>Premium5</v>
          </cell>
        </row>
        <row r="236">
          <cell r="C236" t="str">
            <v>PremiumSS4</v>
          </cell>
        </row>
        <row r="237">
          <cell r="C237" t="str">
            <v>PremiumSS5</v>
          </cell>
        </row>
        <row r="238">
          <cell r="C238" t="str">
            <v>PremiumSS4</v>
          </cell>
        </row>
        <row r="239">
          <cell r="C239" t="str">
            <v>PremiumSS5</v>
          </cell>
        </row>
        <row r="240">
          <cell r="C240" t="str">
            <v>Premium3</v>
          </cell>
        </row>
        <row r="241">
          <cell r="C241" t="str">
            <v>Premium4</v>
          </cell>
        </row>
        <row r="242">
          <cell r="C242" t="str">
            <v>Premium5</v>
          </cell>
        </row>
        <row r="243">
          <cell r="C243" t="str">
            <v>Premium3</v>
          </cell>
        </row>
        <row r="244">
          <cell r="C244" t="str">
            <v>Premium4</v>
          </cell>
        </row>
        <row r="245">
          <cell r="C245" t="str">
            <v>Premium5</v>
          </cell>
        </row>
        <row r="246">
          <cell r="C246" t="str">
            <v>Premium3</v>
          </cell>
        </row>
        <row r="247">
          <cell r="C247" t="str">
            <v>Premium4</v>
          </cell>
        </row>
        <row r="248">
          <cell r="C248" t="str">
            <v>Premium5</v>
          </cell>
        </row>
        <row r="249">
          <cell r="C249" t="str">
            <v>Premium3</v>
          </cell>
        </row>
        <row r="250">
          <cell r="C250" t="str">
            <v>Premium4</v>
          </cell>
        </row>
        <row r="251">
          <cell r="C251" t="str">
            <v>Premium5</v>
          </cell>
        </row>
        <row r="252">
          <cell r="C252" t="str">
            <v>PremiumSS4</v>
          </cell>
        </row>
        <row r="253">
          <cell r="C253" t="str">
            <v>PremiumSS5</v>
          </cell>
        </row>
        <row r="254">
          <cell r="C254" t="str">
            <v>PremiumSS4</v>
          </cell>
        </row>
        <row r="255">
          <cell r="C255" t="str">
            <v>PremiumSS5</v>
          </cell>
        </row>
        <row r="256">
          <cell r="C256" t="str">
            <v>PremiumSS4</v>
          </cell>
        </row>
        <row r="257">
          <cell r="C257" t="str">
            <v>PremiumSS5</v>
          </cell>
        </row>
        <row r="258">
          <cell r="C258" t="str">
            <v>PremiumSS4</v>
          </cell>
        </row>
        <row r="259">
          <cell r="C259" t="str">
            <v>PremiumSS5</v>
          </cell>
        </row>
        <row r="260">
          <cell r="C260" t="str">
            <v>Premium3</v>
          </cell>
        </row>
        <row r="261">
          <cell r="C261" t="str">
            <v>Premium4</v>
          </cell>
        </row>
        <row r="262">
          <cell r="C262" t="str">
            <v>Premium5</v>
          </cell>
        </row>
        <row r="263">
          <cell r="C263" t="str">
            <v>Premium3</v>
          </cell>
        </row>
        <row r="264">
          <cell r="C264" t="str">
            <v>Premium4</v>
          </cell>
        </row>
        <row r="265">
          <cell r="C265" t="str">
            <v>Premium5</v>
          </cell>
        </row>
        <row r="266">
          <cell r="C266" t="str">
            <v>Premium4R3less</v>
          </cell>
        </row>
        <row r="267">
          <cell r="C267" t="str">
            <v>Premium5R3less</v>
          </cell>
        </row>
        <row r="268">
          <cell r="C268" t="str">
            <v>Premium4R3less</v>
          </cell>
        </row>
        <row r="269">
          <cell r="C269" t="str">
            <v>Premium5R3less</v>
          </cell>
        </row>
        <row r="270">
          <cell r="C270" t="str">
            <v>PremiumSS5R5only</v>
          </cell>
        </row>
        <row r="271">
          <cell r="C271" t="str">
            <v>PremiumSS5R5only</v>
          </cell>
        </row>
      </sheetData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7100100"/>
      <sheetName val="tables_7100100"/>
      <sheetName val="tables_settle_7100100"/>
      <sheetName val="gacha_bonus_tables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character_id</v>
          </cell>
        </row>
        <row r="2">
          <cell r="A2">
            <v>126</v>
          </cell>
        </row>
        <row r="3">
          <cell r="A3">
            <v>127</v>
          </cell>
        </row>
        <row r="4">
          <cell r="A4">
            <v>128</v>
          </cell>
        </row>
        <row r="5">
          <cell r="A5">
            <v>129</v>
          </cell>
        </row>
        <row r="6">
          <cell r="A6">
            <v>130</v>
          </cell>
        </row>
        <row r="7">
          <cell r="A7">
            <v>131</v>
          </cell>
        </row>
        <row r="8">
          <cell r="A8">
            <v>132</v>
          </cell>
        </row>
        <row r="9">
          <cell r="A9">
            <v>133</v>
          </cell>
        </row>
        <row r="10">
          <cell r="A10">
            <v>134</v>
          </cell>
        </row>
        <row r="11">
          <cell r="A11">
            <v>135</v>
          </cell>
        </row>
        <row r="12">
          <cell r="A12">
            <v>136</v>
          </cell>
        </row>
        <row r="13">
          <cell r="A13">
            <v>137</v>
          </cell>
        </row>
        <row r="14">
          <cell r="A14">
            <v>138</v>
          </cell>
        </row>
        <row r="15">
          <cell r="A15">
            <v>139</v>
          </cell>
        </row>
        <row r="16">
          <cell r="A16">
            <v>140</v>
          </cell>
        </row>
        <row r="17">
          <cell r="A17">
            <v>141</v>
          </cell>
        </row>
        <row r="18">
          <cell r="A18">
            <v>142</v>
          </cell>
        </row>
        <row r="19">
          <cell r="A19">
            <v>143</v>
          </cell>
        </row>
        <row r="20">
          <cell r="A20">
            <v>144</v>
          </cell>
        </row>
        <row r="21">
          <cell r="A21">
            <v>145</v>
          </cell>
        </row>
        <row r="22">
          <cell r="A22">
            <v>146</v>
          </cell>
        </row>
        <row r="23">
          <cell r="A23">
            <v>147</v>
          </cell>
        </row>
        <row r="24">
          <cell r="A24">
            <v>148</v>
          </cell>
        </row>
        <row r="25">
          <cell r="A25">
            <v>149</v>
          </cell>
        </row>
        <row r="26">
          <cell r="A26">
            <v>150</v>
          </cell>
        </row>
        <row r="27">
          <cell r="A27">
            <v>151</v>
          </cell>
        </row>
        <row r="28">
          <cell r="A28">
            <v>152</v>
          </cell>
        </row>
        <row r="29">
          <cell r="A29">
            <v>153</v>
          </cell>
        </row>
        <row r="30">
          <cell r="A30">
            <v>154</v>
          </cell>
        </row>
        <row r="31">
          <cell r="A31">
            <v>155</v>
          </cell>
        </row>
        <row r="32">
          <cell r="A32">
            <v>156</v>
          </cell>
        </row>
        <row r="33">
          <cell r="A33">
            <v>157</v>
          </cell>
        </row>
        <row r="34">
          <cell r="A34">
            <v>158</v>
          </cell>
        </row>
        <row r="35">
          <cell r="A35">
            <v>159</v>
          </cell>
        </row>
        <row r="36">
          <cell r="A36">
            <v>160</v>
          </cell>
        </row>
        <row r="37">
          <cell r="A37">
            <v>161</v>
          </cell>
        </row>
        <row r="38">
          <cell r="A38">
            <v>162</v>
          </cell>
        </row>
        <row r="39">
          <cell r="A39">
            <v>163</v>
          </cell>
        </row>
        <row r="40">
          <cell r="A40">
            <v>164</v>
          </cell>
        </row>
        <row r="41">
          <cell r="A41">
            <v>165</v>
          </cell>
        </row>
        <row r="42">
          <cell r="A42">
            <v>166</v>
          </cell>
        </row>
        <row r="43">
          <cell r="A43">
            <v>167</v>
          </cell>
        </row>
        <row r="44">
          <cell r="A44">
            <v>168</v>
          </cell>
        </row>
        <row r="45">
          <cell r="A45">
            <v>169</v>
          </cell>
        </row>
        <row r="46">
          <cell r="A46">
            <v>170</v>
          </cell>
        </row>
        <row r="47">
          <cell r="A47">
            <v>171</v>
          </cell>
        </row>
        <row r="48">
          <cell r="A48">
            <v>172</v>
          </cell>
        </row>
        <row r="49">
          <cell r="A49">
            <v>173</v>
          </cell>
        </row>
        <row r="50">
          <cell r="A50">
            <v>174</v>
          </cell>
        </row>
        <row r="51">
          <cell r="A51">
            <v>175</v>
          </cell>
        </row>
        <row r="52">
          <cell r="A52">
            <v>176</v>
          </cell>
        </row>
        <row r="53">
          <cell r="A53">
            <v>177</v>
          </cell>
        </row>
        <row r="54">
          <cell r="A54">
            <v>178</v>
          </cell>
        </row>
        <row r="55">
          <cell r="A55">
            <v>179</v>
          </cell>
        </row>
        <row r="56">
          <cell r="A56">
            <v>180</v>
          </cell>
        </row>
        <row r="57">
          <cell r="A57">
            <v>181</v>
          </cell>
        </row>
        <row r="58">
          <cell r="A58">
            <v>182</v>
          </cell>
        </row>
        <row r="59">
          <cell r="A59">
            <v>183</v>
          </cell>
        </row>
        <row r="60">
          <cell r="A60">
            <v>184</v>
          </cell>
        </row>
        <row r="61">
          <cell r="A61">
            <v>185</v>
          </cell>
        </row>
        <row r="62">
          <cell r="A62">
            <v>186</v>
          </cell>
        </row>
        <row r="63">
          <cell r="A63">
            <v>187</v>
          </cell>
        </row>
        <row r="64">
          <cell r="A64">
            <v>188</v>
          </cell>
        </row>
        <row r="65">
          <cell r="A65">
            <v>189</v>
          </cell>
        </row>
        <row r="66">
          <cell r="A66">
            <v>190</v>
          </cell>
        </row>
        <row r="67">
          <cell r="A67">
            <v>191</v>
          </cell>
        </row>
        <row r="68">
          <cell r="A68">
            <v>192</v>
          </cell>
        </row>
        <row r="69">
          <cell r="A69">
            <v>193</v>
          </cell>
        </row>
        <row r="70">
          <cell r="A70">
            <v>194</v>
          </cell>
        </row>
        <row r="71">
          <cell r="A71">
            <v>195</v>
          </cell>
        </row>
        <row r="72">
          <cell r="A72">
            <v>196</v>
          </cell>
        </row>
        <row r="73">
          <cell r="A73">
            <v>197</v>
          </cell>
        </row>
        <row r="74">
          <cell r="A74">
            <v>198</v>
          </cell>
        </row>
        <row r="75">
          <cell r="A75">
            <v>199</v>
          </cell>
        </row>
        <row r="76">
          <cell r="A76">
            <v>200</v>
          </cell>
        </row>
        <row r="77">
          <cell r="A77">
            <v>201</v>
          </cell>
        </row>
        <row r="78">
          <cell r="A78">
            <v>202</v>
          </cell>
        </row>
        <row r="79">
          <cell r="A79">
            <v>203</v>
          </cell>
        </row>
        <row r="80">
          <cell r="A80">
            <v>204</v>
          </cell>
        </row>
        <row r="81">
          <cell r="A81">
            <v>205</v>
          </cell>
        </row>
        <row r="82">
          <cell r="A82">
            <v>206</v>
          </cell>
        </row>
        <row r="83">
          <cell r="A83">
            <v>207</v>
          </cell>
        </row>
        <row r="84">
          <cell r="A84">
            <v>208</v>
          </cell>
        </row>
        <row r="85">
          <cell r="A85">
            <v>209</v>
          </cell>
        </row>
        <row r="86">
          <cell r="A86">
            <v>210</v>
          </cell>
        </row>
        <row r="87">
          <cell r="A87">
            <v>211</v>
          </cell>
        </row>
        <row r="88">
          <cell r="A88">
            <v>212</v>
          </cell>
        </row>
        <row r="89">
          <cell r="A89">
            <v>213</v>
          </cell>
        </row>
        <row r="90">
          <cell r="A90">
            <v>214</v>
          </cell>
        </row>
        <row r="91">
          <cell r="A91">
            <v>215</v>
          </cell>
        </row>
        <row r="92">
          <cell r="A92">
            <v>216</v>
          </cell>
        </row>
        <row r="93">
          <cell r="A93">
            <v>217</v>
          </cell>
        </row>
        <row r="94">
          <cell r="A94">
            <v>218</v>
          </cell>
        </row>
        <row r="95">
          <cell r="A95">
            <v>219</v>
          </cell>
        </row>
        <row r="96">
          <cell r="A96">
            <v>220</v>
          </cell>
        </row>
        <row r="97">
          <cell r="A97">
            <v>221</v>
          </cell>
        </row>
        <row r="98">
          <cell r="A98">
            <v>222</v>
          </cell>
        </row>
        <row r="99">
          <cell r="A99">
            <v>223</v>
          </cell>
        </row>
        <row r="100">
          <cell r="A100">
            <v>224</v>
          </cell>
        </row>
        <row r="101">
          <cell r="A101">
            <v>225</v>
          </cell>
        </row>
        <row r="102">
          <cell r="A102">
            <v>226</v>
          </cell>
        </row>
        <row r="103">
          <cell r="A103">
            <v>227</v>
          </cell>
        </row>
        <row r="104">
          <cell r="A104">
            <v>228</v>
          </cell>
        </row>
        <row r="105">
          <cell r="A105">
            <v>229</v>
          </cell>
        </row>
        <row r="106">
          <cell r="A106">
            <v>230</v>
          </cell>
        </row>
        <row r="107">
          <cell r="A107">
            <v>231</v>
          </cell>
        </row>
        <row r="108">
          <cell r="A108">
            <v>232</v>
          </cell>
        </row>
        <row r="109">
          <cell r="A109">
            <v>233</v>
          </cell>
        </row>
        <row r="110">
          <cell r="A110">
            <v>234</v>
          </cell>
        </row>
        <row r="111">
          <cell r="A111">
            <v>235</v>
          </cell>
        </row>
        <row r="112">
          <cell r="A112">
            <v>236</v>
          </cell>
        </row>
        <row r="113">
          <cell r="A113">
            <v>237</v>
          </cell>
        </row>
        <row r="114">
          <cell r="A114">
            <v>238</v>
          </cell>
        </row>
        <row r="115">
          <cell r="A115">
            <v>239</v>
          </cell>
        </row>
        <row r="116">
          <cell r="A116">
            <v>240</v>
          </cell>
        </row>
        <row r="117">
          <cell r="A117">
            <v>241</v>
          </cell>
        </row>
        <row r="118">
          <cell r="A118">
            <v>242</v>
          </cell>
        </row>
        <row r="119">
          <cell r="A119">
            <v>243</v>
          </cell>
        </row>
        <row r="120">
          <cell r="A120">
            <v>244</v>
          </cell>
        </row>
        <row r="121">
          <cell r="A121">
            <v>245</v>
          </cell>
        </row>
        <row r="122">
          <cell r="A122">
            <v>246</v>
          </cell>
        </row>
        <row r="123">
          <cell r="A123">
            <v>247</v>
          </cell>
        </row>
        <row r="124">
          <cell r="A124">
            <v>248</v>
          </cell>
        </row>
        <row r="125">
          <cell r="A125">
            <v>249</v>
          </cell>
        </row>
        <row r="126">
          <cell r="A126">
            <v>250</v>
          </cell>
        </row>
        <row r="127">
          <cell r="A127">
            <v>251</v>
          </cell>
        </row>
        <row r="128">
          <cell r="A128">
            <v>252</v>
          </cell>
        </row>
        <row r="129">
          <cell r="A129">
            <v>253</v>
          </cell>
        </row>
        <row r="130">
          <cell r="A130">
            <v>254</v>
          </cell>
        </row>
        <row r="131">
          <cell r="A131">
            <v>255</v>
          </cell>
        </row>
        <row r="132">
          <cell r="A132">
            <v>256</v>
          </cell>
        </row>
        <row r="133">
          <cell r="A133">
            <v>257</v>
          </cell>
        </row>
        <row r="134">
          <cell r="A134">
            <v>258</v>
          </cell>
        </row>
        <row r="135">
          <cell r="A135">
            <v>259</v>
          </cell>
        </row>
        <row r="136">
          <cell r="A136">
            <v>260</v>
          </cell>
        </row>
        <row r="137">
          <cell r="A137">
            <v>261</v>
          </cell>
        </row>
        <row r="138">
          <cell r="A138">
            <v>320</v>
          </cell>
        </row>
        <row r="139">
          <cell r="A139">
            <v>321</v>
          </cell>
        </row>
        <row r="140">
          <cell r="A140">
            <v>322</v>
          </cell>
        </row>
        <row r="141">
          <cell r="A141">
            <v>323</v>
          </cell>
        </row>
        <row r="142">
          <cell r="A142">
            <v>324</v>
          </cell>
        </row>
        <row r="143">
          <cell r="A143">
            <v>325</v>
          </cell>
        </row>
        <row r="144">
          <cell r="A144">
            <v>326</v>
          </cell>
        </row>
        <row r="145">
          <cell r="A145">
            <v>327</v>
          </cell>
        </row>
        <row r="146">
          <cell r="A146">
            <v>380</v>
          </cell>
        </row>
        <row r="147">
          <cell r="A147">
            <v>381</v>
          </cell>
        </row>
        <row r="148">
          <cell r="A148">
            <v>382</v>
          </cell>
        </row>
        <row r="149">
          <cell r="A149">
            <v>383</v>
          </cell>
        </row>
        <row r="150">
          <cell r="A150">
            <v>384</v>
          </cell>
        </row>
        <row r="151">
          <cell r="A151">
            <v>385</v>
          </cell>
        </row>
        <row r="152">
          <cell r="A152">
            <v>386</v>
          </cell>
        </row>
        <row r="153">
          <cell r="A153">
            <v>387</v>
          </cell>
        </row>
        <row r="154">
          <cell r="A154">
            <v>388</v>
          </cell>
        </row>
        <row r="155">
          <cell r="A155">
            <v>389</v>
          </cell>
        </row>
        <row r="156">
          <cell r="A156">
            <v>390</v>
          </cell>
        </row>
        <row r="157">
          <cell r="A157">
            <v>391</v>
          </cell>
        </row>
        <row r="158">
          <cell r="A158">
            <v>392</v>
          </cell>
        </row>
        <row r="159">
          <cell r="A159">
            <v>393</v>
          </cell>
        </row>
        <row r="160">
          <cell r="A160">
            <v>394</v>
          </cell>
        </row>
        <row r="161">
          <cell r="A161">
            <v>395</v>
          </cell>
        </row>
        <row r="162">
          <cell r="A162">
            <v>396</v>
          </cell>
        </row>
        <row r="163">
          <cell r="A163">
            <v>397</v>
          </cell>
        </row>
        <row r="164">
          <cell r="A164">
            <v>398</v>
          </cell>
        </row>
        <row r="165">
          <cell r="A165">
            <v>399</v>
          </cell>
        </row>
        <row r="166">
          <cell r="A166">
            <v>400</v>
          </cell>
        </row>
        <row r="167">
          <cell r="A167">
            <v>401</v>
          </cell>
        </row>
        <row r="168">
          <cell r="A168">
            <v>402</v>
          </cell>
        </row>
        <row r="169">
          <cell r="A169">
            <v>403</v>
          </cell>
        </row>
        <row r="170">
          <cell r="A170">
            <v>404</v>
          </cell>
        </row>
        <row r="171">
          <cell r="A171">
            <v>405</v>
          </cell>
        </row>
        <row r="172">
          <cell r="A172">
            <v>406</v>
          </cell>
        </row>
        <row r="173">
          <cell r="A173">
            <v>407</v>
          </cell>
        </row>
        <row r="174">
          <cell r="A174">
            <v>408</v>
          </cell>
        </row>
        <row r="175">
          <cell r="A175">
            <v>409</v>
          </cell>
        </row>
        <row r="176">
          <cell r="A176">
            <v>434</v>
          </cell>
        </row>
        <row r="177">
          <cell r="A177">
            <v>435</v>
          </cell>
        </row>
        <row r="178">
          <cell r="A178">
            <v>436</v>
          </cell>
        </row>
        <row r="179">
          <cell r="A179">
            <v>437</v>
          </cell>
        </row>
        <row r="180">
          <cell r="A180">
            <v>438</v>
          </cell>
        </row>
        <row r="181">
          <cell r="A181">
            <v>439</v>
          </cell>
        </row>
        <row r="182">
          <cell r="A182">
            <v>440</v>
          </cell>
        </row>
        <row r="183">
          <cell r="A183">
            <v>441</v>
          </cell>
        </row>
        <row r="184">
          <cell r="A184">
            <v>442</v>
          </cell>
        </row>
        <row r="185">
          <cell r="A185">
            <v>443</v>
          </cell>
        </row>
        <row r="186">
          <cell r="A186">
            <v>462</v>
          </cell>
        </row>
        <row r="187">
          <cell r="A187">
            <v>463</v>
          </cell>
        </row>
        <row r="188">
          <cell r="A188">
            <v>464</v>
          </cell>
        </row>
        <row r="189">
          <cell r="A189">
            <v>465</v>
          </cell>
        </row>
        <row r="190">
          <cell r="A190">
            <v>466</v>
          </cell>
        </row>
        <row r="191">
          <cell r="A191">
            <v>467</v>
          </cell>
        </row>
        <row r="192">
          <cell r="A192">
            <v>468</v>
          </cell>
        </row>
        <row r="193">
          <cell r="A193">
            <v>469</v>
          </cell>
        </row>
        <row r="194">
          <cell r="A194">
            <v>470</v>
          </cell>
        </row>
        <row r="195">
          <cell r="A195">
            <v>471</v>
          </cell>
        </row>
        <row r="196">
          <cell r="A196">
            <v>474</v>
          </cell>
        </row>
        <row r="197">
          <cell r="A197">
            <v>475</v>
          </cell>
        </row>
        <row r="198">
          <cell r="A198">
            <v>476</v>
          </cell>
        </row>
        <row r="199">
          <cell r="A199">
            <v>477</v>
          </cell>
        </row>
        <row r="200">
          <cell r="A200">
            <v>478</v>
          </cell>
        </row>
        <row r="201">
          <cell r="A201">
            <v>479</v>
          </cell>
        </row>
        <row r="202">
          <cell r="A202">
            <v>480</v>
          </cell>
        </row>
        <row r="203">
          <cell r="A203">
            <v>481</v>
          </cell>
        </row>
        <row r="204">
          <cell r="A204">
            <v>482</v>
          </cell>
        </row>
        <row r="205">
          <cell r="A205">
            <v>483</v>
          </cell>
        </row>
        <row r="206">
          <cell r="A206">
            <v>492</v>
          </cell>
        </row>
        <row r="207">
          <cell r="A207">
            <v>493</v>
          </cell>
        </row>
        <row r="208">
          <cell r="A208">
            <v>494</v>
          </cell>
        </row>
        <row r="209">
          <cell r="A209">
            <v>495</v>
          </cell>
        </row>
        <row r="210">
          <cell r="A210">
            <v>496</v>
          </cell>
        </row>
        <row r="211">
          <cell r="A211">
            <v>497</v>
          </cell>
        </row>
        <row r="212">
          <cell r="A212">
            <v>498</v>
          </cell>
        </row>
        <row r="213">
          <cell r="A213">
            <v>499</v>
          </cell>
        </row>
        <row r="214">
          <cell r="A214">
            <v>500</v>
          </cell>
        </row>
        <row r="215">
          <cell r="A215">
            <v>586</v>
          </cell>
        </row>
        <row r="216">
          <cell r="A216">
            <v>587</v>
          </cell>
        </row>
        <row r="217">
          <cell r="A217">
            <v>588</v>
          </cell>
        </row>
        <row r="218">
          <cell r="A218">
            <v>589</v>
          </cell>
        </row>
        <row r="219">
          <cell r="A219">
            <v>590</v>
          </cell>
        </row>
        <row r="220">
          <cell r="A220">
            <v>591</v>
          </cell>
        </row>
        <row r="221">
          <cell r="A221">
            <v>592</v>
          </cell>
        </row>
        <row r="222">
          <cell r="A222">
            <v>593</v>
          </cell>
        </row>
        <row r="223">
          <cell r="A223">
            <v>594</v>
          </cell>
        </row>
        <row r="224">
          <cell r="A224">
            <v>595</v>
          </cell>
        </row>
        <row r="225">
          <cell r="A225">
            <v>596</v>
          </cell>
        </row>
        <row r="226">
          <cell r="A226">
            <v>597</v>
          </cell>
        </row>
        <row r="227">
          <cell r="A227">
            <v>598</v>
          </cell>
        </row>
        <row r="228">
          <cell r="A228">
            <v>599</v>
          </cell>
        </row>
        <row r="229">
          <cell r="A229">
            <v>600</v>
          </cell>
        </row>
        <row r="230">
          <cell r="A230">
            <v>601</v>
          </cell>
        </row>
        <row r="231">
          <cell r="A231">
            <v>602</v>
          </cell>
        </row>
        <row r="232">
          <cell r="A232">
            <v>603</v>
          </cell>
        </row>
        <row r="233">
          <cell r="A233">
            <v>604</v>
          </cell>
        </row>
        <row r="234">
          <cell r="A234">
            <v>605</v>
          </cell>
        </row>
        <row r="235">
          <cell r="A235">
            <v>606</v>
          </cell>
        </row>
        <row r="236">
          <cell r="A236">
            <v>658</v>
          </cell>
        </row>
        <row r="237">
          <cell r="A237">
            <v>659</v>
          </cell>
        </row>
        <row r="238">
          <cell r="A238">
            <v>660</v>
          </cell>
        </row>
        <row r="239">
          <cell r="A239">
            <v>661</v>
          </cell>
        </row>
        <row r="240">
          <cell r="A240">
            <v>662</v>
          </cell>
        </row>
        <row r="241">
          <cell r="A241">
            <v>663</v>
          </cell>
        </row>
        <row r="242">
          <cell r="A242">
            <v>664</v>
          </cell>
        </row>
        <row r="243">
          <cell r="A243">
            <v>665</v>
          </cell>
        </row>
        <row r="244">
          <cell r="A244">
            <v>666</v>
          </cell>
        </row>
        <row r="245">
          <cell r="A245">
            <v>667</v>
          </cell>
        </row>
        <row r="246">
          <cell r="A246">
            <v>668</v>
          </cell>
        </row>
        <row r="247">
          <cell r="A247">
            <v>669</v>
          </cell>
        </row>
        <row r="248">
          <cell r="A248">
            <v>670</v>
          </cell>
        </row>
        <row r="249">
          <cell r="A249">
            <v>671</v>
          </cell>
        </row>
        <row r="250">
          <cell r="A250">
            <v>672</v>
          </cell>
        </row>
        <row r="251">
          <cell r="A251">
            <v>673</v>
          </cell>
        </row>
        <row r="252">
          <cell r="A252">
            <v>674</v>
          </cell>
        </row>
        <row r="253">
          <cell r="A253">
            <v>675</v>
          </cell>
        </row>
        <row r="254">
          <cell r="A254">
            <v>676</v>
          </cell>
        </row>
        <row r="255">
          <cell r="A255">
            <v>677</v>
          </cell>
        </row>
        <row r="256">
          <cell r="A256">
            <v>770</v>
          </cell>
        </row>
        <row r="257">
          <cell r="A257">
            <v>771</v>
          </cell>
        </row>
        <row r="258">
          <cell r="A258">
            <v>772</v>
          </cell>
        </row>
        <row r="259">
          <cell r="A259">
            <v>773</v>
          </cell>
        </row>
        <row r="260">
          <cell r="A260">
            <v>774</v>
          </cell>
        </row>
        <row r="261">
          <cell r="A261">
            <v>775</v>
          </cell>
        </row>
        <row r="262">
          <cell r="A262">
            <v>776</v>
          </cell>
        </row>
        <row r="263">
          <cell r="A263">
            <v>777</v>
          </cell>
        </row>
        <row r="264">
          <cell r="A264">
            <v>778</v>
          </cell>
        </row>
        <row r="265">
          <cell r="A265">
            <v>779</v>
          </cell>
        </row>
        <row r="266">
          <cell r="A266">
            <v>779</v>
          </cell>
        </row>
      </sheetData>
      <sheetData sheetId="8">
        <row r="1">
          <cell r="A1" t="str">
            <v>ピックアップ確率</v>
          </cell>
        </row>
        <row r="2">
          <cell r="A2" t="str">
            <v>character_id</v>
          </cell>
        </row>
        <row r="3">
          <cell r="A3">
            <v>166</v>
          </cell>
        </row>
        <row r="4">
          <cell r="A4">
            <v>167</v>
          </cell>
        </row>
        <row r="5">
          <cell r="A5">
            <v>168</v>
          </cell>
        </row>
        <row r="6">
          <cell r="A6">
            <v>169</v>
          </cell>
        </row>
        <row r="7">
          <cell r="A7">
            <v>170</v>
          </cell>
        </row>
        <row r="8">
          <cell r="A8">
            <v>171</v>
          </cell>
        </row>
        <row r="9">
          <cell r="A9">
            <v>172</v>
          </cell>
        </row>
        <row r="10">
          <cell r="A10">
            <v>173</v>
          </cell>
        </row>
        <row r="11">
          <cell r="A11">
            <v>174</v>
          </cell>
        </row>
        <row r="12">
          <cell r="A12">
            <v>235</v>
          </cell>
        </row>
        <row r="13">
          <cell r="A13">
            <v>236</v>
          </cell>
        </row>
        <row r="14">
          <cell r="A14">
            <v>237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J11" sqref="J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231</v>
      </c>
      <c r="B2" s="61" t="s">
        <v>116</v>
      </c>
      <c r="C2" s="50" t="str">
        <f>RIGHT(F2,6)</f>
        <v>337010</v>
      </c>
      <c r="D2" s="19" t="s">
        <v>46</v>
      </c>
      <c r="E2" s="17" t="str">
        <f t="shared" ref="E2:E6" si="0">B2&amp;C2&amp;D2</f>
        <v>gacha_select_tables_337010.tmp</v>
      </c>
      <c r="F2" s="86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88" t="s">
        <v>232</v>
      </c>
      <c r="C3" s="50" t="str">
        <f>RIGHT(F3,7)</f>
        <v>7103100</v>
      </c>
      <c r="D3" s="19" t="s">
        <v>46</v>
      </c>
      <c r="E3" s="17" t="str">
        <f t="shared" ref="E3" si="1">B3&amp;C3&amp;D3</f>
        <v>gacha_settle_tables_7103100.tmp</v>
      </c>
      <c r="F3" s="92" t="s">
        <v>244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12"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8.3333333333333328E-4</v>
      </c>
      <c r="F5">
        <f>(COUNTIF(tables_337010!C:C,input_337010!A26)+COUNTIF(tables_337010!C:C,input_337010!A28)+COUNTIF(tables_337010!C:C,input_337010!A29))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1.2763157894736843E-2</v>
      </c>
      <c r="F6">
        <f>(COUNTIF(tables_337010!C:C,input_337010!A18)+COUNTIF(tables_337010!C:C,input_337010!A20)+COUNTIF(tables_337010!C:C,input_337010!A22))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0.16649122807017544</v>
      </c>
      <c r="C17" s="74">
        <f t="shared" ref="C17:C31" si="2">SUMIF(Q:Q,A17,N:N)</f>
        <v>0</v>
      </c>
      <c r="D17" s="75">
        <f t="shared" ref="D17:D26" si="3">B17-C17</f>
        <v>0.16649122807017544</v>
      </c>
      <c r="E17">
        <f>COUNTIF(tables_337010!C:C,input_337010!A17)-COUNTIF(Q:Q,A17)</f>
        <v>20</v>
      </c>
      <c r="F17" s="43">
        <f>IFERROR(B17/E17,0)</f>
        <v>8.3245614035087727E-3</v>
      </c>
      <c r="G17">
        <f>A$36*B17</f>
        <v>455520</v>
      </c>
      <c r="H17">
        <f t="shared" ref="H17:H26" si="4">IFERROR(ROUND(G17/E17,5),0)</f>
        <v>22776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8.8771929824561419E-2</v>
      </c>
      <c r="C18" s="74">
        <f t="shared" si="2"/>
        <v>0</v>
      </c>
      <c r="D18" s="75">
        <f t="shared" si="3"/>
        <v>8.8771929824561419E-2</v>
      </c>
      <c r="E18">
        <f>COUNTIF(tables_337010!C:C,input_337010!A18)-COUNTIF(Q:Q,A18)</f>
        <v>20</v>
      </c>
      <c r="F18" s="43">
        <f t="shared" ref="F18:F31" si="7">IFERROR(B18/E18,0)</f>
        <v>4.4385964912280708E-3</v>
      </c>
      <c r="G18">
        <f t="shared" ref="G18:G31" si="8">A$36*B18</f>
        <v>242880.00000000003</v>
      </c>
      <c r="H18">
        <f t="shared" si="4"/>
        <v>12144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0.33184210526315788</v>
      </c>
      <c r="C19" s="74">
        <f t="shared" si="2"/>
        <v>0</v>
      </c>
      <c r="D19" s="75">
        <f t="shared" si="3"/>
        <v>0.33184210526315788</v>
      </c>
      <c r="E19">
        <f>COUNTIF(tables_337010!C:C,input_337010!A19)-COUNTIF(Q:Q,A19)</f>
        <v>52</v>
      </c>
      <c r="F19" s="43">
        <f t="shared" si="7"/>
        <v>6.3815789473684204E-3</v>
      </c>
      <c r="G19">
        <f t="shared" si="8"/>
        <v>907920</v>
      </c>
      <c r="H19">
        <f t="shared" si="4"/>
        <v>17460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0.29865789473684212</v>
      </c>
      <c r="C20" s="74">
        <f t="shared" si="2"/>
        <v>0</v>
      </c>
      <c r="D20" s="75">
        <f t="shared" si="3"/>
        <v>0.29865789473684212</v>
      </c>
      <c r="E20">
        <f>COUNTIF(tables_337010!C:C,input_337010!A20)-COUNTIF(Q:Q,A20)</f>
        <v>52</v>
      </c>
      <c r="F20" s="43">
        <f t="shared" si="7"/>
        <v>5.7434210526315791E-3</v>
      </c>
      <c r="G20">
        <f t="shared" si="8"/>
        <v>817128</v>
      </c>
      <c r="H20">
        <f t="shared" si="4"/>
        <v>15714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COUNTIF(tables_337010!C:C,input_337010!A21)-COUNTIF(Q:Q,A21)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COUNTIF(tables_337010!C:C,input_337010!A22)-COUNTIF(Q:Q,A22)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COUNTIF(tables_337010!C:C,input_337010!A23)-COUNTIF(Q:Q,A23)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E$5*COUNTIF(tables_337010!C:C,input_337010!A24)*B5</f>
        <v>1.6666666666666666E-3</v>
      </c>
      <c r="C24" s="74">
        <f t="shared" si="2"/>
        <v>0</v>
      </c>
      <c r="D24" s="75">
        <f t="shared" si="3"/>
        <v>1.6666666666666666E-3</v>
      </c>
      <c r="E24">
        <f>COUNTIF(tables_337010!C:C,input_337010!A24)-COUNTIF(Q:Q,A24)</f>
        <v>4</v>
      </c>
      <c r="F24" s="43">
        <f t="shared" si="7"/>
        <v>4.1666666666666664E-4</v>
      </c>
      <c r="G24">
        <f t="shared" si="8"/>
        <v>4560</v>
      </c>
      <c r="H24">
        <f t="shared" si="4"/>
        <v>1140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1.5E-3</v>
      </c>
      <c r="C25" s="74">
        <f t="shared" si="2"/>
        <v>0</v>
      </c>
      <c r="D25" s="75">
        <f t="shared" si="3"/>
        <v>1.5E-3</v>
      </c>
      <c r="E25">
        <f>COUNTIF(tables_337010!C:C,input_337010!A25)-COUNTIF(Q:Q,A25)</f>
        <v>4</v>
      </c>
      <c r="F25" s="43">
        <f t="shared" si="7"/>
        <v>3.7500000000000001E-4</v>
      </c>
      <c r="G25">
        <f t="shared" si="8"/>
        <v>4104</v>
      </c>
      <c r="H25">
        <f t="shared" si="4"/>
        <v>1026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COUNTIF(tables_337010!C:C,input_337010!A26)-COUNTIF(Q:Q,A26)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ref="D27:D29" si="9">B27-C27</f>
        <v>2.2166666666666664E-2</v>
      </c>
      <c r="E27">
        <f>COUNTIF(tables_337010!C:C,input_337010!A27)-COUNTIF(Q:Q,A27)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ref="H27:H29" si="10">IFERROR(ROUND(G27/E27,5),0)</f>
        <v>2166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9"/>
        <v>1.1666666666666665E-3</v>
      </c>
      <c r="E28">
        <f>COUNTIF(tables_337010!C:C,input_337010!A28)-COUNTIF(Q:Q,A28)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10"/>
        <v>114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9"/>
        <v>3.3333333333333331E-3</v>
      </c>
      <c r="E29">
        <f>COUNTIF(tables_337010!C:C,input_337010!A29)-COUNTIF(Q:Q,A29)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10"/>
        <v>2280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COUNTIF(tables_337010!C:C,input_337010!A30)-COUNTIF(Q:Q,A30)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COUNTIF(tables_337010!C:C,input_337010!A31)-COUNTIF(Q:Q,A31)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SUMIF(tables_337010!C:C,input_337010!A40,tables_337010!O:O)</f>
        <v>907920</v>
      </c>
      <c r="C40" s="54">
        <f t="shared" ref="C40:C46" ca="1" si="16">B40/B$47</f>
        <v>0.48301838610827375</v>
      </c>
      <c r="E40">
        <v>3</v>
      </c>
      <c r="F40">
        <f ca="1">SUMIF(tables_337010!J:J,input_337010!E40,tables_337010!O:O)</f>
        <v>1368000</v>
      </c>
      <c r="G40">
        <f ca="1">F40/A36</f>
        <v>0.5</v>
      </c>
    </row>
    <row r="41" spans="1:7" x14ac:dyDescent="0.15">
      <c r="A41" s="32" t="s">
        <v>107</v>
      </c>
      <c r="B41">
        <f ca="1">SUMIF(tables_337010!C:C,input_337010!A41,tables_337010!O:O)</f>
        <v>817128</v>
      </c>
      <c r="C41" s="54">
        <f t="shared" ca="1" si="16"/>
        <v>0.43471654749744637</v>
      </c>
      <c r="E41">
        <v>4</v>
      </c>
      <c r="F41">
        <f ca="1">SUMIF(tables_337010!J:J,input_337010!E41,tables_337010!O:O)</f>
        <v>1231200</v>
      </c>
      <c r="G41">
        <f ca="1">F41/A36</f>
        <v>0.45</v>
      </c>
    </row>
    <row r="42" spans="1:7" x14ac:dyDescent="0.15">
      <c r="A42" s="32" t="s">
        <v>112</v>
      </c>
      <c r="B42">
        <f ca="1">SUMIF(tables_337010!C:C,input_337010!A42,tables_337010!O:O)</f>
        <v>60648</v>
      </c>
      <c r="C42" s="54">
        <f t="shared" ca="1" si="16"/>
        <v>3.2265066394279875E-2</v>
      </c>
      <c r="E42">
        <v>5</v>
      </c>
      <c r="F42">
        <f ca="1">SUMIF(tables_337010!J:J,input_337010!E42,tables_337010!O:O)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SUMIF(tables_337010!C:C,input_337010!A43,tables_337010!O:O)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SUMIF(tables_337010!C:C,input_337010!A44,tables_337010!O:O)</f>
        <v>90792</v>
      </c>
      <c r="C44" s="54">
        <f t="shared" ca="1" si="16"/>
        <v>4.8301838610827375E-2</v>
      </c>
      <c r="E44" t="s">
        <v>104</v>
      </c>
      <c r="F44" s="55"/>
    </row>
    <row r="45" spans="1:7" x14ac:dyDescent="0.15">
      <c r="A45" s="32" t="s">
        <v>114</v>
      </c>
      <c r="B45">
        <f ca="1">SUMIF(tables_337010!C:C,input_337010!A45,tables_337010!O:O)</f>
        <v>3192</v>
      </c>
      <c r="C45" s="54">
        <f t="shared" ca="1" si="16"/>
        <v>1.6981613891726252E-3</v>
      </c>
      <c r="E45" t="s">
        <v>210</v>
      </c>
      <c r="F45" s="55">
        <f ca="1">SUMIF(tables_337010!I:I,input_337010!E45,tables_337010!P:P)</f>
        <v>0.25135964912280701</v>
      </c>
    </row>
    <row r="46" spans="1:7" x14ac:dyDescent="0.15">
      <c r="A46" s="32" t="s">
        <v>115</v>
      </c>
      <c r="B46">
        <f>SUMIF(tables_337010!C:C,input_337010!A46,tables_337010!O:O)</f>
        <v>0</v>
      </c>
      <c r="C46" s="54">
        <f t="shared" ca="1" si="16"/>
        <v>0</v>
      </c>
      <c r="E46" t="s">
        <v>211</v>
      </c>
      <c r="F46" s="55">
        <f ca="1">SUMIF(tables_337010!I:I,input_337010!E46,tables_337010!P:P)</f>
        <v>0.21947368421052646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SUMIF(tables_337010!I:I,input_337010!E47,tables_337010!P:P)</f>
        <v>0.49859649122807082</v>
      </c>
    </row>
    <row r="48" spans="1:7" x14ac:dyDescent="0.15">
      <c r="E48" t="s">
        <v>213</v>
      </c>
      <c r="F48" s="55">
        <f ca="1">SUMIF(tables_337010!I:I,input_337010!E48,tables_337010!P:P)</f>
        <v>2.6666666666666648E-2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6" activePane="bottomLeft" state="frozen"/>
      <selection activeCell="E6" sqref="E6"/>
      <selection pane="bottomLeft" activeCell="E6" sqref="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input_337010!A$2</f>
        <v>337010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IFERROR(VLOOKUP(B2,input_337010!L:R,7,FALSE),VLOOKUP(tables_337010!C2,input_337010!A:H,8,FALSE))</f>
        <v>22776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input_337010!A$2</f>
        <v>337010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IFERROR(VLOOKUP(B3,input_337010!L:R,7,FALSE),VLOOKUP(tables_337010!C3,input_337010!A:H,8,FALSE))</f>
        <v>12144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input_337010!A$2</f>
        <v>337010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IFERROR(VLOOKUP(B4,input_337010!L:R,7,FALSE),VLOOKUP(tables_337010!C4,input_337010!A:H,8,FALSE))</f>
        <v>22776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input_337010!A$2</f>
        <v>337010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IFERROR(VLOOKUP(B5,input_337010!L:R,7,FALSE),VLOOKUP(tables_337010!C5,input_337010!A:H,8,FALSE))</f>
        <v>12144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input_337010!A$2</f>
        <v>337010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IFERROR(VLOOKUP(B6,input_337010!L:R,7,FALSE),VLOOKUP(tables_337010!C6,input_337010!A:H,8,FALSE))</f>
        <v>22776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input_337010!A$2</f>
        <v>337010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IFERROR(VLOOKUP(B7,input_337010!L:R,7,FALSE),VLOOKUP(tables_337010!C7,input_337010!A:H,8,FALSE))</f>
        <v>12144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input_337010!A$2</f>
        <v>337010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IFERROR(VLOOKUP(B8,input_337010!L:R,7,FALSE),VLOOKUP(tables_337010!C8,input_337010!A:H,8,FALSE))</f>
        <v>22776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input_337010!A$2</f>
        <v>337010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IFERROR(VLOOKUP(B9,input_337010!L:R,7,FALSE),VLOOKUP(tables_337010!C9,input_337010!A:H,8,FALSE))</f>
        <v>12144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input_337010!A$2</f>
        <v>337010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IFERROR(VLOOKUP(B10,input_337010!L:R,7,FALSE),VLOOKUP(tables_337010!C10,input_337010!A:H,8,FALSE))</f>
        <v>22776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input_337010!A$2</f>
        <v>337010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IFERROR(VLOOKUP(B11,input_337010!L:R,7,FALSE),VLOOKUP(tables_337010!C11,input_337010!A:H,8,FALSE))</f>
        <v>12144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input_337010!A$2</f>
        <v>337010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IFERROR(VLOOKUP(B12,input_337010!L:R,7,FALSE),VLOOKUP(tables_337010!C12,input_337010!A:H,8,FALSE))</f>
        <v>22776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input_337010!A$2</f>
        <v>337010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IFERROR(VLOOKUP(B13,input_337010!L:R,7,FALSE),VLOOKUP(tables_337010!C13,input_337010!A:H,8,FALSE))</f>
        <v>12144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input_337010!A$2</f>
        <v>337010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IFERROR(VLOOKUP(B14,input_337010!L:R,7,FALSE),VLOOKUP(tables_337010!C14,input_337010!A:H,8,FALSE))</f>
        <v>22776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input_337010!A$2</f>
        <v>337010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IFERROR(VLOOKUP(B15,input_337010!L:R,7,FALSE),VLOOKUP(tables_337010!C15,input_337010!A:H,8,FALSE))</f>
        <v>12144</v>
      </c>
      <c r="P15" s="46">
        <f t="shared" ref="P15:P78" ca="1" si="2">O15/SUM(O:O)</f>
        <v>4.4385964912280699E-3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input_337010!A$2</f>
        <v>337010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IFERROR(VLOOKUP(B16,input_337010!L:R,7,FALSE),VLOOKUP(tables_337010!C16,input_337010!A:H,8,FALSE))</f>
        <v>22776</v>
      </c>
      <c r="P16" s="46">
        <f t="shared" ca="1" si="2"/>
        <v>8.3245614035087727E-3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input_337010!A$2</f>
        <v>337010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IFERROR(VLOOKUP(B17,input_337010!L:R,7,FALSE),VLOOKUP(tables_337010!C17,input_337010!A:H,8,FALSE))</f>
        <v>12144</v>
      </c>
      <c r="P17" s="46">
        <f t="shared" ca="1" si="2"/>
        <v>4.4385964912280699E-3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input_337010!A$2</f>
        <v>337010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IFERROR(VLOOKUP(B18,input_337010!L:R,7,FALSE),VLOOKUP(tables_337010!C18,input_337010!A:H,8,FALSE))</f>
        <v>22776</v>
      </c>
      <c r="P18" s="46">
        <f t="shared" ca="1" si="2"/>
        <v>8.3245614035087727E-3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input_337010!A$2</f>
        <v>337010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IFERROR(VLOOKUP(B19,input_337010!L:R,7,FALSE),VLOOKUP(tables_337010!C19,input_337010!A:H,8,FALSE))</f>
        <v>12144</v>
      </c>
      <c r="P19" s="46">
        <f t="shared" ca="1" si="2"/>
        <v>4.4385964912280699E-3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input_337010!A$2</f>
        <v>337010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IFERROR(VLOOKUP(B20,input_337010!L:R,7,FALSE),VLOOKUP(tables_337010!C20,input_337010!A:H,8,FALSE))</f>
        <v>22776</v>
      </c>
      <c r="P20" s="46">
        <f t="shared" ca="1" si="2"/>
        <v>8.3245614035087727E-3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input_337010!A$2</f>
        <v>337010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IFERROR(VLOOKUP(B21,input_337010!L:R,7,FALSE),VLOOKUP(tables_337010!C21,input_337010!A:H,8,FALSE))</f>
        <v>12144</v>
      </c>
      <c r="P21" s="46">
        <f t="shared" ca="1" si="2"/>
        <v>4.4385964912280699E-3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input_337010!A$2</f>
        <v>337010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IFERROR(VLOOKUP(B22,input_337010!L:R,7,FALSE),VLOOKUP(tables_337010!C22,input_337010!A:H,8,FALSE))</f>
        <v>22776</v>
      </c>
      <c r="P22" s="46">
        <f t="shared" ca="1" si="2"/>
        <v>8.3245614035087727E-3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input_337010!A$2</f>
        <v>337010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IFERROR(VLOOKUP(B23,input_337010!L:R,7,FALSE),VLOOKUP(tables_337010!C23,input_337010!A:H,8,FALSE))</f>
        <v>12144</v>
      </c>
      <c r="P23" s="46">
        <f t="shared" ca="1" si="2"/>
        <v>4.4385964912280699E-3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input_337010!A$2</f>
        <v>337010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IFERROR(VLOOKUP(B24,input_337010!L:R,7,FALSE),VLOOKUP(tables_337010!C24,input_337010!A:H,8,FALSE))</f>
        <v>22776</v>
      </c>
      <c r="P24" s="46">
        <f t="shared" ca="1" si="2"/>
        <v>8.3245614035087727E-3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input_337010!A$2</f>
        <v>337010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IFERROR(VLOOKUP(B25,input_337010!L:R,7,FALSE),VLOOKUP(tables_337010!C25,input_337010!A:H,8,FALSE))</f>
        <v>12144</v>
      </c>
      <c r="P25" s="46">
        <f t="shared" ca="1" si="2"/>
        <v>4.4385964912280699E-3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input_337010!A$2</f>
        <v>337010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IFERROR(VLOOKUP(B26,input_337010!L:R,7,FALSE),VLOOKUP(tables_337010!C26,input_337010!A:H,8,FALSE))</f>
        <v>22776</v>
      </c>
      <c r="P26" s="46">
        <f t="shared" ca="1" si="2"/>
        <v>8.3245614035087727E-3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input_337010!A$2</f>
        <v>337010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IFERROR(VLOOKUP(B27,input_337010!L:R,7,FALSE),VLOOKUP(tables_337010!C27,input_337010!A:H,8,FALSE))</f>
        <v>12144</v>
      </c>
      <c r="P27" s="46">
        <f t="shared" ca="1" si="2"/>
        <v>4.4385964912280699E-3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input_337010!A$2</f>
        <v>337010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IFERROR(VLOOKUP(B28,input_337010!L:R,7,FALSE),VLOOKUP(tables_337010!C28,input_337010!A:H,8,FALSE))</f>
        <v>22776</v>
      </c>
      <c r="P28" s="46">
        <f t="shared" ca="1" si="2"/>
        <v>8.3245614035087727E-3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input_337010!A$2</f>
        <v>337010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IFERROR(VLOOKUP(B29,input_337010!L:R,7,FALSE),VLOOKUP(tables_337010!C29,input_337010!A:H,8,FALSE))</f>
        <v>12144</v>
      </c>
      <c r="P29" s="46">
        <f t="shared" ca="1" si="2"/>
        <v>4.4385964912280699E-3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input_337010!A$2</f>
        <v>337010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IFERROR(VLOOKUP(B30,input_337010!L:R,7,FALSE),VLOOKUP(tables_337010!C30,input_337010!A:H,8,FALSE))</f>
        <v>22776</v>
      </c>
      <c r="P30" s="46">
        <f t="shared" ca="1" si="2"/>
        <v>8.3245614035087727E-3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input_337010!A$2</f>
        <v>337010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IFERROR(VLOOKUP(B31,input_337010!L:R,7,FALSE),VLOOKUP(tables_337010!C31,input_337010!A:H,8,FALSE))</f>
        <v>12144</v>
      </c>
      <c r="P31" s="46">
        <f t="shared" ca="1" si="2"/>
        <v>4.4385964912280699E-3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input_337010!A$2</f>
        <v>337010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IFERROR(VLOOKUP(B32,input_337010!L:R,7,FALSE),VLOOKUP(tables_337010!C32,input_337010!A:H,8,FALSE))</f>
        <v>22776</v>
      </c>
      <c r="P32" s="46">
        <f t="shared" ca="1" si="2"/>
        <v>8.3245614035087727E-3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input_337010!A$2</f>
        <v>337010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IFERROR(VLOOKUP(B33,input_337010!L:R,7,FALSE),VLOOKUP(tables_337010!C33,input_337010!A:H,8,FALSE))</f>
        <v>12144</v>
      </c>
      <c r="P33" s="46">
        <f t="shared" ca="1" si="2"/>
        <v>4.4385964912280699E-3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input_337010!A$2</f>
        <v>337010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IFERROR(VLOOKUP(B34,input_337010!L:R,7,FALSE),VLOOKUP(tables_337010!C34,input_337010!A:H,8,FALSE))</f>
        <v>22776</v>
      </c>
      <c r="P34" s="46">
        <f t="shared" ca="1" si="2"/>
        <v>8.3245614035087727E-3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input_337010!A$2</f>
        <v>337010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IFERROR(VLOOKUP(B35,input_337010!L:R,7,FALSE),VLOOKUP(tables_337010!C35,input_337010!A:H,8,FALSE))</f>
        <v>12144</v>
      </c>
      <c r="P35" s="46">
        <f t="shared" ca="1" si="2"/>
        <v>4.4385964912280699E-3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input_337010!A$2</f>
        <v>337010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IFERROR(VLOOKUP(B36,input_337010!L:R,7,FALSE),VLOOKUP(tables_337010!C36,input_337010!A:H,8,FALSE))</f>
        <v>22776</v>
      </c>
      <c r="P36" s="46">
        <f t="shared" ca="1" si="2"/>
        <v>8.3245614035087727E-3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input_337010!A$2</f>
        <v>337010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IFERROR(VLOOKUP(B37,input_337010!L:R,7,FALSE),VLOOKUP(tables_337010!C37,input_337010!A:H,8,FALSE))</f>
        <v>12144</v>
      </c>
      <c r="P37" s="46">
        <f t="shared" ca="1" si="2"/>
        <v>4.4385964912280699E-3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input_337010!A$2</f>
        <v>337010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IFERROR(VLOOKUP(B38,input_337010!L:R,7,FALSE),VLOOKUP(tables_337010!C38,input_337010!A:H,8,FALSE))</f>
        <v>22776</v>
      </c>
      <c r="P38" s="46">
        <f t="shared" ca="1" si="2"/>
        <v>8.3245614035087727E-3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input_337010!A$2</f>
        <v>337010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IFERROR(VLOOKUP(B39,input_337010!L:R,7,FALSE),VLOOKUP(tables_337010!C39,input_337010!A:H,8,FALSE))</f>
        <v>12144</v>
      </c>
      <c r="P39" s="46">
        <f t="shared" ca="1" si="2"/>
        <v>4.4385964912280699E-3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input_337010!A$2</f>
        <v>337010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IFERROR(VLOOKUP(B40,input_337010!L:R,7,FALSE),VLOOKUP(tables_337010!C40,input_337010!A:H,8,FALSE))</f>
        <v>22776</v>
      </c>
      <c r="P40" s="46">
        <f t="shared" ca="1" si="2"/>
        <v>8.3245614035087727E-3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input_337010!A$2</f>
        <v>337010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IFERROR(VLOOKUP(B41,input_337010!L:R,7,FALSE),VLOOKUP(tables_337010!C41,input_337010!A:H,8,FALSE))</f>
        <v>12144</v>
      </c>
      <c r="P41" s="46">
        <f t="shared" ca="1" si="2"/>
        <v>4.4385964912280699E-3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input_337010!A$2</f>
        <v>337010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IFERROR(VLOOKUP(B42,input_337010!L:R,7,FALSE),VLOOKUP(tables_337010!C42,input_337010!A:H,8,FALSE))</f>
        <v>1140</v>
      </c>
      <c r="P42" s="46">
        <f t="shared" ca="1" si="2"/>
        <v>4.1666666666666669E-4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input_337010!A$2</f>
        <v>337010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IFERROR(VLOOKUP(B43,input_337010!L:R,7,FALSE),VLOOKUP(tables_337010!C43,input_337010!A:H,8,FALSE))</f>
        <v>1026</v>
      </c>
      <c r="P43" s="46">
        <f t="shared" ca="1" si="2"/>
        <v>3.7500000000000001E-4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input_337010!A$2</f>
        <v>337010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IFERROR(VLOOKUP(B44,input_337010!L:R,7,FALSE),VLOOKUP(tables_337010!C44,input_337010!A:H,8,FALSE))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input_337010!A$2</f>
        <v>337010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IFERROR(VLOOKUP(B45,input_337010!L:R,7,FALSE),VLOOKUP(tables_337010!C45,input_337010!A:H,8,FALSE))</f>
        <v>1140</v>
      </c>
      <c r="P45" s="46">
        <f t="shared" ca="1" si="2"/>
        <v>4.1666666666666669E-4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input_337010!A$2</f>
        <v>337010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IFERROR(VLOOKUP(B46,input_337010!L:R,7,FALSE),VLOOKUP(tables_337010!C46,input_337010!A:H,8,FALSE))</f>
        <v>1026</v>
      </c>
      <c r="P46" s="46">
        <f t="shared" ca="1" si="2"/>
        <v>3.7500000000000001E-4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input_337010!A$2</f>
        <v>337010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IFERROR(VLOOKUP(B47,input_337010!L:R,7,FALSE),VLOOKUP(tables_337010!C47,input_337010!A:H,8,FALSE))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input_337010!A$2</f>
        <v>337010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IFERROR(VLOOKUP(B48,input_337010!L:R,7,FALSE),VLOOKUP(tables_337010!C48,input_337010!A:H,8,FALSE))</f>
        <v>1140</v>
      </c>
      <c r="P48" s="46">
        <f t="shared" ca="1" si="2"/>
        <v>4.1666666666666669E-4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input_337010!A$2</f>
        <v>337010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IFERROR(VLOOKUP(B49,input_337010!L:R,7,FALSE),VLOOKUP(tables_337010!C49,input_337010!A:H,8,FALSE))</f>
        <v>1026</v>
      </c>
      <c r="P49" s="46">
        <f t="shared" ca="1" si="2"/>
        <v>3.7500000000000001E-4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input_337010!A$2</f>
        <v>337010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IFERROR(VLOOKUP(B50,input_337010!L:R,7,FALSE),VLOOKUP(tables_337010!C50,input_337010!A:H,8,FALSE))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input_337010!A$2</f>
        <v>337010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IFERROR(VLOOKUP(B51,input_337010!L:R,7,FALSE),VLOOKUP(tables_337010!C51,input_337010!A:H,8,FALSE))</f>
        <v>17460</v>
      </c>
      <c r="P51" s="46">
        <f t="shared" ca="1" si="2"/>
        <v>6.3815789473684213E-3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input_337010!A$2</f>
        <v>337010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IFERROR(VLOOKUP(B52,input_337010!L:R,7,FALSE),VLOOKUP(tables_337010!C52,input_337010!A:H,8,FALSE))</f>
        <v>15714</v>
      </c>
      <c r="P52" s="46">
        <f t="shared" ca="1" si="2"/>
        <v>5.7434210526315791E-3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input_337010!A$2</f>
        <v>337010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IFERROR(VLOOKUP(B53,input_337010!L:R,7,FALSE),VLOOKUP(tables_337010!C53,input_337010!A:H,8,FALSE))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input_337010!A$2</f>
        <v>337010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IFERROR(VLOOKUP(B54,input_337010!L:R,7,FALSE),VLOOKUP(tables_337010!C54,input_337010!A:H,8,FALSE))</f>
        <v>17460</v>
      </c>
      <c r="P54" s="46">
        <f t="shared" ca="1" si="2"/>
        <v>6.3815789473684213E-3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input_337010!A$2</f>
        <v>337010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IFERROR(VLOOKUP(B55,input_337010!L:R,7,FALSE),VLOOKUP(tables_337010!C55,input_337010!A:H,8,FALSE))</f>
        <v>15714</v>
      </c>
      <c r="P55" s="46">
        <f t="shared" ca="1" si="2"/>
        <v>5.7434210526315791E-3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input_337010!A$2</f>
        <v>337010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IFERROR(VLOOKUP(B56,input_337010!L:R,7,FALSE),VLOOKUP(tables_337010!C56,input_337010!A:H,8,FALSE))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input_337010!A$2</f>
        <v>337010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IFERROR(VLOOKUP(B57,input_337010!L:R,7,FALSE),VLOOKUP(tables_337010!C57,input_337010!A:H,8,FALSE))</f>
        <v>17460</v>
      </c>
      <c r="P57" s="46">
        <f t="shared" ca="1" si="2"/>
        <v>6.3815789473684213E-3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input_337010!A$2</f>
        <v>337010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IFERROR(VLOOKUP(B58,input_337010!L:R,7,FALSE),VLOOKUP(tables_337010!C58,input_337010!A:H,8,FALSE))</f>
        <v>15714</v>
      </c>
      <c r="P58" s="46">
        <f t="shared" ca="1" si="2"/>
        <v>5.7434210526315791E-3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input_337010!A$2</f>
        <v>337010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IFERROR(VLOOKUP(B59,input_337010!L:R,7,FALSE),VLOOKUP(tables_337010!C59,input_337010!A:H,8,FALSE))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input_337010!A$2</f>
        <v>337010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IFERROR(VLOOKUP(B60,input_337010!L:R,7,FALSE),VLOOKUP(tables_337010!C60,input_337010!A:H,8,FALSE))</f>
        <v>17460</v>
      </c>
      <c r="P60" s="46">
        <f t="shared" ca="1" si="2"/>
        <v>6.3815789473684213E-3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input_337010!A$2</f>
        <v>337010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IFERROR(VLOOKUP(B61,input_337010!L:R,7,FALSE),VLOOKUP(tables_337010!C61,input_337010!A:H,8,FALSE))</f>
        <v>15714</v>
      </c>
      <c r="P61" s="46">
        <f t="shared" ca="1" si="2"/>
        <v>5.7434210526315791E-3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input_337010!A$2</f>
        <v>337010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IFERROR(VLOOKUP(B62,input_337010!L:R,7,FALSE),VLOOKUP(tables_337010!C62,input_337010!A:H,8,FALSE))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input_337010!A$2</f>
        <v>337010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IFERROR(VLOOKUP(B63,input_337010!L:R,7,FALSE),VLOOKUP(tables_337010!C63,input_337010!A:H,8,FALSE))</f>
        <v>17460</v>
      </c>
      <c r="P63" s="46">
        <f t="shared" ca="1" si="2"/>
        <v>6.3815789473684213E-3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input_337010!A$2</f>
        <v>337010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IFERROR(VLOOKUP(B64,input_337010!L:R,7,FALSE),VLOOKUP(tables_337010!C64,input_337010!A:H,8,FALSE))</f>
        <v>15714</v>
      </c>
      <c r="P64" s="46">
        <f t="shared" ca="1" si="2"/>
        <v>5.7434210526315791E-3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input_337010!A$2</f>
        <v>337010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IFERROR(VLOOKUP(B65,input_337010!L:R,7,FALSE),VLOOKUP(tables_337010!C65,input_337010!A:H,8,FALSE))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input_337010!A$2</f>
        <v>337010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IFERROR(VLOOKUP(B66,input_337010!L:R,7,FALSE),VLOOKUP(tables_337010!C66,input_337010!A:H,8,FALSE))</f>
        <v>17460</v>
      </c>
      <c r="P66" s="46">
        <f t="shared" ca="1" si="2"/>
        <v>6.3815789473684213E-3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input_337010!A$2</f>
        <v>337010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IFERROR(VLOOKUP(B67,input_337010!L:R,7,FALSE),VLOOKUP(tables_337010!C67,input_337010!A:H,8,FALSE))</f>
        <v>15714</v>
      </c>
      <c r="P67" s="46">
        <f t="shared" ca="1" si="2"/>
        <v>5.7434210526315791E-3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input_337010!A$2</f>
        <v>337010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IFERROR(VLOOKUP(B68,input_337010!L:R,7,FALSE),VLOOKUP(tables_337010!C68,input_337010!A:H,8,FALSE))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input_337010!A$2</f>
        <v>337010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IFERROR(VLOOKUP(B69,input_337010!L:R,7,FALSE),VLOOKUP(tables_337010!C69,input_337010!A:H,8,FALSE))</f>
        <v>17460</v>
      </c>
      <c r="P69" s="46">
        <f t="shared" ca="1" si="2"/>
        <v>6.3815789473684213E-3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input_337010!A$2</f>
        <v>337010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IFERROR(VLOOKUP(B70,input_337010!L:R,7,FALSE),VLOOKUP(tables_337010!C70,input_337010!A:H,8,FALSE))</f>
        <v>15714</v>
      </c>
      <c r="P70" s="46">
        <f t="shared" ca="1" si="2"/>
        <v>5.7434210526315791E-3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input_337010!A$2</f>
        <v>337010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IFERROR(VLOOKUP(B71,input_337010!L:R,7,FALSE),VLOOKUP(tables_337010!C71,input_337010!A:H,8,FALSE))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input_337010!A$2</f>
        <v>337010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IFERROR(VLOOKUP(B72,input_337010!L:R,7,FALSE),VLOOKUP(tables_337010!C72,input_337010!A:H,8,FALSE))</f>
        <v>17460</v>
      </c>
      <c r="P72" s="46">
        <f t="shared" ca="1" si="2"/>
        <v>6.3815789473684213E-3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input_337010!A$2</f>
        <v>337010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IFERROR(VLOOKUP(B73,input_337010!L:R,7,FALSE),VLOOKUP(tables_337010!C73,input_337010!A:H,8,FALSE))</f>
        <v>15714</v>
      </c>
      <c r="P73" s="46">
        <f t="shared" ca="1" si="2"/>
        <v>5.7434210526315791E-3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input_337010!A$2</f>
        <v>337010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IFERROR(VLOOKUP(B74,input_337010!L:R,7,FALSE),VLOOKUP(tables_337010!C74,input_337010!A:H,8,FALSE))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input_337010!A$2</f>
        <v>337010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IFERROR(VLOOKUP(B75,input_337010!L:R,7,FALSE),VLOOKUP(tables_337010!C75,input_337010!A:H,8,FALSE))</f>
        <v>17460</v>
      </c>
      <c r="P75" s="46">
        <f t="shared" ca="1" si="2"/>
        <v>6.3815789473684213E-3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input_337010!A$2</f>
        <v>337010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IFERROR(VLOOKUP(B76,input_337010!L:R,7,FALSE),VLOOKUP(tables_337010!C76,input_337010!A:H,8,FALSE))</f>
        <v>15714</v>
      </c>
      <c r="P76" s="46">
        <f t="shared" ca="1" si="2"/>
        <v>5.7434210526315791E-3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input_337010!A$2</f>
        <v>337010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IFERROR(VLOOKUP(B77,input_337010!L:R,7,FALSE),VLOOKUP(tables_337010!C77,input_337010!A:H,8,FALSE))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input_337010!A$2</f>
        <v>337010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IFERROR(VLOOKUP(B78,input_337010!L:R,7,FALSE),VLOOKUP(tables_337010!C78,input_337010!A:H,8,FALSE))</f>
        <v>17460</v>
      </c>
      <c r="P78" s="46">
        <f t="shared" ca="1" si="2"/>
        <v>6.3815789473684213E-3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input_337010!A$2</f>
        <v>337010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IFERROR(VLOOKUP(B79,input_337010!L:R,7,FALSE),VLOOKUP(tables_337010!C79,input_337010!A:H,8,FALSE))</f>
        <v>15714</v>
      </c>
      <c r="P79" s="46">
        <f t="shared" ref="P79:P142" ca="1" si="5">O79/SUM(O:O)</f>
        <v>5.7434210526315791E-3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input_337010!A$2</f>
        <v>337010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IFERROR(VLOOKUP(B80,input_337010!L:R,7,FALSE),VLOOKUP(tables_337010!C80,input_337010!A:H,8,FALSE))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input_337010!A$2</f>
        <v>337010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IFERROR(VLOOKUP(B81,input_337010!L:R,7,FALSE),VLOOKUP(tables_337010!C81,input_337010!A:H,8,FALSE))</f>
        <v>17460</v>
      </c>
      <c r="P81" s="46">
        <f t="shared" ca="1" si="5"/>
        <v>6.3815789473684213E-3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input_337010!A$2</f>
        <v>337010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IFERROR(VLOOKUP(B82,input_337010!L:R,7,FALSE),VLOOKUP(tables_337010!C82,input_337010!A:H,8,FALSE))</f>
        <v>15714</v>
      </c>
      <c r="P82" s="46">
        <f t="shared" ca="1" si="5"/>
        <v>5.7434210526315791E-3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input_337010!A$2</f>
        <v>337010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IFERROR(VLOOKUP(B83,input_337010!L:R,7,FALSE),VLOOKUP(tables_337010!C83,input_337010!A:H,8,FALSE))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input_337010!A$2</f>
        <v>337010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IFERROR(VLOOKUP(B84,input_337010!L:R,7,FALSE),VLOOKUP(tables_337010!C84,input_337010!A:H,8,FALSE))</f>
        <v>17460</v>
      </c>
      <c r="P84" s="46">
        <f t="shared" ca="1" si="5"/>
        <v>6.3815789473684213E-3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input_337010!A$2</f>
        <v>337010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IFERROR(VLOOKUP(B85,input_337010!L:R,7,FALSE),VLOOKUP(tables_337010!C85,input_337010!A:H,8,FALSE))</f>
        <v>15714</v>
      </c>
      <c r="P85" s="46">
        <f t="shared" ca="1" si="5"/>
        <v>5.7434210526315791E-3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input_337010!A$2</f>
        <v>337010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IFERROR(VLOOKUP(B86,input_337010!L:R,7,FALSE),VLOOKUP(tables_337010!C86,input_337010!A:H,8,FALSE))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input_337010!A$2</f>
        <v>337010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IFERROR(VLOOKUP(B87,input_337010!L:R,7,FALSE),VLOOKUP(tables_337010!C87,input_337010!A:H,8,FALSE))</f>
        <v>17460</v>
      </c>
      <c r="P87" s="46">
        <f t="shared" ca="1" si="5"/>
        <v>6.3815789473684213E-3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input_337010!A$2</f>
        <v>337010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IFERROR(VLOOKUP(B88,input_337010!L:R,7,FALSE),VLOOKUP(tables_337010!C88,input_337010!A:H,8,FALSE))</f>
        <v>15714</v>
      </c>
      <c r="P88" s="46">
        <f t="shared" ca="1" si="5"/>
        <v>5.7434210526315791E-3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input_337010!A$2</f>
        <v>337010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IFERROR(VLOOKUP(B89,input_337010!L:R,7,FALSE),VLOOKUP(tables_337010!C89,input_337010!A:H,8,FALSE))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input_337010!A$2</f>
        <v>337010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IFERROR(VLOOKUP(B90,input_337010!L:R,7,FALSE),VLOOKUP(tables_337010!C90,input_337010!A:H,8,FALSE))</f>
        <v>17460</v>
      </c>
      <c r="P90" s="46">
        <f t="shared" ca="1" si="5"/>
        <v>6.3815789473684213E-3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input_337010!A$2</f>
        <v>337010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IFERROR(VLOOKUP(B91,input_337010!L:R,7,FALSE),VLOOKUP(tables_337010!C91,input_337010!A:H,8,FALSE))</f>
        <v>15714</v>
      </c>
      <c r="P91" s="46">
        <f t="shared" ca="1" si="5"/>
        <v>5.7434210526315791E-3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input_337010!A$2</f>
        <v>337010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IFERROR(VLOOKUP(B92,input_337010!L:R,7,FALSE),VLOOKUP(tables_337010!C92,input_337010!A:H,8,FALSE))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input_337010!A$2</f>
        <v>337010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IFERROR(VLOOKUP(B93,input_337010!L:R,7,FALSE),VLOOKUP(tables_337010!C93,input_337010!A:H,8,FALSE))</f>
        <v>17460</v>
      </c>
      <c r="P93" s="46">
        <f t="shared" ca="1" si="5"/>
        <v>6.3815789473684213E-3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input_337010!A$2</f>
        <v>337010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IFERROR(VLOOKUP(B94,input_337010!L:R,7,FALSE),VLOOKUP(tables_337010!C94,input_337010!A:H,8,FALSE))</f>
        <v>15714</v>
      </c>
      <c r="P94" s="46">
        <f t="shared" ca="1" si="5"/>
        <v>5.7434210526315791E-3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input_337010!A$2</f>
        <v>337010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IFERROR(VLOOKUP(B95,input_337010!L:R,7,FALSE),VLOOKUP(tables_337010!C95,input_337010!A:H,8,FALSE))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input_337010!A$2</f>
        <v>337010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IFERROR(VLOOKUP(B96,input_337010!L:R,7,FALSE),VLOOKUP(tables_337010!C96,input_337010!A:H,8,FALSE))</f>
        <v>17460</v>
      </c>
      <c r="P96" s="46">
        <f t="shared" ca="1" si="5"/>
        <v>6.3815789473684213E-3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input_337010!A$2</f>
        <v>337010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IFERROR(VLOOKUP(B97,input_337010!L:R,7,FALSE),VLOOKUP(tables_337010!C97,input_337010!A:H,8,FALSE))</f>
        <v>15714</v>
      </c>
      <c r="P97" s="46">
        <f t="shared" ca="1" si="5"/>
        <v>5.7434210526315791E-3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input_337010!A$2</f>
        <v>337010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IFERROR(VLOOKUP(B98,input_337010!L:R,7,FALSE),VLOOKUP(tables_337010!C98,input_337010!A:H,8,FALSE))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input_337010!A$2</f>
        <v>337010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IFERROR(VLOOKUP(B99,input_337010!L:R,7,FALSE),VLOOKUP(tables_337010!C99,input_337010!A:H,8,FALSE))</f>
        <v>17460</v>
      </c>
      <c r="P99" s="46">
        <f t="shared" ca="1" si="5"/>
        <v>6.3815789473684213E-3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input_337010!A$2</f>
        <v>337010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IFERROR(VLOOKUP(B100,input_337010!L:R,7,FALSE),VLOOKUP(tables_337010!C100,input_337010!A:H,8,FALSE))</f>
        <v>15714</v>
      </c>
      <c r="P100" s="46">
        <f t="shared" ca="1" si="5"/>
        <v>5.7434210526315791E-3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input_337010!A$2</f>
        <v>337010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IFERROR(VLOOKUP(B101,input_337010!L:R,7,FALSE),VLOOKUP(tables_337010!C101,input_337010!A:H,8,FALSE))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input_337010!A$2</f>
        <v>337010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IFERROR(VLOOKUP(B102,input_337010!L:R,7,FALSE),VLOOKUP(tables_337010!C102,input_337010!A:H,8,FALSE))</f>
        <v>17460</v>
      </c>
      <c r="P102" s="46">
        <f t="shared" ca="1" si="5"/>
        <v>6.3815789473684213E-3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input_337010!A$2</f>
        <v>337010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IFERROR(VLOOKUP(B103,input_337010!L:R,7,FALSE),VLOOKUP(tables_337010!C103,input_337010!A:H,8,FALSE))</f>
        <v>15714</v>
      </c>
      <c r="P103" s="46">
        <f t="shared" ca="1" si="5"/>
        <v>5.7434210526315791E-3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input_337010!A$2</f>
        <v>337010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IFERROR(VLOOKUP(B104,input_337010!L:R,7,FALSE),VLOOKUP(tables_337010!C104,input_337010!A:H,8,FALSE))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input_337010!A$2</f>
        <v>337010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IFERROR(VLOOKUP(B105,input_337010!L:R,7,FALSE),VLOOKUP(tables_337010!C105,input_337010!A:H,8,FALSE))</f>
        <v>17460</v>
      </c>
      <c r="P105" s="46">
        <f t="shared" ca="1" si="5"/>
        <v>6.3815789473684213E-3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input_337010!A$2</f>
        <v>337010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IFERROR(VLOOKUP(B106,input_337010!L:R,7,FALSE),VLOOKUP(tables_337010!C106,input_337010!A:H,8,FALSE))</f>
        <v>15714</v>
      </c>
      <c r="P106" s="46">
        <f t="shared" ca="1" si="5"/>
        <v>5.7434210526315791E-3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input_337010!A$2</f>
        <v>337010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IFERROR(VLOOKUP(B107,input_337010!L:R,7,FALSE),VLOOKUP(tables_337010!C107,input_337010!A:H,8,FALSE))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input_337010!A$2</f>
        <v>337010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IFERROR(VLOOKUP(B108,input_337010!L:R,7,FALSE),VLOOKUP(tables_337010!C108,input_337010!A:H,8,FALSE))</f>
        <v>17460</v>
      </c>
      <c r="P108" s="46">
        <f t="shared" ca="1" si="5"/>
        <v>6.3815789473684213E-3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input_337010!A$2</f>
        <v>337010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IFERROR(VLOOKUP(B109,input_337010!L:R,7,FALSE),VLOOKUP(tables_337010!C109,input_337010!A:H,8,FALSE))</f>
        <v>15714</v>
      </c>
      <c r="P109" s="46">
        <f t="shared" ca="1" si="5"/>
        <v>5.7434210526315791E-3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input_337010!A$2</f>
        <v>337010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IFERROR(VLOOKUP(B110,input_337010!L:R,7,FALSE),VLOOKUP(tables_337010!C110,input_337010!A:H,8,FALSE))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input_337010!A$2</f>
        <v>337010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IFERROR(VLOOKUP(B111,input_337010!L:R,7,FALSE),VLOOKUP(tables_337010!C111,input_337010!A:H,8,FALSE))</f>
        <v>1140</v>
      </c>
      <c r="P111" s="46">
        <f t="shared" ca="1" si="5"/>
        <v>4.1666666666666669E-4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input_337010!A$2</f>
        <v>337010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IFERROR(VLOOKUP(B112,input_337010!L:R,7,FALSE),VLOOKUP(tables_337010!C112,input_337010!A:H,8,FALSE))</f>
        <v>1026</v>
      </c>
      <c r="P112" s="46">
        <f t="shared" ca="1" si="5"/>
        <v>3.7500000000000001E-4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input_337010!A$2</f>
        <v>337010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IFERROR(VLOOKUP(B113,input_337010!L:R,7,FALSE),VLOOKUP(tables_337010!C113,input_337010!A:H,8,FALSE))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input_337010!A$2</f>
        <v>337010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IFERROR(VLOOKUP(B114,input_337010!L:R,7,FALSE),VLOOKUP(tables_337010!C114,input_337010!A:H,8,FALSE))</f>
        <v>17460</v>
      </c>
      <c r="P114" s="46">
        <f t="shared" ca="1" si="5"/>
        <v>6.3815789473684213E-3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input_337010!A$2</f>
        <v>337010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IFERROR(VLOOKUP(B115,input_337010!L:R,7,FALSE),VLOOKUP(tables_337010!C115,input_337010!A:H,8,FALSE))</f>
        <v>15714</v>
      </c>
      <c r="P115" s="46">
        <f t="shared" ca="1" si="5"/>
        <v>5.7434210526315791E-3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input_337010!A$2</f>
        <v>337010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IFERROR(VLOOKUP(B116,input_337010!L:R,7,FALSE),VLOOKUP(tables_337010!C116,input_337010!A:H,8,FALSE))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input_337010!A$2</f>
        <v>337010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IFERROR(VLOOKUP(B117,input_337010!L:R,7,FALSE),VLOOKUP(tables_337010!C117,input_337010!A:H,8,FALSE))</f>
        <v>17460</v>
      </c>
      <c r="P117" s="46">
        <f t="shared" ca="1" si="5"/>
        <v>6.3815789473684213E-3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input_337010!A$2</f>
        <v>337010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IFERROR(VLOOKUP(B118,input_337010!L:R,7,FALSE),VLOOKUP(tables_337010!C118,input_337010!A:H,8,FALSE))</f>
        <v>15714</v>
      </c>
      <c r="P118" s="46">
        <f t="shared" ca="1" si="5"/>
        <v>5.7434210526315791E-3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input_337010!A$2</f>
        <v>337010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IFERROR(VLOOKUP(B119,input_337010!L:R,7,FALSE),VLOOKUP(tables_337010!C119,input_337010!A:H,8,FALSE))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input_337010!A$2</f>
        <v>337010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IFERROR(VLOOKUP(B120,input_337010!L:R,7,FALSE),VLOOKUP(tables_337010!C120,input_337010!A:H,8,FALSE))</f>
        <v>17460</v>
      </c>
      <c r="P120" s="46">
        <f t="shared" ca="1" si="5"/>
        <v>6.3815789473684213E-3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input_337010!A$2</f>
        <v>337010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IFERROR(VLOOKUP(B121,input_337010!L:R,7,FALSE),VLOOKUP(tables_337010!C121,input_337010!A:H,8,FALSE))</f>
        <v>15714</v>
      </c>
      <c r="P121" s="46">
        <f t="shared" ca="1" si="5"/>
        <v>5.7434210526315791E-3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input_337010!A$2</f>
        <v>337010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IFERROR(VLOOKUP(B122,input_337010!L:R,7,FALSE),VLOOKUP(tables_337010!C122,input_337010!A:H,8,FALSE))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input_337010!A$2</f>
        <v>337010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IFERROR(VLOOKUP(B123,input_337010!L:R,7,FALSE),VLOOKUP(tables_337010!C123,input_337010!A:H,8,FALSE))</f>
        <v>17460</v>
      </c>
      <c r="P123" s="46">
        <f t="shared" ca="1" si="5"/>
        <v>6.3815789473684213E-3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input_337010!A$2</f>
        <v>337010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IFERROR(VLOOKUP(B124,input_337010!L:R,7,FALSE),VLOOKUP(tables_337010!C124,input_337010!A:H,8,FALSE))</f>
        <v>15714</v>
      </c>
      <c r="P124" s="46">
        <f t="shared" ca="1" si="5"/>
        <v>5.7434210526315791E-3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input_337010!A$2</f>
        <v>337010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IFERROR(VLOOKUP(B125,input_337010!L:R,7,FALSE),VLOOKUP(tables_337010!C125,input_337010!A:H,8,FALSE))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input_337010!A$2</f>
        <v>337010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IFERROR(VLOOKUP(B126,input_337010!L:R,7,FALSE),VLOOKUP(tables_337010!C126,input_337010!A:H,8,FALSE))</f>
        <v>17460</v>
      </c>
      <c r="P126" s="46">
        <f t="shared" ca="1" si="5"/>
        <v>6.3815789473684213E-3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input_337010!A$2</f>
        <v>337010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IFERROR(VLOOKUP(B127,input_337010!L:R,7,FALSE),VLOOKUP(tables_337010!C127,input_337010!A:H,8,FALSE))</f>
        <v>15714</v>
      </c>
      <c r="P127" s="46">
        <f t="shared" ca="1" si="5"/>
        <v>5.7434210526315791E-3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input_337010!A$2</f>
        <v>337010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IFERROR(VLOOKUP(B128,input_337010!L:R,7,FALSE),VLOOKUP(tables_337010!C128,input_337010!A:H,8,FALSE))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input_337010!A$2</f>
        <v>337010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IFERROR(VLOOKUP(B129,input_337010!L:R,7,FALSE),VLOOKUP(tables_337010!C129,input_337010!A:H,8,FALSE))</f>
        <v>17460</v>
      </c>
      <c r="P129" s="46">
        <f t="shared" ca="1" si="5"/>
        <v>6.3815789473684213E-3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input_337010!A$2</f>
        <v>337010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IFERROR(VLOOKUP(B130,input_337010!L:R,7,FALSE),VLOOKUP(tables_337010!C130,input_337010!A:H,8,FALSE))</f>
        <v>15714</v>
      </c>
      <c r="P130" s="46">
        <f t="shared" ca="1" si="5"/>
        <v>5.7434210526315791E-3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input_337010!A$2</f>
        <v>337010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IFERROR(VLOOKUP(B131,input_337010!L:R,7,FALSE),VLOOKUP(tables_337010!C131,input_337010!A:H,8,FALSE))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input_337010!A$2</f>
        <v>337010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IFERROR(VLOOKUP(B132,input_337010!L:R,7,FALSE),VLOOKUP(tables_337010!C132,input_337010!A:H,8,FALSE))</f>
        <v>17460</v>
      </c>
      <c r="P132" s="46">
        <f t="shared" ca="1" si="5"/>
        <v>6.3815789473684213E-3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input_337010!A$2</f>
        <v>337010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IFERROR(VLOOKUP(B133,input_337010!L:R,7,FALSE),VLOOKUP(tables_337010!C133,input_337010!A:H,8,FALSE))</f>
        <v>15714</v>
      </c>
      <c r="P133" s="46">
        <f t="shared" ca="1" si="5"/>
        <v>5.7434210526315791E-3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input_337010!A$2</f>
        <v>337010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IFERROR(VLOOKUP(B134,input_337010!L:R,7,FALSE),VLOOKUP(tables_337010!C134,input_337010!A:H,8,FALSE))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input_337010!A$2</f>
        <v>337010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IFERROR(VLOOKUP(B135,input_337010!L:R,7,FALSE),VLOOKUP(tables_337010!C135,input_337010!A:H,8,FALSE))</f>
        <v>17460</v>
      </c>
      <c r="P135" s="46">
        <f t="shared" ca="1" si="5"/>
        <v>6.3815789473684213E-3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input_337010!A$2</f>
        <v>337010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IFERROR(VLOOKUP(B136,input_337010!L:R,7,FALSE),VLOOKUP(tables_337010!C136,input_337010!A:H,8,FALSE))</f>
        <v>15714</v>
      </c>
      <c r="P136" s="46">
        <f t="shared" ca="1" si="5"/>
        <v>5.7434210526315791E-3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input_337010!A$2</f>
        <v>337010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IFERROR(VLOOKUP(B137,input_337010!L:R,7,FALSE),VLOOKUP(tables_337010!C137,input_337010!A:H,8,FALSE))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input_337010!A$2</f>
        <v>337010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IFERROR(VLOOKUP(B138,input_337010!L:R,7,FALSE),VLOOKUP(tables_337010!C138,input_337010!A:H,8,FALSE))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input_337010!A$2</f>
        <v>337010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IFERROR(VLOOKUP(B139,input_337010!L:R,7,FALSE),VLOOKUP(tables_337010!C139,input_337010!A:H,8,FALSE))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input_337010!A$2</f>
        <v>337010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IFERROR(VLOOKUP(B140,input_337010!L:R,7,FALSE),VLOOKUP(tables_337010!C140,input_337010!A:H,8,FALSE))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input_337010!A$2</f>
        <v>337010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IFERROR(VLOOKUP(B141,input_337010!L:R,7,FALSE),VLOOKUP(tables_337010!C141,input_337010!A:H,8,FALSE))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input_337010!A$2</f>
        <v>337010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IFERROR(VLOOKUP(B142,input_337010!L:R,7,FALSE),VLOOKUP(tables_337010!C142,input_337010!A:H,8,FALSE))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input_337010!A$2</f>
        <v>337010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IFERROR(VLOOKUP(B143,input_337010!L:R,7,FALSE),VLOOKUP(tables_337010!C143,input_337010!A:H,8,FALSE))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input_337010!A$2</f>
        <v>337010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IFERROR(VLOOKUP(B144,input_337010!L:R,7,FALSE),VLOOKUP(tables_337010!C144,input_337010!A:H,8,FALSE))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input_337010!A$2</f>
        <v>337010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IFERROR(VLOOKUP(B145,input_337010!L:R,7,FALSE),VLOOKUP(tables_337010!C145,input_337010!A:H,8,FALSE))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input_337010!A$2</f>
        <v>337010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IFERROR(VLOOKUP(B146,input_337010!L:R,7,FALSE),VLOOKUP(tables_337010!C146,input_337010!A:H,8,FALSE))</f>
        <v>17460</v>
      </c>
      <c r="P146" s="46">
        <f t="shared" ca="1" si="8"/>
        <v>6.3815789473684213E-3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input_337010!A$2</f>
        <v>337010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IFERROR(VLOOKUP(B147,input_337010!L:R,7,FALSE),VLOOKUP(tables_337010!C147,input_337010!A:H,8,FALSE))</f>
        <v>15714</v>
      </c>
      <c r="P147" s="46">
        <f t="shared" ca="1" si="8"/>
        <v>5.7434210526315791E-3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input_337010!A$2</f>
        <v>337010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IFERROR(VLOOKUP(B148,input_337010!L:R,7,FALSE),VLOOKUP(tables_337010!C148,input_337010!A:H,8,FALSE))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input_337010!A$2</f>
        <v>337010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IFERROR(VLOOKUP(B149,input_337010!L:R,7,FALSE),VLOOKUP(tables_337010!C149,input_337010!A:H,8,FALSE))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input_337010!A$2</f>
        <v>337010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IFERROR(VLOOKUP(B150,input_337010!L:R,7,FALSE),VLOOKUP(tables_337010!C150,input_337010!A:H,8,FALSE))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input_337010!A$2</f>
        <v>337010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IFERROR(VLOOKUP(B151,input_337010!L:R,7,FALSE),VLOOKUP(tables_337010!C151,input_337010!A:H,8,FALSE))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input_337010!A$2</f>
        <v>337010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IFERROR(VLOOKUP(B152,input_337010!L:R,7,FALSE),VLOOKUP(tables_337010!C152,input_337010!A:H,8,FALSE))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input_337010!A$2</f>
        <v>337010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IFERROR(VLOOKUP(B153,input_337010!L:R,7,FALSE),VLOOKUP(tables_337010!C153,input_337010!A:H,8,FALSE))</f>
        <v>17460</v>
      </c>
      <c r="P153" s="46">
        <f t="shared" ca="1" si="8"/>
        <v>6.3815789473684213E-3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input_337010!A$2</f>
        <v>337010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IFERROR(VLOOKUP(B154,input_337010!L:R,7,FALSE),VLOOKUP(tables_337010!C154,input_337010!A:H,8,FALSE))</f>
        <v>15714</v>
      </c>
      <c r="P154" s="46">
        <f t="shared" ca="1" si="8"/>
        <v>5.7434210526315791E-3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input_337010!A$2</f>
        <v>337010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IFERROR(VLOOKUP(B155,input_337010!L:R,7,FALSE),VLOOKUP(tables_337010!C155,input_337010!A:H,8,FALSE))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input_337010!A$2</f>
        <v>337010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IFERROR(VLOOKUP(B156,input_337010!L:R,7,FALSE),VLOOKUP(tables_337010!C156,input_337010!A:H,8,FALSE))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input_337010!A$2</f>
        <v>337010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IFERROR(VLOOKUP(B157,input_337010!L:R,7,FALSE),VLOOKUP(tables_337010!C157,input_337010!A:H,8,FALSE))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input_337010!A$2</f>
        <v>337010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IFERROR(VLOOKUP(B158,input_337010!L:R,7,FALSE),VLOOKUP(tables_337010!C158,input_337010!A:H,8,FALSE))</f>
        <v>17460</v>
      </c>
      <c r="P158" s="46">
        <f t="shared" ca="1" si="8"/>
        <v>6.3815789473684213E-3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input_337010!A$2</f>
        <v>337010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IFERROR(VLOOKUP(B159,input_337010!L:R,7,FALSE),VLOOKUP(tables_337010!C159,input_337010!A:H,8,FALSE))</f>
        <v>15714</v>
      </c>
      <c r="P159" s="46">
        <f t="shared" ca="1" si="8"/>
        <v>5.7434210526315791E-3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input_337010!A$2</f>
        <v>337010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IFERROR(VLOOKUP(B160,input_337010!L:R,7,FALSE),VLOOKUP(tables_337010!C160,input_337010!A:H,8,FALSE))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input_337010!A$2</f>
        <v>337010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IFERROR(VLOOKUP(B161,input_337010!L:R,7,FALSE),VLOOKUP(tables_337010!C161,input_337010!A:H,8,FALSE))</f>
        <v>17460</v>
      </c>
      <c r="P161" s="46">
        <f t="shared" ca="1" si="8"/>
        <v>6.3815789473684213E-3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input_337010!A$2</f>
        <v>337010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IFERROR(VLOOKUP(B162,input_337010!L:R,7,FALSE),VLOOKUP(tables_337010!C162,input_337010!A:H,8,FALSE))</f>
        <v>15714</v>
      </c>
      <c r="P162" s="46">
        <f t="shared" ca="1" si="8"/>
        <v>5.7434210526315791E-3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input_337010!A$2</f>
        <v>337010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IFERROR(VLOOKUP(B163,input_337010!L:R,7,FALSE),VLOOKUP(tables_337010!C163,input_337010!A:H,8,FALSE))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input_337010!A$2</f>
        <v>337010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IFERROR(VLOOKUP(B164,input_337010!L:R,7,FALSE),VLOOKUP(tables_337010!C164,input_337010!A:H,8,FALSE))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input_337010!A$2</f>
        <v>337010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IFERROR(VLOOKUP(B165,input_337010!L:R,7,FALSE),VLOOKUP(tables_337010!C165,input_337010!A:H,8,FALSE))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input_337010!A$2</f>
        <v>337010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IFERROR(VLOOKUP(B166,input_337010!L:R,7,FALSE),VLOOKUP(tables_337010!C166,input_337010!A:H,8,FALSE))</f>
        <v>17460</v>
      </c>
      <c r="P166" s="46">
        <f t="shared" ca="1" si="8"/>
        <v>6.3815789473684213E-3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input_337010!A$2</f>
        <v>337010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IFERROR(VLOOKUP(B167,input_337010!L:R,7,FALSE),VLOOKUP(tables_337010!C167,input_337010!A:H,8,FALSE))</f>
        <v>15714</v>
      </c>
      <c r="P167" s="46">
        <f t="shared" ca="1" si="8"/>
        <v>5.7434210526315791E-3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input_337010!A$2</f>
        <v>337010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IFERROR(VLOOKUP(B168,input_337010!L:R,7,FALSE),VLOOKUP(tables_337010!C168,input_337010!A:H,8,FALSE))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input_337010!A$2</f>
        <v>337010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IFERROR(VLOOKUP(B169,input_337010!L:R,7,FALSE),VLOOKUP(tables_337010!C169,input_337010!A:H,8,FALSE))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input_337010!A$2</f>
        <v>337010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IFERROR(VLOOKUP(B170,input_337010!L:R,7,FALSE),VLOOKUP(tables_337010!C170,input_337010!A:H,8,FALSE))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input_337010!A$2</f>
        <v>337010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IFERROR(VLOOKUP(B171,input_337010!L:R,7,FALSE),VLOOKUP(tables_337010!C171,input_337010!A:H,8,FALSE))</f>
        <v>17460</v>
      </c>
      <c r="P171" s="46">
        <f t="shared" ca="1" si="8"/>
        <v>6.3815789473684213E-3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input_337010!A$2</f>
        <v>337010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IFERROR(VLOOKUP(B172,input_337010!L:R,7,FALSE),VLOOKUP(tables_337010!C172,input_337010!A:H,8,FALSE))</f>
        <v>15714</v>
      </c>
      <c r="P172" s="46">
        <f t="shared" ca="1" si="8"/>
        <v>5.7434210526315791E-3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input_337010!A$2</f>
        <v>337010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IFERROR(VLOOKUP(B173,input_337010!L:R,7,FALSE),VLOOKUP(tables_337010!C173,input_337010!A:H,8,FALSE))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input_337010!A$2</f>
        <v>337010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IFERROR(VLOOKUP(B174,input_337010!L:R,7,FALSE),VLOOKUP(tables_337010!C174,input_337010!A:H,8,FALSE))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input_337010!A$2</f>
        <v>337010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IFERROR(VLOOKUP(B175,input_337010!L:R,7,FALSE),VLOOKUP(tables_337010!C175,input_337010!A:H,8,FALSE))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input_337010!A$2</f>
        <v>337010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IFERROR(VLOOKUP(B176,input_337010!L:R,7,FALSE),VLOOKUP(tables_337010!C176,input_337010!A:H,8,FALSE))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input_337010!A$2</f>
        <v>337010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IFERROR(VLOOKUP(B177,input_337010!L:R,7,FALSE),VLOOKUP(tables_337010!C177,input_337010!A:H,8,FALSE))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input_337010!A$2</f>
        <v>337010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IFERROR(VLOOKUP(B178,input_337010!L:R,7,FALSE),VLOOKUP(tables_337010!C178,input_337010!A:H,8,FALSE))</f>
        <v>17460</v>
      </c>
      <c r="P178" s="46">
        <f t="shared" ca="1" si="8"/>
        <v>6.3815789473684213E-3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input_337010!A$2</f>
        <v>337010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IFERROR(VLOOKUP(B179,input_337010!L:R,7,FALSE),VLOOKUP(tables_337010!C179,input_337010!A:H,8,FALSE))</f>
        <v>15714</v>
      </c>
      <c r="P179" s="46">
        <f t="shared" ca="1" si="8"/>
        <v>5.7434210526315791E-3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input_337010!A$2</f>
        <v>337010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IFERROR(VLOOKUP(B180,input_337010!L:R,7,FALSE),VLOOKUP(tables_337010!C180,input_337010!A:H,8,FALSE))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input_337010!A$2</f>
        <v>337010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IFERROR(VLOOKUP(B181,input_337010!L:R,7,FALSE),VLOOKUP(tables_337010!C181,input_337010!A:H,8,FALSE))</f>
        <v>17460</v>
      </c>
      <c r="P181" s="46">
        <f t="shared" ca="1" si="8"/>
        <v>6.3815789473684213E-3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input_337010!A$2</f>
        <v>337010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IFERROR(VLOOKUP(B182,input_337010!L:R,7,FALSE),VLOOKUP(tables_337010!C182,input_337010!A:H,8,FALSE))</f>
        <v>15714</v>
      </c>
      <c r="P182" s="46">
        <f t="shared" ca="1" si="8"/>
        <v>5.7434210526315791E-3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input_337010!A$2</f>
        <v>337010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IFERROR(VLOOKUP(B183,input_337010!L:R,7,FALSE),VLOOKUP(tables_337010!C183,input_337010!A:H,8,FALSE))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input_337010!A$2</f>
        <v>337010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IFERROR(VLOOKUP(B184,input_337010!L:R,7,FALSE),VLOOKUP(tables_337010!C184,input_337010!A:H,8,FALSE))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input_337010!A$2</f>
        <v>337010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IFERROR(VLOOKUP(B185,input_337010!L:R,7,FALSE),VLOOKUP(tables_337010!C185,input_337010!A:H,8,FALSE))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input_337010!A$2</f>
        <v>337010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IFERROR(VLOOKUP(B186,input_337010!L:R,7,FALSE),VLOOKUP(tables_337010!C186,input_337010!A:H,8,FALSE))</f>
        <v>17460</v>
      </c>
      <c r="P186" s="46">
        <f t="shared" ca="1" si="8"/>
        <v>6.3815789473684213E-3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input_337010!A$2</f>
        <v>337010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IFERROR(VLOOKUP(B187,input_337010!L:R,7,FALSE),VLOOKUP(tables_337010!C187,input_337010!A:H,8,FALSE))</f>
        <v>15714</v>
      </c>
      <c r="P187" s="46">
        <f t="shared" ca="1" si="8"/>
        <v>5.7434210526315791E-3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input_337010!A$2</f>
        <v>337010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IFERROR(VLOOKUP(B188,input_337010!L:R,7,FALSE),VLOOKUP(tables_337010!C188,input_337010!A:H,8,FALSE))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input_337010!A$2</f>
        <v>337010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IFERROR(VLOOKUP(B189,input_337010!L:R,7,FALSE),VLOOKUP(tables_337010!C189,input_337010!A:H,8,FALSE))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input_337010!A$2</f>
        <v>337010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IFERROR(VLOOKUP(B190,input_337010!L:R,7,FALSE),VLOOKUP(tables_337010!C190,input_337010!A:H,8,FALSE))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input_337010!A$2</f>
        <v>337010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IFERROR(VLOOKUP(B191,input_337010!L:R,7,FALSE),VLOOKUP(tables_337010!C191,input_337010!A:H,8,FALSE))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input_337010!A$2</f>
        <v>337010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IFERROR(VLOOKUP(B192,input_337010!L:R,7,FALSE),VLOOKUP(tables_337010!C192,input_337010!A:H,8,FALSE))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input_337010!A$2</f>
        <v>337010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IFERROR(VLOOKUP(B193,input_337010!L:R,7,FALSE),VLOOKUP(tables_337010!C193,input_337010!A:H,8,FALSE))</f>
        <v>17460</v>
      </c>
      <c r="P193" s="46">
        <f t="shared" ca="1" si="8"/>
        <v>6.3815789473684213E-3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input_337010!A$2</f>
        <v>337010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IFERROR(VLOOKUP(B194,input_337010!L:R,7,FALSE),VLOOKUP(tables_337010!C194,input_337010!A:H,8,FALSE))</f>
        <v>15714</v>
      </c>
      <c r="P194" s="46">
        <f t="shared" ca="1" si="8"/>
        <v>5.7434210526315791E-3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input_337010!A$2</f>
        <v>337010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IFERROR(VLOOKUP(B195,input_337010!L:R,7,FALSE),VLOOKUP(tables_337010!C195,input_337010!A:H,8,FALSE))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input_337010!A$2</f>
        <v>337010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IFERROR(VLOOKUP(B196,input_337010!L:R,7,FALSE),VLOOKUP(tables_337010!C196,input_337010!A:H,8,FALSE))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input_337010!A$2</f>
        <v>337010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IFERROR(VLOOKUP(B197,input_337010!L:R,7,FALSE),VLOOKUP(tables_337010!C197,input_337010!A:H,8,FALSE))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input_337010!A$2</f>
        <v>337010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IFERROR(VLOOKUP(B198,input_337010!L:R,7,FALSE),VLOOKUP(tables_337010!C198,input_337010!A:H,8,FALSE))</f>
        <v>17460</v>
      </c>
      <c r="P198" s="46">
        <f t="shared" ca="1" si="8"/>
        <v>6.3815789473684213E-3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input_337010!A$2</f>
        <v>337010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IFERROR(VLOOKUP(B199,input_337010!L:R,7,FALSE),VLOOKUP(tables_337010!C199,input_337010!A:H,8,FALSE))</f>
        <v>15714</v>
      </c>
      <c r="P199" s="46">
        <f t="shared" ca="1" si="8"/>
        <v>5.7434210526315791E-3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input_337010!A$2</f>
        <v>337010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IFERROR(VLOOKUP(B200,input_337010!L:R,7,FALSE),VLOOKUP(tables_337010!C200,input_337010!A:H,8,FALSE))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input_337010!A$2</f>
        <v>337010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IFERROR(VLOOKUP(B201,input_337010!L:R,7,FALSE),VLOOKUP(tables_337010!C201,input_337010!A:H,8,FALSE))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input_337010!A$2</f>
        <v>337010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IFERROR(VLOOKUP(B202,input_337010!L:R,7,FALSE),VLOOKUP(tables_337010!C202,input_337010!A:H,8,FALSE))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input_337010!A$2</f>
        <v>337010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IFERROR(VLOOKUP(B203,input_337010!L:R,7,FALSE),VLOOKUP(tables_337010!C203,input_337010!A:H,8,FALSE))</f>
        <v>17460</v>
      </c>
      <c r="P203" s="46">
        <f t="shared" ca="1" si="8"/>
        <v>6.3815789473684213E-3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input_337010!A$2</f>
        <v>337010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IFERROR(VLOOKUP(B204,input_337010!L:R,7,FALSE),VLOOKUP(tables_337010!C204,input_337010!A:H,8,FALSE))</f>
        <v>15714</v>
      </c>
      <c r="P204" s="46">
        <f t="shared" ca="1" si="8"/>
        <v>5.7434210526315791E-3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input_337010!A$2</f>
        <v>337010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IFERROR(VLOOKUP(B205,input_337010!L:R,7,FALSE),VLOOKUP(tables_337010!C205,input_337010!A:H,8,FALSE))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input_337010!A$2</f>
        <v>337010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IFERROR(VLOOKUP(B206,input_337010!L:R,7,FALSE),VLOOKUP(tables_337010!C206,input_337010!A:H,8,FALSE))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input_337010!A$2</f>
        <v>337010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IFERROR(VLOOKUP(B207,input_337010!L:R,7,FALSE),VLOOKUP(tables_337010!C207,input_337010!A:H,8,FALSE))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input_337010!A$2</f>
        <v>337010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IFERROR(VLOOKUP(B208,input_337010!L:R,7,FALSE),VLOOKUP(tables_337010!C208,input_337010!A:H,8,FALSE))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input_337010!A$2</f>
        <v>337010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IFERROR(VLOOKUP(B209,input_337010!L:R,7,FALSE),VLOOKUP(tables_337010!C209,input_337010!A:H,8,FALSE))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input_337010!A$2</f>
        <v>337010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IFERROR(VLOOKUP(B210,input_337010!L:R,7,FALSE),VLOOKUP(tables_337010!C210,input_337010!A:H,8,FALSE))</f>
        <v>17460</v>
      </c>
      <c r="P210" s="46">
        <f t="shared" ca="1" si="11"/>
        <v>6.3815789473684213E-3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input_337010!A$2</f>
        <v>337010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IFERROR(VLOOKUP(B211,input_337010!L:R,7,FALSE),VLOOKUP(tables_337010!C211,input_337010!A:H,8,FALSE))</f>
        <v>15714</v>
      </c>
      <c r="P211" s="46">
        <f t="shared" ca="1" si="11"/>
        <v>5.7434210526315791E-3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input_337010!A$2</f>
        <v>337010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IFERROR(VLOOKUP(B212,input_337010!L:R,7,FALSE),VLOOKUP(tables_337010!C212,input_337010!A:H,8,FALSE))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input_337010!A$2</f>
        <v>337010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IFERROR(VLOOKUP(B213,input_337010!L:R,7,FALSE),VLOOKUP(tables_337010!C213,input_337010!A:H,8,FALSE))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input_337010!A$2</f>
        <v>337010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IFERROR(VLOOKUP(B214,input_337010!L:R,7,FALSE),VLOOKUP(tables_337010!C214,input_337010!A:H,8,FALSE))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input_337010!A$2</f>
        <v>337010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IFERROR(VLOOKUP(B215,input_337010!L:R,7,FALSE),VLOOKUP(tables_337010!C215,input_337010!A:H,8,FALSE))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input_337010!A$2</f>
        <v>337010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IFERROR(VLOOKUP(B216,input_337010!L:R,7,FALSE),VLOOKUP(tables_337010!C216,input_337010!A:H,8,FALSE))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input_337010!A$2</f>
        <v>337010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IFERROR(VLOOKUP(B217,input_337010!L:R,7,FALSE),VLOOKUP(tables_337010!C217,input_337010!A:H,8,FALSE))</f>
        <v>17460</v>
      </c>
      <c r="P217" s="46">
        <f t="shared" ca="1" si="11"/>
        <v>6.3815789473684213E-3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input_337010!A$2</f>
        <v>337010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IFERROR(VLOOKUP(B218,input_337010!L:R,7,FALSE),VLOOKUP(tables_337010!C218,input_337010!A:H,8,FALSE))</f>
        <v>15714</v>
      </c>
      <c r="P218" s="46">
        <f t="shared" ca="1" si="11"/>
        <v>5.7434210526315791E-3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input_337010!A$2</f>
        <v>337010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IFERROR(VLOOKUP(B219,input_337010!L:R,7,FALSE),VLOOKUP(tables_337010!C219,input_337010!A:H,8,FALSE))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input_337010!A$2</f>
        <v>337010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IFERROR(VLOOKUP(B220,input_337010!L:R,7,FALSE),VLOOKUP(tables_337010!C220,input_337010!A:H,8,FALSE))</f>
        <v>17460</v>
      </c>
      <c r="P220" s="46">
        <f t="shared" ca="1" si="11"/>
        <v>6.3815789473684213E-3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input_337010!A$2</f>
        <v>337010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IFERROR(VLOOKUP(B221,input_337010!L:R,7,FALSE),VLOOKUP(tables_337010!C221,input_337010!A:H,8,FALSE))</f>
        <v>15714</v>
      </c>
      <c r="P221" s="46">
        <f t="shared" ca="1" si="11"/>
        <v>5.7434210526315791E-3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input_337010!A$2</f>
        <v>337010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IFERROR(VLOOKUP(B222,input_337010!L:R,7,FALSE),VLOOKUP(tables_337010!C222,input_337010!A:H,8,FALSE))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input_337010!A$2</f>
        <v>337010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IFERROR(VLOOKUP(B223,input_337010!L:R,7,FALSE),VLOOKUP(tables_337010!C223,input_337010!A:H,8,FALSE))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input_337010!A$2</f>
        <v>337010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IFERROR(VLOOKUP(B224,input_337010!L:R,7,FALSE),VLOOKUP(tables_337010!C224,input_337010!A:H,8,FALSE))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input_337010!A$2</f>
        <v>337010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IFERROR(VLOOKUP(B225,input_337010!L:R,7,FALSE),VLOOKUP(tables_337010!C225,input_337010!A:H,8,FALSE))</f>
        <v>17460</v>
      </c>
      <c r="P225" s="46">
        <f t="shared" ca="1" si="11"/>
        <v>6.3815789473684213E-3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input_337010!A$2</f>
        <v>337010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IFERROR(VLOOKUP(B226,input_337010!L:R,7,FALSE),VLOOKUP(tables_337010!C226,input_337010!A:H,8,FALSE))</f>
        <v>15714</v>
      </c>
      <c r="P226" s="46">
        <f t="shared" ca="1" si="11"/>
        <v>5.7434210526315791E-3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input_337010!A$2</f>
        <v>337010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IFERROR(VLOOKUP(B227,input_337010!L:R,7,FALSE),VLOOKUP(tables_337010!C227,input_337010!A:H,8,FALSE))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input_337010!A$2</f>
        <v>337010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IFERROR(VLOOKUP(B228,input_337010!L:R,7,FALSE),VLOOKUP(tables_337010!C228,input_337010!A:H,8,FALSE))</f>
        <v>17460</v>
      </c>
      <c r="P228" s="46">
        <f t="shared" ca="1" si="11"/>
        <v>6.3815789473684213E-3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input_337010!A$2</f>
        <v>337010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IFERROR(VLOOKUP(B229,input_337010!L:R,7,FALSE),VLOOKUP(tables_337010!C229,input_337010!A:H,8,FALSE))</f>
        <v>15714</v>
      </c>
      <c r="P229" s="46">
        <f t="shared" ca="1" si="11"/>
        <v>5.7434210526315791E-3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input_337010!A$2</f>
        <v>337010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IFERROR(VLOOKUP(B230,input_337010!L:R,7,FALSE),VLOOKUP(tables_337010!C230,input_337010!A:H,8,FALSE))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input_337010!A$2</f>
        <v>337010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IFERROR(VLOOKUP(B231,input_337010!L:R,7,FALSE),VLOOKUP(tables_337010!C231,input_337010!A:H,8,FALSE))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input_337010!A$2</f>
        <v>337010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IFERROR(VLOOKUP(B232,input_337010!L:R,7,FALSE),VLOOKUP(tables_337010!C232,input_337010!A:H,8,FALSE))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input_337010!A$2</f>
        <v>337010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IFERROR(VLOOKUP(B233,input_337010!L:R,7,FALSE),VLOOKUP(tables_337010!C233,input_337010!A:H,8,FALSE))</f>
        <v>17460</v>
      </c>
      <c r="P233" s="46">
        <f t="shared" ca="1" si="11"/>
        <v>6.3815789473684213E-3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input_337010!A$2</f>
        <v>337010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IFERROR(VLOOKUP(B234,input_337010!L:R,7,FALSE),VLOOKUP(tables_337010!C234,input_337010!A:H,8,FALSE))</f>
        <v>15714</v>
      </c>
      <c r="P234" s="46">
        <f t="shared" ca="1" si="11"/>
        <v>5.7434210526315791E-3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input_337010!A$2</f>
        <v>337010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IFERROR(VLOOKUP(B235,input_337010!L:R,7,FALSE),VLOOKUP(tables_337010!C235,input_337010!A:H,8,FALSE))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input_337010!A$2</f>
        <v>337010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IFERROR(VLOOKUP(B236,input_337010!L:R,7,FALSE),VLOOKUP(tables_337010!C236,input_337010!A:H,8,FALSE))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input_337010!A$2</f>
        <v>337010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IFERROR(VLOOKUP(B237,input_337010!L:R,7,FALSE),VLOOKUP(tables_337010!C237,input_337010!A:H,8,FALSE))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input_337010!A$2</f>
        <v>337010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IFERROR(VLOOKUP(B238,input_337010!L:R,7,FALSE),VLOOKUP(tables_337010!C238,input_337010!A:H,8,FALSE))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input_337010!A$2</f>
        <v>337010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IFERROR(VLOOKUP(B239,input_337010!L:R,7,FALSE),VLOOKUP(tables_337010!C239,input_337010!A:H,8,FALSE))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input_337010!A$2</f>
        <v>337010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IFERROR(VLOOKUP(B240,input_337010!L:R,7,FALSE),VLOOKUP(tables_337010!C240,input_337010!A:H,8,FALSE))</f>
        <v>17460</v>
      </c>
      <c r="P240" s="46">
        <f t="shared" ca="1" si="11"/>
        <v>6.3815789473684213E-3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input_337010!A$2</f>
        <v>337010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IFERROR(VLOOKUP(B241,input_337010!L:R,7,FALSE),VLOOKUP(tables_337010!C241,input_337010!A:H,8,FALSE))</f>
        <v>15714</v>
      </c>
      <c r="P241" s="46">
        <f t="shared" ca="1" si="11"/>
        <v>5.7434210526315791E-3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input_337010!A$2</f>
        <v>337010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IFERROR(VLOOKUP(B242,input_337010!L:R,7,FALSE),VLOOKUP(tables_337010!C242,input_337010!A:H,8,FALSE))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input_337010!A$2</f>
        <v>337010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IFERROR(VLOOKUP(B243,input_337010!L:R,7,FALSE),VLOOKUP(tables_337010!C243,input_337010!A:H,8,FALSE))</f>
        <v>17460</v>
      </c>
      <c r="P243" s="46">
        <f t="shared" ca="1" si="11"/>
        <v>6.3815789473684213E-3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input_337010!A$2</f>
        <v>337010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IFERROR(VLOOKUP(B244,input_337010!L:R,7,FALSE),VLOOKUP(tables_337010!C244,input_337010!A:H,8,FALSE))</f>
        <v>15714</v>
      </c>
      <c r="P244" s="46">
        <f t="shared" ca="1" si="11"/>
        <v>5.7434210526315791E-3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input_337010!A$2</f>
        <v>337010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IFERROR(VLOOKUP(B245,input_337010!L:R,7,FALSE),VLOOKUP(tables_337010!C245,input_337010!A:H,8,FALSE))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input_337010!A$2</f>
        <v>337010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IFERROR(VLOOKUP(B246,input_337010!L:R,7,FALSE),VLOOKUP(tables_337010!C246,input_337010!A:H,8,FALSE))</f>
        <v>17460</v>
      </c>
      <c r="P246" s="46">
        <f t="shared" ca="1" si="11"/>
        <v>6.3815789473684213E-3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input_337010!A$2</f>
        <v>337010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IFERROR(VLOOKUP(B247,input_337010!L:R,7,FALSE),VLOOKUP(tables_337010!C247,input_337010!A:H,8,FALSE))</f>
        <v>15714</v>
      </c>
      <c r="P247" s="46">
        <f t="shared" ca="1" si="11"/>
        <v>5.7434210526315791E-3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input_337010!A$2</f>
        <v>337010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IFERROR(VLOOKUP(B248,input_337010!L:R,7,FALSE),VLOOKUP(tables_337010!C248,input_337010!A:H,8,FALSE))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input_337010!A$2</f>
        <v>337010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IFERROR(VLOOKUP(B249,input_337010!L:R,7,FALSE),VLOOKUP(tables_337010!C249,input_337010!A:H,8,FALSE))</f>
        <v>17460</v>
      </c>
      <c r="P249" s="46">
        <f t="shared" ca="1" si="11"/>
        <v>6.3815789473684213E-3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input_337010!A$2</f>
        <v>337010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IFERROR(VLOOKUP(B250,input_337010!L:R,7,FALSE),VLOOKUP(tables_337010!C250,input_337010!A:H,8,FALSE))</f>
        <v>15714</v>
      </c>
      <c r="P250" s="46">
        <f t="shared" ca="1" si="11"/>
        <v>5.7434210526315791E-3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input_337010!A$2</f>
        <v>337010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IFERROR(VLOOKUP(B251,input_337010!L:R,7,FALSE),VLOOKUP(tables_337010!C251,input_337010!A:H,8,FALSE))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input_337010!A$2</f>
        <v>337010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IFERROR(VLOOKUP(B252,input_337010!L:R,7,FALSE),VLOOKUP(tables_337010!C252,input_337010!A:H,8,FALSE))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input_337010!A$2</f>
        <v>337010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IFERROR(VLOOKUP(B253,input_337010!L:R,7,FALSE),VLOOKUP(tables_337010!C253,input_337010!A:H,8,FALSE))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input_337010!A$2</f>
        <v>337010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IFERROR(VLOOKUP(B254,input_337010!L:R,7,FALSE),VLOOKUP(tables_337010!C254,input_337010!A:H,8,FALSE))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input_337010!A$2</f>
        <v>337010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IFERROR(VLOOKUP(B255,input_337010!L:R,7,FALSE),VLOOKUP(tables_337010!C255,input_337010!A:H,8,FALSE))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input_337010!A$2</f>
        <v>337010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IFERROR(VLOOKUP(B256,input_337010!L:R,7,FALSE),VLOOKUP(tables_337010!C256,input_337010!A:H,8,FALSE))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input_337010!A$2</f>
        <v>337010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IFERROR(VLOOKUP(B257,input_337010!L:R,7,FALSE),VLOOKUP(tables_337010!C257,input_337010!A:H,8,FALSE))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input_337010!A$2</f>
        <v>337010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IFERROR(VLOOKUP(B258,input_337010!L:R,7,FALSE),VLOOKUP(tables_337010!C258,input_337010!A:H,8,FALSE))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input_337010!A$2</f>
        <v>337010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IFERROR(VLOOKUP(B259,input_337010!L:R,7,FALSE),VLOOKUP(tables_337010!C259,input_337010!A:H,8,FALSE))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input_337010!A$2</f>
        <v>337010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IFERROR(VLOOKUP(B260,input_337010!L:R,7,FALSE),VLOOKUP(tables_337010!C260,input_337010!A:H,8,FALSE))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input_337010!A$2</f>
        <v>337010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IFERROR(VLOOKUP(B261,input_337010!L:R,7,FALSE),VLOOKUP(tables_337010!C261,input_337010!A:H,8,FALSE))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input_337010!A$2</f>
        <v>337010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IFERROR(VLOOKUP(B262,input_337010!L:R,7,FALSE),VLOOKUP(tables_337010!C262,input_337010!A:H,8,FALSE))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input_337010!A$2</f>
        <v>337010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IFERROR(VLOOKUP(B263,input_337010!L:R,7,FALSE),VLOOKUP(tables_337010!C263,input_337010!A:H,8,FALSE))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input_337010!A$2</f>
        <v>337010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IFERROR(VLOOKUP(B264,input_337010!L:R,7,FALSE),VLOOKUP(tables_337010!C264,input_337010!A:H,8,FALSE))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input_337010!A$2</f>
        <v>337010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IFERROR(VLOOKUP(B265,input_337010!L:R,7,FALSE),VLOOKUP(tables_337010!C265,input_337010!A:H,8,FALSE))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input_337010!A$2</f>
        <v>337010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IFERROR(VLOOKUP(B266,input_337010!L:R,7,FALSE),VLOOKUP(tables_337010!C266,input_337010!A:H,8,FALSE))</f>
        <v>17460</v>
      </c>
      <c r="P266" s="46">
        <f t="shared" ca="1" si="11"/>
        <v>6.3815789473684213E-3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input_337010!A$2</f>
        <v>337010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IFERROR(VLOOKUP(B267,input_337010!L:R,7,FALSE),VLOOKUP(tables_337010!C267,input_337010!A:H,8,FALSE))</f>
        <v>15714</v>
      </c>
      <c r="P267" s="46">
        <f t="shared" ca="1" si="11"/>
        <v>5.7434210526315791E-3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input_337010!A$2</f>
        <v>337010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IFERROR(VLOOKUP(B268,input_337010!L:R,7,FALSE),VLOOKUP(tables_337010!C268,input_337010!A:H,8,FALSE))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input_337010!A$2</f>
        <v>337010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IFERROR(VLOOKUP(B269,input_337010!L:R,7,FALSE),VLOOKUP(tables_337010!C269,input_337010!A:H,8,FALSE))</f>
        <v>17460</v>
      </c>
      <c r="P269" s="46">
        <f t="shared" ca="1" si="11"/>
        <v>6.3815789473684213E-3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input_337010!A$2</f>
        <v>337010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IFERROR(VLOOKUP(B270,input_337010!L:R,7,FALSE),VLOOKUP(tables_337010!C270,input_337010!A:H,8,FALSE))</f>
        <v>15714</v>
      </c>
      <c r="P270" s="46">
        <f t="shared" ca="1" si="11"/>
        <v>5.7434210526315791E-3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input_337010!A$2</f>
        <v>337010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IFERROR(VLOOKUP(B271,input_337010!L:R,7,FALSE),VLOOKUP(tables_337010!C271,input_337010!A:H,8,FALSE))</f>
        <v>1746</v>
      </c>
      <c r="P271" s="46">
        <f t="shared" ref="P271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input_337010!A$2</f>
        <v>337010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IFERROR(VLOOKUP(B272,input_337010!L:R,7,FALSE),VLOOKUP(tables_337010!C272,input_337010!A:H,8,FALSE))</f>
        <v>2280</v>
      </c>
      <c r="P272" s="46">
        <f t="shared" ref="P272:P277" ca="1" si="17">O272/SUM(O:O)</f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input_337010!A$2</f>
        <v>337010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IFERROR(VLOOKUP(B273,input_337010!L:R,7,FALSE),VLOOKUP(tables_337010!C273,input_337010!A:H,8,FALSE))</f>
        <v>2280</v>
      </c>
      <c r="P273" s="46">
        <f t="shared" ca="1" si="17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input_337010!A$2</f>
        <v>337010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IFERROR(VLOOKUP(B274,input_337010!L:R,7,FALSE),VLOOKUP(tables_337010!C274,input_337010!A:H,8,FALSE))</f>
        <v>26610</v>
      </c>
      <c r="P274" s="46">
        <f t="shared" ca="1" si="17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input_337010!A$2</f>
        <v>337010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IFERROR(VLOOKUP(B275,input_337010!L:R,7,FALSE),VLOOKUP(tables_337010!C275,input_337010!A:H,8,FALSE))</f>
        <v>8310</v>
      </c>
      <c r="P275" s="46">
        <f t="shared" ca="1" si="17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input_337010!A$2</f>
        <v>337010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IFERROR(VLOOKUP(B276,input_337010!L:R,7,FALSE),VLOOKUP(tables_337010!C276,input_337010!A:H,8,FALSE))</f>
        <v>26610</v>
      </c>
      <c r="P276" s="46">
        <f t="shared" ca="1" si="17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input_337010!A$2</f>
        <v>337010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IFERROR(VLOOKUP(B277,input_337010!L:R,7,FALSE),VLOOKUP(tables_337010!C277,input_337010!A:H,8,FALSE))</f>
        <v>8310</v>
      </c>
      <c r="P277" s="46">
        <f t="shared" ca="1" si="17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A3" sqref="A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RIGHT(RIGHT(CELL("filename",A2),LEN(CELL("filename",A2))-FIND("]",CELL("filename",A2))),7)</f>
        <v>7103100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VLOOKUP(L3,tables_settle_7103100!B:C,2,FALSE)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VLOOKUP(L4,tables_settle_7103100!B:C,2,FALSE)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</v>
      </c>
      <c r="D5" t="s">
        <v>207</v>
      </c>
      <c r="E5" s="43">
        <f>(B11-H5)/(F5-I5)</f>
        <v>2.142857142857143E-3</v>
      </c>
      <c r="F5">
        <f>(COUNTIF(tables_settle_7103100!C:C,input_settle_7103100!A26)+COUNTIF(tables_settle_7103100!C:C,input_settle_7103100!A28)+COUNTIF(tables_settle_7103100!C:C,input_settle_7103100!A29))</f>
        <v>14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VLOOKUP(L5,tables_settle_7103100!B:C,2,FALSE)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</v>
      </c>
      <c r="D6" t="s">
        <v>208</v>
      </c>
      <c r="E6" s="77" t="e">
        <f>(B10-H6)/(F6-I6)</f>
        <v>#DIV/0!</v>
      </c>
      <c r="F6">
        <f>(COUNTIF(tables_settle_7103100!C:C,input_settle_7103100!A18)+COUNTIF(tables_settle_7103100!C:C,input_settle_7103100!A20)+COUNTIF(tables_settle_7103100!C:C,input_settle_7103100!A22))</f>
        <v>0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VLOOKUP(L6,tables_settle_7103100!B:C,2,FALSE)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VLOOKUP(L7,tables_settle_7103100!B:C,2,FALSE)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VLOOKUP(L8,tables_settle_7103100!B:C,2,FALSE)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VLOOKUP(L9,tables_settle_7103100!B:C,2,FALSE)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VLOOKUP(L10,tables_settle_7103100!B:C,2,FALSE)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VLOOKUP(L11,tables_settle_7103100!B:C,2,FALSE)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VLOOKUP(L12,tables_settle_7103100!B:C,2,FALSE)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VLOOKUP(L13,tables_settle_7103100!B:C,2,FALSE)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VLOOKUP(L14,tables_settle_7103100!B:C,2,FALSE)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VLOOKUP(L15,tables_settle_7103100!B:C,2,FALSE)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VLOOKUP(L16,tables_settle_7103100!B:C,2,FALSE)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9"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COUNTIF(tables_settle_7103100!C:C,input_settle_7103100!A17)-COUNTIF(Q:Q,A17)</f>
        <v>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VLOOKUP(L17,tables_settle_7103100!B:C,2,FALSE)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89">
        <v>0</v>
      </c>
      <c r="C18" s="74">
        <f t="shared" si="2"/>
        <v>0</v>
      </c>
      <c r="D18" s="75">
        <f t="shared" si="3"/>
        <v>0</v>
      </c>
      <c r="E18">
        <f>COUNTIF(tables_settle_7103100!C:C,input_settle_7103100!A18)-COUNTIF(Q:Q,A18)</f>
        <v>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VLOOKUP(L18,tables_settle_7103100!B:C,2,FALSE)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v>0</v>
      </c>
      <c r="C19" s="74">
        <f t="shared" si="2"/>
        <v>0</v>
      </c>
      <c r="D19" s="75">
        <f t="shared" si="3"/>
        <v>0</v>
      </c>
      <c r="E19">
        <f>COUNTIF(tables_settle_7103100!C:C,input_settle_7103100!A19)-COUNTIF(Q:Q,A19)</f>
        <v>0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VLOOKUP(L19,tables_settle_7103100!B:C,2,FALSE)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v>0</v>
      </c>
      <c r="C20" s="74">
        <f t="shared" si="2"/>
        <v>0</v>
      </c>
      <c r="D20" s="75">
        <f t="shared" si="3"/>
        <v>0</v>
      </c>
      <c r="E20">
        <f>COUNTIF(tables_settle_7103100!C:C,input_settle_7103100!A20)-COUNTIF(Q:Q,A20)</f>
        <v>0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VLOOKUP(L20,tables_settle_7103100!B:C,2,FALSE)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90" t="e">
        <f>E$6*COUNTIF([2]tables_settle_7000100!C:C,[2]input_settle_7000100!A21)*B7</f>
        <v>#DIV/0!</v>
      </c>
      <c r="C21" s="74">
        <f t="shared" si="2"/>
        <v>0</v>
      </c>
      <c r="D21" s="75" t="e">
        <f t="shared" si="3"/>
        <v>#DIV/0!</v>
      </c>
      <c r="E21">
        <f>COUNTIF(tables_settle_7103100!C:C,input_settle_7103100!A21)-COUNTIF(Q:Q,A21)</f>
        <v>0</v>
      </c>
      <c r="F21" s="43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0">
        <v>0</v>
      </c>
      <c r="C22" s="74">
        <f t="shared" si="2"/>
        <v>0</v>
      </c>
      <c r="D22" s="75">
        <f t="shared" si="3"/>
        <v>0</v>
      </c>
      <c r="E22">
        <f>COUNTIF(tables_settle_7103100!C:C,input_settle_7103100!A22)-COUNTIF(Q:Q,A22)</f>
        <v>0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91" t="e">
        <f>B7-B26-B28-B29-B21</f>
        <v>#DIV/0!</v>
      </c>
      <c r="C23" s="74">
        <f t="shared" si="2"/>
        <v>0</v>
      </c>
      <c r="D23" s="75" t="e">
        <f t="shared" si="3"/>
        <v>#DIV/0!</v>
      </c>
      <c r="E23">
        <f>COUNTIF(tables_settle_7103100!C:C,input_settle_7103100!A23)-COUNTIF(Q:Q,A23)</f>
        <v>0</v>
      </c>
      <c r="F23" s="43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42">
        <f>E$5*COUNTIF([2]tables_settle_7000100!C:C,[2]input_settle_7000100!A24)*B5</f>
        <v>0</v>
      </c>
      <c r="C24" s="74">
        <f t="shared" si="2"/>
        <v>0</v>
      </c>
      <c r="D24" s="75">
        <f t="shared" si="3"/>
        <v>0</v>
      </c>
      <c r="E24">
        <f>COUNTIF(tables_settle_7103100!C:C,input_settle_7103100!A24)-COUNTIF(Q:Q,A24)</f>
        <v>0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42">
        <f>E$5*COUNTIF([2]tables_settle_7000100!C:C,[2]input_settle_7000100!A25)*B6</f>
        <v>0</v>
      </c>
      <c r="C25" s="74">
        <f t="shared" si="2"/>
        <v>0</v>
      </c>
      <c r="D25" s="75">
        <f t="shared" si="3"/>
        <v>0</v>
      </c>
      <c r="E25">
        <f>COUNTIF(tables_settle_7103100!C:C,input_settle_7103100!A25)-COUNTIF(Q:Q,A25)</f>
        <v>0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42">
        <f>E$5*COUNTIF([2]tables_settle_7000100!C:C,[2]input_settle_7000100!A26)*B7</f>
        <v>8.5714285714285719E-3</v>
      </c>
      <c r="C26" s="74">
        <f t="shared" si="2"/>
        <v>0</v>
      </c>
      <c r="D26" s="75">
        <f t="shared" si="3"/>
        <v>8.5714285714285719E-3</v>
      </c>
      <c r="E26">
        <f>COUNTIF(tables_settle_7103100!C:C,input_settle_7103100!A26)-COUNTIF(Q:Q,A26)</f>
        <v>4</v>
      </c>
      <c r="F26" s="43">
        <f t="shared" si="7"/>
        <v>2.142857142857143E-3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42">
        <f>E$5*COUNTIF([2]tables_settle_7000100!C:C,[2]input_settle_7000100!A27)*(B6+B5)</f>
        <v>0</v>
      </c>
      <c r="C27" s="74">
        <f t="shared" si="2"/>
        <v>0</v>
      </c>
      <c r="D27" s="75">
        <f t="shared" si="3"/>
        <v>0</v>
      </c>
      <c r="E27">
        <f>COUNTIF(tables_settle_7103100!C:C,input_settle_7103100!A27)-COUNTIF(Q:Q,A27)</f>
        <v>0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42">
        <f>E$5*COUNTIF([2]tables_settle_7000100!C:C,[2]input_settle_7000100!A28)*B7</f>
        <v>6.0000000000000005E-2</v>
      </c>
      <c r="C28" s="74">
        <f t="shared" si="2"/>
        <v>0</v>
      </c>
      <c r="D28" s="75">
        <f t="shared" si="3"/>
        <v>6.0000000000000005E-2</v>
      </c>
      <c r="E28">
        <f>COUNTIF(tables_settle_7103100!C:C,input_settle_7103100!A28)-COUNTIF(Q:Q,A28)</f>
        <v>4</v>
      </c>
      <c r="F28" s="43">
        <f t="shared" si="7"/>
        <v>1.5000000000000001E-2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42">
        <f>E5*COUNTIF([2]tables_settle_7000100!C:C,[2]input_settle_7000100!A29)</f>
        <v>4.2857142857142859E-3</v>
      </c>
      <c r="C29" s="74">
        <f t="shared" si="2"/>
        <v>0</v>
      </c>
      <c r="D29" s="75">
        <f t="shared" si="3"/>
        <v>4.2857142857142859E-3</v>
      </c>
      <c r="E29">
        <f>COUNTIF(tables_settle_7103100!C:C,input_settle_7103100!A29)-COUNTIF(Q:Q,A29)</f>
        <v>6</v>
      </c>
      <c r="F29" s="43">
        <f>IFERROR(B29/E29,0)</f>
        <v>7.1428571428571429E-4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42">
        <v>0</v>
      </c>
      <c r="C30" s="74">
        <f t="shared" si="2"/>
        <v>0</v>
      </c>
      <c r="D30" s="75">
        <f t="shared" si="3"/>
        <v>0</v>
      </c>
      <c r="E30">
        <f>COUNTIF(tables_settle_7103100!C:C,input_settle_7103100!A30)-COUNTIF(Q:Q,A30)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42">
        <v>0</v>
      </c>
      <c r="C31" s="74">
        <f t="shared" si="2"/>
        <v>0</v>
      </c>
      <c r="D31" s="75">
        <f t="shared" si="3"/>
        <v>0</v>
      </c>
      <c r="E31">
        <f>COUNTIF(tables_settle_7103100!C:C,input_settle_7103100!A31)-COUNTIF(Q:Q,A31)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 t="e">
        <f>SUM(B17:B31)</f>
        <v>#DIV/0!</v>
      </c>
      <c r="C32" s="41">
        <f>SUM(C19:C31)</f>
        <v>0</v>
      </c>
      <c r="D32" s="42" t="e">
        <f t="shared" si="3"/>
        <v>#DIV/0!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>SUMIF(tables_settle_7103100!C:C,input_settle_7103100!A40,tables_settle_7103100!O:O)</f>
        <v>0</v>
      </c>
      <c r="C40" s="54">
        <f t="shared" ref="C40:C46" si="9">B40/B$47</f>
        <v>0</v>
      </c>
      <c r="E40">
        <v>3</v>
      </c>
      <c r="F40">
        <f>SUMIF(tables_settle_7103100!J:J,input_settle_7103100!E40,tables_settle_7103100!O:O)</f>
        <v>0</v>
      </c>
      <c r="G40" t="e">
        <f>F40/A36</f>
        <v>#DIV/0!</v>
      </c>
    </row>
    <row r="41" spans="1:7" x14ac:dyDescent="0.15">
      <c r="A41" s="32" t="s">
        <v>107</v>
      </c>
      <c r="B41">
        <f>SUMIF(tables_settle_7103100!C:C,input_settle_7103100!A41,tables_settle_7103100!O:O)</f>
        <v>0</v>
      </c>
      <c r="C41" s="54">
        <f t="shared" si="9"/>
        <v>0</v>
      </c>
      <c r="E41">
        <v>4</v>
      </c>
      <c r="F41">
        <f>SUMIF(tables_settle_7103100!J:J,input_settle_7103100!E41,tables_settle_7103100!O:O)</f>
        <v>0</v>
      </c>
      <c r="G41" t="e">
        <f>F41/A36</f>
        <v>#DIV/0!</v>
      </c>
    </row>
    <row r="42" spans="1:7" x14ac:dyDescent="0.15">
      <c r="A42" s="32" t="s">
        <v>112</v>
      </c>
      <c r="B42">
        <f>SUMIF(tables_settle_7103100!C:C,input_settle_7103100!A42,tables_settle_7103100!O:O)</f>
        <v>0</v>
      </c>
      <c r="C42" s="54">
        <f t="shared" si="9"/>
        <v>0</v>
      </c>
      <c r="E42">
        <v>5</v>
      </c>
      <c r="F42">
        <f>SUMIF(tables_settle_7103100!J:J,input_settle_7103100!E42,tables_settle_7103100!O:O)</f>
        <v>140</v>
      </c>
      <c r="G42" t="e">
        <f>F42/A36</f>
        <v>#DIV/0!</v>
      </c>
    </row>
    <row r="43" spans="1:7" x14ac:dyDescent="0.15">
      <c r="A43" s="32" t="s">
        <v>113</v>
      </c>
      <c r="B43">
        <f>SUMIF(tables_settle_7103100!C:C,input_settle_7103100!A43,tables_settle_7103100!O:O)</f>
        <v>0</v>
      </c>
      <c r="C43" s="54">
        <f t="shared" si="9"/>
        <v>0</v>
      </c>
      <c r="F43" s="55"/>
    </row>
    <row r="44" spans="1:7" x14ac:dyDescent="0.15">
      <c r="A44" s="32" t="s">
        <v>108</v>
      </c>
      <c r="B44">
        <f>SUMIF(tables_settle_7103100!C:C,input_settle_7103100!A44,tables_settle_7103100!O:O)</f>
        <v>0</v>
      </c>
      <c r="C44" s="54">
        <f t="shared" si="9"/>
        <v>0</v>
      </c>
      <c r="E44" t="s">
        <v>55</v>
      </c>
      <c r="F44" s="55"/>
    </row>
    <row r="45" spans="1:7" x14ac:dyDescent="0.15">
      <c r="A45" s="32" t="s">
        <v>114</v>
      </c>
      <c r="B45">
        <f>SUMIF(tables_settle_7103100!C:C,input_settle_7103100!A45,tables_settle_7103100!O:O)</f>
        <v>40</v>
      </c>
      <c r="C45" s="54">
        <f t="shared" si="9"/>
        <v>1</v>
      </c>
      <c r="E45" t="s">
        <v>210</v>
      </c>
      <c r="F45" s="55">
        <f>SUMIF(tables_settle_7103100!I:I,input_settle_7103100!E45,tables_settle_7103100!P:P)</f>
        <v>0</v>
      </c>
    </row>
    <row r="46" spans="1:7" x14ac:dyDescent="0.15">
      <c r="A46" s="32" t="s">
        <v>115</v>
      </c>
      <c r="B46">
        <f>SUMIF(tables_settle_7103100!C:C,input_settle_7103100!A46,tables_settle_7103100!O:O)</f>
        <v>0</v>
      </c>
      <c r="C46" s="54">
        <f t="shared" si="9"/>
        <v>0</v>
      </c>
      <c r="E46" t="s">
        <v>211</v>
      </c>
      <c r="F46" s="55">
        <f>SUMIF(tables_settle_7103100!I:I,input_settle_7103100!E46,tables_settle_7103100!P:P)</f>
        <v>0.21428571428571427</v>
      </c>
    </row>
    <row r="47" spans="1:7" x14ac:dyDescent="0.15">
      <c r="A47" s="39" t="s">
        <v>60</v>
      </c>
      <c r="B47">
        <f>SUM(B40:B46)</f>
        <v>40</v>
      </c>
      <c r="C47" s="55">
        <f>SUM(C40:C46)</f>
        <v>1</v>
      </c>
      <c r="E47" t="s">
        <v>212</v>
      </c>
      <c r="F47" s="55">
        <f>SUMIF(tables_settle_7103100!I:I,input_settle_7103100!E47,tables_settle_7103100!P:P)</f>
        <v>7.1428571428571425E-2</v>
      </c>
    </row>
    <row r="48" spans="1:7" x14ac:dyDescent="0.15">
      <c r="E48" t="s">
        <v>213</v>
      </c>
      <c r="F48" s="55">
        <f>SUMIF(tables_settle_7103100!I:I,input_settle_7103100!E48,tables_settle_7103100!P:P)</f>
        <v>0.71428571428571408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tabSelected="1" zoomScale="75" zoomScaleNormal="75" zoomScalePageLayoutView="75" workbookViewId="0">
      <pane ySplit="1" topLeftCell="A2" activePane="bottomLeft" state="frozen"/>
      <selection activeCell="E6" sqref="E6"/>
      <selection pane="bottomLeft" activeCell="F19" sqref="F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233</v>
      </c>
      <c r="B1" s="15" t="s">
        <v>1</v>
      </c>
      <c r="C1" s="3" t="s">
        <v>31</v>
      </c>
      <c r="D1" s="3" t="s">
        <v>234</v>
      </c>
      <c r="E1" s="3" t="s">
        <v>194</v>
      </c>
      <c r="F1" s="3" t="s">
        <v>195</v>
      </c>
      <c r="G1" s="3" t="s">
        <v>235</v>
      </c>
      <c r="H1" s="3" t="s">
        <v>236</v>
      </c>
      <c r="I1" s="3" t="s">
        <v>237</v>
      </c>
      <c r="J1" s="3" t="s">
        <v>238</v>
      </c>
      <c r="K1" s="3" t="s">
        <v>239</v>
      </c>
      <c r="L1" s="3" t="s">
        <v>240</v>
      </c>
      <c r="M1" s="3" t="s">
        <v>241</v>
      </c>
      <c r="N1" s="3" t="s">
        <v>59</v>
      </c>
      <c r="O1" s="15" t="s">
        <v>242</v>
      </c>
      <c r="P1" s="3" t="s">
        <v>64</v>
      </c>
      <c r="Q1" s="15" t="s">
        <v>243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7103100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IF(COUNTIF([3]R6追加前!A:A,B2)=0,IF(I2="PremiumSS","R5only","R3less"),"")</f>
        <v/>
      </c>
      <c r="F2" s="7" t="str">
        <f>IF(COUNTIF([3]R6開放!A:A,B2)&gt;0,"R6release","")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 t="shared" ref="P2:P9" si="2">O2/SUM(O:O)</f>
        <v>7.1428571428571425E-2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7103100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IF(COUNTIF([3]R6追加前!A:A,B3)=0,IF(I3="PremiumSS","R5only","R3less"),"")</f>
        <v/>
      </c>
      <c r="F3" s="7" t="str">
        <f>IF(COUNTIF([3]R6開放!A:A,B3)&gt;0,"R6release","")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si="2"/>
        <v>7.1428571428571425E-2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7103100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IF(COUNTIF([3]R6追加前!A:A,B4)=0,IF(I4="PremiumSS","R5only","R3less"),"")</f>
        <v/>
      </c>
      <c r="F4" s="7" t="str">
        <f>IF(COUNTIF([3]R6開放!A:A,B4)&gt;0,"R6release","")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2"/>
        <v>7.1428571428571425E-2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7103100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IF(COUNTIF([3]R6追加前!A:A,B5)=0,IF(I5="PremiumSS","R5only","R3less"),"")</f>
        <v/>
      </c>
      <c r="F5" s="7" t="str">
        <f>IF(COUNTIF([3]R6開放!A:A,B5)&gt;0,"R6release","")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2"/>
        <v>7.1428571428571425E-2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7103100</v>
      </c>
      <c r="B6" s="60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IF(COUNTIF([3]R6追加前!A:A,B6)=0,IF(I6="PremiumSS","R5only","R3less"),"")</f>
        <v>R5only</v>
      </c>
      <c r="F6" s="7" t="str">
        <f>IF(COUNTIF([3]R6開放!A:A,B6)&gt;0,"R6release","")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2"/>
        <v>7.1428571428571425E-2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7103100</v>
      </c>
      <c r="B7" s="60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IF(COUNTIF([3]R6追加前!A:A,B7)=0,IF(I7="PremiumSS","R5only","R3less"),"")</f>
        <v>R5only</v>
      </c>
      <c r="F7" s="7" t="str">
        <f>IF(COUNTIF([3]R6開放!A:A,B7)&gt;0,"R6release","")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2"/>
        <v>7.1428571428571425E-2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7103100</v>
      </c>
      <c r="B8" s="60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IF(COUNTIF([3]R6追加前!A:A,B8)=0,IF(I8="PremiumSS","R5only","R3less"),"")</f>
        <v/>
      </c>
      <c r="F8" s="7" t="str">
        <f>IF(COUNTIF([3]R6開放!A:A,B8)&gt;0,"R6release","")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2"/>
        <v>7.1428571428571425E-2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7103100</v>
      </c>
      <c r="B9" s="60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IF(COUNTIF([3]R6追加前!A:A,B9)=0,IF(I9="PremiumSS","R5only","R3less"),"")</f>
        <v/>
      </c>
      <c r="F9" s="7" t="str">
        <f>IF(COUNTIF([3]R6開放!A:A,B9)&gt;0,"R6release","")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10</v>
      </c>
      <c r="P9" s="46">
        <f t="shared" si="2"/>
        <v>7.1428571428571425E-2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7103100</v>
      </c>
      <c r="B10" s="60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IF(COUNTIF([3]R6追加前!A:A,B10)=0,IF(I10="PremiumSS","R5only","R3less"),"")</f>
        <v>R5only</v>
      </c>
      <c r="F10" s="7" t="str">
        <f>IF(COUNTIF([3]R6開放!A:A,B10)&gt;0,"R6release","")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ref="P10:P11" si="5">O10/SUM(O:O)</f>
        <v>7.1428571428571425E-2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7103100</v>
      </c>
      <c r="B11" s="60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IF(COUNTIF([3]R6追加前!A:A,B11)=0,IF(I11="PremiumSS","R5only","R3less"),"")</f>
        <v>R5only</v>
      </c>
      <c r="F11" s="7" t="str">
        <f>IF(COUNTIF([3]R6開放!A:A,B11)&gt;0,"R6release","")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10</v>
      </c>
      <c r="P11" s="46">
        <f t="shared" si="5"/>
        <v>7.1428571428571425E-2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7103100</v>
      </c>
      <c r="B12" s="60">
        <v>404</v>
      </c>
      <c r="C12" s="7" t="str">
        <f t="shared" ref="C12:C13" si="6">D12&amp;J12&amp;E12&amp;F12&amp;G12</f>
        <v>PremiumSS5</v>
      </c>
      <c r="D12" s="7" t="str">
        <f t="shared" ref="D12:D13" si="7">IF(I12="PremiumSS",I12,IF(I12="PremiumSSS",I12,IF(I12="PremiumW",I12,"Premium")))</f>
        <v>PremiumSS</v>
      </c>
      <c r="E12" s="7" t="str">
        <f>IF(COUNTIF([3]R6追加前!A:A,B12)=0,IF(I12="PremiumSS","R5only","R3less"),"")</f>
        <v/>
      </c>
      <c r="F12" s="7" t="str">
        <f>IF(COUNTIF([3]R6開放!A:A,B12)&gt;0,"R6release","")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5">
        <v>10</v>
      </c>
      <c r="P12" s="46">
        <f t="shared" ref="P12:P13" si="8">O12/SUM(O:O)</f>
        <v>7.1428571428571425E-2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7103100</v>
      </c>
      <c r="B13" s="60">
        <v>399</v>
      </c>
      <c r="C13" s="7" t="str">
        <f t="shared" si="6"/>
        <v>PremiumSS5</v>
      </c>
      <c r="D13" s="7" t="str">
        <f t="shared" si="7"/>
        <v>PremiumSS</v>
      </c>
      <c r="E13" s="7" t="str">
        <f>IF(COUNTIF([3]R6追加前!A:A,B13)=0,IF(I13="PremiumSS","R5only","R3less"),"")</f>
        <v/>
      </c>
      <c r="F13" s="7" t="str">
        <f>IF(COUNTIF([3]R6開放!A:A,B13)&gt;0,"R6release","")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10</v>
      </c>
      <c r="P13" s="46">
        <f t="shared" si="8"/>
        <v>7.1428571428571425E-2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7103100</v>
      </c>
      <c r="B14" s="60">
        <v>866</v>
      </c>
      <c r="C14" s="7" t="str">
        <f t="shared" ref="C14:C15" si="9">D14&amp;J14&amp;E14&amp;F14&amp;G14</f>
        <v>PremiumSS5R5only</v>
      </c>
      <c r="D14" s="7" t="str">
        <f t="shared" ref="D14:D15" si="10">IF(I14="PremiumSS",I14,IF(I14="PremiumSSS",I14,IF(I14="PremiumW",I14,"Premium")))</f>
        <v>PremiumSS</v>
      </c>
      <c r="E14" s="7" t="str">
        <f>IF(COUNTIF([3]R6追加前!A:A,B14)=0,IF(I14="PremiumSS","R5only","R3less"),"")</f>
        <v>R5only</v>
      </c>
      <c r="F14" s="7" t="str">
        <f>IF(COUNTIF([3]R6開放!A:A,B14)&gt;0,"R6release","")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10</v>
      </c>
      <c r="P14" s="46">
        <f t="shared" ref="P14:P15" si="11">O14/SUM(O:O)</f>
        <v>7.1428571428571425E-2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7103100</v>
      </c>
      <c r="B15" s="60">
        <v>868</v>
      </c>
      <c r="C15" s="7" t="str">
        <f t="shared" si="9"/>
        <v>PremiumSS5R5only</v>
      </c>
      <c r="D15" s="7" t="str">
        <f t="shared" si="10"/>
        <v>PremiumSS</v>
      </c>
      <c r="E15" s="7" t="str">
        <f>IF(COUNTIF([3]R6追加前!A:A,B15)=0,IF(I15="PremiumSS","R5only","R3less"),"")</f>
        <v>R5only</v>
      </c>
      <c r="F15" s="7" t="str">
        <f>IF(COUNTIF([3]R6開放!A:A,B15)&gt;0,"R6release","")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10</v>
      </c>
      <c r="P15" s="46">
        <f t="shared" si="11"/>
        <v>7.1428571428571425E-2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7" spans="11:11" ht="21" customHeight="1" x14ac:dyDescent="0.15">
      <c r="K17" s="1"/>
    </row>
    <row r="18" spans="11:11" ht="21" customHeight="1" x14ac:dyDescent="0.15">
      <c r="K18" s="1"/>
    </row>
    <row r="19" spans="11:11" ht="21" customHeight="1" x14ac:dyDescent="0.15">
      <c r="K19" s="1"/>
    </row>
    <row r="20" spans="11:11" ht="21" customHeight="1" x14ac:dyDescent="0.15">
      <c r="K20" s="1"/>
    </row>
    <row r="21" spans="11:11" ht="21" customHeight="1" x14ac:dyDescent="0.15">
      <c r="K21" s="1"/>
    </row>
    <row r="22" spans="11:11" ht="21" customHeight="1" x14ac:dyDescent="0.15">
      <c r="K22" s="1"/>
    </row>
    <row r="23" spans="11:11" ht="21" customHeight="1" x14ac:dyDescent="0.15">
      <c r="K23" s="1"/>
    </row>
    <row r="24" spans="11:11" ht="21" customHeight="1" x14ac:dyDescent="0.15">
      <c r="K24" s="1"/>
    </row>
    <row r="25" spans="11:11" ht="21" customHeight="1" x14ac:dyDescent="0.15">
      <c r="K25" s="1"/>
    </row>
    <row r="26" spans="11:11" ht="21" customHeight="1" x14ac:dyDescent="0.15">
      <c r="K26" s="1"/>
    </row>
    <row r="27" spans="11:11" ht="21" customHeight="1" x14ac:dyDescent="0.15">
      <c r="K27" s="1"/>
    </row>
    <row r="28" spans="11:11" ht="21" customHeight="1" x14ac:dyDescent="0.15">
      <c r="K28" s="1"/>
    </row>
    <row r="29" spans="11:11" ht="21" customHeight="1" x14ac:dyDescent="0.15">
      <c r="K29" s="1"/>
    </row>
    <row r="30" spans="11:11" ht="21" customHeight="1" x14ac:dyDescent="0.15">
      <c r="K30" s="1"/>
    </row>
    <row r="31" spans="11:11" ht="21" customHeight="1" x14ac:dyDescent="0.15">
      <c r="K31" s="1"/>
    </row>
    <row r="32" spans="11:11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input_337010</vt:lpstr>
      <vt:lpstr>tables_337010</vt:lpstr>
      <vt:lpstr>input_settle_7103100</vt:lpstr>
      <vt:lpstr>tables_settle_7103100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2016-05-17T09:27:21Z</dcterms:modified>
</cp:coreProperties>
</file>