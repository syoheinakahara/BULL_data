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23100" sheetId="157" r:id="rId4"/>
    <sheet name="tables_423100" sheetId="158" r:id="rId5"/>
    <sheet name="tables_settle_423105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tables_423100!$A$1:$V$294</definedName>
    <definedName name="_xlnm._FilterDatabase" localSheetId="5" hidden="1">tables_settle_423105!$A$1:$V$1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6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E27" i="157"/>
  <c r="B27" i="157"/>
  <c r="E19" i="157"/>
  <c r="B19" i="157"/>
  <c r="E24" i="157"/>
  <c r="B24" i="157"/>
  <c r="B17" i="157"/>
  <c r="E18" i="157"/>
  <c r="B18" i="157"/>
  <c r="E22" i="157"/>
  <c r="B22" i="157"/>
  <c r="E25" i="157"/>
  <c r="B25" i="157"/>
  <c r="B32" i="157"/>
  <c r="A2" i="157"/>
  <c r="A36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R3" i="157"/>
  <c r="O315" i="158"/>
  <c r="R4" i="157"/>
  <c r="O316" i="158"/>
  <c r="R5" i="157"/>
  <c r="O317" i="158"/>
  <c r="R6" i="157"/>
  <c r="O318" i="158"/>
  <c r="R7" i="157"/>
  <c r="O319" i="158"/>
  <c r="F41" i="157"/>
  <c r="G41" i="157"/>
  <c r="C3" i="103"/>
  <c r="E3" i="103"/>
  <c r="F42" i="157"/>
  <c r="G42" i="157"/>
  <c r="F315" i="158"/>
  <c r="H315" i="158"/>
  <c r="K315" i="158"/>
  <c r="L315" i="158"/>
  <c r="M315" i="158"/>
  <c r="N315" i="158"/>
  <c r="F316" i="158"/>
  <c r="F317" i="158"/>
  <c r="F318" i="158"/>
  <c r="F319" i="158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F310" i="158"/>
  <c r="H310" i="158"/>
  <c r="K310" i="158"/>
  <c r="L310" i="158"/>
  <c r="M310" i="158"/>
  <c r="N310" i="158"/>
  <c r="F311" i="158"/>
  <c r="F312" i="158"/>
  <c r="F313" i="158"/>
  <c r="F314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2" i="159"/>
  <c r="D2" i="159"/>
  <c r="E2" i="159"/>
  <c r="I3" i="159"/>
  <c r="D3" i="159"/>
  <c r="E3" i="159"/>
  <c r="I4" i="159"/>
  <c r="D4" i="159"/>
  <c r="E4" i="159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C4" i="103"/>
  <c r="E4" i="103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<sst xmlns="http://schemas.openxmlformats.org/spreadsheetml/2006/main" count="470" uniqueCount="284">
  <si>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</si>
  <si>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</si>
  <si>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</si>
  <si>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</si>
  <si>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</si>
  <si>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</si>
  <si>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</si>
  <si>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</si>
  <si>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</si>
  <si>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</si>
  <si>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</si>
  <si>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</si>
  <si>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</si>
  <si>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</si>
  <si>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</si>
  <si>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</si>
  <si>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</si>
  <si>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</si>
  <si>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</si>
  <si>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</si>
  <si>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</si>
  <si>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</si>
  <si>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</si>
  <si>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</si>
  <si>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</si>
  <si>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</si>
  <si>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</si>
  <si>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</si>
  <si>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</si>
  <si>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</si>
  <si>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</si>
  <si>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</si>
  <si>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</si>
  <si>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</si>
  <si>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</si>
  <si>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</si>
  <si>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</si>
  <si>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</si>
  <si>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</si>
  <si>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</si>
  <si>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</si>
  <si>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</si>
  <si>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</si>
  <si>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</si>
  <si>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</si>
  <si>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</si>
  <si>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</si>
  <si>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</si>
  <si>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</si>
  <si>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</si>
  <si>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</si>
  <si>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</si>
  <si>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</si>
  <si>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</si>
  <si>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</si>
  <si>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</si>
  <si>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</si>
  <si>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</si>
  <si>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</si>
  <si>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</si>
  <si>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</si>
  <si>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</si>
  <si>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</si>
  <si>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</si>
  <si>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</si>
  <si>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</si>
  <si>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</si>
  <si>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</si>
  <si>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</si>
  <si>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</si>
  <si>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</si>
  <si>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</si>
  <si>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</si>
  <si>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</si>
  <si>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</si>
  <si>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</si>
  <si>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</si>
  <si>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</si>
  <si>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</si>
  <si>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</si>
  <si>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</si>
  <si>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</si>
  <si>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</si>
  <si>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</si>
  <si>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</si>
  <si>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</si>
  <si>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</si>
  <si>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</si>
  <si>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</si>
  <si>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</si>
  <si>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</si>
  <si>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</si>
  <si>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</si>
  <si>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</si>
  <si>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</si>
  <si>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</si>
  <si>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</si>
  <si>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</si>
  <si>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</si>
  <si>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</si>
  <si>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</si>
  <si>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</si>
  <si>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</si>
  <si>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</si>
  <si>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</si>
  <si>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</si>
  <si>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</si>
  <si>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</si>
  <si>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</si>
  <si>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</si>
  <si>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</si>
  <si>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</si>
  <si>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</si>
  <si>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</si>
  <si>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</si>
  <si>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</si>
  <si>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</si>
  <si>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</si>
  <si>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</si>
  <si>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</si>
  <si>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</si>
  <si>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</si>
  <si>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</si>
  <si>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</si>
  <si>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</si>
  <si>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</si>
  <si>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</si>
  <si>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</si>
  <si>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</si>
  <si>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</si>
  <si>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</si>
  <si>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</si>
  <si>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</si>
  <si>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</si>
  <si>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</si>
  <si>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</si>
  <si>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</si>
  <si>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</si>
  <si>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</si>
  <si>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</si>
  <si>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</si>
  <si>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</si>
  <si>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</si>
  <si>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</si>
  <si>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</si>
  <si>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</si>
  <si>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</si>
  <si>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</si>
  <si>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</si>
  <si>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</si>
  <si>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</si>
  <si>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</si>
  <si>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</si>
  <si>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</si>
  <si>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</si>
  <si>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</si>
  <si>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</si>
  <si>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</si>
  <si>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</si>
  <si>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</si>
  <si>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</si>
  <si>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</si>
  <si>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</si>
  <si>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</si>
  <si>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</si>
  <si>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</si>
  <si>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</si>
  <si>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</si>
  <si>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</si>
  <si>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</si>
  <si>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</si>
  <si>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</si>
  <si>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</si>
  <si>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</si>
  <si>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</si>
  <si>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</si>
  <si>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</si>
  <si>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</si>
  <si>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</si>
  <si>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</si>
  <si>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</si>
  <si>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</si>
  <si>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</si>
  <si>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</si>
  <si>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</si>
  <si>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</si>
  <si>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</si>
  <si>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</si>
  <si>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</si>
  <si>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</si>
  <si>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</si>
  <si>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</si>
  <si>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</si>
  <si>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</si>
  <si>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</si>
  <si>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</si>
  <si>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</si>
  <si>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</si>
  <si>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</si>
  <si>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</si>
  <si>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</si>
  <si>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</si>
  <si>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</si>
  <si>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</si>
  <si>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</si>
  <si>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</si>
  <si>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</si>
  <si>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</si>
  <si>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</si>
  <si>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</si>
  <si>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</si>
  <si>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</si>
  <si>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</si>
  <si>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</si>
  <si>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</si>
  <si>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</si>
  <si>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</si>
  <si>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</si>
  <si>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</si>
  <si>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</si>
  <si>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</si>
  <si>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</si>
  <si>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</si>
  <si>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</si>
  <si>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</si>
  <si>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</si>
  <si>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</si>
  <si>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</si>
  <si>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</si>
  <si>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</si>
  <si>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</si>
  <si>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</si>
  <si>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</si>
  <si>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</si>
  <si>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</si>
  <si>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</si>
  <si>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</si>
  <si>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</si>
  <si>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</si>
  <si>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</si>
  <si>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</si>
  <si>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</si>
  <si>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</si>
  <si>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</si>
  <si>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</si>
  <si>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</si>
  <si>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</si>
  <si>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gacha_select_tables_</t>
    <phoneticPr fontId="21"/>
  </si>
  <si>
    <t>tables_422011</t>
  </si>
  <si>
    <t>tables_423100</t>
    <phoneticPr fontId="21"/>
  </si>
  <si>
    <t>old</t>
    <phoneticPr fontId="21"/>
  </si>
  <si>
    <t>gacha_settle_tables_</t>
    <phoneticPr fontId="21"/>
  </si>
  <si>
    <t>.tmp</t>
    <phoneticPr fontId="54"/>
  </si>
  <si>
    <t>tables_settle_423105</t>
    <phoneticPr fontId="21"/>
  </si>
  <si>
    <t>old</t>
    <phoneticPr fontId="21"/>
  </si>
  <si>
    <t>423102</t>
    <phoneticPr fontId="21"/>
  </si>
  <si>
    <t>423103</t>
    <phoneticPr fontId="21"/>
  </si>
  <si>
    <t>423104</t>
    <phoneticPr fontId="21"/>
  </si>
  <si>
    <t>4231021</t>
  </si>
  <si>
    <t>4231041</t>
  </si>
  <si>
    <t>unit</t>
    <phoneticPr fontId="21"/>
  </si>
  <si>
    <t>unit</t>
    <phoneticPr fontId="21"/>
  </si>
  <si>
    <t>unit</t>
    <phoneticPr fontId="21"/>
  </si>
  <si>
    <t>unit</t>
    <phoneticPr fontId="21"/>
  </si>
  <si>
    <t>null</t>
    <phoneticPr fontId="21"/>
  </si>
  <si>
    <t>ja</t>
  </si>
  <si>
    <t>bit</t>
    <phoneticPr fontId="21"/>
  </si>
  <si>
    <t>1,000,000 ビット</t>
    <phoneticPr fontId="21"/>
  </si>
  <si>
    <t>リトルハンプティ × 1</t>
    <phoneticPr fontId="21"/>
  </si>
  <si>
    <t>ギガ攻めの果実 × 5</t>
    <phoneticPr fontId="21"/>
  </si>
  <si>
    <t>ギガ生命の果実 × 5</t>
    <phoneticPr fontId="21"/>
  </si>
  <si>
    <t>ギガ癒しの果実 × 5</t>
    <phoneticPr fontId="21"/>
  </si>
  <si>
    <t>ギガ秘術の果実 × 2</t>
    <phoneticPr fontId="21"/>
  </si>
  <si>
    <t>ニューフェイスガチャ特典</t>
    <phoneticPr fontId="21"/>
  </si>
  <si>
    <t>STEP2特典としてリトルハンプティ1体をプレゼント！</t>
    <phoneticPr fontId="21"/>
  </si>
  <si>
    <t>STEP3特典としてギガ攻めの果実5体をプレゼント！</t>
    <phoneticPr fontId="21"/>
  </si>
  <si>
    <t>STEP3特典としてギガ生命の果実5体をプレゼント！</t>
    <phoneticPr fontId="21"/>
  </si>
  <si>
    <t>STEP3特典としてギガ癒しの果実5体をプレゼント！</t>
    <phoneticPr fontId="21"/>
  </si>
  <si>
    <t>STEP3特典としてギガ秘術の果実2体をプレゼント！</t>
    <phoneticPr fontId="21"/>
  </si>
  <si>
    <t>STEP4特典として1,000,000 bit をプレゼント！</t>
    <phoneticPr fontId="21"/>
  </si>
  <si>
    <t>4231031</t>
    <phoneticPr fontId="21"/>
  </si>
  <si>
    <t>4231032</t>
    <phoneticPr fontId="21"/>
  </si>
  <si>
    <t>4231033</t>
    <phoneticPr fontId="21"/>
  </si>
  <si>
    <t>4231034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</si>
</sst>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0" fontId="26" fillId="0" borderId="1" xfId="2" applyFont="1" applyFill="1" applyBorder="1" applyAlignment="1">
      <alignment horizontal="left" vertical="center"/>
    </xf>
    <xf numFmtId="0" fontId="26" fillId="0" borderId="1" xfId="2" applyFont="1" applyFill="1" applyBorder="1" applyAlignment="1">
      <alignment vertical="center"/>
    </xf>
    <xf numFmtId="177" fontId="0" fillId="0" borderId="0" xfId="0" applyNumberFormat="1"/>
    <xf numFmtId="180" fontId="0" fillId="4" borderId="1" xfId="0" applyNumberForma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1181</v>
          </cell>
          <cell r="B1161" t="str">
            <v>ja</v>
          </cell>
          <cell r="C1161" t="str">
            <v>永存の究極論 ユークリッド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blue</v>
          </cell>
          <cell r="I1161">
            <v>6</v>
          </cell>
          <cell r="J1161" t="str">
            <v>PremiumSSS</v>
          </cell>
          <cell r="K1161" t="str">
            <v>balance</v>
          </cell>
          <cell r="L1161" t="str">
            <v>バランスタイプ</v>
          </cell>
          <cell r="M1161" t="str">
            <v>academia</v>
          </cell>
        </row>
        <row r="1162">
          <cell r="A1162">
            <v>1184</v>
          </cell>
          <cell r="B1162" t="str">
            <v>ja</v>
          </cell>
          <cell r="C1162" t="str">
            <v>電装の烙雷芯 ファラデー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6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1185</v>
          </cell>
          <cell r="B1163" t="str">
            <v>ja</v>
          </cell>
          <cell r="C1163" t="str">
            <v>兆銀河団の星観者 ハーシェル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heal</v>
          </cell>
          <cell r="L1163" t="str">
            <v>回復タイプ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11" sqref="A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254</v>
      </c>
      <c r="B2" s="61" t="s">
        <v>110</v>
      </c>
      <c r="C2" s="50" t="str">
        <f t="shared" ref="C2:C3" si="0">RIGHT(F2,6)</f>
        <v>423100</v>
      </c>
      <c r="D2" s="19" t="s">
        <v>45</v>
      </c>
      <c r="E2" s="17" t="str">
        <f t="shared" ref="E2:E3" si="1">B2&amp;C2&amp;D2</f>
        <v>gacha_select_tables_423100.tmp</v>
      </c>
      <c r="F2" s="94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250</v>
      </c>
      <c r="B3" s="96" t="s">
        <v>251</v>
      </c>
      <c r="C3" s="94" t="str">
        <f t="shared" si="0"/>
        <v>423105</v>
      </c>
      <c r="D3" s="19" t="s">
        <v>252</v>
      </c>
      <c r="E3" s="17" t="str">
        <f t="shared" si="1"/>
        <v>gacha_settle_tables_423105.tmp</v>
      </c>
      <c r="F3" s="94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6" t="s">
        <v>241</v>
      </c>
      <c r="B4" s="92" t="s">
        <v>247</v>
      </c>
      <c r="C4" s="50" t="str">
        <f>RIGHT(F4,6)</f>
        <v>422011</v>
      </c>
      <c r="D4" s="19" t="s">
        <v>45</v>
      </c>
      <c r="E4" s="17" t="str">
        <f>B4&amp;C4&amp;D4</f>
        <v>gacha_select_tables_422011.tmp</v>
      </c>
      <c r="F4" s="93" t="s">
        <v>248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ref="C5:C7" si="2">RIGHT(F5,6)</f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3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5" t="s">
        <v>254</v>
      </c>
      <c r="B8" s="27" t="s">
        <v>50</v>
      </c>
      <c r="C8" s="32">
        <v>423</v>
      </c>
      <c r="D8" s="19" t="s">
        <v>46</v>
      </c>
      <c r="E8" s="17" t="str">
        <f t="shared" ref="E8:E10" si="6">B8&amp;C8&amp;D8</f>
        <v>gacha_bonus_tables_423.tmp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5" t="s">
        <v>246</v>
      </c>
      <c r="B9" s="19" t="s">
        <v>48</v>
      </c>
      <c r="C9" s="32">
        <v>423</v>
      </c>
      <c r="D9" s="19" t="s">
        <v>46</v>
      </c>
      <c r="E9" s="17" t="str">
        <f t="shared" si="6"/>
        <v>gifts_tmp_423.tmp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5" t="s">
        <v>254</v>
      </c>
      <c r="B10" s="19" t="s">
        <v>49</v>
      </c>
      <c r="C10" s="32">
        <v>423</v>
      </c>
      <c r="D10" s="19" t="s">
        <v>46</v>
      </c>
      <c r="E10" s="17" t="str">
        <f t="shared" si="6"/>
        <v>gifts_i18n_423.tmp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workbookViewId="0">
      <selection activeCell="B6" sqref="B6"/>
    </sheetView>
  </sheetViews>
  <sheetFormatPr baseColWidth="12" defaultRowHeight="14" x14ac:dyDescent="0.15"/>
  <cols>
    <col min="1" max="2" width="24.19921875" bestFit="1" customWidth="1"/>
    <col min="3" max="3" width="21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1137</v>
      </c>
      <c r="M3" s="37" t="str">
        <f>VLOOKUP(L3,[1]characters!$A:$C,3,FALSE)</f>
        <v>諸葛亮</v>
      </c>
      <c r="N3" s="63">
        <v>7.0000000000000001E-3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VLOOKUP(L3,tables_423100!B:C,2,FALSE)</f>
        <v>PremiumSS5R5only</v>
      </c>
      <c r="R3" s="62">
        <f t="shared" ref="R3:R20" si="1">N3*A$36</f>
        <v>37800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1139</v>
      </c>
      <c r="M4" s="37" t="str">
        <f>VLOOKUP(L4,[1]characters!$A:$C,3,FALSE)</f>
        <v>趙雲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VLOOKUP(L4,tables_423100!B:C,2,FALSE)</f>
        <v>PremiumSS5R5only</v>
      </c>
      <c r="R4" s="62">
        <f t="shared" si="1"/>
        <v>64800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3.5185185185185189E-4</v>
      </c>
      <c r="F5">
        <f>(COUNTIF(tables_423100!C:C,input_423100!A28)+COUNTIF(tables_423100!C:C,input_423100!A29))</f>
        <v>54</v>
      </c>
      <c r="H5" s="84">
        <v>3.1E-2</v>
      </c>
      <c r="I5" s="31">
        <v>0</v>
      </c>
      <c r="L5" s="60">
        <v>1141</v>
      </c>
      <c r="M5" s="37" t="str">
        <f>VLOOKUP(L5,[1]characters!$A:$C,3,FALSE)</f>
        <v>月英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VLOOKUP(L5,tables_423100!B:C,2,FALSE)</f>
        <v>PremiumSS5R5only</v>
      </c>
      <c r="R5" s="62">
        <f t="shared" si="1"/>
        <v>64800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0.95</v>
      </c>
      <c r="D6" t="s">
        <v>202</v>
      </c>
      <c r="E6" s="76">
        <f>(B10-H6)/(F6-I6)</f>
        <v>9.7777777777777759E-3</v>
      </c>
      <c r="F6">
        <f>(COUNTIF(tables_423100!C:C,input_423100!A25)+COUNTIF(tables_423100!C:C,input_423100!A18)+COUNTIF(tables_423100!C:C,input_423100!A20)+COUNTIF(tables_423100!C:C,input_423100!A22))</f>
        <v>90</v>
      </c>
      <c r="H6" s="88">
        <v>7.0000000000000007E-2</v>
      </c>
      <c r="I6" s="31">
        <v>0</v>
      </c>
      <c r="L6" s="90">
        <v>1143</v>
      </c>
      <c r="M6" s="37" t="str">
        <f>VLOOKUP(L6,[1]characters!$A:$C,3,FALSE)</f>
        <v>黄忠</v>
      </c>
      <c r="N6" s="63">
        <v>6.3E-2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VLOOKUP(L6,tables_423100!B:C,2,FALSE)</f>
        <v>Premium4R3less</v>
      </c>
      <c r="R6" s="62">
        <f t="shared" si="1"/>
        <v>340200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1144</v>
      </c>
      <c r="M7" s="37" t="str">
        <f>VLOOKUP(L7,[1]characters!$A:$C,3,FALSE)</f>
        <v>白星を射る老将 黄忠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VLOOKUP(L7,tables_423100!B:C,2,FALSE)</f>
        <v>Premium5R3less</v>
      </c>
      <c r="R7" s="62">
        <f t="shared" si="1"/>
        <v>37800</v>
      </c>
      <c r="S7">
        <v>597</v>
      </c>
      <c r="U7" s="33" t="s">
        <v>196</v>
      </c>
      <c r="V7" s="54">
        <f t="shared" si="0"/>
        <v>6.3E-2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7.0000000000000001E-3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COUNTIF(tables_423100!C:C,input_423100!A17)-COUNTIF(Q:Q,A17)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E$6*E18-B17+E34+0.0388+E35</f>
        <v>0.26945185185925913</v>
      </c>
      <c r="C18" s="85">
        <f t="shared" si="2"/>
        <v>0</v>
      </c>
      <c r="D18" s="74">
        <f t="shared" si="3"/>
        <v>0.26945185185925913</v>
      </c>
      <c r="E18">
        <f>COUNTIF(tables_423100!C:C,input_423100!A18)-COUNTIF(Q:Q,A18)</f>
        <v>20</v>
      </c>
      <c r="F18" s="43">
        <f>IFERROR(B18/E18,0)</f>
        <v>1.3472592592962957E-2</v>
      </c>
      <c r="G18">
        <f t="shared" si="4"/>
        <v>1455040.0000399994</v>
      </c>
      <c r="H18">
        <f t="shared" si="5"/>
        <v>72752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COUNTIF(tables_423100!C:C,input_423100!A19)-COUNTIF(Q:Q,A19)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E$6*E20*B$6-0.0438</f>
        <v>0.43922222222222213</v>
      </c>
      <c r="C20" s="85">
        <f t="shared" si="2"/>
        <v>0</v>
      </c>
      <c r="D20" s="74">
        <f t="shared" si="3"/>
        <v>0.43922222222222213</v>
      </c>
      <c r="E20">
        <f>COUNTIF(tables_423100!C:C,input_423100!A20)-COUNTIF(Q:Q,A20)</f>
        <v>52</v>
      </c>
      <c r="F20" s="43">
        <f t="shared" si="8"/>
        <v>8.4465811965811939E-3</v>
      </c>
      <c r="G20">
        <f t="shared" si="4"/>
        <v>2371799.9999999995</v>
      </c>
      <c r="H20">
        <f t="shared" si="5"/>
        <v>45611.538460000003</v>
      </c>
      <c r="I20">
        <f t="shared" si="6"/>
        <v>0.538460000003397</v>
      </c>
      <c r="J20">
        <f t="shared" si="7"/>
        <v>1.8571481632687503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B7-B23-B26-B28-B29-0.038</f>
        <v>5.1037037037037075E-3</v>
      </c>
      <c r="C21" s="85">
        <f t="shared" si="2"/>
        <v>0</v>
      </c>
      <c r="D21" s="74">
        <f t="shared" si="3"/>
        <v>5.1037037037037075E-3</v>
      </c>
      <c r="E21">
        <f>COUNTIF(tables_423100!C:C,input_423100!A21)-COUNTIF(Q:Q,A21)</f>
        <v>52</v>
      </c>
      <c r="F21" s="43">
        <f t="shared" si="8"/>
        <v>9.8148148148148218E-5</v>
      </c>
      <c r="G21">
        <f t="shared" si="4"/>
        <v>27560.000000000022</v>
      </c>
      <c r="H21">
        <f t="shared" si="5"/>
        <v>530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0.12575555555555554</v>
      </c>
      <c r="C22" s="85">
        <f t="shared" si="2"/>
        <v>6.3E-2</v>
      </c>
      <c r="D22" s="74">
        <f t="shared" si="3"/>
        <v>6.2755555555555537E-2</v>
      </c>
      <c r="E22">
        <f>COUNTIF(tables_423100!C:C,input_423100!A22)-COUNTIF(Q:Q,A22)</f>
        <v>13</v>
      </c>
      <c r="F22" s="43">
        <f t="shared" si="8"/>
        <v>9.6735042735042725E-3</v>
      </c>
      <c r="G22">
        <f t="shared" si="4"/>
        <v>679079.99999999988</v>
      </c>
      <c r="H22">
        <f t="shared" si="5"/>
        <v>52236.92308</v>
      </c>
      <c r="I22">
        <f t="shared" si="6"/>
        <v>0.92308000000048196</v>
      </c>
      <c r="J22">
        <f t="shared" si="7"/>
        <v>1.0833297222336935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E23*E6*B7-0.005</f>
        <v>1.3555555555555552E-3</v>
      </c>
      <c r="C23" s="85">
        <f t="shared" si="2"/>
        <v>7.0000000000000001E-3</v>
      </c>
      <c r="D23" s="74">
        <f t="shared" si="3"/>
        <v>-5.644444444444445E-3</v>
      </c>
      <c r="E23">
        <f>COUNTIF(tables_423100!C:C,input_423100!A23)-COUNTIF(Q:Q,A23)</f>
        <v>13</v>
      </c>
      <c r="F23" s="43">
        <f t="shared" si="8"/>
        <v>1.0427350427350424E-4</v>
      </c>
      <c r="G23">
        <f t="shared" si="4"/>
        <v>7319.9999999999982</v>
      </c>
      <c r="H23">
        <f t="shared" si="5"/>
        <v>563.07691999999997</v>
      </c>
      <c r="I23">
        <f t="shared" si="6"/>
        <v>7.6919999999972788E-2</v>
      </c>
      <c r="J23">
        <f t="shared" si="7"/>
        <v>13.000520020805432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COUNTIF(tables_423100!C:C,input_423100!A24)-COUNTIF(Q:Q,A24)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3.7155555555555546E-2</v>
      </c>
      <c r="C25" s="85">
        <f t="shared" si="2"/>
        <v>0</v>
      </c>
      <c r="D25" s="74">
        <f t="shared" si="3"/>
        <v>3.7155555555555546E-2</v>
      </c>
      <c r="E25">
        <f>COUNTIF(tables_423100!C:C,input_423100!A25)-COUNTIF(Q:Q,A25)</f>
        <v>4</v>
      </c>
      <c r="F25" s="43">
        <f t="shared" si="8"/>
        <v>9.2888888888888865E-3</v>
      </c>
      <c r="G25">
        <f t="shared" si="4"/>
        <v>200639.99999999994</v>
      </c>
      <c r="H25">
        <f t="shared" si="5"/>
        <v>50160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1.9555555555555554E-3</v>
      </c>
      <c r="C26" s="85">
        <f t="shared" si="2"/>
        <v>0</v>
      </c>
      <c r="D26" s="74">
        <f t="shared" si="3"/>
        <v>1.9555555555555554E-3</v>
      </c>
      <c r="E26">
        <f>COUNTIF(tables_423100!C:C,input_423100!A26)-COUNTIF(Q:Q,A26)</f>
        <v>4</v>
      </c>
      <c r="F26" s="43">
        <f t="shared" si="8"/>
        <v>4.8888888888888886E-4</v>
      </c>
      <c r="G26">
        <f t="shared" si="4"/>
        <v>10560</v>
      </c>
      <c r="H26">
        <f t="shared" si="5"/>
        <v>2640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0">
        <f>E$5*E27*(B$5+B$6)+C34+0.005</f>
        <v>1.5414814814814812E-2</v>
      </c>
      <c r="C27" s="85">
        <f t="shared" si="2"/>
        <v>0</v>
      </c>
      <c r="D27" s="74">
        <f t="shared" si="3"/>
        <v>1.5414814814814812E-2</v>
      </c>
      <c r="E27">
        <f>COUNTIF(tables_423100!C:C,input_423100!A27)-COUNTIF(Q:Q,A27)</f>
        <v>28</v>
      </c>
      <c r="F27" s="43">
        <f>IFERROR(B27/E27,0)</f>
        <v>5.5052910052910047E-4</v>
      </c>
      <c r="G27">
        <f t="shared" si="4"/>
        <v>83239.999999999985</v>
      </c>
      <c r="H27">
        <f t="shared" si="5"/>
        <v>2972.8571400000001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4.9259259259259265E-4</v>
      </c>
      <c r="C28" s="85">
        <f t="shared" si="2"/>
        <v>0</v>
      </c>
      <c r="D28" s="74">
        <f t="shared" si="3"/>
        <v>4.9259259259259265E-4</v>
      </c>
      <c r="E28">
        <f>COUNTIF(tables_423100!C:C,input_423100!A28)-COUNTIF(Q:Q,A28)</f>
        <v>28</v>
      </c>
      <c r="F28" s="43">
        <f t="shared" si="8"/>
        <v>1.7592592592592595E-5</v>
      </c>
      <c r="G28">
        <f t="shared" si="4"/>
        <v>2660.0000000000005</v>
      </c>
      <c r="H28">
        <f t="shared" si="5"/>
        <v>95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E$5*E29-0.005</f>
        <v>3.0925925925925938E-3</v>
      </c>
      <c r="C29" s="85">
        <f t="shared" si="2"/>
        <v>3.1E-2</v>
      </c>
      <c r="D29" s="74">
        <f t="shared" si="3"/>
        <v>-2.7907407407407405E-2</v>
      </c>
      <c r="E29">
        <f>COUNTIF(tables_423100!C:C,input_423100!A29)-COUNTIF(Q:Q,A29)</f>
        <v>23</v>
      </c>
      <c r="F29" s="43">
        <f t="shared" si="8"/>
        <v>1.3446054750402582E-4</v>
      </c>
      <c r="G29">
        <f t="shared" si="4"/>
        <v>16700.000000000007</v>
      </c>
      <c r="H29">
        <f t="shared" si="5"/>
        <v>726.08695999999998</v>
      </c>
      <c r="I29">
        <f t="shared" si="6"/>
        <v>8.695999999997639E-2</v>
      </c>
      <c r="J29">
        <f t="shared" si="7"/>
        <v>11.499540018402387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COUNTIF(tables_423100!C:C,input_423100!A30)-COUNTIF(Q:Q,A30)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COUNTIF(tables_423100!C:C,input_423100!A31)-COUNTIF(Q:Q,A31)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0.8990000000074071</v>
      </c>
      <c r="C32" s="41">
        <f>SUM(C19:C31)</f>
        <v>0.10100000000000001</v>
      </c>
      <c r="D32" s="42">
        <f t="shared" si="3"/>
        <v>0.79800000000740712</v>
      </c>
      <c r="L32" s="57"/>
      <c r="M32" s="57"/>
      <c r="N32" s="57"/>
      <c r="O32" s="57"/>
      <c r="P32" s="57"/>
      <c r="Q32" s="57"/>
      <c r="R32" s="59"/>
    </row>
    <row r="34" spans="1:7" x14ac:dyDescent="0.15">
      <c r="C34" s="99">
        <v>1.0555555555555526E-3</v>
      </c>
      <c r="E34" s="55">
        <v>3.1518518296296261E-3</v>
      </c>
    </row>
    <row r="35" spans="1:7" x14ac:dyDescent="0.15">
      <c r="A35" t="s">
        <v>73</v>
      </c>
      <c r="E35">
        <v>3.1944444474073963E-2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SUMIF(tables_423100!C:C,input_423100!A40,tables_423100!O:O)</f>
        <v>0</v>
      </c>
      <c r="C40" s="54">
        <f t="shared" ref="C40:C46" ca="1" si="9">B40/B$47</f>
        <v>0</v>
      </c>
      <c r="E40">
        <v>3</v>
      </c>
      <c r="F40">
        <f ca="1">SUMIF(tables_423100!J:J,input_423100!E40,tables_423100!O:O)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SUMIF(tables_423100!C:C,input_423100!A41,tables_423100!O:O)</f>
        <v>2371799.9999199985</v>
      </c>
      <c r="C41" s="54">
        <f t="shared" ca="1" si="9"/>
        <v>0.95434682893246403</v>
      </c>
      <c r="E41">
        <v>4</v>
      </c>
      <c r="F41">
        <f ca="1">SUMIF(tables_423100!J:J,input_423100!E41,tables_423100!O:O)</f>
        <v>5129999.9998799982</v>
      </c>
      <c r="G41">
        <f ca="1">F41/A36</f>
        <v>0.9499999999777774</v>
      </c>
    </row>
    <row r="42" spans="1:7" x14ac:dyDescent="0.15">
      <c r="A42" s="33" t="s">
        <v>106</v>
      </c>
      <c r="B42">
        <f ca="1">SUMIF(tables_423100!C:C,input_423100!A42,tables_423100!O:O)</f>
        <v>83239.999920000031</v>
      </c>
      <c r="C42" s="54">
        <f t="shared" ca="1" si="9"/>
        <v>3.3493477513563588E-2</v>
      </c>
      <c r="E42">
        <v>5</v>
      </c>
      <c r="F42">
        <f ca="1">SUMIF(tables_423100!J:J,input_423100!E42,tables_423100!O:O)</f>
        <v>270000.00004000001</v>
      </c>
      <c r="G42">
        <f ca="1">F42/A36</f>
        <v>5.0000000007407411E-2</v>
      </c>
    </row>
    <row r="43" spans="1:7" x14ac:dyDescent="0.15">
      <c r="A43" s="33" t="s">
        <v>109</v>
      </c>
      <c r="B43">
        <f>SUMIF(tables_423100!C:C,input_423100!A43,tables_423100!O:O)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SUMIF(tables_423100!C:C,input_423100!A44,tables_423100!O:O)</f>
        <v>27560</v>
      </c>
      <c r="C44" s="54">
        <f t="shared" ca="1" si="9"/>
        <v>1.1089383002894795E-2</v>
      </c>
      <c r="E44" t="s">
        <v>54</v>
      </c>
      <c r="F44" s="55"/>
    </row>
    <row r="45" spans="1:7" x14ac:dyDescent="0.15">
      <c r="A45" s="33" t="s">
        <v>107</v>
      </c>
      <c r="B45">
        <f ca="1">SUMIF(tables_423100!C:C,input_423100!A45,tables_423100!O:O)</f>
        <v>2660</v>
      </c>
      <c r="C45" s="54">
        <f t="shared" ca="1" si="9"/>
        <v>1.0703105510776545E-3</v>
      </c>
      <c r="E45" t="s">
        <v>204</v>
      </c>
      <c r="F45" s="55">
        <f ca="1">SUMIF(tables_423100!I:I,input_423100!E45,tables_423100!P:P)</f>
        <v>0.2694518518558438</v>
      </c>
    </row>
    <row r="46" spans="1:7" x14ac:dyDescent="0.15">
      <c r="A46" s="33" t="s">
        <v>108</v>
      </c>
      <c r="B46">
        <f>SUMIF(tables_423100!C:C,input_423100!A46,tables_423100!O:O)</f>
        <v>0</v>
      </c>
      <c r="C46" s="54">
        <f t="shared" ca="1" si="9"/>
        <v>0</v>
      </c>
      <c r="E46" t="s">
        <v>205</v>
      </c>
      <c r="F46" s="55">
        <f ca="1">SUMIF(tables_423100!I:I,input_423100!E46,tables_423100!P:P)</f>
        <v>0.17459373219147548</v>
      </c>
    </row>
    <row r="47" spans="1:7" x14ac:dyDescent="0.15">
      <c r="A47" s="39" t="s">
        <v>59</v>
      </c>
      <c r="B47">
        <f ca="1">SUM(B40:B46)</f>
        <v>2485259.9998399983</v>
      </c>
      <c r="C47" s="55">
        <f ca="1">SUM(C40:C46)</f>
        <v>1</v>
      </c>
      <c r="E47" t="s">
        <v>206</v>
      </c>
      <c r="F47" s="55">
        <f ca="1">SUMIF(tables_423100!I:I,input_423100!E47,tables_423100!P:P)</f>
        <v>0.50595441595194002</v>
      </c>
    </row>
    <row r="48" spans="1:7" x14ac:dyDescent="0.15">
      <c r="E48" t="s">
        <v>207</v>
      </c>
      <c r="F48" s="55">
        <f ca="1">SUMIF(tables_423100!I:I,input_423100!E48,tables_423100!P:P)</f>
        <v>4.2731078904336764E-2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F322" sqref="F32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input_423100!A$2</f>
        <v>423100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IFERROR(VLOOKUP(B2,input_423100!L:R,7,FALSE),VLOOKUP(tables_423100!C2,input_423100!A:H,8,FALSE))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input_423100!A$2</f>
        <v>423100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IFERROR(VLOOKUP(B3,input_423100!L:R,7,FALSE),VLOOKUP(tables_423100!C3,input_423100!A:H,8,FALSE))</f>
        <v>72752</v>
      </c>
      <c r="P3" s="46">
        <f t="shared" ca="1" si="1"/>
        <v>1.3472592592792192E-2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input_423100!A$2</f>
        <v>423100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IFERROR(VLOOKUP(B4,input_423100!L:R,7,FALSE),VLOOKUP(tables_423100!C4,input_423100!A:H,8,FALSE))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input_423100!A$2</f>
        <v>423100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IFERROR(VLOOKUP(B5,input_423100!L:R,7,FALSE),VLOOKUP(tables_423100!C5,input_423100!A:H,8,FALSE))</f>
        <v>72752</v>
      </c>
      <c r="P5" s="46">
        <f t="shared" ca="1" si="1"/>
        <v>1.3472592592792192E-2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input_423100!A$2</f>
        <v>423100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IFERROR(VLOOKUP(B6,input_423100!L:R,7,FALSE),VLOOKUP(tables_423100!C6,input_423100!A:H,8,FALSE))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input_423100!A$2</f>
        <v>423100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IFERROR(VLOOKUP(B7,input_423100!L:R,7,FALSE),VLOOKUP(tables_423100!C7,input_423100!A:H,8,FALSE))</f>
        <v>72752</v>
      </c>
      <c r="P7" s="46">
        <f t="shared" ca="1" si="1"/>
        <v>1.3472592592792192E-2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input_423100!A$2</f>
        <v>423100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IFERROR(VLOOKUP(B8,input_423100!L:R,7,FALSE),VLOOKUP(tables_423100!C8,input_423100!A:H,8,FALSE))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input_423100!A$2</f>
        <v>423100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IFERROR(VLOOKUP(B9,input_423100!L:R,7,FALSE),VLOOKUP(tables_423100!C9,input_423100!A:H,8,FALSE))</f>
        <v>72752</v>
      </c>
      <c r="P9" s="46">
        <f t="shared" ca="1" si="1"/>
        <v>1.3472592592792192E-2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input_423100!A$2</f>
        <v>423100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IFERROR(VLOOKUP(B10,input_423100!L:R,7,FALSE),VLOOKUP(tables_423100!C10,input_423100!A:H,8,FALSE))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input_423100!A$2</f>
        <v>423100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IFERROR(VLOOKUP(B11,input_423100!L:R,7,FALSE),VLOOKUP(tables_423100!C11,input_423100!A:H,8,FALSE))</f>
        <v>72752</v>
      </c>
      <c r="P11" s="46">
        <f t="shared" ca="1" si="1"/>
        <v>1.3472592592792192E-2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input_423100!A$2</f>
        <v>423100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IFERROR(VLOOKUP(B12,input_423100!L:R,7,FALSE),VLOOKUP(tables_423100!C12,input_423100!A:H,8,FALSE))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input_423100!A$2</f>
        <v>423100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IFERROR(VLOOKUP(B13,input_423100!L:R,7,FALSE),VLOOKUP(tables_423100!C13,input_423100!A:H,8,FALSE))</f>
        <v>72752</v>
      </c>
      <c r="P13" s="46">
        <f t="shared" ca="1" si="1"/>
        <v>1.3472592592792192E-2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input_423100!A$2</f>
        <v>423100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IFERROR(VLOOKUP(B14,input_423100!L:R,7,FALSE),VLOOKUP(tables_423100!C14,input_423100!A:H,8,FALSE))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input_423100!A$2</f>
        <v>423100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IFERROR(VLOOKUP(B15,input_423100!L:R,7,FALSE),VLOOKUP(tables_423100!C15,input_423100!A:H,8,FALSE))</f>
        <v>72752</v>
      </c>
      <c r="P15" s="46">
        <f t="shared" ca="1" si="1"/>
        <v>1.3472592592792192E-2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input_423100!A$2</f>
        <v>423100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IFERROR(VLOOKUP(B16,input_423100!L:R,7,FALSE),VLOOKUP(tables_423100!C16,input_423100!A:H,8,FALSE))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input_423100!A$2</f>
        <v>423100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IFERROR(VLOOKUP(B17,input_423100!L:R,7,FALSE),VLOOKUP(tables_423100!C17,input_423100!A:H,8,FALSE))</f>
        <v>72752</v>
      </c>
      <c r="P17" s="46">
        <f t="shared" ca="1" si="1"/>
        <v>1.3472592592792192E-2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input_423100!A$2</f>
        <v>423100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IFERROR(VLOOKUP(B18,input_423100!L:R,7,FALSE),VLOOKUP(tables_423100!C18,input_423100!A:H,8,FALSE))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input_423100!A$2</f>
        <v>423100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IFERROR(VLOOKUP(B19,input_423100!L:R,7,FALSE),VLOOKUP(tables_423100!C19,input_423100!A:H,8,FALSE))</f>
        <v>72752</v>
      </c>
      <c r="P19" s="46">
        <f t="shared" ca="1" si="1"/>
        <v>1.3472592592792192E-2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input_423100!A$2</f>
        <v>423100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IFERROR(VLOOKUP(B20,input_423100!L:R,7,FALSE),VLOOKUP(tables_423100!C20,input_423100!A:H,8,FALSE))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input_423100!A$2</f>
        <v>423100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IFERROR(VLOOKUP(B21,input_423100!L:R,7,FALSE),VLOOKUP(tables_423100!C21,input_423100!A:H,8,FALSE))</f>
        <v>72752</v>
      </c>
      <c r="P21" s="46">
        <f t="shared" ca="1" si="1"/>
        <v>1.3472592592792192E-2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input_423100!A$2</f>
        <v>423100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IFERROR(VLOOKUP(B22,input_423100!L:R,7,FALSE),VLOOKUP(tables_423100!C22,input_423100!A:H,8,FALSE))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input_423100!A$2</f>
        <v>423100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IFERROR(VLOOKUP(B23,input_423100!L:R,7,FALSE),VLOOKUP(tables_423100!C23,input_423100!A:H,8,FALSE))</f>
        <v>72752</v>
      </c>
      <c r="P23" s="46">
        <f t="shared" ca="1" si="1"/>
        <v>1.3472592592792192E-2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input_423100!A$2</f>
        <v>423100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IFERROR(VLOOKUP(B24,input_423100!L:R,7,FALSE),VLOOKUP(tables_423100!C24,input_423100!A:H,8,FALSE))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input_423100!A$2</f>
        <v>423100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IFERROR(VLOOKUP(B25,input_423100!L:R,7,FALSE),VLOOKUP(tables_423100!C25,input_423100!A:H,8,FALSE))</f>
        <v>72752</v>
      </c>
      <c r="P25" s="46">
        <f t="shared" ca="1" si="1"/>
        <v>1.3472592592792192E-2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input_423100!A$2</f>
        <v>423100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IFERROR(VLOOKUP(B26,input_423100!L:R,7,FALSE),VLOOKUP(tables_423100!C26,input_423100!A:H,8,FALSE))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input_423100!A$2</f>
        <v>423100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IFERROR(VLOOKUP(B27,input_423100!L:R,7,FALSE),VLOOKUP(tables_423100!C27,input_423100!A:H,8,FALSE))</f>
        <v>72752</v>
      </c>
      <c r="P27" s="46">
        <f t="shared" ca="1" si="1"/>
        <v>1.3472592592792192E-2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input_423100!A$2</f>
        <v>423100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IFERROR(VLOOKUP(B28,input_423100!L:R,7,FALSE),VLOOKUP(tables_423100!C28,input_423100!A:H,8,FALSE))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input_423100!A$2</f>
        <v>423100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IFERROR(VLOOKUP(B29,input_423100!L:R,7,FALSE),VLOOKUP(tables_423100!C29,input_423100!A:H,8,FALSE))</f>
        <v>72752</v>
      </c>
      <c r="P29" s="46">
        <f t="shared" ca="1" si="1"/>
        <v>1.3472592592792192E-2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input_423100!A$2</f>
        <v>423100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IFERROR(VLOOKUP(B30,input_423100!L:R,7,FALSE),VLOOKUP(tables_423100!C30,input_423100!A:H,8,FALSE))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input_423100!A$2</f>
        <v>423100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IFERROR(VLOOKUP(B31,input_423100!L:R,7,FALSE),VLOOKUP(tables_423100!C31,input_423100!A:H,8,FALSE))</f>
        <v>72752</v>
      </c>
      <c r="P31" s="46">
        <f t="shared" ca="1" si="1"/>
        <v>1.3472592592792192E-2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input_423100!A$2</f>
        <v>423100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IFERROR(VLOOKUP(B32,input_423100!L:R,7,FALSE),VLOOKUP(tables_423100!C32,input_423100!A:H,8,FALSE))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input_423100!A$2</f>
        <v>423100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IFERROR(VLOOKUP(B33,input_423100!L:R,7,FALSE),VLOOKUP(tables_423100!C33,input_423100!A:H,8,FALSE))</f>
        <v>72752</v>
      </c>
      <c r="P33" s="46">
        <f t="shared" ca="1" si="1"/>
        <v>1.3472592592792192E-2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input_423100!A$2</f>
        <v>423100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IFERROR(VLOOKUP(B34,input_423100!L:R,7,FALSE),VLOOKUP(tables_423100!C34,input_423100!A:H,8,FALSE))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input_423100!A$2</f>
        <v>423100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IFERROR(VLOOKUP(B35,input_423100!L:R,7,FALSE),VLOOKUP(tables_423100!C35,input_423100!A:H,8,FALSE))</f>
        <v>72752</v>
      </c>
      <c r="P35" s="46">
        <f t="shared" ca="1" si="1"/>
        <v>1.3472592592792192E-2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input_423100!A$2</f>
        <v>423100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IFERROR(VLOOKUP(B36,input_423100!L:R,7,FALSE),VLOOKUP(tables_423100!C36,input_423100!A:H,8,FALSE))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input_423100!A$2</f>
        <v>423100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IFERROR(VLOOKUP(B37,input_423100!L:R,7,FALSE),VLOOKUP(tables_423100!C37,input_423100!A:H,8,FALSE))</f>
        <v>72752</v>
      </c>
      <c r="P37" s="46">
        <f t="shared" ca="1" si="1"/>
        <v>1.3472592592792192E-2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input_423100!A$2</f>
        <v>423100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IFERROR(VLOOKUP(B38,input_423100!L:R,7,FALSE),VLOOKUP(tables_423100!C38,input_423100!A:H,8,FALSE))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input_423100!A$2</f>
        <v>423100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IFERROR(VLOOKUP(B39,input_423100!L:R,7,FALSE),VLOOKUP(tables_423100!C39,input_423100!A:H,8,FALSE))</f>
        <v>72752</v>
      </c>
      <c r="P39" s="46">
        <f t="shared" ca="1" si="1"/>
        <v>1.3472592592792192E-2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input_423100!A$2</f>
        <v>423100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IFERROR(VLOOKUP(B40,input_423100!L:R,7,FALSE),VLOOKUP(tables_423100!C40,input_423100!A:H,8,FALSE))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input_423100!A$2</f>
        <v>423100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IFERROR(VLOOKUP(B41,input_423100!L:R,7,FALSE),VLOOKUP(tables_423100!C41,input_423100!A:H,8,FALSE))</f>
        <v>72752</v>
      </c>
      <c r="P41" s="46">
        <f t="shared" ca="1" si="1"/>
        <v>1.3472592592792192E-2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input_423100!A$2</f>
        <v>423100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IFERROR(VLOOKUP(B42,input_423100!L:R,7,FALSE),VLOOKUP(tables_423100!C42,input_423100!A:H,8,FALSE))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input_423100!A$2</f>
        <v>423100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IFERROR(VLOOKUP(B43,input_423100!L:R,7,FALSE),VLOOKUP(tables_423100!C43,input_423100!A:H,8,FALSE))</f>
        <v>50160</v>
      </c>
      <c r="P43" s="46">
        <f t="shared" ca="1" si="1"/>
        <v>9.2888888890265055E-3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input_423100!A$2</f>
        <v>423100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IFERROR(VLOOKUP(B44,input_423100!L:R,7,FALSE),VLOOKUP(tables_423100!C44,input_423100!A:H,8,FALSE))</f>
        <v>2640</v>
      </c>
      <c r="P44" s="46">
        <f t="shared" ca="1" si="1"/>
        <v>4.8888888889613187E-4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input_423100!A$2</f>
        <v>423100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IFERROR(VLOOKUP(B45,input_423100!L:R,7,FALSE),VLOOKUP(tables_423100!C45,input_423100!A:H,8,FALSE))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input_423100!A$2</f>
        <v>423100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IFERROR(VLOOKUP(B46,input_423100!L:R,7,FALSE),VLOOKUP(tables_423100!C46,input_423100!A:H,8,FALSE))</f>
        <v>50160</v>
      </c>
      <c r="P46" s="46">
        <f t="shared" ca="1" si="1"/>
        <v>9.2888888890265055E-3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input_423100!A$2</f>
        <v>423100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IFERROR(VLOOKUP(B47,input_423100!L:R,7,FALSE),VLOOKUP(tables_423100!C47,input_423100!A:H,8,FALSE))</f>
        <v>2640</v>
      </c>
      <c r="P47" s="46">
        <f t="shared" ca="1" si="1"/>
        <v>4.8888888889613187E-4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input_423100!A$2</f>
        <v>423100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IFERROR(VLOOKUP(B48,input_423100!L:R,7,FALSE),VLOOKUP(tables_423100!C48,input_423100!A:H,8,FALSE))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input_423100!A$2</f>
        <v>423100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IFERROR(VLOOKUP(B49,input_423100!L:R,7,FALSE),VLOOKUP(tables_423100!C49,input_423100!A:H,8,FALSE))</f>
        <v>50160</v>
      </c>
      <c r="P49" s="46">
        <f t="shared" ca="1" si="1"/>
        <v>9.2888888890265055E-3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input_423100!A$2</f>
        <v>423100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IFERROR(VLOOKUP(B50,input_423100!L:R,7,FALSE),VLOOKUP(tables_423100!C50,input_423100!A:H,8,FALSE))</f>
        <v>2640</v>
      </c>
      <c r="P50" s="46">
        <f t="shared" ca="1" si="1"/>
        <v>4.8888888889613187E-4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input_423100!A$2</f>
        <v>423100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IFERROR(VLOOKUP(B51,input_423100!L:R,7,FALSE),VLOOKUP(tables_423100!C51,input_423100!A:H,8,FALSE))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input_423100!A$2</f>
        <v>423100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IFERROR(VLOOKUP(B52,input_423100!L:R,7,FALSE),VLOOKUP(tables_423100!C52,input_423100!A:H,8,FALSE))</f>
        <v>45611.538460000003</v>
      </c>
      <c r="P52" s="46">
        <f t="shared" ca="1" si="1"/>
        <v>8.4465811964214346E-3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input_423100!A$2</f>
        <v>423100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IFERROR(VLOOKUP(B53,input_423100!L:R,7,FALSE),VLOOKUP(tables_423100!C53,input_423100!A:H,8,FALSE))</f>
        <v>530</v>
      </c>
      <c r="P53" s="46">
        <f t="shared" ca="1" si="1"/>
        <v>9.8148148149602242E-5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input_423100!A$2</f>
        <v>423100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IFERROR(VLOOKUP(B54,input_423100!L:R,7,FALSE),VLOOKUP(tables_423100!C54,input_423100!A:H,8,FALSE))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input_423100!A$2</f>
        <v>423100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IFERROR(VLOOKUP(B55,input_423100!L:R,7,FALSE),VLOOKUP(tables_423100!C55,input_423100!A:H,8,FALSE))</f>
        <v>45611.538460000003</v>
      </c>
      <c r="P55" s="46">
        <f t="shared" ca="1" si="1"/>
        <v>8.4465811964214346E-3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input_423100!A$2</f>
        <v>423100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IFERROR(VLOOKUP(B56,input_423100!L:R,7,FALSE),VLOOKUP(tables_423100!C56,input_423100!A:H,8,FALSE))</f>
        <v>530</v>
      </c>
      <c r="P56" s="46">
        <f t="shared" ca="1" si="1"/>
        <v>9.8148148149602242E-5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input_423100!A$2</f>
        <v>423100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IFERROR(VLOOKUP(B57,input_423100!L:R,7,FALSE),VLOOKUP(tables_423100!C57,input_423100!A:H,8,FALSE))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input_423100!A$2</f>
        <v>423100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IFERROR(VLOOKUP(B58,input_423100!L:R,7,FALSE),VLOOKUP(tables_423100!C58,input_423100!A:H,8,FALSE))</f>
        <v>45611.538460000003</v>
      </c>
      <c r="P58" s="46">
        <f t="shared" ca="1" si="1"/>
        <v>8.4465811964214346E-3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input_423100!A$2</f>
        <v>423100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IFERROR(VLOOKUP(B59,input_423100!L:R,7,FALSE),VLOOKUP(tables_423100!C59,input_423100!A:H,8,FALSE))</f>
        <v>530</v>
      </c>
      <c r="P59" s="46">
        <f t="shared" ca="1" si="1"/>
        <v>9.8148148149602242E-5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input_423100!A$2</f>
        <v>423100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IFERROR(VLOOKUP(B60,input_423100!L:R,7,FALSE),VLOOKUP(tables_423100!C60,input_423100!A:H,8,FALSE))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input_423100!A$2</f>
        <v>423100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IFERROR(VLOOKUP(B61,input_423100!L:R,7,FALSE),VLOOKUP(tables_423100!C61,input_423100!A:H,8,FALSE))</f>
        <v>45611.538460000003</v>
      </c>
      <c r="P61" s="46">
        <f t="shared" ca="1" si="1"/>
        <v>8.4465811964214346E-3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input_423100!A$2</f>
        <v>423100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IFERROR(VLOOKUP(B62,input_423100!L:R,7,FALSE),VLOOKUP(tables_423100!C62,input_423100!A:H,8,FALSE))</f>
        <v>530</v>
      </c>
      <c r="P62" s="46">
        <f t="shared" ca="1" si="1"/>
        <v>9.8148148149602242E-5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input_423100!A$2</f>
        <v>423100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IFERROR(VLOOKUP(B63,input_423100!L:R,7,FALSE),VLOOKUP(tables_423100!C63,input_423100!A:H,8,FALSE))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input_423100!A$2</f>
        <v>423100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IFERROR(VLOOKUP(B64,input_423100!L:R,7,FALSE),VLOOKUP(tables_423100!C64,input_423100!A:H,8,FALSE))</f>
        <v>45611.538460000003</v>
      </c>
      <c r="P64" s="46">
        <f t="shared" ca="1" si="1"/>
        <v>8.4465811964214346E-3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input_423100!A$2</f>
        <v>423100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IFERROR(VLOOKUP(B65,input_423100!L:R,7,FALSE),VLOOKUP(tables_423100!C65,input_423100!A:H,8,FALSE))</f>
        <v>530</v>
      </c>
      <c r="P65" s="46">
        <f t="shared" ca="1" si="1"/>
        <v>9.8148148149602242E-5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input_423100!A$2</f>
        <v>423100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IFERROR(VLOOKUP(B66,input_423100!L:R,7,FALSE),VLOOKUP(tables_423100!C66,input_423100!A:H,8,FALSE))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input_423100!A$2</f>
        <v>423100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IFERROR(VLOOKUP(B67,input_423100!L:R,7,FALSE),VLOOKUP(tables_423100!C67,input_423100!A:H,8,FALSE))</f>
        <v>45611.538460000003</v>
      </c>
      <c r="P67" s="46">
        <f t="shared" ca="1" si="4"/>
        <v>8.4465811964214346E-3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input_423100!A$2</f>
        <v>423100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IFERROR(VLOOKUP(B68,input_423100!L:R,7,FALSE),VLOOKUP(tables_423100!C68,input_423100!A:H,8,FALSE))</f>
        <v>530</v>
      </c>
      <c r="P68" s="46">
        <f t="shared" ca="1" si="4"/>
        <v>9.8148148149602242E-5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input_423100!A$2</f>
        <v>423100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IFERROR(VLOOKUP(B69,input_423100!L:R,7,FALSE),VLOOKUP(tables_423100!C69,input_423100!A:H,8,FALSE))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input_423100!A$2</f>
        <v>423100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IFERROR(VLOOKUP(B70,input_423100!L:R,7,FALSE),VLOOKUP(tables_423100!C70,input_423100!A:H,8,FALSE))</f>
        <v>45611.538460000003</v>
      </c>
      <c r="P70" s="46">
        <f t="shared" ca="1" si="4"/>
        <v>8.4465811964214346E-3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input_423100!A$2</f>
        <v>423100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IFERROR(VLOOKUP(B71,input_423100!L:R,7,FALSE),VLOOKUP(tables_423100!C71,input_423100!A:H,8,FALSE))</f>
        <v>530</v>
      </c>
      <c r="P71" s="46">
        <f t="shared" ca="1" si="4"/>
        <v>9.8148148149602242E-5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input_423100!A$2</f>
        <v>423100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IFERROR(VLOOKUP(B72,input_423100!L:R,7,FALSE),VLOOKUP(tables_423100!C72,input_423100!A:H,8,FALSE))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input_423100!A$2</f>
        <v>423100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IFERROR(VLOOKUP(B73,input_423100!L:R,7,FALSE),VLOOKUP(tables_423100!C73,input_423100!A:H,8,FALSE))</f>
        <v>45611.538460000003</v>
      </c>
      <c r="P73" s="46">
        <f t="shared" ca="1" si="4"/>
        <v>8.4465811964214346E-3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input_423100!A$2</f>
        <v>423100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IFERROR(VLOOKUP(B74,input_423100!L:R,7,FALSE),VLOOKUP(tables_423100!C74,input_423100!A:H,8,FALSE))</f>
        <v>530</v>
      </c>
      <c r="P74" s="46">
        <f t="shared" ca="1" si="4"/>
        <v>9.8148148149602242E-5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input_423100!A$2</f>
        <v>423100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IFERROR(VLOOKUP(B75,input_423100!L:R,7,FALSE),VLOOKUP(tables_423100!C75,input_423100!A:H,8,FALSE))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input_423100!A$2</f>
        <v>423100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IFERROR(VLOOKUP(B76,input_423100!L:R,7,FALSE),VLOOKUP(tables_423100!C76,input_423100!A:H,8,FALSE))</f>
        <v>45611.538460000003</v>
      </c>
      <c r="P76" s="46">
        <f t="shared" ca="1" si="4"/>
        <v>8.4465811964214346E-3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input_423100!A$2</f>
        <v>423100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IFERROR(VLOOKUP(B77,input_423100!L:R,7,FALSE),VLOOKUP(tables_423100!C77,input_423100!A:H,8,FALSE))</f>
        <v>530</v>
      </c>
      <c r="P77" s="46">
        <f t="shared" ca="1" si="4"/>
        <v>9.8148148149602242E-5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input_423100!A$2</f>
        <v>423100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IFERROR(VLOOKUP(B78,input_423100!L:R,7,FALSE),VLOOKUP(tables_423100!C78,input_423100!A:H,8,FALSE))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input_423100!A$2</f>
        <v>423100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IFERROR(VLOOKUP(B79,input_423100!L:R,7,FALSE),VLOOKUP(tables_423100!C79,input_423100!A:H,8,FALSE))</f>
        <v>45611.538460000003</v>
      </c>
      <c r="P79" s="46">
        <f t="shared" ca="1" si="4"/>
        <v>8.4465811964214346E-3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input_423100!A$2</f>
        <v>423100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IFERROR(VLOOKUP(B80,input_423100!L:R,7,FALSE),VLOOKUP(tables_423100!C80,input_423100!A:H,8,FALSE))</f>
        <v>530</v>
      </c>
      <c r="P80" s="46">
        <f t="shared" ca="1" si="4"/>
        <v>9.8148148149602242E-5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input_423100!A$2</f>
        <v>423100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IFERROR(VLOOKUP(B81,input_423100!L:R,7,FALSE),VLOOKUP(tables_423100!C81,input_423100!A:H,8,FALSE))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input_423100!A$2</f>
        <v>423100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IFERROR(VLOOKUP(B82,input_423100!L:R,7,FALSE),VLOOKUP(tables_423100!C82,input_423100!A:H,8,FALSE))</f>
        <v>45611.538460000003</v>
      </c>
      <c r="P82" s="46">
        <f t="shared" ca="1" si="4"/>
        <v>8.4465811964214346E-3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input_423100!A$2</f>
        <v>423100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IFERROR(VLOOKUP(B83,input_423100!L:R,7,FALSE),VLOOKUP(tables_423100!C83,input_423100!A:H,8,FALSE))</f>
        <v>530</v>
      </c>
      <c r="P83" s="46">
        <f t="shared" ca="1" si="4"/>
        <v>9.8148148149602242E-5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input_423100!A$2</f>
        <v>423100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IFERROR(VLOOKUP(B84,input_423100!L:R,7,FALSE),VLOOKUP(tables_423100!C84,input_423100!A:H,8,FALSE))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input_423100!A$2</f>
        <v>423100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IFERROR(VLOOKUP(B85,input_423100!L:R,7,FALSE),VLOOKUP(tables_423100!C85,input_423100!A:H,8,FALSE))</f>
        <v>45611.538460000003</v>
      </c>
      <c r="P85" s="46">
        <f t="shared" ca="1" si="4"/>
        <v>8.4465811964214346E-3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input_423100!A$2</f>
        <v>423100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IFERROR(VLOOKUP(B86,input_423100!L:R,7,FALSE),VLOOKUP(tables_423100!C86,input_423100!A:H,8,FALSE))</f>
        <v>530</v>
      </c>
      <c r="P86" s="46">
        <f t="shared" ca="1" si="4"/>
        <v>9.8148148149602242E-5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input_423100!A$2</f>
        <v>423100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IFERROR(VLOOKUP(B87,input_423100!L:R,7,FALSE),VLOOKUP(tables_423100!C87,input_423100!A:H,8,FALSE))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input_423100!A$2</f>
        <v>423100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IFERROR(VLOOKUP(B88,input_423100!L:R,7,FALSE),VLOOKUP(tables_423100!C88,input_423100!A:H,8,FALSE))</f>
        <v>45611.538460000003</v>
      </c>
      <c r="P88" s="46">
        <f t="shared" ca="1" si="4"/>
        <v>8.4465811964214346E-3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input_423100!A$2</f>
        <v>423100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IFERROR(VLOOKUP(B89,input_423100!L:R,7,FALSE),VLOOKUP(tables_423100!C89,input_423100!A:H,8,FALSE))</f>
        <v>530</v>
      </c>
      <c r="P89" s="46">
        <f t="shared" ca="1" si="4"/>
        <v>9.8148148149602242E-5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input_423100!A$2</f>
        <v>423100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IFERROR(VLOOKUP(B90,input_423100!L:R,7,FALSE),VLOOKUP(tables_423100!C90,input_423100!A:H,8,FALSE))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input_423100!A$2</f>
        <v>423100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IFERROR(VLOOKUP(B91,input_423100!L:R,7,FALSE),VLOOKUP(tables_423100!C91,input_423100!A:H,8,FALSE))</f>
        <v>45611.538460000003</v>
      </c>
      <c r="P91" s="46">
        <f t="shared" ca="1" si="4"/>
        <v>8.4465811964214346E-3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input_423100!A$2</f>
        <v>423100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IFERROR(VLOOKUP(B92,input_423100!L:R,7,FALSE),VLOOKUP(tables_423100!C92,input_423100!A:H,8,FALSE))</f>
        <v>530</v>
      </c>
      <c r="P92" s="46">
        <f t="shared" ca="1" si="4"/>
        <v>9.8148148149602242E-5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input_423100!A$2</f>
        <v>423100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IFERROR(VLOOKUP(B93,input_423100!L:R,7,FALSE),VLOOKUP(tables_423100!C93,input_423100!A:H,8,FALSE))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input_423100!A$2</f>
        <v>423100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IFERROR(VLOOKUP(B94,input_423100!L:R,7,FALSE),VLOOKUP(tables_423100!C94,input_423100!A:H,8,FALSE))</f>
        <v>45611.538460000003</v>
      </c>
      <c r="P94" s="46">
        <f t="shared" ca="1" si="4"/>
        <v>8.4465811964214346E-3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input_423100!A$2</f>
        <v>423100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IFERROR(VLOOKUP(B95,input_423100!L:R,7,FALSE),VLOOKUP(tables_423100!C95,input_423100!A:H,8,FALSE))</f>
        <v>530</v>
      </c>
      <c r="P95" s="46">
        <f t="shared" ca="1" si="4"/>
        <v>9.8148148149602242E-5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input_423100!A$2</f>
        <v>423100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IFERROR(VLOOKUP(B96,input_423100!L:R,7,FALSE),VLOOKUP(tables_423100!C96,input_423100!A:H,8,FALSE))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input_423100!A$2</f>
        <v>423100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IFERROR(VLOOKUP(B97,input_423100!L:R,7,FALSE),VLOOKUP(tables_423100!C97,input_423100!A:H,8,FALSE))</f>
        <v>45611.538460000003</v>
      </c>
      <c r="P97" s="46">
        <f t="shared" ca="1" si="4"/>
        <v>8.4465811964214346E-3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input_423100!A$2</f>
        <v>423100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IFERROR(VLOOKUP(B98,input_423100!L:R,7,FALSE),VLOOKUP(tables_423100!C98,input_423100!A:H,8,FALSE))</f>
        <v>530</v>
      </c>
      <c r="P98" s="46">
        <f t="shared" ca="1" si="4"/>
        <v>9.8148148149602242E-5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input_423100!A$2</f>
        <v>423100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IFERROR(VLOOKUP(B99,input_423100!L:R,7,FALSE),VLOOKUP(tables_423100!C99,input_423100!A:H,8,FALSE))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input_423100!A$2</f>
        <v>423100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IFERROR(VLOOKUP(B100,input_423100!L:R,7,FALSE),VLOOKUP(tables_423100!C100,input_423100!A:H,8,FALSE))</f>
        <v>45611.538460000003</v>
      </c>
      <c r="P100" s="46">
        <f t="shared" ca="1" si="4"/>
        <v>8.4465811964214346E-3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input_423100!A$2</f>
        <v>423100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IFERROR(VLOOKUP(B101,input_423100!L:R,7,FALSE),VLOOKUP(tables_423100!C101,input_423100!A:H,8,FALSE))</f>
        <v>530</v>
      </c>
      <c r="P101" s="46">
        <f t="shared" ca="1" si="4"/>
        <v>9.8148148149602242E-5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input_423100!A$2</f>
        <v>423100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IFERROR(VLOOKUP(B102,input_423100!L:R,7,FALSE),VLOOKUP(tables_423100!C102,input_423100!A:H,8,FALSE))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input_423100!A$2</f>
        <v>423100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IFERROR(VLOOKUP(B103,input_423100!L:R,7,FALSE),VLOOKUP(tables_423100!C103,input_423100!A:H,8,FALSE))</f>
        <v>45611.538460000003</v>
      </c>
      <c r="P103" s="46">
        <f t="shared" ca="1" si="4"/>
        <v>8.4465811964214346E-3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input_423100!A$2</f>
        <v>423100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IFERROR(VLOOKUP(B104,input_423100!L:R,7,FALSE),VLOOKUP(tables_423100!C104,input_423100!A:H,8,FALSE))</f>
        <v>530</v>
      </c>
      <c r="P104" s="46">
        <f t="shared" ca="1" si="4"/>
        <v>9.8148148149602242E-5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input_423100!A$2</f>
        <v>423100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IFERROR(VLOOKUP(B105,input_423100!L:R,7,FALSE),VLOOKUP(tables_423100!C105,input_423100!A:H,8,FALSE))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input_423100!A$2</f>
        <v>423100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IFERROR(VLOOKUP(B106,input_423100!L:R,7,FALSE),VLOOKUP(tables_423100!C106,input_423100!A:H,8,FALSE))</f>
        <v>45611.538460000003</v>
      </c>
      <c r="P106" s="46">
        <f t="shared" ca="1" si="4"/>
        <v>8.4465811964214346E-3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input_423100!A$2</f>
        <v>423100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IFERROR(VLOOKUP(B107,input_423100!L:R,7,FALSE),VLOOKUP(tables_423100!C107,input_423100!A:H,8,FALSE))</f>
        <v>530</v>
      </c>
      <c r="P107" s="46">
        <f t="shared" ca="1" si="4"/>
        <v>9.8148148149602242E-5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input_423100!A$2</f>
        <v>423100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IFERROR(VLOOKUP(B108,input_423100!L:R,7,FALSE),VLOOKUP(tables_423100!C108,input_423100!A:H,8,FALSE))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input_423100!A$2</f>
        <v>423100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IFERROR(VLOOKUP(B109,input_423100!L:R,7,FALSE),VLOOKUP(tables_423100!C109,input_423100!A:H,8,FALSE))</f>
        <v>45611.538460000003</v>
      </c>
      <c r="P109" s="46">
        <f t="shared" ca="1" si="4"/>
        <v>8.4465811964214346E-3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input_423100!A$2</f>
        <v>423100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IFERROR(VLOOKUP(B110,input_423100!L:R,7,FALSE),VLOOKUP(tables_423100!C110,input_423100!A:H,8,FALSE))</f>
        <v>530</v>
      </c>
      <c r="P110" s="46">
        <f t="shared" ca="1" si="4"/>
        <v>9.8148148149602242E-5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input_423100!A$2</f>
        <v>423100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IFERROR(VLOOKUP(B111,input_423100!L:R,7,FALSE),VLOOKUP(tables_423100!C111,input_423100!A:H,8,FALSE))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input_423100!A$2</f>
        <v>423100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IFERROR(VLOOKUP(B112,input_423100!L:R,7,FALSE),VLOOKUP(tables_423100!C112,input_423100!A:H,8,FALSE))</f>
        <v>50160</v>
      </c>
      <c r="P112" s="46">
        <f t="shared" ca="1" si="4"/>
        <v>9.2888888890265055E-3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input_423100!A$2</f>
        <v>423100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IFERROR(VLOOKUP(B113,input_423100!L:R,7,FALSE),VLOOKUP(tables_423100!C113,input_423100!A:H,8,FALSE))</f>
        <v>2640</v>
      </c>
      <c r="P113" s="46">
        <f t="shared" ca="1" si="4"/>
        <v>4.8888888889613187E-4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input_423100!A$2</f>
        <v>423100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IFERROR(VLOOKUP(B114,input_423100!L:R,7,FALSE),VLOOKUP(tables_423100!C114,input_423100!A:H,8,FALSE))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input_423100!A$2</f>
        <v>423100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IFERROR(VLOOKUP(B115,input_423100!L:R,7,FALSE),VLOOKUP(tables_423100!C115,input_423100!A:H,8,FALSE))</f>
        <v>45611.538460000003</v>
      </c>
      <c r="P115" s="46">
        <f t="shared" ca="1" si="4"/>
        <v>8.4465811964214346E-3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input_423100!A$2</f>
        <v>423100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IFERROR(VLOOKUP(B116,input_423100!L:R,7,FALSE),VLOOKUP(tables_423100!C116,input_423100!A:H,8,FALSE))</f>
        <v>530</v>
      </c>
      <c r="P116" s="46">
        <f t="shared" ca="1" si="4"/>
        <v>9.8148148149602242E-5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input_423100!A$2</f>
        <v>423100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IFERROR(VLOOKUP(B117,input_423100!L:R,7,FALSE),VLOOKUP(tables_423100!C117,input_423100!A:H,8,FALSE))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input_423100!A$2</f>
        <v>423100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IFERROR(VLOOKUP(B118,input_423100!L:R,7,FALSE),VLOOKUP(tables_423100!C118,input_423100!A:H,8,FALSE))</f>
        <v>45611.538460000003</v>
      </c>
      <c r="P118" s="46">
        <f t="shared" ca="1" si="4"/>
        <v>8.4465811964214346E-3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input_423100!A$2</f>
        <v>423100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IFERROR(VLOOKUP(B119,input_423100!L:R,7,FALSE),VLOOKUP(tables_423100!C119,input_423100!A:H,8,FALSE))</f>
        <v>530</v>
      </c>
      <c r="P119" s="46">
        <f t="shared" ca="1" si="4"/>
        <v>9.8148148149602242E-5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input_423100!A$2</f>
        <v>423100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IFERROR(VLOOKUP(B120,input_423100!L:R,7,FALSE),VLOOKUP(tables_423100!C120,input_423100!A:H,8,FALSE))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input_423100!A$2</f>
        <v>423100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IFERROR(VLOOKUP(B121,input_423100!L:R,7,FALSE),VLOOKUP(tables_423100!C121,input_423100!A:H,8,FALSE))</f>
        <v>45611.538460000003</v>
      </c>
      <c r="P121" s="46">
        <f t="shared" ca="1" si="4"/>
        <v>8.4465811964214346E-3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input_423100!A$2</f>
        <v>423100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IFERROR(VLOOKUP(B122,input_423100!L:R,7,FALSE),VLOOKUP(tables_423100!C122,input_423100!A:H,8,FALSE))</f>
        <v>530</v>
      </c>
      <c r="P122" s="46">
        <f t="shared" ca="1" si="4"/>
        <v>9.8148148149602242E-5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input_423100!A$2</f>
        <v>423100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IFERROR(VLOOKUP(B123,input_423100!L:R,7,FALSE),VLOOKUP(tables_423100!C123,input_423100!A:H,8,FALSE))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input_423100!A$2</f>
        <v>423100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IFERROR(VLOOKUP(B124,input_423100!L:R,7,FALSE),VLOOKUP(tables_423100!C124,input_423100!A:H,8,FALSE))</f>
        <v>45611.538460000003</v>
      </c>
      <c r="P124" s="46">
        <f t="shared" ca="1" si="4"/>
        <v>8.4465811964214346E-3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input_423100!A$2</f>
        <v>423100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IFERROR(VLOOKUP(B125,input_423100!L:R,7,FALSE),VLOOKUP(tables_423100!C125,input_423100!A:H,8,FALSE))</f>
        <v>530</v>
      </c>
      <c r="P125" s="46">
        <f t="shared" ca="1" si="4"/>
        <v>9.8148148149602242E-5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input_423100!A$2</f>
        <v>423100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IFERROR(VLOOKUP(B126,input_423100!L:R,7,FALSE),VLOOKUP(tables_423100!C126,input_423100!A:H,8,FALSE))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input_423100!A$2</f>
        <v>423100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IFERROR(VLOOKUP(B127,input_423100!L:R,7,FALSE),VLOOKUP(tables_423100!C127,input_423100!A:H,8,FALSE))</f>
        <v>45611.538460000003</v>
      </c>
      <c r="P127" s="46">
        <f t="shared" ca="1" si="4"/>
        <v>8.4465811964214346E-3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input_423100!A$2</f>
        <v>423100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IFERROR(VLOOKUP(B128,input_423100!L:R,7,FALSE),VLOOKUP(tables_423100!C128,input_423100!A:H,8,FALSE))</f>
        <v>530</v>
      </c>
      <c r="P128" s="46">
        <f t="shared" ca="1" si="4"/>
        <v>9.8148148149602242E-5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input_423100!A$2</f>
        <v>423100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IFERROR(VLOOKUP(B129,input_423100!L:R,7,FALSE),VLOOKUP(tables_423100!C129,input_423100!A:H,8,FALSE))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input_423100!A$2</f>
        <v>423100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IFERROR(VLOOKUP(B130,input_423100!L:R,7,FALSE),VLOOKUP(tables_423100!C130,input_423100!A:H,8,FALSE))</f>
        <v>45611.538460000003</v>
      </c>
      <c r="P130" s="46">
        <f t="shared" ref="P130:P193" ca="1" si="7">O130/SUM(O:O)</f>
        <v>8.4465811964214346E-3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input_423100!A$2</f>
        <v>423100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IFERROR(VLOOKUP(B131,input_423100!L:R,7,FALSE),VLOOKUP(tables_423100!C131,input_423100!A:H,8,FALSE))</f>
        <v>530</v>
      </c>
      <c r="P131" s="46">
        <f t="shared" ca="1" si="7"/>
        <v>9.8148148149602242E-5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input_423100!A$2</f>
        <v>423100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IFERROR(VLOOKUP(B132,input_423100!L:R,7,FALSE),VLOOKUP(tables_423100!C132,input_423100!A:H,8,FALSE))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input_423100!A$2</f>
        <v>423100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IFERROR(VLOOKUP(B133,input_423100!L:R,7,FALSE),VLOOKUP(tables_423100!C133,input_423100!A:H,8,FALSE))</f>
        <v>45611.538460000003</v>
      </c>
      <c r="P133" s="46">
        <f t="shared" ca="1" si="7"/>
        <v>8.4465811964214346E-3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input_423100!A$2</f>
        <v>423100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IFERROR(VLOOKUP(B134,input_423100!L:R,7,FALSE),VLOOKUP(tables_423100!C134,input_423100!A:H,8,FALSE))</f>
        <v>530</v>
      </c>
      <c r="P134" s="46">
        <f t="shared" ca="1" si="7"/>
        <v>9.8148148149602242E-5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input_423100!A$2</f>
        <v>423100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IFERROR(VLOOKUP(B135,input_423100!L:R,7,FALSE),VLOOKUP(tables_423100!C135,input_423100!A:H,8,FALSE))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input_423100!A$2</f>
        <v>423100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IFERROR(VLOOKUP(B136,input_423100!L:R,7,FALSE),VLOOKUP(tables_423100!C136,input_423100!A:H,8,FALSE))</f>
        <v>45611.538460000003</v>
      </c>
      <c r="P136" s="46">
        <f t="shared" ca="1" si="7"/>
        <v>8.4465811964214346E-3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input_423100!A$2</f>
        <v>423100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IFERROR(VLOOKUP(B137,input_423100!L:R,7,FALSE),VLOOKUP(tables_423100!C137,input_423100!A:H,8,FALSE))</f>
        <v>530</v>
      </c>
      <c r="P137" s="46">
        <f t="shared" ca="1" si="7"/>
        <v>9.8148148149602242E-5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input_423100!A$2</f>
        <v>423100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IFERROR(VLOOKUP(B138,input_423100!L:R,7,FALSE),VLOOKUP(tables_423100!C138,input_423100!A:H,8,FALSE))</f>
        <v>2972.8571400000001</v>
      </c>
      <c r="P138" s="46">
        <f t="shared" ca="1" si="7"/>
        <v>5.5052910000815628E-4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input_423100!A$2</f>
        <v>423100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IFERROR(VLOOKUP(B139,input_423100!L:R,7,FALSE),VLOOKUP(tables_423100!C139,input_423100!A:H,8,FALSE))</f>
        <v>95</v>
      </c>
      <c r="P139" s="46">
        <f t="shared" ca="1" si="7"/>
        <v>1.759259259285323E-5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input_423100!A$2</f>
        <v>423100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IFERROR(VLOOKUP(B140,input_423100!L:R,7,FALSE),VLOOKUP(tables_423100!C140,input_423100!A:H,8,FALSE))</f>
        <v>2972.8571400000001</v>
      </c>
      <c r="P140" s="46">
        <f t="shared" ca="1" si="7"/>
        <v>5.5052910000815628E-4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input_423100!A$2</f>
        <v>423100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IFERROR(VLOOKUP(B141,input_423100!L:R,7,FALSE),VLOOKUP(tables_423100!C141,input_423100!A:H,8,FALSE))</f>
        <v>95</v>
      </c>
      <c r="P141" s="46">
        <f t="shared" ca="1" si="7"/>
        <v>1.759259259285323E-5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input_423100!A$2</f>
        <v>423100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IFERROR(VLOOKUP(B142,input_423100!L:R,7,FALSE),VLOOKUP(tables_423100!C142,input_423100!A:H,8,FALSE))</f>
        <v>2972.8571400000001</v>
      </c>
      <c r="P142" s="46">
        <f t="shared" ca="1" si="7"/>
        <v>5.5052910000815628E-4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input_423100!A$2</f>
        <v>423100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IFERROR(VLOOKUP(B143,input_423100!L:R,7,FALSE),VLOOKUP(tables_423100!C143,input_423100!A:H,8,FALSE))</f>
        <v>95</v>
      </c>
      <c r="P143" s="46">
        <f t="shared" ca="1" si="7"/>
        <v>1.759259259285323E-5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input_423100!A$2</f>
        <v>423100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IFERROR(VLOOKUP(B144,input_423100!L:R,7,FALSE),VLOOKUP(tables_423100!C144,input_423100!A:H,8,FALSE))</f>
        <v>2972.8571400000001</v>
      </c>
      <c r="P144" s="46">
        <f t="shared" ca="1" si="7"/>
        <v>5.5052910000815628E-4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input_423100!A$2</f>
        <v>423100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IFERROR(VLOOKUP(B145,input_423100!L:R,7,FALSE),VLOOKUP(tables_423100!C145,input_423100!A:H,8,FALSE))</f>
        <v>95</v>
      </c>
      <c r="P145" s="46">
        <f t="shared" ca="1" si="7"/>
        <v>1.759259259285323E-5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input_423100!A$2</f>
        <v>423100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IFERROR(VLOOKUP(B146,input_423100!L:R,7,FALSE),VLOOKUP(tables_423100!C146,input_423100!A:H,8,FALSE))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input_423100!A$2</f>
        <v>423100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IFERROR(VLOOKUP(B147,input_423100!L:R,7,FALSE),VLOOKUP(tables_423100!C147,input_423100!A:H,8,FALSE))</f>
        <v>45611.538460000003</v>
      </c>
      <c r="P147" s="46">
        <f t="shared" ca="1" si="7"/>
        <v>8.4465811964214346E-3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input_423100!A$2</f>
        <v>423100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IFERROR(VLOOKUP(B148,input_423100!L:R,7,FALSE),VLOOKUP(tables_423100!C148,input_423100!A:H,8,FALSE))</f>
        <v>530</v>
      </c>
      <c r="P148" s="46">
        <f t="shared" ca="1" si="7"/>
        <v>9.8148148149602242E-5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input_423100!A$2</f>
        <v>423100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IFERROR(VLOOKUP(B149,input_423100!L:R,7,FALSE),VLOOKUP(tables_423100!C149,input_423100!A:H,8,FALSE))</f>
        <v>2972.8571400000001</v>
      </c>
      <c r="P149" s="46">
        <f t="shared" ca="1" si="7"/>
        <v>5.5052910000815628E-4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input_423100!A$2</f>
        <v>423100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IFERROR(VLOOKUP(B150,input_423100!L:R,7,FALSE),VLOOKUP(tables_423100!C150,input_423100!A:H,8,FALSE))</f>
        <v>95</v>
      </c>
      <c r="P150" s="46">
        <f t="shared" ca="1" si="7"/>
        <v>1.759259259285323E-5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input_423100!A$2</f>
        <v>423100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IFERROR(VLOOKUP(B151,input_423100!L:R,7,FALSE),VLOOKUP(tables_423100!C151,input_423100!A:H,8,FALSE))</f>
        <v>2972.8571400000001</v>
      </c>
      <c r="P151" s="46">
        <f t="shared" ca="1" si="7"/>
        <v>5.5052910000815628E-4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input_423100!A$2</f>
        <v>423100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IFERROR(VLOOKUP(B152,input_423100!L:R,7,FALSE),VLOOKUP(tables_423100!C152,input_423100!A:H,8,FALSE))</f>
        <v>95</v>
      </c>
      <c r="P152" s="46">
        <f t="shared" ca="1" si="7"/>
        <v>1.759259259285323E-5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input_423100!A$2</f>
        <v>423100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IFERROR(VLOOKUP(B153,input_423100!L:R,7,FALSE),VLOOKUP(tables_423100!C153,input_423100!A:H,8,FALSE))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input_423100!A$2</f>
        <v>423100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IFERROR(VLOOKUP(B154,input_423100!L:R,7,FALSE),VLOOKUP(tables_423100!C154,input_423100!A:H,8,FALSE))</f>
        <v>45611.538460000003</v>
      </c>
      <c r="P154" s="46">
        <f t="shared" ca="1" si="7"/>
        <v>8.4465811964214346E-3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input_423100!A$2</f>
        <v>423100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IFERROR(VLOOKUP(B155,input_423100!L:R,7,FALSE),VLOOKUP(tables_423100!C155,input_423100!A:H,8,FALSE))</f>
        <v>530</v>
      </c>
      <c r="P155" s="46">
        <f t="shared" ca="1" si="7"/>
        <v>9.8148148149602242E-5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input_423100!A$2</f>
        <v>423100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IFERROR(VLOOKUP(B156,input_423100!L:R,7,FALSE),VLOOKUP(tables_423100!C156,input_423100!A:H,8,FALSE))</f>
        <v>2972.8571400000001</v>
      </c>
      <c r="P156" s="46">
        <f t="shared" ca="1" si="7"/>
        <v>5.5052910000815628E-4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input_423100!A$2</f>
        <v>423100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IFERROR(VLOOKUP(B157,input_423100!L:R,7,FALSE),VLOOKUP(tables_423100!C157,input_423100!A:H,8,FALSE))</f>
        <v>95</v>
      </c>
      <c r="P157" s="46">
        <f t="shared" ca="1" si="7"/>
        <v>1.759259259285323E-5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input_423100!A$2</f>
        <v>423100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IFERROR(VLOOKUP(B158,input_423100!L:R,7,FALSE),VLOOKUP(tables_423100!C158,input_423100!A:H,8,FALSE))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input_423100!A$2</f>
        <v>423100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IFERROR(VLOOKUP(B159,input_423100!L:R,7,FALSE),VLOOKUP(tables_423100!C159,input_423100!A:H,8,FALSE))</f>
        <v>45611.538460000003</v>
      </c>
      <c r="P159" s="46">
        <f t="shared" ca="1" si="7"/>
        <v>8.4465811964214346E-3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input_423100!A$2</f>
        <v>423100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IFERROR(VLOOKUP(B160,input_423100!L:R,7,FALSE),VLOOKUP(tables_423100!C160,input_423100!A:H,8,FALSE))</f>
        <v>530</v>
      </c>
      <c r="P160" s="46">
        <f t="shared" ca="1" si="7"/>
        <v>9.8148148149602242E-5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input_423100!A$2</f>
        <v>423100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IFERROR(VLOOKUP(B161,input_423100!L:R,7,FALSE),VLOOKUP(tables_423100!C161,input_423100!A:H,8,FALSE))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input_423100!A$2</f>
        <v>423100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IFERROR(VLOOKUP(B162,input_423100!L:R,7,FALSE),VLOOKUP(tables_423100!C162,input_423100!A:H,8,FALSE))</f>
        <v>45611.538460000003</v>
      </c>
      <c r="P162" s="46">
        <f t="shared" ca="1" si="7"/>
        <v>8.4465811964214346E-3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input_423100!A$2</f>
        <v>423100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IFERROR(VLOOKUP(B163,input_423100!L:R,7,FALSE),VLOOKUP(tables_423100!C163,input_423100!A:H,8,FALSE))</f>
        <v>530</v>
      </c>
      <c r="P163" s="46">
        <f t="shared" ca="1" si="7"/>
        <v>9.8148148149602242E-5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input_423100!A$2</f>
        <v>423100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IFERROR(VLOOKUP(B164,input_423100!L:R,7,FALSE),VLOOKUP(tables_423100!C164,input_423100!A:H,8,FALSE))</f>
        <v>2972.8571400000001</v>
      </c>
      <c r="P164" s="46">
        <f t="shared" ca="1" si="7"/>
        <v>5.5052910000815628E-4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input_423100!A$2</f>
        <v>423100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IFERROR(VLOOKUP(B165,input_423100!L:R,7,FALSE),VLOOKUP(tables_423100!C165,input_423100!A:H,8,FALSE))</f>
        <v>95</v>
      </c>
      <c r="P165" s="46">
        <f t="shared" ca="1" si="7"/>
        <v>1.759259259285323E-5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input_423100!A$2</f>
        <v>423100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IFERROR(VLOOKUP(B166,input_423100!L:R,7,FALSE),VLOOKUP(tables_423100!C166,input_423100!A:H,8,FALSE))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input_423100!A$2</f>
        <v>423100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IFERROR(VLOOKUP(B167,input_423100!L:R,7,FALSE),VLOOKUP(tables_423100!C167,input_423100!A:H,8,FALSE))</f>
        <v>45611.538460000003</v>
      </c>
      <c r="P167" s="46">
        <f t="shared" ca="1" si="7"/>
        <v>8.4465811964214346E-3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input_423100!A$2</f>
        <v>423100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IFERROR(VLOOKUP(B168,input_423100!L:R,7,FALSE),VLOOKUP(tables_423100!C168,input_423100!A:H,8,FALSE))</f>
        <v>530</v>
      </c>
      <c r="P168" s="46">
        <f t="shared" ca="1" si="7"/>
        <v>9.8148148149602242E-5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input_423100!A$2</f>
        <v>423100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IFERROR(VLOOKUP(B169,input_423100!L:R,7,FALSE),VLOOKUP(tables_423100!C169,input_423100!A:H,8,FALSE))</f>
        <v>2972.8571400000001</v>
      </c>
      <c r="P169" s="46">
        <f t="shared" ca="1" si="7"/>
        <v>5.5052910000815628E-4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input_423100!A$2</f>
        <v>423100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IFERROR(VLOOKUP(B170,input_423100!L:R,7,FALSE),VLOOKUP(tables_423100!C170,input_423100!A:H,8,FALSE))</f>
        <v>95</v>
      </c>
      <c r="P170" s="46">
        <f t="shared" ca="1" si="7"/>
        <v>1.759259259285323E-5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input_423100!A$2</f>
        <v>423100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IFERROR(VLOOKUP(B171,input_423100!L:R,7,FALSE),VLOOKUP(tables_423100!C171,input_423100!A:H,8,FALSE))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input_423100!A$2</f>
        <v>423100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IFERROR(VLOOKUP(B172,input_423100!L:R,7,FALSE),VLOOKUP(tables_423100!C172,input_423100!A:H,8,FALSE))</f>
        <v>45611.538460000003</v>
      </c>
      <c r="P172" s="46">
        <f t="shared" ca="1" si="7"/>
        <v>8.4465811964214346E-3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input_423100!A$2</f>
        <v>423100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IFERROR(VLOOKUP(B173,input_423100!L:R,7,FALSE),VLOOKUP(tables_423100!C173,input_423100!A:H,8,FALSE))</f>
        <v>530</v>
      </c>
      <c r="P173" s="46">
        <f t="shared" ca="1" si="7"/>
        <v>9.8148148149602242E-5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input_423100!A$2</f>
        <v>423100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IFERROR(VLOOKUP(B174,input_423100!L:R,7,FALSE),VLOOKUP(tables_423100!C174,input_423100!A:H,8,FALSE))</f>
        <v>2972.8571400000001</v>
      </c>
      <c r="P174" s="46">
        <f t="shared" ca="1" si="7"/>
        <v>5.5052910000815628E-4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input_423100!A$2</f>
        <v>423100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IFERROR(VLOOKUP(B175,input_423100!L:R,7,FALSE),VLOOKUP(tables_423100!C175,input_423100!A:H,8,FALSE))</f>
        <v>95</v>
      </c>
      <c r="P175" s="46">
        <f t="shared" ca="1" si="7"/>
        <v>1.759259259285323E-5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input_423100!A$2</f>
        <v>423100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IFERROR(VLOOKUP(B176,input_423100!L:R,7,FALSE),VLOOKUP(tables_423100!C176,input_423100!A:H,8,FALSE))</f>
        <v>2972.8571400000001</v>
      </c>
      <c r="P176" s="46">
        <f t="shared" ca="1" si="7"/>
        <v>5.5052910000815628E-4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input_423100!A$2</f>
        <v>423100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IFERROR(VLOOKUP(B177,input_423100!L:R,7,FALSE),VLOOKUP(tables_423100!C177,input_423100!A:H,8,FALSE))</f>
        <v>95</v>
      </c>
      <c r="P177" s="46">
        <f t="shared" ca="1" si="7"/>
        <v>1.759259259285323E-5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input_423100!A$2</f>
        <v>423100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IFERROR(VLOOKUP(B178,input_423100!L:R,7,FALSE),VLOOKUP(tables_423100!C178,input_423100!A:H,8,FALSE))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input_423100!A$2</f>
        <v>423100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IFERROR(VLOOKUP(B179,input_423100!L:R,7,FALSE),VLOOKUP(tables_423100!C179,input_423100!A:H,8,FALSE))</f>
        <v>45611.538460000003</v>
      </c>
      <c r="P179" s="46">
        <f t="shared" ca="1" si="7"/>
        <v>8.4465811964214346E-3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input_423100!A$2</f>
        <v>423100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IFERROR(VLOOKUP(B180,input_423100!L:R,7,FALSE),VLOOKUP(tables_423100!C180,input_423100!A:H,8,FALSE))</f>
        <v>530</v>
      </c>
      <c r="P180" s="46">
        <f t="shared" ca="1" si="7"/>
        <v>9.8148148149602242E-5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input_423100!A$2</f>
        <v>423100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IFERROR(VLOOKUP(B181,input_423100!L:R,7,FALSE),VLOOKUP(tables_423100!C181,input_423100!A:H,8,FALSE))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input_423100!A$2</f>
        <v>423100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IFERROR(VLOOKUP(B182,input_423100!L:R,7,FALSE),VLOOKUP(tables_423100!C182,input_423100!A:H,8,FALSE))</f>
        <v>45611.538460000003</v>
      </c>
      <c r="P182" s="46">
        <f t="shared" ca="1" si="7"/>
        <v>8.4465811964214346E-3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input_423100!A$2</f>
        <v>423100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IFERROR(VLOOKUP(B183,input_423100!L:R,7,FALSE),VLOOKUP(tables_423100!C183,input_423100!A:H,8,FALSE))</f>
        <v>530</v>
      </c>
      <c r="P183" s="46">
        <f t="shared" ca="1" si="7"/>
        <v>9.8148148149602242E-5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input_423100!A$2</f>
        <v>423100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IFERROR(VLOOKUP(B184,input_423100!L:R,7,FALSE),VLOOKUP(tables_423100!C184,input_423100!A:H,8,FALSE))</f>
        <v>2972.8571400000001</v>
      </c>
      <c r="P184" s="46">
        <f t="shared" ca="1" si="7"/>
        <v>5.5052910000815628E-4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input_423100!A$2</f>
        <v>423100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IFERROR(VLOOKUP(B185,input_423100!L:R,7,FALSE),VLOOKUP(tables_423100!C185,input_423100!A:H,8,FALSE))</f>
        <v>95</v>
      </c>
      <c r="P185" s="46">
        <f t="shared" ca="1" si="7"/>
        <v>1.759259259285323E-5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input_423100!A$2</f>
        <v>423100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IFERROR(VLOOKUP(B186,input_423100!L:R,7,FALSE),VLOOKUP(tables_423100!C186,input_423100!A:H,8,FALSE))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input_423100!A$2</f>
        <v>423100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IFERROR(VLOOKUP(B187,input_423100!L:R,7,FALSE),VLOOKUP(tables_423100!C187,input_423100!A:H,8,FALSE))</f>
        <v>45611.538460000003</v>
      </c>
      <c r="P187" s="46">
        <f t="shared" ca="1" si="7"/>
        <v>8.4465811964214346E-3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input_423100!A$2</f>
        <v>423100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IFERROR(VLOOKUP(B188,input_423100!L:R,7,FALSE),VLOOKUP(tables_423100!C188,input_423100!A:H,8,FALSE))</f>
        <v>530</v>
      </c>
      <c r="P188" s="46">
        <f t="shared" ca="1" si="7"/>
        <v>9.8148148149602242E-5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input_423100!A$2</f>
        <v>423100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IFERROR(VLOOKUP(B189,input_423100!L:R,7,FALSE),VLOOKUP(tables_423100!C189,input_423100!A:H,8,FALSE))</f>
        <v>2972.8571400000001</v>
      </c>
      <c r="P189" s="46">
        <f t="shared" ca="1" si="7"/>
        <v>5.5052910000815628E-4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input_423100!A$2</f>
        <v>423100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IFERROR(VLOOKUP(B190,input_423100!L:R,7,FALSE),VLOOKUP(tables_423100!C190,input_423100!A:H,8,FALSE))</f>
        <v>95</v>
      </c>
      <c r="P190" s="46">
        <f t="shared" ca="1" si="7"/>
        <v>1.759259259285323E-5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input_423100!A$2</f>
        <v>423100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IFERROR(VLOOKUP(B191,input_423100!L:R,7,FALSE),VLOOKUP(tables_423100!C191,input_423100!A:H,8,FALSE))</f>
        <v>2972.8571400000001</v>
      </c>
      <c r="P191" s="46">
        <f t="shared" ca="1" si="7"/>
        <v>5.5052910000815628E-4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input_423100!A$2</f>
        <v>423100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IFERROR(VLOOKUP(B192,input_423100!L:R,7,FALSE),VLOOKUP(tables_423100!C192,input_423100!A:H,8,FALSE))</f>
        <v>95</v>
      </c>
      <c r="P192" s="46">
        <f t="shared" ca="1" si="7"/>
        <v>1.759259259285323E-5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input_423100!A$2</f>
        <v>423100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IFERROR(VLOOKUP(B193,input_423100!L:R,7,FALSE),VLOOKUP(tables_423100!C193,input_423100!A:H,8,FALSE))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input_423100!A$2</f>
        <v>423100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IFERROR(VLOOKUP(B194,input_423100!L:R,7,FALSE),VLOOKUP(tables_423100!C194,input_423100!A:H,8,FALSE))</f>
        <v>45611.538460000003</v>
      </c>
      <c r="P194" s="46">
        <f t="shared" ref="P194:P257" ca="1" si="10">O194/SUM(O:O)</f>
        <v>8.4465811964214346E-3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input_423100!A$2</f>
        <v>423100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IFERROR(VLOOKUP(B195,input_423100!L:R,7,FALSE),VLOOKUP(tables_423100!C195,input_423100!A:H,8,FALSE))</f>
        <v>530</v>
      </c>
      <c r="P195" s="46">
        <f t="shared" ca="1" si="10"/>
        <v>9.8148148149602242E-5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input_423100!A$2</f>
        <v>423100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IFERROR(VLOOKUP(B196,input_423100!L:R,7,FALSE),VLOOKUP(tables_423100!C196,input_423100!A:H,8,FALSE))</f>
        <v>2972.8571400000001</v>
      </c>
      <c r="P196" s="46">
        <f t="shared" ca="1" si="10"/>
        <v>5.5052910000815628E-4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input_423100!A$2</f>
        <v>423100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IFERROR(VLOOKUP(B197,input_423100!L:R,7,FALSE),VLOOKUP(tables_423100!C197,input_423100!A:H,8,FALSE))</f>
        <v>95</v>
      </c>
      <c r="P197" s="46">
        <f t="shared" ca="1" si="10"/>
        <v>1.759259259285323E-5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input_423100!A$2</f>
        <v>423100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IFERROR(VLOOKUP(B198,input_423100!L:R,7,FALSE),VLOOKUP(tables_423100!C198,input_423100!A:H,8,FALSE))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input_423100!A$2</f>
        <v>423100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IFERROR(VLOOKUP(B199,input_423100!L:R,7,FALSE),VLOOKUP(tables_423100!C199,input_423100!A:H,8,FALSE))</f>
        <v>45611.538460000003</v>
      </c>
      <c r="P199" s="46">
        <f t="shared" ca="1" si="10"/>
        <v>8.4465811964214346E-3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input_423100!A$2</f>
        <v>423100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IFERROR(VLOOKUP(B200,input_423100!L:R,7,FALSE),VLOOKUP(tables_423100!C200,input_423100!A:H,8,FALSE))</f>
        <v>530</v>
      </c>
      <c r="P200" s="46">
        <f t="shared" ca="1" si="10"/>
        <v>9.8148148149602242E-5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input_423100!A$2</f>
        <v>423100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IFERROR(VLOOKUP(B201,input_423100!L:R,7,FALSE),VLOOKUP(tables_423100!C201,input_423100!A:H,8,FALSE))</f>
        <v>2972.8571400000001</v>
      </c>
      <c r="P201" s="46">
        <f t="shared" ca="1" si="10"/>
        <v>5.5052910000815628E-4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input_423100!A$2</f>
        <v>423100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IFERROR(VLOOKUP(B202,input_423100!L:R,7,FALSE),VLOOKUP(tables_423100!C202,input_423100!A:H,8,FALSE))</f>
        <v>95</v>
      </c>
      <c r="P202" s="46">
        <f t="shared" ca="1" si="10"/>
        <v>1.759259259285323E-5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input_423100!A$2</f>
        <v>423100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IFERROR(VLOOKUP(B203,input_423100!L:R,7,FALSE),VLOOKUP(tables_423100!C203,input_423100!A:H,8,FALSE))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input_423100!A$2</f>
        <v>423100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IFERROR(VLOOKUP(B204,input_423100!L:R,7,FALSE),VLOOKUP(tables_423100!C204,input_423100!A:H,8,FALSE))</f>
        <v>45611.538460000003</v>
      </c>
      <c r="P204" s="46">
        <f t="shared" ca="1" si="10"/>
        <v>8.4465811964214346E-3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input_423100!A$2</f>
        <v>423100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IFERROR(VLOOKUP(B205,input_423100!L:R,7,FALSE),VLOOKUP(tables_423100!C205,input_423100!A:H,8,FALSE))</f>
        <v>530</v>
      </c>
      <c r="P205" s="46">
        <f t="shared" ca="1" si="10"/>
        <v>9.8148148149602242E-5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input_423100!A$2</f>
        <v>423100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IFERROR(VLOOKUP(B206,input_423100!L:R,7,FALSE),VLOOKUP(tables_423100!C206,input_423100!A:H,8,FALSE))</f>
        <v>2972.8571400000001</v>
      </c>
      <c r="P206" s="46">
        <f t="shared" ca="1" si="10"/>
        <v>5.5052910000815628E-4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input_423100!A$2</f>
        <v>423100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IFERROR(VLOOKUP(B207,input_423100!L:R,7,FALSE),VLOOKUP(tables_423100!C207,input_423100!A:H,8,FALSE))</f>
        <v>95</v>
      </c>
      <c r="P207" s="46">
        <f t="shared" ca="1" si="10"/>
        <v>1.759259259285323E-5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input_423100!A$2</f>
        <v>423100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IFERROR(VLOOKUP(B208,input_423100!L:R,7,FALSE),VLOOKUP(tables_423100!C208,input_423100!A:H,8,FALSE))</f>
        <v>2972.8571400000001</v>
      </c>
      <c r="P208" s="46">
        <f t="shared" ca="1" si="10"/>
        <v>5.5052910000815628E-4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input_423100!A$2</f>
        <v>423100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IFERROR(VLOOKUP(B209,input_423100!L:R,7,FALSE),VLOOKUP(tables_423100!C209,input_423100!A:H,8,FALSE))</f>
        <v>95</v>
      </c>
      <c r="P209" s="46">
        <f t="shared" ca="1" si="10"/>
        <v>1.759259259285323E-5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input_423100!A$2</f>
        <v>423100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IFERROR(VLOOKUP(B210,input_423100!L:R,7,FALSE),VLOOKUP(tables_423100!C210,input_423100!A:H,8,FALSE))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input_423100!A$2</f>
        <v>423100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IFERROR(VLOOKUP(B211,input_423100!L:R,7,FALSE),VLOOKUP(tables_423100!C211,input_423100!A:H,8,FALSE))</f>
        <v>45611.538460000003</v>
      </c>
      <c r="P211" s="46">
        <f t="shared" ca="1" si="10"/>
        <v>8.4465811964214346E-3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input_423100!A$2</f>
        <v>423100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IFERROR(VLOOKUP(B212,input_423100!L:R,7,FALSE),VLOOKUP(tables_423100!C212,input_423100!A:H,8,FALSE))</f>
        <v>530</v>
      </c>
      <c r="P212" s="46">
        <f t="shared" ca="1" si="10"/>
        <v>9.8148148149602242E-5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input_423100!A$2</f>
        <v>423100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IFERROR(VLOOKUP(B213,input_423100!L:R,7,FALSE),VLOOKUP(tables_423100!C213,input_423100!A:H,8,FALSE))</f>
        <v>2972.8571400000001</v>
      </c>
      <c r="P213" s="46">
        <f t="shared" ca="1" si="10"/>
        <v>5.5052910000815628E-4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input_423100!A$2</f>
        <v>423100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IFERROR(VLOOKUP(B214,input_423100!L:R,7,FALSE),VLOOKUP(tables_423100!C214,input_423100!A:H,8,FALSE))</f>
        <v>95</v>
      </c>
      <c r="P214" s="46">
        <f t="shared" ca="1" si="10"/>
        <v>1.759259259285323E-5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input_423100!A$2</f>
        <v>423100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IFERROR(VLOOKUP(B215,input_423100!L:R,7,FALSE),VLOOKUP(tables_423100!C215,input_423100!A:H,8,FALSE))</f>
        <v>2972.8571400000001</v>
      </c>
      <c r="P215" s="46">
        <f t="shared" ca="1" si="10"/>
        <v>5.5052910000815628E-4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input_423100!A$2</f>
        <v>423100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IFERROR(VLOOKUP(B216,input_423100!L:R,7,FALSE),VLOOKUP(tables_423100!C216,input_423100!A:H,8,FALSE))</f>
        <v>95</v>
      </c>
      <c r="P216" s="46">
        <f t="shared" ca="1" si="10"/>
        <v>1.759259259285323E-5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input_423100!A$2</f>
        <v>423100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IFERROR(VLOOKUP(B217,input_423100!L:R,7,FALSE),VLOOKUP(tables_423100!C217,input_423100!A:H,8,FALSE))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input_423100!A$2</f>
        <v>423100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IFERROR(VLOOKUP(B218,input_423100!L:R,7,FALSE),VLOOKUP(tables_423100!C218,input_423100!A:H,8,FALSE))</f>
        <v>45611.538460000003</v>
      </c>
      <c r="P218" s="46">
        <f t="shared" ca="1" si="10"/>
        <v>8.4465811964214346E-3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input_423100!A$2</f>
        <v>423100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IFERROR(VLOOKUP(B219,input_423100!L:R,7,FALSE),VLOOKUP(tables_423100!C219,input_423100!A:H,8,FALSE))</f>
        <v>530</v>
      </c>
      <c r="P219" s="46">
        <f t="shared" ca="1" si="10"/>
        <v>9.8148148149602242E-5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input_423100!A$2</f>
        <v>423100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IFERROR(VLOOKUP(B220,input_423100!L:R,7,FALSE),VLOOKUP(tables_423100!C220,input_423100!A:H,8,FALSE))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input_423100!A$2</f>
        <v>423100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IFERROR(VLOOKUP(B221,input_423100!L:R,7,FALSE),VLOOKUP(tables_423100!C221,input_423100!A:H,8,FALSE))</f>
        <v>45611.538460000003</v>
      </c>
      <c r="P221" s="46">
        <f t="shared" ca="1" si="10"/>
        <v>8.4465811964214346E-3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input_423100!A$2</f>
        <v>423100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IFERROR(VLOOKUP(B222,input_423100!L:R,7,FALSE),VLOOKUP(tables_423100!C222,input_423100!A:H,8,FALSE))</f>
        <v>530</v>
      </c>
      <c r="P222" s="46">
        <f t="shared" ca="1" si="10"/>
        <v>9.8148148149602242E-5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input_423100!A$2</f>
        <v>423100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IFERROR(VLOOKUP(B223,input_423100!L:R,7,FALSE),VLOOKUP(tables_423100!C223,input_423100!A:H,8,FALSE))</f>
        <v>2972.8571400000001</v>
      </c>
      <c r="P223" s="46">
        <f t="shared" ca="1" si="10"/>
        <v>5.5052910000815628E-4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input_423100!A$2</f>
        <v>423100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IFERROR(VLOOKUP(B224,input_423100!L:R,7,FALSE),VLOOKUP(tables_423100!C224,input_423100!A:H,8,FALSE))</f>
        <v>95</v>
      </c>
      <c r="P224" s="46">
        <f t="shared" ca="1" si="10"/>
        <v>1.759259259285323E-5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input_423100!A$2</f>
        <v>423100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IFERROR(VLOOKUP(B225,input_423100!L:R,7,FALSE),VLOOKUP(tables_423100!C225,input_423100!A:H,8,FALSE))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input_423100!A$2</f>
        <v>423100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IFERROR(VLOOKUP(B226,input_423100!L:R,7,FALSE),VLOOKUP(tables_423100!C226,input_423100!A:H,8,FALSE))</f>
        <v>45611.538460000003</v>
      </c>
      <c r="P226" s="46">
        <f t="shared" ca="1" si="10"/>
        <v>8.4465811964214346E-3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input_423100!A$2</f>
        <v>423100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IFERROR(VLOOKUP(B227,input_423100!L:R,7,FALSE),VLOOKUP(tables_423100!C227,input_423100!A:H,8,FALSE))</f>
        <v>530</v>
      </c>
      <c r="P227" s="46">
        <f t="shared" ca="1" si="10"/>
        <v>9.8148148149602242E-5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input_423100!A$2</f>
        <v>423100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IFERROR(VLOOKUP(B228,input_423100!L:R,7,FALSE),VLOOKUP(tables_423100!C228,input_423100!A:H,8,FALSE))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input_423100!A$2</f>
        <v>423100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IFERROR(VLOOKUP(B229,input_423100!L:R,7,FALSE),VLOOKUP(tables_423100!C229,input_423100!A:H,8,FALSE))</f>
        <v>45611.538460000003</v>
      </c>
      <c r="P229" s="46">
        <f t="shared" ca="1" si="10"/>
        <v>8.4465811964214346E-3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input_423100!A$2</f>
        <v>423100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IFERROR(VLOOKUP(B230,input_423100!L:R,7,FALSE),VLOOKUP(tables_423100!C230,input_423100!A:H,8,FALSE))</f>
        <v>530</v>
      </c>
      <c r="P230" s="46">
        <f t="shared" ca="1" si="10"/>
        <v>9.8148148149602242E-5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input_423100!A$2</f>
        <v>423100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IFERROR(VLOOKUP(B231,input_423100!L:R,7,FALSE),VLOOKUP(tables_423100!C231,input_423100!A:H,8,FALSE))</f>
        <v>2972.8571400000001</v>
      </c>
      <c r="P231" s="46">
        <f t="shared" ca="1" si="10"/>
        <v>5.5052910000815628E-4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input_423100!A$2</f>
        <v>423100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IFERROR(VLOOKUP(B232,input_423100!L:R,7,FALSE),VLOOKUP(tables_423100!C232,input_423100!A:H,8,FALSE))</f>
        <v>95</v>
      </c>
      <c r="P232" s="46">
        <f t="shared" ca="1" si="10"/>
        <v>1.759259259285323E-5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input_423100!A$2</f>
        <v>423100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IFERROR(VLOOKUP(B233,input_423100!L:R,7,FALSE),VLOOKUP(tables_423100!C233,input_423100!A:H,8,FALSE))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input_423100!A$2</f>
        <v>423100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IFERROR(VLOOKUP(B234,input_423100!L:R,7,FALSE),VLOOKUP(tables_423100!C234,input_423100!A:H,8,FALSE))</f>
        <v>45611.538460000003</v>
      </c>
      <c r="P234" s="46">
        <f t="shared" ca="1" si="10"/>
        <v>8.4465811964214346E-3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input_423100!A$2</f>
        <v>423100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IFERROR(VLOOKUP(B235,input_423100!L:R,7,FALSE),VLOOKUP(tables_423100!C235,input_423100!A:H,8,FALSE))</f>
        <v>530</v>
      </c>
      <c r="P235" s="46">
        <f t="shared" ca="1" si="10"/>
        <v>9.8148148149602242E-5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input_423100!A$2</f>
        <v>423100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IFERROR(VLOOKUP(B236,input_423100!L:R,7,FALSE),VLOOKUP(tables_423100!C236,input_423100!A:H,8,FALSE))</f>
        <v>2972.8571400000001</v>
      </c>
      <c r="P236" s="46">
        <f t="shared" ca="1" si="10"/>
        <v>5.5052910000815628E-4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input_423100!A$2</f>
        <v>423100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IFERROR(VLOOKUP(B237,input_423100!L:R,7,FALSE),VLOOKUP(tables_423100!C237,input_423100!A:H,8,FALSE))</f>
        <v>95</v>
      </c>
      <c r="P237" s="46">
        <f t="shared" ca="1" si="10"/>
        <v>1.759259259285323E-5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input_423100!A$2</f>
        <v>423100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IFERROR(VLOOKUP(B238,input_423100!L:R,7,FALSE),VLOOKUP(tables_423100!C238,input_423100!A:H,8,FALSE))</f>
        <v>2972.8571400000001</v>
      </c>
      <c r="P238" s="46">
        <f t="shared" ca="1" si="10"/>
        <v>5.5052910000815628E-4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input_423100!A$2</f>
        <v>423100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IFERROR(VLOOKUP(B239,input_423100!L:R,7,FALSE),VLOOKUP(tables_423100!C239,input_423100!A:H,8,FALSE))</f>
        <v>95</v>
      </c>
      <c r="P239" s="46">
        <f t="shared" ca="1" si="10"/>
        <v>1.759259259285323E-5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input_423100!A$2</f>
        <v>423100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IFERROR(VLOOKUP(B240,input_423100!L:R,7,FALSE),VLOOKUP(tables_423100!C240,input_423100!A:H,8,FALSE))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input_423100!A$2</f>
        <v>423100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IFERROR(VLOOKUP(B241,input_423100!L:R,7,FALSE),VLOOKUP(tables_423100!C241,input_423100!A:H,8,FALSE))</f>
        <v>45611.538460000003</v>
      </c>
      <c r="P241" s="46">
        <f t="shared" ca="1" si="10"/>
        <v>8.4465811964214346E-3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input_423100!A$2</f>
        <v>423100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IFERROR(VLOOKUP(B242,input_423100!L:R,7,FALSE),VLOOKUP(tables_423100!C242,input_423100!A:H,8,FALSE))</f>
        <v>530</v>
      </c>
      <c r="P242" s="46">
        <f t="shared" ca="1" si="10"/>
        <v>9.8148148149602242E-5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input_423100!A$2</f>
        <v>423100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IFERROR(VLOOKUP(B243,input_423100!L:R,7,FALSE),VLOOKUP(tables_423100!C243,input_423100!A:H,8,FALSE))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input_423100!A$2</f>
        <v>423100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IFERROR(VLOOKUP(B244,input_423100!L:R,7,FALSE),VLOOKUP(tables_423100!C244,input_423100!A:H,8,FALSE))</f>
        <v>45611.538460000003</v>
      </c>
      <c r="P244" s="46">
        <f t="shared" ca="1" si="10"/>
        <v>8.4465811964214346E-3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input_423100!A$2</f>
        <v>423100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IFERROR(VLOOKUP(B245,input_423100!L:R,7,FALSE),VLOOKUP(tables_423100!C245,input_423100!A:H,8,FALSE))</f>
        <v>530</v>
      </c>
      <c r="P245" s="46">
        <f t="shared" ca="1" si="10"/>
        <v>9.8148148149602242E-5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input_423100!A$2</f>
        <v>423100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IFERROR(VLOOKUP(B246,input_423100!L:R,7,FALSE),VLOOKUP(tables_423100!C246,input_423100!A:H,8,FALSE))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input_423100!A$2</f>
        <v>423100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IFERROR(VLOOKUP(B247,input_423100!L:R,7,FALSE),VLOOKUP(tables_423100!C247,input_423100!A:H,8,FALSE))</f>
        <v>45611.538460000003</v>
      </c>
      <c r="P247" s="46">
        <f t="shared" ca="1" si="10"/>
        <v>8.4465811964214346E-3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input_423100!A$2</f>
        <v>423100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IFERROR(VLOOKUP(B248,input_423100!L:R,7,FALSE),VLOOKUP(tables_423100!C248,input_423100!A:H,8,FALSE))</f>
        <v>530</v>
      </c>
      <c r="P248" s="46">
        <f t="shared" ca="1" si="10"/>
        <v>9.8148148149602242E-5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input_423100!A$2</f>
        <v>423100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IFERROR(VLOOKUP(B249,input_423100!L:R,7,FALSE),VLOOKUP(tables_423100!C249,input_423100!A:H,8,FALSE))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input_423100!A$2</f>
        <v>423100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IFERROR(VLOOKUP(B250,input_423100!L:R,7,FALSE),VLOOKUP(tables_423100!C250,input_423100!A:H,8,FALSE))</f>
        <v>45611.538460000003</v>
      </c>
      <c r="P250" s="46">
        <f t="shared" ca="1" si="10"/>
        <v>8.4465811964214346E-3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input_423100!A$2</f>
        <v>423100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IFERROR(VLOOKUP(B251,input_423100!L:R,7,FALSE),VLOOKUP(tables_423100!C251,input_423100!A:H,8,FALSE))</f>
        <v>530</v>
      </c>
      <c r="P251" s="46">
        <f t="shared" ca="1" si="10"/>
        <v>9.8148148149602242E-5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input_423100!A$2</f>
        <v>423100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IFERROR(VLOOKUP(B252,input_423100!L:R,7,FALSE),VLOOKUP(tables_423100!C252,input_423100!A:H,8,FALSE))</f>
        <v>2972.8571400000001</v>
      </c>
      <c r="P252" s="46">
        <f t="shared" ca="1" si="10"/>
        <v>5.5052910000815628E-4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input_423100!A$2</f>
        <v>423100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IFERROR(VLOOKUP(B253,input_423100!L:R,7,FALSE),VLOOKUP(tables_423100!C253,input_423100!A:H,8,FALSE))</f>
        <v>95</v>
      </c>
      <c r="P253" s="46">
        <f t="shared" ca="1" si="10"/>
        <v>1.759259259285323E-5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input_423100!A$2</f>
        <v>423100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IFERROR(VLOOKUP(B254,input_423100!L:R,7,FALSE),VLOOKUP(tables_423100!C254,input_423100!A:H,8,FALSE))</f>
        <v>2972.8571400000001</v>
      </c>
      <c r="P254" s="46">
        <f t="shared" ca="1" si="10"/>
        <v>5.5052910000815628E-4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input_423100!A$2</f>
        <v>423100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IFERROR(VLOOKUP(B255,input_423100!L:R,7,FALSE),VLOOKUP(tables_423100!C255,input_423100!A:H,8,FALSE))</f>
        <v>95</v>
      </c>
      <c r="P255" s="46">
        <f t="shared" ca="1" si="10"/>
        <v>1.759259259285323E-5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input_423100!A$2</f>
        <v>423100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IFERROR(VLOOKUP(B256,input_423100!L:R,7,FALSE),VLOOKUP(tables_423100!C256,input_423100!A:H,8,FALSE))</f>
        <v>52236.92308</v>
      </c>
      <c r="P256" s="46">
        <f t="shared" ca="1" si="10"/>
        <v>9.6735042742173896E-3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input_423100!A$2</f>
        <v>423100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IFERROR(VLOOKUP(B257,input_423100!L:R,7,FALSE),VLOOKUP(tables_423100!C257,input_423100!A:H,8,FALSE))</f>
        <v>563.07691999999997</v>
      </c>
      <c r="P257" s="46">
        <f t="shared" ca="1" si="10"/>
        <v>1.0427350370524854E-4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input_423100!A$2</f>
        <v>423100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IFERROR(VLOOKUP(B258,input_423100!L:R,7,FALSE),VLOOKUP(tables_423100!C258,input_423100!A:H,8,FALSE))</f>
        <v>52236.92308</v>
      </c>
      <c r="P258" s="46">
        <f t="shared" ref="P258:P294" ca="1" si="13">O258/SUM(O:O)</f>
        <v>9.6735042742173896E-3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input_423100!A$2</f>
        <v>423100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IFERROR(VLOOKUP(B259,input_423100!L:R,7,FALSE),VLOOKUP(tables_423100!C259,input_423100!A:H,8,FALSE))</f>
        <v>563.07691999999997</v>
      </c>
      <c r="P259" s="46">
        <f t="shared" ca="1" si="13"/>
        <v>1.0427350370524854E-4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input_423100!A$2</f>
        <v>423100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IFERROR(VLOOKUP(B260,input_423100!L:R,7,FALSE),VLOOKUP(tables_423100!C260,input_423100!A:H,8,FALSE))</f>
        <v>726.08695999999998</v>
      </c>
      <c r="P260" s="46">
        <f t="shared" ca="1" si="13"/>
        <v>1.3446054815014022E-4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input_423100!A$2</f>
        <v>423100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IFERROR(VLOOKUP(B261,input_423100!L:R,7,FALSE),VLOOKUP(tables_423100!C261,input_423100!A:H,8,FALSE))</f>
        <v>726.08695999999998</v>
      </c>
      <c r="P261" s="46">
        <f t="shared" ca="1" si="13"/>
        <v>1.3446054815014022E-4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input_423100!A$2</f>
        <v>423100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IFERROR(VLOOKUP(B262,input_423100!L:R,7,FALSE),VLOOKUP(tables_423100!C262,input_423100!A:H,8,FALSE))</f>
        <v>2972.8571400000001</v>
      </c>
      <c r="P262" s="46">
        <f t="shared" ca="1" si="13"/>
        <v>5.5052910000815628E-4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input_423100!A$2</f>
        <v>423100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IFERROR(VLOOKUP(B263,input_423100!L:R,7,FALSE),VLOOKUP(tables_423100!C263,input_423100!A:H,8,FALSE))</f>
        <v>95</v>
      </c>
      <c r="P263" s="46">
        <f t="shared" ca="1" si="13"/>
        <v>1.759259259285323E-5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input_423100!A$2</f>
        <v>423100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IFERROR(VLOOKUP(B264,input_423100!L:R,7,FALSE),VLOOKUP(tables_423100!C264,input_423100!A:H,8,FALSE))</f>
        <v>2972.8571400000001</v>
      </c>
      <c r="P264" s="46">
        <f t="shared" ca="1" si="13"/>
        <v>5.5052910000815628E-4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input_423100!A$2</f>
        <v>423100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IFERROR(VLOOKUP(B265,input_423100!L:R,7,FALSE),VLOOKUP(tables_423100!C265,input_423100!A:H,8,FALSE))</f>
        <v>95</v>
      </c>
      <c r="P265" s="46">
        <f t="shared" ca="1" si="13"/>
        <v>1.759259259285323E-5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input_423100!A$2</f>
        <v>423100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IFERROR(VLOOKUP(B266,input_423100!L:R,7,FALSE),VLOOKUP(tables_423100!C266,input_423100!A:H,8,FALSE))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input_423100!A$2</f>
        <v>423100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IFERROR(VLOOKUP(B267,input_423100!L:R,7,FALSE),VLOOKUP(tables_423100!C267,input_423100!A:H,8,FALSE))</f>
        <v>45611.538460000003</v>
      </c>
      <c r="P267" s="46">
        <f t="shared" ca="1" si="13"/>
        <v>8.4465811964214346E-3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input_423100!A$2</f>
        <v>423100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IFERROR(VLOOKUP(B268,input_423100!L:R,7,FALSE),VLOOKUP(tables_423100!C268,input_423100!A:H,8,FALSE))</f>
        <v>530</v>
      </c>
      <c r="P268" s="46">
        <f t="shared" ca="1" si="13"/>
        <v>9.8148148149602242E-5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input_423100!A$2</f>
        <v>423100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IFERROR(VLOOKUP(B269,input_423100!L:R,7,FALSE),VLOOKUP(tables_423100!C269,input_423100!A:H,8,FALSE))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input_423100!A$2</f>
        <v>423100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IFERROR(VLOOKUP(B270,input_423100!L:R,7,FALSE),VLOOKUP(tables_423100!C270,input_423100!A:H,8,FALSE))</f>
        <v>45611.538460000003</v>
      </c>
      <c r="P270" s="46">
        <f t="shared" ca="1" si="13"/>
        <v>8.4465811964214346E-3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input_423100!A$2</f>
        <v>423100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IFERROR(VLOOKUP(B271,input_423100!L:R,7,FALSE),VLOOKUP(tables_423100!C271,input_423100!A:H,8,FALSE))</f>
        <v>530</v>
      </c>
      <c r="P271" s="46">
        <f t="shared" ca="1" si="13"/>
        <v>9.8148148149602242E-5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input_423100!A$2</f>
        <v>423100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IFERROR(VLOOKUP(B272,input_423100!L:R,7,FALSE),VLOOKUP(tables_423100!C272,input_423100!A:H,8,FALSE))</f>
        <v>726.08695999999998</v>
      </c>
      <c r="P272" s="46">
        <f t="shared" ca="1" si="13"/>
        <v>1.3446054815014022E-4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input_423100!A$2</f>
        <v>423100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IFERROR(VLOOKUP(B273,input_423100!L:R,7,FALSE),VLOOKUP(tables_423100!C273,input_423100!A:H,8,FALSE))</f>
        <v>726.08695999999998</v>
      </c>
      <c r="P273" s="46">
        <f t="shared" ca="1" si="13"/>
        <v>1.3446054815014022E-4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input_423100!A$2</f>
        <v>423100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IFERROR(VLOOKUP(B274,input_423100!L:R,7,FALSE),VLOOKUP(tables_423100!C274,input_423100!A:H,8,FALSE))</f>
        <v>52236.92308</v>
      </c>
      <c r="P274" s="46">
        <f t="shared" ca="1" si="13"/>
        <v>9.6735042742173896E-3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input_423100!A$2</f>
        <v>423100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IFERROR(VLOOKUP(B275,input_423100!L:R,7,FALSE),VLOOKUP(tables_423100!C275,input_423100!A:H,8,FALSE))</f>
        <v>563.07691999999997</v>
      </c>
      <c r="P275" s="46">
        <f t="shared" ca="1" si="13"/>
        <v>1.0427350370524854E-4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input_423100!A$2</f>
        <v>423100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IFERROR(VLOOKUP(B276,input_423100!L:R,7,FALSE),VLOOKUP(tables_423100!C276,input_423100!A:H,8,FALSE))</f>
        <v>52236.92308</v>
      </c>
      <c r="P276" s="46">
        <f t="shared" ca="1" si="13"/>
        <v>9.6735042742173896E-3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input_423100!A$2</f>
        <v>423100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IFERROR(VLOOKUP(B277,input_423100!L:R,7,FALSE),VLOOKUP(tables_423100!C277,input_423100!A:H,8,FALSE))</f>
        <v>563.07691999999997</v>
      </c>
      <c r="P277" s="46">
        <f t="shared" ca="1" si="13"/>
        <v>1.0427350370524854E-4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input_423100!A$2</f>
        <v>423100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IFERROR(VLOOKUP(B278,input_423100!L:R,7,FALSE),VLOOKUP(tables_423100!C278,input_423100!A:H,8,FALSE))</f>
        <v>52236.92308</v>
      </c>
      <c r="P278" s="46">
        <f t="shared" ca="1" si="13"/>
        <v>9.6735042742173896E-3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input_423100!A$2</f>
        <v>423100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IFERROR(VLOOKUP(B279,input_423100!L:R,7,FALSE),VLOOKUP(tables_423100!C279,input_423100!A:H,8,FALSE))</f>
        <v>563.07691999999997</v>
      </c>
      <c r="P279" s="46">
        <f t="shared" ca="1" si="13"/>
        <v>1.0427350370524854E-4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input_423100!A$2</f>
        <v>423100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IFERROR(VLOOKUP(B280,input_423100!L:R,7,FALSE),VLOOKUP(tables_423100!C280,input_423100!A:H,8,FALSE))</f>
        <v>52236.92308</v>
      </c>
      <c r="P280" s="46">
        <f t="shared" ca="1" si="13"/>
        <v>9.6735042742173896E-3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input_423100!A$2</f>
        <v>423100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IFERROR(VLOOKUP(B281,input_423100!L:R,7,FALSE),VLOOKUP(tables_423100!C281,input_423100!A:H,8,FALSE))</f>
        <v>563.07691999999997</v>
      </c>
      <c r="P281" s="46">
        <f t="shared" ca="1" si="13"/>
        <v>1.0427350370524854E-4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input_423100!A$2</f>
        <v>423100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IFERROR(VLOOKUP(B282,input_423100!L:R,7,FALSE),VLOOKUP(tables_423100!C282,input_423100!A:H,8,FALSE))</f>
        <v>726.08695999999998</v>
      </c>
      <c r="P282" s="46">
        <f t="shared" ca="1" si="13"/>
        <v>1.3446054815014022E-4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input_423100!A$2</f>
        <v>423100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IFERROR(VLOOKUP(B283,input_423100!L:R,7,FALSE),VLOOKUP(tables_423100!C283,input_423100!A:H,8,FALSE))</f>
        <v>726.08695999999998</v>
      </c>
      <c r="P283" s="46">
        <f t="shared" ca="1" si="13"/>
        <v>1.3446054815014022E-4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input_423100!A$2</f>
        <v>423100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IFERROR(VLOOKUP(B284,input_423100!L:R,7,FALSE),VLOOKUP(tables_423100!C284,input_423100!A:H,8,FALSE))</f>
        <v>726.08695999999998</v>
      </c>
      <c r="P284" s="46">
        <f t="shared" ca="1" si="13"/>
        <v>1.3446054815014022E-4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input_423100!A$2</f>
        <v>423100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IFERROR(VLOOKUP(B285,input_423100!L:R,7,FALSE),VLOOKUP(tables_423100!C285,input_423100!A:H,8,FALSE))</f>
        <v>726.08695999999998</v>
      </c>
      <c r="P285" s="46">
        <f t="shared" ca="1" si="13"/>
        <v>1.3446054815014022E-4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input_423100!A$2</f>
        <v>423100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IFERROR(VLOOKUP(B286,input_423100!L:R,7,FALSE),VLOOKUP(tables_423100!C286,input_423100!A:H,8,FALSE))</f>
        <v>52236.92308</v>
      </c>
      <c r="P286" s="46">
        <f t="shared" ca="1" si="13"/>
        <v>9.6735042742173896E-3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input_423100!A$2</f>
        <v>423100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IFERROR(VLOOKUP(B287,input_423100!L:R,7,FALSE),VLOOKUP(tables_423100!C287,input_423100!A:H,8,FALSE))</f>
        <v>563.07691999999997</v>
      </c>
      <c r="P287" s="46">
        <f t="shared" ca="1" si="13"/>
        <v>1.0427350370524854E-4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input_423100!A$2</f>
        <v>423100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IFERROR(VLOOKUP(B288,input_423100!L:R,7,FALSE),VLOOKUP(tables_423100!C288,input_423100!A:H,8,FALSE))</f>
        <v>52236.92308</v>
      </c>
      <c r="P288" s="46">
        <f t="shared" ca="1" si="13"/>
        <v>9.6735042742173896E-3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input_423100!A$2</f>
        <v>423100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IFERROR(VLOOKUP(B289,input_423100!L:R,7,FALSE),VLOOKUP(tables_423100!C289,input_423100!A:H,8,FALSE))</f>
        <v>563.07691999999997</v>
      </c>
      <c r="P289" s="46">
        <f t="shared" ca="1" si="13"/>
        <v>1.0427350370524854E-4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input_423100!A$2</f>
        <v>423100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IFERROR(VLOOKUP(B290,input_423100!L:R,7,FALSE),VLOOKUP(tables_423100!C290,input_423100!A:H,8,FALSE))</f>
        <v>726.08695999999998</v>
      </c>
      <c r="P290" s="46">
        <f t="shared" ca="1" si="13"/>
        <v>1.3446054815014022E-4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input_423100!A$2</f>
        <v>423100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IFERROR(VLOOKUP(B291,input_423100!L:R,7,FALSE),VLOOKUP(tables_423100!C291,input_423100!A:H,8,FALSE))</f>
        <v>52236.92308</v>
      </c>
      <c r="P291" s="46">
        <f t="shared" ca="1" si="13"/>
        <v>9.6735042742173896E-3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input_423100!A$2</f>
        <v>423100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IFERROR(VLOOKUP(B292,input_423100!L:R,7,FALSE),VLOOKUP(tables_423100!C292,input_423100!A:H,8,FALSE))</f>
        <v>563.07691999999997</v>
      </c>
      <c r="P292" s="46">
        <f t="shared" ca="1" si="13"/>
        <v>1.0427350370524854E-4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input_423100!A$2</f>
        <v>423100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IFERROR(VLOOKUP(B293,input_423100!L:R,7,FALSE),VLOOKUP(tables_423100!C293,input_423100!A:H,8,FALSE))</f>
        <v>726.08695999999998</v>
      </c>
      <c r="P293" s="46">
        <f t="shared" ca="1" si="13"/>
        <v>1.3446054815014022E-4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input_423100!A$2</f>
        <v>423100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IFERROR(VLOOKUP(B294,input_423100!L:R,7,FALSE),VLOOKUP(tables_423100!C294,input_423100!A:H,8,FALSE))</f>
        <v>726.08695999999998</v>
      </c>
      <c r="P294" s="46">
        <f t="shared" ca="1" si="13"/>
        <v>1.3446054815014022E-4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input_423100!A$2</f>
        <v>423100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IFERROR(VLOOKUP(B295,input_423100!L:R,7,FALSE),VLOOKUP(tables_423100!C295,input_423100!A:H,8,FALSE))</f>
        <v>726.08695999999998</v>
      </c>
      <c r="P295" s="46">
        <f t="shared" ref="P295:P299" ca="1" si="18">O295/SUM(O:O)</f>
        <v>1.3446054815014022E-4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input_423100!A$2</f>
        <v>423100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IFERROR(VLOOKUP(B296,input_423100!L:R,7,FALSE),VLOOKUP(tables_423100!C296,input_423100!A:H,8,FALSE))</f>
        <v>726.08695999999998</v>
      </c>
      <c r="P296" s="46">
        <f t="shared" ca="1" si="18"/>
        <v>1.3446054815014022E-4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input_423100!A$2</f>
        <v>423100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IFERROR(VLOOKUP(B297,input_423100!L:R,7,FALSE),VLOOKUP(tables_423100!C297,input_423100!A:H,8,FALSE))</f>
        <v>52236.92308</v>
      </c>
      <c r="P297" s="46">
        <f t="shared" ca="1" si="18"/>
        <v>9.6735042742173896E-3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input_423100!A$2</f>
        <v>423100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IFERROR(VLOOKUP(B298,input_423100!L:R,7,FALSE),VLOOKUP(tables_423100!C298,input_423100!A:H,8,FALSE))</f>
        <v>563.07691999999997</v>
      </c>
      <c r="P298" s="46">
        <f t="shared" ca="1" si="18"/>
        <v>1.0427350370524854E-4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input_423100!A$2</f>
        <v>423100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IFERROR(VLOOKUP(B299,input_423100!L:R,7,FALSE),VLOOKUP(tables_423100!C299,input_423100!A:H,8,FALSE))</f>
        <v>726.08695999999998</v>
      </c>
      <c r="P299" s="46">
        <f t="shared" ca="1" si="18"/>
        <v>1.3446054815014022E-4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input_423100!A$2</f>
        <v>423100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IFERROR(VLOOKUP(B300,input_423100!L:R,7,FALSE),VLOOKUP(tables_423100!C300,input_423100!A:H,8,FALSE))</f>
        <v>52236.92308</v>
      </c>
      <c r="P300" s="46">
        <f t="shared" ref="P300:P304" ca="1" si="20">O300/SUM(O:O)</f>
        <v>9.6735042742173896E-3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input_423100!A$2</f>
        <v>423100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IFERROR(VLOOKUP(B301,input_423100!L:R,7,FALSE),VLOOKUP(tables_423100!C301,input_423100!A:H,8,FALSE))</f>
        <v>563.07691999999997</v>
      </c>
      <c r="P301" s="46">
        <f t="shared" ca="1" si="20"/>
        <v>1.0427350370524854E-4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input_423100!A$2</f>
        <v>423100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IFERROR(VLOOKUP(B302,input_423100!L:R,7,FALSE),VLOOKUP(tables_423100!C302,input_423100!A:H,8,FALSE))</f>
        <v>726.08695999999998</v>
      </c>
      <c r="P302" s="46">
        <f t="shared" ca="1" si="20"/>
        <v>1.3446054815014022E-4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input_423100!A$2</f>
        <v>423100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IFERROR(VLOOKUP(B303,input_423100!L:R,7,FALSE),VLOOKUP(tables_423100!C303,input_423100!A:H,8,FALSE))</f>
        <v>726.08695999999998</v>
      </c>
      <c r="P303" s="46">
        <f t="shared" ca="1" si="20"/>
        <v>1.3446054815014022E-4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input_423100!A$2</f>
        <v>423100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IFERROR(VLOOKUP(B304,input_423100!L:R,7,FALSE),VLOOKUP(tables_423100!C304,input_423100!A:H,8,FALSE))</f>
        <v>726.08695999999998</v>
      </c>
      <c r="P304" s="46">
        <f t="shared" ca="1" si="20"/>
        <v>1.3446054815014022E-4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input_423100!A$2</f>
        <v>423100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IFERROR(VLOOKUP(B305,input_423100!L:R,7,FALSE),VLOOKUP(tables_423100!C305,input_423100!A:H,8,FALSE))</f>
        <v>52236.92308</v>
      </c>
      <c r="P305" s="46">
        <f t="shared" ref="P305:P309" ca="1" si="22">O305/SUM(O:O)</f>
        <v>9.6735042742173896E-3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input_423100!A$2</f>
        <v>423100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IFERROR(VLOOKUP(B306,input_423100!L:R,7,FALSE),VLOOKUP(tables_423100!C306,input_423100!A:H,8,FALSE))</f>
        <v>563.07691999999997</v>
      </c>
      <c r="P306" s="46">
        <f t="shared" ca="1" si="22"/>
        <v>1.0427350370524854E-4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input_423100!A$2</f>
        <v>423100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IFERROR(VLOOKUP(B307,input_423100!L:R,7,FALSE),VLOOKUP(tables_423100!C307,input_423100!A:H,8,FALSE))</f>
        <v>726.08695999999998</v>
      </c>
      <c r="P307" s="46">
        <f t="shared" ca="1" si="22"/>
        <v>1.3446054815014022E-4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input_423100!A$2</f>
        <v>423100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IFERROR(VLOOKUP(B308,input_423100!L:R,7,FALSE),VLOOKUP(tables_423100!C308,input_423100!A:H,8,FALSE))</f>
        <v>726.08695999999998</v>
      </c>
      <c r="P308" s="46">
        <f t="shared" ca="1" si="22"/>
        <v>1.3446054815014022E-4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input_423100!A$2</f>
        <v>423100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IFERROR(VLOOKUP(B309,input_423100!L:R,7,FALSE),VLOOKUP(tables_423100!C309,input_423100!A:H,8,FALSE))</f>
        <v>726.08695999999998</v>
      </c>
      <c r="P309" s="46">
        <f t="shared" ca="1" si="22"/>
        <v>1.3446054815014022E-4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input_423100!A$2</f>
        <v>423100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IFERROR(VLOOKUP(B310,input_423100!L:R,7,FALSE),VLOOKUP(tables_423100!C310,input_423100!A:H,8,FALSE))</f>
        <v>52236.92308</v>
      </c>
      <c r="P310" s="46">
        <f t="shared" ref="P310:P314" ca="1" si="25">O310/SUM(O:O)</f>
        <v>9.6735042742173896E-3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input_423100!A$2</f>
        <v>423100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IFERROR(VLOOKUP(B311,input_423100!L:R,7,FALSE),VLOOKUP(tables_423100!C311,input_423100!A:H,8,FALSE))</f>
        <v>563.07691999999997</v>
      </c>
      <c r="P311" s="46">
        <f t="shared" ca="1" si="25"/>
        <v>1.0427350370524854E-4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input_423100!A$2</f>
        <v>423100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IFERROR(VLOOKUP(B312,input_423100!L:R,7,FALSE),VLOOKUP(tables_423100!C312,input_423100!A:H,8,FALSE))</f>
        <v>726.08695999999998</v>
      </c>
      <c r="P312" s="46">
        <f t="shared" ca="1" si="25"/>
        <v>1.3446054815014022E-4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input_423100!A$2</f>
        <v>423100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IFERROR(VLOOKUP(B313,input_423100!L:R,7,FALSE),VLOOKUP(tables_423100!C313,input_423100!A:H,8,FALSE))</f>
        <v>726.08695999999998</v>
      </c>
      <c r="P313" s="46">
        <f t="shared" ca="1" si="25"/>
        <v>1.3446054815014022E-4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input_423100!A$2</f>
        <v>423100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IFERROR(VLOOKUP(B314,input_423100!L:R,7,FALSE),VLOOKUP(tables_423100!C314,input_423100!A:H,8,FALSE))</f>
        <v>726.08695999999998</v>
      </c>
      <c r="P314" s="46">
        <f t="shared" ca="1" si="25"/>
        <v>1.3446054815014022E-4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input_423100!A$2</f>
        <v>423100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>IFERROR(VLOOKUP(B315,input_423100!L:R,7,FALSE),VLOOKUP(tables_423100!C315,input_423100!A:H,8,FALSE))</f>
        <v>37800</v>
      </c>
      <c r="P315" s="46">
        <f t="shared" ref="P315:P319" ca="1" si="28">O315/SUM(O:O)</f>
        <v>7.0000000001037071E-3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input_423100!A$2</f>
        <v>423100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>IFERROR(VLOOKUP(B316,input_423100!L:R,7,FALSE),VLOOKUP(tables_423100!C316,input_423100!A:H,8,FALSE))</f>
        <v>64800</v>
      </c>
      <c r="P316" s="46">
        <f t="shared" ca="1" si="28"/>
        <v>1.2000000000177783E-2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input_423100!A$2</f>
        <v>423100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>IFERROR(VLOOKUP(B317,input_423100!L:R,7,FALSE),VLOOKUP(tables_423100!C317,input_423100!A:H,8,FALSE))</f>
        <v>64800</v>
      </c>
      <c r="P317" s="46">
        <f t="shared" ca="1" si="28"/>
        <v>1.2000000000177783E-2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input_423100!A$2</f>
        <v>423100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>IFERROR(VLOOKUP(B318,input_423100!L:R,7,FALSE),VLOOKUP(tables_423100!C318,input_423100!A:H,8,FALSE))</f>
        <v>340200</v>
      </c>
      <c r="P318" s="46">
        <f t="shared" ca="1" si="28"/>
        <v>6.3000000000933365E-2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input_423100!A$2</f>
        <v>423100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>IFERROR(VLOOKUP(B319,input_423100!L:R,7,FALSE),VLOOKUP(tables_423100!C319,input_423100!A:H,8,FALSE))</f>
        <v>37800</v>
      </c>
      <c r="P319" s="46">
        <f t="shared" ca="1" si="28"/>
        <v>7.0000000001037071E-3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8" sqref="F8:F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423105</v>
      </c>
      <c r="B2" s="5">
        <v>1137</v>
      </c>
      <c r="C2" s="7" t="str">
        <f t="shared" ref="C2:C4" si="0">D2&amp;J2&amp;E2&amp;F2&amp;G2</f>
        <v>PremiumSS5R5only</v>
      </c>
      <c r="D2" s="7" t="str">
        <f t="shared" ref="D2:D4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諸葛亮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samurai</v>
      </c>
      <c r="N2" s="7" t="str">
        <f>VLOOKUP(B2,[1]characters!$A:$G,7,FALSE)</f>
        <v>不明</v>
      </c>
      <c r="O2" s="45">
        <v>10</v>
      </c>
      <c r="P2" s="46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423105</v>
      </c>
      <c r="B3" s="5">
        <v>1139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趙雲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samurai</v>
      </c>
      <c r="N3" s="7" t="str">
        <f>VLOOKUP(B3,[1]characters!$A:$G,7,FALSE)</f>
        <v>不明</v>
      </c>
      <c r="O3" s="45">
        <v>20</v>
      </c>
      <c r="P3" s="46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423105</v>
      </c>
      <c r="B4" s="5">
        <v>1141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月英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不明</v>
      </c>
      <c r="O4" s="45">
        <v>20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7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 t="s">
        <v>255</v>
      </c>
      <c r="B2" s="78" t="s">
        <v>258</v>
      </c>
      <c r="C2" s="79" t="s">
        <v>260</v>
      </c>
      <c r="D2" s="2">
        <v>837</v>
      </c>
      <c r="E2" s="2">
        <v>1</v>
      </c>
      <c r="F2" s="97">
        <v>1</v>
      </c>
      <c r="G2" s="98">
        <v>0</v>
      </c>
      <c r="H2" s="98">
        <v>0</v>
      </c>
      <c r="I2" s="98">
        <v>0</v>
      </c>
      <c r="J2" s="98">
        <v>0</v>
      </c>
      <c r="K2" s="98">
        <v>1</v>
      </c>
      <c r="L2" s="98">
        <v>1</v>
      </c>
      <c r="M2" s="98">
        <v>1</v>
      </c>
      <c r="N2" s="79" t="s">
        <v>265</v>
      </c>
      <c r="O2" s="79" t="s">
        <v>268</v>
      </c>
      <c r="P2" s="79" t="s">
        <v>273</v>
      </c>
      <c r="Q2" s="80" t="s">
        <v>274</v>
      </c>
    </row>
    <row r="3" spans="1:17" ht="21" customHeight="1" x14ac:dyDescent="0.15">
      <c r="A3" s="78" t="s">
        <v>256</v>
      </c>
      <c r="B3" s="78" t="s">
        <v>280</v>
      </c>
      <c r="C3" s="2" t="s">
        <v>261</v>
      </c>
      <c r="D3" s="2">
        <v>611</v>
      </c>
      <c r="E3" s="2">
        <v>5</v>
      </c>
      <c r="F3" s="2">
        <v>1</v>
      </c>
      <c r="G3" s="98">
        <v>0</v>
      </c>
      <c r="H3" s="98">
        <v>0</v>
      </c>
      <c r="I3" s="98">
        <v>0</v>
      </c>
      <c r="J3" s="98">
        <v>0</v>
      </c>
      <c r="K3" s="98">
        <v>1</v>
      </c>
      <c r="L3" s="98">
        <v>1</v>
      </c>
      <c r="M3" s="98">
        <v>1</v>
      </c>
      <c r="N3" s="79" t="s">
        <v>265</v>
      </c>
      <c r="O3" s="79" t="s">
        <v>269</v>
      </c>
      <c r="P3" s="79" t="s">
        <v>273</v>
      </c>
      <c r="Q3" s="80" t="s">
        <v>275</v>
      </c>
    </row>
    <row r="4" spans="1:17" ht="21" customHeight="1" x14ac:dyDescent="0.15">
      <c r="A4" s="78" t="s">
        <v>256</v>
      </c>
      <c r="B4" s="78" t="s">
        <v>281</v>
      </c>
      <c r="C4" s="2" t="s">
        <v>262</v>
      </c>
      <c r="D4" s="2">
        <v>612</v>
      </c>
      <c r="E4" s="2">
        <v>5</v>
      </c>
      <c r="F4" s="2">
        <v>1</v>
      </c>
      <c r="G4" s="98">
        <v>0</v>
      </c>
      <c r="H4" s="98">
        <v>0</v>
      </c>
      <c r="I4" s="98">
        <v>0</v>
      </c>
      <c r="J4" s="98">
        <v>0</v>
      </c>
      <c r="K4" s="98">
        <v>1</v>
      </c>
      <c r="L4" s="98">
        <v>1</v>
      </c>
      <c r="M4" s="98">
        <v>1</v>
      </c>
      <c r="N4" s="79" t="s">
        <v>265</v>
      </c>
      <c r="O4" s="79" t="s">
        <v>270</v>
      </c>
      <c r="P4" s="79" t="s">
        <v>273</v>
      </c>
      <c r="Q4" s="80" t="s">
        <v>276</v>
      </c>
    </row>
    <row r="5" spans="1:17" ht="21" customHeight="1" x14ac:dyDescent="0.15">
      <c r="A5" s="78" t="s">
        <v>256</v>
      </c>
      <c r="B5" s="78" t="s">
        <v>282</v>
      </c>
      <c r="C5" s="2" t="s">
        <v>262</v>
      </c>
      <c r="D5" s="2">
        <v>613</v>
      </c>
      <c r="E5" s="2">
        <v>5</v>
      </c>
      <c r="F5" s="2">
        <v>1</v>
      </c>
      <c r="G5" s="98">
        <v>0</v>
      </c>
      <c r="H5" s="98">
        <v>0</v>
      </c>
      <c r="I5" s="98">
        <v>0</v>
      </c>
      <c r="J5" s="98">
        <v>0</v>
      </c>
      <c r="K5" s="98">
        <v>1</v>
      </c>
      <c r="L5" s="98">
        <v>1</v>
      </c>
      <c r="M5" s="98">
        <v>1</v>
      </c>
      <c r="N5" s="79" t="s">
        <v>265</v>
      </c>
      <c r="O5" s="79" t="s">
        <v>271</v>
      </c>
      <c r="P5" s="79" t="s">
        <v>273</v>
      </c>
      <c r="Q5" s="80" t="s">
        <v>277</v>
      </c>
    </row>
    <row r="6" spans="1:17" ht="21" customHeight="1" x14ac:dyDescent="0.15">
      <c r="A6" s="78" t="s">
        <v>256</v>
      </c>
      <c r="B6" s="78" t="s">
        <v>283</v>
      </c>
      <c r="C6" s="2" t="s">
        <v>263</v>
      </c>
      <c r="D6" s="2">
        <v>614</v>
      </c>
      <c r="E6" s="2">
        <v>2</v>
      </c>
      <c r="F6" s="2">
        <v>1</v>
      </c>
      <c r="G6" s="98">
        <v>0</v>
      </c>
      <c r="H6" s="98">
        <v>0</v>
      </c>
      <c r="I6" s="98">
        <v>0</v>
      </c>
      <c r="J6" s="98">
        <v>0</v>
      </c>
      <c r="K6" s="98">
        <v>1</v>
      </c>
      <c r="L6" s="98">
        <v>1</v>
      </c>
      <c r="M6" s="98">
        <v>1</v>
      </c>
      <c r="N6" s="79" t="s">
        <v>265</v>
      </c>
      <c r="O6" s="79" t="s">
        <v>272</v>
      </c>
      <c r="P6" s="79" t="s">
        <v>273</v>
      </c>
      <c r="Q6" s="80" t="s">
        <v>278</v>
      </c>
    </row>
    <row r="7" spans="1:17" ht="21" customHeight="1" x14ac:dyDescent="0.15">
      <c r="A7" s="78" t="s">
        <v>257</v>
      </c>
      <c r="B7" s="78" t="s">
        <v>259</v>
      </c>
      <c r="C7" s="79" t="s">
        <v>266</v>
      </c>
      <c r="D7" s="79">
        <v>1000000</v>
      </c>
      <c r="E7" s="79" t="s">
        <v>264</v>
      </c>
      <c r="F7" s="97">
        <v>1</v>
      </c>
      <c r="G7" s="79" t="s">
        <v>264</v>
      </c>
      <c r="H7" s="79" t="s">
        <v>264</v>
      </c>
      <c r="I7" s="79" t="s">
        <v>264</v>
      </c>
      <c r="J7" s="79" t="s">
        <v>264</v>
      </c>
      <c r="K7" s="79" t="s">
        <v>264</v>
      </c>
      <c r="L7" s="79" t="s">
        <v>264</v>
      </c>
      <c r="M7" s="79" t="s">
        <v>264</v>
      </c>
      <c r="N7" s="79" t="s">
        <v>265</v>
      </c>
      <c r="O7" s="79" t="s">
        <v>267</v>
      </c>
      <c r="P7" s="79" t="s">
        <v>273</v>
      </c>
      <c r="Q7" s="80" t="s">
        <v>279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input_423100</vt:lpstr>
      <vt:lpstr>tables_423100</vt:lpstr>
      <vt:lpstr>tables_settle_423105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2016-09-29T12:31:55Z</dcterms:modified>
</cp:coreProperties>
</file>