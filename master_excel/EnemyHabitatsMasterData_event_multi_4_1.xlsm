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20" windowWidth="38400" windowHeight="215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enemy_habitat_S!$B$1:$Y$4</definedName>
    <definedName name="_xlnm._FilterDatabase" localSheetId="2" hidden="1">enemy_habitats!$B$1:$AH$12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enemy_skills!$A$1:$I$1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1" l="1"/>
  <c r="D20" i="1"/>
  <c r="E20" i="1"/>
  <c r="F20" i="1"/>
  <c r="H20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I20" i="1"/>
  <c r="J20" i="1"/>
  <c r="M20" i="1"/>
  <c r="N20" i="1"/>
  <c r="O20" i="1"/>
  <c r="P20" i="1"/>
  <c r="Q20" i="1"/>
  <c r="W20" i="1"/>
  <c r="AB20" i="1"/>
  <c r="AC20" i="1"/>
  <c r="AD20" i="1"/>
  <c r="AE20" i="1"/>
  <c r="AG20" i="1"/>
  <c r="J4" i="11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J2" i="11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J7" i="11"/>
  <c r="O19" i="9"/>
  <c r="N19" i="9"/>
  <c r="M19" i="9"/>
  <c r="L19" i="9"/>
  <c r="K19" i="9"/>
  <c r="J19" i="9"/>
  <c r="I19" i="9"/>
  <c r="H19" i="9"/>
  <c r="G19" i="9"/>
  <c r="E19" i="9"/>
  <c r="D19" i="9"/>
  <c r="A19" i="9"/>
  <c r="H6" i="2"/>
  <c r="E6" i="2"/>
  <c r="D6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18" i="1"/>
  <c r="H21" i="1"/>
  <c r="B6" i="2"/>
  <c r="H5" i="2"/>
  <c r="E5" i="2"/>
  <c r="D5" i="2"/>
  <c r="B5" i="2"/>
  <c r="H4" i="2"/>
  <c r="E4" i="2"/>
  <c r="D4" i="2"/>
  <c r="B4" i="2"/>
  <c r="H3" i="2"/>
  <c r="E3" i="2"/>
  <c r="D3" i="2"/>
  <c r="B3" i="2"/>
  <c r="H2" i="2"/>
  <c r="E2" i="2"/>
  <c r="D2" i="2"/>
  <c r="B2" i="2"/>
  <c r="E9" i="9"/>
  <c r="E16" i="9"/>
  <c r="X3" i="7"/>
  <c r="R3" i="7"/>
  <c r="Q3" i="7"/>
  <c r="P3" i="7"/>
  <c r="O3" i="7"/>
  <c r="N3" i="7"/>
  <c r="H3" i="7"/>
  <c r="J3" i="7"/>
  <c r="I3" i="7"/>
  <c r="D3" i="7"/>
  <c r="F3" i="7"/>
  <c r="E3" i="7"/>
  <c r="A3" i="7"/>
  <c r="E8" i="9"/>
  <c r="E15" i="9"/>
  <c r="X2" i="7"/>
  <c r="R2" i="7"/>
  <c r="Q2" i="7"/>
  <c r="P2" i="7"/>
  <c r="O2" i="7"/>
  <c r="N2" i="7"/>
  <c r="H2" i="7"/>
  <c r="J2" i="7"/>
  <c r="I2" i="7"/>
  <c r="D2" i="7"/>
  <c r="F2" i="7"/>
  <c r="E2" i="7"/>
  <c r="A2" i="7"/>
  <c r="A4" i="7"/>
  <c r="D4" i="7"/>
  <c r="E4" i="7"/>
  <c r="F4" i="7"/>
  <c r="H4" i="7"/>
  <c r="I4" i="7"/>
  <c r="J4" i="7"/>
  <c r="N4" i="7"/>
  <c r="O4" i="7"/>
  <c r="P4" i="7"/>
  <c r="Q4" i="7"/>
  <c r="R4" i="7"/>
  <c r="X4" i="7"/>
  <c r="AB11" i="1"/>
  <c r="AD11" i="1"/>
  <c r="AG11" i="1"/>
  <c r="AE11" i="1"/>
  <c r="AC11" i="1"/>
  <c r="W11" i="1"/>
  <c r="Q11" i="1"/>
  <c r="P11" i="1"/>
  <c r="O11" i="1"/>
  <c r="N11" i="1"/>
  <c r="M11" i="1"/>
  <c r="J11" i="1"/>
  <c r="I11" i="1"/>
  <c r="D11" i="1"/>
  <c r="F11" i="1"/>
  <c r="E11" i="1"/>
  <c r="A11" i="1"/>
  <c r="AB10" i="1"/>
  <c r="AD10" i="1"/>
  <c r="AG10" i="1"/>
  <c r="AE10" i="1"/>
  <c r="AC10" i="1"/>
  <c r="W10" i="1"/>
  <c r="Q10" i="1"/>
  <c r="P10" i="1"/>
  <c r="O10" i="1"/>
  <c r="N10" i="1"/>
  <c r="M10" i="1"/>
  <c r="J10" i="1"/>
  <c r="I10" i="1"/>
  <c r="D10" i="1"/>
  <c r="F10" i="1"/>
  <c r="E10" i="1"/>
  <c r="A10" i="1"/>
  <c r="AB9" i="1"/>
  <c r="AD9" i="1"/>
  <c r="AG9" i="1"/>
  <c r="AE9" i="1"/>
  <c r="AC9" i="1"/>
  <c r="W9" i="1"/>
  <c r="Q9" i="1"/>
  <c r="P9" i="1"/>
  <c r="O9" i="1"/>
  <c r="N9" i="1"/>
  <c r="M9" i="1"/>
  <c r="J9" i="1"/>
  <c r="I9" i="1"/>
  <c r="D9" i="1"/>
  <c r="F9" i="1"/>
  <c r="E9" i="1"/>
  <c r="A9" i="1"/>
  <c r="AB8" i="1"/>
  <c r="AD8" i="1"/>
  <c r="AG8" i="1"/>
  <c r="AE8" i="1"/>
  <c r="AC8" i="1"/>
  <c r="AA8" i="1"/>
  <c r="W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E2" i="9"/>
  <c r="W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E5" i="9"/>
  <c r="W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AA5" i="1"/>
  <c r="E7" i="9"/>
  <c r="W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AA4" i="1"/>
  <c r="W4" i="1"/>
  <c r="Q4" i="1"/>
  <c r="P4" i="1"/>
  <c r="O4" i="1"/>
  <c r="N4" i="1"/>
  <c r="M4" i="1"/>
  <c r="J4" i="1"/>
  <c r="I4" i="1"/>
  <c r="D4" i="1"/>
  <c r="F4" i="1"/>
  <c r="E4" i="1"/>
  <c r="A4" i="1"/>
  <c r="AB3" i="1"/>
  <c r="AD3" i="1"/>
  <c r="AG3" i="1"/>
  <c r="AE3" i="1"/>
  <c r="AC3" i="1"/>
  <c r="AA3" i="1"/>
  <c r="E18" i="9"/>
  <c r="W3" i="1"/>
  <c r="Q3" i="1"/>
  <c r="P3" i="1"/>
  <c r="O3" i="1"/>
  <c r="N3" i="1"/>
  <c r="M3" i="1"/>
  <c r="J3" i="1"/>
  <c r="I3" i="1"/>
  <c r="D3" i="1"/>
  <c r="F3" i="1"/>
  <c r="E3" i="1"/>
  <c r="A3" i="1"/>
  <c r="AB2" i="1"/>
  <c r="AD2" i="1"/>
  <c r="AG2" i="1"/>
  <c r="AE2" i="1"/>
  <c r="AC2" i="1"/>
  <c r="AA2" i="1"/>
  <c r="E17" i="9"/>
  <c r="W2" i="1"/>
  <c r="Q2" i="1"/>
  <c r="P2" i="1"/>
  <c r="O2" i="1"/>
  <c r="N2" i="1"/>
  <c r="M2" i="1"/>
  <c r="J2" i="1"/>
  <c r="I2" i="1"/>
  <c r="D2" i="1"/>
  <c r="F2" i="1"/>
  <c r="E2" i="1"/>
  <c r="A2" i="1"/>
  <c r="O14" i="9"/>
  <c r="N14" i="9"/>
  <c r="M14" i="9"/>
  <c r="L14" i="9"/>
  <c r="K14" i="9"/>
  <c r="J14" i="9"/>
  <c r="I14" i="9"/>
  <c r="H14" i="9"/>
  <c r="G14" i="9"/>
  <c r="E14" i="9"/>
  <c r="D14" i="9"/>
  <c r="A14" i="9"/>
  <c r="J8" i="11"/>
  <c r="O11" i="9"/>
  <c r="N11" i="9"/>
  <c r="M11" i="9"/>
  <c r="L11" i="9"/>
  <c r="K11" i="9"/>
  <c r="J11" i="9"/>
  <c r="I11" i="9"/>
  <c r="H11" i="9"/>
  <c r="G11" i="9"/>
  <c r="E11" i="9"/>
  <c r="D11" i="9"/>
  <c r="A11" i="9"/>
  <c r="J6" i="11"/>
  <c r="O10" i="9"/>
  <c r="N10" i="9"/>
  <c r="M10" i="9"/>
  <c r="L10" i="9"/>
  <c r="K10" i="9"/>
  <c r="J10" i="9"/>
  <c r="I10" i="9"/>
  <c r="H10" i="9"/>
  <c r="G10" i="9"/>
  <c r="E10" i="9"/>
  <c r="D10" i="9"/>
  <c r="A10" i="9"/>
  <c r="AB18" i="1"/>
  <c r="AD18" i="1"/>
  <c r="AG18" i="1"/>
  <c r="AE18" i="1"/>
  <c r="AC18" i="1"/>
  <c r="W18" i="1"/>
  <c r="Q18" i="1"/>
  <c r="P18" i="1"/>
  <c r="O18" i="1"/>
  <c r="N18" i="1"/>
  <c r="M18" i="1"/>
  <c r="J18" i="1"/>
  <c r="I18" i="1"/>
  <c r="D18" i="1"/>
  <c r="F18" i="1"/>
  <c r="E18" i="1"/>
  <c r="A18" i="1"/>
  <c r="AB19" i="1"/>
  <c r="AD19" i="1"/>
  <c r="AG19" i="1"/>
  <c r="AE19" i="1"/>
  <c r="AC19" i="1"/>
  <c r="AA19" i="1"/>
  <c r="W19" i="1"/>
  <c r="Q19" i="1"/>
  <c r="P19" i="1"/>
  <c r="O19" i="1"/>
  <c r="N19" i="1"/>
  <c r="M19" i="1"/>
  <c r="J19" i="1"/>
  <c r="I19" i="1"/>
  <c r="D19" i="1"/>
  <c r="F19" i="1"/>
  <c r="E19" i="1"/>
  <c r="A19" i="1"/>
  <c r="AB14" i="1"/>
  <c r="AD14" i="1"/>
  <c r="AG14" i="1"/>
  <c r="AE14" i="1"/>
  <c r="AC14" i="1"/>
  <c r="AA14" i="1"/>
  <c r="W14" i="1"/>
  <c r="Q14" i="1"/>
  <c r="P14" i="1"/>
  <c r="O14" i="1"/>
  <c r="N14" i="1"/>
  <c r="M14" i="1"/>
  <c r="J14" i="1"/>
  <c r="I14" i="1"/>
  <c r="D14" i="1"/>
  <c r="F14" i="1"/>
  <c r="E14" i="1"/>
  <c r="A14" i="1"/>
  <c r="O18" i="9"/>
  <c r="N18" i="9"/>
  <c r="M18" i="9"/>
  <c r="L18" i="9"/>
  <c r="K18" i="9"/>
  <c r="J18" i="9"/>
  <c r="I18" i="9"/>
  <c r="H18" i="9"/>
  <c r="G18" i="9"/>
  <c r="D18" i="9"/>
  <c r="A18" i="9"/>
  <c r="O17" i="9"/>
  <c r="N17" i="9"/>
  <c r="M17" i="9"/>
  <c r="L17" i="9"/>
  <c r="K17" i="9"/>
  <c r="J17" i="9"/>
  <c r="I17" i="9"/>
  <c r="H17" i="9"/>
  <c r="G17" i="9"/>
  <c r="D17" i="9"/>
  <c r="A17" i="9"/>
  <c r="AB16" i="1"/>
  <c r="AD16" i="1"/>
  <c r="AG16" i="1"/>
  <c r="AE16" i="1"/>
  <c r="AC16" i="1"/>
  <c r="W16" i="1"/>
  <c r="Q16" i="1"/>
  <c r="P16" i="1"/>
  <c r="O16" i="1"/>
  <c r="N16" i="1"/>
  <c r="M16" i="1"/>
  <c r="J16" i="1"/>
  <c r="I16" i="1"/>
  <c r="D16" i="1"/>
  <c r="F16" i="1"/>
  <c r="E16" i="1"/>
  <c r="A16" i="1"/>
  <c r="O7" i="9"/>
  <c r="N7" i="9"/>
  <c r="M7" i="9"/>
  <c r="L7" i="9"/>
  <c r="K7" i="9"/>
  <c r="J7" i="9"/>
  <c r="I7" i="9"/>
  <c r="H7" i="9"/>
  <c r="G7" i="9"/>
  <c r="D7" i="9"/>
  <c r="A7" i="9"/>
  <c r="J3" i="11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D5" i="9"/>
  <c r="A5" i="9"/>
  <c r="J5" i="11"/>
  <c r="X5" i="7"/>
  <c r="AB17" i="1"/>
  <c r="AD17" i="1"/>
  <c r="AG17" i="1"/>
  <c r="AE17" i="1"/>
  <c r="AC17" i="1"/>
  <c r="W17" i="1"/>
  <c r="Q17" i="1"/>
  <c r="P17" i="1"/>
  <c r="O17" i="1"/>
  <c r="N17" i="1"/>
  <c r="M17" i="1"/>
  <c r="J17" i="1"/>
  <c r="I17" i="1"/>
  <c r="D17" i="1"/>
  <c r="F17" i="1"/>
  <c r="E17" i="1"/>
  <c r="A17" i="1"/>
  <c r="A21" i="1"/>
  <c r="D21" i="1"/>
  <c r="E21" i="1"/>
  <c r="F21" i="1"/>
  <c r="I21" i="1"/>
  <c r="J21" i="1"/>
  <c r="M21" i="1"/>
  <c r="N21" i="1"/>
  <c r="O21" i="1"/>
  <c r="P21" i="1"/>
  <c r="Q21" i="1"/>
  <c r="W21" i="1"/>
  <c r="AC21" i="1"/>
  <c r="AD21" i="1"/>
  <c r="AE21" i="1"/>
  <c r="AG21" i="1"/>
  <c r="R5" i="7"/>
  <c r="Q5" i="7"/>
  <c r="P5" i="7"/>
  <c r="O5" i="7"/>
  <c r="N5" i="7"/>
  <c r="H5" i="7"/>
  <c r="J5" i="7"/>
  <c r="I5" i="7"/>
  <c r="D5" i="7"/>
  <c r="F5" i="7"/>
  <c r="E5" i="7"/>
  <c r="A5" i="7"/>
  <c r="O16" i="9"/>
  <c r="N16" i="9"/>
  <c r="M16" i="9"/>
  <c r="L16" i="9"/>
  <c r="K16" i="9"/>
  <c r="J16" i="9"/>
  <c r="I16" i="9"/>
  <c r="H16" i="9"/>
  <c r="G16" i="9"/>
  <c r="D16" i="9"/>
  <c r="A16" i="9"/>
  <c r="O15" i="9"/>
  <c r="N15" i="9"/>
  <c r="M15" i="9"/>
  <c r="L15" i="9"/>
  <c r="K15" i="9"/>
  <c r="J15" i="9"/>
  <c r="I15" i="9"/>
  <c r="H15" i="9"/>
  <c r="G15" i="9"/>
  <c r="D15" i="9"/>
  <c r="A15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9" i="9"/>
  <c r="N9" i="9"/>
  <c r="M9" i="9"/>
  <c r="L9" i="9"/>
  <c r="K9" i="9"/>
  <c r="J9" i="9"/>
  <c r="I9" i="9"/>
  <c r="H9" i="9"/>
  <c r="G9" i="9"/>
  <c r="D9" i="9"/>
  <c r="A9" i="9"/>
  <c r="O8" i="9"/>
  <c r="N8" i="9"/>
  <c r="M8" i="9"/>
  <c r="L8" i="9"/>
  <c r="K8" i="9"/>
  <c r="J8" i="9"/>
  <c r="I8" i="9"/>
  <c r="H8" i="9"/>
  <c r="G8" i="9"/>
  <c r="D8" i="9"/>
  <c r="A8" i="9"/>
  <c r="A4" i="9"/>
  <c r="D4" i="9"/>
  <c r="E4" i="9"/>
  <c r="G4" i="9"/>
  <c r="H4" i="9"/>
  <c r="I4" i="9"/>
  <c r="J4" i="9"/>
  <c r="K4" i="9"/>
  <c r="L4" i="9"/>
  <c r="M4" i="9"/>
  <c r="N4" i="9"/>
  <c r="O4" i="9"/>
  <c r="O3" i="9"/>
  <c r="N3" i="9"/>
  <c r="M3" i="9"/>
  <c r="L3" i="9"/>
  <c r="K3" i="9"/>
  <c r="J3" i="9"/>
  <c r="I3" i="9"/>
  <c r="H3" i="9"/>
  <c r="G3" i="9"/>
  <c r="E3" i="9"/>
  <c r="D3" i="9"/>
  <c r="A3" i="9"/>
  <c r="AB15" i="1"/>
  <c r="AD15" i="1"/>
  <c r="AG15" i="1"/>
  <c r="AE15" i="1"/>
  <c r="AC15" i="1"/>
  <c r="AA15" i="1"/>
  <c r="W15" i="1"/>
  <c r="Q15" i="1"/>
  <c r="P15" i="1"/>
  <c r="O15" i="1"/>
  <c r="N15" i="1"/>
  <c r="M15" i="1"/>
  <c r="J15" i="1"/>
  <c r="I15" i="1"/>
  <c r="D15" i="1"/>
  <c r="F15" i="1"/>
  <c r="E15" i="1"/>
  <c r="A15" i="1"/>
  <c r="AB13" i="1"/>
  <c r="AD13" i="1"/>
  <c r="AG13" i="1"/>
  <c r="AE13" i="1"/>
  <c r="AC13" i="1"/>
  <c r="AA13" i="1"/>
  <c r="W13" i="1"/>
  <c r="Q13" i="1"/>
  <c r="P13" i="1"/>
  <c r="O13" i="1"/>
  <c r="N13" i="1"/>
  <c r="M13" i="1"/>
  <c r="J13" i="1"/>
  <c r="I13" i="1"/>
  <c r="D13" i="1"/>
  <c r="F13" i="1"/>
  <c r="E13" i="1"/>
  <c r="A13" i="1"/>
  <c r="B9" i="2"/>
  <c r="D9" i="2"/>
  <c r="E9" i="2"/>
  <c r="H9" i="2"/>
  <c r="B10" i="2"/>
  <c r="D10" i="2"/>
  <c r="E10" i="2"/>
  <c r="H10" i="2"/>
  <c r="B11" i="2"/>
  <c r="D11" i="2"/>
  <c r="E11" i="2"/>
  <c r="H11" i="2"/>
  <c r="H8" i="2"/>
  <c r="E8" i="2"/>
  <c r="D8" i="2"/>
  <c r="B8" i="2"/>
  <c r="AB12" i="1"/>
  <c r="AE12" i="1"/>
  <c r="AD12" i="1"/>
  <c r="AC12" i="1"/>
  <c r="N12" i="1"/>
  <c r="O12" i="1"/>
  <c r="M12" i="1"/>
  <c r="AG12" i="1"/>
  <c r="D2" i="9"/>
  <c r="W12" i="1"/>
  <c r="AA12" i="1"/>
  <c r="Q12" i="1"/>
  <c r="P12" i="1"/>
  <c r="E8" i="16"/>
  <c r="E7" i="16"/>
  <c r="E6" i="16"/>
  <c r="E5" i="16"/>
  <c r="E4" i="16"/>
  <c r="E3" i="16"/>
  <c r="E2" i="16"/>
  <c r="A12" i="1"/>
  <c r="G2" i="9"/>
  <c r="H2" i="9"/>
  <c r="I2" i="9"/>
  <c r="J2" i="9"/>
  <c r="K2" i="9"/>
  <c r="L2" i="9"/>
  <c r="M2" i="9"/>
  <c r="N2" i="9"/>
  <c r="O2" i="9"/>
  <c r="A2" i="9"/>
  <c r="J12" i="1"/>
  <c r="I12" i="1"/>
  <c r="D7" i="2"/>
  <c r="E7" i="2"/>
  <c r="H7" i="2"/>
  <c r="D12" i="1"/>
  <c r="E12" i="1"/>
  <c r="F12" i="1"/>
  <c r="B7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<sst xmlns="http://schemas.openxmlformats.org/spreadsheetml/2006/main" count="331" uniqueCount="184">
  <si>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</si>
  <si>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</si>
  <si>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</si>
  <si>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</si>
  <si>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</si>
  <si>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</si>
  <si>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</si>
  <si>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</si>
  <si>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</si>
  <si>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</si>
  <si>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</si>
  <si>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</si>
  <si>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</si>
  <si>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</si>
  <si>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</si>
  <si>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</si>
  <si>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</si>
  <si>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</si>
  <si>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</si>
  <si>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</si>
  <si>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</si>
  <si>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</si>
  <si>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</si>
  <si>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</si>
  <si>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</si>
  <si>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</si>
  <si>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</si>
  <si>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</si>
  <si>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</si>
  <si>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</si>
  <si>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</si>
  <si>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</si>
  <si>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</si>
  <si>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</si>
  <si>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</si>
  <si>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</si>
  <si>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</si>
  <si>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</si>
  <si>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</si>
  <si>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</si>
  <si>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</si>
  <si>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</si>
  <si>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</si>
  <si>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</si>
  <si>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</si>
  <si>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</si>
  <si>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</si>
  <si>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</si>
  <si>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</si>
  <si>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</si>
  <si>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</si>
  <si>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</si>
  <si>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</si>
  <si>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</si>
  <si>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</si>
  <si>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</si>
  <si>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</si>
  <si>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</si>
  <si>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</si>
  <si>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</si>
  <si>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</si>
  <si>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</si>
  <si>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</si>
  <si>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</si>
  <si>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</si>
  <si>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</si>
  <si>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</si>
  <si>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</si>
  <si>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</si>
  <si>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</si>
  <si>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</si>
  <si>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</si>
  <si>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</si>
  <si>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</si>
  <si>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</si>
  <si>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</si>
  <si>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</si>
  <si>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</si>
  <si>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</si>
  <si>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</si>
  <si>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</si>
  <si>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</si>
  <si>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</si>
  <si>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</si>
  <si>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</si>
  <si>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</si>
  <si>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</si>
  <si>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</si>
  <si>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重複チェック</t>
    <rPh sb="0" eb="2">
      <t>チョウフク</t>
    </rPh>
    <phoneticPr fontId="3"/>
  </si>
  <si>
    <t>null</t>
    <phoneticPr fontId="3"/>
  </si>
  <si>
    <t>null</t>
    <phoneticPr fontId="3"/>
  </si>
  <si>
    <t>enemy_skills</t>
    <phoneticPr fontId="3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</si>
  <si>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</si>
  <si>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</si>
  <si>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</si>
  <si>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</si>
  <si>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</si>
  <si>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</si>
  <si>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</si>
  <si>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</si>
  <si>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</si>
  <si>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</si>
  <si>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</si>
  <si>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</si>
  <si>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</si>
  <si>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</si>
  <si>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</si>
  <si>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</si>
  <si>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</si>
  <si>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</si>
  <si>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</si>
  <si>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</si>
  <si>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</si>
  <si>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</si>
  <si>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</si>
  <si>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</si>
  <si>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</si>
  <si>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</si>
  <si>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enemy_skills_i18n_</t>
    <phoneticPr fontId="3"/>
  </si>
  <si>
    <t>enemy_skills</t>
    <phoneticPr fontId="3"/>
  </si>
  <si>
    <t>enemy_skill_triggers_</t>
    <phoneticPr fontId="3"/>
  </si>
  <si>
    <t>.tmp</t>
    <phoneticPr fontId="3"/>
  </si>
  <si>
    <t>enemy_skill_triggers</t>
    <phoneticPr fontId="3"/>
  </si>
  <si>
    <t>hp_termination</t>
    <phoneticPr fontId="3"/>
  </si>
  <si>
    <t>invoke_weight</t>
    <phoneticPr fontId="3"/>
  </si>
  <si>
    <t>every_time_count</t>
    <phoneticPr fontId="3"/>
  </si>
  <si>
    <t>neighbor_dead_id</t>
    <phoneticPr fontId="3"/>
  </si>
  <si>
    <t>language</t>
    <phoneticPr fontId="3"/>
  </si>
  <si>
    <t>ja</t>
    <phoneticPr fontId="3"/>
  </si>
  <si>
    <t>skill_set_id</t>
    <phoneticPr fontId="3"/>
  </si>
  <si>
    <t>スキル</t>
    <phoneticPr fontId="3"/>
  </si>
  <si>
    <t>[effect:nothing]</t>
  </si>
  <si>
    <t>(通常攻撃＋セリフ　HP50％で発動）</t>
    <phoneticPr fontId="3"/>
  </si>
  <si>
    <t>[effect:rush, count:1, val:0.5]</t>
    <phoneticPr fontId="3"/>
  </si>
  <si>
    <t>（HP50％で発動）</t>
  </si>
  <si>
    <t>5連続攻撃</t>
    <phoneticPr fontId="3"/>
  </si>
  <si>
    <t>[effect:enhance_enemy, target:enemy_all, turn:3, status:defense, val:10000, calc:add, animation:enemy_enhance_enemy]</t>
    <phoneticPr fontId="3"/>
  </si>
  <si>
    <t>3ターン防御力UP</t>
    <rPh sb="4" eb="6">
      <t>ボウギョリョウ</t>
    </rPh>
    <rPh sb="6" eb="7">
      <t>リョク</t>
    </rPh>
    <phoneticPr fontId="3"/>
  </si>
  <si>
    <t>甲羅硬化</t>
  </si>
  <si>
    <t>青パネルを時限式ダメージパネルに変換</t>
    <rPh sb="0" eb="1">
      <t>アオ</t>
    </rPh>
    <phoneticPr fontId="3"/>
  </si>
  <si>
    <t>（HP70％以上の時に1回発動）</t>
    <phoneticPr fontId="3"/>
  </si>
  <si>
    <t>15連続攻撃</t>
    <phoneticPr fontId="3"/>
  </si>
  <si>
    <t>[effect:dark, turn:-1,target:unit_all,animation:enemy_dark]</t>
    <phoneticPr fontId="3"/>
  </si>
  <si>
    <t>様子がおかしい！</t>
    <phoneticPr fontId="3"/>
  </si>
  <si>
    <t>こちらを睨んでいる！</t>
    <phoneticPr fontId="3"/>
  </si>
  <si>
    <t>F3に囲まれている！</t>
    <phoneticPr fontId="3"/>
  </si>
  <si>
    <t>この戦闘の間パネルの色が分からなくなる！</t>
    <phoneticPr fontId="3"/>
  </si>
  <si>
    <t>[effect:change_block, new_block:time_bomb, target:block_blue, count:0, val:1.0, animation:change_block]</t>
    <phoneticPr fontId="3"/>
  </si>
  <si>
    <t>[effect:rush, count:5, val:0.6]</t>
    <phoneticPr fontId="3"/>
  </si>
  <si>
    <t>ガガ…バグ発生…</t>
    <phoneticPr fontId="3"/>
  </si>
  <si>
    <t>困ったのう…</t>
    <phoneticPr fontId="3"/>
  </si>
  <si>
    <t>排除シマス！</t>
    <phoneticPr fontId="3"/>
  </si>
  <si>
    <t>ピ…ガガガ…！</t>
    <phoneticPr fontId="3"/>
  </si>
  <si>
    <t>ユニット1体に3ターンスリープ</t>
    <rPh sb="5" eb="6">
      <t>タイ</t>
    </rPh>
    <phoneticPr fontId="3"/>
  </si>
  <si>
    <t>強制スリープ</t>
  </si>
  <si>
    <t>この戦闘の間タップ時間の制限！【８秒】</t>
    <phoneticPr fontId="3"/>
  </si>
  <si>
    <t>上書き完了！</t>
    <rPh sb="0" eb="1">
      <t>ウエ</t>
    </rPh>
    <rPh sb="1" eb="2">
      <t>カ</t>
    </rPh>
    <rPh sb="3" eb="5">
      <t>カンリョウ</t>
    </rPh>
    <phoneticPr fontId="3"/>
  </si>
  <si>
    <t>3ターンスキルが使えない！</t>
    <phoneticPr fontId="3"/>
  </si>
  <si>
    <t>防壁展開</t>
    <rPh sb="0" eb="2">
      <t>ボウヘキ</t>
    </rPh>
    <rPh sb="2" eb="4">
      <t>テンカイ</t>
    </rPh>
    <phoneticPr fontId="3"/>
  </si>
  <si>
    <t>3ターン攻撃頻度が1ターンにUP</t>
    <phoneticPr fontId="3"/>
  </si>
  <si>
    <t>[effect:freq_turn, target:myself, turn:3, val:1, animation:enemy_freq_turn]</t>
    <phoneticPr fontId="3"/>
  </si>
  <si>
    <t>[effect:enhance_enemy, target:myself, turn:3, status:defense, val:3000, calc:add, animation:enemy_enhance_enemy]</t>
    <phoneticPr fontId="3"/>
  </si>
  <si>
    <t>10連続攻撃</t>
    <phoneticPr fontId="3"/>
  </si>
  <si>
    <t>[effect:rush, count:10, val:0.2]</t>
    <phoneticPr fontId="3"/>
  </si>
  <si>
    <t>反撃開始…！</t>
    <rPh sb="2" eb="4">
      <t>カイシ</t>
    </rPh>
    <phoneticPr fontId="3"/>
  </si>
  <si>
    <t>クロックアップ</t>
    <phoneticPr fontId="3"/>
  </si>
  <si>
    <t>フリーズしてろ！</t>
    <phoneticPr fontId="3"/>
  </si>
  <si>
    <t>反撃開始…！</t>
    <rPh sb="0" eb="4">
      <t>ハンゲキカイシ</t>
    </rPh>
    <phoneticPr fontId="3"/>
  </si>
  <si>
    <t>没スキル</t>
    <rPh sb="0" eb="1">
      <t>ボツ</t>
    </rPh>
    <phoneticPr fontId="3"/>
  </si>
  <si>
    <t>モニターハッキング！</t>
    <phoneticPr fontId="3"/>
  </si>
  <si>
    <t>一斉に襲いかかってくる！</t>
    <rPh sb="0" eb="2">
      <t>イッセイ</t>
    </rPh>
    <rPh sb="3" eb="4">
      <t>オソ</t>
    </rPh>
    <phoneticPr fontId="3"/>
  </si>
  <si>
    <t>[effect:rush, count:15, val:0.2]</t>
    <phoneticPr fontId="3"/>
  </si>
  <si>
    <t>[effect:hungup, target:unit_all, turn:3, rate:1.0, animation:enemy_hungup],[effect:rush, count:1, val:0.5]</t>
    <phoneticPr fontId="3"/>
  </si>
  <si>
    <t>システムハック完了！</t>
    <phoneticPr fontId="3"/>
  </si>
  <si>
    <t>[effect:sleep, target:unit_one, turn:3, rate:1.0, animation:enemy_sleep],[effect:rush, count:1, val:0.3]</t>
    <phoneticPr fontId="3"/>
  </si>
  <si>
    <t>[effect:time_limit,count:8,turn:-1,animation:enemy_time_limit],[effect:rush, count:1, val:0.3]</t>
    <phoneticPr fontId="3"/>
  </si>
  <si>
    <t>出力flg</t>
    <rPh sb="0" eb="2">
      <t>シュツリョク</t>
    </rPh>
    <phoneticPr fontId="3"/>
  </si>
  <si>
    <t>old</t>
    <phoneticPr fontId="3"/>
  </si>
  <si>
    <t>old</t>
    <phoneticPr fontId="3"/>
  </si>
  <si>
    <t>増殖バグ発生</t>
  </si>
  <si>
    <t>次のエリアが騒がしい！</t>
  </si>
  <si>
    <t>[effect:change_block, new_block:block_red, target:block_heart, count:0, val:1.0, animation:change_block],[effect:rush, count:1, val:1]</t>
    <phoneticPr fontId="3"/>
  </si>
  <si>
    <t>全てのハートパネルを赤パネルに変換</t>
    <rPh sb="0" eb="1">
      <t>スベ</t>
    </rPh>
    <rPh sb="10" eb="11">
      <t>アカ</t>
    </rPh>
    <rPh sb="15" eb="17">
      <t>ヘンカン</t>
    </rPh>
    <phoneticPr fontId="3"/>
  </si>
  <si>
    <t>ウィルス排除シマス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</si>
</sst>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theme="1"/>
      <name val="Arial"/>
    </font>
    <font>
      <sz val="10"/>
      <color rgb="FF000000"/>
      <name val="Arial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694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0"/>
    <xf numFmtId="38" fontId="17" fillId="0" borderId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0" borderId="0">
      <alignment vertical="center"/>
    </xf>
    <xf numFmtId="0" fontId="23" fillId="10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6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3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14" fillId="0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horizontal="left" vertical="center" wrapText="1"/>
    </xf>
    <xf numFmtId="14" fontId="14" fillId="0" borderId="7" xfId="0" applyNumberFormat="1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4" fillId="12" borderId="7" xfId="0" applyFont="1" applyFill="1" applyBorder="1"/>
    <xf numFmtId="0" fontId="14" fillId="0" borderId="7" xfId="0" applyFont="1" applyBorder="1"/>
    <xf numFmtId="0" fontId="14" fillId="0" borderId="7" xfId="0" applyFont="1" applyFill="1" applyBorder="1" applyAlignment="1">
      <alignment vertical="center" wrapText="1"/>
    </xf>
    <xf numFmtId="0" fontId="25" fillId="0" borderId="7" xfId="0" applyFont="1" applyFill="1" applyBorder="1" applyAlignment="1">
      <alignment vertical="center"/>
    </xf>
    <xf numFmtId="0" fontId="9" fillId="0" borderId="7" xfId="0" applyFont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26" fillId="0" borderId="10" xfId="0" applyFont="1" applyFill="1" applyBorder="1" applyAlignment="1">
      <alignment vertical="center"/>
    </xf>
    <xf numFmtId="0" fontId="11" fillId="11" borderId="7" xfId="434" applyFont="1" applyFill="1" applyBorder="1" applyAlignment="1"/>
    <xf numFmtId="0" fontId="22" fillId="0" borderId="7" xfId="434" applyBorder="1" applyAlignment="1"/>
  </cellXfs>
  <cellStyles count="694">
    <cellStyle name="Excel Built-in Normal" xfId="4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標準" xfId="0" builtinId="0"/>
    <cellStyle name="標準 2" xfId="432"/>
    <cellStyle name="標準 2 2" xfId="433"/>
    <cellStyle name="標準 3" xfId="434"/>
    <cellStyle name="標準 4" xfId="11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externalLink" Target="externalLinks/externalLink5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15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15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15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25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30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60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30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60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60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60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60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15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15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25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15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30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60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30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30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60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60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15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15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15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30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30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60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60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30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60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60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60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30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30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30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60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30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60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30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60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25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25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25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30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60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60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60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60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60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30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30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30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60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60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30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30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60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25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60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25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30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25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30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30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60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25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30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60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60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60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60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20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20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20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20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60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60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60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60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technical</v>
          </cell>
          <cell r="L1400" t="str">
            <v>テクニカルタイプ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technical</v>
          </cell>
          <cell r="L1401" t="str">
            <v>テクニカルタイプ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</row>
        <row r="2">
          <cell r="A2">
            <v>0</v>
          </cell>
          <cell r="C2">
            <v>3</v>
          </cell>
          <cell r="D2" t="str">
            <v>ja</v>
          </cell>
          <cell r="E2" t="str">
            <v>なし</v>
          </cell>
        </row>
        <row r="3">
          <cell r="A3">
            <v>100001</v>
          </cell>
          <cell r="B3" t="str">
            <v>[effect:nothing]</v>
          </cell>
          <cell r="C3">
            <v>3</v>
          </cell>
          <cell r="D3" t="str">
            <v>ja</v>
          </cell>
          <cell r="E3" t="str">
            <v>視線</v>
          </cell>
        </row>
        <row r="4">
          <cell r="A4">
            <v>100002</v>
          </cell>
          <cell r="B4" t="str">
            <v>[effect:nothing]</v>
          </cell>
          <cell r="C4">
            <v>3</v>
          </cell>
          <cell r="D4" t="str">
            <v>ja</v>
          </cell>
          <cell r="E4" t="str">
            <v>コンニチワ</v>
          </cell>
        </row>
        <row r="5">
          <cell r="A5">
            <v>100003</v>
          </cell>
          <cell r="B5" t="str">
            <v>[effect:nothing]</v>
          </cell>
          <cell r="C5">
            <v>3</v>
          </cell>
          <cell r="D5" t="str">
            <v>ja</v>
          </cell>
          <cell r="E5" t="str">
            <v>ご質問をどうぞ</v>
          </cell>
        </row>
        <row r="6">
          <cell r="A6">
            <v>100004</v>
          </cell>
          <cell r="B6" t="str">
            <v>[effect:nothing]</v>
          </cell>
          <cell r="C6">
            <v>3</v>
          </cell>
          <cell r="D6" t="str">
            <v>ja</v>
          </cell>
          <cell r="E6" t="str">
            <v>ハッピー！？</v>
          </cell>
        </row>
        <row r="7">
          <cell r="A7">
            <v>100005</v>
          </cell>
          <cell r="B7" t="str">
            <v>[effect:nothing]</v>
          </cell>
          <cell r="C7">
            <v>3</v>
          </cell>
          <cell r="D7" t="str">
            <v>ja</v>
          </cell>
          <cell r="E7" t="str">
            <v>楽しげなステップ</v>
          </cell>
        </row>
        <row r="8">
          <cell r="A8">
            <v>100006</v>
          </cell>
          <cell r="B8" t="str">
            <v>[effect:nothing]</v>
          </cell>
          <cell r="C8">
            <v>3</v>
          </cell>
          <cell r="D8" t="str">
            <v>ja</v>
          </cell>
          <cell r="E8" t="str">
            <v>見物</v>
          </cell>
        </row>
        <row r="9">
          <cell r="A9">
            <v>100007</v>
          </cell>
          <cell r="B9" t="str">
            <v>[effect:nothing]</v>
          </cell>
          <cell r="C9">
            <v>3</v>
          </cell>
          <cell r="D9" t="str">
            <v>ja</v>
          </cell>
          <cell r="E9" t="str">
            <v>見物</v>
          </cell>
        </row>
        <row r="10">
          <cell r="A10">
            <v>100008</v>
          </cell>
          <cell r="B10" t="str">
            <v>[effect:nothing]</v>
          </cell>
          <cell r="C10">
            <v>3</v>
          </cell>
          <cell r="D10" t="str">
            <v>ja</v>
          </cell>
          <cell r="E10" t="str">
            <v>リンゴ警報！</v>
          </cell>
        </row>
        <row r="11">
          <cell r="A11">
            <v>100009</v>
          </cell>
          <cell r="B11" t="str">
            <v>[effect:nothing]</v>
          </cell>
          <cell r="C11">
            <v>3</v>
          </cell>
          <cell r="D11" t="str">
            <v>ja</v>
          </cell>
          <cell r="E11" t="str">
            <v>うっとり妄想タイム</v>
          </cell>
        </row>
        <row r="12">
          <cell r="A12">
            <v>100010</v>
          </cell>
          <cell r="B12" t="str">
            <v>[effect:nothing]</v>
          </cell>
          <cell r="C12">
            <v>3</v>
          </cell>
          <cell r="D12" t="str">
            <v>ja</v>
          </cell>
          <cell r="E12" t="str">
            <v>まるで夢みたい！</v>
          </cell>
        </row>
        <row r="13">
          <cell r="A13">
            <v>100011</v>
          </cell>
          <cell r="B13" t="str">
            <v>[effect:nothing]</v>
          </cell>
          <cell r="C13">
            <v>3</v>
          </cell>
          <cell r="D13" t="str">
            <v>ja</v>
          </cell>
          <cell r="E13" t="str">
            <v>コ4ン8ニ・・チワ9</v>
          </cell>
        </row>
        <row r="14">
          <cell r="A14">
            <v>100012</v>
          </cell>
          <cell r="B14" t="str">
            <v>[effect:fix_speed,target:myself,turn:3]</v>
          </cell>
          <cell r="C14">
            <v>3</v>
          </cell>
          <cell r="D14" t="str">
            <v>ja</v>
          </cell>
          <cell r="E14" t="str">
            <v>りんご速報</v>
          </cell>
        </row>
        <row r="15">
          <cell r="A15">
            <v>100013</v>
          </cell>
          <cell r="B15" t="str">
            <v>[effect:nothing]</v>
          </cell>
          <cell r="C15">
            <v>3</v>
          </cell>
          <cell r="D15" t="str">
            <v>ja</v>
          </cell>
          <cell r="E15" t="str">
            <v>高みの見物</v>
          </cell>
        </row>
        <row r="16">
          <cell r="A16">
            <v>100014</v>
          </cell>
          <cell r="B16" t="str">
            <v>[effect:nothing]</v>
          </cell>
          <cell r="C16">
            <v>3</v>
          </cell>
          <cell r="D16" t="str">
            <v>ja</v>
          </cell>
          <cell r="E16" t="str">
            <v>困惑</v>
          </cell>
        </row>
        <row r="17">
          <cell r="A17">
            <v>100015</v>
          </cell>
          <cell r="B17" t="str">
            <v>[effect:fix_speed,target:myself,turn:3]</v>
          </cell>
          <cell r="C17">
            <v>3</v>
          </cell>
          <cell r="D17" t="str">
            <v>ja</v>
          </cell>
          <cell r="E17" t="str">
            <v>&lt;ロックオン&gt;</v>
          </cell>
        </row>
        <row r="18">
          <cell r="A18">
            <v>100016</v>
          </cell>
          <cell r="B18" t="str">
            <v>[effect:nothing]</v>
          </cell>
          <cell r="C18">
            <v>3</v>
          </cell>
          <cell r="D18" t="str">
            <v>ja</v>
          </cell>
          <cell r="E18" t="str">
            <v>&lt;装填中&gt;</v>
          </cell>
        </row>
        <row r="19">
          <cell r="A19">
            <v>100017</v>
          </cell>
          <cell r="B19" t="str">
            <v>[effect:nothing]</v>
          </cell>
          <cell r="C19">
            <v>3</v>
          </cell>
          <cell r="D19" t="str">
            <v>ja</v>
          </cell>
          <cell r="E19" t="str">
            <v>人間風情が…</v>
          </cell>
        </row>
        <row r="20">
          <cell r="A20">
            <v>100018</v>
          </cell>
          <cell r="B20" t="str">
            <v>[effect:nothing]</v>
          </cell>
          <cell r="C20">
            <v>1</v>
          </cell>
          <cell r="D20" t="str">
            <v>ja</v>
          </cell>
          <cell r="E20" t="str">
            <v>ずっと一緒に…</v>
          </cell>
        </row>
        <row r="21">
          <cell r="A21">
            <v>100019</v>
          </cell>
          <cell r="B21" t="str">
            <v>[effect:nothing]</v>
          </cell>
          <cell r="C21">
            <v>3</v>
          </cell>
          <cell r="D21" t="str">
            <v>ja</v>
          </cell>
          <cell r="E21" t="str">
            <v>もう一人じゃないよね</v>
          </cell>
        </row>
        <row r="22">
          <cell r="A22">
            <v>100020</v>
          </cell>
          <cell r="B22" t="str">
            <v>[effect:nothing]</v>
          </cell>
          <cell r="C22">
            <v>3</v>
          </cell>
          <cell r="D22" t="str">
            <v>ja</v>
          </cell>
          <cell r="E22" t="str">
            <v>魂の帰還</v>
          </cell>
        </row>
        <row r="23">
          <cell r="A23">
            <v>100021</v>
          </cell>
          <cell r="B23" t="str">
            <v>[effect:nothing]</v>
          </cell>
          <cell r="C23">
            <v>3</v>
          </cell>
          <cell r="D23" t="str">
            <v>ja</v>
          </cell>
          <cell r="E23" t="str">
            <v>自爆の覚悟</v>
          </cell>
        </row>
        <row r="24">
          <cell r="A24">
            <v>100022</v>
          </cell>
          <cell r="B24" t="str">
            <v>[effect:nothing]</v>
          </cell>
          <cell r="C24">
            <v>1</v>
          </cell>
          <cell r="D24" t="str">
            <v>ja</v>
          </cell>
          <cell r="E24" t="str">
            <v>指一本触れさせん…</v>
          </cell>
        </row>
        <row r="25">
          <cell r="A25">
            <v>100023</v>
          </cell>
          <cell r="B25" t="str">
            <v>[effect:nothing]</v>
          </cell>
          <cell r="C25">
            <v>3</v>
          </cell>
          <cell r="D25" t="str">
            <v>ja</v>
          </cell>
          <cell r="E25" t="str">
            <v>星降りの儀</v>
          </cell>
        </row>
        <row r="26">
          <cell r="A26">
            <v>100024</v>
          </cell>
          <cell r="B26" t="str">
            <v>[effect:nothing]</v>
          </cell>
          <cell r="C26">
            <v>3</v>
          </cell>
          <cell r="D26" t="str">
            <v>ja</v>
          </cell>
          <cell r="E26" t="str">
            <v>絡みつく触手</v>
          </cell>
        </row>
        <row r="27">
          <cell r="A27">
            <v>100025</v>
          </cell>
          <cell r="B27" t="str">
            <v>[effect:fix_speed,target:myself,turn:1]</v>
          </cell>
          <cell r="C27">
            <v>3</v>
          </cell>
          <cell r="D27" t="str">
            <v>ja</v>
          </cell>
          <cell r="E27" t="str">
            <v>ガラスの靴は私のもの！</v>
          </cell>
        </row>
        <row r="28">
          <cell r="A28">
            <v>100026</v>
          </cell>
          <cell r="B28" t="str">
            <v>[effect:freq_turn, target:myself, turn:-1, val:1, animation:enemy_freq_turn]</v>
          </cell>
          <cell r="C28">
            <v>3</v>
          </cell>
          <cell r="D28" t="str">
            <v>ja</v>
          </cell>
          <cell r="E28" t="str">
            <v>私を怒らせてしまったようだな・・！</v>
          </cell>
        </row>
        <row r="29">
          <cell r="A29">
            <v>100027</v>
          </cell>
          <cell r="B29" t="str">
            <v>[effect:fix_speed,target:myself,turn:3]</v>
          </cell>
          <cell r="C29">
            <v>3</v>
          </cell>
          <cell r="D29" t="str">
            <v>ja</v>
          </cell>
          <cell r="E29" t="str">
            <v>ガガ…ピ…!?</v>
          </cell>
        </row>
        <row r="30">
          <cell r="A30">
            <v>100028</v>
          </cell>
          <cell r="B30" t="str">
            <v>[effect:nothing]</v>
          </cell>
          <cell r="C30">
            <v>3</v>
          </cell>
          <cell r="D30" t="str">
            <v>ja</v>
          </cell>
          <cell r="E30" t="str">
            <v>フフフ・・・</v>
          </cell>
        </row>
        <row r="31">
          <cell r="A31">
            <v>100029</v>
          </cell>
          <cell r="B31" t="str">
            <v>[effect:nothing]</v>
          </cell>
          <cell r="C31">
            <v>3</v>
          </cell>
          <cell r="D31" t="str">
            <v>ja</v>
          </cell>
          <cell r="E31" t="str">
            <v>震えている</v>
          </cell>
        </row>
        <row r="32">
          <cell r="A32">
            <v>100030</v>
          </cell>
          <cell r="B32" t="str">
            <v>[effect:nothing]</v>
          </cell>
          <cell r="C32">
            <v>3</v>
          </cell>
          <cell r="D32" t="str">
            <v>ja</v>
          </cell>
          <cell r="E32" t="str">
            <v>引導を渡してやろう…</v>
          </cell>
        </row>
        <row r="33">
          <cell r="A33">
            <v>100031</v>
          </cell>
          <cell r="B33" t="str">
            <v>[effect:fix_speed,target:myself,turn:4]</v>
          </cell>
          <cell r="C33">
            <v>3</v>
          </cell>
          <cell r="D33" t="str">
            <v>ja</v>
          </cell>
          <cell r="E33" t="str">
            <v>侵入者…排除…</v>
          </cell>
        </row>
        <row r="34">
          <cell r="A34">
            <v>100032</v>
          </cell>
          <cell r="B34" t="str">
            <v>[effect:fix_speed,target:myself,turn:3]</v>
          </cell>
          <cell r="C34">
            <v>3</v>
          </cell>
          <cell r="D34" t="str">
            <v>ja</v>
          </cell>
          <cell r="E34" t="str">
            <v>こい、遊んでやろう</v>
          </cell>
        </row>
        <row r="35">
          <cell r="A35">
            <v>200001</v>
          </cell>
          <cell r="B35" t="str">
            <v>[effect:charge, status:attack, val:1.5, animation:enemy_charge]</v>
          </cell>
          <cell r="C35">
            <v>3</v>
          </cell>
          <cell r="D35" t="str">
            <v>ja</v>
          </cell>
          <cell r="E35" t="str">
            <v>一点集中</v>
          </cell>
        </row>
        <row r="36">
          <cell r="A36">
            <v>200002</v>
          </cell>
          <cell r="B36" t="str">
            <v>[effect:charge, status:attack, val:2.0, animation:enemy_charge]</v>
          </cell>
          <cell r="C36">
            <v>3</v>
          </cell>
          <cell r="D36" t="str">
            <v>ja</v>
          </cell>
          <cell r="E36" t="str">
            <v>リラックス</v>
          </cell>
        </row>
        <row r="37">
          <cell r="A37">
            <v>200003</v>
          </cell>
          <cell r="B37" t="str">
            <v>[effect:charge, status:attack, val:2.0, animation:enemy_charge]</v>
          </cell>
          <cell r="C37">
            <v>3</v>
          </cell>
          <cell r="D37" t="str">
            <v>ja</v>
          </cell>
          <cell r="E37" t="str">
            <v>玄武の構え</v>
          </cell>
        </row>
        <row r="38">
          <cell r="A38">
            <v>200004</v>
          </cell>
          <cell r="B38" t="str">
            <v>[effect:charge, status:attack, val:3.0, animation:enemy_charge]</v>
          </cell>
          <cell r="C38">
            <v>3</v>
          </cell>
          <cell r="D38" t="str">
            <v>ja</v>
          </cell>
          <cell r="E38" t="str">
            <v>気合溜め</v>
          </cell>
        </row>
        <row r="39">
          <cell r="A39">
            <v>200005</v>
          </cell>
          <cell r="B39" t="str">
            <v>[effect:charge, status:attack, val:5.0, animation:enemy_charge]</v>
          </cell>
          <cell r="C39">
            <v>3</v>
          </cell>
          <cell r="D39" t="str">
            <v>ja</v>
          </cell>
          <cell r="E39" t="str">
            <v>増幅するチカラ</v>
          </cell>
        </row>
        <row r="40">
          <cell r="A40">
            <v>200006</v>
          </cell>
          <cell r="B40" t="str">
            <v>[effect:charge, status:attack, val:2.0, animation:enemy_charge]</v>
          </cell>
          <cell r="C40">
            <v>3</v>
          </cell>
          <cell r="D40" t="str">
            <v>ja</v>
          </cell>
          <cell r="E40" t="str">
            <v>後悔するわよ</v>
          </cell>
        </row>
        <row r="41">
          <cell r="A41">
            <v>200007</v>
          </cell>
          <cell r="B41" t="str">
            <v>[effect:charge, status:attack, val:3.0, animation:enemy_charge]</v>
          </cell>
          <cell r="C41">
            <v>3</v>
          </cell>
          <cell r="D41" t="str">
            <v>ja</v>
          </cell>
          <cell r="E41" t="str">
            <v>不機嫌な目覚め</v>
          </cell>
        </row>
        <row r="42">
          <cell r="A42">
            <v>200008</v>
          </cell>
          <cell r="B42" t="str">
            <v>[effect:charge, status:attack, val:2.0, animation:enemy_charge]</v>
          </cell>
          <cell r="C42">
            <v>3</v>
          </cell>
          <cell r="D42" t="str">
            <v>ja</v>
          </cell>
          <cell r="E42" t="str">
            <v>フルスイング</v>
          </cell>
        </row>
        <row r="43">
          <cell r="A43">
            <v>200009</v>
          </cell>
          <cell r="B43" t="str">
            <v>[effect:charge, status:attack, val:4.0, animation:enemy_charge]</v>
          </cell>
          <cell r="C43">
            <v>3</v>
          </cell>
          <cell r="D43" t="str">
            <v>ja</v>
          </cell>
          <cell r="E43" t="str">
            <v>キラースイング</v>
          </cell>
        </row>
        <row r="44">
          <cell r="A44">
            <v>200010</v>
          </cell>
          <cell r="B44" t="str">
            <v>[effect:charge, status:attack, val:2.0, animation:enemy_charge]</v>
          </cell>
          <cell r="C44">
            <v>3</v>
          </cell>
          <cell r="D44" t="str">
            <v>ja</v>
          </cell>
          <cell r="E44" t="str">
            <v>みなぎる闘志</v>
          </cell>
        </row>
        <row r="45">
          <cell r="A45">
            <v>200011</v>
          </cell>
          <cell r="B45" t="str">
            <v>[effect:charge, status:attack, val:3.0, animation:enemy_charge]</v>
          </cell>
          <cell r="C45">
            <v>3</v>
          </cell>
          <cell r="D45" t="str">
            <v>ja</v>
          </cell>
          <cell r="E45" t="str">
            <v>ハイパーリラックス</v>
          </cell>
        </row>
        <row r="46">
          <cell r="A46">
            <v>200012</v>
          </cell>
          <cell r="B46" t="str">
            <v>[effect:charge, status:attack, val:3.0, animation:enemy_charge]</v>
          </cell>
          <cell r="C46">
            <v>3</v>
          </cell>
          <cell r="D46" t="str">
            <v>ja</v>
          </cell>
          <cell r="E46" t="str">
            <v>ラストシューティング</v>
          </cell>
        </row>
        <row r="47">
          <cell r="A47">
            <v>200013</v>
          </cell>
          <cell r="B47" t="str">
            <v>[effect:charge, status:attack, val:4.0, animation:enemy_charge]</v>
          </cell>
          <cell r="C47">
            <v>3</v>
          </cell>
          <cell r="D47" t="str">
            <v>ja</v>
          </cell>
          <cell r="E47" t="str">
            <v>わたしに触るな！</v>
          </cell>
        </row>
        <row r="48">
          <cell r="A48">
            <v>200014</v>
          </cell>
          <cell r="B48" t="str">
            <v>[effect:charge, status:attack, val:5.0, animation:enemy_charge]</v>
          </cell>
          <cell r="C48">
            <v>3</v>
          </cell>
          <cell r="D48" t="str">
            <v>ja</v>
          </cell>
          <cell r="E48" t="str">
            <v>かぐや諸共消し飛べ！！</v>
          </cell>
        </row>
        <row r="49">
          <cell r="A49">
            <v>200015</v>
          </cell>
          <cell r="B49" t="str">
            <v>[effect:charge, status:attack, val:2.0, animation:enemy_charge]</v>
          </cell>
          <cell r="C49">
            <v>3</v>
          </cell>
          <cell r="D49" t="str">
            <v>ja</v>
          </cell>
          <cell r="E49" t="str">
            <v>蒼斬刀</v>
          </cell>
        </row>
        <row r="50">
          <cell r="A50">
            <v>200016</v>
          </cell>
          <cell r="B50" t="str">
            <v>[effect:rush, count:5, val:0.15][effect:charge, status:attack, val:0.75, animation:enemy_charge]</v>
          </cell>
          <cell r="C50">
            <v>3</v>
          </cell>
          <cell r="D50" t="str">
            <v>ja</v>
          </cell>
          <cell r="E50" t="str">
            <v>ビリビリちゃーじ！</v>
          </cell>
        </row>
        <row r="51">
          <cell r="A51">
            <v>200017</v>
          </cell>
          <cell r="B51" t="str">
            <v>[effect:charge, status:attack, val:0.7, animation:enemy_charge]</v>
          </cell>
          <cell r="C51">
            <v>3</v>
          </cell>
          <cell r="D51" t="str">
            <v>ja</v>
          </cell>
          <cell r="E51" t="str">
            <v>次のは痛いぞ？</v>
          </cell>
        </row>
        <row r="52">
          <cell r="A52">
            <v>210001</v>
          </cell>
          <cell r="B52" t="str">
            <v>[effect:critical, val:1.5.0, animation:enemy_critical]</v>
          </cell>
          <cell r="C52">
            <v>3</v>
          </cell>
          <cell r="D52" t="str">
            <v>ja</v>
          </cell>
          <cell r="E52" t="str">
            <v>青の剛力</v>
          </cell>
        </row>
        <row r="53">
          <cell r="A53">
            <v>210002</v>
          </cell>
          <cell r="B53" t="str">
            <v>[effect:critical, val:1.8.0, animation:enemy_critical]</v>
          </cell>
          <cell r="C53">
            <v>3</v>
          </cell>
          <cell r="D53" t="str">
            <v>ja</v>
          </cell>
          <cell r="E53" t="str">
            <v>蛇牙</v>
          </cell>
        </row>
        <row r="54">
          <cell r="A54">
            <v>210003</v>
          </cell>
          <cell r="B54" t="str">
            <v>[effect:critical, val:2.5.0, animation:enemy_critical]</v>
          </cell>
          <cell r="C54">
            <v>3</v>
          </cell>
          <cell r="D54" t="str">
            <v>ja</v>
          </cell>
          <cell r="E54" t="str">
            <v>ワンショットキル</v>
          </cell>
        </row>
        <row r="55">
          <cell r="A55">
            <v>210004</v>
          </cell>
          <cell r="B55" t="str">
            <v>[effect:critical, val:1.5.0, animation:enemy_critical]</v>
          </cell>
          <cell r="C55">
            <v>3</v>
          </cell>
          <cell r="D55" t="str">
            <v>ja</v>
          </cell>
          <cell r="E55" t="str">
            <v>タックル</v>
          </cell>
        </row>
        <row r="56">
          <cell r="A56">
            <v>210005</v>
          </cell>
          <cell r="B56" t="str">
            <v>[effect:critical, val:2.5.0, animation:enemy_critical]</v>
          </cell>
          <cell r="C56">
            <v>3</v>
          </cell>
          <cell r="D56" t="str">
            <v>ja</v>
          </cell>
          <cell r="E56" t="str">
            <v>猛烈電撃</v>
          </cell>
        </row>
        <row r="57">
          <cell r="A57">
            <v>210006</v>
          </cell>
          <cell r="B57" t="str">
            <v>[effect:critical, val:1.5.0, animation:enemy_critical]</v>
          </cell>
          <cell r="C57">
            <v>3</v>
          </cell>
          <cell r="D57" t="str">
            <v>ja</v>
          </cell>
          <cell r="E57" t="str">
            <v>巨腕の抱擁</v>
          </cell>
        </row>
        <row r="58">
          <cell r="A58">
            <v>210007</v>
          </cell>
          <cell r="B58" t="str">
            <v>[effect:critical, val:3.0.0, animation:enemy_critical]</v>
          </cell>
          <cell r="C58">
            <v>3</v>
          </cell>
          <cell r="D58" t="str">
            <v>ja</v>
          </cell>
          <cell r="E58" t="str">
            <v>金剛黄撃</v>
          </cell>
        </row>
        <row r="59">
          <cell r="A59">
            <v>210008</v>
          </cell>
          <cell r="B59" t="str">
            <v>[effect:critical, val:1.5.0, animation:enemy_critical]</v>
          </cell>
          <cell r="C59">
            <v>3</v>
          </cell>
          <cell r="D59" t="str">
            <v>ja</v>
          </cell>
          <cell r="E59" t="str">
            <v>煌きの一蹴</v>
          </cell>
        </row>
        <row r="60">
          <cell r="A60">
            <v>210009</v>
          </cell>
          <cell r="B60" t="str">
            <v>[effect:critical, val:2.5.0, animation:enemy_critical]</v>
          </cell>
          <cell r="C60">
            <v>3</v>
          </cell>
          <cell r="D60" t="str">
            <v>ja</v>
          </cell>
          <cell r="E60" t="str">
            <v>輝きの一蹴</v>
          </cell>
        </row>
        <row r="61">
          <cell r="A61">
            <v>210010</v>
          </cell>
          <cell r="B61" t="str">
            <v>[effect:critical, val:1.5.0, animation:enemy_critical]</v>
          </cell>
          <cell r="C61">
            <v>3</v>
          </cell>
          <cell r="D61" t="str">
            <v>ja</v>
          </cell>
          <cell r="E61" t="str">
            <v>お前を消す方法</v>
          </cell>
        </row>
        <row r="62">
          <cell r="A62">
            <v>210011</v>
          </cell>
          <cell r="B62" t="str">
            <v>[effect:critical, val:1.5.0, animation:enemy_critical]</v>
          </cell>
          <cell r="C62">
            <v>3</v>
          </cell>
          <cell r="D62" t="str">
            <v>ja</v>
          </cell>
          <cell r="E62" t="str">
            <v>迫る鉤爪</v>
          </cell>
        </row>
        <row r="63">
          <cell r="A63">
            <v>210012</v>
          </cell>
          <cell r="B63" t="str">
            <v>[effect:critical, val:2.0.0, animation:enemy_critical]</v>
          </cell>
          <cell r="C63">
            <v>3</v>
          </cell>
          <cell r="D63" t="str">
            <v>ja</v>
          </cell>
          <cell r="E63" t="str">
            <v>襲い来る鉤爪</v>
          </cell>
        </row>
        <row r="64">
          <cell r="A64">
            <v>210013</v>
          </cell>
          <cell r="B64" t="str">
            <v>[effect:critical, val:1.3.0, animation:enemy_critical]</v>
          </cell>
          <cell r="C64">
            <v>3</v>
          </cell>
          <cell r="D64" t="str">
            <v>ja</v>
          </cell>
          <cell r="E64" t="str">
            <v>猛虎の手</v>
          </cell>
        </row>
        <row r="65">
          <cell r="A65">
            <v>210014</v>
          </cell>
          <cell r="B65" t="str">
            <v>[effect:critical, val:1.5.0, animation:enemy_critical]</v>
          </cell>
          <cell r="C65">
            <v>3</v>
          </cell>
          <cell r="D65" t="str">
            <v>ja</v>
          </cell>
          <cell r="E65" t="str">
            <v>閃光空撃</v>
          </cell>
        </row>
        <row r="66">
          <cell r="A66">
            <v>210015</v>
          </cell>
          <cell r="B66" t="str">
            <v>[effect:critical, val:1.5.0, animation:enemy_critical]</v>
          </cell>
          <cell r="C66">
            <v>3</v>
          </cell>
          <cell r="D66" t="str">
            <v>ja</v>
          </cell>
          <cell r="E66" t="str">
            <v>蒼き一撃</v>
          </cell>
        </row>
        <row r="67">
          <cell r="A67">
            <v>210016</v>
          </cell>
          <cell r="B67" t="str">
            <v>[effect:critical, val:2.0.0, animation:enemy_critical]</v>
          </cell>
          <cell r="C67">
            <v>3</v>
          </cell>
          <cell r="D67" t="str">
            <v>ja</v>
          </cell>
          <cell r="E67" t="str">
            <v>金剛黄撃</v>
          </cell>
        </row>
        <row r="68">
          <cell r="A68">
            <v>210017</v>
          </cell>
          <cell r="B68" t="str">
            <v>[effect:critical, val:1.3.0, animation:enemy_critical]</v>
          </cell>
          <cell r="C68">
            <v>3</v>
          </cell>
          <cell r="D68" t="str">
            <v>ja</v>
          </cell>
          <cell r="E68" t="str">
            <v>ハンマーフォール</v>
          </cell>
        </row>
        <row r="69">
          <cell r="A69">
            <v>210018</v>
          </cell>
          <cell r="B69" t="str">
            <v>[effect:critical, val:1.3.0, animation:enemy_critical]</v>
          </cell>
          <cell r="C69">
            <v>3</v>
          </cell>
          <cell r="D69" t="str">
            <v>ja</v>
          </cell>
          <cell r="E69" t="str">
            <v>一筆一閃</v>
          </cell>
        </row>
        <row r="70">
          <cell r="A70">
            <v>210019</v>
          </cell>
          <cell r="B70" t="str">
            <v>[effect:critical, val:4.0.0, animation:enemy_critical]</v>
          </cell>
          <cell r="C70">
            <v>3</v>
          </cell>
          <cell r="D70" t="str">
            <v>ja</v>
          </cell>
          <cell r="E70" t="str">
            <v>&lt;キャノン砲発射&gt;</v>
          </cell>
        </row>
        <row r="71">
          <cell r="A71">
            <v>210020</v>
          </cell>
          <cell r="B71" t="str">
            <v>[effect:critical, val:5.0.0, animation:enemy_critical]</v>
          </cell>
          <cell r="C71">
            <v>3</v>
          </cell>
          <cell r="D71" t="str">
            <v>ja</v>
          </cell>
          <cell r="E71" t="str">
            <v>襲い来る鉤爪</v>
          </cell>
        </row>
        <row r="72">
          <cell r="A72">
            <v>210021</v>
          </cell>
          <cell r="B72" t="str">
            <v>[effect:critical, val:1.5.0, animation:enemy_critical]</v>
          </cell>
          <cell r="C72">
            <v>3</v>
          </cell>
          <cell r="D72" t="str">
            <v>ja</v>
          </cell>
          <cell r="E72" t="str">
            <v>疾風狼牙</v>
          </cell>
        </row>
        <row r="73">
          <cell r="A73">
            <v>210022</v>
          </cell>
          <cell r="B73" t="str">
            <v>[effect:critical, val:1.5.0, animation:enemy_critical]</v>
          </cell>
          <cell r="C73">
            <v>1</v>
          </cell>
          <cell r="D73" t="str">
            <v>ja</v>
          </cell>
          <cell r="E73" t="str">
            <v>クリティカル攻撃【仮】</v>
          </cell>
        </row>
        <row r="74">
          <cell r="A74">
            <v>210023</v>
          </cell>
          <cell r="B74" t="str">
            <v>[effect:critical, val:2.0.0, animation:enemy_critical]</v>
          </cell>
          <cell r="C74">
            <v>3</v>
          </cell>
          <cell r="D74" t="str">
            <v>ja</v>
          </cell>
          <cell r="E74" t="str">
            <v>紅の衝撃</v>
          </cell>
        </row>
        <row r="75">
          <cell r="A75">
            <v>210024</v>
          </cell>
          <cell r="B75" t="str">
            <v>[effect:critical, val:2.0.0, animation:enemy_critical]</v>
          </cell>
          <cell r="C75">
            <v>3</v>
          </cell>
          <cell r="D75" t="str">
            <v>ja</v>
          </cell>
          <cell r="E75" t="str">
            <v>蒼の衝撃</v>
          </cell>
        </row>
        <row r="76">
          <cell r="A76">
            <v>210025</v>
          </cell>
          <cell r="B76" t="str">
            <v>[effect:critical, val:2.0.0, animation:enemy_critical]</v>
          </cell>
          <cell r="C76">
            <v>1</v>
          </cell>
          <cell r="D76" t="str">
            <v>ja</v>
          </cell>
          <cell r="E76" t="str">
            <v>ハートクラッシュ</v>
          </cell>
        </row>
        <row r="77">
          <cell r="A77">
            <v>210026</v>
          </cell>
          <cell r="B77" t="str">
            <v>[effect:critical, val:3.0.0, animation:enemy_critical]</v>
          </cell>
          <cell r="C77">
            <v>1</v>
          </cell>
          <cell r="D77" t="str">
            <v>ja</v>
          </cell>
          <cell r="E77" t="str">
            <v>失せろ下郎！</v>
          </cell>
        </row>
        <row r="78">
          <cell r="A78">
            <v>210027</v>
          </cell>
          <cell r="B78" t="str">
            <v>[effect:critical, val:1.3.0, animation:enemy_critical]</v>
          </cell>
          <cell r="C78">
            <v>3</v>
          </cell>
          <cell r="D78" t="str">
            <v>ja</v>
          </cell>
          <cell r="E78" t="str">
            <v>猛虎の手</v>
          </cell>
        </row>
        <row r="79">
          <cell r="A79">
            <v>210028</v>
          </cell>
          <cell r="B79" t="str">
            <v>[effect:critical, val:1.6.0, animation:enemy_critical]</v>
          </cell>
          <cell r="C79">
            <v>3</v>
          </cell>
          <cell r="D79" t="str">
            <v>ja</v>
          </cell>
          <cell r="E79" t="str">
            <v>蒼の衝撃</v>
          </cell>
        </row>
        <row r="80">
          <cell r="A80">
            <v>210029</v>
          </cell>
          <cell r="B80" t="str">
            <v>[effect:critical, val:5.0.0, animation:enemy_critical]</v>
          </cell>
          <cell r="C80">
            <v>3</v>
          </cell>
          <cell r="D80" t="str">
            <v>ja</v>
          </cell>
          <cell r="E80" t="str">
            <v>EXECUTION</v>
          </cell>
        </row>
        <row r="81">
          <cell r="A81">
            <v>210030</v>
          </cell>
          <cell r="B81" t="str">
            <v>[effect:critical, val:1.8.0, animation:enemy_critical]</v>
          </cell>
          <cell r="C81">
            <v>3</v>
          </cell>
          <cell r="D81" t="str">
            <v>ja</v>
          </cell>
          <cell r="E81" t="str">
            <v>連鎖の氷殺</v>
          </cell>
        </row>
        <row r="82">
          <cell r="A82">
            <v>220001</v>
          </cell>
          <cell r="B82" t="str">
            <v>[effect:rush, count:2, val:0.6]</v>
          </cell>
          <cell r="C82">
            <v>3</v>
          </cell>
          <cell r="D82" t="str">
            <v>ja</v>
          </cell>
          <cell r="E82" t="str">
            <v>スピードスター</v>
          </cell>
        </row>
        <row r="83">
          <cell r="A83">
            <v>220002</v>
          </cell>
          <cell r="B83" t="str">
            <v>[effect:rush, count:2, val:0.7]</v>
          </cell>
          <cell r="C83">
            <v>3</v>
          </cell>
          <cell r="D83" t="str">
            <v>ja</v>
          </cell>
          <cell r="E83" t="str">
            <v>狂乱打</v>
          </cell>
        </row>
        <row r="84">
          <cell r="A84">
            <v>220003</v>
          </cell>
          <cell r="B84" t="str">
            <v>[effect:rush, count:2, val:0.8]</v>
          </cell>
          <cell r="C84">
            <v>3</v>
          </cell>
          <cell r="D84" t="str">
            <v>ja</v>
          </cell>
          <cell r="E84" t="str">
            <v>トゥハンド</v>
          </cell>
        </row>
        <row r="85">
          <cell r="A85">
            <v>220004</v>
          </cell>
          <cell r="B85" t="str">
            <v>[effect:rush, count:3, val:0.8]</v>
          </cell>
          <cell r="C85">
            <v>3</v>
          </cell>
          <cell r="D85" t="str">
            <v>ja</v>
          </cell>
          <cell r="E85" t="str">
            <v>エクスプローラーキラー</v>
          </cell>
        </row>
        <row r="86">
          <cell r="A86">
            <v>220005</v>
          </cell>
          <cell r="B86" t="str">
            <v>[effect:rush, count:4, val:0.6]</v>
          </cell>
          <cell r="C86">
            <v>3</v>
          </cell>
          <cell r="D86" t="str">
            <v>ja</v>
          </cell>
          <cell r="E86" t="str">
            <v>ハイ・エクスプローラーキラー</v>
          </cell>
        </row>
        <row r="87">
          <cell r="A87">
            <v>220006</v>
          </cell>
          <cell r="B87" t="str">
            <v>[effect:rush, count:5, val:0.4]</v>
          </cell>
          <cell r="C87">
            <v>3</v>
          </cell>
          <cell r="D87" t="str">
            <v>ja</v>
          </cell>
          <cell r="E87" t="str">
            <v>乱射</v>
          </cell>
        </row>
        <row r="88">
          <cell r="A88">
            <v>220007</v>
          </cell>
          <cell r="B88" t="str">
            <v>[effect:rush, count:8, val:0.5]</v>
          </cell>
          <cell r="C88">
            <v>3</v>
          </cell>
          <cell r="D88" t="str">
            <v>ja</v>
          </cell>
          <cell r="E88" t="str">
            <v>超乱射</v>
          </cell>
        </row>
        <row r="89">
          <cell r="A89">
            <v>220008</v>
          </cell>
          <cell r="B89" t="str">
            <v>[effect:rush, count:3, val:0.8]</v>
          </cell>
          <cell r="C89">
            <v>3</v>
          </cell>
          <cell r="D89" t="str">
            <v>ja</v>
          </cell>
          <cell r="E89" t="str">
            <v>超拡散アタック</v>
          </cell>
        </row>
        <row r="90">
          <cell r="A90">
            <v>220009</v>
          </cell>
          <cell r="B90" t="str">
            <v>[effect:rush, count:2, val:0.6]</v>
          </cell>
          <cell r="C90">
            <v>3</v>
          </cell>
          <cell r="D90" t="str">
            <v>ja</v>
          </cell>
          <cell r="E90" t="str">
            <v>連続雷撃</v>
          </cell>
        </row>
        <row r="91">
          <cell r="A91">
            <v>220010</v>
          </cell>
          <cell r="B91" t="str">
            <v>[effect:rush, count:4, val:0.8]</v>
          </cell>
          <cell r="C91">
            <v>3</v>
          </cell>
          <cell r="D91" t="str">
            <v>ja</v>
          </cell>
          <cell r="E91" t="str">
            <v>五月雨雷撃</v>
          </cell>
        </row>
        <row r="92">
          <cell r="A92">
            <v>220011</v>
          </cell>
          <cell r="B92" t="str">
            <v>[effect:rush, count:5, val:0.4]</v>
          </cell>
          <cell r="C92">
            <v>3</v>
          </cell>
          <cell r="D92" t="str">
            <v>ja</v>
          </cell>
          <cell r="E92" t="str">
            <v>毒蛇の猛攻</v>
          </cell>
        </row>
        <row r="93">
          <cell r="A93">
            <v>220012</v>
          </cell>
          <cell r="B93" t="str">
            <v>[effect:rush, count:5, val:0.4]</v>
          </cell>
          <cell r="C93">
            <v>3</v>
          </cell>
          <cell r="D93" t="str">
            <v>ja</v>
          </cell>
          <cell r="E93" t="str">
            <v>山猿の足</v>
          </cell>
        </row>
        <row r="94">
          <cell r="A94">
            <v>220013</v>
          </cell>
          <cell r="B94" t="str">
            <v>[effect:rush, count:8, val:0.7]</v>
          </cell>
          <cell r="C94">
            <v>3</v>
          </cell>
          <cell r="D94" t="str">
            <v>ja</v>
          </cell>
          <cell r="E94" t="str">
            <v>スピードスター</v>
          </cell>
        </row>
        <row r="95">
          <cell r="A95">
            <v>23011</v>
          </cell>
          <cell r="B95" t="str">
            <v>[effect:spread, val:0.9, animation:enemy_spread]</v>
          </cell>
          <cell r="C95">
            <v>3</v>
          </cell>
          <cell r="D95" t="str">
            <v>ja</v>
          </cell>
          <cell r="E95" t="str">
            <v>ハル・ディナーハ</v>
          </cell>
        </row>
        <row r="96">
          <cell r="A96">
            <v>220014</v>
          </cell>
          <cell r="B96" t="str">
            <v>[effect:rush, count:8, val:0.25]</v>
          </cell>
          <cell r="C96">
            <v>3</v>
          </cell>
          <cell r="D96" t="str">
            <v>ja</v>
          </cell>
          <cell r="E96" t="str">
            <v>ナーヴァ・グラハ</v>
          </cell>
        </row>
        <row r="97">
          <cell r="A97">
            <v>220015</v>
          </cell>
          <cell r="B97" t="str">
            <v>[effect:rush, count:3, val:0.6]</v>
          </cell>
          <cell r="C97">
            <v>3</v>
          </cell>
          <cell r="D97" t="str">
            <v>ja</v>
          </cell>
          <cell r="E97" t="str">
            <v>耐えられない孤独</v>
          </cell>
        </row>
        <row r="98">
          <cell r="A98">
            <v>220016</v>
          </cell>
          <cell r="B98" t="str">
            <v>[effect:rush, count:8, val:0.2]</v>
          </cell>
          <cell r="C98">
            <v>3</v>
          </cell>
          <cell r="D98" t="str">
            <v>ja</v>
          </cell>
          <cell r="E98" t="str">
            <v>ナーヴァ・グラハ</v>
          </cell>
        </row>
        <row r="99">
          <cell r="A99">
            <v>220017</v>
          </cell>
          <cell r="B99" t="str">
            <v>[effect:rush, count:5, val:0.5],[effect:enhance_enemy, target:enemy_all, turn:3, status:attack, val:1.2, animation:enemy_enhance_enemy]</v>
          </cell>
          <cell r="C99">
            <v>3</v>
          </cell>
          <cell r="D99" t="str">
            <v>ja</v>
          </cell>
          <cell r="E99" t="str">
            <v>抑えきれぬ食欲</v>
          </cell>
        </row>
        <row r="100">
          <cell r="A100">
            <v>220018</v>
          </cell>
          <cell r="B100" t="str">
            <v>[effect:rush, count:10, val:0.27],[effect:enhance_enemy, target:enemy_all, turn:5, status:attack, val:1.2, animation:enemy_enhance_enemy]</v>
          </cell>
          <cell r="C100">
            <v>3</v>
          </cell>
          <cell r="D100" t="str">
            <v>ja</v>
          </cell>
          <cell r="E100" t="str">
            <v>襲い来る食欲</v>
          </cell>
        </row>
        <row r="101">
          <cell r="A101">
            <v>220019</v>
          </cell>
          <cell r="B101" t="str">
            <v>[effect:rush, count:20, val:0.13],[effect:enhance_enemy, target:enemy_all, turn:5, status:attack, val:1.5, animation:enemy_enhance_enemy]</v>
          </cell>
          <cell r="C101">
            <v>3</v>
          </cell>
          <cell r="D101" t="str">
            <v>ja</v>
          </cell>
          <cell r="E101" t="str">
            <v>果てしなき食欲</v>
          </cell>
        </row>
        <row r="102">
          <cell r="A102">
            <v>220020</v>
          </cell>
          <cell r="B102" t="str">
            <v>[effect:rush, count:2, val:0.3]</v>
          </cell>
          <cell r="C102">
            <v>3</v>
          </cell>
          <cell r="D102" t="str">
            <v>ja</v>
          </cell>
          <cell r="E102" t="str">
            <v>ノロマめ…</v>
          </cell>
        </row>
        <row r="103">
          <cell r="A103">
            <v>220021</v>
          </cell>
          <cell r="B103" t="str">
            <v>[effect:rush, count:3, val:0.3]</v>
          </cell>
          <cell r="C103">
            <v>3</v>
          </cell>
          <cell r="D103" t="str">
            <v>ja</v>
          </cell>
          <cell r="E103" t="str">
            <v>何と緩慢な</v>
          </cell>
        </row>
        <row r="104">
          <cell r="A104">
            <v>220022</v>
          </cell>
          <cell r="B104" t="str">
            <v>[effect:rush, count:7, val:0.2]</v>
          </cell>
          <cell r="C104">
            <v>3</v>
          </cell>
          <cell r="D104" t="str">
            <v>ja</v>
          </cell>
          <cell r="E104" t="str">
            <v>止まってみえるぞ!</v>
          </cell>
        </row>
        <row r="105">
          <cell r="A105">
            <v>220023</v>
          </cell>
          <cell r="B105" t="str">
            <v>[effect:rush, count:5, val:0.4]</v>
          </cell>
          <cell r="C105">
            <v>3</v>
          </cell>
          <cell r="D105" t="str">
            <v>ja</v>
          </cell>
          <cell r="E105" t="str">
            <v>山猿の足</v>
          </cell>
        </row>
        <row r="106">
          <cell r="A106">
            <v>220024</v>
          </cell>
          <cell r="B106" t="str">
            <v>[effect:rush, count:7, val:0.2]</v>
          </cell>
          <cell r="C106">
            <v>3</v>
          </cell>
          <cell r="D106" t="str">
            <v>ja</v>
          </cell>
          <cell r="E106" t="str">
            <v>地獄の締め上げ</v>
          </cell>
        </row>
        <row r="107">
          <cell r="A107">
            <v>220025</v>
          </cell>
          <cell r="B107" t="str">
            <v>[effect:rush, count:10, val:0.2]</v>
          </cell>
          <cell r="C107">
            <v>3</v>
          </cell>
          <cell r="D107" t="str">
            <v>ja</v>
          </cell>
          <cell r="E107" t="str">
            <v>ゴールドスラッシュ</v>
          </cell>
        </row>
        <row r="108">
          <cell r="A108">
            <v>220026</v>
          </cell>
          <cell r="B108" t="str">
            <v>[effect:rush, count:5, val:0.3]</v>
          </cell>
          <cell r="C108">
            <v>3</v>
          </cell>
          <cell r="D108" t="str">
            <v>ja</v>
          </cell>
          <cell r="E108" t="str">
            <v>ゴールドラッシュ</v>
          </cell>
        </row>
        <row r="109">
          <cell r="A109">
            <v>220027</v>
          </cell>
          <cell r="B109" t="str">
            <v>[effect:rush, count:2, val:0.8]</v>
          </cell>
          <cell r="C109">
            <v>3</v>
          </cell>
          <cell r="D109" t="str">
            <v>ja</v>
          </cell>
          <cell r="E109" t="str">
            <v>ツインターゲット</v>
          </cell>
        </row>
        <row r="110">
          <cell r="A110">
            <v>220028</v>
          </cell>
          <cell r="B110" t="str">
            <v>[effect:rush, count:3, val:0.4]</v>
          </cell>
          <cell r="C110">
            <v>3</v>
          </cell>
          <cell r="D110" t="str">
            <v>ja</v>
          </cell>
          <cell r="E110" t="str">
            <v>気分が良いぞ…</v>
          </cell>
        </row>
        <row r="111">
          <cell r="A111">
            <v>220029</v>
          </cell>
          <cell r="B111" t="str">
            <v>[effect:rush, count:5, val:0.3]</v>
          </cell>
          <cell r="C111">
            <v>3</v>
          </cell>
          <cell r="D111" t="str">
            <v>ja</v>
          </cell>
          <cell r="E111" t="str">
            <v>群れるな痴れ者ども</v>
          </cell>
        </row>
        <row r="112">
          <cell r="A112">
            <v>220030</v>
          </cell>
          <cell r="B112" t="str">
            <v>[effect:rush, count:7, val:0.2]</v>
          </cell>
          <cell r="C112">
            <v>3</v>
          </cell>
          <cell r="D112" t="str">
            <v>ja</v>
          </cell>
          <cell r="E112" t="str">
            <v>まとめてサメのエサだ！</v>
          </cell>
        </row>
        <row r="113">
          <cell r="A113">
            <v>230001</v>
          </cell>
          <cell r="B113" t="str">
            <v>[effect:spread, val:0.5, animation:enemy_spread]</v>
          </cell>
          <cell r="C113">
            <v>3</v>
          </cell>
          <cell r="D113" t="str">
            <v>ja</v>
          </cell>
          <cell r="E113" t="str">
            <v>連打</v>
          </cell>
        </row>
        <row r="114">
          <cell r="A114">
            <v>230002</v>
          </cell>
          <cell r="B114" t="str">
            <v>[effect:spread, val:0.3, animation:enemy_spread]</v>
          </cell>
          <cell r="C114">
            <v>3</v>
          </cell>
          <cell r="D114" t="str">
            <v>ja</v>
          </cell>
          <cell r="E114" t="str">
            <v>大切断</v>
          </cell>
        </row>
        <row r="115">
          <cell r="A115">
            <v>230003</v>
          </cell>
          <cell r="B115" t="str">
            <v>[effect:spread, val:0.5, animation:enemy_spread]</v>
          </cell>
          <cell r="C115">
            <v>3</v>
          </cell>
          <cell r="D115" t="str">
            <v>ja</v>
          </cell>
          <cell r="E115" t="str">
            <v>敗北の悪夢</v>
          </cell>
        </row>
        <row r="116">
          <cell r="A116">
            <v>230004</v>
          </cell>
          <cell r="B116" t="str">
            <v>[effect:spread, val:0.8, animation:enemy_spread]</v>
          </cell>
          <cell r="C116">
            <v>3</v>
          </cell>
          <cell r="D116" t="str">
            <v>ja</v>
          </cell>
          <cell r="E116" t="str">
            <v>絶望の悪夢</v>
          </cell>
        </row>
        <row r="117">
          <cell r="A117">
            <v>230005</v>
          </cell>
          <cell r="B117" t="str">
            <v>[effect:spread, val:0.5, animation:enemy_spread]</v>
          </cell>
          <cell r="C117">
            <v>3</v>
          </cell>
          <cell r="D117" t="str">
            <v>ja</v>
          </cell>
          <cell r="E117" t="str">
            <v>猛烈突進</v>
          </cell>
        </row>
        <row r="118">
          <cell r="A118">
            <v>230006</v>
          </cell>
          <cell r="B118" t="str">
            <v>[effect:spread, val:0.3, animation:enemy_spread]</v>
          </cell>
          <cell r="C118">
            <v>3</v>
          </cell>
          <cell r="D118" t="str">
            <v>ja</v>
          </cell>
          <cell r="E118" t="str">
            <v>畏れの至言</v>
          </cell>
        </row>
        <row r="119">
          <cell r="A119">
            <v>230007</v>
          </cell>
          <cell r="B119" t="str">
            <v>[effect:spread, val:0.5, animation:enemy_spread]</v>
          </cell>
          <cell r="C119">
            <v>3</v>
          </cell>
          <cell r="D119" t="str">
            <v>ja</v>
          </cell>
          <cell r="E119" t="str">
            <v>寝起きの鉄槌</v>
          </cell>
        </row>
        <row r="120">
          <cell r="A120">
            <v>230008</v>
          </cell>
          <cell r="B120" t="str">
            <v>[effect:spread, val:0.5, animation:enemy_spread]</v>
          </cell>
          <cell r="C120">
            <v>3</v>
          </cell>
          <cell r="D120" t="str">
            <v>ja</v>
          </cell>
          <cell r="E120" t="str">
            <v>窮鼠の爪</v>
          </cell>
        </row>
        <row r="121">
          <cell r="A121">
            <v>230009</v>
          </cell>
          <cell r="B121" t="str">
            <v>[effect:spread, val:0.35, animation:enemy_spread]</v>
          </cell>
          <cell r="C121">
            <v>3</v>
          </cell>
          <cell r="D121" t="str">
            <v>ja</v>
          </cell>
          <cell r="E121" t="str">
            <v>妙技「雷轟金閃」</v>
          </cell>
        </row>
        <row r="122">
          <cell r="A122">
            <v>230010</v>
          </cell>
          <cell r="B122" t="str">
            <v>[effect:spread, val:0.3, animation:enemy_spread]</v>
          </cell>
          <cell r="C122">
            <v>3</v>
          </cell>
          <cell r="D122" t="str">
            <v>ja</v>
          </cell>
          <cell r="E122" t="str">
            <v>瞬殺の極意</v>
          </cell>
        </row>
        <row r="123">
          <cell r="A123">
            <v>230012</v>
          </cell>
          <cell r="B123" t="str">
            <v>[effect:spread, val:0.3, animation:enemy_spread]</v>
          </cell>
          <cell r="C123">
            <v>3</v>
          </cell>
          <cell r="D123" t="str">
            <v>ja</v>
          </cell>
          <cell r="E123" t="str">
            <v>黄剛の一閃</v>
          </cell>
        </row>
        <row r="124">
          <cell r="A124">
            <v>230013</v>
          </cell>
          <cell r="B124" t="str">
            <v>[effect:spread, val:0.4, animation:enemy_spread]</v>
          </cell>
          <cell r="C124">
            <v>1</v>
          </cell>
          <cell r="D124" t="str">
            <v>ja</v>
          </cell>
          <cell r="E124" t="str">
            <v>紅の一閃</v>
          </cell>
        </row>
        <row r="125">
          <cell r="A125">
            <v>230014</v>
          </cell>
          <cell r="B125" t="str">
            <v>[effect:spread, val:0.3, animation:enemy_spread]</v>
          </cell>
          <cell r="C125">
            <v>3</v>
          </cell>
          <cell r="D125" t="str">
            <v>ja</v>
          </cell>
          <cell r="E125" t="str">
            <v>紅の一閃</v>
          </cell>
        </row>
        <row r="126">
          <cell r="A126">
            <v>230015</v>
          </cell>
          <cell r="B126" t="str">
            <v>[effect:spread, val:0.3, animation:enemy_spread]</v>
          </cell>
          <cell r="C126">
            <v>3</v>
          </cell>
          <cell r="D126" t="str">
            <v>ja</v>
          </cell>
          <cell r="E126" t="str">
            <v>スプレッドボム</v>
          </cell>
        </row>
        <row r="127">
          <cell r="A127">
            <v>230016</v>
          </cell>
          <cell r="B127" t="str">
            <v>[effect:spread, val:0.5, animation:enemy_spread]</v>
          </cell>
          <cell r="C127">
            <v>3</v>
          </cell>
          <cell r="D127" t="str">
            <v>ja</v>
          </cell>
          <cell r="E127" t="str">
            <v>猟師さーんヽ(≧Д≦)ノ</v>
          </cell>
        </row>
        <row r="128">
          <cell r="A128">
            <v>230017</v>
          </cell>
          <cell r="B128" t="str">
            <v>[effect:spread, val:1.0, animation:enemy_spread]</v>
          </cell>
          <cell r="C128">
            <v>3</v>
          </cell>
          <cell r="D128" t="str">
            <v>ja</v>
          </cell>
          <cell r="E128" t="str">
            <v>地を焦がす流星雨</v>
          </cell>
        </row>
        <row r="129">
          <cell r="A129">
            <v>230018</v>
          </cell>
          <cell r="B129" t="str">
            <v>[effect:spread, val:0.3, animation:enemy_spread]</v>
          </cell>
          <cell r="C129">
            <v>3</v>
          </cell>
          <cell r="D129" t="str">
            <v>ja</v>
          </cell>
          <cell r="E129" t="str">
            <v>無差別乱射</v>
          </cell>
        </row>
        <row r="130">
          <cell r="A130">
            <v>230019</v>
          </cell>
          <cell r="B130" t="str">
            <v>[effect:spread, val:0.3, animation:enemy_spread]</v>
          </cell>
          <cell r="C130">
            <v>3</v>
          </cell>
          <cell r="D130" t="str">
            <v>ja</v>
          </cell>
          <cell r="E130" t="str">
            <v>ハァーッハッハッハ！!</v>
          </cell>
        </row>
        <row r="131">
          <cell r="A131">
            <v>230020</v>
          </cell>
          <cell r="B131" t="str">
            <v>[effect:spread, val:0.3, animation:enemy_spread]</v>
          </cell>
          <cell r="C131">
            <v>3</v>
          </cell>
          <cell r="D131" t="str">
            <v>ja</v>
          </cell>
          <cell r="E131" t="str">
            <v>シュトゥルム・アングリフ</v>
          </cell>
        </row>
        <row r="132">
          <cell r="A132">
            <v>230022</v>
          </cell>
          <cell r="B132" t="str">
            <v>[effect:spread, val:0.3, animation:enemy_spread]</v>
          </cell>
          <cell r="C132">
            <v>3</v>
          </cell>
          <cell r="D132" t="str">
            <v>ja</v>
          </cell>
          <cell r="E132" t="str">
            <v>キミたち食べていい？</v>
          </cell>
        </row>
        <row r="133">
          <cell r="A133">
            <v>230023</v>
          </cell>
          <cell r="B133" t="str">
            <v>[effect:spread, val:0.5, animation:enemy_spread]</v>
          </cell>
          <cell r="C133">
            <v>3</v>
          </cell>
          <cell r="D133" t="str">
            <v>ja</v>
          </cell>
          <cell r="E133" t="str">
            <v>甲撃</v>
          </cell>
        </row>
        <row r="134">
          <cell r="A134">
            <v>230024</v>
          </cell>
          <cell r="B134" t="str">
            <v>[effect:spread, val:0.5, animation:enemy_spread]</v>
          </cell>
          <cell r="C134">
            <v>3</v>
          </cell>
          <cell r="D134" t="str">
            <v>ja</v>
          </cell>
          <cell r="E134" t="str">
            <v>サウンドストーム</v>
          </cell>
        </row>
        <row r="135">
          <cell r="A135">
            <v>230025</v>
          </cell>
          <cell r="B135" t="str">
            <v>[effect:spread, val:2.2, animation:enemy_spread]</v>
          </cell>
          <cell r="C135">
            <v>3</v>
          </cell>
          <cell r="D135" t="str">
            <v>ja</v>
          </cell>
          <cell r="E135" t="str">
            <v>ツムジ風！</v>
          </cell>
        </row>
        <row r="136">
          <cell r="A136">
            <v>230026</v>
          </cell>
          <cell r="B136" t="str">
            <v>[effect:spread, val:0.5, animation:enemy_spread]</v>
          </cell>
          <cell r="C136">
            <v>3</v>
          </cell>
          <cell r="D136" t="str">
            <v>ja</v>
          </cell>
          <cell r="E136" t="str">
            <v>踊れヤギども</v>
          </cell>
        </row>
        <row r="137">
          <cell r="A137">
            <v>230027</v>
          </cell>
          <cell r="B137" t="str">
            <v>[effect:spread, val:0.7, animation:enemy_spread]</v>
          </cell>
          <cell r="C137">
            <v>3</v>
          </cell>
          <cell r="D137" t="str">
            <v>ja</v>
          </cell>
          <cell r="E137" t="str">
            <v>出でよグリゴリ！</v>
          </cell>
        </row>
        <row r="138">
          <cell r="A138">
            <v>230029</v>
          </cell>
          <cell r="B138" t="str">
            <v>[effect:spread, val:0.3, animation:enemy_spread]</v>
          </cell>
          <cell r="C138">
            <v>3</v>
          </cell>
          <cell r="D138" t="str">
            <v>ja</v>
          </cell>
          <cell r="E138" t="str">
            <v>ビリビリあたっく！</v>
          </cell>
        </row>
        <row r="139">
          <cell r="A139">
            <v>230030</v>
          </cell>
          <cell r="B139" t="str">
            <v>[effect:spread, val:0.4, animation:enemy_spread]</v>
          </cell>
          <cell r="C139">
            <v>3</v>
          </cell>
          <cell r="D139" t="str">
            <v>ja</v>
          </cell>
          <cell r="E139" t="str">
            <v>薙ぎ払い</v>
          </cell>
        </row>
        <row r="140">
          <cell r="A140">
            <v>240001</v>
          </cell>
          <cell r="B140" t="str">
            <v>[effect:kamikaze, val:3.0, animation:enemy_kamikaze]</v>
          </cell>
          <cell r="C140">
            <v>3</v>
          </cell>
          <cell r="D140" t="str">
            <v>ja</v>
          </cell>
          <cell r="E140" t="str">
            <v>自爆</v>
          </cell>
        </row>
        <row r="141">
          <cell r="A141">
            <v>240002</v>
          </cell>
          <cell r="B141" t="str">
            <v>[effect:kamikaze, val:10.0, animation:enemy_kamikaze]</v>
          </cell>
          <cell r="C141">
            <v>3</v>
          </cell>
          <cell r="D141" t="str">
            <v>ja</v>
          </cell>
          <cell r="E141" t="str">
            <v>自爆</v>
          </cell>
        </row>
        <row r="142">
          <cell r="A142">
            <v>240003</v>
          </cell>
          <cell r="B142" t="str">
            <v>[effect:kamikaze, val:10.0, animation:enemy_kamikaze]</v>
          </cell>
          <cell r="C142">
            <v>3</v>
          </cell>
          <cell r="D142" t="str">
            <v>ja</v>
          </cell>
          <cell r="E142" t="str">
            <v>ピヨボム</v>
          </cell>
        </row>
        <row r="143">
          <cell r="A143">
            <v>240004</v>
          </cell>
          <cell r="B143" t="str">
            <v>[effect:kamikaze, val:20.0, animation:enemy_kamikaze]</v>
          </cell>
          <cell r="C143">
            <v>3</v>
          </cell>
          <cell r="D143" t="str">
            <v>ja</v>
          </cell>
          <cell r="E143" t="str">
            <v>でかピヨボム</v>
          </cell>
        </row>
        <row r="144">
          <cell r="A144">
            <v>240005</v>
          </cell>
          <cell r="B144" t="str">
            <v>[effect:kamikaze, val:30.0, animation:enemy_kamikaze]</v>
          </cell>
          <cell r="C144">
            <v>3</v>
          </cell>
          <cell r="D144" t="str">
            <v>ja</v>
          </cell>
          <cell r="E144" t="str">
            <v>ドでかピヨボム</v>
          </cell>
        </row>
        <row r="145">
          <cell r="A145">
            <v>240006</v>
          </cell>
          <cell r="B145" t="str">
            <v>[effect:fix_speed,target:myself,turn:3],[effect:kamikaze, val:3.0, animation:enemy_kamikaze]</v>
          </cell>
          <cell r="C145">
            <v>3</v>
          </cell>
          <cell r="D145" t="str">
            <v>ja</v>
          </cell>
          <cell r="E145" t="str">
            <v>生命の爆発</v>
          </cell>
        </row>
        <row r="146">
          <cell r="A146">
            <v>240007</v>
          </cell>
          <cell r="B146" t="str">
            <v>[effect:kamikaze, val:3.0, animation:enemy_kamikaze],[effect:virus, turn:3, rate:1.0, val:0.15, animation:enemy_virus]</v>
          </cell>
          <cell r="C146">
            <v>3</v>
          </cell>
          <cell r="D146" t="str">
            <v>ja</v>
          </cell>
          <cell r="E146" t="str">
            <v>最後の爆弾</v>
          </cell>
        </row>
        <row r="147">
          <cell r="A147">
            <v>240008</v>
          </cell>
          <cell r="B147" t="str">
            <v>[effect:kamikaze, val:0.25, animation:enemy_kamikaze],[effect:enhance_enemy, target:enemy_all, turn:-1, status:attack, val:2.0, animation:enemy_enhance_enemy]</v>
          </cell>
          <cell r="C147">
            <v>3</v>
          </cell>
          <cell r="D147" t="str">
            <v>ja</v>
          </cell>
          <cell r="E147" t="str">
            <v>エネルギー変換</v>
          </cell>
        </row>
        <row r="148">
          <cell r="A148">
            <v>240009</v>
          </cell>
          <cell r="B148" t="str">
            <v>[effect:kamikaze, val:0.25, animation:enemy_kamikaze],[effect:freq_turn, target:enemy_all, turn:-1, val:1, animation:enemy_freq_turn]</v>
          </cell>
          <cell r="C148">
            <v>3</v>
          </cell>
          <cell r="D148" t="str">
            <v>ja</v>
          </cell>
          <cell r="E148" t="str">
            <v>エネルギー変換</v>
          </cell>
        </row>
        <row r="149">
          <cell r="A149">
            <v>240010</v>
          </cell>
          <cell r="B149" t="str">
            <v>[effect:kamikaze, val:0.25, animation:enemy_kamikaze],[effect:heal, target:enemy_all, val:0.5, animation:enemy_heal]</v>
          </cell>
          <cell r="C149">
            <v>3</v>
          </cell>
          <cell r="D149" t="str">
            <v>ja</v>
          </cell>
          <cell r="E149" t="str">
            <v>ぎゃああああああ</v>
          </cell>
        </row>
        <row r="150">
          <cell r="A150">
            <v>240011</v>
          </cell>
          <cell r="B150" t="str">
            <v>[effect:kamikaze, val:0.25, animation:enemy_kamikaze],[effect:enhance_enemy, target:enemy_all, turn:-1, status:attack, val:2.0, animation:enemy_enhance_enemy]</v>
          </cell>
          <cell r="C150">
            <v>3</v>
          </cell>
          <cell r="D150" t="str">
            <v>ja</v>
          </cell>
          <cell r="E150" t="str">
            <v>進撃の花火</v>
          </cell>
        </row>
        <row r="151">
          <cell r="A151">
            <v>250001</v>
          </cell>
          <cell r="B151" t="str">
            <v>[effect:damage_anti_tribe, target:unit_one, tribe:god, val1:3.0, val2:1.0]</v>
          </cell>
          <cell r="C151">
            <v>3</v>
          </cell>
          <cell r="D151" t="str">
            <v>ja</v>
          </cell>
          <cell r="E151" t="str">
            <v>神をも燃やす天の炎</v>
          </cell>
        </row>
        <row r="152">
          <cell r="A152">
            <v>250002</v>
          </cell>
          <cell r="B152" t="str">
            <v>[effect:damage_anti_tribe, target:unit_one, tribe:animal, val1:1.5, val2:0.8]</v>
          </cell>
          <cell r="C152">
            <v>3</v>
          </cell>
          <cell r="D152" t="str">
            <v>ja</v>
          </cell>
          <cell r="E152" t="str">
            <v>アニマルキラー</v>
          </cell>
        </row>
        <row r="153">
          <cell r="A153">
            <v>250003</v>
          </cell>
          <cell r="B153" t="str">
            <v>[effect:damage_anti_tribe, target:unit_one, tribe:human, val1:2.0, val2:0.8]</v>
          </cell>
          <cell r="C153">
            <v>3</v>
          </cell>
          <cell r="D153" t="str">
            <v>ja</v>
          </cell>
          <cell r="E153" t="str">
            <v>ヒューマンキラー</v>
          </cell>
        </row>
        <row r="154">
          <cell r="A154">
            <v>250004</v>
          </cell>
          <cell r="B154" t="str">
            <v>[effect:damage_anti_tribe, target:unit_one, tribe:human, val1:2.0, val2:0.8]</v>
          </cell>
          <cell r="C154">
            <v>1</v>
          </cell>
          <cell r="D154" t="str">
            <v>ja</v>
          </cell>
          <cell r="E154" t="str">
            <v>軍神の咆哮</v>
          </cell>
        </row>
        <row r="155">
          <cell r="A155">
            <v>250005</v>
          </cell>
          <cell r="B155" t="str">
            <v>[effect:damage_anti_tribe, target:unit_one, tribe:animal, val1:1.5, val2:0.8]</v>
          </cell>
          <cell r="C155">
            <v>3</v>
          </cell>
          <cell r="D155" t="str">
            <v>ja</v>
          </cell>
          <cell r="E155" t="str">
            <v>アニマルキラー</v>
          </cell>
        </row>
        <row r="156">
          <cell r="A156">
            <v>250006</v>
          </cell>
          <cell r="B156" t="str">
            <v>[effect:damage_anti_tribe, target:unit_one, tribe:god, val1:3.0, val2:0.8]</v>
          </cell>
          <cell r="C156">
            <v>3</v>
          </cell>
          <cell r="D156" t="str">
            <v>ja</v>
          </cell>
          <cell r="E156" t="str">
            <v>ゴッドキラー</v>
          </cell>
        </row>
        <row r="157">
          <cell r="A157">
            <v>250007</v>
          </cell>
          <cell r="B157" t="str">
            <v>[effect:damage_anti_tribe, target:unit_one, tribe:dragon, val1:3.0, val2:0.8]</v>
          </cell>
          <cell r="C157">
            <v>3</v>
          </cell>
          <cell r="D157" t="str">
            <v>ja</v>
          </cell>
          <cell r="E157" t="str">
            <v>ドラゴンキラー</v>
          </cell>
        </row>
        <row r="158">
          <cell r="A158">
            <v>250008</v>
          </cell>
          <cell r="B158" t="str">
            <v>[effect:damage_anti_tribe, target:unit_one, tribe:god, val1:2.5, val2:0.8]</v>
          </cell>
          <cell r="C158">
            <v>3</v>
          </cell>
          <cell r="D158" t="str">
            <v>ja</v>
          </cell>
          <cell r="E158" t="str">
            <v>神をも撃ち抜く雷</v>
          </cell>
        </row>
        <row r="159">
          <cell r="A159">
            <v>250009</v>
          </cell>
          <cell r="B159" t="str">
            <v>[effect:damage_anti_tribe, target:unit_one, tribe:god, val1:2.5, val2:0.8]</v>
          </cell>
          <cell r="C159">
            <v>3</v>
          </cell>
          <cell r="D159" t="str">
            <v>ja</v>
          </cell>
          <cell r="E159" t="str">
            <v>神撃ちの拳</v>
          </cell>
        </row>
        <row r="160">
          <cell r="A160">
            <v>250010</v>
          </cell>
          <cell r="B160" t="str">
            <v>[effect:damage_anti_tribe, target:unit_one, tribe:machine, val1:2.5, val2:0.8]</v>
          </cell>
          <cell r="C160">
            <v>3</v>
          </cell>
          <cell r="D160" t="str">
            <v>ja</v>
          </cell>
          <cell r="E160" t="str">
            <v>分解…</v>
          </cell>
        </row>
        <row r="161">
          <cell r="A161">
            <v>250011</v>
          </cell>
          <cell r="B161" t="str">
            <v>[effect:damage_anti_tribe, target:unit_one, tribe:animal, val1:2.0, val2:1.0]</v>
          </cell>
          <cell r="C161">
            <v>3</v>
          </cell>
          <cell r="D161" t="str">
            <v>ja</v>
          </cell>
          <cell r="E161" t="str">
            <v>家畜が…目障りだ！</v>
          </cell>
        </row>
        <row r="162">
          <cell r="A162">
            <v>250012</v>
          </cell>
          <cell r="B162" t="str">
            <v>[effect:damage_anti_tribe, target:unit_one, tribe:god, val1:10, val2:0.8]</v>
          </cell>
          <cell r="C162">
            <v>3</v>
          </cell>
          <cell r="D162" t="str">
            <v>ja</v>
          </cell>
          <cell r="E162" t="str">
            <v>私は絶滅なんかしない！</v>
          </cell>
        </row>
        <row r="163">
          <cell r="A163">
            <v>250013</v>
          </cell>
          <cell r="B163" t="str">
            <v>[effect:damage_anti_tribe, target:unit_one, tribe:machine, val1:2.0, val2:0.7]</v>
          </cell>
          <cell r="C163">
            <v>3</v>
          </cell>
          <cell r="D163" t="str">
            <v>ja</v>
          </cell>
          <cell r="E163" t="str">
            <v>カワラ割り</v>
          </cell>
        </row>
        <row r="164">
          <cell r="A164">
            <v>260001</v>
          </cell>
          <cell r="B164" t="str">
            <v>[effect:damage_anti_color, target:unit_one, color:red, val1:2.0, val2:1.0]</v>
          </cell>
          <cell r="C164">
            <v>3</v>
          </cell>
          <cell r="D164" t="str">
            <v>ja</v>
          </cell>
          <cell r="E164" t="str">
            <v>渓谷の霧雨</v>
          </cell>
        </row>
        <row r="165">
          <cell r="A165">
            <v>260002</v>
          </cell>
          <cell r="B165" t="str">
            <v>[effect:damage_anti_color, target:unit_one, color:yellow, val1:2.0, val2:1.0]</v>
          </cell>
          <cell r="C165">
            <v>3</v>
          </cell>
          <cell r="D165" t="str">
            <v>ja</v>
          </cell>
          <cell r="E165" t="str">
            <v>深山の芽吹き</v>
          </cell>
        </row>
        <row r="166">
          <cell r="A166">
            <v>260003</v>
          </cell>
          <cell r="B166" t="str">
            <v>[effect:damage_anti_color, target:unit_one, color:green, val1:2.0, val2:1.0]</v>
          </cell>
          <cell r="C166">
            <v>3</v>
          </cell>
          <cell r="D166" t="str">
            <v>ja</v>
          </cell>
          <cell r="E166" t="str">
            <v>灼熱の火炎</v>
          </cell>
        </row>
        <row r="167">
          <cell r="A167">
            <v>260004</v>
          </cell>
          <cell r="B167" t="str">
            <v>[effect:damage_anti_color, target:unit_one, color:blue, val1:1.5, val2:1.0]</v>
          </cell>
          <cell r="C167">
            <v>3</v>
          </cell>
          <cell r="D167" t="str">
            <v>ja</v>
          </cell>
          <cell r="E167" t="str">
            <v xml:space="preserve">狼なんてコワくない(´･ω･`) </v>
          </cell>
        </row>
        <row r="168">
          <cell r="A168">
            <v>260005</v>
          </cell>
          <cell r="B168" t="str">
            <v>[effect:damage_anti_color, target:unit_one, color:red, val1:3.0, val2:0.1]</v>
          </cell>
          <cell r="C168">
            <v>3</v>
          </cell>
          <cell r="D168" t="str">
            <v>ja</v>
          </cell>
          <cell r="E168" t="str">
            <v>乱れ跳ぶ虹弾</v>
          </cell>
        </row>
        <row r="169">
          <cell r="A169">
            <v>260006</v>
          </cell>
          <cell r="B169" t="str">
            <v>[effect:damage_anti_color, target:unit_one, color:yellow, val1:3.0, val2:0.1]</v>
          </cell>
          <cell r="C169">
            <v>3</v>
          </cell>
          <cell r="D169" t="str">
            <v>ja</v>
          </cell>
          <cell r="E169" t="str">
            <v>乱れ跳ぶ虹弾</v>
          </cell>
        </row>
        <row r="170">
          <cell r="A170">
            <v>260007</v>
          </cell>
          <cell r="B170" t="str">
            <v>[effect:damage_anti_color, target:unit_one, color:green, val1:3.0, val2:0.1]</v>
          </cell>
          <cell r="C170">
            <v>3</v>
          </cell>
          <cell r="D170" t="str">
            <v>ja</v>
          </cell>
          <cell r="E170" t="str">
            <v>乱れ跳ぶ虹弾</v>
          </cell>
        </row>
        <row r="171">
          <cell r="A171">
            <v>260008</v>
          </cell>
          <cell r="B171" t="str">
            <v>[effect:damage_anti_color, target:unit_one, color:blue, val1:3.0, val2:0.1]</v>
          </cell>
          <cell r="C171">
            <v>3</v>
          </cell>
          <cell r="D171" t="str">
            <v>ja</v>
          </cell>
          <cell r="E171" t="str">
            <v>乱れ跳ぶ虹弾</v>
          </cell>
        </row>
        <row r="172">
          <cell r="A172">
            <v>300001</v>
          </cell>
          <cell r="B172" t="str">
            <v>[effect:heal, target:enemy_all, val:0.25, animation:enemy_heal]</v>
          </cell>
          <cell r="C172">
            <v>3</v>
          </cell>
          <cell r="D172" t="str">
            <v>ja</v>
          </cell>
          <cell r="E172" t="str">
            <v>ヒール</v>
          </cell>
        </row>
        <row r="173">
          <cell r="A173">
            <v>300002</v>
          </cell>
          <cell r="B173" t="str">
            <v>[effect:heal, target:enemy_all, val:0.5, animation:enemy_heal]</v>
          </cell>
          <cell r="C173">
            <v>3</v>
          </cell>
          <cell r="D173" t="str">
            <v>ja</v>
          </cell>
          <cell r="E173" t="str">
            <v>ヒール</v>
          </cell>
        </row>
        <row r="174">
          <cell r="A174">
            <v>300003</v>
          </cell>
          <cell r="B174" t="str">
            <v>[effect:heal, target:enemy_one, val:1.0, animation:enemy_heal]</v>
          </cell>
          <cell r="C174">
            <v>3</v>
          </cell>
          <cell r="D174" t="str">
            <v>ja</v>
          </cell>
          <cell r="E174" t="str">
            <v>超再生</v>
          </cell>
        </row>
        <row r="175">
          <cell r="A175">
            <v>300004</v>
          </cell>
          <cell r="B175" t="str">
            <v>[effect:heal, target:enemy_one, val:0.1, animation:enemy_heal]</v>
          </cell>
          <cell r="C175">
            <v>3</v>
          </cell>
          <cell r="D175" t="str">
            <v>ja</v>
          </cell>
          <cell r="E175" t="str">
            <v>ヒール</v>
          </cell>
        </row>
        <row r="176">
          <cell r="A176">
            <v>300005</v>
          </cell>
          <cell r="B176" t="str">
            <v>[effect:heal, target:enemy_all, val:0.25, animation:enemy_heal]</v>
          </cell>
          <cell r="C176">
            <v>3</v>
          </cell>
          <cell r="D176" t="str">
            <v>ja</v>
          </cell>
          <cell r="E176" t="str">
            <v>ヒール</v>
          </cell>
        </row>
        <row r="177">
          <cell r="A177">
            <v>300006</v>
          </cell>
          <cell r="B177" t="str">
            <v>[effect:heal, target:enemy_all, val:0.25, animation:enemy_heal]</v>
          </cell>
          <cell r="C177">
            <v>3</v>
          </cell>
          <cell r="D177" t="str">
            <v>ja</v>
          </cell>
          <cell r="E177" t="str">
            <v>癒しの果汁</v>
          </cell>
        </row>
        <row r="178">
          <cell r="A178">
            <v>300007</v>
          </cell>
          <cell r="B178" t="str">
            <v>[effect:heal, target:myself, val:0.40, animation:enemy_heal],[effect:enhance_enemy, target:myself, turn:-1, status:attack, val:1.5, animation:enemy_enhance_enemy]</v>
          </cell>
          <cell r="C178">
            <v>3</v>
          </cell>
          <cell r="D178" t="str">
            <v>ja</v>
          </cell>
          <cell r="E178" t="str">
            <v>永遠の美貌</v>
          </cell>
        </row>
        <row r="179">
          <cell r="A179">
            <v>300008</v>
          </cell>
          <cell r="B179" t="str">
            <v>[effect:heal, target:enemy_all, val:0.30, animation:enemy_heal]</v>
          </cell>
          <cell r="C179">
            <v>1</v>
          </cell>
          <cell r="D179" t="str">
            <v>ja</v>
          </cell>
          <cell r="E179" t="str">
            <v>すべてを癒そう</v>
          </cell>
        </row>
        <row r="180">
          <cell r="A180">
            <v>300009</v>
          </cell>
          <cell r="B180" t="str">
            <v>[effect:heal, target:enemy_one, val:0.5, animation:enemy_heal]</v>
          </cell>
          <cell r="C180">
            <v>3</v>
          </cell>
          <cell r="D180" t="str">
            <v>ja</v>
          </cell>
          <cell r="E180" t="str">
            <v>ヒール</v>
          </cell>
        </row>
        <row r="181">
          <cell r="A181">
            <v>310001</v>
          </cell>
          <cell r="B181" t="str">
            <v>[effect:dis_heart, turn:7, rate:1.0, animation:enemy_dis_heart]</v>
          </cell>
          <cell r="C181">
            <v>3</v>
          </cell>
          <cell r="D181" t="str">
            <v>ja</v>
          </cell>
          <cell r="E181" t="str">
            <v>ディスハート</v>
          </cell>
        </row>
        <row r="182">
          <cell r="A182">
            <v>310002</v>
          </cell>
          <cell r="B182" t="str">
            <v>[effect:dis_heart, turn:3, rate:1.0, animation:enemy_dis_heart]</v>
          </cell>
          <cell r="C182">
            <v>1</v>
          </cell>
          <cell r="D182" t="str">
            <v>ja</v>
          </cell>
          <cell r="E182" t="str">
            <v>ディスハート</v>
          </cell>
        </row>
        <row r="183">
          <cell r="A183">
            <v>310003</v>
          </cell>
          <cell r="B183" t="str">
            <v>[effect:dis_heart, turn:3, rate:1.0, animation:enemy_dis_heart]</v>
          </cell>
          <cell r="C183">
            <v>3</v>
          </cell>
          <cell r="D183" t="str">
            <v>ja</v>
          </cell>
          <cell r="E183" t="str">
            <v>心頭滅却</v>
          </cell>
        </row>
        <row r="184">
          <cell r="A184">
            <v>310004</v>
          </cell>
          <cell r="B184" t="str">
            <v>[effect:dis_heart, turn:10, rate:1.0, animation:enemy_dis_heart]</v>
          </cell>
          <cell r="C184">
            <v>3</v>
          </cell>
          <cell r="D184" t="str">
            <v>ja</v>
          </cell>
          <cell r="E184" t="str">
            <v>貴様らに未来は無い…</v>
          </cell>
        </row>
        <row r="185">
          <cell r="A185">
            <v>320001</v>
          </cell>
          <cell r="B185" t="str">
            <v>[effect:virus, turn:3, rate:1.0, val:0.10, animation:enemy_virus]</v>
          </cell>
          <cell r="C185">
            <v>3</v>
          </cell>
          <cell r="D185" t="str">
            <v>ja</v>
          </cell>
          <cell r="E185" t="str">
            <v>即効性ウィルス</v>
          </cell>
        </row>
        <row r="186">
          <cell r="A186">
            <v>320002</v>
          </cell>
          <cell r="B186" t="str">
            <v>[effect:virus, turn:3, rate:1.0, val:0.15, animation:enemy_virus]</v>
          </cell>
          <cell r="C186">
            <v>3</v>
          </cell>
          <cell r="D186" t="str">
            <v>ja</v>
          </cell>
          <cell r="E186" t="str">
            <v>地獄の熱気</v>
          </cell>
        </row>
        <row r="187">
          <cell r="A187">
            <v>320003</v>
          </cell>
          <cell r="B187" t="str">
            <v>[effect:virus, turn:5, rate:1.0, val:0.15, animation:enemy_virus]</v>
          </cell>
          <cell r="C187">
            <v>3</v>
          </cell>
          <cell r="D187" t="str">
            <v>ja</v>
          </cell>
          <cell r="E187" t="str">
            <v>煉獄の熱気</v>
          </cell>
        </row>
        <row r="188">
          <cell r="A188">
            <v>320004</v>
          </cell>
          <cell r="B188" t="str">
            <v>[effect:virus, turn:5, rate:1.0, val:0.25, animation:enemy_virus]</v>
          </cell>
          <cell r="C188">
            <v>3</v>
          </cell>
          <cell r="D188" t="str">
            <v>ja</v>
          </cell>
          <cell r="E188" t="str">
            <v>侵食性ウィルス</v>
          </cell>
        </row>
        <row r="189">
          <cell r="A189">
            <v>320005</v>
          </cell>
          <cell r="B189" t="str">
            <v>[effect:virus, turn:5, rate:1.0, val:0.10, animation:enemy_virus]</v>
          </cell>
          <cell r="C189">
            <v>3</v>
          </cell>
          <cell r="D189" t="str">
            <v>ja</v>
          </cell>
          <cell r="E189" t="str">
            <v>超即効性ウィルス</v>
          </cell>
        </row>
        <row r="190">
          <cell r="A190">
            <v>320006</v>
          </cell>
          <cell r="B190" t="str">
            <v>[effect:virus, turn:5, rate:1.0, val:0.25, animation:enemy_virus]</v>
          </cell>
          <cell r="C190">
            <v>3</v>
          </cell>
          <cell r="D190" t="str">
            <v>ja</v>
          </cell>
          <cell r="E190" t="str">
            <v>死の誘惑</v>
          </cell>
        </row>
        <row r="191">
          <cell r="A191">
            <v>320007</v>
          </cell>
          <cell r="B191" t="str">
            <v>[effect:virus, turn:3, rate:1.0, val:0.15, animation:enemy_virus]</v>
          </cell>
          <cell r="C191">
            <v>3</v>
          </cell>
          <cell r="D191" t="str">
            <v>ja</v>
          </cell>
          <cell r="E191" t="str">
            <v>炎華の香り</v>
          </cell>
        </row>
        <row r="192">
          <cell r="A192">
            <v>320008</v>
          </cell>
          <cell r="B192" t="str">
            <v>[effect:virus, turn:-1, rate:1.0, val:0.22, animation:enemy_virus]</v>
          </cell>
          <cell r="C192">
            <v>3</v>
          </cell>
          <cell r="D192" t="str">
            <v>ja</v>
          </cell>
          <cell r="E192" t="str">
            <v>炎華の香り・永代</v>
          </cell>
        </row>
        <row r="193">
          <cell r="A193">
            <v>320009</v>
          </cell>
          <cell r="B193" t="str">
            <v>[effect:virus, turn:5, rate:1.0, val:0.35, animation:enemy_virus]</v>
          </cell>
          <cell r="C193">
            <v>3</v>
          </cell>
          <cell r="D193" t="str">
            <v>ja</v>
          </cell>
          <cell r="E193" t="str">
            <v>炎華の香り・真打</v>
          </cell>
        </row>
        <row r="194">
          <cell r="A194">
            <v>320010</v>
          </cell>
          <cell r="B194" t="str">
            <v>[effect:virus, turn:-1, rate:1.0, val:0.1, animation:enemy_virus]</v>
          </cell>
          <cell r="C194">
            <v>3</v>
          </cell>
          <cell r="D194" t="str">
            <v>ja</v>
          </cell>
          <cell r="E194" t="str">
            <v>死国への誘い</v>
          </cell>
        </row>
        <row r="195">
          <cell r="A195">
            <v>320011</v>
          </cell>
          <cell r="B195" t="str">
            <v>[effect:virus, turn:3, rate:1.0, val:0.19, animation:enemy_virus],[effect:rush, count:1, val:0.3]</v>
          </cell>
          <cell r="C195">
            <v>3</v>
          </cell>
          <cell r="D195" t="str">
            <v>ja</v>
          </cell>
          <cell r="E195" t="str">
            <v>ブラッド・インク</v>
          </cell>
        </row>
        <row r="196">
          <cell r="A196">
            <v>320012</v>
          </cell>
          <cell r="B196" t="str">
            <v>[effect:virus, turn:3, rate:1.0, val:0.1, animation:enemy_virus]</v>
          </cell>
          <cell r="C196">
            <v>1</v>
          </cell>
          <cell r="D196" t="str">
            <v>ja</v>
          </cell>
          <cell r="E196" t="str">
            <v>セクメトの息吹</v>
          </cell>
        </row>
        <row r="197">
          <cell r="A197">
            <v>320013</v>
          </cell>
          <cell r="B197" t="str">
            <v>[effect:virus, turn:2, rate:1.0, val:0.27, animation:enemy_virus],[effect:rush, count:1, val:0.5]</v>
          </cell>
          <cell r="C197">
            <v>3</v>
          </cell>
          <cell r="D197" t="str">
            <v>ja</v>
          </cell>
          <cell r="E197" t="str">
            <v>や、やってくれたわね！</v>
          </cell>
        </row>
        <row r="198">
          <cell r="A198">
            <v>320014</v>
          </cell>
          <cell r="B198" t="str">
            <v>[effect:virus, turn:3, rate:1.0, val:0.10, animation:enemy_virus]</v>
          </cell>
          <cell r="C198">
            <v>3</v>
          </cell>
          <cell r="D198" t="str">
            <v>ja</v>
          </cell>
          <cell r="E198" t="str">
            <v>パタパタ胞子</v>
          </cell>
        </row>
        <row r="199">
          <cell r="A199">
            <v>320015</v>
          </cell>
          <cell r="B199" t="str">
            <v>[effect:virus, turn:8, rate:1.0, val:0.1, animation:enemy_virus]</v>
          </cell>
          <cell r="C199">
            <v>1</v>
          </cell>
          <cell r="D199" t="str">
            <v>ja</v>
          </cell>
          <cell r="E199" t="str">
            <v>凍てつくフィールド！</v>
          </cell>
        </row>
        <row r="200">
          <cell r="A200">
            <v>330001</v>
          </cell>
          <cell r="B200" t="str">
            <v>[effect:hungup, target:unit_one, turn:2, rate:1.0, animation:enemy_hungup]</v>
          </cell>
          <cell r="C200">
            <v>3</v>
          </cell>
          <cell r="D200" t="str">
            <v>ja</v>
          </cell>
          <cell r="E200" t="str">
            <v>ハングアップ</v>
          </cell>
        </row>
        <row r="201">
          <cell r="A201">
            <v>330002</v>
          </cell>
          <cell r="B201" t="str">
            <v>[effect:hungup, target:unit_one, turn:3, rate:1.0, animation:enemy_hungup]</v>
          </cell>
          <cell r="C201">
            <v>3</v>
          </cell>
          <cell r="D201" t="str">
            <v>ja</v>
          </cell>
          <cell r="E201" t="str">
            <v>デジタルマジック</v>
          </cell>
        </row>
        <row r="202">
          <cell r="A202">
            <v>330003</v>
          </cell>
          <cell r="B202" t="str">
            <v>[effect:hungup, target:unit_all, turn:4, rate:1.0, animation:enemy_hungup]</v>
          </cell>
          <cell r="C202">
            <v>3</v>
          </cell>
          <cell r="D202" t="str">
            <v>ja</v>
          </cell>
          <cell r="E202" t="str">
            <v>ハイ・ハングアップ</v>
          </cell>
        </row>
        <row r="203">
          <cell r="A203">
            <v>330004</v>
          </cell>
          <cell r="B203" t="str">
            <v>[effect:hungup, target:unit_one, turn:3, rate:1.0, animation:enemy_hungup]</v>
          </cell>
          <cell r="C203">
            <v>3</v>
          </cell>
          <cell r="D203" t="str">
            <v>ja</v>
          </cell>
          <cell r="E203" t="str">
            <v>回線ショート</v>
          </cell>
        </row>
        <row r="204">
          <cell r="A204">
            <v>330005</v>
          </cell>
          <cell r="B204" t="str">
            <v>[effect:hungup, target:unit_all, turn:-1, rate:1.0, animation:enemy_hungup]</v>
          </cell>
          <cell r="C204">
            <v>3</v>
          </cell>
          <cell r="D204" t="str">
            <v>ja</v>
          </cell>
          <cell r="E204" t="str">
            <v>マインドスナッチ</v>
          </cell>
        </row>
        <row r="205">
          <cell r="A205">
            <v>330006</v>
          </cell>
          <cell r="B205" t="str">
            <v>[effect:hungup, target:unit_all, turn:4, rate:1.0, animation:enemy_hungup]</v>
          </cell>
          <cell r="C205">
            <v>3</v>
          </cell>
          <cell r="D205" t="str">
            <v>ja</v>
          </cell>
          <cell r="E205" t="str">
            <v>孤独の支配</v>
          </cell>
        </row>
        <row r="206">
          <cell r="A206">
            <v>330007</v>
          </cell>
          <cell r="B206" t="str">
            <v>[effect:hungup, target:unit_all, turn:4, rate:1.0, animation:enemy_hungup]</v>
          </cell>
          <cell r="C206">
            <v>3</v>
          </cell>
          <cell r="D206" t="str">
            <v>ja</v>
          </cell>
          <cell r="E206" t="str">
            <v>孤独の支配</v>
          </cell>
        </row>
        <row r="207">
          <cell r="A207">
            <v>330008</v>
          </cell>
          <cell r="B207" t="str">
            <v>[effect:hungup, target:unit_all, turn:4, rate:1.0, animation:enemy_hungup],[effect:rush, count:1, val:0.7]</v>
          </cell>
          <cell r="C207">
            <v>1</v>
          </cell>
          <cell r="D207" t="str">
            <v>ja</v>
          </cell>
          <cell r="E207" t="str">
            <v>雷の拳</v>
          </cell>
        </row>
        <row r="208">
          <cell r="A208">
            <v>330009</v>
          </cell>
          <cell r="B208" t="str">
            <v>[effect:hungup, target:unit_all, turn:-1, rate:1.0, animation:enemy_hungup]</v>
          </cell>
          <cell r="C208">
            <v>3</v>
          </cell>
          <cell r="D208" t="str">
            <v>ja</v>
          </cell>
          <cell r="E208" t="str">
            <v>今度はイブの番！</v>
          </cell>
        </row>
        <row r="209">
          <cell r="A209">
            <v>330010</v>
          </cell>
          <cell r="B209" t="str">
            <v>[effect:hungup, target:unit_one, turn:3, rate:1.0, animation:enemy_hungup],[effect:rush, count:1, val:0.7]</v>
          </cell>
          <cell r="C209">
            <v>3</v>
          </cell>
          <cell r="D209" t="str">
            <v>ja</v>
          </cell>
          <cell r="E209" t="str">
            <v>束縛する薔薇</v>
          </cell>
        </row>
        <row r="210">
          <cell r="A210">
            <v>330014</v>
          </cell>
          <cell r="B210" t="str">
            <v>[effect:hungup, target:unit_all, turn:6, rate:1.0, animation:enemy_hungup],[effect:rush, count:1, val:0.7]</v>
          </cell>
          <cell r="C210">
            <v>3</v>
          </cell>
          <cell r="D210" t="str">
            <v>ja</v>
          </cell>
          <cell r="E210" t="str">
            <v>バインドノイズ</v>
          </cell>
        </row>
        <row r="211">
          <cell r="A211">
            <v>330015</v>
          </cell>
          <cell r="B211" t="str">
            <v>[effect:hungup, target:unit_all, turn:6, rate:1.0, animation:enemy_hungup],[effect:rush, count:1, val:0.7]</v>
          </cell>
          <cell r="C211">
            <v>3</v>
          </cell>
          <cell r="D211" t="str">
            <v>ja</v>
          </cell>
          <cell r="E211" t="str">
            <v>バインドノイズ</v>
          </cell>
        </row>
        <row r="212">
          <cell r="A212">
            <v>330016</v>
          </cell>
          <cell r="B212" t="str">
            <v>[effect:hungup, target:unit_one, turn:3, rate:1.0, animation:enemy_hungup]</v>
          </cell>
          <cell r="C212">
            <v>3</v>
          </cell>
          <cell r="D212" t="str">
            <v>ja</v>
          </cell>
          <cell r="E212" t="str">
            <v>実戦ロープワーク</v>
          </cell>
        </row>
        <row r="213">
          <cell r="A213">
            <v>340001</v>
          </cell>
          <cell r="B213" t="str">
            <v>[effect:sleep, target:unit_one, turn:2, rate:0.5, animation:enemy_sleep]</v>
          </cell>
          <cell r="C213">
            <v>3</v>
          </cell>
          <cell r="D213" t="str">
            <v>ja</v>
          </cell>
          <cell r="E213" t="str">
            <v>睡眠薬</v>
          </cell>
        </row>
        <row r="214">
          <cell r="A214">
            <v>340002</v>
          </cell>
          <cell r="B214" t="str">
            <v>[effect:sleep, target:unit_one, turn:3, rate:1.0, animation:enemy_sleep]</v>
          </cell>
          <cell r="C214">
            <v>3</v>
          </cell>
          <cell r="D214" t="str">
            <v>ja</v>
          </cell>
          <cell r="E214" t="str">
            <v>子守唄</v>
          </cell>
        </row>
        <row r="215">
          <cell r="A215">
            <v>340003</v>
          </cell>
          <cell r="B215" t="str">
            <v>[effect:sleep, target:unit_one, turn:4, rate:0.5, animation:enemy_sleep]</v>
          </cell>
          <cell r="C215">
            <v>3</v>
          </cell>
          <cell r="D215" t="str">
            <v>ja</v>
          </cell>
          <cell r="E215" t="str">
            <v>夢への誘い</v>
          </cell>
        </row>
        <row r="216">
          <cell r="A216">
            <v>340004</v>
          </cell>
          <cell r="B216" t="str">
            <v>[effect:sleep, target:unit_one, turn:3, rate:1.0, animation:enemy_sleep]</v>
          </cell>
          <cell r="C216">
            <v>3</v>
          </cell>
          <cell r="D216" t="str">
            <v>ja</v>
          </cell>
          <cell r="E216" t="str">
            <v>魅惑の瞳</v>
          </cell>
        </row>
        <row r="217">
          <cell r="A217">
            <v>340005</v>
          </cell>
          <cell r="B217" t="str">
            <v>[effect:sleep, target:unit_one, turn:4, rate:1.0, animation:enemy_sleep]</v>
          </cell>
          <cell r="C217">
            <v>3</v>
          </cell>
          <cell r="D217" t="str">
            <v>ja</v>
          </cell>
          <cell r="E217" t="str">
            <v>安寧への誘い</v>
          </cell>
        </row>
        <row r="218">
          <cell r="A218">
            <v>340006</v>
          </cell>
          <cell r="B218" t="str">
            <v>[effect:sleep, target:unit_one, turn:3, rate:1.0, animation:enemy_sleep]</v>
          </cell>
          <cell r="C218">
            <v>3</v>
          </cell>
          <cell r="D218" t="str">
            <v>ja</v>
          </cell>
          <cell r="E218" t="str">
            <v>人魚の歌声</v>
          </cell>
        </row>
        <row r="219">
          <cell r="A219">
            <v>340007</v>
          </cell>
          <cell r="B219" t="str">
            <v>[effect:sleep, target:unit_one, turn:3, rate:1.0, animation:enemy_sleep],[effect:rush, count:3, val:0.3]</v>
          </cell>
          <cell r="C219">
            <v>3</v>
          </cell>
          <cell r="D219" t="str">
            <v>ja</v>
          </cell>
          <cell r="E219" t="str">
            <v>殺戮の子守唄</v>
          </cell>
        </row>
        <row r="220">
          <cell r="A220">
            <v>340008</v>
          </cell>
          <cell r="B220" t="str">
            <v>[effect:sleep, target:unit_one, turn:4, rate:1.0, animation:enemy_sleep],[effect:virus, turn:2, rate:1.0, val:0.20, animation:enemy_virus]</v>
          </cell>
          <cell r="C220">
            <v>3</v>
          </cell>
          <cell r="D220" t="str">
            <v>ja</v>
          </cell>
          <cell r="E220" t="str">
            <v>恐怖のベル</v>
          </cell>
        </row>
        <row r="221">
          <cell r="A221">
            <v>340009</v>
          </cell>
          <cell r="B221" t="str">
            <v>[effect:sleep, target:unit_one, turn:4, rate:1.0, animation:enemy_sleep]</v>
          </cell>
          <cell r="C221">
            <v>3</v>
          </cell>
          <cell r="D221" t="str">
            <v>ja</v>
          </cell>
          <cell r="E221" t="str">
            <v>天使の子守唄</v>
          </cell>
        </row>
        <row r="222">
          <cell r="A222">
            <v>340010</v>
          </cell>
          <cell r="B222" t="str">
            <v>[effect:sleep, target:unit_green, turn:4, rate:1.0, animation:enemy_sleep]</v>
          </cell>
          <cell r="C222">
            <v>3</v>
          </cell>
          <cell r="D222" t="str">
            <v>ja</v>
          </cell>
          <cell r="E222" t="str">
            <v>静寂の緑</v>
          </cell>
        </row>
        <row r="223">
          <cell r="A223">
            <v>340011</v>
          </cell>
          <cell r="B223" t="str">
            <v>[effect:sleep, target:unit_one, turn:3, rate:1.0, animation:enemy_sleep],[effect:rush, count:1, val:0.7]</v>
          </cell>
          <cell r="C223">
            <v>3</v>
          </cell>
          <cell r="D223" t="str">
            <v>ja</v>
          </cell>
          <cell r="E223" t="str">
            <v>眠りを誘う薔薇園</v>
          </cell>
        </row>
        <row r="224">
          <cell r="A224">
            <v>340012</v>
          </cell>
          <cell r="B224" t="str">
            <v>[effect:sleep, target:unit_one, turn:3, rate:1.0, animation:enemy_sleep]</v>
          </cell>
          <cell r="C224">
            <v>3</v>
          </cell>
          <cell r="D224" t="str">
            <v>ja</v>
          </cell>
          <cell r="E224" t="str">
            <v>おやすみマーチ</v>
          </cell>
        </row>
        <row r="225">
          <cell r="A225">
            <v>340013</v>
          </cell>
          <cell r="B225" t="str">
            <v>[effect:sleep, target:unit_one, turn:4, rate:1.0, animation:enemy_sleep]</v>
          </cell>
          <cell r="C225">
            <v>3</v>
          </cell>
          <cell r="D225" t="str">
            <v>ja</v>
          </cell>
          <cell r="E225" t="str">
            <v>連鎖の水縛</v>
          </cell>
        </row>
        <row r="226">
          <cell r="A226">
            <v>34014</v>
          </cell>
          <cell r="B226" t="str">
            <v>[effect:sleep, target:unit_one, turn:4, rate:1.0, animation:enemy_sleep]</v>
          </cell>
          <cell r="C226">
            <v>3</v>
          </cell>
          <cell r="D226" t="str">
            <v>ja</v>
          </cell>
          <cell r="E226" t="str">
            <v>連鎖の水縛</v>
          </cell>
        </row>
        <row r="227">
          <cell r="A227">
            <v>350001</v>
          </cell>
          <cell r="B227" t="str">
            <v>[effect:degrade_unit, target:unit_all, turn:5, status:heal, val:1.0, calc:mul, animation:degrade_unit_all_heal]</v>
          </cell>
          <cell r="C227">
            <v>3</v>
          </cell>
          <cell r="D227" t="str">
            <v>ja</v>
          </cell>
          <cell r="E227" t="str">
            <v>ハートブレイク</v>
          </cell>
        </row>
        <row r="228">
          <cell r="A228">
            <v>350002</v>
          </cell>
          <cell r="B228" t="str">
            <v>[effect:degrade_unit, target:unit_all, turn:-1, status:heal, val:1.0, calc:mul, animation:degrade_unit_all_heal]</v>
          </cell>
          <cell r="C228">
            <v>3</v>
          </cell>
          <cell r="D228" t="str">
            <v>ja</v>
          </cell>
          <cell r="E228" t="str">
            <v>ハートブレイク</v>
          </cell>
        </row>
        <row r="229">
          <cell r="A229">
            <v>350003</v>
          </cell>
          <cell r="B229" t="str">
            <v>[effect:degrade_unit, target:unit_all, turn:-1, status:heal, val:1.0, calc:mul, animation:degrade_unit_all_heal]</v>
          </cell>
          <cell r="C229">
            <v>3</v>
          </cell>
          <cell r="D229" t="str">
            <v>ja</v>
          </cell>
          <cell r="E229" t="str">
            <v>神代の呪詛</v>
          </cell>
        </row>
        <row r="230">
          <cell r="A230">
            <v>350004</v>
          </cell>
          <cell r="B230" t="str">
            <v>[effect:degrade_unit, target:unit_all, turn:-1, status:heal, val:1.0, calc:mul]</v>
          </cell>
          <cell r="C230">
            <v>1</v>
          </cell>
          <cell r="D230" t="str">
            <v>ja</v>
          </cell>
          <cell r="E230" t="str">
            <v>ハートキャッチ</v>
          </cell>
        </row>
        <row r="231">
          <cell r="A231">
            <v>350005</v>
          </cell>
          <cell r="B231" t="str">
            <v>[effect:degrade_unit, target:unit_all, turn:3, status:heal, val:1, calc:mul, animation:degrade_unit_all_heal]</v>
          </cell>
          <cell r="C231">
            <v>3</v>
          </cell>
          <cell r="D231" t="str">
            <v>ja</v>
          </cell>
          <cell r="E231" t="str">
            <v>叶わぬ恋</v>
          </cell>
        </row>
        <row r="232">
          <cell r="A232">
            <v>350006</v>
          </cell>
          <cell r="B232" t="str">
            <v>[effect:degrade_unit, target:unit_all, turn:-1, status:heal, val:1.0, calc:mul]</v>
          </cell>
          <cell r="C232">
            <v>1</v>
          </cell>
          <cell r="D232" t="str">
            <v>ja</v>
          </cell>
          <cell r="E232" t="str">
            <v>回復ダウン【仮】</v>
          </cell>
        </row>
        <row r="233">
          <cell r="A233">
            <v>350007</v>
          </cell>
          <cell r="B233" t="str">
            <v>[effect:degrade_unit, target:unit_all, turn:5, status:heal, val:1.0, calc:mul, animation:degrade_unit_all_heal],[effect:critical, val:1.5.0, animation:enemy_critical]</v>
          </cell>
          <cell r="C233">
            <v>3</v>
          </cell>
          <cell r="D233" t="str">
            <v>ja</v>
          </cell>
          <cell r="E233" t="str">
            <v>ハートスナイプ</v>
          </cell>
        </row>
        <row r="234">
          <cell r="A234">
            <v>360001</v>
          </cell>
          <cell r="B234" t="str">
            <v>[effect:degrade_unit, target:unit_red, turn:-1, status:attack, val:1.0, calc:mul]</v>
          </cell>
          <cell r="C234">
            <v>3</v>
          </cell>
          <cell r="D234" t="str">
            <v>ja</v>
          </cell>
          <cell r="E234" t="str">
            <v>楽しき宴</v>
          </cell>
        </row>
        <row r="235">
          <cell r="A235">
            <v>360002</v>
          </cell>
          <cell r="B235" t="str">
            <v>[effect:degrade_unit, target:unit_red, turn:2, status:attack, val:0.5, calc:mul]</v>
          </cell>
          <cell r="C235">
            <v>3</v>
          </cell>
          <cell r="D235" t="str">
            <v>ja</v>
          </cell>
          <cell r="E235" t="str">
            <v>遊んでやろう</v>
          </cell>
        </row>
        <row r="236">
          <cell r="A236">
            <v>370001</v>
          </cell>
          <cell r="B236" t="str">
            <v>[effect:enemy_counter, target:myself,invoke_condition:unit_yellow,counter_target:attacker,turn:3,val:2.0,animation:enemy_counter]</v>
          </cell>
          <cell r="C236">
            <v>3</v>
          </cell>
          <cell r="D236" t="str">
            <v>ja</v>
          </cell>
          <cell r="E236" t="str">
            <v>黄属性カウンター</v>
          </cell>
        </row>
        <row r="237">
          <cell r="A237">
            <v>370002</v>
          </cell>
          <cell r="B237" t="str">
            <v>[effect:enemy_counter, target:myself,invoke_condition:unit_yellow,counter_target:attacker,turn:3,val:3.5,animation:enemy_counter]</v>
          </cell>
          <cell r="C237">
            <v>3</v>
          </cell>
          <cell r="D237" t="str">
            <v>ja</v>
          </cell>
          <cell r="E237" t="str">
            <v>黄属性カウンター(強)</v>
          </cell>
        </row>
        <row r="238">
          <cell r="A238">
            <v>370003</v>
          </cell>
          <cell r="B238" t="str">
            <v>[effect:enemy_counter, target:myself,invoke_condition:unit_red,counter_target:attacker,turn:1,val:2.0,animation:enemy_counter]</v>
          </cell>
          <cell r="C238">
            <v>3</v>
          </cell>
          <cell r="D238" t="str">
            <v>ja</v>
          </cell>
          <cell r="E238" t="str">
            <v>ダダこね</v>
          </cell>
        </row>
        <row r="239">
          <cell r="A239">
            <v>370004</v>
          </cell>
          <cell r="B239" t="str">
            <v>[effect:enemy_counter, target:myself,invoke_condition:unit_red,counter_target:attacker,turn:3,val:1.5,animation:enemy_counter]</v>
          </cell>
          <cell r="C239">
            <v>3</v>
          </cell>
          <cell r="D239" t="str">
            <v>ja</v>
          </cell>
          <cell r="E239" t="str">
            <v>インティミデイト</v>
          </cell>
        </row>
        <row r="240">
          <cell r="A240">
            <v>370005</v>
          </cell>
          <cell r="B240" t="str">
            <v>[effect:enemy_counter, target:myself,invoke_condition:unit_yellow,counter_target:attacker,turn:4,val:2.0,animation:enemy_counter]</v>
          </cell>
          <cell r="C240">
            <v>3</v>
          </cell>
          <cell r="D240" t="str">
            <v>ja</v>
          </cell>
          <cell r="E240" t="str">
            <v>黄属性カウンター</v>
          </cell>
        </row>
        <row r="241">
          <cell r="A241">
            <v>370006</v>
          </cell>
          <cell r="B241" t="str">
            <v>[effect:enemy_counter, target:myself,invoke_condition:unit_all,counter_target:attacker,turn:1,val:1.25,animation:enemy_counter]</v>
          </cell>
          <cell r="C241">
            <v>3</v>
          </cell>
          <cell r="D241" t="str">
            <v>ja</v>
          </cell>
          <cell r="E241" t="str">
            <v>ほらほら、触ってみて？</v>
          </cell>
        </row>
        <row r="242">
          <cell r="A242">
            <v>400001</v>
          </cell>
          <cell r="B242" t="str">
            <v>[effect:freq_turn, target:myself, turn:3, val:1, animation:enemy_freq_turn]</v>
          </cell>
          <cell r="C242">
            <v>3</v>
          </cell>
          <cell r="D242" t="str">
            <v>ja</v>
          </cell>
          <cell r="E242" t="str">
            <v>ハイスピードハック</v>
          </cell>
        </row>
        <row r="243">
          <cell r="A243">
            <v>400002</v>
          </cell>
          <cell r="B243" t="str">
            <v>[effect:freq_turn, target:myself, turn:3, val:1, animation:enemy_freq_turn]</v>
          </cell>
          <cell r="C243">
            <v>3</v>
          </cell>
          <cell r="D243" t="str">
            <v>ja</v>
          </cell>
          <cell r="E243" t="str">
            <v>スーパースピードハック</v>
          </cell>
        </row>
        <row r="244">
          <cell r="A244">
            <v>400003</v>
          </cell>
          <cell r="B244" t="str">
            <v>[effect:freq_turn, target:myself, turn:4, val:1, animation:enemy_freq_turn]</v>
          </cell>
          <cell r="C244">
            <v>3</v>
          </cell>
          <cell r="D244" t="str">
            <v>ja</v>
          </cell>
          <cell r="E244" t="str">
            <v>速筆</v>
          </cell>
        </row>
        <row r="245">
          <cell r="A245">
            <v>400004</v>
          </cell>
          <cell r="B245" t="str">
            <v>[effect:freq_turn, target:myself, turn:2, val:1, animation:enemy_freq_turn]</v>
          </cell>
          <cell r="C245">
            <v>3</v>
          </cell>
          <cell r="D245" t="str">
            <v>ja</v>
          </cell>
          <cell r="E245" t="str">
            <v>紅葉乱舞</v>
          </cell>
        </row>
        <row r="246">
          <cell r="A246">
            <v>400005</v>
          </cell>
          <cell r="B246" t="str">
            <v>[effect:freq_turn, target:enemy_all, turn:3, val:1, animation:enemy_freq_turn]</v>
          </cell>
          <cell r="C246">
            <v>3</v>
          </cell>
          <cell r="D246" t="str">
            <v>ja</v>
          </cell>
          <cell r="E246" t="str">
            <v>ハイスピードハック</v>
          </cell>
        </row>
        <row r="247">
          <cell r="A247">
            <v>400006</v>
          </cell>
          <cell r="B247" t="str">
            <v>[effect:freq_turn, target:enemy_all, turn:2, val:1, animation:enemy_freq_turn]</v>
          </cell>
          <cell r="C247">
            <v>3</v>
          </cell>
          <cell r="D247" t="str">
            <v>ja</v>
          </cell>
          <cell r="E247" t="str">
            <v>紅葉乱舞</v>
          </cell>
        </row>
        <row r="248">
          <cell r="A248">
            <v>400007</v>
          </cell>
          <cell r="B248" t="str">
            <v>[effect:freq_turn, target:myself, turn:-1, val:1, animation:enemy_freq_turn]</v>
          </cell>
          <cell r="C248">
            <v>3</v>
          </cell>
          <cell r="D248" t="str">
            <v>ja</v>
          </cell>
          <cell r="E248" t="str">
            <v>駿撃</v>
          </cell>
        </row>
        <row r="249">
          <cell r="A249">
            <v>400008</v>
          </cell>
          <cell r="B249" t="str">
            <v>[effect:freq_turn, target:myself, turn:-1, val:1, animation:enemy_freq_turn]</v>
          </cell>
          <cell r="C249">
            <v>3</v>
          </cell>
          <cell r="D249" t="str">
            <v>ja</v>
          </cell>
          <cell r="E249" t="str">
            <v>急いで止めなきゃ</v>
          </cell>
        </row>
        <row r="250">
          <cell r="A250">
            <v>400009</v>
          </cell>
          <cell r="B250" t="str">
            <v>[effect:freq_turn, turn:2, val:1, animation:enemy_freq_turn]</v>
          </cell>
          <cell r="C250">
            <v>3</v>
          </cell>
          <cell r="D250" t="str">
            <v>ja</v>
          </cell>
          <cell r="E250" t="str">
            <v>クロックアップ</v>
          </cell>
        </row>
        <row r="251">
          <cell r="A251">
            <v>400010</v>
          </cell>
          <cell r="B251" t="str">
            <v>[effect:freq_turn, target:myself, turn:-1, val:1, animation:enemy_freq_turn]</v>
          </cell>
          <cell r="C251">
            <v>3</v>
          </cell>
          <cell r="D251" t="str">
            <v>ja</v>
          </cell>
          <cell r="E251" t="str">
            <v>処刑宣告完了</v>
          </cell>
        </row>
        <row r="252">
          <cell r="A252">
            <v>400011</v>
          </cell>
          <cell r="B252" t="str">
            <v>[effect:freq_turn, target:myself, turn:4, val:1, animation:enemy_freq_turn]</v>
          </cell>
          <cell r="C252">
            <v>3</v>
          </cell>
          <cell r="D252" t="str">
            <v>ja</v>
          </cell>
          <cell r="E252" t="str">
            <v>疾走する本能</v>
          </cell>
        </row>
        <row r="253">
          <cell r="A253">
            <v>400012</v>
          </cell>
          <cell r="B253" t="str">
            <v>[effect:freq_turn, target:myself, turn:3, val:1, animation:enemy_freq_turn]</v>
          </cell>
          <cell r="C253">
            <v>1</v>
          </cell>
          <cell r="D253" t="str">
            <v>ja</v>
          </cell>
          <cell r="E253" t="str">
            <v>紅葉乱舞</v>
          </cell>
        </row>
        <row r="254">
          <cell r="A254">
            <v>400013</v>
          </cell>
          <cell r="B254" t="str">
            <v>[effect:freq_turn, target:myself, turn:3, val:1, animation:enemy_freq_turn]</v>
          </cell>
          <cell r="C254">
            <v>1</v>
          </cell>
          <cell r="D254" t="str">
            <v>ja</v>
          </cell>
          <cell r="E254" t="str">
            <v>スピードアップ【仮】</v>
          </cell>
        </row>
        <row r="255">
          <cell r="A255">
            <v>400014</v>
          </cell>
          <cell r="B255" t="str">
            <v>[effect:fix_speed,target:myself,turn:2]</v>
          </cell>
          <cell r="C255">
            <v>3</v>
          </cell>
          <cell r="D255" t="str">
            <v>ja</v>
          </cell>
          <cell r="E255" t="str">
            <v>&lt;ロックオン&gt;</v>
          </cell>
        </row>
        <row r="256">
          <cell r="A256">
            <v>400015</v>
          </cell>
          <cell r="B256" t="str">
            <v>[effect:freq_turn, target:myself, turn:-1, val:1, animation:enemy_freq_turn]</v>
          </cell>
          <cell r="C256">
            <v>3</v>
          </cell>
          <cell r="D256" t="str">
            <v>ja</v>
          </cell>
          <cell r="E256" t="str">
            <v>速翼の矜持</v>
          </cell>
        </row>
        <row r="257">
          <cell r="A257">
            <v>400016</v>
          </cell>
          <cell r="B257" t="str">
            <v>[effect:freq_turn, target:myself, turn:5, val:1, animation:enemy_freq_turn]</v>
          </cell>
          <cell r="C257">
            <v>3</v>
          </cell>
          <cell r="D257" t="str">
            <v>ja</v>
          </cell>
          <cell r="E257" t="str">
            <v>ターゲット・ロックオン</v>
          </cell>
        </row>
        <row r="258">
          <cell r="A258">
            <v>400017</v>
          </cell>
          <cell r="B258" t="str">
            <v>[effect:freq_turn, target:myself, turn:-1, val:1, animation:enemy_freq_turn]</v>
          </cell>
          <cell r="C258">
            <v>3</v>
          </cell>
          <cell r="D258" t="str">
            <v>ja</v>
          </cell>
          <cell r="E258" t="str">
            <v>狂乱の宴</v>
          </cell>
        </row>
        <row r="259">
          <cell r="A259">
            <v>400018</v>
          </cell>
          <cell r="B259" t="str">
            <v>[effect:freq_turn, target:enemy_all, turn:3, val:1, animation:enemy_freq_turn]</v>
          </cell>
          <cell r="C259">
            <v>1</v>
          </cell>
          <cell r="D259" t="str">
            <v>ja</v>
          </cell>
          <cell r="E259" t="str">
            <v>疾走する本能</v>
          </cell>
        </row>
        <row r="260">
          <cell r="A260">
            <v>400019</v>
          </cell>
          <cell r="B260" t="str">
            <v>[effect:freq_turn, target:myself, turn:3, val:1, animation:enemy_freq_turn]</v>
          </cell>
          <cell r="C260">
            <v>3</v>
          </cell>
          <cell r="D260" t="str">
            <v>ja</v>
          </cell>
          <cell r="E260" t="str">
            <v>クイックリロード</v>
          </cell>
        </row>
        <row r="261">
          <cell r="A261">
            <v>400020</v>
          </cell>
          <cell r="B261" t="str">
            <v>[effect:freq_turn, target:myself, turn:4, val:1, animation:enemy_freq_turn]</v>
          </cell>
          <cell r="C261">
            <v>3</v>
          </cell>
          <cell r="D261" t="str">
            <v>ja</v>
          </cell>
          <cell r="E261" t="str">
            <v>高速化</v>
          </cell>
        </row>
        <row r="262">
          <cell r="A262">
            <v>400021</v>
          </cell>
          <cell r="B262" t="str">
            <v>[effect:freq_turn, target:myself, turn:3, val:1, animation:enemy_freq_turn]</v>
          </cell>
          <cell r="C262">
            <v>3</v>
          </cell>
          <cell r="D262" t="str">
            <v>ja</v>
          </cell>
          <cell r="E262" t="str">
            <v>暴走</v>
          </cell>
        </row>
        <row r="263">
          <cell r="A263">
            <v>400022</v>
          </cell>
          <cell r="B263" t="str">
            <v>[effect:freq_turn, target:myself, turn:2, val:1, animation:enemy_freq_turn]</v>
          </cell>
          <cell r="C263">
            <v>3</v>
          </cell>
          <cell r="D263" t="str">
            <v>ja</v>
          </cell>
          <cell r="E263" t="str">
            <v>カンブリアの激流！</v>
          </cell>
        </row>
        <row r="264">
          <cell r="A264">
            <v>400023</v>
          </cell>
          <cell r="B264" t="str">
            <v>[effect:freq_turn, target:enemy_all, turn:-1, val:1, animation:enemy_freq_turn]</v>
          </cell>
          <cell r="C264">
            <v>3</v>
          </cell>
          <cell r="D264" t="str">
            <v>ja</v>
          </cell>
          <cell r="E264" t="str">
            <v>疾走する本能</v>
          </cell>
        </row>
        <row r="265">
          <cell r="A265">
            <v>400024</v>
          </cell>
          <cell r="B265" t="str">
            <v>[effect:freq_turn, target:enemy_all, turn:3, val:1, animation:enemy_freq_turn]</v>
          </cell>
          <cell r="C265">
            <v>3</v>
          </cell>
          <cell r="D265" t="str">
            <v>ja</v>
          </cell>
          <cell r="E265" t="str">
            <v>紅葉乱舞</v>
          </cell>
        </row>
        <row r="266">
          <cell r="A266">
            <v>40025</v>
          </cell>
          <cell r="B266" t="str">
            <v>[effect:freq_turn, target:myself, turn:2, val:1, animation:enemy_freq_turn],[effect:dis_panel, target:block_yellow, turn:5, animation:enemy_dis_yellow]</v>
          </cell>
          <cell r="C266">
            <v>3</v>
          </cell>
          <cell r="D266" t="str">
            <v>ja</v>
          </cell>
          <cell r="E266" t="str">
            <v>あ、あのねっ</v>
          </cell>
        </row>
        <row r="267">
          <cell r="A267">
            <v>400027</v>
          </cell>
          <cell r="B267" t="str">
            <v>[effect:freq_turn, target:enemy_all, turn:5, val:1, animation:enemy_freq_turn]</v>
          </cell>
          <cell r="C267">
            <v>1</v>
          </cell>
          <cell r="D267" t="str">
            <v>ja</v>
          </cell>
          <cell r="E267" t="str">
            <v>ジャンヌ仮頻度</v>
          </cell>
        </row>
        <row r="268">
          <cell r="A268">
            <v>410001</v>
          </cell>
          <cell r="B268" t="str">
            <v>[effect:enhance_enemy, target:enemy_all, turn:3, status:attack, val:1.25, animation:enemy_enhance_enemy]</v>
          </cell>
          <cell r="C268">
            <v>3</v>
          </cell>
          <cell r="D268" t="str">
            <v>ja</v>
          </cell>
          <cell r="E268" t="str">
            <v>火酒</v>
          </cell>
        </row>
        <row r="269">
          <cell r="A269">
            <v>410002</v>
          </cell>
          <cell r="B269" t="str">
            <v>[effect:enhance_enemy, target:enemy_all, turn:3, status:attack, val:1.50, animation:enemy_enhance_enemy]</v>
          </cell>
          <cell r="C269">
            <v>3</v>
          </cell>
          <cell r="D269" t="str">
            <v>ja</v>
          </cell>
          <cell r="E269" t="str">
            <v>攻撃力UP</v>
          </cell>
        </row>
        <row r="270">
          <cell r="A270">
            <v>410003</v>
          </cell>
          <cell r="B270" t="str">
            <v>[effect:enhance_enemy, target:enemy_all, turn:5, status:attack, val:1.2, animation:enemy_enhance_enemy]</v>
          </cell>
          <cell r="C270">
            <v>3</v>
          </cell>
          <cell r="D270" t="str">
            <v>ja</v>
          </cell>
          <cell r="E270" t="str">
            <v>頑張っちゃいますぅ！</v>
          </cell>
        </row>
        <row r="271">
          <cell r="A271">
            <v>410004</v>
          </cell>
          <cell r="B271" t="str">
            <v>[effect:enhance_enemy, target:enemy_all, turn:3, status:attack, val:1.50, animation:enemy_enhance_enemy]</v>
          </cell>
          <cell r="C271">
            <v>3</v>
          </cell>
          <cell r="D271" t="str">
            <v>ja</v>
          </cell>
          <cell r="E271" t="str">
            <v>電力アップ</v>
          </cell>
        </row>
        <row r="272">
          <cell r="A272">
            <v>410005</v>
          </cell>
          <cell r="B272" t="str">
            <v>[effect:enhance_enemy, target:enemy_all, turn:5, status:attack, val:2.0, animation:enemy_enhance_enemy]</v>
          </cell>
          <cell r="C272">
            <v>3</v>
          </cell>
          <cell r="D272" t="str">
            <v>ja</v>
          </cell>
          <cell r="E272" t="str">
            <v>もっと遊ぼう？</v>
          </cell>
        </row>
        <row r="273">
          <cell r="A273">
            <v>410006</v>
          </cell>
          <cell r="B273" t="str">
            <v>[effect:enhance_enemy, target:enemy_all, turn:3, status:attack, val:2.0, animation:enemy_enhance_enemy]</v>
          </cell>
          <cell r="C273">
            <v>3</v>
          </cell>
          <cell r="D273" t="str">
            <v>ja</v>
          </cell>
          <cell r="E273" t="str">
            <v>獅子の咆哮</v>
          </cell>
        </row>
        <row r="274">
          <cell r="A274">
            <v>410007</v>
          </cell>
          <cell r="B274" t="str">
            <v>[effect:enhance_enemy, target:enemy_all, turn:5, status:attack, val:1.50, animation:enemy_enhance_enemy]</v>
          </cell>
          <cell r="C274">
            <v>3</v>
          </cell>
          <cell r="D274" t="str">
            <v>ja</v>
          </cell>
          <cell r="E274" t="str">
            <v>緑剛の恵み</v>
          </cell>
        </row>
        <row r="275">
          <cell r="A275">
            <v>410008</v>
          </cell>
          <cell r="B275" t="str">
            <v>[effect:enhance_enemy, target:enemy_all, turn:3, status:attack, val:1.5, animation:enemy_enhance_enemy]</v>
          </cell>
          <cell r="C275">
            <v>3</v>
          </cell>
          <cell r="D275" t="str">
            <v>ja</v>
          </cell>
          <cell r="E275" t="str">
            <v>怒り鉤爪</v>
          </cell>
        </row>
        <row r="276">
          <cell r="A276">
            <v>410009</v>
          </cell>
          <cell r="B276" t="str">
            <v>[effect:enhance_enemy, target:enemy_all, turn:5, status:attack, val:1.50, animation:enemy_enhance_enemy]</v>
          </cell>
          <cell r="C276">
            <v>3</v>
          </cell>
          <cell r="D276" t="str">
            <v>ja</v>
          </cell>
          <cell r="E276" t="str">
            <v>本気で止めなきゃ</v>
          </cell>
        </row>
        <row r="277">
          <cell r="A277">
            <v>410010</v>
          </cell>
          <cell r="B277" t="str">
            <v>[effect:enhance_enemy, target:enemy_all, turn:3, status:attack, val:1.50, animation:enemy_enhance_enemy]</v>
          </cell>
          <cell r="C277">
            <v>3</v>
          </cell>
          <cell r="D277" t="str">
            <v>ja</v>
          </cell>
          <cell r="E277" t="str">
            <v>攻勢の巫術</v>
          </cell>
        </row>
        <row r="278">
          <cell r="A278">
            <v>410011</v>
          </cell>
          <cell r="B278" t="str">
            <v>[effect:enhance_enemy, target:enemy_all, turn:-1, status:attack, val:1.6, animation:enemy_enhance_enemy]</v>
          </cell>
          <cell r="C278">
            <v>3</v>
          </cell>
          <cell r="D278" t="str">
            <v>ja</v>
          </cell>
          <cell r="E278" t="str">
            <v>痛いじゃないの！</v>
          </cell>
        </row>
        <row r="279">
          <cell r="A279">
            <v>410012</v>
          </cell>
          <cell r="B279" t="str">
            <v>[effect:enhance_enemy, target:myself, turn:3, status:attack, val:1.5, animation:enemy_enhance_enemy]</v>
          </cell>
          <cell r="C279">
            <v>3</v>
          </cell>
          <cell r="D279" t="str">
            <v>ja</v>
          </cell>
          <cell r="E279" t="str">
            <v>獅子の咆哮</v>
          </cell>
        </row>
        <row r="280">
          <cell r="A280">
            <v>410013</v>
          </cell>
          <cell r="B280" t="str">
            <v>[effect:enhance_enemy, target:myself, turn:-1, status:attack, val:1.2, animation:enemy_enhance_enemy]</v>
          </cell>
          <cell r="C280">
            <v>3</v>
          </cell>
          <cell r="D280" t="str">
            <v>ja</v>
          </cell>
          <cell r="E280" t="str">
            <v>野生の本能</v>
          </cell>
        </row>
        <row r="281">
          <cell r="A281">
            <v>410014</v>
          </cell>
          <cell r="B281" t="str">
            <v>[effect:enhance_enemy, target:enemy_all, turn:3, status:attack, val:1.50, animation:enemy_enhance_enemy]</v>
          </cell>
          <cell r="C281">
            <v>3</v>
          </cell>
          <cell r="D281" t="str">
            <v>ja</v>
          </cell>
          <cell r="E281" t="str">
            <v>緑剛の恵み</v>
          </cell>
        </row>
        <row r="282">
          <cell r="A282">
            <v>410015</v>
          </cell>
          <cell r="B282" t="str">
            <v>[effect:enhance_enemy, target:enemy_all, turn:5, status:attack, val:2.0, animation:enemy_enhance_enemy]</v>
          </cell>
          <cell r="C282">
            <v>3</v>
          </cell>
          <cell r="D282" t="str">
            <v>ja</v>
          </cell>
          <cell r="E282" t="str">
            <v>もっと遊ぼう？</v>
          </cell>
        </row>
        <row r="283">
          <cell r="A283">
            <v>41016</v>
          </cell>
          <cell r="B283" t="str">
            <v>[effect:enhance_enemy, target:enemy_all, turn:-1, status:attack, val:1.1, animation:enemy_enhance_enemy],[effect:fix_speed,target:myself,turn:2]</v>
          </cell>
          <cell r="C283">
            <v>3</v>
          </cell>
          <cell r="D283" t="str">
            <v>ja</v>
          </cell>
          <cell r="E283" t="str">
            <v>力尽くでも奪い返す…！</v>
          </cell>
        </row>
        <row r="284">
          <cell r="A284">
            <v>410017</v>
          </cell>
          <cell r="B284" t="str">
            <v>[effect:enhance_enemy, target:enemy_all, turn:-1, status:attack, val:1.1, animation:enemy_enhance_enemy]</v>
          </cell>
          <cell r="C284">
            <v>3</v>
          </cell>
          <cell r="D284" t="str">
            <v>ja</v>
          </cell>
          <cell r="E284" t="str">
            <v>野生の本能</v>
          </cell>
        </row>
        <row r="285">
          <cell r="A285">
            <v>410018</v>
          </cell>
          <cell r="B285" t="str">
            <v>[effect:enhance_enemy, target:enemy_all, turn:5, status:attack, val:1.1, animation:enemy_enhance_enemy]</v>
          </cell>
          <cell r="C285">
            <v>3</v>
          </cell>
          <cell r="D285" t="str">
            <v>ja</v>
          </cell>
          <cell r="E285" t="str">
            <v>力尽くでも奪い返す…！</v>
          </cell>
        </row>
        <row r="286">
          <cell r="A286">
            <v>410019</v>
          </cell>
          <cell r="B286" t="str">
            <v>[effect:enhance_enemy, target:enemy_all, turn:4, status:attack, val:1.5, animation:enemy_enhance_enemy]</v>
          </cell>
          <cell r="C286">
            <v>3</v>
          </cell>
          <cell r="D286" t="str">
            <v>ja</v>
          </cell>
          <cell r="E286" t="str">
            <v>闘気結集</v>
          </cell>
        </row>
        <row r="287">
          <cell r="A287">
            <v>410020</v>
          </cell>
          <cell r="B287" t="str">
            <v>[effect:enhance_enemy, target:enemy_all, turn:3, status:attack, val:1.2, animation:enemy_enhance_enemy]</v>
          </cell>
          <cell r="C287">
            <v>3</v>
          </cell>
          <cell r="D287" t="str">
            <v>ja</v>
          </cell>
          <cell r="E287" t="str">
            <v>ちょっと本気出そっかな</v>
          </cell>
        </row>
        <row r="288">
          <cell r="A288">
            <v>410021</v>
          </cell>
          <cell r="B288" t="str">
            <v>[effect:enhance_enemy, target:enemy_all, turn:4, status:attack, val:1.25, animation:enemy_enhance_enemy]</v>
          </cell>
          <cell r="C288">
            <v>3</v>
          </cell>
          <cell r="D288" t="str">
            <v>ja</v>
          </cell>
          <cell r="E288" t="str">
            <v>インサニティ</v>
          </cell>
        </row>
        <row r="289">
          <cell r="A289">
            <v>410022</v>
          </cell>
          <cell r="B289" t="str">
            <v>[effect:enhance_enemy, target:enemy_all, turn:3, status:attack, val:1.5, animation:enemy_enhance_enemy]</v>
          </cell>
          <cell r="C289">
            <v>3</v>
          </cell>
          <cell r="D289" t="str">
            <v>ja</v>
          </cell>
          <cell r="E289" t="str">
            <v>このオレが愛でてやろう</v>
          </cell>
        </row>
        <row r="290">
          <cell r="A290">
            <v>410023</v>
          </cell>
          <cell r="B290" t="str">
            <v>[effect:enhance_enemy, target:enemy_all, turn:8, status:attack, val:1.2, animation:enemy_enhance_enemy]</v>
          </cell>
          <cell r="C290">
            <v>3</v>
          </cell>
          <cell r="D290" t="str">
            <v>ja</v>
          </cell>
          <cell r="E290" t="str">
            <v>頑張っちゃいますぅ！</v>
          </cell>
        </row>
        <row r="291">
          <cell r="A291">
            <v>410024</v>
          </cell>
          <cell r="B291" t="str">
            <v>[effect:enhance_enemy, target:myself, turn:3, status:attack, val:1.2, animation:enemy_enhance_enemy]</v>
          </cell>
          <cell r="C291">
            <v>3</v>
          </cell>
          <cell r="D291" t="str">
            <v>ja</v>
          </cell>
          <cell r="E291" t="str">
            <v>全ては薔薇のために…</v>
          </cell>
        </row>
        <row r="292">
          <cell r="A292">
            <v>410025</v>
          </cell>
          <cell r="B292" t="str">
            <v>[effect:enhance_enemy, target:enemy_all, turn:3, status:attack, val:1.50, animation:enemy_enhance_enemy]</v>
          </cell>
          <cell r="C292">
            <v>3</v>
          </cell>
          <cell r="D292" t="str">
            <v>ja</v>
          </cell>
          <cell r="E292" t="str">
            <v>全力応援</v>
          </cell>
        </row>
        <row r="293">
          <cell r="A293">
            <v>410026</v>
          </cell>
          <cell r="B293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3">
            <v>3</v>
          </cell>
          <cell r="D293" t="str">
            <v>ja</v>
          </cell>
          <cell r="E293" t="str">
            <v>岩戸隠れ</v>
          </cell>
        </row>
        <row r="294">
          <cell r="A294">
            <v>410027</v>
          </cell>
          <cell r="B294" t="str">
            <v>[effect:enhance_enemy, target:enemy_all, turn:3, status:attack, val:1.1, animation:enemy_enhance_enemy]</v>
          </cell>
          <cell r="C294">
            <v>3</v>
          </cell>
          <cell r="D294" t="str">
            <v>ja</v>
          </cell>
          <cell r="E294" t="str">
            <v>深呼吸</v>
          </cell>
        </row>
        <row r="295">
          <cell r="A295">
            <v>410028</v>
          </cell>
          <cell r="B295" t="str">
            <v>[effect:enhance_enemy, target:enemy_all, turn:3, status:attack, val:1.3, animation:enemy_enhance_enemy]</v>
          </cell>
          <cell r="C295">
            <v>3</v>
          </cell>
          <cell r="D295" t="str">
            <v>ja</v>
          </cell>
          <cell r="E295" t="str">
            <v>もっと本気出すよ！</v>
          </cell>
        </row>
        <row r="296">
          <cell r="A296">
            <v>420001</v>
          </cell>
          <cell r="B296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6">
            <v>3</v>
          </cell>
          <cell r="D296" t="str">
            <v>ja</v>
          </cell>
          <cell r="E296" t="str">
            <v>岩戸隠れ</v>
          </cell>
        </row>
        <row r="297">
          <cell r="A297">
            <v>420002</v>
          </cell>
          <cell r="B297" t="str">
            <v>[effect:enhance_enemy, target:enemy_all, turn:3, status:defense, val:3000, calc:add, animation:enemy_enhance_enemy]</v>
          </cell>
          <cell r="C297">
            <v>1</v>
          </cell>
          <cell r="D297" t="str">
            <v>ja</v>
          </cell>
          <cell r="E297" t="str">
            <v>セメクトのカラシリス</v>
          </cell>
        </row>
        <row r="298">
          <cell r="A298">
            <v>420003</v>
          </cell>
          <cell r="B298" t="str">
            <v>[effect:enhance_enemy, target:enemy_all, turn:3, status:defense, val:10000, calc:add, animation:enemy_enhance_enemy]</v>
          </cell>
          <cell r="C298">
            <v>1</v>
          </cell>
          <cell r="D298" t="str">
            <v>ja</v>
          </cell>
          <cell r="E298" t="str">
            <v>女王を護る盾となる</v>
          </cell>
        </row>
        <row r="299">
          <cell r="A299">
            <v>420004</v>
          </cell>
          <cell r="B299" t="str">
            <v>[effect:enhance_enemy, target:myself, turn:-1, status:defense, val:5000, calc:add, animation:enemy_enhance_enemy]</v>
          </cell>
          <cell r="C299">
            <v>3</v>
          </cell>
          <cell r="D299" t="str">
            <v>ja</v>
          </cell>
          <cell r="E299" t="str">
            <v>竹林の防壁</v>
          </cell>
        </row>
        <row r="300">
          <cell r="A300">
            <v>420005</v>
          </cell>
          <cell r="B300" t="str">
            <v>[effect:enhance_enemy, target:enemy_all, turn:3, status:defense, val:5000, calc:add, animation:enemy_enhance_enemy],[effect:enhance_enemy, target:enemy_all, turn:3, status:attack, val:0.4, calc:mul, animation:enemy_enhance_enemy]</v>
          </cell>
          <cell r="C300">
            <v>3</v>
          </cell>
          <cell r="D300" t="str">
            <v>ja</v>
          </cell>
          <cell r="E300" t="str">
            <v>弾幕の嵐</v>
          </cell>
        </row>
        <row r="301">
          <cell r="A301">
            <v>420006</v>
          </cell>
          <cell r="B301" t="str">
            <v>[effect:nothing],[effect:fix_speed,target:myself,turn:2]</v>
          </cell>
          <cell r="C301">
            <v>3</v>
          </cell>
          <cell r="D301" t="str">
            <v>ja</v>
          </cell>
          <cell r="E301" t="str">
            <v>スチールプレデター</v>
          </cell>
        </row>
        <row r="302">
          <cell r="A302">
            <v>420007</v>
          </cell>
          <cell r="B302" t="str">
            <v>[effect:nothing],[effect:fix_speed,target:myself,turn:2]</v>
          </cell>
          <cell r="C302">
            <v>3</v>
          </cell>
          <cell r="D302" t="str">
            <v>ja</v>
          </cell>
          <cell r="E302" t="str">
            <v>スチールプレデター</v>
          </cell>
        </row>
        <row r="303">
          <cell r="A303">
            <v>420008</v>
          </cell>
          <cell r="B303" t="str">
            <v>[effect:enhance_enemy, target:enemy_all, turn:5, status:defense, val:1250, calc:add, animation:enemy_enhance_enemy],[effect:fix_speed,target:myself,turn:3]</v>
          </cell>
          <cell r="C303">
            <v>3</v>
          </cell>
          <cell r="D303" t="str">
            <v>ja</v>
          </cell>
          <cell r="E303" t="str">
            <v>わたしの嫁を返してもらおう</v>
          </cell>
        </row>
        <row r="304">
          <cell r="A304">
            <v>420009</v>
          </cell>
          <cell r="B304" t="str">
            <v>[effect:enhance_enemy, target:enemy_all, turn:5, status:defense, val:1000, calc:add, animation:enemy_enhance_enemy]</v>
          </cell>
          <cell r="C304">
            <v>3</v>
          </cell>
          <cell r="D304" t="str">
            <v>ja</v>
          </cell>
          <cell r="E304" t="str">
            <v>わたしの嫁を返してもらおう</v>
          </cell>
        </row>
        <row r="305">
          <cell r="A305">
            <v>420010</v>
          </cell>
          <cell r="B305" t="str">
            <v>[effect:enhance_enemy, target:enemy_all, turn:5, status:defense, val:800, calc:add, animation:enemy_enhance_enemy]</v>
          </cell>
          <cell r="C305">
            <v>3</v>
          </cell>
          <cell r="D305" t="str">
            <v>ja</v>
          </cell>
          <cell r="E305" t="str">
            <v>わたしの嫁を返してもらおう</v>
          </cell>
        </row>
        <row r="306">
          <cell r="A306">
            <v>420011</v>
          </cell>
          <cell r="B306" t="str">
            <v>[effect:enhance_enemy, target:enemy_all, turn:1, status:defense, val:10000, calc:add, animation:enemy_enhance_enemy],[effect:rush, count:1, val:0.8]</v>
          </cell>
          <cell r="C306">
            <v>3</v>
          </cell>
          <cell r="D306" t="str">
            <v>ja</v>
          </cell>
          <cell r="E306" t="str">
            <v>大地の怒り</v>
          </cell>
        </row>
        <row r="307">
          <cell r="A307">
            <v>420012</v>
          </cell>
          <cell r="B307" t="str">
            <v>[effect:enhance_enemy, target:enemy_all, turn:3, status:defense, val:3000, calc:add, animation:enemy_enhance_enemy]</v>
          </cell>
          <cell r="C307">
            <v>3</v>
          </cell>
          <cell r="D307" t="str">
            <v>ja</v>
          </cell>
          <cell r="E307" t="str">
            <v>カセキ化</v>
          </cell>
        </row>
        <row r="308">
          <cell r="A308">
            <v>420013</v>
          </cell>
          <cell r="B308" t="str">
            <v>[effect:enhance_enemy, target:enemy_all, turn:3, status:defense, val:3500, calc:add, animation:enemy_enhance_enemy]</v>
          </cell>
          <cell r="C308">
            <v>3</v>
          </cell>
          <cell r="D308" t="str">
            <v>ja</v>
          </cell>
          <cell r="E308" t="str">
            <v>下段の構え</v>
          </cell>
        </row>
        <row r="309">
          <cell r="A309">
            <v>430001</v>
          </cell>
          <cell r="B309" t="str">
            <v>[effect:degrade_unit, target:enemy_all, turn:-1, status:attack, val:0.7]</v>
          </cell>
          <cell r="C309">
            <v>3</v>
          </cell>
          <cell r="D309" t="str">
            <v>ja</v>
          </cell>
          <cell r="E309" t="str">
            <v>フフ、遊んであげるわ</v>
          </cell>
        </row>
        <row r="310">
          <cell r="A310">
            <v>500001</v>
          </cell>
          <cell r="B310" t="str">
            <v>[effect:change_block, new_block:time_bomb, target:block_all, count:3, val:0.1, animation:change_block]</v>
          </cell>
          <cell r="C310">
            <v>3</v>
          </cell>
          <cell r="D310" t="str">
            <v>ja</v>
          </cell>
          <cell r="E310" t="str">
            <v>クロックメテオ</v>
          </cell>
        </row>
        <row r="311">
          <cell r="A311">
            <v>500002</v>
          </cell>
          <cell r="B311" t="str">
            <v>[effect:change_block, new_block:time_bomb, target:block_all, count:5, val:0.2, animation:change_block],[effect:rush, count:1, val:0.7]</v>
          </cell>
          <cell r="C311">
            <v>3</v>
          </cell>
          <cell r="D311" t="str">
            <v>ja</v>
          </cell>
          <cell r="E311" t="str">
            <v>マキシマムベット</v>
          </cell>
        </row>
        <row r="312">
          <cell r="A312">
            <v>500003</v>
          </cell>
          <cell r="B312" t="str">
            <v>[effect:change_block, new_block:time_bomb, target:block_all, count:5, val:0.2, animation:change_block],[effect:rush, count:1, val:0.7]</v>
          </cell>
          <cell r="C312">
            <v>3</v>
          </cell>
          <cell r="D312" t="str">
            <v>ja</v>
          </cell>
          <cell r="E312" t="str">
            <v>マキシマムベット</v>
          </cell>
        </row>
        <row r="313">
          <cell r="A313">
            <v>500004</v>
          </cell>
          <cell r="B313" t="str">
            <v>[effect:change_block, new_block:time_bomb, target:block_all, count:3, val:0.1, animation:change_block]</v>
          </cell>
          <cell r="C313">
            <v>3</v>
          </cell>
          <cell r="D313" t="str">
            <v>ja</v>
          </cell>
          <cell r="E313" t="str">
            <v>クロックメテオ</v>
          </cell>
        </row>
        <row r="314">
          <cell r="A314">
            <v>500005</v>
          </cell>
          <cell r="B314" t="str">
            <v>[effect:change_block, new_block:time_bomb, target:block_all, count:7, val:0.1, animation:change_block]</v>
          </cell>
          <cell r="C314">
            <v>1</v>
          </cell>
          <cell r="D314" t="str">
            <v>ja</v>
          </cell>
          <cell r="E314" t="str">
            <v>深淵からの大渦</v>
          </cell>
        </row>
        <row r="315">
          <cell r="A315">
            <v>500006</v>
          </cell>
          <cell r="B315" t="str">
            <v>[effect:change_block, new_block:time_bomb, target:block_all, count:3, val:1.0, animation:change_block]</v>
          </cell>
          <cell r="C315">
            <v>3</v>
          </cell>
          <cell r="D315" t="str">
            <v>ja</v>
          </cell>
          <cell r="E315" t="str">
            <v>クレイモア</v>
          </cell>
        </row>
        <row r="316">
          <cell r="A316">
            <v>510001</v>
          </cell>
          <cell r="B316" t="str">
            <v>[effect:change_block, new_block:jammer, target:block_all, count:3, val:0.1, animation:change_block]</v>
          </cell>
          <cell r="C316">
            <v>3</v>
          </cell>
          <cell r="D316" t="str">
            <v>ja</v>
          </cell>
          <cell r="E316" t="str">
            <v>スパムバースト</v>
          </cell>
        </row>
        <row r="317">
          <cell r="A317">
            <v>510002</v>
          </cell>
          <cell r="B317" t="str">
            <v>[effect:change_block, new_block:jammer, target:block_all, count:5, val:0.1, animation:change_block]</v>
          </cell>
          <cell r="C317">
            <v>3</v>
          </cell>
          <cell r="D317" t="str">
            <v>ja</v>
          </cell>
          <cell r="E317" t="str">
            <v>ハイ・スパムバースト</v>
          </cell>
        </row>
        <row r="318">
          <cell r="A318">
            <v>510003</v>
          </cell>
          <cell r="B318" t="str">
            <v>[effect:change_block, new_block:jammer, target:block_all, count:3, val:0.1, animation:change_block]</v>
          </cell>
          <cell r="C318">
            <v>3</v>
          </cell>
          <cell r="D318" t="str">
            <v>ja</v>
          </cell>
          <cell r="E318" t="str">
            <v>反逆のシャウト</v>
          </cell>
        </row>
        <row r="319">
          <cell r="A319">
            <v>510004</v>
          </cell>
          <cell r="B319" t="str">
            <v>[effect:change_block, new_block:time_bomb, target:block_heart, count:0, val:0.1, animation:change_block]</v>
          </cell>
          <cell r="C319">
            <v>3</v>
          </cell>
          <cell r="D319" t="str">
            <v>ja</v>
          </cell>
          <cell r="E319" t="str">
            <v>ハートジャミング</v>
          </cell>
        </row>
        <row r="320">
          <cell r="A320">
            <v>510005</v>
          </cell>
          <cell r="B320" t="str">
            <v>[effect:change_block, new_block:jammer, target:block_all, count:5, val:0.1, animation:change_block]</v>
          </cell>
          <cell r="C320">
            <v>3</v>
          </cell>
          <cell r="D320" t="str">
            <v>ja</v>
          </cell>
          <cell r="E320" t="str">
            <v>お邪魔します</v>
          </cell>
        </row>
        <row r="321">
          <cell r="A321">
            <v>510006</v>
          </cell>
          <cell r="B321" t="str">
            <v>[effect:change_block, new_block:time_bomb, target:block_all, count:8, val:0.15, animation:change_block]</v>
          </cell>
          <cell r="C321">
            <v>3</v>
          </cell>
          <cell r="D321" t="str">
            <v>ja</v>
          </cell>
          <cell r="E321" t="str">
            <v>爆破します</v>
          </cell>
        </row>
        <row r="322">
          <cell r="A322">
            <v>510007</v>
          </cell>
          <cell r="B322" t="str">
            <v>[effect:change_block, new_block:time_bomb, target:block_heart, count:0, val:0.1, animation:change_block]</v>
          </cell>
          <cell r="C322">
            <v>3</v>
          </cell>
          <cell r="D322" t="str">
            <v>ja</v>
          </cell>
          <cell r="E322" t="str">
            <v>さよならハート</v>
          </cell>
        </row>
        <row r="323">
          <cell r="A323">
            <v>510008</v>
          </cell>
          <cell r="B323" t="str">
            <v>[effect:change_block, new_block:jammer, target:block_all, count:3, val:0.1, animation:change_block]</v>
          </cell>
          <cell r="C323">
            <v>3</v>
          </cell>
          <cell r="D323" t="str">
            <v>ja</v>
          </cell>
          <cell r="E323" t="str">
            <v>イブと遊ぼ？</v>
          </cell>
        </row>
        <row r="324">
          <cell r="A324">
            <v>510009</v>
          </cell>
          <cell r="B324" t="str">
            <v>[effect:change_block, new_block:jammer, target:block_all, count:5, val:0.1, animation:change_block]</v>
          </cell>
          <cell r="C324">
            <v>3</v>
          </cell>
          <cell r="D324" t="str">
            <v>ja</v>
          </cell>
          <cell r="E324" t="str">
            <v>パネルフリーズ</v>
          </cell>
        </row>
        <row r="325">
          <cell r="A325">
            <v>510010</v>
          </cell>
          <cell r="B325" t="str">
            <v>[effect:change_block, new_block:jammer, target:block_all, count:5, val:0.1, animation:change_block],[effect:rush, count:1, val:1.3]</v>
          </cell>
          <cell r="C325">
            <v>3</v>
          </cell>
          <cell r="D325" t="str">
            <v>ja</v>
          </cell>
          <cell r="E325" t="str">
            <v>ダウンカード</v>
          </cell>
        </row>
        <row r="326">
          <cell r="A326">
            <v>510011</v>
          </cell>
          <cell r="B326" t="str">
            <v>[effect:change_block, new_block:block_red, target:block_all, count:6, val:0.1, animation:change_block],[effect:rush, count:1, val:1.0]</v>
          </cell>
          <cell r="C326">
            <v>3</v>
          </cell>
          <cell r="D326" t="str">
            <v>ja</v>
          </cell>
          <cell r="E326" t="str">
            <v>ダズルフィクション</v>
          </cell>
        </row>
        <row r="327">
          <cell r="A327">
            <v>510012</v>
          </cell>
          <cell r="B327" t="str">
            <v>[effect:change_block, new_block:block_blue, target:block_all, count:6, val:0.1, animation:change_block],[effect:rush, count:1, val:1.0]</v>
          </cell>
          <cell r="C327">
            <v>3</v>
          </cell>
          <cell r="D327" t="str">
            <v>ja</v>
          </cell>
          <cell r="E327" t="str">
            <v>ダズルフィクション</v>
          </cell>
        </row>
        <row r="328">
          <cell r="A328">
            <v>510013</v>
          </cell>
          <cell r="B328" t="str">
            <v>[effect:change_block, new_block:block_green, target:block_all, count:6, val:0.1, animation:change_block],[effect:rush, count:1, val:1.0]</v>
          </cell>
          <cell r="C328">
            <v>3</v>
          </cell>
          <cell r="D328" t="str">
            <v>ja</v>
          </cell>
          <cell r="E328" t="str">
            <v>ダズルフィクション</v>
          </cell>
        </row>
        <row r="329">
          <cell r="A329">
            <v>510014</v>
          </cell>
          <cell r="B329" t="str">
            <v>[effect:change_block, new_block:block_yellow, target:block_all, count:6, val:0.1, animation:change_block],[effect:rush, count:1, val:1.0]</v>
          </cell>
          <cell r="C329">
            <v>3</v>
          </cell>
          <cell r="D329" t="str">
            <v>ja</v>
          </cell>
          <cell r="E329" t="str">
            <v>ダズルフィクション</v>
          </cell>
        </row>
        <row r="330">
          <cell r="A330">
            <v>510015</v>
          </cell>
          <cell r="B330" t="str">
            <v>[effect:change_block, new_block:jammer, target:block_heart, count:0, val:0.1, animation:change_block]</v>
          </cell>
          <cell r="C330">
            <v>3</v>
          </cell>
          <cell r="D330" t="str">
            <v>ja</v>
          </cell>
          <cell r="E330" t="str">
            <v>生命変遷</v>
          </cell>
        </row>
        <row r="331">
          <cell r="A331">
            <v>510017</v>
          </cell>
          <cell r="B331" t="str">
            <v>[effect:change_block, new_block:jammer, target:block_all, count:10, val:0.1, animation:change_block],[effect:rush, count:1, val:1.5]</v>
          </cell>
          <cell r="C331">
            <v>3</v>
          </cell>
          <cell r="D331" t="str">
            <v>ja</v>
          </cell>
          <cell r="E331" t="str">
            <v>奥義・邪砲蒼閃拳</v>
          </cell>
        </row>
        <row r="332">
          <cell r="A332">
            <v>510016</v>
          </cell>
          <cell r="B332" t="str">
            <v>[effect:change_block, new_block:jammer, target:block_all, count:7, val:0.1, animation:change_block],[effect:rush, count:1, val:1.25]</v>
          </cell>
          <cell r="C332">
            <v>3</v>
          </cell>
          <cell r="D332" t="str">
            <v>ja</v>
          </cell>
          <cell r="E332" t="str">
            <v>秘技・邪烈蒼打拳</v>
          </cell>
        </row>
        <row r="333">
          <cell r="A333">
            <v>510018</v>
          </cell>
          <cell r="B333" t="str">
            <v>[effect:change_block, new_block:jammer, target:block_all, count:2, val:0.1, animation:change_block],[effect:rush, count:1, val:1.0]</v>
          </cell>
          <cell r="C333">
            <v>3</v>
          </cell>
          <cell r="D333" t="str">
            <v>ja</v>
          </cell>
          <cell r="E333" t="str">
            <v>邪気蒼黒掌</v>
          </cell>
        </row>
        <row r="334">
          <cell r="A334">
            <v>510019</v>
          </cell>
          <cell r="B334" t="str">
            <v>[effect:change_block, new_block:time_bomb, target:block_heart, count:0, val:0.1, animation:change_block]</v>
          </cell>
          <cell r="C334">
            <v>3</v>
          </cell>
          <cell r="D334" t="str">
            <v>ja</v>
          </cell>
          <cell r="E334" t="str">
            <v>ハートジャミング</v>
          </cell>
        </row>
        <row r="335">
          <cell r="A335">
            <v>510020</v>
          </cell>
          <cell r="B335" t="str">
            <v>[effect:change_block, new_block:jammer, target:block_all, count:5, val:0.1, animation:change_block],[effect:spread, val:0.3, animation:enemy_spread]</v>
          </cell>
          <cell r="C335">
            <v>3</v>
          </cell>
          <cell r="D335" t="str">
            <v>ja</v>
          </cell>
          <cell r="E335" t="str">
            <v>バブル・エクステンション</v>
          </cell>
        </row>
        <row r="336">
          <cell r="A336">
            <v>510021</v>
          </cell>
          <cell r="B336" t="str">
            <v>[effect:change_block, new_block:time_bomb, target:block_heart, count:0, val:0.1, animation:change_block]</v>
          </cell>
          <cell r="C336">
            <v>1</v>
          </cell>
          <cell r="D336" t="str">
            <v>ja</v>
          </cell>
          <cell r="E336" t="str">
            <v>心を秤ってあげるわ</v>
          </cell>
        </row>
        <row r="337">
          <cell r="A337">
            <v>510022</v>
          </cell>
          <cell r="B337" t="str">
            <v>[effect:change_block, new_block:jammer, target:block_all, count:5, val:0.1, animation:change_block],[effect:rush, count:1, val:1.5]</v>
          </cell>
          <cell r="C337">
            <v>1</v>
          </cell>
          <cell r="D337" t="str">
            <v>ja</v>
          </cell>
          <cell r="E337" t="str">
            <v>武術指南</v>
          </cell>
        </row>
        <row r="338">
          <cell r="A338">
            <v>510023</v>
          </cell>
          <cell r="B338" t="str">
            <v>[effect:change_block, new_block:jammer, target:block_all, count:3, val:0.1, animation:change_block]</v>
          </cell>
          <cell r="C338">
            <v>3</v>
          </cell>
          <cell r="D338" t="str">
            <v>ja</v>
          </cell>
          <cell r="E338" t="str">
            <v>イブと遊ぼ？</v>
          </cell>
        </row>
        <row r="339">
          <cell r="A339">
            <v>510024</v>
          </cell>
          <cell r="B339" t="str">
            <v>[effect:change_block, new_block:block_yellow, target:block_all, count:6, val:0.1, animation:change_block],[effect:rush, count:1, val:1.0]</v>
          </cell>
          <cell r="C339">
            <v>3</v>
          </cell>
          <cell r="D339" t="str">
            <v>ja</v>
          </cell>
          <cell r="E339" t="str">
            <v>万物流転</v>
          </cell>
        </row>
        <row r="340">
          <cell r="A340">
            <v>510025</v>
          </cell>
          <cell r="B340" t="str">
            <v>[effect:change_block, new_block:jammer, target:block_all, count:5, val:0.1, animation:change_block]</v>
          </cell>
          <cell r="C340">
            <v>3</v>
          </cell>
          <cell r="D340" t="str">
            <v>ja</v>
          </cell>
          <cell r="E340" t="str">
            <v>不協和音</v>
          </cell>
        </row>
        <row r="341">
          <cell r="A341">
            <v>51026</v>
          </cell>
          <cell r="B341" t="str">
            <v>[effect:change_block, new_block:jammer, target:block_all, count:5, val:0.1, animation:change_block][effect:critical, val:1.5.0, animation:enemy_critical]</v>
          </cell>
          <cell r="C341">
            <v>3</v>
          </cell>
          <cell r="D341" t="str">
            <v>ja</v>
          </cell>
          <cell r="E341" t="str">
            <v>ほれ、くぐり抜けろ</v>
          </cell>
        </row>
        <row r="342">
          <cell r="A342">
            <v>51027</v>
          </cell>
          <cell r="B342" t="str">
            <v>[effect:change_block, new_block:block_green, target:block_yellow, count:10, val:0.1, animation:change_block]</v>
          </cell>
          <cell r="C342">
            <v>3</v>
          </cell>
          <cell r="D342" t="str">
            <v>ja</v>
          </cell>
          <cell r="E342" t="str">
            <v>よかったら…これ…</v>
          </cell>
        </row>
        <row r="343">
          <cell r="A343">
            <v>51028</v>
          </cell>
          <cell r="B343" t="str">
            <v>[effect:change_block, new_block:time_bomb, target:block_all, count:5, val:0.4, animation:change_block],[effect:enemy_counter, target:myself,invoke_condition:unit_all,counter_target:attacker,turn:2,val:2.0,animation:enemy_counter]</v>
          </cell>
          <cell r="C343">
            <v>3</v>
          </cell>
          <cell r="D343" t="str">
            <v>ja</v>
          </cell>
          <cell r="E343" t="str">
            <v>受け取ってほしいな♪</v>
          </cell>
        </row>
        <row r="344">
          <cell r="A344">
            <v>51029</v>
          </cell>
          <cell r="B344" t="str">
            <v>[effect:change_block, new_block:time_bomb, target:block_all, count:5, val:0.3, animation:change_block]</v>
          </cell>
          <cell r="C344">
            <v>3</v>
          </cell>
          <cell r="D344" t="str">
            <v>ja</v>
          </cell>
          <cell r="E344" t="str">
            <v>受け取ってほしいなっ</v>
          </cell>
        </row>
        <row r="345">
          <cell r="A345">
            <v>510029</v>
          </cell>
          <cell r="B345" t="str">
            <v>[effect:change_block, new_block:block_heart, target:block_all, count:6, val:0.1, animation:change_block]</v>
          </cell>
          <cell r="C345">
            <v>3</v>
          </cell>
          <cell r="D345" t="str">
            <v>ja</v>
          </cell>
          <cell r="E345" t="str">
            <v>応急処置セット</v>
          </cell>
        </row>
        <row r="346">
          <cell r="A346">
            <v>510030</v>
          </cell>
          <cell r="B346" t="str">
            <v>[effect:change_block, new_block:block_heart, target:block_red, count:10, val:0.1, animation:change_block]</v>
          </cell>
          <cell r="C346">
            <v>3</v>
          </cell>
          <cell r="D346" t="str">
            <v>ja</v>
          </cell>
          <cell r="E346" t="str">
            <v>おっ、よく来たね！</v>
          </cell>
        </row>
        <row r="347">
          <cell r="A347">
            <v>510031</v>
          </cell>
          <cell r="B347" t="str">
            <v>[effect:change_block, new_block:block_heart, target:block_red, count:3, val:0.2, animation:change_block]</v>
          </cell>
          <cell r="C347">
            <v>3</v>
          </cell>
          <cell r="D347" t="str">
            <v>ja</v>
          </cell>
          <cell r="E347" t="str">
            <v>楽しんでるか？</v>
          </cell>
        </row>
        <row r="348">
          <cell r="A348">
            <v>500025</v>
          </cell>
          <cell r="B348" t="str">
            <v>[effect:change_block, new_block:time_bomb, target:block_all, count:3, val:0.3, animation:change_block]</v>
          </cell>
          <cell r="C348">
            <v>3</v>
          </cell>
          <cell r="D348" t="str">
            <v>ja</v>
          </cell>
          <cell r="E348" t="str">
            <v>コメットシャワー</v>
          </cell>
        </row>
        <row r="349">
          <cell r="A349">
            <v>500026</v>
          </cell>
          <cell r="B349" t="str">
            <v>[effect:change_block, new_block:time_bomb, target:block_green, count:0, val:0.5, animation:change_block],[effect:rush, count:3, val:0.2]</v>
          </cell>
          <cell r="C349">
            <v>3</v>
          </cell>
          <cell r="D349" t="str">
            <v>ja</v>
          </cell>
          <cell r="E349" t="str">
            <v>コメットレイン</v>
          </cell>
        </row>
        <row r="350">
          <cell r="A350">
            <v>500027</v>
          </cell>
          <cell r="B350" t="str">
            <v>[effect:change_block, new_block:jammer, target:block_all, count:5, val:0.1, animation:change_block],[effect:virus, turn:2, rate:1.0, val:0.10, animation:enemy_virus]</v>
          </cell>
          <cell r="C350">
            <v>3</v>
          </cell>
          <cell r="D350" t="str">
            <v>ja</v>
          </cell>
          <cell r="E350" t="str">
            <v>陽炎</v>
          </cell>
        </row>
        <row r="351">
          <cell r="A351">
            <v>500028</v>
          </cell>
          <cell r="B351" t="str">
            <v>[effect:change_block, new_block:time_bomb, target:block_all, count:3, val:0.4, animation:change_block],[effect:rush, count:1, val:0.4]</v>
          </cell>
          <cell r="C351">
            <v>3</v>
          </cell>
          <cell r="D351" t="str">
            <v>ja</v>
          </cell>
          <cell r="E351" t="str">
            <v>アタシのタマゴだよ！</v>
          </cell>
        </row>
        <row r="352">
          <cell r="A352">
            <v>500029</v>
          </cell>
          <cell r="B352" t="str">
            <v>[effect:change_block, new_block:jammer, target:block_all, count:6, val:0.1, animation:change_block]</v>
          </cell>
          <cell r="C352">
            <v>3</v>
          </cell>
          <cell r="D352" t="str">
            <v>ja</v>
          </cell>
          <cell r="E352" t="str">
            <v>イブと遊ぼ？</v>
          </cell>
        </row>
        <row r="353">
          <cell r="A353">
            <v>520001</v>
          </cell>
          <cell r="B353" t="str">
            <v>[effect:dis_panel, target:block_green, turn:1, animation:enemy_dis_green],[effect:rush, count:1, val:0.5]</v>
          </cell>
          <cell r="C353">
            <v>3</v>
          </cell>
          <cell r="D353" t="str">
            <v>ja</v>
          </cell>
          <cell r="E353" t="str">
            <v>グリーン・スポイル</v>
          </cell>
        </row>
        <row r="354">
          <cell r="A354">
            <v>520002</v>
          </cell>
          <cell r="B354" t="str">
            <v>[effect:dis_panel, target:block_blue, turn:5],[effect:rush, count:3, val:0.4]</v>
          </cell>
          <cell r="C354">
            <v>3</v>
          </cell>
          <cell r="D354" t="str">
            <v>ja</v>
          </cell>
          <cell r="E354" t="str">
            <v>蒼を撃ち抜く弾丸</v>
          </cell>
        </row>
        <row r="355">
          <cell r="A355">
            <v>520003</v>
          </cell>
          <cell r="B355" t="str">
            <v>[effect:dis_panel, target:block_green, turn:4, animation:enemy_dis_green],[effect:rush, count:1, val:1.0]</v>
          </cell>
          <cell r="C355">
            <v>3</v>
          </cell>
          <cell r="D355" t="str">
            <v>ja</v>
          </cell>
          <cell r="E355" t="str">
            <v>緑を刈り奪る大鎌</v>
          </cell>
        </row>
        <row r="356">
          <cell r="A356">
            <v>520004</v>
          </cell>
          <cell r="B356" t="str">
            <v>[effect:dis_panel, target:block_red, turn:2, animation:enemy_dis_red]</v>
          </cell>
          <cell r="C356">
            <v>3</v>
          </cell>
          <cell r="D356" t="str">
            <v>ja</v>
          </cell>
          <cell r="E356" t="str">
            <v>ディスレッド</v>
          </cell>
        </row>
        <row r="357">
          <cell r="A357">
            <v>520005</v>
          </cell>
          <cell r="B357" t="str">
            <v>[effect:dis_panel, target:block_green, turn:2, animation:enemy_dis_green]</v>
          </cell>
          <cell r="C357">
            <v>3</v>
          </cell>
          <cell r="D357" t="str">
            <v>ja</v>
          </cell>
          <cell r="E357" t="str">
            <v>ディスグリーン</v>
          </cell>
        </row>
        <row r="358">
          <cell r="A358">
            <v>520006</v>
          </cell>
          <cell r="B358" t="str">
            <v>[effect:dis_panel, target:block_blue, turn:2, animation:enemy_dis_blue]</v>
          </cell>
          <cell r="C358">
            <v>3</v>
          </cell>
          <cell r="D358" t="str">
            <v>ja</v>
          </cell>
          <cell r="E358" t="str">
            <v>ディスブルー</v>
          </cell>
        </row>
        <row r="359">
          <cell r="A359">
            <v>520007</v>
          </cell>
          <cell r="B359" t="str">
            <v>[effect:dis_panel, target:block_yellow, turn:2, animation:enemy_dis_yellow]</v>
          </cell>
          <cell r="C359">
            <v>3</v>
          </cell>
          <cell r="D359" t="str">
            <v>ja</v>
          </cell>
          <cell r="E359" t="str">
            <v>ディスイエロー</v>
          </cell>
        </row>
        <row r="360">
          <cell r="A360">
            <v>520008</v>
          </cell>
          <cell r="B360" t="str">
            <v>[effect:dis_panel, target:block_red, turn:3, animation:enemy_dis_red]</v>
          </cell>
          <cell r="C360">
            <v>3</v>
          </cell>
          <cell r="D360" t="str">
            <v>ja</v>
          </cell>
          <cell r="E360" t="str">
            <v>ルージュキャンセリング</v>
          </cell>
        </row>
        <row r="361">
          <cell r="A361">
            <v>520009</v>
          </cell>
          <cell r="B361" t="str">
            <v>[effect:dis_panel, target:block_green, turn:3, animation:enemy_dis_green],[effect:hungup, target:unit_all, turn:3, rate:1.0, animation:enemy_hungup]</v>
          </cell>
          <cell r="C361">
            <v>3</v>
          </cell>
          <cell r="D361" t="str">
            <v>ja</v>
          </cell>
          <cell r="E361" t="str">
            <v>EMP</v>
          </cell>
        </row>
        <row r="362">
          <cell r="A362">
            <v>520010</v>
          </cell>
          <cell r="B362" t="str">
            <v>[effect:dis_heart, turn:5, rate:1.0, animation:enemy_dis_heart],[effect:rush, count:1, val:0.5]</v>
          </cell>
          <cell r="C362">
            <v>3</v>
          </cell>
          <cell r="D362" t="str">
            <v>ja</v>
          </cell>
          <cell r="E362" t="str">
            <v>ハート・スポイル</v>
          </cell>
        </row>
        <row r="363">
          <cell r="A363">
            <v>520012</v>
          </cell>
          <cell r="B363" t="str">
            <v>[effect:dis_heart, turn:5, rate:1.0, animation:enemy_dis_red],[effect:rush, count:1, val:0.5]</v>
          </cell>
          <cell r="C363">
            <v>1</v>
          </cell>
          <cell r="D363" t="str">
            <v>ja</v>
          </cell>
          <cell r="E363" t="str">
            <v>ジャンヌ赤</v>
          </cell>
        </row>
        <row r="364">
          <cell r="A364">
            <v>520013</v>
          </cell>
          <cell r="B364" t="str">
            <v>[effect:dis_heart, turn:5, rate:1.0, animation:enemy_dis_yellow],[effect:rush, count:1, val:0.5]</v>
          </cell>
          <cell r="C364">
            <v>1</v>
          </cell>
          <cell r="D364" t="str">
            <v>ja</v>
          </cell>
          <cell r="E364" t="str">
            <v>ジャンヌ黄</v>
          </cell>
        </row>
        <row r="365">
          <cell r="A365">
            <v>520014</v>
          </cell>
          <cell r="B365" t="str">
            <v>[effect:dis_heart, turn:5, rate:1.0, animation:enemy_dis_green],[effect:rush, count:1, val:0.5]</v>
          </cell>
          <cell r="C365">
            <v>1</v>
          </cell>
          <cell r="D365" t="str">
            <v>ja</v>
          </cell>
          <cell r="E365" t="str">
            <v>ジャンヌ緑</v>
          </cell>
        </row>
        <row r="366">
          <cell r="A366">
            <v>520015</v>
          </cell>
          <cell r="B366" t="str">
            <v>[effect:dis_heart, turn:5, rate:1.0, animation:enemy_dis_blue],[effect:rush, count:1, val:0.5]</v>
          </cell>
          <cell r="C366">
            <v>1</v>
          </cell>
          <cell r="D366" t="str">
            <v>ja</v>
          </cell>
          <cell r="E366" t="str">
            <v>ジャンヌ青</v>
          </cell>
        </row>
        <row r="367">
          <cell r="A367">
            <v>530001</v>
          </cell>
          <cell r="B367" t="str">
            <v>[effect:tolerance,target:myself, turn:-1, tolerance_effect:all, count:-1]</v>
          </cell>
          <cell r="C367">
            <v>3</v>
          </cell>
          <cell r="D367" t="str">
            <v>ja</v>
          </cell>
          <cell r="E367" t="str">
            <v>鋼鉄の胃袋</v>
          </cell>
        </row>
        <row r="368">
          <cell r="A368">
            <v>530002</v>
          </cell>
          <cell r="B368" t="str">
            <v>[effect:tolerance,target:myself,turn:-1,tolerance_effect:all,count:-1,animation:enemy_tolerance]</v>
          </cell>
          <cell r="C368">
            <v>3</v>
          </cell>
          <cell r="D368" t="str">
            <v>ja</v>
          </cell>
          <cell r="E368" t="str">
            <v>天使のカーテン</v>
          </cell>
        </row>
        <row r="369">
          <cell r="A369">
            <v>540001</v>
          </cell>
          <cell r="B369" t="str">
            <v>[effect:degrade_unit, target:unit_all, turn:3, status:action, val:1.0,animation:enemy_tap_down]</v>
          </cell>
          <cell r="C369">
            <v>3</v>
          </cell>
          <cell r="D369" t="str">
            <v>ja</v>
          </cell>
          <cell r="E369" t="str">
            <v>デコイ</v>
          </cell>
        </row>
        <row r="370">
          <cell r="A370">
            <v>540002</v>
          </cell>
          <cell r="B370" t="str">
            <v>[effect:degrade_unit, target:unit_all, turn:3, status:action, val:1.0,animation:enemy_tap_down],[effect:freq_turn, target:enemy_all, turn:2, val:1, animation:enemy_freq_turn]</v>
          </cell>
          <cell r="C370">
            <v>3</v>
          </cell>
          <cell r="D370" t="str">
            <v>ja</v>
          </cell>
          <cell r="E370" t="str">
            <v>フレア</v>
          </cell>
        </row>
        <row r="371">
          <cell r="A371">
            <v>540003</v>
          </cell>
          <cell r="B371" t="str">
            <v>[effect:time_limit,count:5,turn:3,animation:enemy_time_limit]</v>
          </cell>
          <cell r="C371">
            <v>1</v>
          </cell>
          <cell r="D371" t="str">
            <v>ja</v>
          </cell>
          <cell r="E371" t="str">
            <v>タップ時間制限（仮）</v>
          </cell>
        </row>
        <row r="372">
          <cell r="A372">
            <v>540004</v>
          </cell>
          <cell r="B372" t="str">
            <v>[effect:time_limit,count:5,turn:3,animation:enemy_time_limit]</v>
          </cell>
          <cell r="C372">
            <v>1</v>
          </cell>
          <cell r="D372" t="str">
            <v>ja</v>
          </cell>
          <cell r="E372" t="str">
            <v>プレッシャー</v>
          </cell>
        </row>
        <row r="373">
          <cell r="A373">
            <v>540005</v>
          </cell>
          <cell r="B373" t="str">
            <v>[effect:time_limit,count:4,turn:-1,animation:enemy_time_limit]</v>
          </cell>
          <cell r="C373">
            <v>3</v>
          </cell>
          <cell r="D373" t="str">
            <v>ja</v>
          </cell>
          <cell r="E373" t="str">
            <v>カウントダウン</v>
          </cell>
        </row>
        <row r="374">
          <cell r="A374">
            <v>540007</v>
          </cell>
          <cell r="B374" t="str">
            <v>[effect:degrade_unit, target:unit_all, turn:3, status:action, val:1.0,animation:enemy_tap_down],[effect:rush, count:1, val:0.5]</v>
          </cell>
          <cell r="C374">
            <v>3</v>
          </cell>
          <cell r="D374" t="str">
            <v>ja</v>
          </cell>
          <cell r="E374" t="str">
            <v>ディスアーム</v>
          </cell>
        </row>
        <row r="375">
          <cell r="A375">
            <v>540008</v>
          </cell>
          <cell r="B375" t="str">
            <v>[effect:time_limit,count:8,turn:-1,animation:enemy_time_limit]</v>
          </cell>
          <cell r="C375">
            <v>3</v>
          </cell>
          <cell r="D375" t="str">
            <v>ja</v>
          </cell>
          <cell r="E375" t="str">
            <v>ここは潮の流れが速いよ！</v>
          </cell>
        </row>
        <row r="376">
          <cell r="A376">
            <v>540009</v>
          </cell>
          <cell r="B376" t="str">
            <v>[effect:degrade_unit, target:unit_all, turn:3, status:action, val:1.0]</v>
          </cell>
          <cell r="C376">
            <v>3</v>
          </cell>
          <cell r="D376" t="str">
            <v>ja</v>
          </cell>
          <cell r="E376" t="str">
            <v>アームブレイク</v>
          </cell>
        </row>
        <row r="377">
          <cell r="A377">
            <v>540010</v>
          </cell>
          <cell r="B377" t="str">
            <v>[effect:degrade_unit, target:unit_all, turn:3, status:action, val:1.0,animation:enemy_tap_down],[effect:change_block, new_block:jammer, target:block_all, count:5, val:0.1, animation:change_block]</v>
          </cell>
          <cell r="C377">
            <v>3</v>
          </cell>
          <cell r="D377" t="str">
            <v>ja</v>
          </cell>
          <cell r="E377" t="str">
            <v>動を阻む鎖</v>
          </cell>
        </row>
        <row r="378">
          <cell r="A378">
            <v>540011</v>
          </cell>
          <cell r="B378" t="str">
            <v>[effect:degrade_unit, target:unit_all, turn:3, status:action, val:1.0,animation:enemy_tap_down],[effect:rush, count:1, val:0.5]</v>
          </cell>
          <cell r="C378">
            <v>1</v>
          </cell>
          <cell r="D378" t="str">
            <v>ja</v>
          </cell>
          <cell r="E378" t="str">
            <v>ジャンヌ仮タップ</v>
          </cell>
        </row>
        <row r="379">
          <cell r="A379">
            <v>550001</v>
          </cell>
          <cell r="B379" t="str">
            <v>[effect:dark, turn:4,target:unit_all,animation:enemy_dark]</v>
          </cell>
          <cell r="C379">
            <v>3</v>
          </cell>
          <cell r="D379" t="str">
            <v>ja</v>
          </cell>
          <cell r="E379" t="str">
            <v>サディスティックステージ</v>
          </cell>
        </row>
        <row r="380">
          <cell r="A380">
            <v>550002</v>
          </cell>
          <cell r="B380" t="str">
            <v>[effect:dark, turn:1,target:unit_all]</v>
          </cell>
          <cell r="C380">
            <v>3</v>
          </cell>
          <cell r="D380" t="str">
            <v>ja</v>
          </cell>
          <cell r="E380" t="str">
            <v>触手姫の口づけ</v>
          </cell>
        </row>
        <row r="381">
          <cell r="A381">
            <v>550003</v>
          </cell>
          <cell r="B381" t="str">
            <v>[effect:dark, turn:4,target:unit_all,animation:enemy_dark]</v>
          </cell>
          <cell r="C381">
            <v>3</v>
          </cell>
          <cell r="D381" t="str">
            <v>ja</v>
          </cell>
          <cell r="E381" t="str">
            <v>ブラインドネス</v>
          </cell>
        </row>
        <row r="382">
          <cell r="A382">
            <v>550004</v>
          </cell>
          <cell r="B382" t="str">
            <v>[effect:dark, turn:2,target:unit_all,animation:enemy_dark]</v>
          </cell>
          <cell r="C382">
            <v>3</v>
          </cell>
          <cell r="D382" t="str">
            <v>ja</v>
          </cell>
          <cell r="E382" t="str">
            <v>マヨビーム</v>
          </cell>
        </row>
        <row r="383">
          <cell r="A383">
            <v>550005</v>
          </cell>
          <cell r="B383" t="str">
            <v>[effect:dark, turn:6,target:unit_all,animation:enemy_dark]</v>
          </cell>
          <cell r="C383">
            <v>3</v>
          </cell>
          <cell r="D383" t="str">
            <v>ja</v>
          </cell>
          <cell r="E383" t="str">
            <v>常世の闇に彷徨うがいい</v>
          </cell>
        </row>
      </sheetData>
      <sheetData sheetId="4"/>
      <sheetData sheetId="5">
        <row r="1"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</row>
        <row r="2">
          <cell r="B2">
            <v>0</v>
          </cell>
          <cell r="C2">
            <v>0</v>
          </cell>
          <cell r="D2" t="str">
            <v>なし</v>
          </cell>
          <cell r="E2" t="str">
            <v>なし</v>
          </cell>
        </row>
        <row r="3">
          <cell r="B3">
            <v>1001</v>
          </cell>
          <cell r="C3">
            <v>100001</v>
          </cell>
          <cell r="D3" t="str">
            <v>視線</v>
          </cell>
          <cell r="E3" t="str">
            <v>じっとこちらを見ている</v>
          </cell>
        </row>
        <row r="4">
          <cell r="B4">
            <v>28</v>
          </cell>
          <cell r="C4">
            <v>300002</v>
          </cell>
          <cell r="D4" t="str">
            <v>ヒール</v>
          </cell>
          <cell r="E4" t="str">
            <v>回復</v>
          </cell>
        </row>
        <row r="5">
          <cell r="B5">
            <v>30</v>
          </cell>
          <cell r="C5">
            <v>300002</v>
          </cell>
          <cell r="D5" t="str">
            <v>ヒール</v>
          </cell>
          <cell r="E5" t="str">
            <v>回復</v>
          </cell>
        </row>
        <row r="6">
          <cell r="B6">
            <v>33</v>
          </cell>
          <cell r="C6">
            <v>200002</v>
          </cell>
          <cell r="D6" t="str">
            <v>リラックス</v>
          </cell>
          <cell r="E6" t="str">
            <v>次のターン強力な攻撃</v>
          </cell>
        </row>
        <row r="7">
          <cell r="B7">
            <v>34</v>
          </cell>
          <cell r="C7">
            <v>200002</v>
          </cell>
          <cell r="D7" t="str">
            <v>リラックス</v>
          </cell>
          <cell r="E7" t="str">
            <v>次のターン強力な攻撃</v>
          </cell>
        </row>
        <row r="8">
          <cell r="B8">
            <v>35</v>
          </cell>
          <cell r="C8">
            <v>100002</v>
          </cell>
          <cell r="D8" t="str">
            <v>コンニチワ</v>
          </cell>
          <cell r="E8" t="str">
            <v>じっとこちらを見ている</v>
          </cell>
        </row>
        <row r="9">
          <cell r="B9">
            <v>35</v>
          </cell>
          <cell r="C9">
            <v>240001</v>
          </cell>
          <cell r="D9" t="str">
            <v>自爆</v>
          </cell>
          <cell r="E9" t="str">
            <v>攻撃力3倍の自爆攻撃を全体に行う</v>
          </cell>
        </row>
        <row r="10">
          <cell r="B10">
            <v>3501</v>
          </cell>
          <cell r="C10">
            <v>100031</v>
          </cell>
          <cell r="D10" t="str">
            <v>侵入者…排除…</v>
          </cell>
          <cell r="E10" t="str">
            <v>F2の全身が赤く明滅している！</v>
          </cell>
        </row>
        <row r="11">
          <cell r="B11">
            <v>3501</v>
          </cell>
          <cell r="C11">
            <v>240001</v>
          </cell>
          <cell r="D11" t="str">
            <v>自爆</v>
          </cell>
          <cell r="E11" t="str">
            <v>攻撃力3倍の自爆攻撃を全体に行う</v>
          </cell>
        </row>
        <row r="12">
          <cell r="B12">
            <v>36</v>
          </cell>
          <cell r="C12">
            <v>100011</v>
          </cell>
          <cell r="D12" t="str">
            <v>コ4ン8ニ・・チワ9</v>
          </cell>
          <cell r="E12" t="str">
            <v>何やら様子がおかしい！</v>
          </cell>
        </row>
        <row r="13">
          <cell r="B13">
            <v>36</v>
          </cell>
          <cell r="C13">
            <v>240002</v>
          </cell>
          <cell r="D13" t="str">
            <v>自爆</v>
          </cell>
          <cell r="E13" t="str">
            <v>攻撃力10倍の自爆攻撃を全体に行う</v>
          </cell>
        </row>
        <row r="14">
          <cell r="B14">
            <v>3601</v>
          </cell>
          <cell r="C14">
            <v>100011</v>
          </cell>
          <cell r="D14" t="str">
            <v>コ4ン8ニ・・チワ9</v>
          </cell>
          <cell r="E14" t="str">
            <v>何やら様子がおかしい！</v>
          </cell>
        </row>
        <row r="15">
          <cell r="B15">
            <v>3601</v>
          </cell>
          <cell r="C15">
            <v>240011</v>
          </cell>
          <cell r="D15" t="str">
            <v>進撃の花火</v>
          </cell>
          <cell r="E15" t="str">
            <v>自爆+敵の攻撃力がアップ</v>
          </cell>
        </row>
        <row r="16">
          <cell r="B16">
            <v>37</v>
          </cell>
          <cell r="C16">
            <v>100003</v>
          </cell>
          <cell r="D16" t="str">
            <v>ご質問をどうぞ</v>
          </cell>
          <cell r="E16" t="str">
            <v>じっとこちらを見ている</v>
          </cell>
        </row>
        <row r="17">
          <cell r="B17">
            <v>37</v>
          </cell>
          <cell r="C17">
            <v>210010</v>
          </cell>
          <cell r="D17" t="str">
            <v>お前を消す方法</v>
          </cell>
          <cell r="E17" t="str">
            <v>攻撃力×1.5倍の攻撃</v>
          </cell>
        </row>
        <row r="18">
          <cell r="B18">
            <v>38</v>
          </cell>
          <cell r="C18">
            <v>100003</v>
          </cell>
          <cell r="D18" t="str">
            <v>ご質問をどうぞ</v>
          </cell>
          <cell r="E18" t="str">
            <v>じっとこちらを見ている</v>
          </cell>
        </row>
        <row r="19">
          <cell r="B19">
            <v>38</v>
          </cell>
          <cell r="C19">
            <v>210010</v>
          </cell>
          <cell r="D19" t="str">
            <v>お前を消す方法</v>
          </cell>
          <cell r="E19" t="str">
            <v>攻撃力×1.5倍の攻撃</v>
          </cell>
        </row>
        <row r="20">
          <cell r="B20">
            <v>39</v>
          </cell>
          <cell r="C20">
            <v>330002</v>
          </cell>
          <cell r="D20" t="str">
            <v>デジタルマジック</v>
          </cell>
          <cell r="E20" t="str">
            <v>3ターンスキルが使えない！</v>
          </cell>
        </row>
        <row r="21">
          <cell r="B21">
            <v>40</v>
          </cell>
          <cell r="C21">
            <v>330002</v>
          </cell>
          <cell r="D21" t="str">
            <v>デジタルマジック</v>
          </cell>
          <cell r="E21" t="str">
            <v>3ターンスキルが使えない！</v>
          </cell>
        </row>
        <row r="22">
          <cell r="B22">
            <v>42</v>
          </cell>
          <cell r="C22">
            <v>210004</v>
          </cell>
          <cell r="D22" t="str">
            <v>タックル</v>
          </cell>
          <cell r="E22" t="str">
            <v>攻撃力×1.5倍の攻撃</v>
          </cell>
        </row>
        <row r="23">
          <cell r="B23">
            <v>4401</v>
          </cell>
          <cell r="C23">
            <v>410017</v>
          </cell>
          <cell r="D23" t="str">
            <v>野生の本能</v>
          </cell>
          <cell r="E23" t="str">
            <v>解除するまで攻撃力UP</v>
          </cell>
        </row>
        <row r="24">
          <cell r="B24">
            <v>4402</v>
          </cell>
          <cell r="C24">
            <v>400023</v>
          </cell>
          <cell r="D24" t="str">
            <v>疾走する本能</v>
          </cell>
          <cell r="E24" t="str">
            <v>この戦闘の間攻撃頻度が1ターンにUP</v>
          </cell>
        </row>
        <row r="25">
          <cell r="B25">
            <v>46</v>
          </cell>
          <cell r="C25">
            <v>400003</v>
          </cell>
          <cell r="D25" t="str">
            <v>速筆</v>
          </cell>
          <cell r="E25" t="str">
            <v>4ターン攻撃頻度が1ターンにUP</v>
          </cell>
        </row>
        <row r="26">
          <cell r="B26">
            <v>49</v>
          </cell>
          <cell r="C26">
            <v>320001</v>
          </cell>
          <cell r="D26" t="str">
            <v>即効性ウィルス</v>
          </cell>
          <cell r="E26" t="str">
            <v>3ターンの間ダメージを受ける</v>
          </cell>
        </row>
        <row r="27">
          <cell r="B27">
            <v>50</v>
          </cell>
          <cell r="C27">
            <v>320005</v>
          </cell>
          <cell r="D27" t="str">
            <v>超即効性ウィルス</v>
          </cell>
          <cell r="E27" t="str">
            <v>5ターンの間ダメージを受ける</v>
          </cell>
        </row>
        <row r="28">
          <cell r="B28">
            <v>51</v>
          </cell>
          <cell r="C28">
            <v>200001</v>
          </cell>
          <cell r="D28" t="str">
            <v>一点集中</v>
          </cell>
          <cell r="E28" t="str">
            <v>次のターン強力な攻撃</v>
          </cell>
        </row>
        <row r="29">
          <cell r="B29">
            <v>53</v>
          </cell>
          <cell r="C29">
            <v>340001</v>
          </cell>
          <cell r="D29" t="str">
            <v>睡眠薬</v>
          </cell>
          <cell r="E29" t="str">
            <v>効いてしまうと２ターン行動できない</v>
          </cell>
        </row>
        <row r="30">
          <cell r="B30">
            <v>5401</v>
          </cell>
          <cell r="C30">
            <v>200015</v>
          </cell>
          <cell r="D30" t="str">
            <v>蒼斬刀</v>
          </cell>
          <cell r="E30" t="str">
            <v>次のターン強力な攻撃</v>
          </cell>
        </row>
        <row r="31">
          <cell r="B31">
            <v>55</v>
          </cell>
          <cell r="C31">
            <v>330001</v>
          </cell>
          <cell r="D31" t="str">
            <v>ハングアップ</v>
          </cell>
          <cell r="E31" t="str">
            <v>2ターンスキルが使えない！</v>
          </cell>
        </row>
        <row r="32">
          <cell r="B32">
            <v>56</v>
          </cell>
          <cell r="C32">
            <v>330003</v>
          </cell>
          <cell r="D32" t="str">
            <v>ハイ・ハングアップ</v>
          </cell>
          <cell r="E32" t="str">
            <v>4ターンスキルが使えない！</v>
          </cell>
        </row>
        <row r="33">
          <cell r="B33">
            <v>57</v>
          </cell>
          <cell r="C33">
            <v>410001</v>
          </cell>
          <cell r="D33" t="str">
            <v>火酒</v>
          </cell>
          <cell r="E33" t="str">
            <v>3ターン攻撃力小UP</v>
          </cell>
        </row>
        <row r="34">
          <cell r="B34">
            <v>59</v>
          </cell>
          <cell r="C34">
            <v>300001</v>
          </cell>
          <cell r="D34" t="str">
            <v>ヒール</v>
          </cell>
          <cell r="E34" t="str">
            <v>回復</v>
          </cell>
        </row>
        <row r="35">
          <cell r="B35">
            <v>6001</v>
          </cell>
          <cell r="C35">
            <v>300002</v>
          </cell>
          <cell r="D35" t="str">
            <v>ヒール</v>
          </cell>
          <cell r="E35" t="str">
            <v>回復</v>
          </cell>
        </row>
        <row r="36">
          <cell r="B36">
            <v>61</v>
          </cell>
          <cell r="C36">
            <v>300001</v>
          </cell>
          <cell r="D36" t="str">
            <v>ヒール</v>
          </cell>
          <cell r="E36" t="str">
            <v>回復</v>
          </cell>
        </row>
        <row r="37">
          <cell r="B37">
            <v>62</v>
          </cell>
          <cell r="C37">
            <v>300001</v>
          </cell>
          <cell r="D37" t="str">
            <v>ヒール</v>
          </cell>
          <cell r="E37" t="str">
            <v>回復</v>
          </cell>
        </row>
        <row r="38">
          <cell r="B38">
            <v>6201</v>
          </cell>
          <cell r="C38">
            <v>510025</v>
          </cell>
          <cell r="D38" t="str">
            <v>不協和音</v>
          </cell>
          <cell r="E38" t="str">
            <v>お邪魔パネル出現</v>
          </cell>
        </row>
        <row r="39">
          <cell r="B39">
            <v>63</v>
          </cell>
          <cell r="C39">
            <v>220001</v>
          </cell>
          <cell r="D39" t="str">
            <v>スピードスター</v>
          </cell>
          <cell r="E39" t="str">
            <v>2回連続攻撃</v>
          </cell>
        </row>
        <row r="40">
          <cell r="B40">
            <v>64</v>
          </cell>
          <cell r="C40">
            <v>220001</v>
          </cell>
          <cell r="D40" t="str">
            <v>スピードスター</v>
          </cell>
          <cell r="E40" t="str">
            <v>2回連続攻撃</v>
          </cell>
        </row>
        <row r="41">
          <cell r="B41">
            <v>65</v>
          </cell>
          <cell r="C41">
            <v>220004</v>
          </cell>
          <cell r="D41" t="str">
            <v>エクスプローラーキラー</v>
          </cell>
          <cell r="E41" t="str">
            <v>3回連続攻撃</v>
          </cell>
        </row>
        <row r="42">
          <cell r="B42">
            <v>66</v>
          </cell>
          <cell r="C42">
            <v>220004</v>
          </cell>
          <cell r="D42" t="str">
            <v>エクスプローラーキラー</v>
          </cell>
          <cell r="E42" t="str">
            <v>3回連続攻撃</v>
          </cell>
        </row>
        <row r="43">
          <cell r="B43">
            <v>67</v>
          </cell>
          <cell r="C43">
            <v>220005</v>
          </cell>
          <cell r="D43" t="str">
            <v>ハイ・エクスプローラーキラー</v>
          </cell>
          <cell r="E43" t="str">
            <v>4回連続攻撃</v>
          </cell>
        </row>
        <row r="44">
          <cell r="B44">
            <v>68</v>
          </cell>
          <cell r="C44">
            <v>210004</v>
          </cell>
          <cell r="D44" t="str">
            <v>タックル</v>
          </cell>
          <cell r="E44" t="str">
            <v>攻撃力×1.5倍の攻撃</v>
          </cell>
        </row>
        <row r="45">
          <cell r="B45">
            <v>69</v>
          </cell>
          <cell r="C45">
            <v>210004</v>
          </cell>
          <cell r="D45" t="str">
            <v>タックル</v>
          </cell>
          <cell r="E45" t="str">
            <v>攻撃力×1.5倍の攻撃</v>
          </cell>
        </row>
        <row r="46">
          <cell r="B46">
            <v>71</v>
          </cell>
          <cell r="C46">
            <v>400001</v>
          </cell>
          <cell r="D46" t="str">
            <v>ハイスピードハック</v>
          </cell>
          <cell r="E46" t="str">
            <v>3ターン攻撃頻度が1ターンにUP</v>
          </cell>
        </row>
        <row r="47">
          <cell r="B47">
            <v>1071</v>
          </cell>
          <cell r="C47">
            <v>400005</v>
          </cell>
          <cell r="D47" t="str">
            <v>ハイスピードハック</v>
          </cell>
          <cell r="E47" t="str">
            <v>3ターン攻撃頻度が1ターンにUP</v>
          </cell>
        </row>
        <row r="48">
          <cell r="B48">
            <v>72</v>
          </cell>
          <cell r="C48">
            <v>400002</v>
          </cell>
          <cell r="D48" t="str">
            <v>スーパースピードハック</v>
          </cell>
          <cell r="E48" t="str">
            <v>4ターン攻撃頻度が1ターンにUP</v>
          </cell>
        </row>
        <row r="49">
          <cell r="B49">
            <v>74</v>
          </cell>
          <cell r="C49">
            <v>510001</v>
          </cell>
          <cell r="D49" t="str">
            <v>スパムバースト</v>
          </cell>
          <cell r="E49" t="str">
            <v>少しだけお邪魔パネル出現</v>
          </cell>
        </row>
        <row r="50">
          <cell r="B50">
            <v>75</v>
          </cell>
          <cell r="C50">
            <v>510001</v>
          </cell>
          <cell r="D50" t="str">
            <v>スパムバースト</v>
          </cell>
          <cell r="E50" t="str">
            <v>少しだけお邪魔パネル出現</v>
          </cell>
        </row>
        <row r="51">
          <cell r="B51">
            <v>76</v>
          </cell>
          <cell r="C51">
            <v>510001</v>
          </cell>
          <cell r="D51" t="str">
            <v>スパムバースト</v>
          </cell>
          <cell r="E51" t="str">
            <v>少しだけお邪魔パネル出現</v>
          </cell>
        </row>
        <row r="52">
          <cell r="B52">
            <v>77</v>
          </cell>
          <cell r="C52">
            <v>320004</v>
          </cell>
          <cell r="D52" t="str">
            <v>侵食性ウィルス</v>
          </cell>
          <cell r="E52" t="str">
            <v>5ターンの間ダメージを受ける</v>
          </cell>
        </row>
        <row r="53">
          <cell r="B53">
            <v>79</v>
          </cell>
          <cell r="C53">
            <v>100004</v>
          </cell>
          <cell r="D53" t="str">
            <v>ハッピー！？</v>
          </cell>
          <cell r="E53" t="str">
            <v>とても幸せそうだ</v>
          </cell>
        </row>
        <row r="54">
          <cell r="B54">
            <v>81</v>
          </cell>
          <cell r="C54">
            <v>200005</v>
          </cell>
          <cell r="D54" t="str">
            <v>増幅するチカラ</v>
          </cell>
          <cell r="E54" t="str">
            <v>次のターン強力な攻撃</v>
          </cell>
        </row>
        <row r="55">
          <cell r="B55">
            <v>83</v>
          </cell>
          <cell r="C55">
            <v>220008</v>
          </cell>
          <cell r="D55" t="str">
            <v>超拡散アタック</v>
          </cell>
          <cell r="E55" t="str">
            <v>3回連続攻撃</v>
          </cell>
        </row>
        <row r="56">
          <cell r="B56">
            <v>85</v>
          </cell>
          <cell r="C56">
            <v>320002</v>
          </cell>
          <cell r="D56" t="str">
            <v>地獄の熱気</v>
          </cell>
          <cell r="E56" t="str">
            <v>3ターンの間ダメージを受ける</v>
          </cell>
        </row>
        <row r="57">
          <cell r="B57">
            <v>86</v>
          </cell>
          <cell r="C57">
            <v>320003</v>
          </cell>
          <cell r="D57" t="str">
            <v>煉獄の熱気</v>
          </cell>
          <cell r="E57" t="str">
            <v>5ターンの間ダメージを受ける</v>
          </cell>
        </row>
        <row r="58">
          <cell r="B58">
            <v>8601</v>
          </cell>
          <cell r="C58">
            <v>320003</v>
          </cell>
          <cell r="D58" t="str">
            <v>煉獄の熱気</v>
          </cell>
          <cell r="E58" t="str">
            <v>5ターンの間ダメージを受ける</v>
          </cell>
        </row>
        <row r="59">
          <cell r="B59">
            <v>8602</v>
          </cell>
          <cell r="C59">
            <v>500027</v>
          </cell>
          <cell r="D59" t="str">
            <v>陽炎</v>
          </cell>
          <cell r="E59" t="str">
            <v>お邪魔パネル出現+2ターンの間ダメージを受ける</v>
          </cell>
        </row>
        <row r="60">
          <cell r="B60">
            <v>88</v>
          </cell>
          <cell r="C60">
            <v>200003</v>
          </cell>
          <cell r="D60" t="str">
            <v>玄武の構え</v>
          </cell>
          <cell r="E60" t="str">
            <v>次のターン強力な攻撃</v>
          </cell>
        </row>
        <row r="61">
          <cell r="B61">
            <v>89</v>
          </cell>
          <cell r="C61">
            <v>230001</v>
          </cell>
          <cell r="D61" t="str">
            <v>連打</v>
          </cell>
          <cell r="E61" t="str">
            <v>全体攻撃</v>
          </cell>
        </row>
        <row r="62">
          <cell r="B62">
            <v>8901</v>
          </cell>
          <cell r="C62">
            <v>230023</v>
          </cell>
          <cell r="D62" t="str">
            <v>甲撃</v>
          </cell>
          <cell r="E62" t="str">
            <v>全体攻撃</v>
          </cell>
        </row>
        <row r="63">
          <cell r="B63">
            <v>8902</v>
          </cell>
          <cell r="C63">
            <v>420011</v>
          </cell>
          <cell r="D63" t="str">
            <v>大地の怒り</v>
          </cell>
          <cell r="E63" t="str">
            <v>1ターンの間防御力超絶UP＋攻撃</v>
          </cell>
        </row>
        <row r="64">
          <cell r="B64">
            <v>8902</v>
          </cell>
          <cell r="C64">
            <v>230023</v>
          </cell>
          <cell r="D64" t="str">
            <v>甲撃</v>
          </cell>
          <cell r="E64" t="str">
            <v>全体攻撃</v>
          </cell>
        </row>
        <row r="65">
          <cell r="B65">
            <v>9501</v>
          </cell>
          <cell r="C65">
            <v>250007</v>
          </cell>
          <cell r="D65" t="str">
            <v>ドラゴンキラー</v>
          </cell>
          <cell r="E65" t="str">
            <v>種族ドラゴンのユニットに大ダメージ</v>
          </cell>
        </row>
        <row r="66">
          <cell r="B66">
            <v>11701</v>
          </cell>
          <cell r="C66">
            <v>100008</v>
          </cell>
          <cell r="D66" t="str">
            <v>リンゴ警報！</v>
          </cell>
          <cell r="E66" t="str">
            <v>ゴールドカジノの果実たちはターン0になると自爆する！</v>
          </cell>
        </row>
        <row r="67">
          <cell r="B67">
            <v>11701</v>
          </cell>
          <cell r="C67">
            <v>240002</v>
          </cell>
          <cell r="D67" t="str">
            <v>自爆</v>
          </cell>
          <cell r="E67" t="str">
            <v>攻撃力10倍の自爆攻撃を全体に行う</v>
          </cell>
        </row>
        <row r="68">
          <cell r="B68">
            <v>11702</v>
          </cell>
          <cell r="C68">
            <v>240003</v>
          </cell>
          <cell r="D68" t="str">
            <v>ピヨボム</v>
          </cell>
          <cell r="E68" t="str">
            <v>攻撃力10倍の自爆攻撃！</v>
          </cell>
        </row>
        <row r="69">
          <cell r="B69">
            <v>11703</v>
          </cell>
          <cell r="C69">
            <v>240003</v>
          </cell>
          <cell r="D69" t="str">
            <v>ピヨボム</v>
          </cell>
          <cell r="E69" t="str">
            <v>攻撃力10倍の自爆攻撃！</v>
          </cell>
        </row>
        <row r="70">
          <cell r="B70">
            <v>11704</v>
          </cell>
          <cell r="C70">
            <v>240003</v>
          </cell>
          <cell r="D70" t="str">
            <v>ピヨボム</v>
          </cell>
          <cell r="E70" t="str">
            <v>攻撃力10倍の自爆攻撃！</v>
          </cell>
        </row>
        <row r="71">
          <cell r="B71">
            <v>11801</v>
          </cell>
          <cell r="C71">
            <v>240004</v>
          </cell>
          <cell r="D71" t="str">
            <v>でかピヨボム</v>
          </cell>
          <cell r="E71" t="str">
            <v>攻撃力20倍の自爆攻撃！</v>
          </cell>
        </row>
        <row r="72">
          <cell r="B72">
            <v>11802</v>
          </cell>
          <cell r="C72">
            <v>240004</v>
          </cell>
          <cell r="D72" t="str">
            <v>でかピヨボム</v>
          </cell>
          <cell r="E72" t="str">
            <v>攻撃力20倍の自爆攻撃！</v>
          </cell>
        </row>
        <row r="73">
          <cell r="B73">
            <v>11803</v>
          </cell>
          <cell r="C73">
            <v>240004</v>
          </cell>
          <cell r="D73" t="str">
            <v>でかピヨボム</v>
          </cell>
          <cell r="E73" t="str">
            <v>攻撃力20倍の自爆攻撃！</v>
          </cell>
        </row>
        <row r="74">
          <cell r="B74">
            <v>11901</v>
          </cell>
          <cell r="C74">
            <v>240005</v>
          </cell>
          <cell r="D74" t="str">
            <v>ドでかピヨボム</v>
          </cell>
          <cell r="E74" t="str">
            <v>攻撃力30倍の自爆攻撃！</v>
          </cell>
        </row>
        <row r="75">
          <cell r="B75">
            <v>11902</v>
          </cell>
          <cell r="C75">
            <v>240005</v>
          </cell>
          <cell r="D75" t="str">
            <v>ドでかピヨボム</v>
          </cell>
          <cell r="E75" t="str">
            <v>攻撃力30倍の自爆攻撃！</v>
          </cell>
        </row>
        <row r="76">
          <cell r="B76">
            <v>11903</v>
          </cell>
          <cell r="C76">
            <v>240005</v>
          </cell>
          <cell r="D76" t="str">
            <v>ドでかピヨボム</v>
          </cell>
          <cell r="E76" t="str">
            <v>攻撃力30倍の自爆攻撃！</v>
          </cell>
        </row>
        <row r="77">
          <cell r="B77">
            <v>126</v>
          </cell>
          <cell r="C77">
            <v>220002</v>
          </cell>
          <cell r="D77" t="str">
            <v>狂乱打</v>
          </cell>
          <cell r="E77" t="str">
            <v>2回連続攻撃</v>
          </cell>
        </row>
        <row r="78">
          <cell r="B78">
            <v>12701</v>
          </cell>
          <cell r="C78">
            <v>220002</v>
          </cell>
          <cell r="D78" t="str">
            <v>狂乱打</v>
          </cell>
          <cell r="E78" t="str">
            <v>2回連続攻撃</v>
          </cell>
        </row>
        <row r="79">
          <cell r="B79">
            <v>128</v>
          </cell>
          <cell r="C79">
            <v>410007</v>
          </cell>
          <cell r="D79" t="str">
            <v>緑剛の恵み</v>
          </cell>
          <cell r="E79" t="str">
            <v>5ターン攻撃力小UP</v>
          </cell>
        </row>
        <row r="80">
          <cell r="B80">
            <v>12801</v>
          </cell>
          <cell r="C80">
            <v>410014</v>
          </cell>
          <cell r="D80" t="str">
            <v>緑剛の恵み</v>
          </cell>
          <cell r="E80" t="str">
            <v>3ターン攻撃力小UP</v>
          </cell>
        </row>
        <row r="81">
          <cell r="B81">
            <v>130</v>
          </cell>
          <cell r="C81">
            <v>210001</v>
          </cell>
          <cell r="D81" t="str">
            <v>青の剛力</v>
          </cell>
          <cell r="E81" t="str">
            <v>攻撃力×1.5倍の攻撃</v>
          </cell>
        </row>
        <row r="82">
          <cell r="B82">
            <v>13001</v>
          </cell>
          <cell r="C82">
            <v>370001</v>
          </cell>
          <cell r="D82" t="str">
            <v>黄属性カウンター</v>
          </cell>
          <cell r="E82" t="str">
            <v>黄属性ユニットの攻撃を3ターンカウンター</v>
          </cell>
        </row>
        <row r="83">
          <cell r="B83">
            <v>13001</v>
          </cell>
          <cell r="C83">
            <v>210001</v>
          </cell>
          <cell r="D83" t="str">
            <v>青の剛力</v>
          </cell>
          <cell r="E83" t="str">
            <v>攻撃力×1.5倍の攻撃</v>
          </cell>
        </row>
        <row r="84">
          <cell r="B84">
            <v>13002</v>
          </cell>
          <cell r="C84">
            <v>400021</v>
          </cell>
          <cell r="D84" t="str">
            <v>暴走</v>
          </cell>
          <cell r="E84" t="str">
            <v>3ターン攻撃頻度が1ターンにUP</v>
          </cell>
        </row>
        <row r="85">
          <cell r="B85">
            <v>13002</v>
          </cell>
          <cell r="C85">
            <v>370005</v>
          </cell>
          <cell r="D85" t="str">
            <v>黄属性カウンター</v>
          </cell>
          <cell r="E85" t="str">
            <v>黄属性ユニットの攻撃を4ターンカウンター</v>
          </cell>
        </row>
        <row r="86">
          <cell r="B86">
            <v>13002</v>
          </cell>
          <cell r="C86">
            <v>210001</v>
          </cell>
          <cell r="D86" t="str">
            <v>青の剛力</v>
          </cell>
          <cell r="E86" t="str">
            <v>攻撃力×1.5倍の攻撃</v>
          </cell>
        </row>
        <row r="87">
          <cell r="B87">
            <v>13101</v>
          </cell>
          <cell r="C87">
            <v>330008</v>
          </cell>
          <cell r="D87" t="str">
            <v>雷の拳</v>
          </cell>
          <cell r="E87" t="str">
            <v>4ターンスキルが使えない！</v>
          </cell>
        </row>
        <row r="88">
          <cell r="B88">
            <v>13101</v>
          </cell>
          <cell r="C88">
            <v>510022</v>
          </cell>
          <cell r="D88" t="str">
            <v>武術指南</v>
          </cell>
          <cell r="E88" t="str">
            <v>お邪魔パネル出現</v>
          </cell>
        </row>
        <row r="89">
          <cell r="B89">
            <v>13101</v>
          </cell>
          <cell r="C89">
            <v>250004</v>
          </cell>
          <cell r="D89" t="str">
            <v>軍神の咆哮</v>
          </cell>
          <cell r="E89" t="str">
            <v>種族ヒューマンのユニットに大ダメージ</v>
          </cell>
        </row>
        <row r="90">
          <cell r="B90">
            <v>132</v>
          </cell>
          <cell r="C90">
            <v>220010</v>
          </cell>
          <cell r="D90" t="str">
            <v>五月雨雷撃</v>
          </cell>
          <cell r="E90" t="str">
            <v>4回連続攻撃</v>
          </cell>
        </row>
        <row r="91">
          <cell r="B91">
            <v>13301</v>
          </cell>
          <cell r="C91">
            <v>220020</v>
          </cell>
          <cell r="D91" t="str">
            <v>ノロマめ…</v>
          </cell>
          <cell r="E91" t="str">
            <v>2回連続攻撃</v>
          </cell>
        </row>
        <row r="92">
          <cell r="B92">
            <v>13301</v>
          </cell>
          <cell r="C92">
            <v>220021</v>
          </cell>
          <cell r="D92" t="str">
            <v>何と緩慢な</v>
          </cell>
          <cell r="E92" t="str">
            <v>3回連続攻撃</v>
          </cell>
        </row>
        <row r="93">
          <cell r="B93">
            <v>13301</v>
          </cell>
          <cell r="C93">
            <v>220022</v>
          </cell>
          <cell r="D93" t="str">
            <v>止まってみえるぞ!</v>
          </cell>
          <cell r="E93" t="str">
            <v>7回連続攻撃</v>
          </cell>
        </row>
        <row r="94">
          <cell r="B94">
            <v>13301</v>
          </cell>
          <cell r="C94">
            <v>400015</v>
          </cell>
          <cell r="D94" t="str">
            <v>速翼の矜持</v>
          </cell>
          <cell r="E94" t="str">
            <v>この戦闘の間攻撃頻度が1ターンにUP</v>
          </cell>
        </row>
        <row r="95">
          <cell r="B95">
            <v>134</v>
          </cell>
          <cell r="C95">
            <v>320007</v>
          </cell>
          <cell r="D95" t="str">
            <v>炎華の香り</v>
          </cell>
          <cell r="E95" t="str">
            <v>3ターンの間ダメージを受ける</v>
          </cell>
        </row>
        <row r="96">
          <cell r="B96">
            <v>136</v>
          </cell>
          <cell r="C96">
            <v>300002</v>
          </cell>
          <cell r="D96" t="str">
            <v>ヒール</v>
          </cell>
          <cell r="E96" t="str">
            <v>回復</v>
          </cell>
        </row>
        <row r="97">
          <cell r="B97">
            <v>139</v>
          </cell>
          <cell r="C97">
            <v>210015</v>
          </cell>
          <cell r="D97" t="str">
            <v>蒼き一撃</v>
          </cell>
          <cell r="E97" t="str">
            <v>攻撃力×1.5倍の攻撃</v>
          </cell>
        </row>
        <row r="98">
          <cell r="B98">
            <v>140</v>
          </cell>
          <cell r="C98">
            <v>400004</v>
          </cell>
          <cell r="D98" t="str">
            <v>紅葉乱舞</v>
          </cell>
          <cell r="E98" t="str">
            <v>2ターン攻撃頻度が1ターンにUP</v>
          </cell>
        </row>
        <row r="99">
          <cell r="B99">
            <v>14001</v>
          </cell>
          <cell r="C99">
            <v>400024</v>
          </cell>
          <cell r="D99" t="str">
            <v>紅葉乱舞</v>
          </cell>
          <cell r="E99" t="str">
            <v>3ターン攻撃頻度が1ターンにUP</v>
          </cell>
        </row>
        <row r="100">
          <cell r="B100">
            <v>141</v>
          </cell>
          <cell r="C100">
            <v>400004</v>
          </cell>
          <cell r="D100" t="str">
            <v>紅葉乱舞</v>
          </cell>
          <cell r="E100" t="str">
            <v>2ターン攻撃頻度が1ターンにUP</v>
          </cell>
        </row>
        <row r="101">
          <cell r="B101">
            <v>10141</v>
          </cell>
          <cell r="C101">
            <v>400006</v>
          </cell>
          <cell r="D101" t="str">
            <v>紅葉乱舞</v>
          </cell>
          <cell r="E101" t="str">
            <v>2ターン攻撃頻度が1ターンにUP</v>
          </cell>
        </row>
        <row r="102">
          <cell r="B102">
            <v>14201</v>
          </cell>
          <cell r="C102">
            <v>250002</v>
          </cell>
          <cell r="D102" t="str">
            <v>アニマルキラー</v>
          </cell>
          <cell r="E102" t="str">
            <v>種族アニマルのユニットに大ダメージ</v>
          </cell>
        </row>
        <row r="103">
          <cell r="B103">
            <v>14301</v>
          </cell>
          <cell r="C103">
            <v>250002</v>
          </cell>
          <cell r="D103" t="str">
            <v>アニマルキラー</v>
          </cell>
          <cell r="E103" t="str">
            <v>種族アニマルのユニットに大ダメージ</v>
          </cell>
        </row>
        <row r="104">
          <cell r="B104">
            <v>14301</v>
          </cell>
          <cell r="C104">
            <v>260004</v>
          </cell>
          <cell r="D104" t="str">
            <v xml:space="preserve">狼なんてコワくない(´･ω･`) </v>
          </cell>
          <cell r="E104" t="str">
            <v>青属性の敵に大ダメージの攻撃</v>
          </cell>
        </row>
        <row r="105">
          <cell r="B105">
            <v>14301</v>
          </cell>
          <cell r="C105">
            <v>230016</v>
          </cell>
          <cell r="D105" t="str">
            <v>猟師さーんヽ(≧Д≦)ノ</v>
          </cell>
          <cell r="E105" t="str">
            <v>全体攻撃</v>
          </cell>
        </row>
        <row r="106">
          <cell r="B106">
            <v>146</v>
          </cell>
          <cell r="C106">
            <v>310001</v>
          </cell>
          <cell r="D106" t="str">
            <v>ディスハート</v>
          </cell>
          <cell r="E106" t="str">
            <v>ハートパネルで回復できない</v>
          </cell>
        </row>
        <row r="107">
          <cell r="B107">
            <v>14601</v>
          </cell>
          <cell r="C107">
            <v>340006</v>
          </cell>
          <cell r="D107" t="str">
            <v>人魚の歌声</v>
          </cell>
          <cell r="E107" t="str">
            <v>ユニット1体に3ターンスリープ</v>
          </cell>
        </row>
        <row r="108">
          <cell r="B108">
            <v>14601</v>
          </cell>
          <cell r="C108">
            <v>350005</v>
          </cell>
          <cell r="D108" t="str">
            <v>叶わぬ恋</v>
          </cell>
          <cell r="E108" t="str">
            <v>3ターン回復力が100%DOWN</v>
          </cell>
        </row>
        <row r="109">
          <cell r="B109">
            <v>14601</v>
          </cell>
          <cell r="C109">
            <v>510020</v>
          </cell>
          <cell r="D109" t="str">
            <v>バブル・エクステンション</v>
          </cell>
          <cell r="E109" t="str">
            <v>お邪魔パネル出現+全体にダメージ</v>
          </cell>
        </row>
        <row r="110">
          <cell r="B110">
            <v>148</v>
          </cell>
          <cell r="C110">
            <v>100009</v>
          </cell>
          <cell r="D110" t="str">
            <v>うっとり妄想タイム</v>
          </cell>
          <cell r="E110" t="str">
            <v>舞踏会に想いを馳せている</v>
          </cell>
        </row>
        <row r="111">
          <cell r="B111">
            <v>148</v>
          </cell>
          <cell r="C111">
            <v>210008</v>
          </cell>
          <cell r="D111" t="str">
            <v>煌きの一蹴</v>
          </cell>
          <cell r="E111" t="str">
            <v>攻撃力×1.5倍の攻撃</v>
          </cell>
        </row>
        <row r="112">
          <cell r="B112">
            <v>149</v>
          </cell>
          <cell r="C112">
            <v>100010</v>
          </cell>
          <cell r="D112" t="str">
            <v>まるで夢みたい！</v>
          </cell>
          <cell r="E112" t="str">
            <v>ガラスの靴に夢中だ</v>
          </cell>
        </row>
        <row r="113">
          <cell r="B113">
            <v>149</v>
          </cell>
          <cell r="C113">
            <v>210009</v>
          </cell>
          <cell r="D113" t="str">
            <v>輝きの一蹴</v>
          </cell>
          <cell r="E113" t="str">
            <v>攻撃力×2.5倍の攻撃</v>
          </cell>
        </row>
        <row r="114">
          <cell r="B114">
            <v>151</v>
          </cell>
          <cell r="C114">
            <v>510004</v>
          </cell>
          <cell r="D114" t="str">
            <v>ハートジャミング</v>
          </cell>
          <cell r="E114" t="str">
            <v>ハートパネルを時限式ダメージパネルに変換</v>
          </cell>
        </row>
        <row r="115">
          <cell r="B115">
            <v>151</v>
          </cell>
          <cell r="C115">
            <v>510006</v>
          </cell>
          <cell r="D115" t="str">
            <v>爆破します</v>
          </cell>
          <cell r="E115" t="str">
            <v>時限式ダメージパネル出現</v>
          </cell>
        </row>
        <row r="116">
          <cell r="B116">
            <v>152</v>
          </cell>
          <cell r="C116">
            <v>210013</v>
          </cell>
          <cell r="D116" t="str">
            <v>猛虎の手</v>
          </cell>
          <cell r="E116" t="str">
            <v>攻撃力×1.3倍の攻撃</v>
          </cell>
        </row>
        <row r="117">
          <cell r="B117">
            <v>152</v>
          </cell>
          <cell r="C117">
            <v>220012</v>
          </cell>
          <cell r="D117" t="str">
            <v>山猿の足</v>
          </cell>
          <cell r="E117" t="str">
            <v>5回連続攻撃</v>
          </cell>
        </row>
        <row r="118">
          <cell r="B118">
            <v>153</v>
          </cell>
          <cell r="C118">
            <v>210013</v>
          </cell>
          <cell r="D118" t="str">
            <v>猛虎の手</v>
          </cell>
          <cell r="E118" t="str">
            <v>攻撃力×1.3倍の攻撃</v>
          </cell>
        </row>
        <row r="119">
          <cell r="B119">
            <v>153</v>
          </cell>
          <cell r="C119">
            <v>220012</v>
          </cell>
          <cell r="D119" t="str">
            <v>山猿の足</v>
          </cell>
          <cell r="E119" t="str">
            <v>5回連続攻撃</v>
          </cell>
        </row>
        <row r="120">
          <cell r="B120">
            <v>153</v>
          </cell>
          <cell r="C120">
            <v>230008</v>
          </cell>
          <cell r="D120" t="str">
            <v>窮鼠の爪</v>
          </cell>
          <cell r="E120" t="str">
            <v>全体攻撃</v>
          </cell>
        </row>
        <row r="121">
          <cell r="B121">
            <v>154</v>
          </cell>
          <cell r="C121">
            <v>300002</v>
          </cell>
          <cell r="D121" t="str">
            <v>ヒール</v>
          </cell>
          <cell r="E121" t="str">
            <v>回復</v>
          </cell>
        </row>
        <row r="122">
          <cell r="B122">
            <v>15501</v>
          </cell>
          <cell r="C122">
            <v>420002</v>
          </cell>
          <cell r="D122" t="str">
            <v>セメクトのカラシリス</v>
          </cell>
          <cell r="E122" t="str">
            <v>3ターン防御力UP</v>
          </cell>
        </row>
        <row r="123">
          <cell r="B123">
            <v>15501</v>
          </cell>
          <cell r="C123">
            <v>510021</v>
          </cell>
          <cell r="D123" t="str">
            <v>心を秤ってあげるわ</v>
          </cell>
          <cell r="E123" t="str">
            <v>ハートパネルを時限式ダメージパネルに変換</v>
          </cell>
        </row>
        <row r="124">
          <cell r="B124">
            <v>15501</v>
          </cell>
          <cell r="C124">
            <v>210025</v>
          </cell>
          <cell r="D124" t="str">
            <v>ハートクラッシュ</v>
          </cell>
          <cell r="E124" t="str">
            <v>攻撃力×2.0倍の攻撃</v>
          </cell>
        </row>
        <row r="125">
          <cell r="B125">
            <v>156</v>
          </cell>
          <cell r="C125">
            <v>300002</v>
          </cell>
          <cell r="D125" t="str">
            <v>ヒール</v>
          </cell>
          <cell r="E125" t="str">
            <v>回復</v>
          </cell>
        </row>
        <row r="126">
          <cell r="B126">
            <v>156</v>
          </cell>
          <cell r="C126">
            <v>100005</v>
          </cell>
          <cell r="D126" t="str">
            <v>楽しげなステップ</v>
          </cell>
          <cell r="E126" t="str">
            <v>楽しそうに踊っている</v>
          </cell>
        </row>
        <row r="127">
          <cell r="B127">
            <v>15601</v>
          </cell>
          <cell r="C127">
            <v>300001</v>
          </cell>
          <cell r="D127" t="str">
            <v>ヒール</v>
          </cell>
          <cell r="E127" t="str">
            <v>回復</v>
          </cell>
        </row>
        <row r="128">
          <cell r="B128">
            <v>157</v>
          </cell>
          <cell r="C128">
            <v>300002</v>
          </cell>
          <cell r="D128" t="str">
            <v>ヒール</v>
          </cell>
          <cell r="E128" t="str">
            <v>回復</v>
          </cell>
        </row>
        <row r="129">
          <cell r="B129">
            <v>160</v>
          </cell>
          <cell r="C129">
            <v>510003</v>
          </cell>
          <cell r="D129" t="str">
            <v>反逆のシャウト</v>
          </cell>
          <cell r="E129" t="str">
            <v>少しだけお邪魔パネル出現</v>
          </cell>
        </row>
        <row r="130">
          <cell r="B130">
            <v>16101</v>
          </cell>
          <cell r="C130">
            <v>330014</v>
          </cell>
          <cell r="D130" t="str">
            <v>バインドノイズ</v>
          </cell>
          <cell r="E130" t="str">
            <v>6ターンスキルが使えない！</v>
          </cell>
        </row>
        <row r="131">
          <cell r="B131">
            <v>16101</v>
          </cell>
          <cell r="C131">
            <v>330015</v>
          </cell>
          <cell r="D131" t="str">
            <v>バインドノイズ</v>
          </cell>
          <cell r="E131" t="str">
            <v>6ターンスキルが使えない！</v>
          </cell>
        </row>
        <row r="132">
          <cell r="B132">
            <v>16101</v>
          </cell>
          <cell r="C132">
            <v>230024</v>
          </cell>
          <cell r="D132" t="str">
            <v>サウンドストーム</v>
          </cell>
          <cell r="E132" t="str">
            <v>全体攻撃</v>
          </cell>
        </row>
        <row r="133">
          <cell r="B133">
            <v>16101</v>
          </cell>
          <cell r="C133">
            <v>520008</v>
          </cell>
          <cell r="D133" t="str">
            <v>ルージュキャンセリング</v>
          </cell>
          <cell r="E133" t="str">
            <v>3ターン赤パネルが使えない！</v>
          </cell>
        </row>
        <row r="134">
          <cell r="B134">
            <v>16201</v>
          </cell>
          <cell r="C134">
            <v>550001</v>
          </cell>
          <cell r="D134" t="str">
            <v>サディスティックステージ</v>
          </cell>
          <cell r="E134" t="str">
            <v>4ターンパネルの色が分からなくなる !</v>
          </cell>
        </row>
        <row r="135">
          <cell r="B135">
            <v>16301</v>
          </cell>
          <cell r="C135">
            <v>230002</v>
          </cell>
          <cell r="D135" t="str">
            <v>大切断</v>
          </cell>
          <cell r="E135" t="str">
            <v>全体攻撃</v>
          </cell>
        </row>
        <row r="136">
          <cell r="B136">
            <v>16302</v>
          </cell>
          <cell r="C136">
            <v>550001</v>
          </cell>
          <cell r="D136" t="str">
            <v>サディスティックステージ</v>
          </cell>
          <cell r="E136" t="str">
            <v>4ターンパネルの色が分からなくなる !</v>
          </cell>
        </row>
        <row r="137">
          <cell r="B137">
            <v>16302</v>
          </cell>
          <cell r="C137">
            <v>250010</v>
          </cell>
          <cell r="D137" t="str">
            <v>分解…</v>
          </cell>
          <cell r="E137" t="str">
            <v>種族マシンのユニットに大ダメージ</v>
          </cell>
        </row>
        <row r="138">
          <cell r="B138">
            <v>164</v>
          </cell>
          <cell r="C138">
            <v>510008</v>
          </cell>
          <cell r="D138" t="str">
            <v>イブと遊ぼ？</v>
          </cell>
          <cell r="E138" t="str">
            <v>少しだけお邪魔パネル出現</v>
          </cell>
        </row>
        <row r="139">
          <cell r="B139">
            <v>164</v>
          </cell>
          <cell r="C139">
            <v>410005</v>
          </cell>
          <cell r="D139" t="str">
            <v>もっと遊ぼう？</v>
          </cell>
          <cell r="E139" t="str">
            <v>5ターン攻撃力大UP</v>
          </cell>
        </row>
        <row r="140">
          <cell r="B140">
            <v>16501</v>
          </cell>
          <cell r="C140">
            <v>500029</v>
          </cell>
          <cell r="D140" t="str">
            <v>イブと遊ぼ？</v>
          </cell>
          <cell r="E140" t="str">
            <v>お邪魔パネル出現</v>
          </cell>
        </row>
        <row r="141">
          <cell r="B141">
            <v>16502</v>
          </cell>
          <cell r="C141">
            <v>330009</v>
          </cell>
          <cell r="D141" t="str">
            <v>今度はイブの番！</v>
          </cell>
          <cell r="E141" t="str">
            <v>この戦闘ではスキルが使えない！</v>
          </cell>
        </row>
        <row r="142">
          <cell r="B142">
            <v>169</v>
          </cell>
          <cell r="C142">
            <v>220003</v>
          </cell>
          <cell r="D142" t="str">
            <v>トゥハンド</v>
          </cell>
          <cell r="E142" t="str">
            <v>2回連続攻撃</v>
          </cell>
        </row>
        <row r="143">
          <cell r="B143">
            <v>172</v>
          </cell>
          <cell r="C143">
            <v>510009</v>
          </cell>
          <cell r="D143" t="str">
            <v>パネルフリーズ</v>
          </cell>
          <cell r="E143" t="str">
            <v>少しだけお邪魔パネル出現</v>
          </cell>
        </row>
        <row r="144">
          <cell r="B144">
            <v>17001</v>
          </cell>
          <cell r="C144">
            <v>260005</v>
          </cell>
          <cell r="D144" t="str">
            <v>乱れ跳ぶ虹弾</v>
          </cell>
          <cell r="E144" t="str">
            <v>赤属性の敵に大ダメージの攻撃</v>
          </cell>
        </row>
        <row r="145">
          <cell r="B145">
            <v>17001</v>
          </cell>
          <cell r="C145">
            <v>260006</v>
          </cell>
          <cell r="D145" t="str">
            <v>乱れ跳ぶ虹弾</v>
          </cell>
          <cell r="E145" t="str">
            <v>黄属性の敵に大ダメージの攻撃</v>
          </cell>
        </row>
        <row r="146">
          <cell r="B146">
            <v>17001</v>
          </cell>
          <cell r="C146">
            <v>260007</v>
          </cell>
          <cell r="D146" t="str">
            <v>乱れ跳ぶ虹弾</v>
          </cell>
          <cell r="E146" t="str">
            <v>緑属性の敵に大ダメージの攻撃</v>
          </cell>
        </row>
        <row r="147">
          <cell r="B147">
            <v>17001</v>
          </cell>
          <cell r="C147">
            <v>260008</v>
          </cell>
          <cell r="D147" t="str">
            <v>乱れ跳ぶ虹弾</v>
          </cell>
          <cell r="E147" t="str">
            <v>青属性の敵に大ダメージの攻撃</v>
          </cell>
        </row>
        <row r="148">
          <cell r="B148">
            <v>17101</v>
          </cell>
          <cell r="C148">
            <v>220027</v>
          </cell>
          <cell r="D148" t="str">
            <v>ツインターゲット</v>
          </cell>
          <cell r="E148" t="str">
            <v>2回連続攻撃</v>
          </cell>
        </row>
        <row r="149">
          <cell r="B149">
            <v>17102</v>
          </cell>
          <cell r="C149">
            <v>220027</v>
          </cell>
          <cell r="D149" t="str">
            <v>ツインターゲット</v>
          </cell>
          <cell r="E149" t="str">
            <v>2回連続攻撃</v>
          </cell>
        </row>
        <row r="150">
          <cell r="B150">
            <v>17102</v>
          </cell>
          <cell r="C150">
            <v>410021</v>
          </cell>
          <cell r="D150" t="str">
            <v>インサニティ</v>
          </cell>
          <cell r="E150" t="str">
            <v>4ターン攻撃力UP</v>
          </cell>
        </row>
        <row r="151">
          <cell r="B151">
            <v>17102</v>
          </cell>
          <cell r="C151">
            <v>370004</v>
          </cell>
          <cell r="D151" t="str">
            <v>インティミデイト</v>
          </cell>
          <cell r="E151" t="str">
            <v>赤属性ユニットの攻撃を3ターンカウンター</v>
          </cell>
        </row>
        <row r="152">
          <cell r="B152">
            <v>17102</v>
          </cell>
          <cell r="C152">
            <v>540009</v>
          </cell>
          <cell r="D152" t="str">
            <v>アームブレイク</v>
          </cell>
          <cell r="E152" t="str">
            <v>3ターンタップ回数を1減少</v>
          </cell>
        </row>
        <row r="153">
          <cell r="B153">
            <v>17601</v>
          </cell>
          <cell r="C153">
            <v>520003</v>
          </cell>
          <cell r="D153" t="str">
            <v>緑を刈り奪る大鎌</v>
          </cell>
          <cell r="E153" t="str">
            <v>4ターン緑パネルが使えない！</v>
          </cell>
        </row>
        <row r="154">
          <cell r="B154">
            <v>17601</v>
          </cell>
          <cell r="C154">
            <v>510024</v>
          </cell>
          <cell r="D154" t="str">
            <v>万物流転</v>
          </cell>
          <cell r="E154" t="str">
            <v>ランダムで黄パネルに変換</v>
          </cell>
        </row>
        <row r="155">
          <cell r="B155">
            <v>178</v>
          </cell>
          <cell r="C155">
            <v>410003</v>
          </cell>
          <cell r="D155" t="str">
            <v>頑張っちゃいますぅ！</v>
          </cell>
          <cell r="E155" t="str">
            <v>5ターン攻撃力小UP</v>
          </cell>
        </row>
        <row r="156">
          <cell r="B156">
            <v>17801</v>
          </cell>
          <cell r="C156">
            <v>410023</v>
          </cell>
          <cell r="D156" t="str">
            <v>頑張っちゃいますぅ！</v>
          </cell>
          <cell r="E156" t="str">
            <v>8ターン攻撃力小UP</v>
          </cell>
        </row>
        <row r="157">
          <cell r="B157">
            <v>182</v>
          </cell>
          <cell r="C157">
            <v>230005</v>
          </cell>
          <cell r="D157" t="str">
            <v>猛烈突進</v>
          </cell>
          <cell r="E157" t="str">
            <v>全体攻撃</v>
          </cell>
        </row>
        <row r="158">
          <cell r="B158">
            <v>18201</v>
          </cell>
          <cell r="C158">
            <v>230005</v>
          </cell>
          <cell r="D158" t="str">
            <v>猛烈突進</v>
          </cell>
          <cell r="E158" t="str">
            <v>全体攻撃</v>
          </cell>
        </row>
        <row r="159">
          <cell r="B159">
            <v>18201</v>
          </cell>
          <cell r="C159">
            <v>250006</v>
          </cell>
          <cell r="D159" t="str">
            <v>ゴッドキラー</v>
          </cell>
          <cell r="E159" t="str">
            <v>種族ゴッドのユニットに大ダメージ</v>
          </cell>
        </row>
        <row r="160">
          <cell r="B160">
            <v>184</v>
          </cell>
          <cell r="C160">
            <v>340002</v>
          </cell>
          <cell r="D160" t="str">
            <v>子守唄</v>
          </cell>
          <cell r="E160" t="str">
            <v>3ターンの間行動できない</v>
          </cell>
        </row>
        <row r="161">
          <cell r="B161">
            <v>185</v>
          </cell>
          <cell r="C161">
            <v>340002</v>
          </cell>
          <cell r="D161" t="str">
            <v>子守唄</v>
          </cell>
          <cell r="E161" t="str">
            <v>3ターンの間行動できない</v>
          </cell>
        </row>
        <row r="162">
          <cell r="B162">
            <v>18501</v>
          </cell>
          <cell r="C162">
            <v>340002</v>
          </cell>
          <cell r="D162" t="str">
            <v>子守唄</v>
          </cell>
          <cell r="E162" t="str">
            <v>3ターンの間行動できない</v>
          </cell>
        </row>
        <row r="163">
          <cell r="B163">
            <v>18501</v>
          </cell>
          <cell r="C163">
            <v>210024</v>
          </cell>
          <cell r="D163" t="str">
            <v>蒼の衝撃</v>
          </cell>
          <cell r="E163" t="str">
            <v>攻撃力×2.0倍の攻撃</v>
          </cell>
        </row>
        <row r="164">
          <cell r="B164">
            <v>18502</v>
          </cell>
          <cell r="C164">
            <v>340002</v>
          </cell>
          <cell r="D164" t="str">
            <v>子守唄</v>
          </cell>
          <cell r="E164" t="str">
            <v>3ターンの間行動できない</v>
          </cell>
        </row>
        <row r="165">
          <cell r="B165">
            <v>18502</v>
          </cell>
          <cell r="C165">
            <v>250003</v>
          </cell>
          <cell r="D165" t="str">
            <v>ヒューマンキラー</v>
          </cell>
          <cell r="E165" t="str">
            <v>種族ヒューマンのユニットに大ダメージ</v>
          </cell>
        </row>
        <row r="166">
          <cell r="B166">
            <v>18502</v>
          </cell>
          <cell r="C166">
            <v>210024</v>
          </cell>
          <cell r="D166" t="str">
            <v>蒼の衝撃</v>
          </cell>
          <cell r="E166" t="str">
            <v>攻撃力×2.0倍の攻撃</v>
          </cell>
        </row>
        <row r="167">
          <cell r="B167">
            <v>187</v>
          </cell>
          <cell r="C167">
            <v>210014</v>
          </cell>
          <cell r="D167" t="str">
            <v>閃光空撃</v>
          </cell>
          <cell r="E167" t="str">
            <v>攻撃力×1.5倍の攻撃</v>
          </cell>
        </row>
        <row r="168">
          <cell r="B168">
            <v>18701</v>
          </cell>
          <cell r="C168">
            <v>410008</v>
          </cell>
          <cell r="D168" t="str">
            <v>怒り鉤爪</v>
          </cell>
          <cell r="E168" t="str">
            <v>3ターン攻撃力UP</v>
          </cell>
        </row>
        <row r="169">
          <cell r="B169">
            <v>18801</v>
          </cell>
          <cell r="C169">
            <v>320012</v>
          </cell>
          <cell r="D169" t="str">
            <v>セクメトの息吹</v>
          </cell>
          <cell r="E169" t="str">
            <v>3ターンの間ダメージを受ける</v>
          </cell>
        </row>
        <row r="170">
          <cell r="B170">
            <v>18801</v>
          </cell>
          <cell r="C170">
            <v>300008</v>
          </cell>
          <cell r="D170" t="str">
            <v>すべてを癒そう</v>
          </cell>
          <cell r="E170" t="str">
            <v>ラジャトの瞳</v>
          </cell>
        </row>
        <row r="171">
          <cell r="B171">
            <v>18801</v>
          </cell>
          <cell r="C171">
            <v>420003</v>
          </cell>
          <cell r="D171" t="str">
            <v>女王を護る盾となる</v>
          </cell>
          <cell r="E171" t="str">
            <v>3ターン防御力UP</v>
          </cell>
        </row>
        <row r="172">
          <cell r="B172">
            <v>18801</v>
          </cell>
          <cell r="C172">
            <v>100022</v>
          </cell>
          <cell r="D172" t="str">
            <v>指一本触れさせん…</v>
          </cell>
          <cell r="E172" t="str">
            <v>ホルスの瞳が真紅に染まっていく！</v>
          </cell>
        </row>
        <row r="173">
          <cell r="B173">
            <v>18801</v>
          </cell>
          <cell r="C173">
            <v>210026</v>
          </cell>
          <cell r="D173" t="str">
            <v>失せろ下郎！</v>
          </cell>
          <cell r="E173" t="str">
            <v>攻撃力×3.0倍の攻撃</v>
          </cell>
        </row>
        <row r="174">
          <cell r="B174">
            <v>193</v>
          </cell>
          <cell r="C174">
            <v>220006</v>
          </cell>
          <cell r="D174" t="str">
            <v>乱射</v>
          </cell>
          <cell r="E174" t="str">
            <v>5回連続攻撃</v>
          </cell>
        </row>
        <row r="175">
          <cell r="B175">
            <v>194</v>
          </cell>
          <cell r="C175">
            <v>220007</v>
          </cell>
          <cell r="D175" t="str">
            <v>超乱射</v>
          </cell>
          <cell r="E175" t="str">
            <v>8回連続攻撃</v>
          </cell>
        </row>
        <row r="176">
          <cell r="B176">
            <v>197</v>
          </cell>
          <cell r="C176">
            <v>300005</v>
          </cell>
          <cell r="D176" t="str">
            <v>ヒール</v>
          </cell>
          <cell r="E176" t="str">
            <v>回復</v>
          </cell>
        </row>
        <row r="177">
          <cell r="B177">
            <v>198</v>
          </cell>
          <cell r="C177">
            <v>300005</v>
          </cell>
          <cell r="D177" t="str">
            <v>ヒール</v>
          </cell>
          <cell r="E177" t="str">
            <v>回復</v>
          </cell>
        </row>
        <row r="178">
          <cell r="B178">
            <v>197</v>
          </cell>
          <cell r="C178">
            <v>210007</v>
          </cell>
          <cell r="D178" t="str">
            <v>金剛黄撃</v>
          </cell>
          <cell r="E178" t="str">
            <v>攻撃力×3.0倍の攻撃</v>
          </cell>
        </row>
        <row r="179">
          <cell r="B179">
            <v>198</v>
          </cell>
          <cell r="C179">
            <v>210007</v>
          </cell>
          <cell r="D179" t="str">
            <v>金剛黄撃</v>
          </cell>
          <cell r="E179" t="str">
            <v>攻撃力×3.0倍の攻撃</v>
          </cell>
        </row>
        <row r="180">
          <cell r="B180">
            <v>10197</v>
          </cell>
          <cell r="C180">
            <v>210016</v>
          </cell>
          <cell r="D180" t="str">
            <v>金剛黄撃</v>
          </cell>
          <cell r="E180" t="str">
            <v>攻撃力×2.0倍の攻撃</v>
          </cell>
        </row>
        <row r="181">
          <cell r="B181">
            <v>199</v>
          </cell>
          <cell r="C181">
            <v>230002</v>
          </cell>
          <cell r="D181" t="str">
            <v>大切断</v>
          </cell>
          <cell r="E181" t="str">
            <v>全体攻撃</v>
          </cell>
        </row>
        <row r="182">
          <cell r="B182">
            <v>200</v>
          </cell>
          <cell r="C182">
            <v>230002</v>
          </cell>
          <cell r="D182" t="str">
            <v>大切断</v>
          </cell>
          <cell r="E182" t="str">
            <v>全体攻撃</v>
          </cell>
        </row>
        <row r="183">
          <cell r="B183">
            <v>20001</v>
          </cell>
          <cell r="C183">
            <v>340010</v>
          </cell>
          <cell r="D183" t="str">
            <v>静寂の緑</v>
          </cell>
          <cell r="E183" t="str">
            <v>緑属性ユニットを4ターンスリープ</v>
          </cell>
        </row>
        <row r="184">
          <cell r="B184">
            <v>20001</v>
          </cell>
          <cell r="C184">
            <v>230002</v>
          </cell>
          <cell r="D184" t="str">
            <v>大切断</v>
          </cell>
          <cell r="E184" t="str">
            <v>全体攻撃</v>
          </cell>
        </row>
        <row r="185">
          <cell r="B185">
            <v>202</v>
          </cell>
          <cell r="C185">
            <v>350001</v>
          </cell>
          <cell r="D185" t="str">
            <v>ハートブレイク</v>
          </cell>
          <cell r="E185" t="str">
            <v>5ターン回復力が100%DOWN</v>
          </cell>
        </row>
        <row r="186">
          <cell r="B186">
            <v>20201</v>
          </cell>
          <cell r="C186">
            <v>400020</v>
          </cell>
          <cell r="D186" t="str">
            <v>高速化</v>
          </cell>
          <cell r="E186" t="str">
            <v>4ターン攻撃頻度が1ターンにUP</v>
          </cell>
        </row>
        <row r="187">
          <cell r="B187">
            <v>20201</v>
          </cell>
          <cell r="C187">
            <v>410019</v>
          </cell>
          <cell r="D187" t="str">
            <v>闘気結集</v>
          </cell>
          <cell r="E187" t="str">
            <v>4ターン攻撃力大UP</v>
          </cell>
        </row>
        <row r="188">
          <cell r="B188">
            <v>203</v>
          </cell>
          <cell r="C188">
            <v>350002</v>
          </cell>
          <cell r="D188" t="str">
            <v>ハートブレイク</v>
          </cell>
          <cell r="E188" t="str">
            <v>解除するまで回復力が100%DOWN</v>
          </cell>
        </row>
        <row r="189">
          <cell r="B189">
            <v>20501</v>
          </cell>
          <cell r="C189">
            <v>340011</v>
          </cell>
          <cell r="D189" t="str">
            <v>眠りを誘う薔薇園</v>
          </cell>
          <cell r="E189" t="str">
            <v>ユニット1体に3ターンスリープ＋攻撃</v>
          </cell>
        </row>
        <row r="190">
          <cell r="B190">
            <v>20501</v>
          </cell>
          <cell r="C190">
            <v>330010</v>
          </cell>
          <cell r="D190" t="str">
            <v>束縛する薔薇</v>
          </cell>
          <cell r="E190" t="str">
            <v>3ターンスキルが使えない！＋攻撃</v>
          </cell>
        </row>
        <row r="191">
          <cell r="B191">
            <v>206</v>
          </cell>
          <cell r="C191">
            <v>510002</v>
          </cell>
          <cell r="D191" t="str">
            <v>ハイ・スパムバースト</v>
          </cell>
          <cell r="E191" t="str">
            <v>お邪魔パネル出現</v>
          </cell>
        </row>
        <row r="192">
          <cell r="B192">
            <v>20801</v>
          </cell>
          <cell r="C192">
            <v>370002</v>
          </cell>
          <cell r="D192" t="str">
            <v>黄属性カウンター(強)</v>
          </cell>
          <cell r="E192" t="str">
            <v>黄属性ユニットの攻撃を3ターンカウンター</v>
          </cell>
        </row>
        <row r="193">
          <cell r="B193">
            <v>211</v>
          </cell>
          <cell r="C193">
            <v>500001</v>
          </cell>
          <cell r="D193" t="str">
            <v>クロックメテオ</v>
          </cell>
          <cell r="E193" t="str">
            <v>時限式ダメージパネル出現</v>
          </cell>
        </row>
        <row r="194">
          <cell r="B194">
            <v>212</v>
          </cell>
          <cell r="C194">
            <v>500001</v>
          </cell>
          <cell r="D194" t="str">
            <v>クロックメテオ</v>
          </cell>
          <cell r="E194" t="str">
            <v>時限式ダメージパネル出現</v>
          </cell>
        </row>
        <row r="195">
          <cell r="B195">
            <v>215</v>
          </cell>
          <cell r="C195">
            <v>230006</v>
          </cell>
          <cell r="D195" t="str">
            <v>畏れの至言</v>
          </cell>
          <cell r="E195" t="str">
            <v>全体攻撃</v>
          </cell>
        </row>
        <row r="196">
          <cell r="B196">
            <v>215</v>
          </cell>
          <cell r="C196">
            <v>320006</v>
          </cell>
          <cell r="D196" t="str">
            <v>死の誘惑</v>
          </cell>
          <cell r="E196" t="str">
            <v>5ターンの間ダメージを受ける</v>
          </cell>
        </row>
        <row r="197">
          <cell r="B197">
            <v>21701</v>
          </cell>
          <cell r="C197">
            <v>300009</v>
          </cell>
          <cell r="D197" t="str">
            <v>ヒール</v>
          </cell>
          <cell r="E197" t="str">
            <v>回復</v>
          </cell>
        </row>
        <row r="198">
          <cell r="B198">
            <v>21702</v>
          </cell>
          <cell r="C198">
            <v>340008</v>
          </cell>
          <cell r="D198" t="str">
            <v>恐怖のベル</v>
          </cell>
          <cell r="E198" t="str">
            <v>2ターンの間スリープ＋ウィルス</v>
          </cell>
        </row>
        <row r="199">
          <cell r="B199">
            <v>21801</v>
          </cell>
          <cell r="C199">
            <v>300003</v>
          </cell>
          <cell r="D199" t="str">
            <v>超再生</v>
          </cell>
          <cell r="E199" t="str">
            <v>一度だけ全回復！</v>
          </cell>
        </row>
        <row r="200">
          <cell r="B200">
            <v>219</v>
          </cell>
          <cell r="C200">
            <v>300003</v>
          </cell>
          <cell r="D200" t="str">
            <v>超再生</v>
          </cell>
          <cell r="E200" t="str">
            <v>一度だけ全回復！</v>
          </cell>
        </row>
        <row r="201">
          <cell r="B201">
            <v>22001</v>
          </cell>
          <cell r="C201">
            <v>340013</v>
          </cell>
          <cell r="D201" t="str">
            <v>連鎖の水縛</v>
          </cell>
          <cell r="E201" t="str">
            <v>ユニット1体に4ターンスリープ</v>
          </cell>
        </row>
        <row r="202">
          <cell r="B202">
            <v>22001</v>
          </cell>
          <cell r="C202">
            <v>34014</v>
          </cell>
          <cell r="D202" t="str">
            <v>連鎖の水縛</v>
          </cell>
          <cell r="E202" t="str">
            <v>ユニット1体に4ターンスリープ</v>
          </cell>
        </row>
        <row r="203">
          <cell r="B203">
            <v>22001</v>
          </cell>
          <cell r="C203">
            <v>210030</v>
          </cell>
          <cell r="D203" t="str">
            <v>連鎖の氷殺</v>
          </cell>
          <cell r="E203" t="str">
            <v>攻撃力×1.8倍の攻撃</v>
          </cell>
        </row>
        <row r="204">
          <cell r="B204">
            <v>22001</v>
          </cell>
          <cell r="C204">
            <v>230030</v>
          </cell>
          <cell r="D204" t="str">
            <v>薙ぎ払い</v>
          </cell>
          <cell r="E204" t="str">
            <v>全体攻撃</v>
          </cell>
        </row>
        <row r="205">
          <cell r="B205">
            <v>22101</v>
          </cell>
          <cell r="C205">
            <v>540010</v>
          </cell>
          <cell r="D205" t="str">
            <v>動を阻む鎖</v>
          </cell>
          <cell r="E205" t="str">
            <v>3ターンタップ回数を1減少＋お邪魔パネル出現</v>
          </cell>
        </row>
        <row r="206">
          <cell r="B206">
            <v>224</v>
          </cell>
          <cell r="C206">
            <v>410006</v>
          </cell>
          <cell r="D206" t="str">
            <v>獅子の咆哮</v>
          </cell>
          <cell r="E206" t="str">
            <v>3ターン攻撃力大UP</v>
          </cell>
        </row>
        <row r="207">
          <cell r="B207">
            <v>224</v>
          </cell>
          <cell r="C207">
            <v>210006</v>
          </cell>
          <cell r="D207" t="str">
            <v>巨腕の抱擁</v>
          </cell>
          <cell r="E207" t="str">
            <v>攻撃力×2倍の攻撃</v>
          </cell>
        </row>
        <row r="208">
          <cell r="B208">
            <v>22601</v>
          </cell>
          <cell r="C208">
            <v>410024</v>
          </cell>
          <cell r="D208" t="str">
            <v>全ては薔薇のために…</v>
          </cell>
          <cell r="E208" t="str">
            <v>3ターン攻撃力UP</v>
          </cell>
        </row>
        <row r="209">
          <cell r="B209">
            <v>22601</v>
          </cell>
          <cell r="C209">
            <v>400019</v>
          </cell>
          <cell r="D209" t="str">
            <v>クイックリロード</v>
          </cell>
          <cell r="E209" t="str">
            <v>3ターン攻撃頻度が1ターンにUP</v>
          </cell>
        </row>
        <row r="210">
          <cell r="B210">
            <v>229</v>
          </cell>
          <cell r="C210">
            <v>210002</v>
          </cell>
          <cell r="D210" t="str">
            <v>蛇牙</v>
          </cell>
          <cell r="E210" t="str">
            <v>攻撃力×1.8倍の攻撃</v>
          </cell>
        </row>
        <row r="211">
          <cell r="B211">
            <v>22901</v>
          </cell>
          <cell r="C211">
            <v>210002</v>
          </cell>
          <cell r="D211" t="str">
            <v>蛇牙</v>
          </cell>
          <cell r="E211" t="str">
            <v>攻撃力×1.8倍の攻撃</v>
          </cell>
        </row>
        <row r="212">
          <cell r="B212">
            <v>230</v>
          </cell>
          <cell r="C212">
            <v>220011</v>
          </cell>
          <cell r="D212" t="str">
            <v>毒蛇の猛攻</v>
          </cell>
          <cell r="E212" t="str">
            <v>5回連続攻撃</v>
          </cell>
        </row>
        <row r="213">
          <cell r="B213">
            <v>231</v>
          </cell>
          <cell r="C213">
            <v>220011</v>
          </cell>
          <cell r="D213" t="str">
            <v>毒蛇の猛攻</v>
          </cell>
          <cell r="E213" t="str">
            <v>5回連続攻撃</v>
          </cell>
        </row>
        <row r="214">
          <cell r="B214">
            <v>232</v>
          </cell>
          <cell r="C214">
            <v>210003</v>
          </cell>
          <cell r="D214" t="str">
            <v>ワンショットキル</v>
          </cell>
          <cell r="E214" t="str">
            <v>攻撃力×2.5倍の攻撃</v>
          </cell>
        </row>
        <row r="215">
          <cell r="B215">
            <v>233</v>
          </cell>
          <cell r="C215">
            <v>210003</v>
          </cell>
          <cell r="D215" t="str">
            <v>ワンショットキル</v>
          </cell>
          <cell r="E215" t="str">
            <v>攻撃力×2.5倍の攻撃</v>
          </cell>
        </row>
        <row r="216">
          <cell r="B216">
            <v>23601</v>
          </cell>
          <cell r="C216">
            <v>250008</v>
          </cell>
          <cell r="D216" t="str">
            <v>神をも撃ち抜く雷</v>
          </cell>
          <cell r="E216" t="str">
            <v>種族ゴッドのユニットに大ダメージ</v>
          </cell>
        </row>
        <row r="217">
          <cell r="B217">
            <v>241</v>
          </cell>
          <cell r="C217">
            <v>300001</v>
          </cell>
          <cell r="D217" t="str">
            <v>ヒール</v>
          </cell>
          <cell r="E217" t="str">
            <v>回復</v>
          </cell>
        </row>
        <row r="218">
          <cell r="B218">
            <v>24201</v>
          </cell>
          <cell r="C218">
            <v>500025</v>
          </cell>
          <cell r="D218" t="str">
            <v>コメットシャワー</v>
          </cell>
          <cell r="E218" t="str">
            <v>時限式ダメージパネル出現</v>
          </cell>
        </row>
        <row r="219">
          <cell r="B219">
            <v>24201</v>
          </cell>
          <cell r="C219">
            <v>340009</v>
          </cell>
          <cell r="D219" t="str">
            <v>天使の子守唄</v>
          </cell>
          <cell r="E219" t="str">
            <v>ユニット1体に4ターンスリープ</v>
          </cell>
        </row>
        <row r="220">
          <cell r="B220">
            <v>24202</v>
          </cell>
          <cell r="C220">
            <v>530002</v>
          </cell>
          <cell r="D220" t="str">
            <v>天使のカーテン</v>
          </cell>
          <cell r="E220" t="str">
            <v>状態異常が効かなくなった！</v>
          </cell>
        </row>
        <row r="221">
          <cell r="B221">
            <v>24202</v>
          </cell>
          <cell r="C221">
            <v>500026</v>
          </cell>
          <cell r="D221" t="str">
            <v>コメットレイン</v>
          </cell>
          <cell r="E221" t="str">
            <v>緑パネルを時限式ダメージパネルに変換＋攻撃</v>
          </cell>
        </row>
        <row r="222">
          <cell r="B222">
            <v>24701</v>
          </cell>
          <cell r="C222">
            <v>540001</v>
          </cell>
          <cell r="D222" t="str">
            <v>デコイ</v>
          </cell>
          <cell r="E222" t="str">
            <v>3ターンタップ回数を1減少</v>
          </cell>
        </row>
        <row r="223">
          <cell r="B223">
            <v>24801</v>
          </cell>
          <cell r="C223">
            <v>540002</v>
          </cell>
          <cell r="D223" t="str">
            <v>フレア</v>
          </cell>
          <cell r="E223" t="str">
            <v>タップ回数を1減少+攻撃頻度が1ターンにUP</v>
          </cell>
        </row>
        <row r="224">
          <cell r="B224">
            <v>24802</v>
          </cell>
          <cell r="C224">
            <v>520009</v>
          </cell>
          <cell r="D224" t="str">
            <v>EMP</v>
          </cell>
          <cell r="E224" t="str">
            <v>3ターン緑パネルとスキルが使えない！</v>
          </cell>
        </row>
        <row r="225">
          <cell r="B225">
            <v>25001</v>
          </cell>
          <cell r="C225">
            <v>220026</v>
          </cell>
          <cell r="D225" t="str">
            <v>ゴールドラッシュ</v>
          </cell>
          <cell r="E225" t="str">
            <v>5回連続攻撃</v>
          </cell>
        </row>
        <row r="226">
          <cell r="B226">
            <v>25201</v>
          </cell>
          <cell r="C226">
            <v>220025</v>
          </cell>
          <cell r="D226" t="str">
            <v>ゴールドスラッシュ</v>
          </cell>
          <cell r="E226" t="str">
            <v>10回連続攻撃</v>
          </cell>
        </row>
        <row r="227">
          <cell r="B227">
            <v>25202</v>
          </cell>
          <cell r="C227">
            <v>540005</v>
          </cell>
          <cell r="D227" t="str">
            <v>カウントダウン</v>
          </cell>
          <cell r="E227" t="str">
            <v>この戦闘の間タップ時間の制限！【4秒】</v>
          </cell>
        </row>
        <row r="228">
          <cell r="B228">
            <v>25203</v>
          </cell>
          <cell r="C228">
            <v>550003</v>
          </cell>
          <cell r="D228" t="str">
            <v>ブラインドネス</v>
          </cell>
          <cell r="E228" t="str">
            <v>5ターンパネルの色が分からなくなる！</v>
          </cell>
        </row>
        <row r="229">
          <cell r="B229">
            <v>254</v>
          </cell>
          <cell r="C229">
            <v>200007</v>
          </cell>
          <cell r="D229" t="str">
            <v>不機嫌な目覚め</v>
          </cell>
          <cell r="E229" t="str">
            <v>次のターン強力な攻撃</v>
          </cell>
        </row>
        <row r="230">
          <cell r="B230">
            <v>254</v>
          </cell>
          <cell r="C230">
            <v>230007</v>
          </cell>
          <cell r="D230" t="str">
            <v>寝起きの鉄槌</v>
          </cell>
          <cell r="E230" t="str">
            <v>全体攻撃</v>
          </cell>
        </row>
        <row r="231">
          <cell r="B231">
            <v>256</v>
          </cell>
          <cell r="C231">
            <v>200006</v>
          </cell>
          <cell r="D231" t="str">
            <v>後悔するわよ</v>
          </cell>
          <cell r="E231" t="str">
            <v>次のターン強力な攻撃</v>
          </cell>
        </row>
        <row r="232">
          <cell r="B232">
            <v>257</v>
          </cell>
          <cell r="C232">
            <v>200006</v>
          </cell>
          <cell r="D232" t="str">
            <v>後悔するわよ</v>
          </cell>
          <cell r="E232" t="str">
            <v>次のターン強力な攻撃</v>
          </cell>
        </row>
        <row r="233">
          <cell r="B233">
            <v>317</v>
          </cell>
          <cell r="C233">
            <v>220009</v>
          </cell>
          <cell r="D233" t="str">
            <v>連続雷撃</v>
          </cell>
          <cell r="E233" t="str">
            <v>2回連続攻撃</v>
          </cell>
        </row>
        <row r="234">
          <cell r="B234">
            <v>317</v>
          </cell>
          <cell r="C234">
            <v>100006</v>
          </cell>
          <cell r="D234" t="str">
            <v>見物</v>
          </cell>
          <cell r="E234" t="str">
            <v>じっとこちらを見ている</v>
          </cell>
        </row>
        <row r="235">
          <cell r="B235">
            <v>317</v>
          </cell>
          <cell r="C235">
            <v>330004</v>
          </cell>
          <cell r="D235" t="str">
            <v>回線ショート</v>
          </cell>
          <cell r="E235" t="str">
            <v>3ターンスキルが使えない！</v>
          </cell>
        </row>
        <row r="236">
          <cell r="B236">
            <v>317</v>
          </cell>
          <cell r="C236">
            <v>410004</v>
          </cell>
          <cell r="D236" t="str">
            <v>電力アップ</v>
          </cell>
          <cell r="E236" t="str">
            <v>3ターン攻撃力UP</v>
          </cell>
        </row>
        <row r="237">
          <cell r="B237">
            <v>317</v>
          </cell>
          <cell r="C237">
            <v>210005</v>
          </cell>
          <cell r="D237" t="str">
            <v>猛烈電撃</v>
          </cell>
          <cell r="E237" t="str">
            <v>攻撃力×2.5倍の攻撃</v>
          </cell>
        </row>
        <row r="238">
          <cell r="B238">
            <v>317</v>
          </cell>
          <cell r="C238">
            <v>220010</v>
          </cell>
          <cell r="D238" t="str">
            <v>五月雨雷撃</v>
          </cell>
          <cell r="E238" t="str">
            <v>4回連続攻撃</v>
          </cell>
        </row>
        <row r="239">
          <cell r="B239">
            <v>317</v>
          </cell>
          <cell r="C239">
            <v>300004</v>
          </cell>
          <cell r="D239" t="str">
            <v>ヒール</v>
          </cell>
          <cell r="E239" t="str">
            <v>回復</v>
          </cell>
        </row>
        <row r="240">
          <cell r="B240">
            <v>319</v>
          </cell>
          <cell r="C240">
            <v>510007</v>
          </cell>
          <cell r="D240" t="str">
            <v>さよならハート</v>
          </cell>
          <cell r="E240" t="str">
            <v>ハートパネルを時限式ダメージパネルに変換</v>
          </cell>
        </row>
        <row r="241">
          <cell r="B241">
            <v>319</v>
          </cell>
          <cell r="C241">
            <v>230004</v>
          </cell>
          <cell r="D241" t="str">
            <v>絶望の悪夢</v>
          </cell>
          <cell r="E241" t="str">
            <v>強力な全体攻撃</v>
          </cell>
        </row>
        <row r="242">
          <cell r="B242">
            <v>319</v>
          </cell>
          <cell r="C242">
            <v>510006</v>
          </cell>
          <cell r="D242" t="str">
            <v>爆破します</v>
          </cell>
          <cell r="E242" t="str">
            <v>時限式ダメージパネル出現</v>
          </cell>
        </row>
        <row r="243">
          <cell r="B243">
            <v>319</v>
          </cell>
          <cell r="C243">
            <v>230003</v>
          </cell>
          <cell r="D243" t="str">
            <v>敗北の悪夢</v>
          </cell>
          <cell r="E243" t="str">
            <v>全体攻撃</v>
          </cell>
        </row>
        <row r="244">
          <cell r="B244">
            <v>319</v>
          </cell>
          <cell r="C244">
            <v>510005</v>
          </cell>
          <cell r="D244" t="str">
            <v>お邪魔します</v>
          </cell>
          <cell r="E244" t="str">
            <v>お邪魔パネル出現</v>
          </cell>
        </row>
        <row r="245">
          <cell r="B245">
            <v>319</v>
          </cell>
          <cell r="C245">
            <v>340003</v>
          </cell>
          <cell r="D245" t="str">
            <v>夢への誘い</v>
          </cell>
          <cell r="E245" t="str">
            <v>4ターンの間行動できない</v>
          </cell>
        </row>
        <row r="246">
          <cell r="B246">
            <v>3571</v>
          </cell>
          <cell r="C246">
            <v>230025</v>
          </cell>
          <cell r="D246" t="str">
            <v>ツムジ風！</v>
          </cell>
          <cell r="E246" t="str">
            <v>全体攻撃</v>
          </cell>
        </row>
        <row r="247">
          <cell r="B247">
            <v>2666</v>
          </cell>
          <cell r="C247">
            <v>330001</v>
          </cell>
          <cell r="D247" t="str">
            <v>ハングアップ</v>
          </cell>
          <cell r="E247" t="str">
            <v>2ターンスキルが使えない！</v>
          </cell>
        </row>
        <row r="248">
          <cell r="B248">
            <v>20011</v>
          </cell>
          <cell r="C248">
            <v>210011</v>
          </cell>
          <cell r="D248" t="str">
            <v>迫る鉤爪</v>
          </cell>
          <cell r="E248" t="str">
            <v>攻撃力×1.5倍の攻撃</v>
          </cell>
        </row>
        <row r="249">
          <cell r="B249">
            <v>263</v>
          </cell>
          <cell r="C249">
            <v>210012</v>
          </cell>
          <cell r="D249" t="str">
            <v>襲い来る鉤爪</v>
          </cell>
          <cell r="E249" t="str">
            <v>攻撃力×2.0倍の攻撃</v>
          </cell>
        </row>
        <row r="250">
          <cell r="B250">
            <v>266</v>
          </cell>
          <cell r="C250">
            <v>330005</v>
          </cell>
          <cell r="D250" t="str">
            <v>マインドスナッチ</v>
          </cell>
          <cell r="E250" t="str">
            <v>この戦闘ではスキルが使えない！</v>
          </cell>
        </row>
        <row r="251">
          <cell r="B251">
            <v>272</v>
          </cell>
          <cell r="C251">
            <v>510010</v>
          </cell>
          <cell r="D251" t="str">
            <v>ダウンカード</v>
          </cell>
          <cell r="E251" t="str">
            <v>お邪魔パネル出現</v>
          </cell>
        </row>
        <row r="252">
          <cell r="B252">
            <v>272</v>
          </cell>
          <cell r="C252">
            <v>100013</v>
          </cell>
          <cell r="D252" t="str">
            <v>高みの見物</v>
          </cell>
          <cell r="E252" t="str">
            <v>不敵に微笑んでいる</v>
          </cell>
        </row>
        <row r="253">
          <cell r="B253">
            <v>272</v>
          </cell>
          <cell r="C253">
            <v>500002</v>
          </cell>
          <cell r="D253" t="str">
            <v>マキシマムベット</v>
          </cell>
          <cell r="E253" t="str">
            <v>時限式ダメージパネル出現</v>
          </cell>
        </row>
        <row r="254">
          <cell r="B254">
            <v>272</v>
          </cell>
          <cell r="C254">
            <v>500003</v>
          </cell>
          <cell r="D254" t="str">
            <v>マキシマムベット</v>
          </cell>
          <cell r="E254" t="str">
            <v>時限式ダメージパネル出現</v>
          </cell>
        </row>
        <row r="255">
          <cell r="B255">
            <v>274</v>
          </cell>
          <cell r="C255">
            <v>200008</v>
          </cell>
          <cell r="D255" t="str">
            <v>フルスイング</v>
          </cell>
          <cell r="E255" t="str">
            <v>次のターン強力な攻撃</v>
          </cell>
        </row>
        <row r="256">
          <cell r="B256">
            <v>275</v>
          </cell>
          <cell r="C256">
            <v>200008</v>
          </cell>
          <cell r="D256" t="str">
            <v>フルスイング</v>
          </cell>
          <cell r="E256" t="str">
            <v>次のターン強力な攻撃</v>
          </cell>
        </row>
        <row r="257">
          <cell r="B257">
            <v>275</v>
          </cell>
          <cell r="C257">
            <v>200009</v>
          </cell>
          <cell r="D257" t="str">
            <v>キラースイング</v>
          </cell>
          <cell r="E257" t="str">
            <v>次のターン超強力な攻撃</v>
          </cell>
        </row>
        <row r="258">
          <cell r="B258">
            <v>268</v>
          </cell>
          <cell r="C258">
            <v>230009</v>
          </cell>
          <cell r="D258" t="str">
            <v>妙技「雷轟金閃」</v>
          </cell>
          <cell r="E258" t="str">
            <v>全体攻撃</v>
          </cell>
        </row>
        <row r="259">
          <cell r="B259">
            <v>264</v>
          </cell>
          <cell r="C259">
            <v>400007</v>
          </cell>
          <cell r="D259" t="str">
            <v>駿撃</v>
          </cell>
          <cell r="E259" t="str">
            <v>この戦闘の間攻撃頻度が1ターンにUP</v>
          </cell>
        </row>
        <row r="260">
          <cell r="B260">
            <v>270</v>
          </cell>
          <cell r="C260">
            <v>230010</v>
          </cell>
          <cell r="D260" t="str">
            <v>瞬殺の極意</v>
          </cell>
          <cell r="E260" t="str">
            <v>先制全体攻撃</v>
          </cell>
        </row>
        <row r="261">
          <cell r="B261">
            <v>271</v>
          </cell>
          <cell r="C261">
            <v>230010</v>
          </cell>
          <cell r="D261" t="str">
            <v>瞬殺の極意</v>
          </cell>
          <cell r="E261" t="str">
            <v>先制全体攻撃</v>
          </cell>
        </row>
        <row r="262">
          <cell r="B262">
            <v>271</v>
          </cell>
          <cell r="C262">
            <v>410008</v>
          </cell>
          <cell r="D262" t="str">
            <v>怒り鉤爪</v>
          </cell>
          <cell r="E262" t="str">
            <v>3ターン攻撃力UP</v>
          </cell>
        </row>
        <row r="263">
          <cell r="B263">
            <v>276</v>
          </cell>
          <cell r="C263">
            <v>100014</v>
          </cell>
          <cell r="D263" t="str">
            <v>困惑</v>
          </cell>
          <cell r="E263" t="str">
            <v>どうしたらよいのか分からないようだ</v>
          </cell>
        </row>
        <row r="264">
          <cell r="B264">
            <v>276</v>
          </cell>
          <cell r="C264">
            <v>400008</v>
          </cell>
          <cell r="D264" t="str">
            <v>急いで止めなきゃ</v>
          </cell>
          <cell r="E264" t="str">
            <v>攻撃頻度が1ターンにUP</v>
          </cell>
        </row>
        <row r="265">
          <cell r="B265">
            <v>277</v>
          </cell>
          <cell r="C265">
            <v>400008</v>
          </cell>
          <cell r="D265" t="str">
            <v>急いで止めなきゃ</v>
          </cell>
          <cell r="E265" t="str">
            <v>攻撃頻度が1ターンにUP</v>
          </cell>
        </row>
        <row r="266">
          <cell r="B266">
            <v>277</v>
          </cell>
          <cell r="C266">
            <v>410009</v>
          </cell>
          <cell r="D266" t="str">
            <v>本気で止めなきゃ</v>
          </cell>
          <cell r="E266" t="str">
            <v>5ターン攻撃力UP</v>
          </cell>
        </row>
        <row r="267">
          <cell r="B267">
            <v>277</v>
          </cell>
          <cell r="C267">
            <v>100014</v>
          </cell>
          <cell r="D267" t="str">
            <v>困惑</v>
          </cell>
          <cell r="E267" t="str">
            <v>どうしたらよいのか分からないようだ</v>
          </cell>
        </row>
        <row r="268">
          <cell r="B268">
            <v>1063</v>
          </cell>
          <cell r="C268">
            <v>400009</v>
          </cell>
          <cell r="D268" t="str">
            <v>クロックアップ</v>
          </cell>
          <cell r="E268" t="str">
            <v>2ターン攻撃頻度が1ターンにUP</v>
          </cell>
        </row>
        <row r="269">
          <cell r="B269">
            <v>1055</v>
          </cell>
          <cell r="C269">
            <v>210017</v>
          </cell>
          <cell r="D269" t="str">
            <v>ハンマーフォール</v>
          </cell>
          <cell r="E269" t="str">
            <v>攻撃力×1.3倍の攻撃</v>
          </cell>
        </row>
        <row r="270">
          <cell r="B270">
            <v>2063</v>
          </cell>
          <cell r="C270">
            <v>220013</v>
          </cell>
          <cell r="D270" t="str">
            <v>スピードスター</v>
          </cell>
          <cell r="E270" t="str">
            <v>8回連続攻撃</v>
          </cell>
        </row>
        <row r="271">
          <cell r="B271">
            <v>1123</v>
          </cell>
          <cell r="C271">
            <v>300002</v>
          </cell>
          <cell r="D271" t="str">
            <v>ヒール</v>
          </cell>
          <cell r="E271" t="str">
            <v>回復</v>
          </cell>
        </row>
        <row r="272">
          <cell r="B272">
            <v>1221</v>
          </cell>
          <cell r="C272">
            <v>100012</v>
          </cell>
          <cell r="D272" t="str">
            <v>りんご速報</v>
          </cell>
          <cell r="E272" t="str">
            <v>この果実はターン０になると自爆する！</v>
          </cell>
        </row>
        <row r="273">
          <cell r="B273">
            <v>1221</v>
          </cell>
          <cell r="C273">
            <v>240006</v>
          </cell>
          <cell r="D273" t="str">
            <v>生命の爆発</v>
          </cell>
          <cell r="E273" t="str">
            <v>攻撃力3倍の自爆攻撃を全体に行う</v>
          </cell>
        </row>
        <row r="274">
          <cell r="B274">
            <v>1211</v>
          </cell>
          <cell r="C274">
            <v>200010</v>
          </cell>
          <cell r="D274" t="str">
            <v>みなぎる闘志</v>
          </cell>
          <cell r="E274" t="str">
            <v>次のターン強力な攻撃</v>
          </cell>
        </row>
        <row r="275">
          <cell r="B275">
            <v>1231</v>
          </cell>
          <cell r="C275">
            <v>300006</v>
          </cell>
          <cell r="D275" t="str">
            <v>癒しの果汁</v>
          </cell>
          <cell r="E275" t="str">
            <v>回復</v>
          </cell>
        </row>
        <row r="276">
          <cell r="B276">
            <v>1045</v>
          </cell>
          <cell r="C276">
            <v>210018</v>
          </cell>
          <cell r="D276" t="str">
            <v>一筆一閃</v>
          </cell>
          <cell r="E276" t="str">
            <v>攻撃力×1.3倍の攻撃</v>
          </cell>
        </row>
        <row r="277">
          <cell r="B277">
            <v>278</v>
          </cell>
          <cell r="C277">
            <v>420001</v>
          </cell>
          <cell r="D277" t="str">
            <v>岩戸隠れ</v>
          </cell>
          <cell r="E277" t="str">
            <v>解除するまで防御力超絶UP＆攻撃力UP</v>
          </cell>
        </row>
        <row r="278">
          <cell r="B278">
            <v>278</v>
          </cell>
          <cell r="C278">
            <v>250001</v>
          </cell>
          <cell r="D278" t="str">
            <v>神をも燃やす天の炎</v>
          </cell>
          <cell r="E278" t="str">
            <v>種族ゴッドのユニットに大ダメージ</v>
          </cell>
        </row>
        <row r="279">
          <cell r="B279">
            <v>279</v>
          </cell>
          <cell r="C279">
            <v>420001</v>
          </cell>
          <cell r="D279" t="str">
            <v>岩戸隠れ</v>
          </cell>
          <cell r="E279" t="str">
            <v>解除するまで防御力超絶UP＆攻撃力UP</v>
          </cell>
        </row>
        <row r="280">
          <cell r="B280">
            <v>279</v>
          </cell>
          <cell r="C280">
            <v>250001</v>
          </cell>
          <cell r="D280" t="str">
            <v>神をも燃やす天の炎</v>
          </cell>
          <cell r="E280" t="str">
            <v>種族ゴッドのユニットに大ダメージ</v>
          </cell>
        </row>
        <row r="281">
          <cell r="B281">
            <v>13501</v>
          </cell>
          <cell r="C281">
            <v>320008</v>
          </cell>
          <cell r="D281" t="str">
            <v>炎華の香り・永代</v>
          </cell>
          <cell r="E281" t="str">
            <v>解除するまで毎ターンダメージを受ける</v>
          </cell>
        </row>
        <row r="282">
          <cell r="B282">
            <v>13501</v>
          </cell>
          <cell r="C282">
            <v>320009</v>
          </cell>
          <cell r="D282" t="str">
            <v>炎華の香り・真打</v>
          </cell>
          <cell r="E282" t="str">
            <v>5ターンの間ダメージを受ける</v>
          </cell>
        </row>
        <row r="283">
          <cell r="B283">
            <v>13501</v>
          </cell>
          <cell r="C283">
            <v>260001</v>
          </cell>
          <cell r="D283" t="str">
            <v>渓谷の霧雨</v>
          </cell>
          <cell r="E283" t="str">
            <v>赤属性の敵に大ダメージの攻撃</v>
          </cell>
        </row>
        <row r="284">
          <cell r="B284">
            <v>13501</v>
          </cell>
          <cell r="C284">
            <v>260002</v>
          </cell>
          <cell r="D284" t="str">
            <v>深山の芽吹き</v>
          </cell>
          <cell r="E284" t="str">
            <v>黄属性の敵に大ダメージの攻撃</v>
          </cell>
        </row>
        <row r="285">
          <cell r="B285">
            <v>13501</v>
          </cell>
          <cell r="C285">
            <v>260003</v>
          </cell>
          <cell r="D285" t="str">
            <v>灼熱の火炎</v>
          </cell>
          <cell r="E285" t="str">
            <v>緑属性の敵に大ダメージの攻撃</v>
          </cell>
        </row>
        <row r="286">
          <cell r="B286">
            <v>192</v>
          </cell>
          <cell r="C286">
            <v>350003</v>
          </cell>
          <cell r="D286" t="str">
            <v>神代の呪詛</v>
          </cell>
          <cell r="E286" t="str">
            <v>解除するまで回復力が100%DOWN</v>
          </cell>
        </row>
        <row r="287">
          <cell r="B287">
            <v>266</v>
          </cell>
          <cell r="C287">
            <v>510011</v>
          </cell>
          <cell r="D287" t="str">
            <v>ダズルフィクション</v>
          </cell>
          <cell r="E287" t="str">
            <v>ランダムで赤パネルに変換</v>
          </cell>
        </row>
        <row r="288">
          <cell r="B288">
            <v>266</v>
          </cell>
          <cell r="C288">
            <v>510012</v>
          </cell>
          <cell r="D288" t="str">
            <v>ダズルフィクション</v>
          </cell>
          <cell r="E288" t="str">
            <v>ランダムで青パネルに変換</v>
          </cell>
        </row>
        <row r="289">
          <cell r="B289">
            <v>266</v>
          </cell>
          <cell r="C289">
            <v>510013</v>
          </cell>
          <cell r="D289" t="str">
            <v>ダズルフィクション</v>
          </cell>
          <cell r="E289" t="str">
            <v>ランダムで緑パネルに変換</v>
          </cell>
        </row>
        <row r="290">
          <cell r="B290">
            <v>266</v>
          </cell>
          <cell r="C290">
            <v>510014</v>
          </cell>
          <cell r="D290" t="str">
            <v>ダズルフィクション</v>
          </cell>
          <cell r="E290" t="str">
            <v>ランダムで黄パネルに変換</v>
          </cell>
        </row>
        <row r="291">
          <cell r="B291">
            <v>28201</v>
          </cell>
          <cell r="C291">
            <v>220014</v>
          </cell>
          <cell r="D291" t="str">
            <v>ナーヴァ・グラハ</v>
          </cell>
          <cell r="E291" t="str">
            <v>8回連続攻撃</v>
          </cell>
        </row>
        <row r="292">
          <cell r="B292">
            <v>28202</v>
          </cell>
          <cell r="C292">
            <v>220016</v>
          </cell>
          <cell r="D292" t="str">
            <v>ナーヴァ・グラハ</v>
          </cell>
          <cell r="E292" t="str">
            <v>8回連続攻撃</v>
          </cell>
        </row>
        <row r="293">
          <cell r="B293">
            <v>28201</v>
          </cell>
          <cell r="C293">
            <v>400010</v>
          </cell>
          <cell r="D293" t="str">
            <v>処刑宣告完了</v>
          </cell>
          <cell r="E293" t="str">
            <v>この戦闘の間攻撃頻度が1ターンにUP</v>
          </cell>
        </row>
        <row r="294">
          <cell r="B294">
            <v>28202</v>
          </cell>
          <cell r="C294">
            <v>400010</v>
          </cell>
          <cell r="D294" t="str">
            <v>処刑宣告完了</v>
          </cell>
          <cell r="E294" t="str">
            <v>この戦闘の間攻撃頻度が1ターンにUP</v>
          </cell>
        </row>
        <row r="295">
          <cell r="B295">
            <v>28202</v>
          </cell>
          <cell r="C295">
            <v>23011</v>
          </cell>
          <cell r="D295" t="str">
            <v>ハル・ディナーハ</v>
          </cell>
          <cell r="E295" t="str">
            <v>強力な全体攻撃</v>
          </cell>
        </row>
        <row r="296">
          <cell r="B296">
            <v>13201</v>
          </cell>
          <cell r="C296">
            <v>230012</v>
          </cell>
          <cell r="D296" t="str">
            <v>黄剛の一閃</v>
          </cell>
          <cell r="E296" t="str">
            <v>無差別爆撃</v>
          </cell>
        </row>
        <row r="297">
          <cell r="B297">
            <v>286</v>
          </cell>
          <cell r="C297">
            <v>100015</v>
          </cell>
          <cell r="D297" t="str">
            <v>&lt;ロックオン&gt;</v>
          </cell>
          <cell r="E297" t="str">
            <v>発射準備開始</v>
          </cell>
        </row>
        <row r="298">
          <cell r="B298">
            <v>286</v>
          </cell>
          <cell r="C298">
            <v>100016</v>
          </cell>
          <cell r="D298" t="str">
            <v>&lt;装填中&gt;</v>
          </cell>
          <cell r="E298" t="str">
            <v>発射まで残り…</v>
          </cell>
        </row>
        <row r="299">
          <cell r="B299">
            <v>286</v>
          </cell>
          <cell r="C299">
            <v>210019</v>
          </cell>
          <cell r="D299" t="str">
            <v>&lt;キャノン砲発射&gt;</v>
          </cell>
          <cell r="E299" t="str">
            <v>超大攻撃</v>
          </cell>
        </row>
        <row r="300">
          <cell r="B300">
            <v>22401</v>
          </cell>
          <cell r="C300">
            <v>410012</v>
          </cell>
          <cell r="D300" t="str">
            <v>獅子の咆哮</v>
          </cell>
          <cell r="E300" t="str">
            <v>3ターン攻撃力大UP</v>
          </cell>
        </row>
        <row r="301">
          <cell r="B301">
            <v>22401</v>
          </cell>
          <cell r="C301">
            <v>400011</v>
          </cell>
          <cell r="D301" t="str">
            <v>疾走する本能</v>
          </cell>
          <cell r="E301" t="str">
            <v>4ターン攻撃頻度が1ターンにUP</v>
          </cell>
        </row>
        <row r="302">
          <cell r="B302">
            <v>22401</v>
          </cell>
          <cell r="C302">
            <v>100017</v>
          </cell>
          <cell r="D302" t="str">
            <v>人間風情が…</v>
          </cell>
          <cell r="E302" t="str">
            <v>右腕に凄まじい力を溜めている！</v>
          </cell>
        </row>
        <row r="303">
          <cell r="B303">
            <v>22401</v>
          </cell>
          <cell r="C303">
            <v>210020</v>
          </cell>
          <cell r="D303" t="str">
            <v>襲い来る鉤爪</v>
          </cell>
          <cell r="E303" t="str">
            <v>攻撃力×5.0倍の攻撃</v>
          </cell>
        </row>
        <row r="304">
          <cell r="B304">
            <v>20601</v>
          </cell>
          <cell r="C304">
            <v>340004</v>
          </cell>
          <cell r="D304" t="str">
            <v>魅惑の瞳</v>
          </cell>
          <cell r="E304" t="str">
            <v>ユニット1体に3ターンスリープ</v>
          </cell>
        </row>
        <row r="305">
          <cell r="B305">
            <v>20601</v>
          </cell>
          <cell r="C305">
            <v>300007</v>
          </cell>
          <cell r="D305" t="str">
            <v>永遠の美貌</v>
          </cell>
          <cell r="E305" t="str">
            <v>一度だけ大回復&amp;攻撃力UP</v>
          </cell>
        </row>
        <row r="306">
          <cell r="B306">
            <v>20901</v>
          </cell>
          <cell r="C306">
            <v>220015</v>
          </cell>
          <cell r="D306" t="str">
            <v>耐えられない孤独</v>
          </cell>
          <cell r="E306" t="str">
            <v>3回連続攻撃</v>
          </cell>
        </row>
        <row r="307">
          <cell r="B307">
            <v>20901</v>
          </cell>
          <cell r="C307">
            <v>340005</v>
          </cell>
          <cell r="D307" t="str">
            <v>安寧への誘い</v>
          </cell>
          <cell r="E307" t="str">
            <v>ユニット1体に4ターンスリープ</v>
          </cell>
        </row>
        <row r="308">
          <cell r="B308">
            <v>20901</v>
          </cell>
          <cell r="C308">
            <v>330006</v>
          </cell>
          <cell r="D308" t="str">
            <v>孤独の支配</v>
          </cell>
          <cell r="E308" t="str">
            <v>4ターンスキルが使えない！</v>
          </cell>
        </row>
        <row r="309">
          <cell r="B309">
            <v>20901</v>
          </cell>
          <cell r="C309">
            <v>330007</v>
          </cell>
          <cell r="D309" t="str">
            <v>孤独の支配</v>
          </cell>
          <cell r="E309" t="str">
            <v>4ターンスキルが使えない！</v>
          </cell>
        </row>
        <row r="310">
          <cell r="B310">
            <v>20901</v>
          </cell>
          <cell r="C310">
            <v>100019</v>
          </cell>
          <cell r="D310" t="str">
            <v>もう一人じゃないよね</v>
          </cell>
          <cell r="E310" t="str">
            <v>じっとこちらを見ている</v>
          </cell>
        </row>
        <row r="311">
          <cell r="B311">
            <v>19101</v>
          </cell>
          <cell r="C311">
            <v>100020</v>
          </cell>
          <cell r="D311" t="str">
            <v>魂の帰還</v>
          </cell>
          <cell r="E311" t="str">
            <v>見えない力が集まってゆく…</v>
          </cell>
        </row>
        <row r="312">
          <cell r="B312">
            <v>19101</v>
          </cell>
          <cell r="C312">
            <v>210023</v>
          </cell>
          <cell r="D312" t="str">
            <v>紅の衝撃</v>
          </cell>
          <cell r="E312" t="str">
            <v>攻撃力×2.0倍の攻撃</v>
          </cell>
        </row>
        <row r="313">
          <cell r="B313">
            <v>19101</v>
          </cell>
          <cell r="C313">
            <v>230014</v>
          </cell>
          <cell r="D313" t="str">
            <v>紅の一閃</v>
          </cell>
          <cell r="E313" t="str">
            <v>全体攻撃</v>
          </cell>
        </row>
        <row r="314">
          <cell r="B314">
            <v>19101</v>
          </cell>
          <cell r="C314">
            <v>410010</v>
          </cell>
          <cell r="D314" t="str">
            <v>攻勢の巫術</v>
          </cell>
          <cell r="E314" t="str">
            <v>3ターン攻撃力UP</v>
          </cell>
        </row>
        <row r="315">
          <cell r="B315">
            <v>19101</v>
          </cell>
          <cell r="C315">
            <v>510015</v>
          </cell>
          <cell r="D315" t="str">
            <v>生命変遷</v>
          </cell>
          <cell r="E315" t="str">
            <v>ハートパネルをお邪魔パネルに変換</v>
          </cell>
        </row>
        <row r="316">
          <cell r="B316">
            <v>19101</v>
          </cell>
          <cell r="C316">
            <v>320010</v>
          </cell>
          <cell r="D316" t="str">
            <v>死国への誘い</v>
          </cell>
          <cell r="E316" t="str">
            <v>解除するまで毎ターンダメージを受ける</v>
          </cell>
        </row>
        <row r="317">
          <cell r="B317">
            <v>12901</v>
          </cell>
          <cell r="C317">
            <v>210021</v>
          </cell>
          <cell r="D317" t="str">
            <v>疾風狼牙</v>
          </cell>
          <cell r="E317" t="str">
            <v>攻撃力×1.5倍の攻撃</v>
          </cell>
        </row>
        <row r="318">
          <cell r="B318">
            <v>12901</v>
          </cell>
          <cell r="C318">
            <v>410013</v>
          </cell>
          <cell r="D318" t="str">
            <v>野生の本能</v>
          </cell>
          <cell r="E318" t="str">
            <v>解除するまで攻撃力UP</v>
          </cell>
        </row>
        <row r="319">
          <cell r="B319">
            <v>29001</v>
          </cell>
          <cell r="C319">
            <v>430001</v>
          </cell>
          <cell r="D319" t="str">
            <v>フフ、遊んであげるわ</v>
          </cell>
          <cell r="E319" t="str">
            <v>余裕の笑みを浮かべている</v>
          </cell>
        </row>
        <row r="320">
          <cell r="B320">
            <v>29001</v>
          </cell>
          <cell r="C320">
            <v>410011</v>
          </cell>
          <cell r="D320" t="str">
            <v>痛いじゃないの！</v>
          </cell>
          <cell r="E320" t="str">
            <v>攻撃力が超大UP</v>
          </cell>
        </row>
        <row r="321">
          <cell r="B321">
            <v>29001</v>
          </cell>
          <cell r="C321">
            <v>320013</v>
          </cell>
          <cell r="D321" t="str">
            <v>や、やってくれたわね！</v>
          </cell>
          <cell r="E321" t="str">
            <v>2ターンの間ダメージを受ける</v>
          </cell>
        </row>
        <row r="322">
          <cell r="B322">
            <v>29002</v>
          </cell>
          <cell r="C322">
            <v>430001</v>
          </cell>
          <cell r="D322" t="str">
            <v>フフ、遊んであげるわ</v>
          </cell>
          <cell r="E322" t="str">
            <v>余裕の笑みを浮かべている</v>
          </cell>
        </row>
        <row r="323">
          <cell r="B323">
            <v>29002</v>
          </cell>
          <cell r="C323">
            <v>410011</v>
          </cell>
          <cell r="D323" t="str">
            <v>痛いじゃないの！</v>
          </cell>
          <cell r="E323" t="str">
            <v>攻撃力が超大UP</v>
          </cell>
        </row>
        <row r="324">
          <cell r="B324">
            <v>29002</v>
          </cell>
          <cell r="C324">
            <v>320011</v>
          </cell>
          <cell r="D324" t="str">
            <v>ブラッド・インク</v>
          </cell>
          <cell r="E324" t="str">
            <v>3ターンの間ダメージを受ける</v>
          </cell>
        </row>
        <row r="325">
          <cell r="B325">
            <v>29002</v>
          </cell>
          <cell r="C325">
            <v>320013</v>
          </cell>
          <cell r="D325" t="str">
            <v>や、やってくれたわね！</v>
          </cell>
          <cell r="E325" t="str">
            <v>2ターンの間ダメージを受ける</v>
          </cell>
        </row>
        <row r="326">
          <cell r="B326">
            <v>292</v>
          </cell>
          <cell r="C326">
            <v>100025</v>
          </cell>
          <cell r="D326" t="str">
            <v>ガラスの靴は私のもの！</v>
          </cell>
          <cell r="E326" t="str">
            <v>凄まじい気迫を感じる…！</v>
          </cell>
        </row>
        <row r="327">
          <cell r="B327">
            <v>292</v>
          </cell>
          <cell r="C327">
            <v>510016</v>
          </cell>
          <cell r="D327" t="str">
            <v>秘技・邪烈蒼打拳</v>
          </cell>
          <cell r="E327" t="str">
            <v>お邪魔パネル出現＋攻撃</v>
          </cell>
        </row>
        <row r="328">
          <cell r="B328">
            <v>29201</v>
          </cell>
          <cell r="C328">
            <v>100025</v>
          </cell>
          <cell r="D328" t="str">
            <v>ガラスの靴は私のもの！</v>
          </cell>
          <cell r="E328" t="str">
            <v>凄まじい気迫を感じる…！</v>
          </cell>
        </row>
        <row r="329">
          <cell r="B329">
            <v>29201</v>
          </cell>
          <cell r="C329">
            <v>510018</v>
          </cell>
          <cell r="D329" t="str">
            <v>邪気蒼黒掌</v>
          </cell>
          <cell r="E329" t="str">
            <v>少しだけお邪魔パネル出現＋攻撃</v>
          </cell>
        </row>
        <row r="330">
          <cell r="B330">
            <v>29201</v>
          </cell>
          <cell r="C330">
            <v>510016</v>
          </cell>
          <cell r="D330" t="str">
            <v>秘技・邪烈蒼打拳</v>
          </cell>
          <cell r="E330" t="str">
            <v>お邪魔パネル出現＋攻撃</v>
          </cell>
        </row>
        <row r="331">
          <cell r="B331">
            <v>293</v>
          </cell>
          <cell r="C331">
            <v>100025</v>
          </cell>
          <cell r="D331" t="str">
            <v>ガラスの靴は私のもの！</v>
          </cell>
          <cell r="E331" t="str">
            <v>凄まじい気迫を感じる…！</v>
          </cell>
        </row>
        <row r="332">
          <cell r="B332">
            <v>293</v>
          </cell>
          <cell r="C332">
            <v>510018</v>
          </cell>
          <cell r="D332" t="str">
            <v>邪気蒼黒掌</v>
          </cell>
          <cell r="E332" t="str">
            <v>少しだけお邪魔パネル出現＋攻撃</v>
          </cell>
        </row>
        <row r="333">
          <cell r="B333">
            <v>293</v>
          </cell>
          <cell r="C333">
            <v>510016</v>
          </cell>
          <cell r="D333" t="str">
            <v>秘技・邪烈蒼打拳</v>
          </cell>
          <cell r="E333" t="str">
            <v>お邪魔パネル出現＋攻撃</v>
          </cell>
        </row>
        <row r="334">
          <cell r="B334">
            <v>293</v>
          </cell>
          <cell r="C334">
            <v>510017</v>
          </cell>
          <cell r="D334" t="str">
            <v>奥義・邪砲蒼閃拳</v>
          </cell>
          <cell r="E334" t="str">
            <v>お邪魔パネル出現＋攻撃</v>
          </cell>
        </row>
        <row r="335">
          <cell r="B335">
            <v>297</v>
          </cell>
          <cell r="C335">
            <v>400012</v>
          </cell>
          <cell r="D335" t="str">
            <v>紅葉乱舞</v>
          </cell>
          <cell r="E335" t="str">
            <v>3ターン攻撃頻度が1ターンにUP</v>
          </cell>
        </row>
        <row r="336">
          <cell r="B336">
            <v>29701</v>
          </cell>
          <cell r="C336">
            <v>360002</v>
          </cell>
          <cell r="D336" t="str">
            <v>遊んでやろう</v>
          </cell>
          <cell r="E336" t="str">
            <v>赤属性ユニットの攻撃力が50%DOWN</v>
          </cell>
        </row>
        <row r="337">
          <cell r="B337">
            <v>29701</v>
          </cell>
          <cell r="C337">
            <v>51026</v>
          </cell>
          <cell r="D337" t="str">
            <v>ほれ、くぐり抜けろ</v>
          </cell>
          <cell r="E337" t="str">
            <v>お邪魔パネル出現＋攻撃</v>
          </cell>
        </row>
        <row r="338">
          <cell r="B338">
            <v>29701</v>
          </cell>
          <cell r="C338">
            <v>220028</v>
          </cell>
          <cell r="D338" t="str">
            <v>気分が良いぞ…</v>
          </cell>
          <cell r="E338" t="str">
            <v>3回連続攻撃</v>
          </cell>
        </row>
        <row r="339">
          <cell r="B339">
            <v>29701</v>
          </cell>
          <cell r="C339">
            <v>230026</v>
          </cell>
          <cell r="D339" t="str">
            <v>踊れヤギども</v>
          </cell>
          <cell r="E339" t="str">
            <v>全体攻撃</v>
          </cell>
        </row>
        <row r="340">
          <cell r="B340">
            <v>29702</v>
          </cell>
          <cell r="C340">
            <v>100032</v>
          </cell>
          <cell r="D340" t="str">
            <v>こい、遊んでやろう</v>
          </cell>
          <cell r="E340" t="str">
            <v>余裕の笑みを浮かべている</v>
          </cell>
        </row>
        <row r="341">
          <cell r="B341">
            <v>29702</v>
          </cell>
          <cell r="C341">
            <v>360002</v>
          </cell>
          <cell r="D341" t="str">
            <v>遊んでやろう</v>
          </cell>
          <cell r="E341" t="str">
            <v>赤属性ユニットの攻撃力が50%DOWN</v>
          </cell>
        </row>
        <row r="342">
          <cell r="B342">
            <v>29702</v>
          </cell>
          <cell r="C342">
            <v>51026</v>
          </cell>
          <cell r="D342" t="str">
            <v>ほれ、くぐり抜けろ</v>
          </cell>
          <cell r="E342" t="str">
            <v>お邪魔パネル出現＋攻撃</v>
          </cell>
        </row>
        <row r="343">
          <cell r="B343">
            <v>29702</v>
          </cell>
          <cell r="C343">
            <v>220028</v>
          </cell>
          <cell r="D343" t="str">
            <v>気分が良いぞ…</v>
          </cell>
          <cell r="E343" t="str">
            <v>3回連続攻撃</v>
          </cell>
        </row>
        <row r="344">
          <cell r="B344">
            <v>29702</v>
          </cell>
          <cell r="C344">
            <v>230026</v>
          </cell>
          <cell r="D344" t="str">
            <v>踊れヤギども</v>
          </cell>
          <cell r="E344" t="str">
            <v>全体攻撃</v>
          </cell>
        </row>
        <row r="345">
          <cell r="B345">
            <v>29703</v>
          </cell>
          <cell r="C345">
            <v>550005</v>
          </cell>
          <cell r="D345" t="str">
            <v>常世の闇に彷徨うがいい</v>
          </cell>
          <cell r="E345" t="str">
            <v>6ターンパネルの色が分からなくなる！</v>
          </cell>
        </row>
        <row r="346">
          <cell r="B346">
            <v>29703</v>
          </cell>
          <cell r="C346">
            <v>220029</v>
          </cell>
          <cell r="D346" t="str">
            <v>群れるな痴れ者ども</v>
          </cell>
          <cell r="E346" t="str">
            <v>5回連続攻撃</v>
          </cell>
        </row>
        <row r="347">
          <cell r="B347">
            <v>29703</v>
          </cell>
          <cell r="C347">
            <v>230027</v>
          </cell>
          <cell r="D347" t="str">
            <v>出でよグリゴリ！</v>
          </cell>
          <cell r="E347" t="str">
            <v>全体攻撃</v>
          </cell>
        </row>
        <row r="348">
          <cell r="B348">
            <v>29704</v>
          </cell>
          <cell r="C348">
            <v>310004</v>
          </cell>
          <cell r="D348" t="str">
            <v>貴様らに未来は無い…</v>
          </cell>
          <cell r="E348" t="str">
            <v>10ターンハートパネルで回復できない</v>
          </cell>
        </row>
        <row r="349">
          <cell r="B349">
            <v>29704</v>
          </cell>
          <cell r="C349">
            <v>410022</v>
          </cell>
          <cell r="D349" t="str">
            <v>このオレが愛でてやろう</v>
          </cell>
          <cell r="E349" t="str">
            <v>3ターン攻撃力UP</v>
          </cell>
        </row>
        <row r="350">
          <cell r="B350">
            <v>29704</v>
          </cell>
          <cell r="C350">
            <v>250011</v>
          </cell>
          <cell r="D350" t="str">
            <v>家畜が…目障りだ！</v>
          </cell>
          <cell r="E350" t="str">
            <v>種族アニマルのユニットに大ダメージ</v>
          </cell>
        </row>
        <row r="351">
          <cell r="B351">
            <v>29704</v>
          </cell>
          <cell r="C351">
            <v>230027</v>
          </cell>
          <cell r="D351" t="str">
            <v>出でよグリゴリ！</v>
          </cell>
          <cell r="E351" t="str">
            <v>全体攻撃</v>
          </cell>
        </row>
        <row r="352">
          <cell r="B352">
            <v>29704</v>
          </cell>
          <cell r="C352">
            <v>100030</v>
          </cell>
          <cell r="D352" t="str">
            <v>引導を渡してやろう…</v>
          </cell>
          <cell r="E352" t="str">
            <v>アザゼルの翼が開いてゆく…</v>
          </cell>
        </row>
        <row r="353">
          <cell r="B353">
            <v>29704</v>
          </cell>
          <cell r="C353">
            <v>210029</v>
          </cell>
          <cell r="D353" t="str">
            <v>EXECUTION</v>
          </cell>
          <cell r="E353" t="str">
            <v>攻撃力×3.0倍の攻撃</v>
          </cell>
        </row>
        <row r="354">
          <cell r="B354">
            <v>29705</v>
          </cell>
          <cell r="C354">
            <v>310004</v>
          </cell>
          <cell r="D354" t="str">
            <v>貴様らに未来は無い…</v>
          </cell>
          <cell r="E354" t="str">
            <v>10ターンハートパネルで回復できない</v>
          </cell>
        </row>
        <row r="355">
          <cell r="B355">
            <v>29705</v>
          </cell>
          <cell r="C355">
            <v>410022</v>
          </cell>
          <cell r="D355" t="str">
            <v>このオレが愛でてやろう</v>
          </cell>
          <cell r="E355" t="str">
            <v>3ターン攻撃力UP</v>
          </cell>
        </row>
        <row r="356">
          <cell r="B356">
            <v>29705</v>
          </cell>
          <cell r="C356">
            <v>250011</v>
          </cell>
          <cell r="D356" t="str">
            <v>家畜が…目障りだ！</v>
          </cell>
          <cell r="E356" t="str">
            <v>種族アニマルのユニットに大ダメージ</v>
          </cell>
        </row>
        <row r="357">
          <cell r="B357">
            <v>29705</v>
          </cell>
          <cell r="C357">
            <v>230027</v>
          </cell>
          <cell r="D357" t="str">
            <v>出でよグリゴリ！</v>
          </cell>
          <cell r="E357" t="str">
            <v>全体攻撃</v>
          </cell>
        </row>
        <row r="358">
          <cell r="B358">
            <v>29705</v>
          </cell>
          <cell r="C358">
            <v>100030</v>
          </cell>
          <cell r="D358" t="str">
            <v>引導を渡してやろう…</v>
          </cell>
          <cell r="E358" t="str">
            <v>アザゼルの翼が開いてゆく…</v>
          </cell>
        </row>
        <row r="359">
          <cell r="B359">
            <v>29705</v>
          </cell>
          <cell r="C359">
            <v>210029</v>
          </cell>
          <cell r="D359" t="str">
            <v>EXECUTION</v>
          </cell>
          <cell r="E359" t="str">
            <v>攻撃力×3.0倍の攻撃</v>
          </cell>
        </row>
        <row r="360">
          <cell r="B360">
            <v>14101</v>
          </cell>
          <cell r="C360">
            <v>360001</v>
          </cell>
          <cell r="D360" t="str">
            <v>楽しき宴</v>
          </cell>
          <cell r="E360" t="str">
            <v>赤属性ユニットの攻撃力が100%DOWN</v>
          </cell>
        </row>
        <row r="361">
          <cell r="B361">
            <v>3301</v>
          </cell>
          <cell r="C361">
            <v>200011</v>
          </cell>
          <cell r="D361" t="str">
            <v>ハイパーリラックス</v>
          </cell>
          <cell r="E361" t="str">
            <v>次のターン超強力な攻撃</v>
          </cell>
        </row>
        <row r="362">
          <cell r="B362">
            <v>15101</v>
          </cell>
          <cell r="C362">
            <v>510019</v>
          </cell>
          <cell r="D362" t="str">
            <v>ハートジャミング</v>
          </cell>
          <cell r="E362" t="str">
            <v>ハートパネルを時限式ダメージパネルに変換</v>
          </cell>
        </row>
        <row r="363">
          <cell r="B363">
            <v>15101</v>
          </cell>
          <cell r="C363">
            <v>230015</v>
          </cell>
          <cell r="D363" t="str">
            <v>スプレッドボム</v>
          </cell>
          <cell r="E363" t="str">
            <v>全体攻撃</v>
          </cell>
        </row>
        <row r="364">
          <cell r="B364">
            <v>15101</v>
          </cell>
          <cell r="C364">
            <v>100021</v>
          </cell>
          <cell r="D364" t="str">
            <v>自爆の覚悟</v>
          </cell>
          <cell r="E364" t="str">
            <v>特大の爆弾を構えている！</v>
          </cell>
        </row>
        <row r="365">
          <cell r="B365">
            <v>15101</v>
          </cell>
          <cell r="C365">
            <v>240007</v>
          </cell>
          <cell r="D365" t="str">
            <v>最後の爆弾</v>
          </cell>
          <cell r="E365" t="str">
            <v>自爆＆ウィルス</v>
          </cell>
        </row>
        <row r="366">
          <cell r="B366">
            <v>28701</v>
          </cell>
          <cell r="C366">
            <v>400014</v>
          </cell>
          <cell r="D366" t="str">
            <v>&lt;ロックオン&gt;</v>
          </cell>
          <cell r="E366" t="str">
            <v>発射準備開始</v>
          </cell>
        </row>
        <row r="367">
          <cell r="B367">
            <v>28701</v>
          </cell>
          <cell r="C367">
            <v>100016</v>
          </cell>
          <cell r="D367" t="str">
            <v>&lt;装填中&gt;</v>
          </cell>
          <cell r="E367" t="str">
            <v>発射まで残り…</v>
          </cell>
        </row>
        <row r="368">
          <cell r="B368">
            <v>28701</v>
          </cell>
          <cell r="C368">
            <v>210019</v>
          </cell>
          <cell r="D368" t="str">
            <v>&lt;キャノン砲発射&gt;</v>
          </cell>
          <cell r="E368" t="str">
            <v>超大攻撃</v>
          </cell>
        </row>
        <row r="369">
          <cell r="B369">
            <v>294</v>
          </cell>
          <cell r="C369">
            <v>220017</v>
          </cell>
          <cell r="D369" t="str">
            <v>抑えきれぬ食欲</v>
          </cell>
          <cell r="E369" t="str">
            <v>5回連続攻撃+3ターン攻撃力小UP</v>
          </cell>
        </row>
        <row r="370">
          <cell r="B370">
            <v>29401</v>
          </cell>
          <cell r="C370">
            <v>530001</v>
          </cell>
          <cell r="D370" t="str">
            <v>鋼鉄の胃袋</v>
          </cell>
          <cell r="E370" t="str">
            <v>状態異常が効かなくなった！</v>
          </cell>
        </row>
        <row r="371">
          <cell r="B371">
            <v>29401</v>
          </cell>
          <cell r="C371">
            <v>220018</v>
          </cell>
          <cell r="D371" t="str">
            <v>襲い来る食欲</v>
          </cell>
          <cell r="E371" t="str">
            <v>10回連続攻撃+5ターン攻撃力小UP</v>
          </cell>
        </row>
        <row r="372">
          <cell r="B372">
            <v>295</v>
          </cell>
          <cell r="C372">
            <v>530001</v>
          </cell>
          <cell r="D372" t="str">
            <v>鋼鉄の胃袋</v>
          </cell>
          <cell r="E372" t="str">
            <v>状態異常が効かなくなった！</v>
          </cell>
        </row>
        <row r="373">
          <cell r="B373">
            <v>295</v>
          </cell>
          <cell r="C373">
            <v>220019</v>
          </cell>
          <cell r="D373" t="str">
            <v>果てしなき食欲</v>
          </cell>
          <cell r="E373" t="str">
            <v>20回連続攻撃+5ターン攻撃力UP</v>
          </cell>
        </row>
        <row r="374">
          <cell r="B374">
            <v>30401</v>
          </cell>
          <cell r="C374">
            <v>40025</v>
          </cell>
          <cell r="D374" t="str">
            <v>あ、あのねっ</v>
          </cell>
          <cell r="E374" t="str">
            <v>2ターン攻撃頻度が1ターンにUP＋5ターン黄パネル無効</v>
          </cell>
        </row>
        <row r="375">
          <cell r="B375">
            <v>30401</v>
          </cell>
          <cell r="C375">
            <v>51027</v>
          </cell>
          <cell r="D375" t="str">
            <v>よかったら…これ…</v>
          </cell>
          <cell r="E375" t="str">
            <v>黄色パネルを10個まで緑色パネルに変換</v>
          </cell>
        </row>
        <row r="376">
          <cell r="B376">
            <v>30401</v>
          </cell>
          <cell r="C376">
            <v>51029</v>
          </cell>
          <cell r="D376" t="str">
            <v>受け取ってほしいなっ</v>
          </cell>
          <cell r="E376" t="str">
            <v>時限式ダメージパネル出現</v>
          </cell>
        </row>
        <row r="377">
          <cell r="B377">
            <v>30401</v>
          </cell>
          <cell r="C377">
            <v>200016</v>
          </cell>
          <cell r="D377" t="str">
            <v>ビリビリちゃーじ！</v>
          </cell>
          <cell r="E377" t="str">
            <v>5回連続攻撃＋次のターン強力な攻撃</v>
          </cell>
        </row>
        <row r="378">
          <cell r="B378">
            <v>30401</v>
          </cell>
          <cell r="C378">
            <v>230029</v>
          </cell>
          <cell r="D378" t="str">
            <v>ビリビリあたっく！</v>
          </cell>
          <cell r="E378" t="str">
            <v>全体攻撃</v>
          </cell>
        </row>
        <row r="379">
          <cell r="B379">
            <v>30402</v>
          </cell>
          <cell r="C379">
            <v>40025</v>
          </cell>
          <cell r="D379" t="str">
            <v>あ、あのねっ</v>
          </cell>
          <cell r="E379" t="str">
            <v>2ターン攻撃頻度が1ターンにUP＋5ターン黄パネル無効</v>
          </cell>
        </row>
        <row r="380">
          <cell r="B380">
            <v>30402</v>
          </cell>
          <cell r="C380">
            <v>51027</v>
          </cell>
          <cell r="D380" t="str">
            <v>よかったら…これ…</v>
          </cell>
          <cell r="E380" t="str">
            <v>黄色パネルを10個まで緑色パネルに変換</v>
          </cell>
        </row>
        <row r="381">
          <cell r="B381">
            <v>30402</v>
          </cell>
          <cell r="C381">
            <v>51029</v>
          </cell>
          <cell r="D381" t="str">
            <v>受け取ってほしいなっ</v>
          </cell>
          <cell r="E381" t="str">
            <v>時限式ダメージパネル出現</v>
          </cell>
        </row>
        <row r="382">
          <cell r="B382">
            <v>30402</v>
          </cell>
          <cell r="C382">
            <v>200016</v>
          </cell>
          <cell r="D382" t="str">
            <v>ビリビリちゃーじ！</v>
          </cell>
          <cell r="E382" t="str">
            <v>5回連続攻撃＋次のターン強力な攻撃</v>
          </cell>
        </row>
        <row r="383">
          <cell r="B383">
            <v>30402</v>
          </cell>
          <cell r="C383">
            <v>230029</v>
          </cell>
          <cell r="D383" t="str">
            <v>ビリビリあたっく！</v>
          </cell>
          <cell r="E383" t="str">
            <v>全体攻撃</v>
          </cell>
        </row>
        <row r="384">
          <cell r="B384">
            <v>30501</v>
          </cell>
          <cell r="C384">
            <v>40025</v>
          </cell>
          <cell r="D384" t="str">
            <v>あ、あのねっ</v>
          </cell>
          <cell r="E384" t="str">
            <v>2ターン攻撃頻度が1ターンにUP＋5ターン黄パネル無効</v>
          </cell>
        </row>
        <row r="385">
          <cell r="B385">
            <v>30501</v>
          </cell>
          <cell r="C385">
            <v>51027</v>
          </cell>
          <cell r="D385" t="str">
            <v>よかったら…これ…</v>
          </cell>
          <cell r="E385" t="str">
            <v>黄色パネルを10個まで緑色パネルに変換</v>
          </cell>
        </row>
        <row r="386">
          <cell r="B386">
            <v>30501</v>
          </cell>
          <cell r="C386">
            <v>51028</v>
          </cell>
          <cell r="D386" t="str">
            <v>受け取ってほしいな♪</v>
          </cell>
          <cell r="E386" t="str">
            <v>時限式ダメージパネル出現＋全属性カウンター2ターン</v>
          </cell>
        </row>
        <row r="387">
          <cell r="B387">
            <v>30501</v>
          </cell>
          <cell r="C387">
            <v>370006</v>
          </cell>
          <cell r="D387" t="str">
            <v>ほらほら、触ってみて？</v>
          </cell>
          <cell r="E387" t="str">
            <v>全属性ユニットの攻撃を1ターンカウンター</v>
          </cell>
        </row>
        <row r="388">
          <cell r="B388">
            <v>30501</v>
          </cell>
          <cell r="C388">
            <v>200016</v>
          </cell>
          <cell r="D388" t="str">
            <v>ビリビリちゃーじ！</v>
          </cell>
          <cell r="E388" t="str">
            <v>5回連続攻撃＋次のターン強力な攻撃</v>
          </cell>
        </row>
        <row r="389">
          <cell r="B389">
            <v>30501</v>
          </cell>
          <cell r="C389">
            <v>230029</v>
          </cell>
          <cell r="D389" t="str">
            <v>ビリビリあたっく！</v>
          </cell>
          <cell r="E389" t="str">
            <v>全体攻撃</v>
          </cell>
        </row>
        <row r="390">
          <cell r="B390">
            <v>284</v>
          </cell>
          <cell r="C390">
            <v>520001</v>
          </cell>
          <cell r="D390" t="str">
            <v>グリーン・スポイル</v>
          </cell>
          <cell r="E390" t="str">
            <v>1ターン緑パネルが使えない＋攻撃</v>
          </cell>
        </row>
        <row r="391">
          <cell r="B391">
            <v>284</v>
          </cell>
          <cell r="C391">
            <v>520010</v>
          </cell>
          <cell r="D391" t="str">
            <v>ハート・スポイル</v>
          </cell>
          <cell r="E391" t="str">
            <v>5ターンハートパネルが使えない＋攻撃</v>
          </cell>
        </row>
        <row r="392">
          <cell r="B392">
            <v>14202</v>
          </cell>
          <cell r="C392">
            <v>250005</v>
          </cell>
          <cell r="D392" t="str">
            <v>アニマルキラー</v>
          </cell>
          <cell r="E392" t="str">
            <v>種族アニマルのユニットに大ダメージ</v>
          </cell>
        </row>
        <row r="393">
          <cell r="B393">
            <v>12702</v>
          </cell>
          <cell r="C393">
            <v>220002</v>
          </cell>
          <cell r="D393" t="str">
            <v>狂乱打</v>
          </cell>
          <cell r="E393" t="str">
            <v>2回連続攻撃</v>
          </cell>
        </row>
        <row r="394">
          <cell r="B394">
            <v>12702</v>
          </cell>
          <cell r="C394">
            <v>400017</v>
          </cell>
          <cell r="D394" t="str">
            <v>狂乱の宴</v>
          </cell>
          <cell r="E394" t="str">
            <v>この戦闘の間攻撃頻度が1ターンにUP</v>
          </cell>
        </row>
        <row r="395">
          <cell r="B395">
            <v>14401</v>
          </cell>
          <cell r="C395">
            <v>420004</v>
          </cell>
          <cell r="D395" t="str">
            <v>竹林の防壁</v>
          </cell>
          <cell r="E395" t="str">
            <v>解除するまで防御力超絶UP</v>
          </cell>
        </row>
        <row r="396">
          <cell r="B396">
            <v>15201</v>
          </cell>
          <cell r="C396">
            <v>310003</v>
          </cell>
          <cell r="D396" t="str">
            <v>心頭滅却</v>
          </cell>
          <cell r="E396" t="str">
            <v>ハートパネルで回復できない</v>
          </cell>
        </row>
        <row r="397">
          <cell r="B397">
            <v>15201</v>
          </cell>
          <cell r="C397">
            <v>210027</v>
          </cell>
          <cell r="D397" t="str">
            <v>猛虎の手</v>
          </cell>
          <cell r="E397" t="str">
            <v>攻撃力×1.3倍の攻撃</v>
          </cell>
        </row>
        <row r="398">
          <cell r="B398">
            <v>15201</v>
          </cell>
          <cell r="C398">
            <v>220023</v>
          </cell>
          <cell r="D398" t="str">
            <v>山猿の足</v>
          </cell>
          <cell r="E398" t="str">
            <v>5回連続攻撃</v>
          </cell>
        </row>
        <row r="399">
          <cell r="B399">
            <v>15201</v>
          </cell>
          <cell r="C399">
            <v>250009</v>
          </cell>
          <cell r="D399" t="str">
            <v>神撃ちの拳</v>
          </cell>
          <cell r="E399" t="str">
            <v>種族ゴッドのユニットに大ダメージ</v>
          </cell>
        </row>
        <row r="400">
          <cell r="B400">
            <v>21201</v>
          </cell>
          <cell r="C400">
            <v>500004</v>
          </cell>
          <cell r="D400" t="str">
            <v>クロックメテオ</v>
          </cell>
          <cell r="E400" t="str">
            <v>時限式ダメージパネル出現</v>
          </cell>
        </row>
        <row r="401">
          <cell r="B401">
            <v>21201</v>
          </cell>
          <cell r="C401">
            <v>100023</v>
          </cell>
          <cell r="D401" t="str">
            <v>星降りの儀</v>
          </cell>
          <cell r="E401" t="str">
            <v>天に流星が集まっていく！</v>
          </cell>
        </row>
        <row r="402">
          <cell r="B402">
            <v>21201</v>
          </cell>
          <cell r="C402">
            <v>230017</v>
          </cell>
          <cell r="D402" t="str">
            <v>地を焦がす流星雨</v>
          </cell>
          <cell r="E402" t="str">
            <v>全体攻撃</v>
          </cell>
        </row>
        <row r="403">
          <cell r="B403">
            <v>18601</v>
          </cell>
          <cell r="C403">
            <v>340007</v>
          </cell>
          <cell r="D403" t="str">
            <v>殺戮の子守唄</v>
          </cell>
          <cell r="E403" t="str">
            <v>ユニット1体に3ターンスリープ＆連続攻撃</v>
          </cell>
        </row>
        <row r="404">
          <cell r="B404">
            <v>18601</v>
          </cell>
          <cell r="C404">
            <v>210028</v>
          </cell>
          <cell r="D404" t="str">
            <v>蒼の衝撃</v>
          </cell>
          <cell r="E404" t="str">
            <v>攻撃力×1.6倍の攻撃</v>
          </cell>
        </row>
        <row r="405">
          <cell r="B405">
            <v>18601</v>
          </cell>
          <cell r="C405">
            <v>550002</v>
          </cell>
          <cell r="D405" t="str">
            <v>触手姫の口づけ</v>
          </cell>
          <cell r="E405" t="str">
            <v>1ターンパネルの色が分からなくなる！</v>
          </cell>
        </row>
        <row r="406">
          <cell r="B406">
            <v>18601</v>
          </cell>
          <cell r="C406">
            <v>100024</v>
          </cell>
          <cell r="D406" t="str">
            <v>絡みつく触手</v>
          </cell>
          <cell r="E406" t="str">
            <v>無数の触手がこちらを狙っている！</v>
          </cell>
        </row>
        <row r="407">
          <cell r="B407">
            <v>18601</v>
          </cell>
          <cell r="C407">
            <v>220024</v>
          </cell>
          <cell r="D407" t="str">
            <v>地獄の締め上げ</v>
          </cell>
          <cell r="E407" t="str">
            <v>7回連続攻撃</v>
          </cell>
        </row>
        <row r="408">
          <cell r="B408">
            <v>348</v>
          </cell>
          <cell r="C408">
            <v>520004</v>
          </cell>
          <cell r="D408" t="str">
            <v>ディスレッド</v>
          </cell>
          <cell r="E408" t="str">
            <v>2ターン赤パネルが使えない！</v>
          </cell>
        </row>
        <row r="409">
          <cell r="B409">
            <v>350</v>
          </cell>
          <cell r="C409">
            <v>520005</v>
          </cell>
          <cell r="D409" t="str">
            <v>ディスグリーン</v>
          </cell>
          <cell r="E409" t="str">
            <v>2ターン緑パネルが使えない！</v>
          </cell>
        </row>
        <row r="410">
          <cell r="B410">
            <v>352</v>
          </cell>
          <cell r="C410">
            <v>520006</v>
          </cell>
          <cell r="D410" t="str">
            <v>ディスブルー</v>
          </cell>
          <cell r="E410" t="str">
            <v>2ターン青パネルが使えない！</v>
          </cell>
        </row>
        <row r="411">
          <cell r="B411">
            <v>354</v>
          </cell>
          <cell r="C411">
            <v>520007</v>
          </cell>
          <cell r="D411" t="str">
            <v>ディスイエロー</v>
          </cell>
          <cell r="E411" t="str">
            <v>2ターン黄パネルが使えない！</v>
          </cell>
        </row>
        <row r="412">
          <cell r="B412">
            <v>360</v>
          </cell>
          <cell r="C412">
            <v>550004</v>
          </cell>
          <cell r="D412" t="str">
            <v>マヨビーム</v>
          </cell>
          <cell r="E412" t="str">
            <v>2ターンパネルの色が分からなくなる！</v>
          </cell>
        </row>
        <row r="413">
          <cell r="B413">
            <v>3611</v>
          </cell>
          <cell r="C413">
            <v>410025</v>
          </cell>
          <cell r="D413" t="str">
            <v>全力応援</v>
          </cell>
          <cell r="E413" t="str">
            <v>3ターン攻撃力UP</v>
          </cell>
        </row>
        <row r="414">
          <cell r="B414">
            <v>362</v>
          </cell>
          <cell r="C414">
            <v>370003</v>
          </cell>
          <cell r="D414" t="str">
            <v>ダダこね</v>
          </cell>
          <cell r="E414" t="str">
            <v>赤属性ユニットの攻撃を1ターンカウンター</v>
          </cell>
        </row>
        <row r="415">
          <cell r="B415">
            <v>3631</v>
          </cell>
          <cell r="C415">
            <v>320014</v>
          </cell>
          <cell r="D415" t="str">
            <v>パタパタ胞子</v>
          </cell>
          <cell r="E415" t="str">
            <v>3ターンの間ダメージを受ける</v>
          </cell>
        </row>
        <row r="416">
          <cell r="B416">
            <v>364</v>
          </cell>
          <cell r="C416">
            <v>540007</v>
          </cell>
          <cell r="D416" t="str">
            <v>ディスアーム</v>
          </cell>
          <cell r="E416" t="str">
            <v>3ターンタップ回数を1減少＋攻撃</v>
          </cell>
        </row>
        <row r="417">
          <cell r="B417">
            <v>3651</v>
          </cell>
          <cell r="C417">
            <v>340012</v>
          </cell>
          <cell r="D417" t="str">
            <v>おやすみマーチ</v>
          </cell>
          <cell r="E417" t="str">
            <v>ユニット1体に3ターンスリープ</v>
          </cell>
        </row>
        <row r="418">
          <cell r="B418">
            <v>366</v>
          </cell>
          <cell r="C418">
            <v>500006</v>
          </cell>
          <cell r="D418" t="str">
            <v>クレイモア</v>
          </cell>
          <cell r="E418" t="str">
            <v>時限式ダメージパネル出現</v>
          </cell>
        </row>
        <row r="419">
          <cell r="B419">
            <v>3671</v>
          </cell>
          <cell r="C419">
            <v>330016</v>
          </cell>
          <cell r="D419" t="str">
            <v>実戦ロープワーク</v>
          </cell>
          <cell r="E419" t="str">
            <v>3ターンスキルが使えない！</v>
          </cell>
        </row>
        <row r="420">
          <cell r="B420">
            <v>369</v>
          </cell>
          <cell r="C420">
            <v>520002</v>
          </cell>
          <cell r="D420" t="str">
            <v>蒼を撃ち抜く弾丸</v>
          </cell>
          <cell r="E420" t="str">
            <v>5ターン青パネルが使えない！</v>
          </cell>
        </row>
        <row r="421">
          <cell r="B421">
            <v>369</v>
          </cell>
          <cell r="C421">
            <v>420005</v>
          </cell>
          <cell r="D421" t="str">
            <v>弾幕の嵐</v>
          </cell>
          <cell r="E421" t="str">
            <v>3ターン防御力UP＆攻撃力UP</v>
          </cell>
        </row>
        <row r="422">
          <cell r="B422">
            <v>369</v>
          </cell>
          <cell r="C422">
            <v>400016</v>
          </cell>
          <cell r="D422" t="str">
            <v>ターゲット・ロックオン</v>
          </cell>
          <cell r="E422" t="str">
            <v>5ターン攻撃頻度が1ターンにUP</v>
          </cell>
        </row>
        <row r="423">
          <cell r="B423">
            <v>369</v>
          </cell>
          <cell r="C423">
            <v>230018</v>
          </cell>
          <cell r="D423" t="str">
            <v>無差別乱射</v>
          </cell>
          <cell r="E423" t="str">
            <v>全体攻撃</v>
          </cell>
        </row>
        <row r="424">
          <cell r="B424">
            <v>369</v>
          </cell>
          <cell r="C424">
            <v>200012</v>
          </cell>
          <cell r="D424" t="str">
            <v>ラストシューティング</v>
          </cell>
          <cell r="E424" t="str">
            <v>次のターン超強力な攻撃</v>
          </cell>
        </row>
        <row r="425">
          <cell r="B425">
            <v>369</v>
          </cell>
          <cell r="C425">
            <v>350007</v>
          </cell>
          <cell r="D425" t="str">
            <v>ハートスナイプ</v>
          </cell>
          <cell r="E425" t="str">
            <v>5ターン回復力が100%DOWN</v>
          </cell>
        </row>
        <row r="426">
          <cell r="B426">
            <v>16401</v>
          </cell>
          <cell r="C426">
            <v>510023</v>
          </cell>
          <cell r="D426" t="str">
            <v>イブと遊ぼ？</v>
          </cell>
          <cell r="E426" t="str">
            <v>少しだけお邪魔パネル出現</v>
          </cell>
        </row>
        <row r="427">
          <cell r="B427">
            <v>16401</v>
          </cell>
          <cell r="C427">
            <v>410015</v>
          </cell>
          <cell r="D427" t="str">
            <v>もっと遊ぼう？</v>
          </cell>
          <cell r="E427" t="str">
            <v>5ターン攻撃力大UP</v>
          </cell>
        </row>
        <row r="428">
          <cell r="B428">
            <v>28801</v>
          </cell>
          <cell r="C428">
            <v>420008</v>
          </cell>
          <cell r="D428" t="str">
            <v>わたしの嫁を返してもらおう</v>
          </cell>
          <cell r="E428" t="str">
            <v>5ターン防御力UP</v>
          </cell>
        </row>
        <row r="429">
          <cell r="B429">
            <v>28801</v>
          </cell>
          <cell r="C429">
            <v>41016</v>
          </cell>
          <cell r="D429" t="str">
            <v>力尽くでも奪い返す…！</v>
          </cell>
          <cell r="E429" t="str">
            <v>解除するまで攻撃力UP</v>
          </cell>
        </row>
        <row r="430">
          <cell r="B430">
            <v>28801</v>
          </cell>
          <cell r="C430">
            <v>100028</v>
          </cell>
          <cell r="D430" t="str">
            <v>フフフ・・・</v>
          </cell>
          <cell r="E430" t="str">
            <v>不敵に微笑んでいる</v>
          </cell>
        </row>
        <row r="431">
          <cell r="B431">
            <v>28802</v>
          </cell>
          <cell r="C431">
            <v>420009</v>
          </cell>
          <cell r="D431" t="str">
            <v>わたしの嫁を返してもらおう</v>
          </cell>
          <cell r="E431" t="str">
            <v>5ターン防御力UP</v>
          </cell>
        </row>
        <row r="432">
          <cell r="B432">
            <v>28803</v>
          </cell>
          <cell r="C432">
            <v>420010</v>
          </cell>
          <cell r="D432" t="str">
            <v>わたしの嫁を返してもらおう</v>
          </cell>
          <cell r="E432" t="str">
            <v>5ターン防御力UP</v>
          </cell>
        </row>
        <row r="433">
          <cell r="B433">
            <v>28803</v>
          </cell>
          <cell r="C433">
            <v>200013</v>
          </cell>
          <cell r="D433" t="str">
            <v>わたしに触るな！</v>
          </cell>
          <cell r="E433" t="str">
            <v>次のターン強力な攻撃</v>
          </cell>
        </row>
        <row r="434">
          <cell r="B434">
            <v>28804</v>
          </cell>
          <cell r="C434">
            <v>41016</v>
          </cell>
          <cell r="D434" t="str">
            <v>力尽くでも奪い返す…！</v>
          </cell>
          <cell r="E434" t="str">
            <v>解除するまで攻撃力UP</v>
          </cell>
        </row>
        <row r="435">
          <cell r="B435">
            <v>28804</v>
          </cell>
          <cell r="C435">
            <v>100028</v>
          </cell>
          <cell r="D435" t="str">
            <v>フフフ・・・</v>
          </cell>
          <cell r="E435" t="str">
            <v>不敵に微笑んでいる</v>
          </cell>
        </row>
        <row r="436">
          <cell r="B436">
            <v>28804</v>
          </cell>
          <cell r="C436">
            <v>200013</v>
          </cell>
          <cell r="D436" t="str">
            <v>わたしに触るな！</v>
          </cell>
          <cell r="E436" t="str">
            <v>次のターン強力な攻撃</v>
          </cell>
        </row>
        <row r="437">
          <cell r="B437">
            <v>28901</v>
          </cell>
          <cell r="C437">
            <v>100026</v>
          </cell>
          <cell r="D437" t="str">
            <v>私を怒らせてしまったようだな・・！</v>
          </cell>
          <cell r="E437" t="str">
            <v>攻撃頻度が1ターンにUP</v>
          </cell>
        </row>
        <row r="438">
          <cell r="B438">
            <v>28901</v>
          </cell>
          <cell r="C438">
            <v>230019</v>
          </cell>
          <cell r="D438" t="str">
            <v>ハァーッハッハッハ！!</v>
          </cell>
          <cell r="E438" t="str">
            <v>全体攻撃</v>
          </cell>
        </row>
        <row r="439">
          <cell r="B439">
            <v>28901</v>
          </cell>
          <cell r="C439">
            <v>200014</v>
          </cell>
          <cell r="D439" t="str">
            <v>かぐや諸共消し飛べ！！</v>
          </cell>
          <cell r="E439" t="str">
            <v>次のターン超強力な攻撃</v>
          </cell>
        </row>
        <row r="440">
          <cell r="B440">
            <v>2701</v>
          </cell>
          <cell r="C440">
            <v>240008</v>
          </cell>
          <cell r="D440" t="str">
            <v>エネルギー変換</v>
          </cell>
          <cell r="E440" t="str">
            <v>自爆+敵の攻撃力がアップ</v>
          </cell>
        </row>
        <row r="441">
          <cell r="B441">
            <v>2702</v>
          </cell>
          <cell r="C441">
            <v>240009</v>
          </cell>
          <cell r="D441" t="str">
            <v>エネルギー変換</v>
          </cell>
          <cell r="E441" t="str">
            <v>自爆+敵の攻撃頻度が1ターンにUP</v>
          </cell>
        </row>
        <row r="442">
          <cell r="B442">
            <v>2701</v>
          </cell>
          <cell r="C442">
            <v>100027</v>
          </cell>
          <cell r="D442" t="str">
            <v>ガガ…ピ…!?</v>
          </cell>
          <cell r="E442" t="str">
            <v>このフロアのパトラインは防御力が高い！</v>
          </cell>
        </row>
        <row r="443">
          <cell r="B443">
            <v>2702</v>
          </cell>
          <cell r="C443">
            <v>100027</v>
          </cell>
          <cell r="D443" t="str">
            <v>ガガ…ピ…!?</v>
          </cell>
          <cell r="E443" t="str">
            <v>このフロアのパトラインは防御力が高い！</v>
          </cell>
        </row>
        <row r="444">
          <cell r="B444">
            <v>28001</v>
          </cell>
          <cell r="C444">
            <v>420006</v>
          </cell>
          <cell r="D444" t="str">
            <v>スチールプレデター</v>
          </cell>
          <cell r="E444" t="str">
            <v>3ターン後パトラインのエネルギーを吸収する</v>
          </cell>
        </row>
        <row r="445">
          <cell r="B445">
            <v>28002</v>
          </cell>
          <cell r="C445">
            <v>230020</v>
          </cell>
          <cell r="D445" t="str">
            <v>シュトゥルム・アングリフ</v>
          </cell>
          <cell r="E445" t="str">
            <v>全体攻撃</v>
          </cell>
        </row>
        <row r="446">
          <cell r="B446">
            <v>28002</v>
          </cell>
          <cell r="C446">
            <v>420006</v>
          </cell>
          <cell r="D446" t="str">
            <v>スチールプレデター</v>
          </cell>
          <cell r="E446" t="str">
            <v>3ターン後パトラインのエネルギーを吸収する</v>
          </cell>
        </row>
        <row r="447">
          <cell r="B447">
            <v>28101</v>
          </cell>
          <cell r="C447">
            <v>230020</v>
          </cell>
          <cell r="D447" t="str">
            <v>シュトゥルム・アングリフ</v>
          </cell>
          <cell r="E447" t="str">
            <v>全体攻撃</v>
          </cell>
        </row>
        <row r="448">
          <cell r="B448">
            <v>28101</v>
          </cell>
          <cell r="C448">
            <v>420007</v>
          </cell>
          <cell r="D448" t="str">
            <v>スチールプレデター</v>
          </cell>
          <cell r="E448" t="str">
            <v>3ターン後パトラインのエネルギーを吸収する</v>
          </cell>
        </row>
        <row r="449">
          <cell r="B449">
            <v>6302</v>
          </cell>
          <cell r="C449">
            <v>240010</v>
          </cell>
          <cell r="D449" t="str">
            <v>ぎゃああああああ</v>
          </cell>
          <cell r="E449" t="str">
            <v>アノマロカリスが捕食した！</v>
          </cell>
        </row>
        <row r="450">
          <cell r="B450">
            <v>6302</v>
          </cell>
          <cell r="C450">
            <v>420012</v>
          </cell>
          <cell r="D450" t="str">
            <v>カセキ化</v>
          </cell>
          <cell r="E450" t="str">
            <v>3ターン防御力UP</v>
          </cell>
        </row>
        <row r="451">
          <cell r="B451">
            <v>6302</v>
          </cell>
          <cell r="C451">
            <v>220001</v>
          </cell>
          <cell r="D451" t="str">
            <v>スピードスター</v>
          </cell>
          <cell r="E451" t="str">
            <v>2回連続攻撃</v>
          </cell>
        </row>
        <row r="452">
          <cell r="B452">
            <v>1301</v>
          </cell>
          <cell r="C452">
            <v>100029</v>
          </cell>
          <cell r="D452" t="str">
            <v>震えている</v>
          </cell>
          <cell r="E452" t="str">
            <v>何かに怯えているようだ…</v>
          </cell>
        </row>
        <row r="453">
          <cell r="B453">
            <v>4701</v>
          </cell>
          <cell r="C453">
            <v>100029</v>
          </cell>
          <cell r="D453" t="str">
            <v>震えている</v>
          </cell>
          <cell r="E453" t="str">
            <v>何かに怯えているようだ…</v>
          </cell>
        </row>
        <row r="454">
          <cell r="B454">
            <v>3302</v>
          </cell>
          <cell r="C454">
            <v>200002</v>
          </cell>
          <cell r="D454" t="str">
            <v>リラックス</v>
          </cell>
          <cell r="E454" t="str">
            <v>次のターン強力な攻撃</v>
          </cell>
        </row>
        <row r="455">
          <cell r="B455">
            <v>3302</v>
          </cell>
          <cell r="C455">
            <v>100029</v>
          </cell>
          <cell r="D455" t="str">
            <v>震えている</v>
          </cell>
          <cell r="E455" t="str">
            <v>何かに怯えているようだ…</v>
          </cell>
        </row>
        <row r="456">
          <cell r="B456">
            <v>6301</v>
          </cell>
          <cell r="C456">
            <v>220001</v>
          </cell>
          <cell r="D456" t="str">
            <v>スピードスター</v>
          </cell>
          <cell r="E456" t="str">
            <v>2回連続攻撃</v>
          </cell>
        </row>
        <row r="457">
          <cell r="B457">
            <v>6301</v>
          </cell>
          <cell r="C457">
            <v>100029</v>
          </cell>
          <cell r="D457" t="str">
            <v>震えている</v>
          </cell>
          <cell r="E457" t="str">
            <v>何かに怯えているようだ…</v>
          </cell>
        </row>
        <row r="458">
          <cell r="B458">
            <v>5701</v>
          </cell>
          <cell r="C458">
            <v>410001</v>
          </cell>
          <cell r="D458" t="str">
            <v>火酒</v>
          </cell>
          <cell r="E458" t="str">
            <v>3ターン攻撃力小UP</v>
          </cell>
        </row>
        <row r="459">
          <cell r="B459">
            <v>5701</v>
          </cell>
          <cell r="C459">
            <v>100029</v>
          </cell>
          <cell r="D459" t="str">
            <v>震えている</v>
          </cell>
          <cell r="E459" t="str">
            <v>何かに怯えているようだ…</v>
          </cell>
        </row>
        <row r="460">
          <cell r="B460">
            <v>31202</v>
          </cell>
          <cell r="C460">
            <v>500028</v>
          </cell>
          <cell r="D460" t="str">
            <v>アタシのタマゴだよ！</v>
          </cell>
          <cell r="E460" t="str">
            <v>時限式ダメージパネル出現</v>
          </cell>
        </row>
        <row r="461">
          <cell r="B461">
            <v>31203</v>
          </cell>
          <cell r="C461">
            <v>500028</v>
          </cell>
          <cell r="D461" t="str">
            <v>アタシのタマゴだよ！</v>
          </cell>
          <cell r="E461" t="str">
            <v>時限式ダメージパネル出現</v>
          </cell>
        </row>
        <row r="462">
          <cell r="B462">
            <v>31203</v>
          </cell>
          <cell r="C462">
            <v>410020</v>
          </cell>
          <cell r="D462" t="str">
            <v>ちょっと本気出そっかな</v>
          </cell>
          <cell r="E462" t="str">
            <v>3ターン攻撃力小UP</v>
          </cell>
        </row>
        <row r="463">
          <cell r="B463">
            <v>31203</v>
          </cell>
          <cell r="C463">
            <v>230022</v>
          </cell>
          <cell r="D463" t="str">
            <v>キミたち食べていい？</v>
          </cell>
          <cell r="E463" t="str">
            <v>全体攻撃</v>
          </cell>
        </row>
        <row r="464">
          <cell r="B464">
            <v>31204</v>
          </cell>
          <cell r="C464">
            <v>400022</v>
          </cell>
          <cell r="D464" t="str">
            <v>カンブリアの激流！</v>
          </cell>
          <cell r="E464" t="str">
            <v>2ターン攻撃頻度が1ターンにUP</v>
          </cell>
        </row>
        <row r="465">
          <cell r="B465">
            <v>31204</v>
          </cell>
          <cell r="C465">
            <v>540008</v>
          </cell>
          <cell r="D465" t="str">
            <v>ここは潮の流れが速いよ！</v>
          </cell>
          <cell r="E465" t="str">
            <v>この戦闘の間タップ時間の制限！【８秒】</v>
          </cell>
        </row>
        <row r="466">
          <cell r="B466">
            <v>31204</v>
          </cell>
          <cell r="C466">
            <v>410028</v>
          </cell>
          <cell r="D466" t="str">
            <v>もっと本気出すよ！</v>
          </cell>
          <cell r="E466" t="str">
            <v>3ターン攻撃力小UP</v>
          </cell>
        </row>
        <row r="467">
          <cell r="B467">
            <v>31204</v>
          </cell>
          <cell r="C467">
            <v>230022</v>
          </cell>
          <cell r="D467" t="str">
            <v>キミたち食べていい？</v>
          </cell>
          <cell r="E467" t="str">
            <v>全体攻撃</v>
          </cell>
        </row>
        <row r="468">
          <cell r="B468">
            <v>15202</v>
          </cell>
          <cell r="C468">
            <v>510029</v>
          </cell>
          <cell r="D468" t="str">
            <v>応急処置セット</v>
          </cell>
          <cell r="E468" t="str">
            <v>ランダムでハートパネルに変換</v>
          </cell>
        </row>
        <row r="469">
          <cell r="B469">
            <v>15202</v>
          </cell>
          <cell r="C469">
            <v>410027</v>
          </cell>
          <cell r="D469" t="str">
            <v>深呼吸</v>
          </cell>
          <cell r="E469" t="str">
            <v>3ターン攻撃力小UP</v>
          </cell>
        </row>
        <row r="470">
          <cell r="B470">
            <v>15202</v>
          </cell>
          <cell r="C470">
            <v>220012</v>
          </cell>
          <cell r="D470" t="str">
            <v>山猿の足</v>
          </cell>
          <cell r="E470" t="str">
            <v>5回連続攻撃</v>
          </cell>
        </row>
        <row r="471">
          <cell r="B471">
            <v>13003</v>
          </cell>
          <cell r="C471">
            <v>510029</v>
          </cell>
          <cell r="D471" t="str">
            <v>応急処置セット</v>
          </cell>
          <cell r="E471" t="str">
            <v>ランダムでハートパネルに変換</v>
          </cell>
        </row>
        <row r="472">
          <cell r="B472">
            <v>13003</v>
          </cell>
          <cell r="C472">
            <v>420013</v>
          </cell>
          <cell r="D472" t="str">
            <v>下段の構え</v>
          </cell>
          <cell r="E472" t="str">
            <v>3ターン防御力UP</v>
          </cell>
        </row>
        <row r="473">
          <cell r="B473">
            <v>13202</v>
          </cell>
          <cell r="C473">
            <v>250013</v>
          </cell>
          <cell r="D473" t="str">
            <v>カワラ割り</v>
          </cell>
          <cell r="E473" t="str">
            <v>種族マシンのユニットに大ダメージ</v>
          </cell>
        </row>
        <row r="474">
          <cell r="B474">
            <v>30601</v>
          </cell>
          <cell r="C474">
            <v>510030</v>
          </cell>
          <cell r="D474" t="str">
            <v>おっ、よく来たね！</v>
          </cell>
          <cell r="E474" t="str">
            <v>赤パネルをハートパネルに大量変換</v>
          </cell>
        </row>
        <row r="475">
          <cell r="B475">
            <v>30601</v>
          </cell>
          <cell r="C475">
            <v>200017</v>
          </cell>
          <cell r="D475" t="str">
            <v>次のは痛いぞ？</v>
          </cell>
          <cell r="E475" t="str">
            <v>次のターン超強力な攻撃</v>
          </cell>
        </row>
        <row r="476">
          <cell r="B476">
            <v>30603</v>
          </cell>
          <cell r="C476">
            <v>250012</v>
          </cell>
          <cell r="D476" t="str">
            <v>私は絶滅なんかしない！</v>
          </cell>
          <cell r="E476" t="str">
            <v>種族ゴッドのユニットに大ダメージ</v>
          </cell>
        </row>
        <row r="477">
          <cell r="B477">
            <v>30603</v>
          </cell>
          <cell r="C477">
            <v>220030</v>
          </cell>
          <cell r="D477" t="str">
            <v>まとめてサメのエサだ！</v>
          </cell>
          <cell r="E477" t="str">
            <v>7回連続攻撃</v>
          </cell>
        </row>
        <row r="478">
          <cell r="B478">
            <v>30601</v>
          </cell>
          <cell r="C478">
            <v>510031</v>
          </cell>
          <cell r="D478" t="str">
            <v>楽しんでるか？</v>
          </cell>
          <cell r="E478" t="str">
            <v>少しだけ赤パネルをハートパネルに変換</v>
          </cell>
        </row>
        <row r="479">
          <cell r="B479">
            <v>30602</v>
          </cell>
          <cell r="C479">
            <v>510030</v>
          </cell>
          <cell r="D479" t="str">
            <v>おっ、よく来たね！</v>
          </cell>
          <cell r="E479" t="str">
            <v>赤パネルをハートパネルに大量変換</v>
          </cell>
        </row>
        <row r="480">
          <cell r="B480">
            <v>30602</v>
          </cell>
          <cell r="C480">
            <v>250012</v>
          </cell>
          <cell r="D480" t="str">
            <v>私は絶滅なんかしない！</v>
          </cell>
          <cell r="E480" t="str">
            <v>種族ゴッドのユニットに大ダメージ</v>
          </cell>
        </row>
        <row r="481">
          <cell r="B481">
            <v>30602</v>
          </cell>
          <cell r="C481">
            <v>220030</v>
          </cell>
          <cell r="D481" t="str">
            <v>まとめてサメのエサだ！</v>
          </cell>
          <cell r="E481" t="str">
            <v>7回連続攻撃</v>
          </cell>
        </row>
        <row r="482">
          <cell r="B482">
            <v>30602</v>
          </cell>
          <cell r="C482">
            <v>510031</v>
          </cell>
          <cell r="D482" t="str">
            <v>楽しんでるか？</v>
          </cell>
          <cell r="E482" t="str">
            <v>少しだけ赤パネルをハートパネルに変換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workbookViewId="0">
      <selection activeCell="F11" sqref="F11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67" t="s">
        <v>176</v>
      </c>
      <c r="B1" s="56" t="s">
        <v>101</v>
      </c>
      <c r="C1" s="56" t="s">
        <v>102</v>
      </c>
      <c r="D1" s="56" t="s">
        <v>103</v>
      </c>
      <c r="E1" s="56" t="s">
        <v>104</v>
      </c>
      <c r="F1" s="56" t="s">
        <v>105</v>
      </c>
      <c r="G1" s="56" t="s">
        <v>106</v>
      </c>
      <c r="H1" s="56"/>
      <c r="I1" s="56"/>
      <c r="J1" s="56"/>
      <c r="K1" s="56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</row>
    <row r="2" spans="1:29" x14ac:dyDescent="0.15">
      <c r="A2" s="68" t="s">
        <v>178</v>
      </c>
      <c r="B2" s="58" t="s">
        <v>107</v>
      </c>
      <c r="C2" s="58">
        <v>30013</v>
      </c>
      <c r="D2" s="58" t="s">
        <v>108</v>
      </c>
      <c r="E2" s="57" t="str">
        <f>B2&amp;C2&amp;D2</f>
        <v>floors_30013.tmp</v>
      </c>
      <c r="F2" s="58" t="s">
        <v>109</v>
      </c>
      <c r="G2" s="59" t="s">
        <v>0</v>
      </c>
      <c r="H2" s="59" t="s">
        <v>1</v>
      </c>
      <c r="I2" s="59" t="s">
        <v>13</v>
      </c>
      <c r="J2" s="59" t="s">
        <v>14</v>
      </c>
      <c r="K2" s="59" t="s">
        <v>15</v>
      </c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</row>
    <row r="3" spans="1:29" x14ac:dyDescent="0.15">
      <c r="A3" s="68" t="s">
        <v>177</v>
      </c>
      <c r="B3" s="58" t="s">
        <v>110</v>
      </c>
      <c r="C3" s="58">
        <v>30013</v>
      </c>
      <c r="D3" s="58" t="s">
        <v>108</v>
      </c>
      <c r="E3" s="57" t="str">
        <f>B3&amp;C3&amp;D3</f>
        <v>enemy_habitats_30013.tmp</v>
      </c>
      <c r="F3" s="58" t="s">
        <v>111</v>
      </c>
      <c r="G3" s="59" t="s">
        <v>0</v>
      </c>
      <c r="H3" s="59" t="s">
        <v>1</v>
      </c>
      <c r="I3" s="59" t="s">
        <v>13</v>
      </c>
      <c r="J3" s="59" t="s">
        <v>2</v>
      </c>
      <c r="K3" s="59" t="s">
        <v>3</v>
      </c>
      <c r="L3" s="59" t="s">
        <v>47</v>
      </c>
      <c r="M3" s="59" t="s">
        <v>49</v>
      </c>
      <c r="N3" s="59" t="s">
        <v>51</v>
      </c>
      <c r="O3" s="59" t="s">
        <v>22</v>
      </c>
      <c r="P3" s="59" t="s">
        <v>5</v>
      </c>
      <c r="Q3" s="59" t="s">
        <v>6</v>
      </c>
      <c r="R3" s="59" t="s">
        <v>7</v>
      </c>
      <c r="S3" s="59" t="s">
        <v>8</v>
      </c>
      <c r="T3" s="59" t="s">
        <v>9</v>
      </c>
      <c r="U3" s="59" t="s">
        <v>10</v>
      </c>
      <c r="V3" s="59" t="s">
        <v>11</v>
      </c>
      <c r="W3" s="59" t="s">
        <v>12</v>
      </c>
      <c r="X3" s="59" t="s">
        <v>37</v>
      </c>
      <c r="Y3" s="59" t="s">
        <v>39</v>
      </c>
      <c r="Z3" s="59" t="s">
        <v>41</v>
      </c>
      <c r="AA3" s="59" t="s">
        <v>43</v>
      </c>
      <c r="AB3" s="59" t="s">
        <v>45</v>
      </c>
      <c r="AC3" s="59" t="s">
        <v>54</v>
      </c>
    </row>
    <row r="4" spans="1:29" x14ac:dyDescent="0.15">
      <c r="A4" s="68" t="s">
        <v>177</v>
      </c>
      <c r="B4" s="58" t="s">
        <v>112</v>
      </c>
      <c r="C4" s="58">
        <v>30013</v>
      </c>
      <c r="D4" s="58" t="s">
        <v>108</v>
      </c>
      <c r="E4" s="57" t="str">
        <f>B4&amp;C4&amp;D4</f>
        <v>enemy_habitat_S_30013.tmp</v>
      </c>
      <c r="F4" s="58" t="s">
        <v>113</v>
      </c>
      <c r="G4" s="59" t="s">
        <v>0</v>
      </c>
      <c r="H4" s="59" t="s">
        <v>1</v>
      </c>
      <c r="I4" s="59" t="s">
        <v>13</v>
      </c>
      <c r="J4" s="59" t="s">
        <v>54</v>
      </c>
      <c r="K4" s="59" t="s">
        <v>55</v>
      </c>
      <c r="L4" s="59" t="s">
        <v>56</v>
      </c>
      <c r="M4" s="59" t="s">
        <v>57</v>
      </c>
      <c r="N4" s="59" t="s">
        <v>58</v>
      </c>
      <c r="O4" s="59" t="s">
        <v>59</v>
      </c>
      <c r="P4" s="59" t="s">
        <v>48</v>
      </c>
      <c r="Q4" s="59" t="s">
        <v>50</v>
      </c>
      <c r="R4" s="59" t="s">
        <v>52</v>
      </c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</row>
    <row r="5" spans="1:29" x14ac:dyDescent="0.15">
      <c r="A5" s="68" t="s">
        <v>177</v>
      </c>
      <c r="B5" s="58" t="s">
        <v>114</v>
      </c>
      <c r="C5" s="58">
        <v>30013</v>
      </c>
      <c r="D5" s="58" t="s">
        <v>108</v>
      </c>
      <c r="E5" s="57" t="str">
        <f>B5&amp;C5&amp;D5</f>
        <v>enemy_skill_sets_30013.tmp</v>
      </c>
      <c r="F5" s="58" t="s">
        <v>115</v>
      </c>
      <c r="G5" s="60" t="s">
        <v>22</v>
      </c>
      <c r="H5" s="60" t="s">
        <v>100</v>
      </c>
      <c r="I5" s="60" t="s">
        <v>95</v>
      </c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</row>
    <row r="6" spans="1:29" x14ac:dyDescent="0.15">
      <c r="A6" s="68" t="s">
        <v>177</v>
      </c>
      <c r="B6" s="58" t="s">
        <v>116</v>
      </c>
      <c r="C6" s="58">
        <v>30013</v>
      </c>
      <c r="D6" s="58" t="s">
        <v>117</v>
      </c>
      <c r="E6" s="57" t="str">
        <f t="shared" ref="E6:E8" si="0">B6&amp;C6&amp;D6</f>
        <v>enemy_skills_tmp_30013.tmp</v>
      </c>
      <c r="F6" s="58" t="s">
        <v>91</v>
      </c>
      <c r="G6" s="59" t="s">
        <v>79</v>
      </c>
      <c r="H6" s="59" t="s">
        <v>80</v>
      </c>
      <c r="I6" s="59" t="s">
        <v>81</v>
      </c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</row>
    <row r="7" spans="1:29" x14ac:dyDescent="0.15">
      <c r="A7" s="68" t="s">
        <v>177</v>
      </c>
      <c r="B7" s="58" t="s">
        <v>118</v>
      </c>
      <c r="C7" s="58">
        <v>30013</v>
      </c>
      <c r="D7" s="58" t="s">
        <v>108</v>
      </c>
      <c r="E7" s="57" t="str">
        <f>B7&amp;C7&amp;D7</f>
        <v>enemy_skills_i18n_30013.tmp</v>
      </c>
      <c r="F7" s="58" t="s">
        <v>119</v>
      </c>
      <c r="G7" s="59" t="s">
        <v>79</v>
      </c>
      <c r="H7" s="59" t="s">
        <v>92</v>
      </c>
      <c r="I7" s="59" t="s">
        <v>93</v>
      </c>
      <c r="J7" s="59" t="s">
        <v>94</v>
      </c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</row>
    <row r="8" spans="1:29" x14ac:dyDescent="0.15">
      <c r="A8" s="68" t="s">
        <v>177</v>
      </c>
      <c r="B8" s="58" t="s">
        <v>120</v>
      </c>
      <c r="C8" s="58">
        <v>30013</v>
      </c>
      <c r="D8" s="58" t="s">
        <v>121</v>
      </c>
      <c r="E8" s="57" t="str">
        <f t="shared" si="0"/>
        <v>enemy_skill_triggers_30013.tmp</v>
      </c>
      <c r="F8" s="58" t="s">
        <v>122</v>
      </c>
      <c r="G8" s="59" t="s">
        <v>95</v>
      </c>
      <c r="H8" s="59" t="s">
        <v>96</v>
      </c>
      <c r="I8" s="59" t="s">
        <v>97</v>
      </c>
      <c r="J8" s="59" t="s">
        <v>98</v>
      </c>
      <c r="K8" s="59" t="s">
        <v>123</v>
      </c>
      <c r="L8" s="59" t="s">
        <v>99</v>
      </c>
      <c r="M8" s="59" t="s">
        <v>124</v>
      </c>
      <c r="N8" s="59" t="s">
        <v>125</v>
      </c>
      <c r="O8" s="59" t="s">
        <v>126</v>
      </c>
      <c r="P8" s="59" t="s">
        <v>67</v>
      </c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H18" sqref="H18"/>
    </sheetView>
  </sheetViews>
  <sheetFormatPr baseColWidth="12" defaultColWidth="13" defaultRowHeight="21" customHeight="1" outlineLevelCol="1" x14ac:dyDescent="0.15"/>
  <cols>
    <col min="1" max="1" width="8.83203125" style="20" bestFit="1" customWidth="1"/>
    <col min="2" max="2" width="5" style="20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0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4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30013_1-1</v>
      </c>
      <c r="B2" s="16" t="str">
        <f>IF(COUNTIF(enemy_habitats!$H:$H,A2),"OK","NG")</f>
        <v>OK</v>
      </c>
      <c r="C2" s="7">
        <v>30013</v>
      </c>
      <c r="D2" s="11" t="str">
        <f ca="1">VLOOKUP($C2,OFFSET([2]quests!$A$1,0,0,COUNTA([2]quests!$A:$A),MATCH(D$1,[2]quests!$1:$1,0)-MATCH($C$1,[2]quests!$1:$1,0)+1),MATCH(D$1,[2]quests!$1:$1,0)-MATCH($C$1,[2]quests!$1:$1,0)+1,FALSE)</f>
        <v>決戦・竜宮城</v>
      </c>
      <c r="E2" s="19" t="str">
        <f ca="1">VLOOKUP($C2,OFFSET([2]quests!$A$1,0,0,COUNTA([2]quests!$A:$A),MATCH(E$1,[2]quests!$1:$1,0)-MATCH($C$1,[2]quests!$1:$1,0)+1),MATCH(E$1,[2]quests!$1:$1,0)-MATCH($C$1,[2]quests!$1:$1,0)+1,FALSE)</f>
        <v>ドロップイベント4（マルチ専用）</v>
      </c>
      <c r="F2" s="22">
        <v>1</v>
      </c>
      <c r="G2" s="24" t="str">
        <f>C2&amp;"_"&amp;F2</f>
        <v>30013_1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【超級】決戦・竜宮城</v>
      </c>
      <c r="I2" s="22">
        <v>1</v>
      </c>
      <c r="J2" s="12">
        <v>15</v>
      </c>
      <c r="K2" s="12">
        <v>15</v>
      </c>
    </row>
    <row r="3" spans="1:11" ht="21" customHeight="1" x14ac:dyDescent="0.15">
      <c r="A3" s="16" t="str">
        <f>G3&amp;"-"&amp;I3</f>
        <v>30013_1-2</v>
      </c>
      <c r="B3" s="16" t="str">
        <f>IF(COUNTIF(enemy_habitats!$H:$H,A3),"OK","NG")</f>
        <v>OK</v>
      </c>
      <c r="C3" s="7">
        <v>30013</v>
      </c>
      <c r="D3" s="11" t="str">
        <f ca="1">VLOOKUP($C3,OFFSET([2]quests!$A$1,0,0,COUNTA([2]quests!$A:$A),MATCH(D$1,[2]quests!$1:$1,0)-MATCH($C$1,[2]quests!$1:$1,0)+1),MATCH(D$1,[2]quests!$1:$1,0)-MATCH($C$1,[2]quests!$1:$1,0)+1,FALSE)</f>
        <v>決戦・竜宮城</v>
      </c>
      <c r="E3" s="19" t="str">
        <f ca="1">VLOOKUP($C3,OFFSET([2]quests!$A$1,0,0,COUNTA([2]quests!$A:$A),MATCH(E$1,[2]quests!$1:$1,0)-MATCH($C$1,[2]quests!$1:$1,0)+1),MATCH(E$1,[2]quests!$1:$1,0)-MATCH($C$1,[2]quests!$1:$1,0)+1,FALSE)</f>
        <v>ドロップイベント4（マルチ専用）</v>
      </c>
      <c r="F3" s="22">
        <v>1</v>
      </c>
      <c r="G3" s="24" t="str">
        <f>C3&amp;"_"&amp;F3</f>
        <v>30013_1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【超級】決戦・竜宮城</v>
      </c>
      <c r="I3" s="22">
        <v>2</v>
      </c>
      <c r="J3" s="12">
        <v>60</v>
      </c>
      <c r="K3" s="12">
        <v>60</v>
      </c>
    </row>
    <row r="4" spans="1:11" ht="21" customHeight="1" x14ac:dyDescent="0.15">
      <c r="A4" s="16" t="str">
        <f t="shared" ref="A4:A6" si="0">G4&amp;"-"&amp;I4</f>
        <v>30013_1-3</v>
      </c>
      <c r="B4" s="16" t="str">
        <f>IF(COUNTIF(enemy_habitats!$H:$H,A4),"OK","NG")</f>
        <v>OK</v>
      </c>
      <c r="C4" s="7">
        <v>30013</v>
      </c>
      <c r="D4" s="11" t="str">
        <f ca="1">VLOOKUP($C4,OFFSET([2]quests!$A$1,0,0,COUNTA([2]quests!$A:$A),MATCH(D$1,[2]quests!$1:$1,0)-MATCH($C$1,[2]quests!$1:$1,0)+1),MATCH(D$1,[2]quests!$1:$1,0)-MATCH($C$1,[2]quests!$1:$1,0)+1,FALSE)</f>
        <v>決戦・竜宮城</v>
      </c>
      <c r="E4" s="19" t="str">
        <f ca="1">VLOOKUP($C4,OFFSET([2]quests!$A$1,0,0,COUNTA([2]quests!$A:$A),MATCH(E$1,[2]quests!$1:$1,0)-MATCH($C$1,[2]quests!$1:$1,0)+1),MATCH(E$1,[2]quests!$1:$1,0)-MATCH($C$1,[2]quests!$1:$1,0)+1,FALSE)</f>
        <v>ドロップイベント4（マルチ専用）</v>
      </c>
      <c r="F4" s="22">
        <v>1</v>
      </c>
      <c r="G4" s="24" t="str">
        <f t="shared" ref="G4:G6" si="1">C4&amp;"_"&amp;F4</f>
        <v>30013_1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【超級】決戦・竜宮城</v>
      </c>
      <c r="I4" s="22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30013_1-4</v>
      </c>
      <c r="B5" s="16" t="str">
        <f>IF(COUNTIF(enemy_habitats!$H:$H,A5),"OK","NG")</f>
        <v>OK</v>
      </c>
      <c r="C5" s="7">
        <v>30013</v>
      </c>
      <c r="D5" s="11" t="str">
        <f ca="1">VLOOKUP($C5,OFFSET([2]quests!$A$1,0,0,COUNTA([2]quests!$A:$A),MATCH(D$1,[2]quests!$1:$1,0)-MATCH($C$1,[2]quests!$1:$1,0)+1),MATCH(D$1,[2]quests!$1:$1,0)-MATCH($C$1,[2]quests!$1:$1,0)+1,FALSE)</f>
        <v>決戦・竜宮城</v>
      </c>
      <c r="E5" s="19" t="str">
        <f ca="1">VLOOKUP($C5,OFFSET([2]quests!$A$1,0,0,COUNTA([2]quests!$A:$A),MATCH(E$1,[2]quests!$1:$1,0)-MATCH($C$1,[2]quests!$1:$1,0)+1),MATCH(E$1,[2]quests!$1:$1,0)-MATCH($C$1,[2]quests!$1:$1,0)+1,FALSE)</f>
        <v>ドロップイベント4（マルチ専用）</v>
      </c>
      <c r="F5" s="22">
        <v>1</v>
      </c>
      <c r="G5" s="24" t="str">
        <f t="shared" si="1"/>
        <v>30013_1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【超級】決戦・竜宮城</v>
      </c>
      <c r="I5" s="22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30013_1-5</v>
      </c>
      <c r="B6" s="16" t="str">
        <f>IF(COUNTIF(enemy_habitats!$H:$H,A6),"OK","NG")</f>
        <v>OK</v>
      </c>
      <c r="C6" s="7">
        <v>30013</v>
      </c>
      <c r="D6" s="11" t="str">
        <f ca="1">VLOOKUP($C6,OFFSET([2]quests!$A$1,0,0,COUNTA([2]quests!$A:$A),MATCH(D$1,[2]quests!$1:$1,0)-MATCH($C$1,[2]quests!$1:$1,0)+1),MATCH(D$1,[2]quests!$1:$1,0)-MATCH($C$1,[2]quests!$1:$1,0)+1,FALSE)</f>
        <v>決戦・竜宮城</v>
      </c>
      <c r="E6" s="19" t="str">
        <f ca="1">VLOOKUP($C6,OFFSET([2]quests!$A$1,0,0,COUNTA([2]quests!$A:$A),MATCH(E$1,[2]quests!$1:$1,0)-MATCH($C$1,[2]quests!$1:$1,0)+1),MATCH(E$1,[2]quests!$1:$1,0)-MATCH($C$1,[2]quests!$1:$1,0)+1,FALSE)</f>
        <v>ドロップイベント4（マルチ専用）</v>
      </c>
      <c r="F6" s="22">
        <v>1</v>
      </c>
      <c r="G6" s="24" t="str">
        <f t="shared" si="1"/>
        <v>30013_1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【超級】決戦・竜宮城</v>
      </c>
      <c r="I6" s="22">
        <v>5</v>
      </c>
      <c r="J6" s="12">
        <v>60</v>
      </c>
      <c r="K6" s="12">
        <v>60</v>
      </c>
    </row>
    <row r="7" spans="1:11" ht="21" customHeight="1" x14ac:dyDescent="0.15">
      <c r="A7" s="16" t="str">
        <f>G7&amp;"-"&amp;I7</f>
        <v>30013_2-1</v>
      </c>
      <c r="B7" s="16" t="str">
        <f>IF(COUNTIF(enemy_habitats!$H:$H,A7),"OK","NG")</f>
        <v>OK</v>
      </c>
      <c r="C7" s="7">
        <v>30013</v>
      </c>
      <c r="D7" s="11" t="str">
        <f ca="1">VLOOKUP($C7,OFFSET([2]quests!$A$1,0,0,COUNTA([2]quests!$A:$A),MATCH(D$1,[2]quests!$1:$1,0)-MATCH($C$1,[2]quests!$1:$1,0)+1),MATCH(D$1,[2]quests!$1:$1,0)-MATCH($C$1,[2]quests!$1:$1,0)+1,FALSE)</f>
        <v>決戦・竜宮城</v>
      </c>
      <c r="E7" s="19" t="str">
        <f ca="1">VLOOKUP($C7,OFFSET([2]quests!$A$1,0,0,COUNTA([2]quests!$A:$A),MATCH(E$1,[2]quests!$1:$1,0)-MATCH($C$1,[2]quests!$1:$1,0)+1),MATCH(E$1,[2]quests!$1:$1,0)-MATCH($C$1,[2]quests!$1:$1,0)+1,FALSE)</f>
        <v>ドロップイベント4（マルチ専用）</v>
      </c>
      <c r="F7" s="22">
        <v>2</v>
      </c>
      <c r="G7" s="24" t="str">
        <f>C7&amp;"_"&amp;F7</f>
        <v>30013_2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【超絶級】決戦・竜宮城</v>
      </c>
      <c r="I7" s="22">
        <v>1</v>
      </c>
      <c r="J7" s="12">
        <v>15</v>
      </c>
      <c r="K7" s="12">
        <v>15</v>
      </c>
    </row>
    <row r="8" spans="1:11" ht="21" customHeight="1" x14ac:dyDescent="0.15">
      <c r="A8" s="16" t="str">
        <f>G8&amp;"-"&amp;I8</f>
        <v>30013_2-2</v>
      </c>
      <c r="B8" s="16" t="str">
        <f>IF(COUNTIF(enemy_habitats!$H:$H,A8),"OK","NG")</f>
        <v>OK</v>
      </c>
      <c r="C8" s="7">
        <v>30013</v>
      </c>
      <c r="D8" s="11" t="str">
        <f ca="1">VLOOKUP($C8,OFFSET([2]quests!$A$1,0,0,COUNTA([2]quests!$A:$A),MATCH(D$1,[2]quests!$1:$1,0)-MATCH($C$1,[2]quests!$1:$1,0)+1),MATCH(D$1,[2]quests!$1:$1,0)-MATCH($C$1,[2]quests!$1:$1,0)+1,FALSE)</f>
        <v>決戦・竜宮城</v>
      </c>
      <c r="E8" s="19" t="str">
        <f ca="1">VLOOKUP($C8,OFFSET([2]quests!$A$1,0,0,COUNTA([2]quests!$A:$A),MATCH(E$1,[2]quests!$1:$1,0)-MATCH($C$1,[2]quests!$1:$1,0)+1),MATCH(E$1,[2]quests!$1:$1,0)-MATCH($C$1,[2]quests!$1:$1,0)+1,FALSE)</f>
        <v>ドロップイベント4（マルチ専用）</v>
      </c>
      <c r="F8" s="22">
        <v>2</v>
      </c>
      <c r="G8" s="24" t="str">
        <f>C8&amp;"_"&amp;F8</f>
        <v>30013_2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【超絶級】決戦・竜宮城</v>
      </c>
      <c r="I8" s="22">
        <v>2</v>
      </c>
      <c r="J8" s="12">
        <v>60</v>
      </c>
      <c r="K8" s="12">
        <v>60</v>
      </c>
    </row>
    <row r="9" spans="1:11" ht="21" customHeight="1" x14ac:dyDescent="0.15">
      <c r="A9" s="16" t="str">
        <f t="shared" ref="A9:A11" si="2">G9&amp;"-"&amp;I9</f>
        <v>30013_2-3</v>
      </c>
      <c r="B9" s="16" t="str">
        <f>IF(COUNTIF(enemy_habitats!$H:$H,A9),"OK","NG")</f>
        <v>OK</v>
      </c>
      <c r="C9" s="7">
        <v>30013</v>
      </c>
      <c r="D9" s="11" t="str">
        <f ca="1">VLOOKUP($C9,OFFSET([2]quests!$A$1,0,0,COUNTA([2]quests!$A:$A),MATCH(D$1,[2]quests!$1:$1,0)-MATCH($C$1,[2]quests!$1:$1,0)+1),MATCH(D$1,[2]quests!$1:$1,0)-MATCH($C$1,[2]quests!$1:$1,0)+1,FALSE)</f>
        <v>決戦・竜宮城</v>
      </c>
      <c r="E9" s="19" t="str">
        <f ca="1">VLOOKUP($C9,OFFSET([2]quests!$A$1,0,0,COUNTA([2]quests!$A:$A),MATCH(E$1,[2]quests!$1:$1,0)-MATCH($C$1,[2]quests!$1:$1,0)+1),MATCH(E$1,[2]quests!$1:$1,0)-MATCH($C$1,[2]quests!$1:$1,0)+1,FALSE)</f>
        <v>ドロップイベント4（マルチ専用）</v>
      </c>
      <c r="F9" s="22">
        <v>2</v>
      </c>
      <c r="G9" s="24" t="str">
        <f t="shared" ref="G9:G11" si="3">C9&amp;"_"&amp;F9</f>
        <v>30013_2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【超絶級】決戦・竜宮城</v>
      </c>
      <c r="I9" s="22">
        <v>3</v>
      </c>
      <c r="J9" s="12">
        <v>60</v>
      </c>
      <c r="K9" s="12">
        <v>60</v>
      </c>
    </row>
    <row r="10" spans="1:11" ht="21" customHeight="1" x14ac:dyDescent="0.15">
      <c r="A10" s="16" t="str">
        <f t="shared" si="2"/>
        <v>30013_2-4</v>
      </c>
      <c r="B10" s="16" t="str">
        <f>IF(COUNTIF(enemy_habitats!$H:$H,A10),"OK","NG")</f>
        <v>OK</v>
      </c>
      <c r="C10" s="7">
        <v>30013</v>
      </c>
      <c r="D10" s="11" t="str">
        <f ca="1">VLOOKUP($C10,OFFSET([2]quests!$A$1,0,0,COUNTA([2]quests!$A:$A),MATCH(D$1,[2]quests!$1:$1,0)-MATCH($C$1,[2]quests!$1:$1,0)+1),MATCH(D$1,[2]quests!$1:$1,0)-MATCH($C$1,[2]quests!$1:$1,0)+1,FALSE)</f>
        <v>決戦・竜宮城</v>
      </c>
      <c r="E10" s="19" t="str">
        <f ca="1">VLOOKUP($C10,OFFSET([2]quests!$A$1,0,0,COUNTA([2]quests!$A:$A),MATCH(E$1,[2]quests!$1:$1,0)-MATCH($C$1,[2]quests!$1:$1,0)+1),MATCH(E$1,[2]quests!$1:$1,0)-MATCH($C$1,[2]quests!$1:$1,0)+1,FALSE)</f>
        <v>ドロップイベント4（マルチ専用）</v>
      </c>
      <c r="F10" s="22">
        <v>2</v>
      </c>
      <c r="G10" s="24" t="str">
        <f t="shared" si="3"/>
        <v>30013_2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【超絶級】決戦・竜宮城</v>
      </c>
      <c r="I10" s="22">
        <v>4</v>
      </c>
      <c r="J10" s="12">
        <v>60</v>
      </c>
      <c r="K10" s="12">
        <v>60</v>
      </c>
    </row>
    <row r="11" spans="1:11" ht="21" customHeight="1" x14ac:dyDescent="0.15">
      <c r="A11" s="16" t="str">
        <f t="shared" si="2"/>
        <v>30013_2-5</v>
      </c>
      <c r="B11" s="16" t="str">
        <f>IF(COUNTIF(enemy_habitats!$H:$H,A11),"OK","NG")</f>
        <v>OK</v>
      </c>
      <c r="C11" s="7">
        <v>30013</v>
      </c>
      <c r="D11" s="11" t="str">
        <f ca="1">VLOOKUP($C11,OFFSET([2]quests!$A$1,0,0,COUNTA([2]quests!$A:$A),MATCH(D$1,[2]quests!$1:$1,0)-MATCH($C$1,[2]quests!$1:$1,0)+1),MATCH(D$1,[2]quests!$1:$1,0)-MATCH($C$1,[2]quests!$1:$1,0)+1,FALSE)</f>
        <v>決戦・竜宮城</v>
      </c>
      <c r="E11" s="19" t="str">
        <f ca="1">VLOOKUP($C11,OFFSET([2]quests!$A$1,0,0,COUNTA([2]quests!$A:$A),MATCH(E$1,[2]quests!$1:$1,0)-MATCH($C$1,[2]quests!$1:$1,0)+1),MATCH(E$1,[2]quests!$1:$1,0)-MATCH($C$1,[2]quests!$1:$1,0)+1,FALSE)</f>
        <v>ドロップイベント4（マルチ専用）</v>
      </c>
      <c r="F11" s="22">
        <v>2</v>
      </c>
      <c r="G11" s="24" t="str">
        <f t="shared" si="3"/>
        <v>30013_2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【超絶級】決戦・竜宮城</v>
      </c>
      <c r="I11" s="22">
        <v>5</v>
      </c>
      <c r="J11" s="12">
        <v>60</v>
      </c>
      <c r="K11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21"/>
  <sheetViews>
    <sheetView showGridLines="0" tabSelected="1" zoomScale="75" zoomScaleNormal="75" zoomScalePageLayoutView="75" workbookViewId="0">
      <pane xSplit="17" ySplit="1" topLeftCell="V2" activePane="bottomRight" state="frozen"/>
      <selection pane="topRight" activeCell="N1" sqref="N1"/>
      <selection pane="bottomLeft" activeCell="A2" sqref="A2"/>
      <selection pane="bottomRight" activeCell="AG18" sqref="AG18"/>
    </sheetView>
  </sheetViews>
  <sheetFormatPr baseColWidth="12" defaultColWidth="13" defaultRowHeight="21" customHeight="1" outlineLevelCol="1" x14ac:dyDescent="0.15"/>
  <cols>
    <col min="1" max="1" width="15.83203125" style="20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2.1640625" style="3" customWidth="1"/>
    <col min="23" max="23" width="10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 collapsed="1"/>
    <col min="29" max="29" width="8.83203125" style="13" hidden="1" customWidth="1" outlineLevel="1"/>
    <col min="30" max="30" width="8" style="14" hidden="1" customWidth="1" outlineLevel="1"/>
    <col min="31" max="31" width="12" style="14" hidden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6" customFormat="1" ht="21" customHeight="1" x14ac:dyDescent="0.15">
      <c r="A1" s="28" t="s">
        <v>29</v>
      </c>
      <c r="B1" s="29" t="s">
        <v>0</v>
      </c>
      <c r="C1" s="29" t="s">
        <v>1</v>
      </c>
      <c r="D1" s="30" t="s">
        <v>28</v>
      </c>
      <c r="E1" s="31" t="s">
        <v>20</v>
      </c>
      <c r="F1" s="31" t="s">
        <v>20</v>
      </c>
      <c r="G1" s="29" t="s">
        <v>19</v>
      </c>
      <c r="H1" s="30" t="s">
        <v>35</v>
      </c>
      <c r="I1" s="30" t="s">
        <v>14</v>
      </c>
      <c r="J1" s="30" t="s">
        <v>15</v>
      </c>
      <c r="K1" s="37" t="s">
        <v>54</v>
      </c>
      <c r="L1" s="38" t="s">
        <v>2</v>
      </c>
      <c r="M1" s="32" t="s">
        <v>21</v>
      </c>
      <c r="N1" s="30" t="s">
        <v>24</v>
      </c>
      <c r="O1" s="30" t="s">
        <v>23</v>
      </c>
      <c r="P1" s="33" t="s">
        <v>26</v>
      </c>
      <c r="Q1" s="31" t="s">
        <v>25</v>
      </c>
      <c r="R1" s="29" t="s">
        <v>3</v>
      </c>
      <c r="S1" s="27" t="s">
        <v>48</v>
      </c>
      <c r="T1" s="27" t="s">
        <v>50</v>
      </c>
      <c r="U1" s="27" t="s">
        <v>52</v>
      </c>
      <c r="V1" s="29" t="s">
        <v>4</v>
      </c>
      <c r="W1" s="30" t="s">
        <v>31</v>
      </c>
      <c r="X1" s="29" t="s">
        <v>5</v>
      </c>
      <c r="Y1" s="29" t="s">
        <v>6</v>
      </c>
      <c r="Z1" s="29" t="s">
        <v>7</v>
      </c>
      <c r="AA1" s="29" t="s">
        <v>8</v>
      </c>
      <c r="AB1" s="34" t="s">
        <v>9</v>
      </c>
      <c r="AC1" s="35" t="s">
        <v>16</v>
      </c>
      <c r="AD1" s="35" t="s">
        <v>17</v>
      </c>
      <c r="AE1" s="35" t="s">
        <v>27</v>
      </c>
      <c r="AF1" s="34" t="s">
        <v>10</v>
      </c>
      <c r="AG1" s="29" t="s">
        <v>11</v>
      </c>
      <c r="AH1" s="29" t="s">
        <v>12</v>
      </c>
      <c r="AI1" s="29" t="s">
        <v>38</v>
      </c>
      <c r="AJ1" s="29" t="s">
        <v>40</v>
      </c>
      <c r="AK1" s="29" t="s">
        <v>42</v>
      </c>
      <c r="AL1" s="29" t="s">
        <v>44</v>
      </c>
      <c r="AM1" s="29" t="s">
        <v>46</v>
      </c>
    </row>
    <row r="2" spans="1:39" ht="21" customHeight="1" x14ac:dyDescent="0.15">
      <c r="A2" s="16" t="str">
        <f t="shared" ref="A2:A11" ca="1" si="0">B2&amp;"_"&amp;C2&amp;"-"&amp;G2&amp;"/"&amp;L2&amp;"&lt;lv"&amp;R2&amp;"&gt;s"&amp;AA2</f>
        <v>30013_1-1/1&lt;lv50&gt;s1</v>
      </c>
      <c r="B2" s="23">
        <v>30013</v>
      </c>
      <c r="C2" s="22">
        <v>1</v>
      </c>
      <c r="D2" s="2" t="str">
        <f t="shared" ref="D2:D11" si="1">B2&amp;"_"&amp;C2</f>
        <v>30013_1</v>
      </c>
      <c r="E2" s="4" t="str">
        <f ca="1">VLOOKUP($B2,OFFSET([2]quests!$A$1,0,0,COUNTA([2]quests!$A:$A),MATCH(E$1,[2]quests!$1:$1,0)-MATCH($B$1,[2]quests!$1:$1,0)+1),MATCH(E$1,[2]quests!$1:$1,0)-MATCH($B$1,[2]quests!$1:$1,0)+1,FALSE)</f>
        <v>決戦・竜宮城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【超級】決戦・竜宮城</v>
      </c>
      <c r="G2" s="22">
        <v>1</v>
      </c>
      <c r="H2" s="15" t="str">
        <f t="shared" ref="H2:H11" si="2">B2&amp;"_"&amp;C2&amp;"-"&amp;G2</f>
        <v>30013_1-1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9" t="s">
        <v>53</v>
      </c>
      <c r="L2" s="21">
        <v>1</v>
      </c>
      <c r="M2" s="17" t="str">
        <f ca="1">VLOOKUP(L2,[3]enemies!$A:$B,2,FALSE)</f>
        <v>ジェリー</v>
      </c>
      <c r="N2" s="19" t="str">
        <f ca="1">VLOOKUP(L2,[3]enemies!$A:$D,4,FALSE)</f>
        <v>red</v>
      </c>
      <c r="O2" s="19" t="str">
        <f>VLOOKUP(L2,[4]characters!$A:$J,10,FALSE)</f>
        <v>Drop1T</v>
      </c>
      <c r="P2" s="18" t="str">
        <f>VLOOKUP(L2,[4]characters!$A:$M,13,FALSE)</f>
        <v>unknown</v>
      </c>
      <c r="Q2" s="4">
        <f ca="1">VLOOKUP(L2,[3]enemies!$A:$X,24,FALSE)</f>
        <v>15</v>
      </c>
      <c r="R2" s="5">
        <v>50</v>
      </c>
      <c r="S2" s="26">
        <v>2.5</v>
      </c>
      <c r="T2" s="26">
        <v>1</v>
      </c>
      <c r="U2" s="5">
        <v>0</v>
      </c>
      <c r="V2" s="49">
        <v>30013007</v>
      </c>
      <c r="W2" s="4" t="str">
        <f>IFERROR(VLOOKUP(V2,[5]enemy_skill_sets!$B:$E,4,FALSE),VLOOKUP(V2,enemy_skill_sets!B:E,4,FALSE))</f>
        <v>増殖バグ発生</v>
      </c>
      <c r="X2" s="6">
        <v>0</v>
      </c>
      <c r="Y2" s="6">
        <v>100</v>
      </c>
      <c r="Z2" s="6">
        <v>0</v>
      </c>
      <c r="AA2" s="4">
        <f ca="1">VLOOKUP(L2,[3]enemies!$A:$V,22,FALSE)</f>
        <v>1</v>
      </c>
      <c r="AB2" s="25">
        <f t="shared" ref="AB2:AB11" si="3">L2</f>
        <v>1</v>
      </c>
      <c r="AC2" s="4" t="str">
        <f ca="1">VLOOKUP(AB2,[3]enemies!$A:$B,2,FALSE)</f>
        <v>ジェリー</v>
      </c>
      <c r="AD2" s="4">
        <f ca="1">VLOOKUP(AB2,[3]enemies!$A:$E,3,FALSE)</f>
        <v>1</v>
      </c>
      <c r="AE2" s="4" t="str">
        <f>VLOOKUP(AB2,[4]characters!$A:$J,10,FALSE)</f>
        <v>Drop1T</v>
      </c>
      <c r="AF2" s="7">
        <v>1</v>
      </c>
      <c r="AG2" s="25">
        <f t="shared" ref="AG2:AG11" ca="1" si="4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 x14ac:dyDescent="0.15">
      <c r="A3" s="16" t="str">
        <f t="shared" ca="1" si="0"/>
        <v>30013_1-2/1&lt;lv50&gt;s1</v>
      </c>
      <c r="B3" s="23">
        <v>30013</v>
      </c>
      <c r="C3" s="22">
        <v>1</v>
      </c>
      <c r="D3" s="2" t="str">
        <f t="shared" si="1"/>
        <v>30013_1</v>
      </c>
      <c r="E3" s="4" t="str">
        <f ca="1">VLOOKUP($B3,OFFSET([2]quests!$A$1,0,0,COUNTA([2]quests!$A:$A),MATCH(E$1,[2]quests!$1:$1,0)-MATCH($B$1,[2]quests!$1:$1,0)+1),MATCH(E$1,[2]quests!$1:$1,0)-MATCH($B$1,[2]quests!$1:$1,0)+1,FALSE)</f>
        <v>決戦・竜宮城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【超級】決戦・竜宮城</v>
      </c>
      <c r="G3" s="22">
        <v>2</v>
      </c>
      <c r="H3" s="15" t="str">
        <f t="shared" si="2"/>
        <v>30013_1-2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9" t="s">
        <v>53</v>
      </c>
      <c r="L3" s="21">
        <v>1</v>
      </c>
      <c r="M3" s="17" t="str">
        <f ca="1">VLOOKUP(L3,[3]enemies!$A:$B,2,FALSE)</f>
        <v>ジェリー</v>
      </c>
      <c r="N3" s="19" t="str">
        <f ca="1">VLOOKUP(L3,[3]enemies!$A:$D,4,FALSE)</f>
        <v>red</v>
      </c>
      <c r="O3" s="19" t="str">
        <f>VLOOKUP(L3,[4]characters!$A:$J,10,FALSE)</f>
        <v>Drop1T</v>
      </c>
      <c r="P3" s="18" t="str">
        <f>VLOOKUP(L3,[4]characters!$A:$M,13,FALSE)</f>
        <v>unknown</v>
      </c>
      <c r="Q3" s="4">
        <f ca="1">VLOOKUP(L3,[3]enemies!$A:$X,24,FALSE)</f>
        <v>15</v>
      </c>
      <c r="R3" s="5">
        <v>50</v>
      </c>
      <c r="S3" s="26">
        <v>1.7</v>
      </c>
      <c r="T3" s="26">
        <v>1.7</v>
      </c>
      <c r="U3" s="5">
        <v>0</v>
      </c>
      <c r="V3" s="49">
        <v>30013008</v>
      </c>
      <c r="W3" s="4" t="str">
        <f>IFERROR(VLOOKUP(V3,[5]enemy_skill_sets!$B:$E,4,FALSE),VLOOKUP(V3,enemy_skill_sets!B:E,4,FALSE))</f>
        <v>ガガ…バグ発生…</v>
      </c>
      <c r="X3" s="6">
        <v>1</v>
      </c>
      <c r="Y3" s="6">
        <v>100</v>
      </c>
      <c r="Z3" s="6">
        <v>1</v>
      </c>
      <c r="AA3" s="4">
        <f ca="1">VLOOKUP(L3,[3]enemies!$A:$V,22,FALSE)</f>
        <v>1</v>
      </c>
      <c r="AB3" s="25">
        <f t="shared" si="3"/>
        <v>1</v>
      </c>
      <c r="AC3" s="4" t="str">
        <f ca="1">VLOOKUP(AB3,[3]enemies!$A:$B,2,FALSE)</f>
        <v>ジェリー</v>
      </c>
      <c r="AD3" s="4">
        <f ca="1">VLOOKUP(AB3,[3]enemies!$A:$E,3,FALSE)</f>
        <v>1</v>
      </c>
      <c r="AE3" s="4" t="str">
        <f>VLOOKUP(AB3,[4]characters!$A:$J,10,FALSE)</f>
        <v>Drop1T</v>
      </c>
      <c r="AF3" s="7">
        <v>1</v>
      </c>
      <c r="AG3" s="25">
        <f t="shared" ca="1" si="4"/>
        <v>1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 x14ac:dyDescent="0.15">
      <c r="A4" s="16" t="str">
        <f t="shared" ca="1" si="0"/>
        <v>30013_1-2/1&lt;lv49&gt;s1</v>
      </c>
      <c r="B4" s="23">
        <v>30013</v>
      </c>
      <c r="C4" s="22">
        <v>1</v>
      </c>
      <c r="D4" s="2" t="str">
        <f t="shared" si="1"/>
        <v>30013_1</v>
      </c>
      <c r="E4" s="4" t="str">
        <f ca="1">VLOOKUP($B4,OFFSET([2]quests!$A$1,0,0,COUNTA([2]quests!$A:$A),MATCH(E$1,[2]quests!$1:$1,0)-MATCH($B$1,[2]quests!$1:$1,0)+1),MATCH(E$1,[2]quests!$1:$1,0)-MATCH($B$1,[2]quests!$1:$1,0)+1,FALSE)</f>
        <v>決戦・竜宮城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【超級】決戦・竜宮城</v>
      </c>
      <c r="G4" s="22">
        <v>2</v>
      </c>
      <c r="H4" s="15" t="str">
        <f t="shared" si="2"/>
        <v>30013_1-2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9" t="s">
        <v>53</v>
      </c>
      <c r="L4" s="21">
        <v>1</v>
      </c>
      <c r="M4" s="17" t="str">
        <f ca="1">VLOOKUP(L4,[3]enemies!$A:$B,2,FALSE)</f>
        <v>ジェリー</v>
      </c>
      <c r="N4" s="19" t="str">
        <f ca="1">VLOOKUP(L4,[3]enemies!$A:$D,4,FALSE)</f>
        <v>red</v>
      </c>
      <c r="O4" s="19" t="str">
        <f>VLOOKUP(L4,[4]characters!$A:$J,10,FALSE)</f>
        <v>Drop1T</v>
      </c>
      <c r="P4" s="18" t="str">
        <f>VLOOKUP(L4,[4]characters!$A:$M,13,FALSE)</f>
        <v>unknown</v>
      </c>
      <c r="Q4" s="4">
        <f ca="1">VLOOKUP(L4,[3]enemies!$A:$X,24,FALSE)</f>
        <v>15</v>
      </c>
      <c r="R4" s="5">
        <v>49</v>
      </c>
      <c r="S4" s="26">
        <v>1.7</v>
      </c>
      <c r="T4" s="26">
        <v>1.7</v>
      </c>
      <c r="U4" s="5">
        <v>0</v>
      </c>
      <c r="V4" s="49">
        <v>0</v>
      </c>
      <c r="W4" s="4" t="str">
        <f ca="1">IFERROR(VLOOKUP(V4,[5]enemy_skill_sets!$B:$E,4,FALSE),VLOOKUP(V4,enemy_skill_sets!B:E,4,FALSE))</f>
        <v>なし</v>
      </c>
      <c r="X4" s="6">
        <v>3</v>
      </c>
      <c r="Y4" s="6">
        <v>100</v>
      </c>
      <c r="Z4" s="6">
        <v>0</v>
      </c>
      <c r="AA4" s="4">
        <f ca="1">VLOOKUP(L4,[3]enemies!$A:$V,22,FALSE)</f>
        <v>1</v>
      </c>
      <c r="AB4" s="25">
        <f t="shared" si="3"/>
        <v>1</v>
      </c>
      <c r="AC4" s="4" t="str">
        <f ca="1">VLOOKUP(AB4,[3]enemies!$A:$B,2,FALSE)</f>
        <v>ジェリー</v>
      </c>
      <c r="AD4" s="4">
        <f ca="1">VLOOKUP(AB4,[3]enemies!$A:$E,3,FALSE)</f>
        <v>1</v>
      </c>
      <c r="AE4" s="4" t="str">
        <f>VLOOKUP(AB4,[4]characters!$A:$J,10,FALSE)</f>
        <v>Drop1T</v>
      </c>
      <c r="AF4" s="7">
        <v>1</v>
      </c>
      <c r="AG4" s="25">
        <f t="shared" ca="1" si="4"/>
        <v>1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 x14ac:dyDescent="0.15">
      <c r="A5" s="16" t="str">
        <f t="shared" ca="1" si="0"/>
        <v>30013_1-3/88&lt;lv55&gt;s2</v>
      </c>
      <c r="B5" s="23">
        <v>30013</v>
      </c>
      <c r="C5" s="22">
        <v>1</v>
      </c>
      <c r="D5" s="2" t="str">
        <f t="shared" si="1"/>
        <v>30013_1</v>
      </c>
      <c r="E5" s="4" t="str">
        <f ca="1">VLOOKUP($B5,OFFSET([2]quests!$A$1,0,0,COUNTA([2]quests!$A:$A),MATCH(E$1,[2]quests!$1:$1,0)-MATCH($B$1,[2]quests!$1:$1,0)+1),MATCH(E$1,[2]quests!$1:$1,0)-MATCH($B$1,[2]quests!$1:$1,0)+1,FALSE)</f>
        <v>決戦・竜宮城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【超級】決戦・竜宮城</v>
      </c>
      <c r="G5" s="22">
        <v>3</v>
      </c>
      <c r="H5" s="15" t="str">
        <f t="shared" si="2"/>
        <v>30013_1-3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9" t="s">
        <v>53</v>
      </c>
      <c r="L5" s="21">
        <v>88</v>
      </c>
      <c r="M5" s="17" t="str">
        <f ca="1">VLOOKUP(L5,[3]enemies!$A:$B,2,FALSE)</f>
        <v>玄武</v>
      </c>
      <c r="N5" s="19" t="str">
        <f ca="1">VLOOKUP(L5,[3]enemies!$A:$D,4,FALSE)</f>
        <v>green</v>
      </c>
      <c r="O5" s="19" t="str">
        <f>VLOOKUP(L5,[4]characters!$A:$J,10,FALSE)</f>
        <v>Drop2N</v>
      </c>
      <c r="P5" s="18" t="str">
        <f>VLOOKUP(L5,[4]characters!$A:$M,13,FALSE)</f>
        <v>dragon</v>
      </c>
      <c r="Q5" s="4">
        <f ca="1">VLOOKUP(L5,[3]enemies!$A:$X,24,FALSE)</f>
        <v>20</v>
      </c>
      <c r="R5" s="5">
        <v>55</v>
      </c>
      <c r="S5" s="26">
        <v>1.3</v>
      </c>
      <c r="T5" s="26">
        <v>1</v>
      </c>
      <c r="U5" s="5">
        <v>0</v>
      </c>
      <c r="V5" s="65">
        <v>30013003</v>
      </c>
      <c r="W5" s="4" t="str">
        <f>IFERROR(VLOOKUP(V5,[5]enemy_skill_sets!$B:$E,4,FALSE),VLOOKUP(V5,enemy_skill_sets!B:E,4,FALSE))</f>
        <v>困ったのう…</v>
      </c>
      <c r="X5" s="6">
        <v>1</v>
      </c>
      <c r="Y5" s="6">
        <v>100</v>
      </c>
      <c r="Z5" s="6">
        <v>1</v>
      </c>
      <c r="AA5" s="4">
        <f ca="1">VLOOKUP(L5,[3]enemies!$A:$V,22,FALSE)</f>
        <v>2</v>
      </c>
      <c r="AB5" s="25">
        <f t="shared" si="3"/>
        <v>88</v>
      </c>
      <c r="AC5" s="4" t="str">
        <f ca="1">VLOOKUP(AB5,[3]enemies!$A:$B,2,FALSE)</f>
        <v>玄武</v>
      </c>
      <c r="AD5" s="4">
        <f ca="1">VLOOKUP(AB5,[3]enemies!$A:$E,3,FALSE)</f>
        <v>3</v>
      </c>
      <c r="AE5" s="4" t="str">
        <f>VLOOKUP(AB5,[4]characters!$A:$J,10,FALSE)</f>
        <v>Drop2N</v>
      </c>
      <c r="AF5" s="7">
        <v>1</v>
      </c>
      <c r="AG5" s="25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 x14ac:dyDescent="0.15">
      <c r="A6" s="16" t="str">
        <f t="shared" si="0"/>
        <v>30013_1-3/36&lt;lv54&gt;s2</v>
      </c>
      <c r="B6" s="23">
        <v>30013</v>
      </c>
      <c r="C6" s="22">
        <v>1</v>
      </c>
      <c r="D6" s="2" t="str">
        <f t="shared" si="1"/>
        <v>30013_1</v>
      </c>
      <c r="E6" s="4" t="str">
        <f ca="1">VLOOKUP($B6,OFFSET([2]quests!$A$1,0,0,COUNTA([2]quests!$A:$A),MATCH(E$1,[2]quests!$1:$1,0)-MATCH($B$1,[2]quests!$1:$1,0)+1),MATCH(E$1,[2]quests!$1:$1,0)-MATCH($B$1,[2]quests!$1:$1,0)+1,FALSE)</f>
        <v>決戦・竜宮城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【超級】決戦・竜宮城</v>
      </c>
      <c r="G6" s="22">
        <v>3</v>
      </c>
      <c r="H6" s="15" t="str">
        <f t="shared" si="2"/>
        <v>30013_1-3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9" t="s">
        <v>53</v>
      </c>
      <c r="L6" s="21">
        <v>36</v>
      </c>
      <c r="M6" s="17" t="str">
        <f ca="1">VLOOKUP(L6,[3]enemies!$A:$B,2,FALSE)</f>
        <v>オフィス追尾型移動地雷F3</v>
      </c>
      <c r="N6" s="19" t="str">
        <f ca="1">VLOOKUP(L6,[3]enemies!$A:$D,4,FALSE)</f>
        <v>green</v>
      </c>
      <c r="O6" s="19" t="str">
        <f>VLOOKUP(L6,[4]characters!$A:$J,10,FALSE)</f>
        <v>Drop1S</v>
      </c>
      <c r="P6" s="18" t="str">
        <f>VLOOKUP(L6,[4]characters!$A:$M,13,FALSE)</f>
        <v>machine</v>
      </c>
      <c r="Q6" s="4">
        <f ca="1">VLOOKUP(L6,[3]enemies!$A:$X,24,FALSE)</f>
        <v>20</v>
      </c>
      <c r="R6" s="5">
        <v>54</v>
      </c>
      <c r="S6" s="26">
        <v>1.3</v>
      </c>
      <c r="T6" s="26">
        <v>0.2</v>
      </c>
      <c r="U6" s="5">
        <v>0</v>
      </c>
      <c r="V6" s="49">
        <v>30013002</v>
      </c>
      <c r="W6" s="4" t="str">
        <f>IFERROR(VLOOKUP(V6,[5]enemy_skill_sets!$B:$E,4,FALSE),VLOOKUP(V6,enemy_skill_sets!B:E,4,FALSE))</f>
        <v>ピ…ガガガ…！</v>
      </c>
      <c r="X6" s="6">
        <v>1</v>
      </c>
      <c r="Y6" s="6">
        <v>100</v>
      </c>
      <c r="Z6" s="6">
        <v>0</v>
      </c>
      <c r="AA6" s="4">
        <v>2</v>
      </c>
      <c r="AB6" s="25">
        <f t="shared" si="3"/>
        <v>36</v>
      </c>
      <c r="AC6" s="4" t="str">
        <f ca="1">VLOOKUP(AB6,[3]enemies!$A:$B,2,FALSE)</f>
        <v>オフィス追尾型移動地雷F3</v>
      </c>
      <c r="AD6" s="4">
        <f ca="1">VLOOKUP(AB6,[3]enemies!$A:$E,3,FALSE)</f>
        <v>3</v>
      </c>
      <c r="AE6" s="4" t="str">
        <f>VLOOKUP(AB6,[4]characters!$A:$J,10,FALSE)</f>
        <v>Drop1S</v>
      </c>
      <c r="AF6" s="7">
        <v>1</v>
      </c>
      <c r="AG6" s="25">
        <f t="shared" ca="1" si="4"/>
        <v>3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21" customHeight="1" x14ac:dyDescent="0.15">
      <c r="A7" s="16" t="str">
        <f t="shared" si="0"/>
        <v>30013_1-3/36&lt;lv55&gt;s2</v>
      </c>
      <c r="B7" s="23">
        <v>30013</v>
      </c>
      <c r="C7" s="22">
        <v>1</v>
      </c>
      <c r="D7" s="2" t="str">
        <f t="shared" si="1"/>
        <v>30013_1</v>
      </c>
      <c r="E7" s="4" t="str">
        <f ca="1">VLOOKUP($B7,OFFSET([2]quests!$A$1,0,0,COUNTA([2]quests!$A:$A),MATCH(E$1,[2]quests!$1:$1,0)-MATCH($B$1,[2]quests!$1:$1,0)+1),MATCH(E$1,[2]quests!$1:$1,0)-MATCH($B$1,[2]quests!$1:$1,0)+1,FALSE)</f>
        <v>決戦・竜宮城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【超級】決戦・竜宮城</v>
      </c>
      <c r="G7" s="22">
        <v>3</v>
      </c>
      <c r="H7" s="15" t="str">
        <f t="shared" si="2"/>
        <v>30013_1-3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9" t="s">
        <v>53</v>
      </c>
      <c r="L7" s="21">
        <v>36</v>
      </c>
      <c r="M7" s="17" t="str">
        <f ca="1">VLOOKUP(L7,[3]enemies!$A:$B,2,FALSE)</f>
        <v>オフィス追尾型移動地雷F3</v>
      </c>
      <c r="N7" s="19" t="str">
        <f ca="1">VLOOKUP(L7,[3]enemies!$A:$D,4,FALSE)</f>
        <v>green</v>
      </c>
      <c r="O7" s="19" t="str">
        <f>VLOOKUP(L7,[4]characters!$A:$J,10,FALSE)</f>
        <v>Drop1S</v>
      </c>
      <c r="P7" s="18" t="str">
        <f>VLOOKUP(L7,[4]characters!$A:$M,13,FALSE)</f>
        <v>machine</v>
      </c>
      <c r="Q7" s="4">
        <f ca="1">VLOOKUP(L7,[3]enemies!$A:$X,24,FALSE)</f>
        <v>20</v>
      </c>
      <c r="R7" s="5">
        <v>55</v>
      </c>
      <c r="S7" s="26">
        <v>1.3</v>
      </c>
      <c r="T7" s="26">
        <v>0.2</v>
      </c>
      <c r="U7" s="5">
        <v>0</v>
      </c>
      <c r="V7" s="49">
        <v>30013001</v>
      </c>
      <c r="W7" s="4" t="str">
        <f>IFERROR(VLOOKUP(V7,[5]enemy_skill_sets!$B:$E,4,FALSE),VLOOKUP(V7,enemy_skill_sets!B:E,4,FALSE))</f>
        <v>ウィルス排除シマス</v>
      </c>
      <c r="X7" s="6">
        <v>1</v>
      </c>
      <c r="Y7" s="6">
        <v>100</v>
      </c>
      <c r="Z7" s="6">
        <v>0</v>
      </c>
      <c r="AA7" s="4">
        <v>2</v>
      </c>
      <c r="AB7" s="25">
        <f t="shared" si="3"/>
        <v>36</v>
      </c>
      <c r="AC7" s="4" t="str">
        <f ca="1">VLOOKUP(AB7,[3]enemies!$A:$B,2,FALSE)</f>
        <v>オフィス追尾型移動地雷F3</v>
      </c>
      <c r="AD7" s="4">
        <f ca="1">VLOOKUP(AB7,[3]enemies!$A:$E,3,FALSE)</f>
        <v>3</v>
      </c>
      <c r="AE7" s="4" t="str">
        <f>VLOOKUP(AB7,[4]characters!$A:$J,10,FALSE)</f>
        <v>Drop1S</v>
      </c>
      <c r="AF7" s="7">
        <v>1</v>
      </c>
      <c r="AG7" s="25">
        <f t="shared" ca="1" si="4"/>
        <v>3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8" spans="1:39" ht="21" customHeight="1" x14ac:dyDescent="0.15">
      <c r="A8" s="16" t="str">
        <f t="shared" ca="1" si="0"/>
        <v>30013_1-4/22&lt;lv50&gt;s2</v>
      </c>
      <c r="B8" s="23">
        <v>30013</v>
      </c>
      <c r="C8" s="22">
        <v>1</v>
      </c>
      <c r="D8" s="2" t="str">
        <f t="shared" si="1"/>
        <v>30013_1</v>
      </c>
      <c r="E8" s="4" t="str">
        <f ca="1">VLOOKUP($B8,OFFSET([2]quests!$A$1,0,0,COUNTA([2]quests!$A:$A),MATCH(E$1,[2]quests!$1:$1,0)-MATCH($B$1,[2]quests!$1:$1,0)+1),MATCH(E$1,[2]quests!$1:$1,0)-MATCH($B$1,[2]quests!$1:$1,0)+1,FALSE)</f>
        <v>決戦・竜宮城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【超級】決戦・竜宮城</v>
      </c>
      <c r="G8" s="22">
        <v>4</v>
      </c>
      <c r="H8" s="15" t="str">
        <f t="shared" si="2"/>
        <v>30013_1-4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9" t="s">
        <v>53</v>
      </c>
      <c r="L8" s="21">
        <v>22</v>
      </c>
      <c r="M8" s="17" t="str">
        <f ca="1">VLOOKUP(L8,[3]enemies!$A:$B,2,FALSE)</f>
        <v>突然変異ヴェロキー</v>
      </c>
      <c r="N8" s="19" t="str">
        <f ca="1">VLOOKUP(L8,[3]enemies!$A:$D,4,FALSE)</f>
        <v>red</v>
      </c>
      <c r="O8" s="19" t="str">
        <f>VLOOKUP(L8,[4]characters!$A:$J,10,FALSE)</f>
        <v>Drop1N</v>
      </c>
      <c r="P8" s="18" t="str">
        <f>VLOOKUP(L8,[4]characters!$A:$M,13,FALSE)</f>
        <v>dragon</v>
      </c>
      <c r="Q8" s="4">
        <f ca="1">VLOOKUP(L8,[3]enemies!$A:$X,24,FALSE)</f>
        <v>15</v>
      </c>
      <c r="R8" s="5">
        <v>50</v>
      </c>
      <c r="S8" s="26">
        <v>1</v>
      </c>
      <c r="T8" s="26">
        <v>1.4</v>
      </c>
      <c r="U8" s="5">
        <v>0</v>
      </c>
      <c r="V8" s="65">
        <v>0</v>
      </c>
      <c r="W8" s="4" t="str">
        <f ca="1">IFERROR(VLOOKUP(V8,[5]enemy_skill_sets!$B:$E,4,FALSE),VLOOKUP(V8,enemy_skill_sets!B:E,4,FALSE))</f>
        <v>なし</v>
      </c>
      <c r="X8" s="6">
        <v>1</v>
      </c>
      <c r="Y8" s="6">
        <v>100</v>
      </c>
      <c r="Z8" s="6">
        <v>0</v>
      </c>
      <c r="AA8" s="4">
        <f ca="1">VLOOKUP(L8,[3]enemies!$A:$V,22,FALSE)</f>
        <v>2</v>
      </c>
      <c r="AB8" s="25">
        <f t="shared" si="3"/>
        <v>22</v>
      </c>
      <c r="AC8" s="4" t="str">
        <f ca="1">VLOOKUP(AB8,[3]enemies!$A:$B,2,FALSE)</f>
        <v>突然変異ヴェロキー</v>
      </c>
      <c r="AD8" s="4">
        <f ca="1">VLOOKUP(AB8,[3]enemies!$A:$E,3,FALSE)</f>
        <v>2</v>
      </c>
      <c r="AE8" s="4" t="str">
        <f>VLOOKUP(AB8,[4]characters!$A:$J,10,FALSE)</f>
        <v>Drop1N</v>
      </c>
      <c r="AF8" s="7">
        <v>1</v>
      </c>
      <c r="AG8" s="25">
        <f t="shared" ca="1" si="4"/>
        <v>2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</row>
    <row r="9" spans="1:39" ht="21" customHeight="1" x14ac:dyDescent="0.15">
      <c r="A9" s="16" t="str">
        <f t="shared" si="0"/>
        <v>30013_1-4/42&lt;lv50&gt;s1</v>
      </c>
      <c r="B9" s="23">
        <v>30013</v>
      </c>
      <c r="C9" s="22">
        <v>1</v>
      </c>
      <c r="D9" s="2" t="str">
        <f t="shared" si="1"/>
        <v>30013_1</v>
      </c>
      <c r="E9" s="4" t="str">
        <f ca="1">VLOOKUP($B9,OFFSET([2]quests!$A$1,0,0,COUNTA([2]quests!$A:$A),MATCH(E$1,[2]quests!$1:$1,0)-MATCH($B$1,[2]quests!$1:$1,0)+1),MATCH(E$1,[2]quests!$1:$1,0)-MATCH($B$1,[2]quests!$1:$1,0)+1,FALSE)</f>
        <v>決戦・竜宮城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【超級】決戦・竜宮城</v>
      </c>
      <c r="G9" s="22">
        <v>4</v>
      </c>
      <c r="H9" s="15" t="str">
        <f t="shared" si="2"/>
        <v>30013_1-4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9" t="s">
        <v>53</v>
      </c>
      <c r="L9" s="21">
        <v>42</v>
      </c>
      <c r="M9" s="17" t="str">
        <f ca="1">VLOOKUP(L9,[3]enemies!$A:$B,2,FALSE)</f>
        <v>燃えゆる吐息 ヒュウガ</v>
      </c>
      <c r="N9" s="19" t="str">
        <f ca="1">VLOOKUP(L9,[3]enemies!$A:$D,4,FALSE)</f>
        <v>red</v>
      </c>
      <c r="O9" s="19" t="str">
        <f>VLOOKUP(L9,[4]characters!$A:$J,10,FALSE)</f>
        <v>Drop1N</v>
      </c>
      <c r="P9" s="18" t="str">
        <f>VLOOKUP(L9,[4]characters!$A:$M,13,FALSE)</f>
        <v>dragon</v>
      </c>
      <c r="Q9" s="4">
        <f ca="1">VLOOKUP(L9,[3]enemies!$A:$X,24,FALSE)</f>
        <v>20</v>
      </c>
      <c r="R9" s="5">
        <v>50</v>
      </c>
      <c r="S9" s="26">
        <v>1</v>
      </c>
      <c r="T9" s="26">
        <v>0.7</v>
      </c>
      <c r="U9" s="5">
        <v>0</v>
      </c>
      <c r="V9" s="49">
        <v>0</v>
      </c>
      <c r="W9" s="4" t="str">
        <f ca="1">IFERROR(VLOOKUP(V9,[5]enemy_skill_sets!$B:$E,4,FALSE),VLOOKUP(V9,enemy_skill_sets!B:E,4,FALSE))</f>
        <v>なし</v>
      </c>
      <c r="X9" s="6">
        <v>1</v>
      </c>
      <c r="Y9" s="6">
        <v>100</v>
      </c>
      <c r="Z9" s="6">
        <v>0</v>
      </c>
      <c r="AA9" s="4">
        <v>1</v>
      </c>
      <c r="AB9" s="25">
        <f t="shared" si="3"/>
        <v>42</v>
      </c>
      <c r="AC9" s="4" t="str">
        <f ca="1">VLOOKUP(AB9,[3]enemies!$A:$B,2,FALSE)</f>
        <v>燃えゆる吐息 ヒュウガ</v>
      </c>
      <c r="AD9" s="4">
        <f ca="1">VLOOKUP(AB9,[3]enemies!$A:$E,3,FALSE)</f>
        <v>3</v>
      </c>
      <c r="AE9" s="4" t="str">
        <f>VLOOKUP(AB9,[4]characters!$A:$J,10,FALSE)</f>
        <v>Drop1N</v>
      </c>
      <c r="AF9" s="7">
        <v>1</v>
      </c>
      <c r="AG9" s="25">
        <f t="shared" ca="1" si="4"/>
        <v>3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</row>
    <row r="10" spans="1:39" ht="21" customHeight="1" x14ac:dyDescent="0.15">
      <c r="A10" s="16" t="str">
        <f t="shared" si="0"/>
        <v>30013_1-4/66&lt;lv50&gt;s2</v>
      </c>
      <c r="B10" s="23">
        <v>30013</v>
      </c>
      <c r="C10" s="22">
        <v>1</v>
      </c>
      <c r="D10" s="2" t="str">
        <f t="shared" si="1"/>
        <v>30013_1</v>
      </c>
      <c r="E10" s="4" t="str">
        <f ca="1">VLOOKUP($B10,OFFSET([2]quests!$A$1,0,0,COUNTA([2]quests!$A:$A),MATCH(E$1,[2]quests!$1:$1,0)-MATCH($B$1,[2]quests!$1:$1,0)+1),MATCH(E$1,[2]quests!$1:$1,0)-MATCH($B$1,[2]quests!$1:$1,0)+1,FALSE)</f>
        <v>決戦・竜宮城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【超級】決戦・竜宮城</v>
      </c>
      <c r="G10" s="22">
        <v>4</v>
      </c>
      <c r="H10" s="15" t="str">
        <f t="shared" si="2"/>
        <v>30013_1-4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9" t="s">
        <v>53</v>
      </c>
      <c r="L10" s="21">
        <v>66</v>
      </c>
      <c r="M10" s="17" t="str">
        <f ca="1">VLOOKUP(L10,[3]enemies!$A:$B,2,FALSE)</f>
        <v>探索者 ファイアフォックス</v>
      </c>
      <c r="N10" s="19" t="str">
        <f ca="1">VLOOKUP(L10,[3]enemies!$A:$D,4,FALSE)</f>
        <v>red</v>
      </c>
      <c r="O10" s="19" t="str">
        <f>VLOOKUP(L10,[4]characters!$A:$J,10,FALSE)</f>
        <v>Drop1S</v>
      </c>
      <c r="P10" s="18" t="str">
        <f>VLOOKUP(L10,[4]characters!$A:$M,13,FALSE)</f>
        <v>animal</v>
      </c>
      <c r="Q10" s="4">
        <f ca="1">VLOOKUP(L10,[3]enemies!$A:$X,24,FALSE)</f>
        <v>20</v>
      </c>
      <c r="R10" s="5">
        <v>50</v>
      </c>
      <c r="S10" s="26">
        <v>1</v>
      </c>
      <c r="T10" s="26">
        <v>1</v>
      </c>
      <c r="U10" s="5">
        <v>0</v>
      </c>
      <c r="V10" s="49">
        <v>0</v>
      </c>
      <c r="W10" s="4" t="str">
        <f ca="1">IFERROR(VLOOKUP(V10,[5]enemy_skill_sets!$B:$E,4,FALSE),VLOOKUP(V10,enemy_skill_sets!B:E,4,FALSE))</f>
        <v>なし</v>
      </c>
      <c r="X10" s="6">
        <v>0</v>
      </c>
      <c r="Y10" s="6">
        <v>100</v>
      </c>
      <c r="Z10" s="6">
        <v>1</v>
      </c>
      <c r="AA10" s="4">
        <v>2</v>
      </c>
      <c r="AB10" s="25">
        <f t="shared" si="3"/>
        <v>66</v>
      </c>
      <c r="AC10" s="4" t="str">
        <f ca="1">VLOOKUP(AB10,[3]enemies!$A:$B,2,FALSE)</f>
        <v>探索者 ファイアフォックス</v>
      </c>
      <c r="AD10" s="4">
        <f ca="1">VLOOKUP(AB10,[3]enemies!$A:$E,3,FALSE)</f>
        <v>3</v>
      </c>
      <c r="AE10" s="4" t="str">
        <f>VLOOKUP(AB10,[4]characters!$A:$J,10,FALSE)</f>
        <v>Drop1S</v>
      </c>
      <c r="AF10" s="7">
        <v>1</v>
      </c>
      <c r="AG10" s="25">
        <f t="shared" ca="1" si="4"/>
        <v>3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</row>
    <row r="11" spans="1:39" ht="21" customHeight="1" x14ac:dyDescent="0.15">
      <c r="A11" s="16" t="str">
        <f t="shared" si="0"/>
        <v>30013_1-5/418&lt;lv60&gt;s2</v>
      </c>
      <c r="B11" s="23">
        <v>30013</v>
      </c>
      <c r="C11" s="22">
        <v>1</v>
      </c>
      <c r="D11" s="2" t="str">
        <f t="shared" si="1"/>
        <v>30013_1</v>
      </c>
      <c r="E11" s="4" t="str">
        <f ca="1">VLOOKUP($B11,OFFSET([2]quests!$A$1,0,0,COUNTA([2]quests!$A:$A),MATCH(E$1,[2]quests!$1:$1,0)-MATCH($B$1,[2]quests!$1:$1,0)+1),MATCH(E$1,[2]quests!$1:$1,0)-MATCH($B$1,[2]quests!$1:$1,0)+1,FALSE)</f>
        <v>決戦・竜宮城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【超級】決戦・竜宮城</v>
      </c>
      <c r="G11" s="22">
        <v>5</v>
      </c>
      <c r="H11" s="15" t="str">
        <f t="shared" si="2"/>
        <v>30013_1-5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9">
        <v>2</v>
      </c>
      <c r="L11" s="21">
        <v>418</v>
      </c>
      <c r="M11" s="17" t="str">
        <f ca="1">VLOOKUP(L11,[3]enemies!$A:$B,2,FALSE)</f>
        <v>ウラシマ</v>
      </c>
      <c r="N11" s="19" t="str">
        <f ca="1">VLOOKUP(L11,[3]enemies!$A:$D,4,FALSE)</f>
        <v>red</v>
      </c>
      <c r="O11" s="19" t="str">
        <f>VLOOKUP(L11,[4]characters!$A:$J,10,FALSE)</f>
        <v>Drop2N</v>
      </c>
      <c r="P11" s="18" t="str">
        <f>VLOOKUP(L11,[4]characters!$A:$M,13,FALSE)</f>
        <v>human</v>
      </c>
      <c r="Q11" s="4">
        <f ca="1">VLOOKUP(L11,[3]enemies!$A:$X,24,FALSE)</f>
        <v>30</v>
      </c>
      <c r="R11" s="5">
        <v>60</v>
      </c>
      <c r="S11" s="26">
        <v>0.6</v>
      </c>
      <c r="T11" s="26">
        <v>1.2</v>
      </c>
      <c r="U11" s="5">
        <v>0</v>
      </c>
      <c r="V11" s="49">
        <v>30013004</v>
      </c>
      <c r="W11" s="4" t="str">
        <f>IFERROR(VLOOKUP(V11,[5]enemy_skill_sets!$B:$E,4,FALSE),VLOOKUP(V11,enemy_skill_sets!B:E,4,FALSE))</f>
        <v>モニターハッキング！</v>
      </c>
      <c r="X11" s="6">
        <v>1</v>
      </c>
      <c r="Y11" s="6">
        <v>100</v>
      </c>
      <c r="Z11" s="6">
        <v>1</v>
      </c>
      <c r="AA11" s="4">
        <v>2</v>
      </c>
      <c r="AB11" s="25">
        <f t="shared" si="3"/>
        <v>418</v>
      </c>
      <c r="AC11" s="4" t="str">
        <f ca="1">VLOOKUP(AB11,[3]enemies!$A:$B,2,FALSE)</f>
        <v>ウラシマ</v>
      </c>
      <c r="AD11" s="4">
        <f ca="1">VLOOKUP(AB11,[3]enemies!$A:$E,3,FALSE)</f>
        <v>4</v>
      </c>
      <c r="AE11" s="4" t="str">
        <f>VLOOKUP(AB11,[4]characters!$A:$J,10,FALSE)</f>
        <v>Drop2N</v>
      </c>
      <c r="AF11" s="7">
        <v>1</v>
      </c>
      <c r="AG11" s="25">
        <f t="shared" ca="1" si="4"/>
        <v>4</v>
      </c>
      <c r="AH11" s="8">
        <v>50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</row>
    <row r="12" spans="1:39" ht="21" customHeight="1" x14ac:dyDescent="0.15">
      <c r="A12" s="16" t="str">
        <f t="shared" ref="A12:A21" ca="1" si="5">B12&amp;"_"&amp;C12&amp;"-"&amp;G12&amp;"/"&amp;L12&amp;"&lt;lv"&amp;R12&amp;"&gt;s"&amp;AA12</f>
        <v>30013_2-1/1&lt;lv60&gt;s1</v>
      </c>
      <c r="B12" s="23">
        <v>30013</v>
      </c>
      <c r="C12" s="22">
        <v>2</v>
      </c>
      <c r="D12" s="2" t="str">
        <f t="shared" ref="D12:D21" si="6">B12&amp;"_"&amp;C12</f>
        <v>30013_2</v>
      </c>
      <c r="E12" s="4" t="str">
        <f ca="1">VLOOKUP($B12,OFFSET([2]quests!$A$1,0,0,COUNTA([2]quests!$A:$A),MATCH(E$1,[2]quests!$1:$1,0)-MATCH($B$1,[2]quests!$1:$1,0)+1),MATCH(E$1,[2]quests!$1:$1,0)-MATCH($B$1,[2]quests!$1:$1,0)+1,FALSE)</f>
        <v>決戦・竜宮城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【超絶級】決戦・竜宮城</v>
      </c>
      <c r="G12" s="22">
        <v>1</v>
      </c>
      <c r="H12" s="15" t="str">
        <f t="shared" ref="H12:H21" si="7">B12&amp;"_"&amp;C12&amp;"-"&amp;G12</f>
        <v>30013_2-1</v>
      </c>
      <c r="I12" s="4">
        <f ca="1">VLOOKUP($H12,OFFSET(floors!$A$1,0,0,COUNTA(floors!$A:$A),MATCH(I$1,floors!$1:$1,0)-MATCH($H$1,floors!$1:$1,0)+1),MATCH(I$1,floors!$1:$1,0)-MATCH($H$1,floors!$1:$1,0)+1,FALSE)</f>
        <v>15</v>
      </c>
      <c r="J12" s="4">
        <f ca="1">VLOOKUP($H12,OFFSET(floors!$A$1,0,0,COUNTA(floors!$A:$A),MATCH(J$1,floors!$1:$1,0)-MATCH($H$1,floors!$1:$1,0)+1),MATCH(J$1,floors!$1:$1,0)-MATCH($H$1,floors!$1:$1,0)+1,FALSE)</f>
        <v>15</v>
      </c>
      <c r="K12" s="39" t="s">
        <v>53</v>
      </c>
      <c r="L12" s="21">
        <v>1</v>
      </c>
      <c r="M12" s="17" t="str">
        <f ca="1">VLOOKUP(L12,[3]enemies!$A:$B,2,FALSE)</f>
        <v>ジェリー</v>
      </c>
      <c r="N12" s="19" t="str">
        <f ca="1">VLOOKUP(L12,[3]enemies!$A:$D,4,FALSE)</f>
        <v>red</v>
      </c>
      <c r="O12" s="19" t="str">
        <f>VLOOKUP(L12,[4]characters!$A:$J,10,FALSE)</f>
        <v>Drop1T</v>
      </c>
      <c r="P12" s="18" t="str">
        <f>VLOOKUP(L12,[4]characters!$A:$M,13,FALSE)</f>
        <v>unknown</v>
      </c>
      <c r="Q12" s="4">
        <f ca="1">VLOOKUP(L12,[3]enemies!$A:$X,24,FALSE)</f>
        <v>15</v>
      </c>
      <c r="R12" s="5">
        <v>60</v>
      </c>
      <c r="S12" s="26">
        <v>2.5</v>
      </c>
      <c r="T12" s="26">
        <v>1</v>
      </c>
      <c r="U12" s="5">
        <v>0</v>
      </c>
      <c r="V12" s="49">
        <v>30013007</v>
      </c>
      <c r="W12" s="4" t="str">
        <f>IFERROR(VLOOKUP(V12,[5]enemy_skill_sets!$B:$E,4,FALSE),VLOOKUP(V12,enemy_skill_sets!B:E,4,FALSE))</f>
        <v>増殖バグ発生</v>
      </c>
      <c r="X12" s="6">
        <v>0</v>
      </c>
      <c r="Y12" s="6">
        <v>100</v>
      </c>
      <c r="Z12" s="6">
        <v>0</v>
      </c>
      <c r="AA12" s="4">
        <f ca="1">VLOOKUP(L12,[3]enemies!$A:$V,22,FALSE)</f>
        <v>1</v>
      </c>
      <c r="AB12" s="25">
        <f t="shared" ref="AB12:AB16" si="8">L12</f>
        <v>1</v>
      </c>
      <c r="AC12" s="4" t="str">
        <f ca="1">VLOOKUP(AB12,[3]enemies!$A:$B,2,FALSE)</f>
        <v>ジェリー</v>
      </c>
      <c r="AD12" s="4">
        <f ca="1">VLOOKUP(AB12,[3]enemies!$A:$E,3,FALSE)</f>
        <v>1</v>
      </c>
      <c r="AE12" s="4" t="str">
        <f>VLOOKUP(AB12,[4]characters!$A:$J,10,FALSE)</f>
        <v>Drop1T</v>
      </c>
      <c r="AF12" s="7">
        <v>1</v>
      </c>
      <c r="AG12" s="25">
        <f t="shared" ref="AG12:AG21" ca="1" si="9">AD12</f>
        <v>1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</row>
    <row r="13" spans="1:39" ht="21" customHeight="1" x14ac:dyDescent="0.15">
      <c r="A13" s="16" t="str">
        <f t="shared" ca="1" si="5"/>
        <v>30013_2-2/1&lt;lv60&gt;s1</v>
      </c>
      <c r="B13" s="23">
        <v>30013</v>
      </c>
      <c r="C13" s="22">
        <v>2</v>
      </c>
      <c r="D13" s="2" t="str">
        <f t="shared" si="6"/>
        <v>30013_2</v>
      </c>
      <c r="E13" s="4" t="str">
        <f ca="1">VLOOKUP($B13,OFFSET([2]quests!$A$1,0,0,COUNTA([2]quests!$A:$A),MATCH(E$1,[2]quests!$1:$1,0)-MATCH($B$1,[2]quests!$1:$1,0)+1),MATCH(E$1,[2]quests!$1:$1,0)-MATCH($B$1,[2]quests!$1:$1,0)+1,FALSE)</f>
        <v>決戦・竜宮城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【超絶級】決戦・竜宮城</v>
      </c>
      <c r="G13" s="22">
        <v>2</v>
      </c>
      <c r="H13" s="15" t="str">
        <f t="shared" si="7"/>
        <v>30013_2-2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9" t="s">
        <v>53</v>
      </c>
      <c r="L13" s="21">
        <v>1</v>
      </c>
      <c r="M13" s="17" t="str">
        <f ca="1">VLOOKUP(L13,[3]enemies!$A:$B,2,FALSE)</f>
        <v>ジェリー</v>
      </c>
      <c r="N13" s="19" t="str">
        <f ca="1">VLOOKUP(L13,[3]enemies!$A:$D,4,FALSE)</f>
        <v>red</v>
      </c>
      <c r="O13" s="19" t="str">
        <f>VLOOKUP(L13,[4]characters!$A:$J,10,FALSE)</f>
        <v>Drop1T</v>
      </c>
      <c r="P13" s="18" t="str">
        <f>VLOOKUP(L13,[4]characters!$A:$M,13,FALSE)</f>
        <v>unknown</v>
      </c>
      <c r="Q13" s="4">
        <f ca="1">VLOOKUP(L13,[3]enemies!$A:$X,24,FALSE)</f>
        <v>15</v>
      </c>
      <c r="R13" s="5">
        <v>60</v>
      </c>
      <c r="S13" s="26">
        <v>2</v>
      </c>
      <c r="T13" s="26">
        <v>1.7</v>
      </c>
      <c r="U13" s="5">
        <v>0</v>
      </c>
      <c r="V13" s="49">
        <v>30013008</v>
      </c>
      <c r="W13" s="4" t="str">
        <f>IFERROR(VLOOKUP(V13,[5]enemy_skill_sets!$B:$E,4,FALSE),VLOOKUP(V13,enemy_skill_sets!B:E,4,FALSE))</f>
        <v>ガガ…バグ発生…</v>
      </c>
      <c r="X13" s="6">
        <v>1</v>
      </c>
      <c r="Y13" s="6">
        <v>100</v>
      </c>
      <c r="Z13" s="6">
        <v>1</v>
      </c>
      <c r="AA13" s="4">
        <f ca="1">VLOOKUP(L13,[3]enemies!$A:$V,22,FALSE)</f>
        <v>1</v>
      </c>
      <c r="AB13" s="25">
        <f t="shared" si="8"/>
        <v>1</v>
      </c>
      <c r="AC13" s="4" t="str">
        <f ca="1">VLOOKUP(AB13,[3]enemies!$A:$B,2,FALSE)</f>
        <v>ジェリー</v>
      </c>
      <c r="AD13" s="4">
        <f ca="1">VLOOKUP(AB13,[3]enemies!$A:$E,3,FALSE)</f>
        <v>1</v>
      </c>
      <c r="AE13" s="4" t="str">
        <f>VLOOKUP(AB13,[4]characters!$A:$J,10,FALSE)</f>
        <v>Drop1T</v>
      </c>
      <c r="AF13" s="7">
        <v>1</v>
      </c>
      <c r="AG13" s="25">
        <f t="shared" ca="1" si="9"/>
        <v>1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</row>
    <row r="14" spans="1:39" ht="21" customHeight="1" x14ac:dyDescent="0.15">
      <c r="A14" s="16" t="str">
        <f t="shared" ref="A14" ca="1" si="10">B14&amp;"_"&amp;C14&amp;"-"&amp;G14&amp;"/"&amp;L14&amp;"&lt;lv"&amp;R14&amp;"&gt;s"&amp;AA14</f>
        <v>30013_2-2/1&lt;lv59&gt;s1</v>
      </c>
      <c r="B14" s="23">
        <v>30013</v>
      </c>
      <c r="C14" s="22">
        <v>2</v>
      </c>
      <c r="D14" s="2" t="str">
        <f t="shared" ref="D14" si="11">B14&amp;"_"&amp;C14</f>
        <v>30013_2</v>
      </c>
      <c r="E14" s="4" t="str">
        <f ca="1">VLOOKUP($B14,OFFSET([2]quests!$A$1,0,0,COUNTA([2]quests!$A:$A),MATCH(E$1,[2]quests!$1:$1,0)-MATCH($B$1,[2]quests!$1:$1,0)+1),MATCH(E$1,[2]quests!$1:$1,0)-MATCH($B$1,[2]quests!$1:$1,0)+1,FALSE)</f>
        <v>決戦・竜宮城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【超絶級】決戦・竜宮城</v>
      </c>
      <c r="G14" s="22">
        <v>2</v>
      </c>
      <c r="H14" s="15" t="str">
        <f t="shared" ref="H14" si="12">B14&amp;"_"&amp;C14&amp;"-"&amp;G14</f>
        <v>30013_2-2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9" t="s">
        <v>53</v>
      </c>
      <c r="L14" s="21">
        <v>1</v>
      </c>
      <c r="M14" s="17" t="str">
        <f ca="1">VLOOKUP(L14,[3]enemies!$A:$B,2,FALSE)</f>
        <v>ジェリー</v>
      </c>
      <c r="N14" s="19" t="str">
        <f ca="1">VLOOKUP(L14,[3]enemies!$A:$D,4,FALSE)</f>
        <v>red</v>
      </c>
      <c r="O14" s="19" t="str">
        <f>VLOOKUP(L14,[4]characters!$A:$J,10,FALSE)</f>
        <v>Drop1T</v>
      </c>
      <c r="P14" s="18" t="str">
        <f>VLOOKUP(L14,[4]characters!$A:$M,13,FALSE)</f>
        <v>unknown</v>
      </c>
      <c r="Q14" s="4">
        <f ca="1">VLOOKUP(L14,[3]enemies!$A:$X,24,FALSE)</f>
        <v>15</v>
      </c>
      <c r="R14" s="5">
        <v>59</v>
      </c>
      <c r="S14" s="26">
        <v>2</v>
      </c>
      <c r="T14" s="26">
        <v>1.7</v>
      </c>
      <c r="U14" s="5">
        <v>0</v>
      </c>
      <c r="V14" s="49">
        <v>0</v>
      </c>
      <c r="W14" s="4" t="str">
        <f ca="1">IFERROR(VLOOKUP(V14,[5]enemy_skill_sets!$B:$E,4,FALSE),VLOOKUP(V14,enemy_skill_sets!B:E,4,FALSE))</f>
        <v>なし</v>
      </c>
      <c r="X14" s="6">
        <v>3</v>
      </c>
      <c r="Y14" s="6">
        <v>100</v>
      </c>
      <c r="Z14" s="6">
        <v>0</v>
      </c>
      <c r="AA14" s="4">
        <f ca="1">VLOOKUP(L14,[3]enemies!$A:$V,22,FALSE)</f>
        <v>1</v>
      </c>
      <c r="AB14" s="25">
        <f t="shared" ref="AB14" si="13">L14</f>
        <v>1</v>
      </c>
      <c r="AC14" s="4" t="str">
        <f ca="1">VLOOKUP(AB14,[3]enemies!$A:$B,2,FALSE)</f>
        <v>ジェリー</v>
      </c>
      <c r="AD14" s="4">
        <f ca="1">VLOOKUP(AB14,[3]enemies!$A:$E,3,FALSE)</f>
        <v>1</v>
      </c>
      <c r="AE14" s="4" t="str">
        <f>VLOOKUP(AB14,[4]characters!$A:$J,10,FALSE)</f>
        <v>Drop1T</v>
      </c>
      <c r="AF14" s="7">
        <v>1</v>
      </c>
      <c r="AG14" s="25">
        <f t="shared" ref="AG14" ca="1" si="14">AD14</f>
        <v>1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</row>
    <row r="15" spans="1:39" ht="21" customHeight="1" x14ac:dyDescent="0.15">
      <c r="A15" s="16" t="str">
        <f t="shared" ca="1" si="5"/>
        <v>30013_2-3/88&lt;lv65&gt;s2</v>
      </c>
      <c r="B15" s="23">
        <v>30013</v>
      </c>
      <c r="C15" s="22">
        <v>2</v>
      </c>
      <c r="D15" s="2" t="str">
        <f t="shared" si="6"/>
        <v>30013_2</v>
      </c>
      <c r="E15" s="4" t="str">
        <f ca="1">VLOOKUP($B15,OFFSET([2]quests!$A$1,0,0,COUNTA([2]quests!$A:$A),MATCH(E$1,[2]quests!$1:$1,0)-MATCH($B$1,[2]quests!$1:$1,0)+1),MATCH(E$1,[2]quests!$1:$1,0)-MATCH($B$1,[2]quests!$1:$1,0)+1,FALSE)</f>
        <v>決戦・竜宮城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【超絶級】決戦・竜宮城</v>
      </c>
      <c r="G15" s="22">
        <v>3</v>
      </c>
      <c r="H15" s="15" t="str">
        <f t="shared" si="7"/>
        <v>30013_2-3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9" t="s">
        <v>53</v>
      </c>
      <c r="L15" s="21">
        <v>88</v>
      </c>
      <c r="M15" s="17" t="str">
        <f ca="1">VLOOKUP(L15,[3]enemies!$A:$B,2,FALSE)</f>
        <v>玄武</v>
      </c>
      <c r="N15" s="19" t="str">
        <f ca="1">VLOOKUP(L15,[3]enemies!$A:$D,4,FALSE)</f>
        <v>green</v>
      </c>
      <c r="O15" s="19" t="str">
        <f>VLOOKUP(L15,[4]characters!$A:$J,10,FALSE)</f>
        <v>Drop2N</v>
      </c>
      <c r="P15" s="18" t="str">
        <f>VLOOKUP(L15,[4]characters!$A:$M,13,FALSE)</f>
        <v>dragon</v>
      </c>
      <c r="Q15" s="4">
        <f ca="1">VLOOKUP(L15,[3]enemies!$A:$X,24,FALSE)</f>
        <v>20</v>
      </c>
      <c r="R15" s="5">
        <v>65</v>
      </c>
      <c r="S15" s="26">
        <v>1.3</v>
      </c>
      <c r="T15" s="26">
        <v>1</v>
      </c>
      <c r="U15" s="5">
        <v>0</v>
      </c>
      <c r="V15" s="65">
        <v>30013003</v>
      </c>
      <c r="W15" s="4" t="str">
        <f>IFERROR(VLOOKUP(V15,[5]enemy_skill_sets!$B:$E,4,FALSE),VLOOKUP(V15,enemy_skill_sets!B:E,4,FALSE))</f>
        <v>困ったのう…</v>
      </c>
      <c r="X15" s="6">
        <v>1</v>
      </c>
      <c r="Y15" s="6">
        <v>100</v>
      </c>
      <c r="Z15" s="6">
        <v>1</v>
      </c>
      <c r="AA15" s="4">
        <f ca="1">VLOOKUP(L15,[3]enemies!$A:$V,22,FALSE)</f>
        <v>2</v>
      </c>
      <c r="AB15" s="25">
        <f t="shared" si="8"/>
        <v>88</v>
      </c>
      <c r="AC15" s="4" t="str">
        <f ca="1">VLOOKUP(AB15,[3]enemies!$A:$B,2,FALSE)</f>
        <v>玄武</v>
      </c>
      <c r="AD15" s="4">
        <f ca="1">VLOOKUP(AB15,[3]enemies!$A:$E,3,FALSE)</f>
        <v>3</v>
      </c>
      <c r="AE15" s="4" t="str">
        <f>VLOOKUP(AB15,[4]characters!$A:$J,10,FALSE)</f>
        <v>Drop2N</v>
      </c>
      <c r="AF15" s="7">
        <v>1</v>
      </c>
      <c r="AG15" s="25">
        <f t="shared" ca="1" si="9"/>
        <v>3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</row>
    <row r="16" spans="1:39" ht="21" customHeight="1" x14ac:dyDescent="0.15">
      <c r="A16" s="16" t="str">
        <f t="shared" si="5"/>
        <v>30013_2-3/36&lt;lv64&gt;s2</v>
      </c>
      <c r="B16" s="23">
        <v>30013</v>
      </c>
      <c r="C16" s="22">
        <v>2</v>
      </c>
      <c r="D16" s="2" t="str">
        <f t="shared" si="6"/>
        <v>30013_2</v>
      </c>
      <c r="E16" s="4" t="str">
        <f ca="1">VLOOKUP($B16,OFFSET([2]quests!$A$1,0,0,COUNTA([2]quests!$A:$A),MATCH(E$1,[2]quests!$1:$1,0)-MATCH($B$1,[2]quests!$1:$1,0)+1),MATCH(E$1,[2]quests!$1:$1,0)-MATCH($B$1,[2]quests!$1:$1,0)+1,FALSE)</f>
        <v>決戦・竜宮城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【超絶級】決戦・竜宮城</v>
      </c>
      <c r="G16" s="22">
        <v>3</v>
      </c>
      <c r="H16" s="15" t="str">
        <f t="shared" si="7"/>
        <v>30013_2-3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9" t="s">
        <v>53</v>
      </c>
      <c r="L16" s="21">
        <v>36</v>
      </c>
      <c r="M16" s="17" t="str">
        <f ca="1">VLOOKUP(L16,[3]enemies!$A:$B,2,FALSE)</f>
        <v>オフィス追尾型移動地雷F3</v>
      </c>
      <c r="N16" s="19" t="str">
        <f ca="1">VLOOKUP(L16,[3]enemies!$A:$D,4,FALSE)</f>
        <v>green</v>
      </c>
      <c r="O16" s="19" t="str">
        <f>VLOOKUP(L16,[4]characters!$A:$J,10,FALSE)</f>
        <v>Drop1S</v>
      </c>
      <c r="P16" s="18" t="str">
        <f>VLOOKUP(L16,[4]characters!$A:$M,13,FALSE)</f>
        <v>machine</v>
      </c>
      <c r="Q16" s="4">
        <f ca="1">VLOOKUP(L16,[3]enemies!$A:$X,24,FALSE)</f>
        <v>20</v>
      </c>
      <c r="R16" s="5">
        <v>64</v>
      </c>
      <c r="S16" s="26">
        <v>1.3</v>
      </c>
      <c r="T16" s="26">
        <v>0.2</v>
      </c>
      <c r="U16" s="5">
        <v>0</v>
      </c>
      <c r="V16" s="49">
        <v>30013002</v>
      </c>
      <c r="W16" s="4" t="str">
        <f>IFERROR(VLOOKUP(V16,[5]enemy_skill_sets!$B:$E,4,FALSE),VLOOKUP(V16,enemy_skill_sets!B:E,4,FALSE))</f>
        <v>ピ…ガガガ…！</v>
      </c>
      <c r="X16" s="6">
        <v>1</v>
      </c>
      <c r="Y16" s="6">
        <v>100</v>
      </c>
      <c r="Z16" s="6">
        <v>0</v>
      </c>
      <c r="AA16" s="4">
        <v>2</v>
      </c>
      <c r="AB16" s="25">
        <f t="shared" si="8"/>
        <v>36</v>
      </c>
      <c r="AC16" s="4" t="str">
        <f ca="1">VLOOKUP(AB16,[3]enemies!$A:$B,2,FALSE)</f>
        <v>オフィス追尾型移動地雷F3</v>
      </c>
      <c r="AD16" s="4">
        <f ca="1">VLOOKUP(AB16,[3]enemies!$A:$E,3,FALSE)</f>
        <v>3</v>
      </c>
      <c r="AE16" s="4" t="str">
        <f>VLOOKUP(AB16,[4]characters!$A:$J,10,FALSE)</f>
        <v>Drop1S</v>
      </c>
      <c r="AF16" s="7">
        <v>1</v>
      </c>
      <c r="AG16" s="25">
        <f t="shared" ca="1" si="9"/>
        <v>3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</row>
    <row r="17" spans="1:39" ht="21" customHeight="1" x14ac:dyDescent="0.15">
      <c r="A17" s="16" t="str">
        <f t="shared" ref="A17:A18" si="15">B17&amp;"_"&amp;C17&amp;"-"&amp;G17&amp;"/"&amp;L17&amp;"&lt;lv"&amp;R17&amp;"&gt;s"&amp;AA17</f>
        <v>30013_2-3/36&lt;lv65&gt;s2</v>
      </c>
      <c r="B17" s="23">
        <v>30013</v>
      </c>
      <c r="C17" s="22">
        <v>2</v>
      </c>
      <c r="D17" s="2" t="str">
        <f t="shared" ref="D17:D18" si="16">B17&amp;"_"&amp;C17</f>
        <v>30013_2</v>
      </c>
      <c r="E17" s="4" t="str">
        <f ca="1">VLOOKUP($B17,OFFSET([2]quests!$A$1,0,0,COUNTA([2]quests!$A:$A),MATCH(E$1,[2]quests!$1:$1,0)-MATCH($B$1,[2]quests!$1:$1,0)+1),MATCH(E$1,[2]quests!$1:$1,0)-MATCH($B$1,[2]quests!$1:$1,0)+1,FALSE)</f>
        <v>決戦・竜宮城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【超絶級】決戦・竜宮城</v>
      </c>
      <c r="G17" s="22">
        <v>3</v>
      </c>
      <c r="H17" s="15" t="str">
        <f t="shared" ref="H17:H18" si="17">B17&amp;"_"&amp;C17&amp;"-"&amp;G17</f>
        <v>30013_2-3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9" t="s">
        <v>53</v>
      </c>
      <c r="L17" s="21">
        <v>36</v>
      </c>
      <c r="M17" s="17" t="str">
        <f ca="1">VLOOKUP(L17,[3]enemies!$A:$B,2,FALSE)</f>
        <v>オフィス追尾型移動地雷F3</v>
      </c>
      <c r="N17" s="19" t="str">
        <f ca="1">VLOOKUP(L17,[3]enemies!$A:$D,4,FALSE)</f>
        <v>green</v>
      </c>
      <c r="O17" s="19" t="str">
        <f>VLOOKUP(L17,[4]characters!$A:$J,10,FALSE)</f>
        <v>Drop1S</v>
      </c>
      <c r="P17" s="18" t="str">
        <f>VLOOKUP(L17,[4]characters!$A:$M,13,FALSE)</f>
        <v>machine</v>
      </c>
      <c r="Q17" s="4">
        <f ca="1">VLOOKUP(L17,[3]enemies!$A:$X,24,FALSE)</f>
        <v>20</v>
      </c>
      <c r="R17" s="5">
        <v>65</v>
      </c>
      <c r="S17" s="26">
        <v>1.3</v>
      </c>
      <c r="T17" s="26">
        <v>0.2</v>
      </c>
      <c r="U17" s="5">
        <v>0</v>
      </c>
      <c r="V17" s="49">
        <v>30013001</v>
      </c>
      <c r="W17" s="4" t="str">
        <f>IFERROR(VLOOKUP(V17,[5]enemy_skill_sets!$B:$E,4,FALSE),VLOOKUP(V17,enemy_skill_sets!B:E,4,FALSE))</f>
        <v>ウィルス排除シマス</v>
      </c>
      <c r="X17" s="6">
        <v>1</v>
      </c>
      <c r="Y17" s="6">
        <v>100</v>
      </c>
      <c r="Z17" s="6">
        <v>0</v>
      </c>
      <c r="AA17" s="4">
        <v>2</v>
      </c>
      <c r="AB17" s="25">
        <f t="shared" ref="AB17:AB18" si="18">L17</f>
        <v>36</v>
      </c>
      <c r="AC17" s="4" t="str">
        <f ca="1">VLOOKUP(AB17,[3]enemies!$A:$B,2,FALSE)</f>
        <v>オフィス追尾型移動地雷F3</v>
      </c>
      <c r="AD17" s="4">
        <f ca="1">VLOOKUP(AB17,[3]enemies!$A:$E,3,FALSE)</f>
        <v>3</v>
      </c>
      <c r="AE17" s="4" t="str">
        <f>VLOOKUP(AB17,[4]characters!$A:$J,10,FALSE)</f>
        <v>Drop1S</v>
      </c>
      <c r="AF17" s="7">
        <v>1</v>
      </c>
      <c r="AG17" s="25">
        <f t="shared" ref="AG17:AG18" ca="1" si="19">AD17</f>
        <v>3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</row>
    <row r="18" spans="1:39" ht="21" customHeight="1" x14ac:dyDescent="0.15">
      <c r="A18" s="16" t="str">
        <f t="shared" si="15"/>
        <v>30013_2-4/42&lt;lv60&gt;s1</v>
      </c>
      <c r="B18" s="23">
        <v>30013</v>
      </c>
      <c r="C18" s="22">
        <v>2</v>
      </c>
      <c r="D18" s="2" t="str">
        <f t="shared" si="16"/>
        <v>30013_2</v>
      </c>
      <c r="E18" s="4" t="str">
        <f ca="1">VLOOKUP($B18,OFFSET([2]quests!$A$1,0,0,COUNTA([2]quests!$A:$A),MATCH(E$1,[2]quests!$1:$1,0)-MATCH($B$1,[2]quests!$1:$1,0)+1),MATCH(E$1,[2]quests!$1:$1,0)-MATCH($B$1,[2]quests!$1:$1,0)+1,FALSE)</f>
        <v>決戦・竜宮城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【超絶級】決戦・竜宮城</v>
      </c>
      <c r="G18" s="22">
        <v>4</v>
      </c>
      <c r="H18" s="15" t="str">
        <f t="shared" si="17"/>
        <v>30013_2-4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9" t="s">
        <v>53</v>
      </c>
      <c r="L18" s="21">
        <v>42</v>
      </c>
      <c r="M18" s="17" t="str">
        <f ca="1">VLOOKUP(L18,[3]enemies!$A:$B,2,FALSE)</f>
        <v>燃えゆる吐息 ヒュウガ</v>
      </c>
      <c r="N18" s="19" t="str">
        <f ca="1">VLOOKUP(L18,[3]enemies!$A:$D,4,FALSE)</f>
        <v>red</v>
      </c>
      <c r="O18" s="19" t="str">
        <f>VLOOKUP(L18,[4]characters!$A:$J,10,FALSE)</f>
        <v>Drop1N</v>
      </c>
      <c r="P18" s="18" t="str">
        <f>VLOOKUP(L18,[4]characters!$A:$M,13,FALSE)</f>
        <v>dragon</v>
      </c>
      <c r="Q18" s="4">
        <f ca="1">VLOOKUP(L18,[3]enemies!$A:$X,24,FALSE)</f>
        <v>20</v>
      </c>
      <c r="R18" s="5">
        <v>60</v>
      </c>
      <c r="S18" s="26">
        <v>1</v>
      </c>
      <c r="T18" s="26">
        <v>0.7</v>
      </c>
      <c r="U18" s="5">
        <v>0</v>
      </c>
      <c r="V18" s="49">
        <v>0</v>
      </c>
      <c r="W18" s="4" t="str">
        <f ca="1">IFERROR(VLOOKUP(V18,[5]enemy_skill_sets!$B:$E,4,FALSE),VLOOKUP(V18,enemy_skill_sets!B:E,4,FALSE))</f>
        <v>なし</v>
      </c>
      <c r="X18" s="6">
        <v>1</v>
      </c>
      <c r="Y18" s="6">
        <v>100</v>
      </c>
      <c r="Z18" s="6">
        <v>0</v>
      </c>
      <c r="AA18" s="4">
        <v>1</v>
      </c>
      <c r="AB18" s="25">
        <f t="shared" si="18"/>
        <v>42</v>
      </c>
      <c r="AC18" s="4" t="str">
        <f ca="1">VLOOKUP(AB18,[3]enemies!$A:$B,2,FALSE)</f>
        <v>燃えゆる吐息 ヒュウガ</v>
      </c>
      <c r="AD18" s="4">
        <f ca="1">VLOOKUP(AB18,[3]enemies!$A:$E,3,FALSE)</f>
        <v>3</v>
      </c>
      <c r="AE18" s="4" t="str">
        <f>VLOOKUP(AB18,[4]characters!$A:$J,10,FALSE)</f>
        <v>Drop1N</v>
      </c>
      <c r="AF18" s="7">
        <v>1</v>
      </c>
      <c r="AG18" s="25">
        <f t="shared" ca="1" si="19"/>
        <v>3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</row>
    <row r="19" spans="1:39" ht="21" customHeight="1" x14ac:dyDescent="0.15">
      <c r="A19" s="16" t="str">
        <f ca="1">B19&amp;"_"&amp;C19&amp;"-"&amp;G19&amp;"/"&amp;L19&amp;"&lt;lv"&amp;R19&amp;"&gt;s"&amp;AA19</f>
        <v>30013_2-4/22&lt;lv60&gt;s2</v>
      </c>
      <c r="B19" s="23">
        <v>30013</v>
      </c>
      <c r="C19" s="22">
        <v>2</v>
      </c>
      <c r="D19" s="2" t="str">
        <f>B19&amp;"_"&amp;C19</f>
        <v>30013_2</v>
      </c>
      <c r="E19" s="4" t="str">
        <f ca="1">VLOOKUP($B19,OFFSET([2]quests!$A$1,0,0,COUNTA([2]quests!$A:$A),MATCH(E$1,[2]quests!$1:$1,0)-MATCH($B$1,[2]quests!$1:$1,0)+1),MATCH(E$1,[2]quests!$1:$1,0)-MATCH($B$1,[2]quests!$1:$1,0)+1,FALSE)</f>
        <v>決戦・竜宮城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【超絶級】決戦・竜宮城</v>
      </c>
      <c r="G19" s="22">
        <v>4</v>
      </c>
      <c r="H19" s="15" t="str">
        <f>B19&amp;"_"&amp;C19&amp;"-"&amp;G19</f>
        <v>30013_2-4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9" t="s">
        <v>53</v>
      </c>
      <c r="L19" s="21">
        <v>22</v>
      </c>
      <c r="M19" s="17" t="str">
        <f ca="1">VLOOKUP(L19,[3]enemies!$A:$B,2,FALSE)</f>
        <v>突然変異ヴェロキー</v>
      </c>
      <c r="N19" s="19" t="str">
        <f ca="1">VLOOKUP(L19,[3]enemies!$A:$D,4,FALSE)</f>
        <v>red</v>
      </c>
      <c r="O19" s="19" t="str">
        <f>VLOOKUP(L19,[4]characters!$A:$J,10,FALSE)</f>
        <v>Drop1N</v>
      </c>
      <c r="P19" s="18" t="str">
        <f>VLOOKUP(L19,[4]characters!$A:$M,13,FALSE)</f>
        <v>dragon</v>
      </c>
      <c r="Q19" s="4">
        <f ca="1">VLOOKUP(L19,[3]enemies!$A:$X,24,FALSE)</f>
        <v>15</v>
      </c>
      <c r="R19" s="5">
        <v>60</v>
      </c>
      <c r="S19" s="26">
        <v>1</v>
      </c>
      <c r="T19" s="26">
        <v>1.4</v>
      </c>
      <c r="U19" s="5">
        <v>0</v>
      </c>
      <c r="V19" s="65">
        <v>0</v>
      </c>
      <c r="W19" s="4" t="str">
        <f ca="1">IFERROR(VLOOKUP(V19,[5]enemy_skill_sets!$B:$E,4,FALSE),VLOOKUP(V19,enemy_skill_sets!B:E,4,FALSE))</f>
        <v>なし</v>
      </c>
      <c r="X19" s="6">
        <v>1</v>
      </c>
      <c r="Y19" s="6">
        <v>100</v>
      </c>
      <c r="Z19" s="6">
        <v>0</v>
      </c>
      <c r="AA19" s="4">
        <f ca="1">VLOOKUP(L19,[3]enemies!$A:$V,22,FALSE)</f>
        <v>2</v>
      </c>
      <c r="AB19" s="25">
        <f>L19</f>
        <v>22</v>
      </c>
      <c r="AC19" s="4" t="str">
        <f ca="1">VLOOKUP(AB19,[3]enemies!$A:$B,2,FALSE)</f>
        <v>突然変異ヴェロキー</v>
      </c>
      <c r="AD19" s="4">
        <f ca="1">VLOOKUP(AB19,[3]enemies!$A:$E,3,FALSE)</f>
        <v>2</v>
      </c>
      <c r="AE19" s="4" t="str">
        <f>VLOOKUP(AB19,[4]characters!$A:$J,10,FALSE)</f>
        <v>Drop1N</v>
      </c>
      <c r="AF19" s="7">
        <v>1</v>
      </c>
      <c r="AG19" s="25">
        <f ca="1">AD19</f>
        <v>2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</row>
    <row r="20" spans="1:39" ht="21" customHeight="1" x14ac:dyDescent="0.15">
      <c r="A20" s="16" t="str">
        <f t="shared" ref="A20" si="20">B20&amp;"_"&amp;C20&amp;"-"&amp;G20&amp;"/"&amp;L20&amp;"&lt;lv"&amp;R20&amp;"&gt;s"&amp;AA20</f>
        <v>30013_2-4/66&lt;lv60&gt;s2</v>
      </c>
      <c r="B20" s="23">
        <v>30013</v>
      </c>
      <c r="C20" s="22">
        <v>2</v>
      </c>
      <c r="D20" s="2" t="str">
        <f t="shared" ref="D20" si="21">B20&amp;"_"&amp;C20</f>
        <v>30013_2</v>
      </c>
      <c r="E20" s="4" t="str">
        <f ca="1">VLOOKUP($B20,OFFSET([2]quests!$A$1,0,0,COUNTA([2]quests!$A:$A),MATCH(E$1,[2]quests!$1:$1,0)-MATCH($B$1,[2]quests!$1:$1,0)+1),MATCH(E$1,[2]quests!$1:$1,0)-MATCH($B$1,[2]quests!$1:$1,0)+1,FALSE)</f>
        <v>決戦・竜宮城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【超絶級】決戦・竜宮城</v>
      </c>
      <c r="G20" s="22">
        <v>4</v>
      </c>
      <c r="H20" s="15" t="str">
        <f t="shared" ref="H20" si="22">B20&amp;"_"&amp;C20&amp;"-"&amp;G20</f>
        <v>30013_2-4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9" t="s">
        <v>53</v>
      </c>
      <c r="L20" s="21">
        <v>66</v>
      </c>
      <c r="M20" s="17" t="str">
        <f ca="1">VLOOKUP(L20,[3]enemies!$A:$B,2,FALSE)</f>
        <v>探索者 ファイアフォックス</v>
      </c>
      <c r="N20" s="19" t="str">
        <f ca="1">VLOOKUP(L20,[3]enemies!$A:$D,4,FALSE)</f>
        <v>red</v>
      </c>
      <c r="O20" s="19" t="str">
        <f>VLOOKUP(L20,[4]characters!$A:$J,10,FALSE)</f>
        <v>Drop1S</v>
      </c>
      <c r="P20" s="18" t="str">
        <f>VLOOKUP(L20,[4]characters!$A:$M,13,FALSE)</f>
        <v>animal</v>
      </c>
      <c r="Q20" s="4">
        <f ca="1">VLOOKUP(L20,[3]enemies!$A:$X,24,FALSE)</f>
        <v>20</v>
      </c>
      <c r="R20" s="5">
        <v>60</v>
      </c>
      <c r="S20" s="26">
        <v>1</v>
      </c>
      <c r="T20" s="26">
        <v>1</v>
      </c>
      <c r="U20" s="5">
        <v>0</v>
      </c>
      <c r="V20" s="49">
        <v>0</v>
      </c>
      <c r="W20" s="4" t="str">
        <f ca="1">IFERROR(VLOOKUP(V20,[5]enemy_skill_sets!$B:$E,4,FALSE),VLOOKUP(V20,enemy_skill_sets!B:E,4,FALSE))</f>
        <v>なし</v>
      </c>
      <c r="X20" s="6">
        <v>0</v>
      </c>
      <c r="Y20" s="6">
        <v>100</v>
      </c>
      <c r="Z20" s="6">
        <v>1</v>
      </c>
      <c r="AA20" s="4">
        <v>2</v>
      </c>
      <c r="AB20" s="25">
        <f t="shared" ref="AB20" si="23">L20</f>
        <v>66</v>
      </c>
      <c r="AC20" s="4" t="str">
        <f ca="1">VLOOKUP(AB20,[3]enemies!$A:$B,2,FALSE)</f>
        <v>探索者 ファイアフォックス</v>
      </c>
      <c r="AD20" s="4">
        <f ca="1">VLOOKUP(AB20,[3]enemies!$A:$E,3,FALSE)</f>
        <v>3</v>
      </c>
      <c r="AE20" s="4" t="str">
        <f>VLOOKUP(AB20,[4]characters!$A:$J,10,FALSE)</f>
        <v>Drop1S</v>
      </c>
      <c r="AF20" s="7">
        <v>1</v>
      </c>
      <c r="AG20" s="25">
        <f t="shared" ref="AG20" ca="1" si="24">AD20</f>
        <v>3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</row>
    <row r="21" spans="1:39" ht="21" customHeight="1" x14ac:dyDescent="0.15">
      <c r="A21" s="16" t="str">
        <f t="shared" si="5"/>
        <v>30013_2-5/419&lt;lv70&gt;s2</v>
      </c>
      <c r="B21" s="23">
        <v>30013</v>
      </c>
      <c r="C21" s="22">
        <v>2</v>
      </c>
      <c r="D21" s="2" t="str">
        <f t="shared" si="6"/>
        <v>30013_2</v>
      </c>
      <c r="E21" s="4" t="str">
        <f ca="1">VLOOKUP($B21,OFFSET([2]quests!$A$1,0,0,COUNTA([2]quests!$A:$A),MATCH(E$1,[2]quests!$1:$1,0)-MATCH($B$1,[2]quests!$1:$1,0)+1),MATCH(E$1,[2]quests!$1:$1,0)-MATCH($B$1,[2]quests!$1:$1,0)+1,FALSE)</f>
        <v>決戦・竜宮城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【超絶級】決戦・竜宮城</v>
      </c>
      <c r="G21" s="22">
        <v>5</v>
      </c>
      <c r="H21" s="15" t="str">
        <f t="shared" si="7"/>
        <v>30013_2-5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9">
        <v>1</v>
      </c>
      <c r="L21" s="21">
        <v>419</v>
      </c>
      <c r="M21" s="17" t="str">
        <f ca="1">VLOOKUP(L21,[3]enemies!$A:$B,2,FALSE)</f>
        <v>宣戦の解城 ウラシマ</v>
      </c>
      <c r="N21" s="19" t="str">
        <f ca="1">VLOOKUP(L21,[3]enemies!$A:$D,4,FALSE)</f>
        <v>red</v>
      </c>
      <c r="O21" s="19" t="str">
        <f>VLOOKUP(L21,[4]characters!$A:$J,10,FALSE)</f>
        <v>Drop2N</v>
      </c>
      <c r="P21" s="18" t="str">
        <f>VLOOKUP(L21,[4]characters!$A:$M,13,FALSE)</f>
        <v>human</v>
      </c>
      <c r="Q21" s="4">
        <f ca="1">VLOOKUP(L21,[3]enemies!$A:$X,24,FALSE)</f>
        <v>60</v>
      </c>
      <c r="R21" s="5">
        <v>70</v>
      </c>
      <c r="S21" s="26">
        <v>0.6</v>
      </c>
      <c r="T21" s="26">
        <v>1.2</v>
      </c>
      <c r="U21" s="5">
        <v>0</v>
      </c>
      <c r="V21" s="49">
        <v>30013004</v>
      </c>
      <c r="W21" s="4" t="str">
        <f>IFERROR(VLOOKUP(V21,[5]enemy_skill_sets!$B:$E,4,FALSE),VLOOKUP(V21,enemy_skill_sets!B:E,4,FALSE))</f>
        <v>モニターハッキング！</v>
      </c>
      <c r="X21" s="6">
        <v>1</v>
      </c>
      <c r="Y21" s="6">
        <v>100</v>
      </c>
      <c r="Z21" s="6">
        <v>1</v>
      </c>
      <c r="AA21" s="4">
        <v>2</v>
      </c>
      <c r="AB21" s="25">
        <v>418</v>
      </c>
      <c r="AC21" s="4" t="str">
        <f ca="1">VLOOKUP(AB21,[3]enemies!$A:$B,2,FALSE)</f>
        <v>ウラシマ</v>
      </c>
      <c r="AD21" s="4">
        <f ca="1">VLOOKUP(AB21,[3]enemies!$A:$E,3,FALSE)</f>
        <v>4</v>
      </c>
      <c r="AE21" s="4" t="str">
        <f>VLOOKUP(AB21,[4]characters!$A:$J,10,FALSE)</f>
        <v>Drop2N</v>
      </c>
      <c r="AF21" s="7">
        <v>1</v>
      </c>
      <c r="AG21" s="25">
        <f t="shared" ca="1" si="9"/>
        <v>4</v>
      </c>
      <c r="AH21" s="8">
        <v>100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</row>
  </sheetData>
  <sheetProtection selectLockedCells="1" selectUnlockedCells="1"/>
  <autoFilter ref="B1:AH1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75" zoomScaleNormal="75" zoomScalePageLayoutView="75" workbookViewId="0">
      <pane xSplit="18" ySplit="1" topLeftCell="S2" activePane="bottomRight" state="frozen"/>
      <selection pane="topRight" activeCell="N1" sqref="N1"/>
      <selection pane="bottomLeft" activeCell="A2" sqref="A2"/>
      <selection pane="bottomRight" activeCell="T4" sqref="T4"/>
    </sheetView>
  </sheetViews>
  <sheetFormatPr baseColWidth="12" defaultColWidth="13" defaultRowHeight="21" customHeight="1" outlineLevelCol="1" x14ac:dyDescent="0.15"/>
  <cols>
    <col min="1" max="1" width="17" style="20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.1640625" style="3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0" style="3" bestFit="1" customWidth="1"/>
    <col min="24" max="24" width="12.1640625" style="3" bestFit="1" customWidth="1" outlineLevel="1"/>
    <col min="25" max="25" width="9.33203125" style="3" bestFit="1" customWidth="1"/>
    <col min="26" max="16384" width="13" style="3"/>
  </cols>
  <sheetData>
    <row r="1" spans="1:25" s="36" customFormat="1" ht="21" customHeight="1" x14ac:dyDescent="0.15">
      <c r="A1" s="28" t="s">
        <v>29</v>
      </c>
      <c r="B1" s="29" t="s">
        <v>0</v>
      </c>
      <c r="C1" s="29" t="s">
        <v>1</v>
      </c>
      <c r="D1" s="30" t="s">
        <v>28</v>
      </c>
      <c r="E1" s="31" t="s">
        <v>16</v>
      </c>
      <c r="F1" s="31" t="s">
        <v>16</v>
      </c>
      <c r="G1" s="29" t="s">
        <v>19</v>
      </c>
      <c r="H1" s="30" t="s">
        <v>30</v>
      </c>
      <c r="I1" s="30" t="s">
        <v>14</v>
      </c>
      <c r="J1" s="30" t="s">
        <v>15</v>
      </c>
      <c r="K1" s="37" t="s">
        <v>54</v>
      </c>
      <c r="L1" s="37" t="s">
        <v>55</v>
      </c>
      <c r="M1" s="38" t="s">
        <v>2</v>
      </c>
      <c r="N1" s="32" t="s">
        <v>16</v>
      </c>
      <c r="O1" s="30" t="s">
        <v>24</v>
      </c>
      <c r="P1" s="30" t="s">
        <v>23</v>
      </c>
      <c r="Q1" s="33" t="s">
        <v>26</v>
      </c>
      <c r="R1" s="31" t="s">
        <v>25</v>
      </c>
      <c r="S1" s="29" t="s">
        <v>3</v>
      </c>
      <c r="T1" s="27" t="s">
        <v>48</v>
      </c>
      <c r="U1" s="27" t="s">
        <v>50</v>
      </c>
      <c r="V1" s="27" t="s">
        <v>52</v>
      </c>
      <c r="W1" s="30" t="s">
        <v>129</v>
      </c>
      <c r="X1" s="29" t="s">
        <v>130</v>
      </c>
      <c r="Y1" s="29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30013_1-5/418&lt;lv60&gt;sq2st2</v>
      </c>
      <c r="B2" s="23">
        <v>30013</v>
      </c>
      <c r="C2" s="22">
        <v>1</v>
      </c>
      <c r="D2" s="2" t="str">
        <f>B2&amp;"_"&amp;C2</f>
        <v>30013_1</v>
      </c>
      <c r="E2" s="4" t="str">
        <f ca="1">VLOOKUP($B2,OFFSET([2]quests!$A$1,0,0,COUNTA([2]quests!$A:$A),MATCH(E$1,[2]quests!$1:$1,0)-MATCH($B$1,[2]quests!$1:$1,0)+1),MATCH(E$1,[2]quests!$1:$1,0)-MATCH($B$1,[2]quests!$1:$1,0)+1,FALSE)</f>
        <v>決戦・竜宮城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【超級】決戦・竜宮城</v>
      </c>
      <c r="G2" s="22">
        <v>5</v>
      </c>
      <c r="H2" s="15" t="str">
        <f>B2&amp;"_"&amp;C2&amp;"-"&amp;G2</f>
        <v>30013_1-5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9">
        <v>2</v>
      </c>
      <c r="L2" s="39">
        <v>2</v>
      </c>
      <c r="M2" s="21">
        <v>418</v>
      </c>
      <c r="N2" s="17" t="str">
        <f ca="1">VLOOKUP(M2,[3]enemies!$A:$B,2,FALSE)</f>
        <v>ウラシマ</v>
      </c>
      <c r="O2" s="19" t="str">
        <f ca="1">VLOOKUP(M2,[3]enemies!$A:$D,4,FALSE)</f>
        <v>red</v>
      </c>
      <c r="P2" s="19" t="str">
        <f>VLOOKUP(M2,[4]characters!$A:$J,10,FALSE)</f>
        <v>Drop2N</v>
      </c>
      <c r="Q2" s="18" t="str">
        <f>VLOOKUP(M2,[4]characters!$A:$M,13,FALSE)</f>
        <v>human</v>
      </c>
      <c r="R2" s="4">
        <f ca="1">VLOOKUP(M2,[3]enemies!$A:$X,24,FALSE)</f>
        <v>30</v>
      </c>
      <c r="S2" s="5">
        <v>60</v>
      </c>
      <c r="T2" s="26">
        <v>1.1000000000000001</v>
      </c>
      <c r="U2" s="26">
        <v>1.3</v>
      </c>
      <c r="V2" s="5">
        <v>0</v>
      </c>
      <c r="W2" s="48">
        <v>30013009</v>
      </c>
      <c r="X2" s="4" t="str">
        <f>IFERROR(VLOOKUP(W2,[5]enemy_skill_sets!$B:$E,4,FALSE),VLOOKUP(W2,enemy_skill_sets!C:F,3,FALSE))</f>
        <v>防壁展開</v>
      </c>
      <c r="Y2" s="4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30013_1-5/418&lt;lv60&gt;sq2st3</v>
      </c>
      <c r="B3" s="23">
        <v>30013</v>
      </c>
      <c r="C3" s="22">
        <v>1</v>
      </c>
      <c r="D3" s="2" t="str">
        <f>B3&amp;"_"&amp;C3</f>
        <v>30013_1</v>
      </c>
      <c r="E3" s="4" t="str">
        <f ca="1">VLOOKUP($B3,OFFSET([2]quests!$A$1,0,0,COUNTA([2]quests!$A:$A),MATCH(E$1,[2]quests!$1:$1,0)-MATCH($B$1,[2]quests!$1:$1,0)+1),MATCH(E$1,[2]quests!$1:$1,0)-MATCH($B$1,[2]quests!$1:$1,0)+1,FALSE)</f>
        <v>決戦・竜宮城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【超級】決戦・竜宮城</v>
      </c>
      <c r="G3" s="22">
        <v>5</v>
      </c>
      <c r="H3" s="15" t="str">
        <f>B3&amp;"_"&amp;C3&amp;"-"&amp;G3</f>
        <v>30013_1-5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9">
        <v>2</v>
      </c>
      <c r="L3" s="39">
        <v>3</v>
      </c>
      <c r="M3" s="21">
        <v>418</v>
      </c>
      <c r="N3" s="17" t="str">
        <f ca="1">VLOOKUP(M3,[3]enemies!$A:$B,2,FALSE)</f>
        <v>ウラシマ</v>
      </c>
      <c r="O3" s="19" t="str">
        <f ca="1">VLOOKUP(M3,[3]enemies!$A:$D,4,FALSE)</f>
        <v>red</v>
      </c>
      <c r="P3" s="19" t="str">
        <f>VLOOKUP(M3,[4]characters!$A:$J,10,FALSE)</f>
        <v>Drop2N</v>
      </c>
      <c r="Q3" s="18" t="str">
        <f>VLOOKUP(M3,[4]characters!$A:$M,13,FALSE)</f>
        <v>human</v>
      </c>
      <c r="R3" s="4">
        <f ca="1">VLOOKUP(M3,[3]enemies!$A:$X,24,FALSE)</f>
        <v>30</v>
      </c>
      <c r="S3" s="5">
        <v>60</v>
      </c>
      <c r="T3" s="26">
        <v>1.1000000000000001</v>
      </c>
      <c r="U3" s="26">
        <v>1.3</v>
      </c>
      <c r="V3" s="5">
        <v>0</v>
      </c>
      <c r="W3" s="48">
        <v>30013010</v>
      </c>
      <c r="X3" s="4" t="str">
        <f>IFERROR(VLOOKUP(W3,[5]enemy_skill_sets!$B:$E,4,FALSE),VLOOKUP(W3,enemy_skill_sets!C:F,3,FALSE))</f>
        <v>反撃開始…！</v>
      </c>
      <c r="Y3" s="4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30013_2-5/419&lt;lv70&gt;sq1st2</v>
      </c>
      <c r="B4" s="23">
        <v>30013</v>
      </c>
      <c r="C4" s="22">
        <v>2</v>
      </c>
      <c r="D4" s="2" t="str">
        <f>B4&amp;"_"&amp;C4</f>
        <v>30013_2</v>
      </c>
      <c r="E4" s="4" t="str">
        <f ca="1">VLOOKUP($B4,OFFSET([2]quests!$A$1,0,0,COUNTA([2]quests!$A:$A),MATCH(E$1,[2]quests!$1:$1,0)-MATCH($B$1,[2]quests!$1:$1,0)+1),MATCH(E$1,[2]quests!$1:$1,0)-MATCH($B$1,[2]quests!$1:$1,0)+1,FALSE)</f>
        <v>決戦・竜宮城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【超絶級】決戦・竜宮城</v>
      </c>
      <c r="G4" s="22">
        <v>5</v>
      </c>
      <c r="H4" s="15" t="str">
        <f>B4&amp;"_"&amp;C4&amp;"-"&amp;G4</f>
        <v>30013_2-5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9">
        <v>1</v>
      </c>
      <c r="L4" s="39">
        <v>2</v>
      </c>
      <c r="M4" s="21">
        <v>419</v>
      </c>
      <c r="N4" s="17" t="str">
        <f ca="1">VLOOKUP(M4,[3]enemies!$A:$B,2,FALSE)</f>
        <v>宣戦の解城 ウラシマ</v>
      </c>
      <c r="O4" s="19" t="str">
        <f ca="1">VLOOKUP(M4,[3]enemies!$A:$D,4,FALSE)</f>
        <v>red</v>
      </c>
      <c r="P4" s="19" t="str">
        <f>VLOOKUP(M4,[4]characters!$A:$J,10,FALSE)</f>
        <v>Drop2N</v>
      </c>
      <c r="Q4" s="18" t="str">
        <f>VLOOKUP(M4,[4]characters!$A:$M,13,FALSE)</f>
        <v>human</v>
      </c>
      <c r="R4" s="4">
        <f ca="1">VLOOKUP(M4,[3]enemies!$A:$X,24,FALSE)</f>
        <v>60</v>
      </c>
      <c r="S4" s="5">
        <v>70</v>
      </c>
      <c r="T4" s="26">
        <v>0.9</v>
      </c>
      <c r="U4" s="26">
        <v>1.2</v>
      </c>
      <c r="V4" s="5">
        <v>0</v>
      </c>
      <c r="W4" s="48">
        <v>30013005</v>
      </c>
      <c r="X4" s="4" t="str">
        <f>IFERROR(VLOOKUP(W4,[5]enemy_skill_sets!$B:$E,4,FALSE),VLOOKUP(W4,enemy_skill_sets!C:F,3,FALSE))</f>
        <v>甲羅硬化</v>
      </c>
      <c r="Y4" s="4">
        <v>2</v>
      </c>
    </row>
    <row r="5" spans="1:25" ht="21" customHeight="1" x14ac:dyDescent="0.15">
      <c r="A5" s="16" t="str">
        <f>B5&amp;"_"&amp;C5&amp;"-"&amp;G5&amp;"/"&amp;M5&amp;"&lt;lv"&amp;S5&amp;"&gt;sq"&amp;K5&amp;"st"&amp;L5</f>
        <v>30013_2-5/419&lt;lv70&gt;sq1st3</v>
      </c>
      <c r="B5" s="23">
        <v>30013</v>
      </c>
      <c r="C5" s="22">
        <v>2</v>
      </c>
      <c r="D5" s="2" t="str">
        <f>B5&amp;"_"&amp;C5</f>
        <v>30013_2</v>
      </c>
      <c r="E5" s="4" t="str">
        <f ca="1">VLOOKUP($B5,OFFSET([2]quests!$A$1,0,0,COUNTA([2]quests!$A:$A),MATCH(E$1,[2]quests!$1:$1,0)-MATCH($B$1,[2]quests!$1:$1,0)+1),MATCH(E$1,[2]quests!$1:$1,0)-MATCH($B$1,[2]quests!$1:$1,0)+1,FALSE)</f>
        <v>決戦・竜宮城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【超絶級】決戦・竜宮城</v>
      </c>
      <c r="G5" s="22">
        <v>5</v>
      </c>
      <c r="H5" s="15" t="str">
        <f>B5&amp;"_"&amp;C5&amp;"-"&amp;G5</f>
        <v>30013_2-5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9">
        <v>1</v>
      </c>
      <c r="L5" s="39">
        <v>3</v>
      </c>
      <c r="M5" s="21">
        <v>419</v>
      </c>
      <c r="N5" s="17" t="str">
        <f ca="1">VLOOKUP(M5,[3]enemies!$A:$B,2,FALSE)</f>
        <v>宣戦の解城 ウラシマ</v>
      </c>
      <c r="O5" s="19" t="str">
        <f ca="1">VLOOKUP(M5,[3]enemies!$A:$D,4,FALSE)</f>
        <v>red</v>
      </c>
      <c r="P5" s="19" t="str">
        <f>VLOOKUP(M5,[4]characters!$A:$J,10,FALSE)</f>
        <v>Drop2N</v>
      </c>
      <c r="Q5" s="18" t="str">
        <f>VLOOKUP(M5,[4]characters!$A:$M,13,FALSE)</f>
        <v>human</v>
      </c>
      <c r="R5" s="4">
        <f ca="1">VLOOKUP(M5,[3]enemies!$A:$X,24,FALSE)</f>
        <v>60</v>
      </c>
      <c r="S5" s="5">
        <v>70</v>
      </c>
      <c r="T5" s="26">
        <v>0.9</v>
      </c>
      <c r="U5" s="26">
        <v>1.2</v>
      </c>
      <c r="V5" s="5">
        <v>0</v>
      </c>
      <c r="W5" s="64">
        <v>30013006</v>
      </c>
      <c r="X5" s="4" t="str">
        <f>IFERROR(VLOOKUP(W5,[5]enemy_skill_sets!$B:$E,4,FALSE),VLOOKUP(W5,enemy_skill_sets!C:F,3,FALSE))</f>
        <v>モニターハッキング！</v>
      </c>
      <c r="Y5" s="4">
        <v>2</v>
      </c>
    </row>
  </sheetData>
  <sheetProtection selectLockedCells="1" selectUnlockedCells="1"/>
  <autoFilter ref="B1:Y4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18"/>
  <sheetViews>
    <sheetView showGridLines="0" workbookViewId="0">
      <pane ySplit="1" topLeftCell="A2" activePane="bottomLeft" state="frozenSplit"/>
      <selection activeCell="D17" sqref="D17"/>
      <selection pane="bottomLeft" activeCell="E2" sqref="E2"/>
    </sheetView>
  </sheetViews>
  <sheetFormatPr baseColWidth="12" defaultColWidth="12.83203125" defaultRowHeight="21" customHeight="1" x14ac:dyDescent="0.15"/>
  <cols>
    <col min="1" max="1" width="12.83203125" style="50"/>
    <col min="2" max="2" width="67.1640625" style="50" customWidth="1"/>
    <col min="3" max="4" width="12.83203125" style="50"/>
    <col min="5" max="5" width="23.6640625" style="50" bestFit="1" customWidth="1"/>
    <col min="6" max="6" width="44.1640625" style="50" bestFit="1" customWidth="1"/>
    <col min="7" max="8" width="12.83203125" style="50"/>
    <col min="9" max="9" width="44.5" style="50" customWidth="1"/>
    <col min="10" max="16384" width="12.83203125" style="50"/>
  </cols>
  <sheetData>
    <row r="1" spans="1:9" ht="21" customHeight="1" x14ac:dyDescent="0.15">
      <c r="A1" s="41" t="s">
        <v>79</v>
      </c>
      <c r="B1" s="41" t="s">
        <v>80</v>
      </c>
      <c r="C1" s="41" t="s">
        <v>81</v>
      </c>
      <c r="D1" s="41" t="s">
        <v>127</v>
      </c>
      <c r="E1" s="41" t="s">
        <v>82</v>
      </c>
      <c r="F1" s="41" t="s">
        <v>83</v>
      </c>
      <c r="G1" s="42" t="s">
        <v>76</v>
      </c>
      <c r="H1" s="42" t="s">
        <v>77</v>
      </c>
      <c r="I1" s="42" t="s">
        <v>78</v>
      </c>
    </row>
    <row r="2" spans="1:9" ht="21" customHeight="1" x14ac:dyDescent="0.15">
      <c r="A2" s="48">
        <v>30013001</v>
      </c>
      <c r="B2" s="48" t="s">
        <v>131</v>
      </c>
      <c r="C2" s="51">
        <v>3</v>
      </c>
      <c r="D2" s="51" t="s">
        <v>128</v>
      </c>
      <c r="E2" s="61" t="s">
        <v>183</v>
      </c>
      <c r="F2" s="52" t="s">
        <v>143</v>
      </c>
      <c r="G2" s="51"/>
      <c r="H2" s="53"/>
      <c r="I2" s="51"/>
    </row>
    <row r="3" spans="1:9" ht="21" customHeight="1" x14ac:dyDescent="0.15">
      <c r="A3" s="48">
        <v>30013002</v>
      </c>
      <c r="B3" s="48" t="s">
        <v>133</v>
      </c>
      <c r="C3" s="51">
        <v>3</v>
      </c>
      <c r="D3" s="51" t="s">
        <v>128</v>
      </c>
      <c r="E3" s="61" t="s">
        <v>152</v>
      </c>
      <c r="F3" s="52" t="s">
        <v>144</v>
      </c>
      <c r="G3" s="51"/>
      <c r="H3" s="53"/>
      <c r="I3" s="51" t="s">
        <v>132</v>
      </c>
    </row>
    <row r="4" spans="1:9" ht="21" customHeight="1" x14ac:dyDescent="0.15">
      <c r="A4" s="48">
        <v>30013003</v>
      </c>
      <c r="B4" s="48" t="s">
        <v>148</v>
      </c>
      <c r="C4" s="51">
        <v>3</v>
      </c>
      <c r="D4" s="51" t="s">
        <v>128</v>
      </c>
      <c r="E4" s="52" t="s">
        <v>151</v>
      </c>
      <c r="F4" s="52" t="s">
        <v>135</v>
      </c>
      <c r="G4" s="48"/>
      <c r="H4" s="48"/>
      <c r="I4" s="48" t="s">
        <v>134</v>
      </c>
    </row>
    <row r="5" spans="1:9" ht="21" customHeight="1" x14ac:dyDescent="0.15">
      <c r="A5" s="48">
        <v>30013004</v>
      </c>
      <c r="B5" s="48" t="s">
        <v>131</v>
      </c>
      <c r="C5" s="51">
        <v>3</v>
      </c>
      <c r="D5" s="51" t="s">
        <v>128</v>
      </c>
      <c r="E5" s="61" t="s">
        <v>150</v>
      </c>
      <c r="F5" s="52" t="s">
        <v>145</v>
      </c>
      <c r="G5" s="51"/>
      <c r="H5" s="53"/>
      <c r="I5" s="51"/>
    </row>
    <row r="6" spans="1:9" ht="21" customHeight="1" x14ac:dyDescent="0.15">
      <c r="A6" s="48">
        <v>30013005</v>
      </c>
      <c r="B6" s="62" t="s">
        <v>161</v>
      </c>
      <c r="C6" s="51">
        <v>3</v>
      </c>
      <c r="D6" s="51" t="s">
        <v>128</v>
      </c>
      <c r="E6" s="52" t="s">
        <v>138</v>
      </c>
      <c r="F6" s="48" t="s">
        <v>137</v>
      </c>
      <c r="G6" s="48"/>
      <c r="H6" s="48"/>
      <c r="I6" s="48"/>
    </row>
    <row r="7" spans="1:9" ht="21" customHeight="1" x14ac:dyDescent="0.15">
      <c r="A7" s="48">
        <v>30013006</v>
      </c>
      <c r="B7" s="63" t="s">
        <v>142</v>
      </c>
      <c r="C7" s="51">
        <v>3</v>
      </c>
      <c r="D7" s="51" t="s">
        <v>128</v>
      </c>
      <c r="E7" s="52" t="s">
        <v>169</v>
      </c>
      <c r="F7" s="52" t="s">
        <v>146</v>
      </c>
      <c r="G7" s="48"/>
      <c r="H7" s="48"/>
      <c r="I7" s="48"/>
    </row>
    <row r="8" spans="1:9" ht="21" customHeight="1" x14ac:dyDescent="0.15">
      <c r="A8" s="48">
        <v>30013007</v>
      </c>
      <c r="B8" s="50" t="s">
        <v>147</v>
      </c>
      <c r="C8" s="51">
        <v>3</v>
      </c>
      <c r="D8" s="51" t="s">
        <v>128</v>
      </c>
      <c r="E8" s="52" t="s">
        <v>168</v>
      </c>
      <c r="F8" s="52" t="s">
        <v>139</v>
      </c>
      <c r="G8" s="48"/>
      <c r="H8" s="48"/>
      <c r="I8" s="48"/>
    </row>
    <row r="9" spans="1:9" ht="21" customHeight="1" x14ac:dyDescent="0.15">
      <c r="A9" s="48">
        <v>30013008</v>
      </c>
      <c r="B9" s="48" t="s">
        <v>181</v>
      </c>
      <c r="C9" s="51">
        <v>3</v>
      </c>
      <c r="D9" s="51" t="s">
        <v>128</v>
      </c>
      <c r="E9" s="50" t="s">
        <v>156</v>
      </c>
      <c r="F9" s="52" t="s">
        <v>182</v>
      </c>
      <c r="G9" s="48"/>
      <c r="H9" s="48"/>
      <c r="I9" s="48"/>
    </row>
    <row r="10" spans="1:9" ht="21" customHeight="1" x14ac:dyDescent="0.15">
      <c r="A10" s="48">
        <v>30013009</v>
      </c>
      <c r="B10" s="62" t="s">
        <v>136</v>
      </c>
      <c r="C10" s="51">
        <v>3</v>
      </c>
      <c r="D10" s="51" t="s">
        <v>128</v>
      </c>
      <c r="E10" s="52" t="s">
        <v>158</v>
      </c>
      <c r="F10" s="48" t="s">
        <v>137</v>
      </c>
      <c r="G10" s="48"/>
      <c r="H10" s="48"/>
      <c r="I10" s="48" t="s">
        <v>140</v>
      </c>
    </row>
    <row r="11" spans="1:9" ht="21" customHeight="1" x14ac:dyDescent="0.15">
      <c r="A11" s="48">
        <v>30013010</v>
      </c>
      <c r="B11" s="48" t="s">
        <v>171</v>
      </c>
      <c r="C11" s="51">
        <v>3</v>
      </c>
      <c r="D11" s="51" t="s">
        <v>128</v>
      </c>
      <c r="E11" s="52" t="s">
        <v>167</v>
      </c>
      <c r="F11" s="52" t="s">
        <v>141</v>
      </c>
      <c r="G11" s="48"/>
      <c r="H11" s="48"/>
      <c r="I11" s="48" t="s">
        <v>140</v>
      </c>
    </row>
    <row r="12" spans="1:9" ht="21" customHeight="1" x14ac:dyDescent="0.15">
      <c r="A12" s="48">
        <v>30013011</v>
      </c>
      <c r="B12" s="48" t="s">
        <v>131</v>
      </c>
      <c r="C12" s="51">
        <v>3</v>
      </c>
      <c r="D12" s="51" t="s">
        <v>128</v>
      </c>
      <c r="E12" s="61" t="s">
        <v>179</v>
      </c>
      <c r="F12" s="52" t="s">
        <v>180</v>
      </c>
      <c r="G12" s="51"/>
      <c r="H12" s="53"/>
      <c r="I12" s="51"/>
    </row>
    <row r="13" spans="1:9" ht="21" customHeight="1" x14ac:dyDescent="0.15">
      <c r="A13" s="48">
        <v>30013012</v>
      </c>
      <c r="B13" s="48" t="s">
        <v>131</v>
      </c>
      <c r="C13" s="51">
        <v>3</v>
      </c>
      <c r="D13" s="51" t="s">
        <v>128</v>
      </c>
      <c r="E13" s="61" t="s">
        <v>149</v>
      </c>
      <c r="F13" s="52" t="s">
        <v>170</v>
      </c>
      <c r="G13" s="51"/>
      <c r="H13" s="53"/>
      <c r="I13" s="51"/>
    </row>
    <row r="14" spans="1:9" ht="21" customHeight="1" x14ac:dyDescent="0.15">
      <c r="A14" s="48">
        <v>30013013</v>
      </c>
      <c r="B14" s="48" t="s">
        <v>174</v>
      </c>
      <c r="C14" s="51">
        <v>3</v>
      </c>
      <c r="D14" s="51" t="s">
        <v>128</v>
      </c>
      <c r="E14" s="48" t="s">
        <v>154</v>
      </c>
      <c r="F14" s="48" t="s">
        <v>153</v>
      </c>
      <c r="G14" s="48"/>
      <c r="H14" s="48"/>
      <c r="I14" s="48"/>
    </row>
    <row r="15" spans="1:9" ht="21" customHeight="1" x14ac:dyDescent="0.15">
      <c r="A15" s="48">
        <v>30013014</v>
      </c>
      <c r="B15" s="66" t="s">
        <v>175</v>
      </c>
      <c r="C15" s="51">
        <v>3</v>
      </c>
      <c r="D15" s="51" t="s">
        <v>128</v>
      </c>
      <c r="E15" s="48" t="s">
        <v>173</v>
      </c>
      <c r="F15" s="48" t="s">
        <v>155</v>
      </c>
      <c r="G15" s="48"/>
      <c r="H15" s="48"/>
      <c r="I15" s="48"/>
    </row>
    <row r="16" spans="1:9" ht="21" customHeight="1" x14ac:dyDescent="0.15">
      <c r="A16" s="48">
        <v>30013015</v>
      </c>
      <c r="B16" s="48" t="s">
        <v>172</v>
      </c>
      <c r="C16" s="51">
        <v>3</v>
      </c>
      <c r="D16" s="51" t="s">
        <v>128</v>
      </c>
      <c r="E16" s="48" t="s">
        <v>166</v>
      </c>
      <c r="F16" s="48" t="s">
        <v>157</v>
      </c>
      <c r="G16" s="48"/>
      <c r="H16" s="48"/>
      <c r="I16" s="48"/>
    </row>
    <row r="17" spans="1:9" ht="21" customHeight="1" x14ac:dyDescent="0.15">
      <c r="A17" s="48">
        <v>30013016</v>
      </c>
      <c r="B17" s="48" t="s">
        <v>160</v>
      </c>
      <c r="C17" s="51">
        <v>3</v>
      </c>
      <c r="D17" s="51" t="s">
        <v>128</v>
      </c>
      <c r="E17" s="48" t="s">
        <v>165</v>
      </c>
      <c r="F17" s="52" t="s">
        <v>159</v>
      </c>
      <c r="G17" s="48"/>
      <c r="H17" s="48"/>
      <c r="I17" s="48"/>
    </row>
    <row r="18" spans="1:9" ht="21" customHeight="1" x14ac:dyDescent="0.15">
      <c r="A18" s="48">
        <v>30013017</v>
      </c>
      <c r="B18" s="48" t="s">
        <v>163</v>
      </c>
      <c r="C18" s="51">
        <v>3</v>
      </c>
      <c r="D18" s="51" t="s">
        <v>128</v>
      </c>
      <c r="E18" s="52" t="s">
        <v>164</v>
      </c>
      <c r="F18" s="52" t="s">
        <v>162</v>
      </c>
      <c r="G18" s="48"/>
      <c r="H18" s="48"/>
      <c r="I18" s="48" t="s">
        <v>140</v>
      </c>
    </row>
  </sheetData>
  <autoFilter ref="A1:I1"/>
  <phoneticPr fontId="3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8"/>
  <sheetViews>
    <sheetView showGridLines="0" workbookViewId="0">
      <pane ySplit="1" topLeftCell="A2" activePane="bottomLeft" state="frozenSplit"/>
      <selection activeCell="H205" sqref="H205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50" bestFit="1" customWidth="1"/>
    <col min="2" max="2" width="13.33203125" style="50" bestFit="1" customWidth="1"/>
    <col min="3" max="3" width="11.83203125" style="50" bestFit="1" customWidth="1"/>
    <col min="4" max="4" width="14.6640625" style="50" bestFit="1" customWidth="1"/>
    <col min="5" max="5" width="15.6640625" style="50" bestFit="1" customWidth="1"/>
    <col min="6" max="6" width="17" style="50" bestFit="1" customWidth="1"/>
    <col min="7" max="7" width="15.6640625" style="50" bestFit="1" customWidth="1"/>
    <col min="8" max="9" width="14.6640625" style="50" customWidth="1"/>
    <col min="10" max="10" width="14.6640625" style="50" bestFit="1" customWidth="1"/>
    <col min="11" max="11" width="22.83203125" style="40" bestFit="1" customWidth="1"/>
    <col min="12" max="16384" width="12.83203125" style="46"/>
  </cols>
  <sheetData>
    <row r="1" spans="1:11" ht="21" customHeight="1" x14ac:dyDescent="0.15">
      <c r="A1" s="43" t="s">
        <v>84</v>
      </c>
      <c r="B1" s="43" t="s">
        <v>85</v>
      </c>
      <c r="C1" s="43" t="s">
        <v>86</v>
      </c>
      <c r="D1" s="43" t="s">
        <v>87</v>
      </c>
      <c r="E1" s="43" t="s">
        <v>70</v>
      </c>
      <c r="F1" s="54" t="s">
        <v>71</v>
      </c>
      <c r="G1" s="54" t="s">
        <v>72</v>
      </c>
      <c r="H1" s="43" t="s">
        <v>73</v>
      </c>
      <c r="I1" s="43" t="s">
        <v>74</v>
      </c>
      <c r="J1" s="43" t="s">
        <v>75</v>
      </c>
      <c r="K1" s="55" t="s">
        <v>88</v>
      </c>
    </row>
    <row r="2" spans="1:11" ht="21" customHeight="1" x14ac:dyDescent="0.15">
      <c r="A2" s="48">
        <v>30013001</v>
      </c>
      <c r="B2" s="48">
        <v>1</v>
      </c>
      <c r="C2" s="48" t="s">
        <v>89</v>
      </c>
      <c r="D2" s="48">
        <v>100</v>
      </c>
      <c r="E2" s="48" t="s">
        <v>90</v>
      </c>
      <c r="F2" s="48" t="s">
        <v>90</v>
      </c>
      <c r="G2" s="48">
        <v>1</v>
      </c>
      <c r="H2" s="48" t="s">
        <v>90</v>
      </c>
      <c r="I2" s="48" t="s">
        <v>90</v>
      </c>
      <c r="J2" s="49">
        <f t="shared" ref="J2" si="0">D2</f>
        <v>100</v>
      </c>
    </row>
    <row r="3" spans="1:11" ht="21" customHeight="1" x14ac:dyDescent="0.15">
      <c r="A3" s="48">
        <v>30013002</v>
      </c>
      <c r="B3" s="48">
        <v>0</v>
      </c>
      <c r="C3" s="48" t="s">
        <v>89</v>
      </c>
      <c r="D3" s="48">
        <v>100</v>
      </c>
      <c r="E3" s="48">
        <v>50</v>
      </c>
      <c r="F3" s="48" t="s">
        <v>90</v>
      </c>
      <c r="G3" s="48">
        <v>1</v>
      </c>
      <c r="H3" s="48" t="s">
        <v>90</v>
      </c>
      <c r="I3" s="48" t="s">
        <v>90</v>
      </c>
      <c r="J3" s="49">
        <f t="shared" ref="J3" si="1">D3</f>
        <v>100</v>
      </c>
    </row>
    <row r="4" spans="1:11" ht="21" customHeight="1" x14ac:dyDescent="0.15">
      <c r="A4" s="48">
        <v>30013003</v>
      </c>
      <c r="B4" s="48">
        <v>0</v>
      </c>
      <c r="C4" s="48" t="s">
        <v>89</v>
      </c>
      <c r="D4" s="48">
        <v>100</v>
      </c>
      <c r="E4" s="48">
        <v>70</v>
      </c>
      <c r="F4" s="48" t="s">
        <v>90</v>
      </c>
      <c r="G4" s="48">
        <v>1</v>
      </c>
      <c r="H4" s="48" t="s">
        <v>90</v>
      </c>
      <c r="I4" s="48" t="s">
        <v>90</v>
      </c>
      <c r="J4" s="49">
        <f t="shared" ref="J4:J5" si="2">D4</f>
        <v>100</v>
      </c>
    </row>
    <row r="5" spans="1:11" ht="21" customHeight="1" x14ac:dyDescent="0.15">
      <c r="A5" s="48">
        <v>30013004</v>
      </c>
      <c r="B5" s="48">
        <v>0</v>
      </c>
      <c r="C5" s="48" t="s">
        <v>53</v>
      </c>
      <c r="D5" s="48">
        <v>100</v>
      </c>
      <c r="E5" s="48" t="s">
        <v>90</v>
      </c>
      <c r="F5" s="48" t="s">
        <v>90</v>
      </c>
      <c r="G5" s="48">
        <v>1</v>
      </c>
      <c r="H5" s="48" t="s">
        <v>90</v>
      </c>
      <c r="I5" s="48" t="s">
        <v>90</v>
      </c>
      <c r="J5" s="49">
        <f t="shared" si="2"/>
        <v>100</v>
      </c>
    </row>
    <row r="6" spans="1:11" ht="21" customHeight="1" x14ac:dyDescent="0.15">
      <c r="A6" s="48">
        <v>30013005</v>
      </c>
      <c r="B6" s="48">
        <v>0</v>
      </c>
      <c r="C6" s="48" t="s">
        <v>53</v>
      </c>
      <c r="D6" s="48">
        <v>100</v>
      </c>
      <c r="E6" s="48">
        <v>30</v>
      </c>
      <c r="F6" s="48" t="s">
        <v>90</v>
      </c>
      <c r="G6" s="48">
        <v>1</v>
      </c>
      <c r="H6" s="48" t="s">
        <v>90</v>
      </c>
      <c r="I6" s="48" t="s">
        <v>90</v>
      </c>
      <c r="J6" s="49">
        <f t="shared" ref="J6" si="3">D6</f>
        <v>100</v>
      </c>
    </row>
    <row r="7" spans="1:11" ht="21" customHeight="1" x14ac:dyDescent="0.15">
      <c r="A7" s="48">
        <v>30013006</v>
      </c>
      <c r="B7" s="48">
        <v>0</v>
      </c>
      <c r="C7" s="48" t="s">
        <v>53</v>
      </c>
      <c r="D7" s="48">
        <v>60</v>
      </c>
      <c r="E7" s="48" t="s">
        <v>90</v>
      </c>
      <c r="F7" s="48" t="s">
        <v>90</v>
      </c>
      <c r="G7" s="48">
        <v>1</v>
      </c>
      <c r="H7" s="48" t="s">
        <v>90</v>
      </c>
      <c r="I7" s="48" t="s">
        <v>90</v>
      </c>
      <c r="J7" s="49">
        <f t="shared" ref="J7" si="4">D7</f>
        <v>60</v>
      </c>
    </row>
    <row r="8" spans="1:11" ht="21" customHeight="1" x14ac:dyDescent="0.15">
      <c r="A8" s="48">
        <v>30013007</v>
      </c>
      <c r="B8" s="48">
        <v>0</v>
      </c>
      <c r="C8" s="48" t="s">
        <v>53</v>
      </c>
      <c r="D8" s="48">
        <v>45</v>
      </c>
      <c r="E8" s="48" t="s">
        <v>90</v>
      </c>
      <c r="F8" s="48" t="s">
        <v>90</v>
      </c>
      <c r="G8" s="48">
        <v>3</v>
      </c>
      <c r="H8" s="48" t="s">
        <v>90</v>
      </c>
      <c r="I8" s="48" t="s">
        <v>90</v>
      </c>
      <c r="J8" s="49">
        <f t="shared" ref="J8" si="5">D8</f>
        <v>45</v>
      </c>
    </row>
  </sheetData>
  <autoFilter ref="A1:G1"/>
  <phoneticPr fontId="3"/>
  <conditionalFormatting sqref="K1 K3 K9:K1048576">
    <cfRule type="duplicateValues" dxfId="6" priority="7"/>
  </conditionalFormatting>
  <conditionalFormatting sqref="K2">
    <cfRule type="duplicateValues" dxfId="5" priority="6"/>
  </conditionalFormatting>
  <conditionalFormatting sqref="K4">
    <cfRule type="duplicateValues" dxfId="4" priority="5"/>
  </conditionalFormatting>
  <conditionalFormatting sqref="K5">
    <cfRule type="duplicateValues" dxfId="3" priority="4"/>
  </conditionalFormatting>
  <conditionalFormatting sqref="K6">
    <cfRule type="duplicateValues" dxfId="2" priority="3"/>
  </conditionalFormatting>
  <conditionalFormatting sqref="K7">
    <cfRule type="duplicateValues" dxfId="1" priority="2"/>
  </conditionalFormatting>
  <conditionalFormatting sqref="K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3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B21" sqref="B21"/>
    </sheetView>
  </sheetViews>
  <sheetFormatPr baseColWidth="12" defaultColWidth="12.83203125" defaultRowHeight="21" customHeight="1" outlineLevelCol="1" x14ac:dyDescent="0.15"/>
  <cols>
    <col min="1" max="1" width="11.33203125" style="40" bestFit="1" customWidth="1"/>
    <col min="2" max="2" width="9.5" style="50" bestFit="1" customWidth="1"/>
    <col min="3" max="3" width="10.33203125" style="50" customWidth="1"/>
    <col min="4" max="4" width="18.5" style="50" customWidth="1" outlineLevel="1"/>
    <col min="5" max="5" width="44.1640625" style="50" bestFit="1" customWidth="1" outlineLevel="1"/>
    <col min="6" max="6" width="10.83203125" style="50" bestFit="1" customWidth="1"/>
    <col min="7" max="7" width="8.33203125" style="50" bestFit="1" customWidth="1" outlineLevel="1"/>
    <col min="8" max="9" width="12.83203125" style="50" outlineLevel="1"/>
    <col min="10" max="10" width="17.6640625" style="50" bestFit="1" customWidth="1" outlineLevel="1"/>
    <col min="11" max="15" width="12.83203125" style="50" outlineLevel="1"/>
    <col min="16" max="16" width="8.33203125" style="46" bestFit="1" customWidth="1"/>
    <col min="17" max="17" width="9.6640625" style="46" customWidth="1"/>
    <col min="18" max="18" width="56.5" style="46" bestFit="1" customWidth="1"/>
    <col min="19" max="16384" width="12.83203125" style="46"/>
  </cols>
  <sheetData>
    <row r="1" spans="1:18" ht="21" customHeight="1" x14ac:dyDescent="0.15">
      <c r="A1" s="40" t="s">
        <v>60</v>
      </c>
      <c r="B1" s="41" t="s">
        <v>61</v>
      </c>
      <c r="C1" s="41" t="s">
        <v>62</v>
      </c>
      <c r="D1" s="42" t="s">
        <v>63</v>
      </c>
      <c r="E1" s="42" t="s">
        <v>64</v>
      </c>
      <c r="F1" s="43" t="s">
        <v>65</v>
      </c>
      <c r="G1" s="44" t="s">
        <v>66</v>
      </c>
      <c r="H1" s="44" t="s">
        <v>68</v>
      </c>
      <c r="I1" s="44" t="s">
        <v>69</v>
      </c>
      <c r="J1" s="44" t="s">
        <v>70</v>
      </c>
      <c r="K1" s="45" t="s">
        <v>71</v>
      </c>
      <c r="L1" s="45" t="s">
        <v>72</v>
      </c>
      <c r="M1" s="44" t="s">
        <v>73</v>
      </c>
      <c r="N1" s="44" t="s">
        <v>74</v>
      </c>
      <c r="O1" s="44" t="s">
        <v>75</v>
      </c>
      <c r="P1" s="42" t="s">
        <v>76</v>
      </c>
      <c r="Q1" s="42" t="s">
        <v>77</v>
      </c>
      <c r="R1" s="42" t="s">
        <v>78</v>
      </c>
    </row>
    <row r="2" spans="1:18" ht="21" customHeight="1" x14ac:dyDescent="0.15">
      <c r="A2" s="40" t="str">
        <f t="shared" ref="A2" si="0">B2&amp;"_"&amp;C2</f>
        <v>30013001_30013001</v>
      </c>
      <c r="B2" s="48">
        <v>30013001</v>
      </c>
      <c r="C2" s="48">
        <v>30013001</v>
      </c>
      <c r="D2" s="47" t="str">
        <f>IFERROR(VLOOKUP(C2,enemy_skills!A:F,4,FALSE),VLOOKUP(C2,[5]enemy_skills!$A:$E,4,FALSE))</f>
        <v>ja</v>
      </c>
      <c r="E2" s="47" t="str">
        <f>IFERROR(VLOOKUP(C2,enemy_skills!A:F,5,FALSE),VLOOKUP(C2,[5]enemy_skills!$A:$E,5,FALSE))</f>
        <v>ウィルス排除シマス</v>
      </c>
      <c r="F2" s="48">
        <v>30013001</v>
      </c>
      <c r="G2" s="49">
        <f>VLOOKUP($F2,enemy_skill_triggers!$A:$J,2,FALSE)</f>
        <v>1</v>
      </c>
      <c r="H2" s="49" t="str">
        <f>VLOOKUP($F2,enemy_skill_triggers!$A:$J,3,FALSE)</f>
        <v>null</v>
      </c>
      <c r="I2" s="49">
        <f>VLOOKUP($F2,enemy_skill_triggers!$A:$J,4,FALSE)</f>
        <v>100</v>
      </c>
      <c r="J2" s="49" t="str">
        <f>VLOOKUP($F2,enemy_skill_triggers!$A:$J,5,FALSE)</f>
        <v>null</v>
      </c>
      <c r="K2" s="49" t="str">
        <f>VLOOKUP($F2,enemy_skill_triggers!$A:$J,6,FALSE)</f>
        <v>null</v>
      </c>
      <c r="L2" s="49">
        <f>VLOOKUP($F2,enemy_skill_triggers!$A:$J,7,FALSE)</f>
        <v>1</v>
      </c>
      <c r="M2" s="49" t="str">
        <f>VLOOKUP($F2,enemy_skill_triggers!$A:$J,8,FALSE)</f>
        <v>null</v>
      </c>
      <c r="N2" s="49" t="str">
        <f>VLOOKUP($F2,enemy_skill_triggers!$A:$J,9,FALSE)</f>
        <v>null</v>
      </c>
      <c r="O2" s="49">
        <f>VLOOKUP($F2,enemy_skill_triggers!$A:$J,10,FALSE)</f>
        <v>100</v>
      </c>
      <c r="P2" s="48"/>
      <c r="Q2" s="48"/>
      <c r="R2" s="48"/>
    </row>
    <row r="3" spans="1:18" ht="21" customHeight="1" x14ac:dyDescent="0.15">
      <c r="A3" s="40" t="str">
        <f t="shared" ref="A3" si="1">B3&amp;"_"&amp;C3</f>
        <v>30013001_30013002</v>
      </c>
      <c r="B3" s="48">
        <v>30013001</v>
      </c>
      <c r="C3" s="48">
        <v>30013002</v>
      </c>
      <c r="D3" s="47" t="str">
        <f>IFERROR(VLOOKUP(C3,enemy_skills!A:F,4,FALSE),VLOOKUP(C3,[5]enemy_skills!$A:$E,4,FALSE))</f>
        <v>ja</v>
      </c>
      <c r="E3" s="47" t="str">
        <f>IFERROR(VLOOKUP(C3,enemy_skills!A:F,5,FALSE),VLOOKUP(C3,[5]enemy_skills!$A:$E,5,FALSE))</f>
        <v>ピ…ガガガ…！</v>
      </c>
      <c r="F3" s="48">
        <v>30013002</v>
      </c>
      <c r="G3" s="49">
        <f>VLOOKUP($F3,enemy_skill_triggers!$A:$J,2,FALSE)</f>
        <v>0</v>
      </c>
      <c r="H3" s="49" t="str">
        <f>VLOOKUP($F3,enemy_skill_triggers!$A:$J,3,FALSE)</f>
        <v>null</v>
      </c>
      <c r="I3" s="49">
        <f>VLOOKUP($F3,enemy_skill_triggers!$A:$J,4,FALSE)</f>
        <v>100</v>
      </c>
      <c r="J3" s="49">
        <f>VLOOKUP($F3,enemy_skill_triggers!$A:$J,5,FALSE)</f>
        <v>50</v>
      </c>
      <c r="K3" s="49" t="str">
        <f>VLOOKUP($F3,enemy_skill_triggers!$A:$J,6,FALSE)</f>
        <v>null</v>
      </c>
      <c r="L3" s="49">
        <f>VLOOKUP($F3,enemy_skill_triggers!$A:$J,7,FALSE)</f>
        <v>1</v>
      </c>
      <c r="M3" s="49" t="str">
        <f>VLOOKUP($F3,enemy_skill_triggers!$A:$J,8,FALSE)</f>
        <v>null</v>
      </c>
      <c r="N3" s="49" t="str">
        <f>VLOOKUP($F3,enemy_skill_triggers!$A:$J,9,FALSE)</f>
        <v>null</v>
      </c>
      <c r="O3" s="49">
        <f>VLOOKUP($F3,enemy_skill_triggers!$A:$J,10,FALSE)</f>
        <v>100</v>
      </c>
      <c r="P3" s="48"/>
      <c r="Q3" s="48"/>
      <c r="R3" s="48"/>
    </row>
    <row r="4" spans="1:18" ht="21" customHeight="1" x14ac:dyDescent="0.15">
      <c r="A4" s="40" t="str">
        <f t="shared" ref="A4:A5" si="2">B4&amp;"_"&amp;C4</f>
        <v>30013001_30013003</v>
      </c>
      <c r="B4" s="48">
        <v>30013001</v>
      </c>
      <c r="C4" s="48">
        <v>30013003</v>
      </c>
      <c r="D4" s="47" t="str">
        <f>IFERROR(VLOOKUP(C4,enemy_skills!A:F,4,FALSE),VLOOKUP(C4,[5]enemy_skills!$A:$E,4,FALSE))</f>
        <v>ja</v>
      </c>
      <c r="E4" s="47" t="str">
        <f>IFERROR(VLOOKUP(C4,enemy_skills!A:F,5,FALSE),VLOOKUP(C4,[5]enemy_skills!$A:$E,5,FALSE))</f>
        <v>排除シマス！</v>
      </c>
      <c r="F4" s="48">
        <v>30013002</v>
      </c>
      <c r="G4" s="49">
        <f>VLOOKUP($F4,enemy_skill_triggers!$A:$J,2,FALSE)</f>
        <v>0</v>
      </c>
      <c r="H4" s="49" t="str">
        <f>VLOOKUP($F4,enemy_skill_triggers!$A:$J,3,FALSE)</f>
        <v>null</v>
      </c>
      <c r="I4" s="49">
        <f>VLOOKUP($F4,enemy_skill_triggers!$A:$J,4,FALSE)</f>
        <v>100</v>
      </c>
      <c r="J4" s="49">
        <f>VLOOKUP($F4,enemy_skill_triggers!$A:$J,5,FALSE)</f>
        <v>50</v>
      </c>
      <c r="K4" s="49" t="str">
        <f>VLOOKUP($F4,enemy_skill_triggers!$A:$J,6,FALSE)</f>
        <v>null</v>
      </c>
      <c r="L4" s="49">
        <f>VLOOKUP($F4,enemy_skill_triggers!$A:$J,7,FALSE)</f>
        <v>1</v>
      </c>
      <c r="M4" s="49" t="str">
        <f>VLOOKUP($F4,enemy_skill_triggers!$A:$J,8,FALSE)</f>
        <v>null</v>
      </c>
      <c r="N4" s="49" t="str">
        <f>VLOOKUP($F4,enemy_skill_triggers!$A:$J,9,FALSE)</f>
        <v>null</v>
      </c>
      <c r="O4" s="49">
        <f>VLOOKUP($F4,enemy_skill_triggers!$A:$J,10,FALSE)</f>
        <v>100</v>
      </c>
      <c r="P4" s="48"/>
      <c r="Q4" s="48"/>
      <c r="R4" s="48"/>
    </row>
    <row r="5" spans="1:18" ht="21" customHeight="1" x14ac:dyDescent="0.15">
      <c r="A5" s="40" t="str">
        <f t="shared" si="2"/>
        <v>30013002_30013002</v>
      </c>
      <c r="B5" s="48">
        <v>30013002</v>
      </c>
      <c r="C5" s="48">
        <v>30013002</v>
      </c>
      <c r="D5" s="47" t="str">
        <f>IFERROR(VLOOKUP(C5,enemy_skills!A:F,4,FALSE),VLOOKUP(C5,[5]enemy_skills!$A:$E,4,FALSE))</f>
        <v>ja</v>
      </c>
      <c r="E5" s="47" t="str">
        <f>IFERROR(VLOOKUP(C5,enemy_skills!A:F,5,FALSE),VLOOKUP(C5,[5]enemy_skills!$A:$E,5,FALSE))</f>
        <v>ピ…ガガガ…！</v>
      </c>
      <c r="F5" s="48">
        <v>30013002</v>
      </c>
      <c r="G5" s="49">
        <f>VLOOKUP($F5,enemy_skill_triggers!$A:$J,2,FALSE)</f>
        <v>0</v>
      </c>
      <c r="H5" s="49" t="str">
        <f>VLOOKUP($F5,enemy_skill_triggers!$A:$J,3,FALSE)</f>
        <v>null</v>
      </c>
      <c r="I5" s="49">
        <f>VLOOKUP($F5,enemy_skill_triggers!$A:$J,4,FALSE)</f>
        <v>100</v>
      </c>
      <c r="J5" s="49">
        <f>VLOOKUP($F5,enemy_skill_triggers!$A:$J,5,FALSE)</f>
        <v>50</v>
      </c>
      <c r="K5" s="49" t="str">
        <f>VLOOKUP($F5,enemy_skill_triggers!$A:$J,6,FALSE)</f>
        <v>null</v>
      </c>
      <c r="L5" s="49">
        <f>VLOOKUP($F5,enemy_skill_triggers!$A:$J,7,FALSE)</f>
        <v>1</v>
      </c>
      <c r="M5" s="49" t="str">
        <f>VLOOKUP($F5,enemy_skill_triggers!$A:$J,8,FALSE)</f>
        <v>null</v>
      </c>
      <c r="N5" s="49" t="str">
        <f>VLOOKUP($F5,enemy_skill_triggers!$A:$J,9,FALSE)</f>
        <v>null</v>
      </c>
      <c r="O5" s="49">
        <f>VLOOKUP($F5,enemy_skill_triggers!$A:$J,10,FALSE)</f>
        <v>100</v>
      </c>
      <c r="P5" s="48"/>
      <c r="Q5" s="48"/>
      <c r="R5" s="48"/>
    </row>
    <row r="6" spans="1:18" ht="21" customHeight="1" x14ac:dyDescent="0.15">
      <c r="A6" s="40" t="str">
        <f t="shared" ref="A6:A7" si="3">B6&amp;"_"&amp;C6</f>
        <v>30013002_30013003</v>
      </c>
      <c r="B6" s="48">
        <v>30013002</v>
      </c>
      <c r="C6" s="48">
        <v>30013003</v>
      </c>
      <c r="D6" s="47" t="str">
        <f>IFERROR(VLOOKUP(C6,enemy_skills!A:F,4,FALSE),VLOOKUP(C6,[5]enemy_skills!$A:$E,4,FALSE))</f>
        <v>ja</v>
      </c>
      <c r="E6" s="47" t="str">
        <f>IFERROR(VLOOKUP(C6,enemy_skills!A:F,5,FALSE),VLOOKUP(C6,[5]enemy_skills!$A:$E,5,FALSE))</f>
        <v>排除シマス！</v>
      </c>
      <c r="F6" s="48">
        <v>30013002</v>
      </c>
      <c r="G6" s="49">
        <f>VLOOKUP($F6,enemy_skill_triggers!$A:$J,2,FALSE)</f>
        <v>0</v>
      </c>
      <c r="H6" s="49" t="str">
        <f>VLOOKUP($F6,enemy_skill_triggers!$A:$J,3,FALSE)</f>
        <v>null</v>
      </c>
      <c r="I6" s="49">
        <f>VLOOKUP($F6,enemy_skill_triggers!$A:$J,4,FALSE)</f>
        <v>100</v>
      </c>
      <c r="J6" s="49">
        <f>VLOOKUP($F6,enemy_skill_triggers!$A:$J,5,FALSE)</f>
        <v>50</v>
      </c>
      <c r="K6" s="49" t="str">
        <f>VLOOKUP($F6,enemy_skill_triggers!$A:$J,6,FALSE)</f>
        <v>null</v>
      </c>
      <c r="L6" s="49">
        <f>VLOOKUP($F6,enemy_skill_triggers!$A:$J,7,FALSE)</f>
        <v>1</v>
      </c>
      <c r="M6" s="49" t="str">
        <f>VLOOKUP($F6,enemy_skill_triggers!$A:$J,8,FALSE)</f>
        <v>null</v>
      </c>
      <c r="N6" s="49" t="str">
        <f>VLOOKUP($F6,enemy_skill_triggers!$A:$J,9,FALSE)</f>
        <v>null</v>
      </c>
      <c r="O6" s="49">
        <f>VLOOKUP($F6,enemy_skill_triggers!$A:$J,10,FALSE)</f>
        <v>100</v>
      </c>
      <c r="P6" s="48"/>
      <c r="Q6" s="48"/>
      <c r="R6" s="48"/>
    </row>
    <row r="7" spans="1:18" ht="21" customHeight="1" x14ac:dyDescent="0.15">
      <c r="A7" s="40" t="str">
        <f t="shared" si="3"/>
        <v>30013003_30013004</v>
      </c>
      <c r="B7" s="48">
        <v>30013003</v>
      </c>
      <c r="C7" s="48">
        <v>30013004</v>
      </c>
      <c r="D7" s="47" t="str">
        <f>IFERROR(VLOOKUP(C7,enemy_skills!A:F,4,FALSE),VLOOKUP(C7,[5]enemy_skills!$A:$E,4,FALSE))</f>
        <v>ja</v>
      </c>
      <c r="E7" s="47" t="str">
        <f>IFERROR(VLOOKUP(C7,enemy_skills!A:F,5,FALSE),VLOOKUP(C7,[5]enemy_skills!$A:$E,5,FALSE))</f>
        <v>困ったのう…</v>
      </c>
      <c r="F7" s="48">
        <v>30013001</v>
      </c>
      <c r="G7" s="49">
        <f>VLOOKUP($F7,enemy_skill_triggers!$A:$J,2,FALSE)</f>
        <v>1</v>
      </c>
      <c r="H7" s="49" t="str">
        <f>VLOOKUP($F7,enemy_skill_triggers!$A:$J,3,FALSE)</f>
        <v>null</v>
      </c>
      <c r="I7" s="49">
        <f>VLOOKUP($F7,enemy_skill_triggers!$A:$J,4,FALSE)</f>
        <v>100</v>
      </c>
      <c r="J7" s="49" t="str">
        <f>VLOOKUP($F7,enemy_skill_triggers!$A:$J,5,FALSE)</f>
        <v>null</v>
      </c>
      <c r="K7" s="49" t="str">
        <f>VLOOKUP($F7,enemy_skill_triggers!$A:$J,6,FALSE)</f>
        <v>null</v>
      </c>
      <c r="L7" s="49">
        <f>VLOOKUP($F7,enemy_skill_triggers!$A:$J,7,FALSE)</f>
        <v>1</v>
      </c>
      <c r="M7" s="49" t="str">
        <f>VLOOKUP($F7,enemy_skill_triggers!$A:$J,8,FALSE)</f>
        <v>null</v>
      </c>
      <c r="N7" s="49" t="str">
        <f>VLOOKUP($F7,enemy_skill_triggers!$A:$J,9,FALSE)</f>
        <v>null</v>
      </c>
      <c r="O7" s="49">
        <f>VLOOKUP($F7,enemy_skill_triggers!$A:$J,10,FALSE)</f>
        <v>100</v>
      </c>
      <c r="P7" s="48"/>
      <c r="Q7" s="48"/>
      <c r="R7" s="48"/>
    </row>
    <row r="8" spans="1:18" ht="21" customHeight="1" x14ac:dyDescent="0.15">
      <c r="A8" s="40" t="str">
        <f t="shared" ref="A8" si="4">B8&amp;"_"&amp;C8</f>
        <v>30013003_30013005</v>
      </c>
      <c r="B8" s="48">
        <v>30013003</v>
      </c>
      <c r="C8" s="48">
        <v>30013005</v>
      </c>
      <c r="D8" s="47" t="str">
        <f>IFERROR(VLOOKUP(C8,enemy_skills!A:F,4,FALSE),VLOOKUP(C8,[5]enemy_skills!$A:$E,4,FALSE))</f>
        <v>ja</v>
      </c>
      <c r="E8" s="47" t="str">
        <f>IFERROR(VLOOKUP(C8,enemy_skills!A:F,5,FALSE),VLOOKUP(C8,[5]enemy_skills!$A:$E,5,FALSE))</f>
        <v>甲羅硬化</v>
      </c>
      <c r="F8" s="48">
        <v>30013004</v>
      </c>
      <c r="G8" s="49">
        <f>VLOOKUP($F8,enemy_skill_triggers!$A:$J,2,FALSE)</f>
        <v>0</v>
      </c>
      <c r="H8" s="49" t="str">
        <f>VLOOKUP($F8,enemy_skill_triggers!$A:$J,3,FALSE)</f>
        <v>null</v>
      </c>
      <c r="I8" s="49">
        <f>VLOOKUP($F8,enemy_skill_triggers!$A:$J,4,FALSE)</f>
        <v>100</v>
      </c>
      <c r="J8" s="49" t="str">
        <f>VLOOKUP($F8,enemy_skill_triggers!$A:$J,5,FALSE)</f>
        <v>null</v>
      </c>
      <c r="K8" s="49" t="str">
        <f>VLOOKUP($F8,enemy_skill_triggers!$A:$J,6,FALSE)</f>
        <v>null</v>
      </c>
      <c r="L8" s="49">
        <f>VLOOKUP($F8,enemy_skill_triggers!$A:$J,7,FALSE)</f>
        <v>1</v>
      </c>
      <c r="M8" s="49" t="str">
        <f>VLOOKUP($F8,enemy_skill_triggers!$A:$J,8,FALSE)</f>
        <v>null</v>
      </c>
      <c r="N8" s="49" t="str">
        <f>VLOOKUP($F8,enemy_skill_triggers!$A:$J,9,FALSE)</f>
        <v>null</v>
      </c>
      <c r="O8" s="49">
        <f>VLOOKUP($F8,enemy_skill_triggers!$A:$J,10,FALSE)</f>
        <v>100</v>
      </c>
      <c r="P8" s="48"/>
      <c r="Q8" s="48"/>
      <c r="R8" s="48"/>
    </row>
    <row r="9" spans="1:18" ht="21" customHeight="1" x14ac:dyDescent="0.15">
      <c r="A9" s="40" t="str">
        <f t="shared" ref="A9" si="5">B9&amp;"_"&amp;C9</f>
        <v>30013004_30013006</v>
      </c>
      <c r="B9" s="48">
        <v>30013004</v>
      </c>
      <c r="C9" s="48">
        <v>30013006</v>
      </c>
      <c r="D9" s="47" t="str">
        <f>IFERROR(VLOOKUP(C9,enemy_skills!A:F,4,FALSE),VLOOKUP(C9,[5]enemy_skills!$A:$E,4,FALSE))</f>
        <v>ja</v>
      </c>
      <c r="E9" s="47" t="str">
        <f>IFERROR(VLOOKUP(C9,enemy_skills!A:F,5,FALSE),VLOOKUP(C9,[5]enemy_skills!$A:$E,5,FALSE))</f>
        <v>モニターハッキング！</v>
      </c>
      <c r="F9" s="48">
        <v>30013001</v>
      </c>
      <c r="G9" s="49">
        <f>VLOOKUP($F9,enemy_skill_triggers!$A:$J,2,FALSE)</f>
        <v>1</v>
      </c>
      <c r="H9" s="49" t="str">
        <f>VLOOKUP($F9,enemy_skill_triggers!$A:$J,3,FALSE)</f>
        <v>null</v>
      </c>
      <c r="I9" s="49">
        <f>VLOOKUP($F9,enemy_skill_triggers!$A:$J,4,FALSE)</f>
        <v>100</v>
      </c>
      <c r="J9" s="49" t="str">
        <f>VLOOKUP($F9,enemy_skill_triggers!$A:$J,5,FALSE)</f>
        <v>null</v>
      </c>
      <c r="K9" s="49" t="str">
        <f>VLOOKUP($F9,enemy_skill_triggers!$A:$J,6,FALSE)</f>
        <v>null</v>
      </c>
      <c r="L9" s="49">
        <f>VLOOKUP($F9,enemy_skill_triggers!$A:$J,7,FALSE)</f>
        <v>1</v>
      </c>
      <c r="M9" s="49" t="str">
        <f>VLOOKUP($F9,enemy_skill_triggers!$A:$J,8,FALSE)</f>
        <v>null</v>
      </c>
      <c r="N9" s="49" t="str">
        <f>VLOOKUP($F9,enemy_skill_triggers!$A:$J,9,FALSE)</f>
        <v>null</v>
      </c>
      <c r="O9" s="49">
        <f>VLOOKUP($F9,enemy_skill_triggers!$A:$J,10,FALSE)</f>
        <v>100</v>
      </c>
      <c r="P9" s="48"/>
      <c r="Q9" s="48"/>
      <c r="R9" s="48"/>
    </row>
    <row r="10" spans="1:18" ht="21" customHeight="1" x14ac:dyDescent="0.15">
      <c r="A10" s="40" t="str">
        <f t="shared" ref="A10:A11" si="6">B10&amp;"_"&amp;C10</f>
        <v>30013004_30013013</v>
      </c>
      <c r="B10" s="48">
        <v>30013004</v>
      </c>
      <c r="C10" s="48">
        <v>30013013</v>
      </c>
      <c r="D10" s="47" t="str">
        <f>IFERROR(VLOOKUP(C10,enemy_skills!A:F,4,FALSE),VLOOKUP(C10,[5]enemy_skills!$A:$E,4,FALSE))</f>
        <v>ja</v>
      </c>
      <c r="E10" s="47" t="str">
        <f>IFERROR(VLOOKUP(C10,enemy_skills!A:F,5,FALSE),VLOOKUP(C10,[5]enemy_skills!$A:$E,5,FALSE))</f>
        <v>強制スリープ</v>
      </c>
      <c r="F10" s="48">
        <v>30013005</v>
      </c>
      <c r="G10" s="49">
        <f>VLOOKUP($F10,enemy_skill_triggers!$A:$J,2,FALSE)</f>
        <v>0</v>
      </c>
      <c r="H10" s="49" t="str">
        <f>VLOOKUP($F10,enemy_skill_triggers!$A:$J,3,FALSE)</f>
        <v>null</v>
      </c>
      <c r="I10" s="49">
        <f>VLOOKUP($F10,enemy_skill_triggers!$A:$J,4,FALSE)</f>
        <v>100</v>
      </c>
      <c r="J10" s="49">
        <f>VLOOKUP($F10,enemy_skill_triggers!$A:$J,5,FALSE)</f>
        <v>30</v>
      </c>
      <c r="K10" s="49" t="str">
        <f>VLOOKUP($F10,enemy_skill_triggers!$A:$J,6,FALSE)</f>
        <v>null</v>
      </c>
      <c r="L10" s="49">
        <f>VLOOKUP($F10,enemy_skill_triggers!$A:$J,7,FALSE)</f>
        <v>1</v>
      </c>
      <c r="M10" s="49" t="str">
        <f>VLOOKUP($F10,enemy_skill_triggers!$A:$J,8,FALSE)</f>
        <v>null</v>
      </c>
      <c r="N10" s="49" t="str">
        <f>VLOOKUP($F10,enemy_skill_triggers!$A:$J,9,FALSE)</f>
        <v>null</v>
      </c>
      <c r="O10" s="49">
        <f>VLOOKUP($F10,enemy_skill_triggers!$A:$J,10,FALSE)</f>
        <v>100</v>
      </c>
      <c r="P10" s="48"/>
      <c r="Q10" s="48"/>
      <c r="R10" s="48"/>
    </row>
    <row r="11" spans="1:18" ht="21" customHeight="1" x14ac:dyDescent="0.15">
      <c r="A11" s="40" t="str">
        <f t="shared" si="6"/>
        <v>30013005_30013015</v>
      </c>
      <c r="B11" s="48">
        <v>30013005</v>
      </c>
      <c r="C11" s="48">
        <v>30013015</v>
      </c>
      <c r="D11" s="47" t="str">
        <f>IFERROR(VLOOKUP(C11,enemy_skills!A:F,4,FALSE),VLOOKUP(C11,[5]enemy_skills!$A:$E,4,FALSE))</f>
        <v>ja</v>
      </c>
      <c r="E11" s="47" t="str">
        <f>IFERROR(VLOOKUP(C11,enemy_skills!A:F,5,FALSE),VLOOKUP(C11,[5]enemy_skills!$A:$E,5,FALSE))</f>
        <v>フリーズしてろ！</v>
      </c>
      <c r="F11" s="48">
        <v>30013006</v>
      </c>
      <c r="G11" s="49">
        <f>VLOOKUP($F11,enemy_skill_triggers!$A:$J,2,FALSE)</f>
        <v>0</v>
      </c>
      <c r="H11" s="49" t="str">
        <f>VLOOKUP($F11,enemy_skill_triggers!$A:$J,3,FALSE)</f>
        <v>null</v>
      </c>
      <c r="I11" s="49">
        <f>VLOOKUP($F11,enemy_skill_triggers!$A:$J,4,FALSE)</f>
        <v>60</v>
      </c>
      <c r="J11" s="49" t="str">
        <f>VLOOKUP($F11,enemy_skill_triggers!$A:$J,5,FALSE)</f>
        <v>null</v>
      </c>
      <c r="K11" s="49" t="str">
        <f>VLOOKUP($F11,enemy_skill_triggers!$A:$J,6,FALSE)</f>
        <v>null</v>
      </c>
      <c r="L11" s="49">
        <f>VLOOKUP($F11,enemy_skill_triggers!$A:$J,7,FALSE)</f>
        <v>1</v>
      </c>
      <c r="M11" s="49" t="str">
        <f>VLOOKUP($F11,enemy_skill_triggers!$A:$J,8,FALSE)</f>
        <v>null</v>
      </c>
      <c r="N11" s="49" t="str">
        <f>VLOOKUP($F11,enemy_skill_triggers!$A:$J,9,FALSE)</f>
        <v>null</v>
      </c>
      <c r="O11" s="49">
        <f>VLOOKUP($F11,enemy_skill_triggers!$A:$J,10,FALSE)</f>
        <v>60</v>
      </c>
      <c r="P11" s="48"/>
      <c r="Q11" s="48"/>
      <c r="R11" s="48"/>
    </row>
    <row r="12" spans="1:18" ht="21" customHeight="1" x14ac:dyDescent="0.15">
      <c r="A12" s="40" t="str">
        <f t="shared" ref="A12:A14" si="7">B12&amp;"_"&amp;C12</f>
        <v>30013005_30013014</v>
      </c>
      <c r="B12" s="48">
        <v>30013005</v>
      </c>
      <c r="C12" s="48">
        <v>30013014</v>
      </c>
      <c r="D12" s="47" t="str">
        <f>IFERROR(VLOOKUP(C12,enemy_skills!A:F,4,FALSE),VLOOKUP(C12,[5]enemy_skills!$A:$E,4,FALSE))</f>
        <v>ja</v>
      </c>
      <c r="E12" s="47" t="str">
        <f>IFERROR(VLOOKUP(C12,enemy_skills!A:F,5,FALSE),VLOOKUP(C12,[5]enemy_skills!$A:$E,5,FALSE))</f>
        <v>システムハック完了！</v>
      </c>
      <c r="F12" s="48">
        <v>30013001</v>
      </c>
      <c r="G12" s="49">
        <f>VLOOKUP($F12,enemy_skill_triggers!$A:$J,2,FALSE)</f>
        <v>1</v>
      </c>
      <c r="H12" s="49" t="str">
        <f>VLOOKUP($F12,enemy_skill_triggers!$A:$J,3,FALSE)</f>
        <v>null</v>
      </c>
      <c r="I12" s="49">
        <f>VLOOKUP($F12,enemy_skill_triggers!$A:$J,4,FALSE)</f>
        <v>100</v>
      </c>
      <c r="J12" s="49" t="str">
        <f>VLOOKUP($F12,enemy_skill_triggers!$A:$J,5,FALSE)</f>
        <v>null</v>
      </c>
      <c r="K12" s="49" t="str">
        <f>VLOOKUP($F12,enemy_skill_triggers!$A:$J,6,FALSE)</f>
        <v>null</v>
      </c>
      <c r="L12" s="49">
        <f>VLOOKUP($F12,enemy_skill_triggers!$A:$J,7,FALSE)</f>
        <v>1</v>
      </c>
      <c r="M12" s="49" t="str">
        <f>VLOOKUP($F12,enemy_skill_triggers!$A:$J,8,FALSE)</f>
        <v>null</v>
      </c>
      <c r="N12" s="49" t="str">
        <f>VLOOKUP($F12,enemy_skill_triggers!$A:$J,9,FALSE)</f>
        <v>null</v>
      </c>
      <c r="O12" s="49">
        <f>VLOOKUP($F12,enemy_skill_triggers!$A:$J,10,FALSE)</f>
        <v>100</v>
      </c>
      <c r="P12" s="48"/>
      <c r="Q12" s="48"/>
      <c r="R12" s="48"/>
    </row>
    <row r="13" spans="1:18" ht="21" customHeight="1" x14ac:dyDescent="0.15">
      <c r="A13" s="40" t="str">
        <f t="shared" si="7"/>
        <v>30013005_30013008</v>
      </c>
      <c r="B13" s="48">
        <v>30013005</v>
      </c>
      <c r="C13" s="48">
        <v>30013008</v>
      </c>
      <c r="D13" s="47" t="str">
        <f>IFERROR(VLOOKUP(C13,enemy_skills!A:F,4,FALSE),VLOOKUP(C13,[5]enemy_skills!$A:$E,4,FALSE))</f>
        <v>ja</v>
      </c>
      <c r="E13" s="47" t="str">
        <f>IFERROR(VLOOKUP(C13,enemy_skills!A:F,5,FALSE),VLOOKUP(C13,[5]enemy_skills!$A:$E,5,FALSE))</f>
        <v>上書き完了！</v>
      </c>
      <c r="F13" s="48">
        <v>30013007</v>
      </c>
      <c r="G13" s="49">
        <f>VLOOKUP($F13,enemy_skill_triggers!$A:$J,2,FALSE)</f>
        <v>0</v>
      </c>
      <c r="H13" s="49" t="str">
        <f>VLOOKUP($F13,enemy_skill_triggers!$A:$J,3,FALSE)</f>
        <v>null</v>
      </c>
      <c r="I13" s="49">
        <f>VLOOKUP($F13,enemy_skill_triggers!$A:$J,4,FALSE)</f>
        <v>45</v>
      </c>
      <c r="J13" s="49" t="str">
        <f>VLOOKUP($F13,enemy_skill_triggers!$A:$J,5,FALSE)</f>
        <v>null</v>
      </c>
      <c r="K13" s="49" t="str">
        <f>VLOOKUP($F13,enemy_skill_triggers!$A:$J,6,FALSE)</f>
        <v>null</v>
      </c>
      <c r="L13" s="49">
        <f>VLOOKUP($F13,enemy_skill_triggers!$A:$J,7,FALSE)</f>
        <v>3</v>
      </c>
      <c r="M13" s="49" t="str">
        <f>VLOOKUP($F13,enemy_skill_triggers!$A:$J,8,FALSE)</f>
        <v>null</v>
      </c>
      <c r="N13" s="49" t="str">
        <f>VLOOKUP($F13,enemy_skill_triggers!$A:$J,9,FALSE)</f>
        <v>null</v>
      </c>
      <c r="O13" s="49">
        <f>VLOOKUP($F13,enemy_skill_triggers!$A:$J,10,FALSE)</f>
        <v>45</v>
      </c>
      <c r="P13" s="48"/>
      <c r="Q13" s="48"/>
      <c r="R13" s="48"/>
    </row>
    <row r="14" spans="1:18" ht="21" customHeight="1" x14ac:dyDescent="0.15">
      <c r="A14" s="40" t="str">
        <f t="shared" si="7"/>
        <v>30013006_30013016</v>
      </c>
      <c r="B14" s="48">
        <v>30013006</v>
      </c>
      <c r="C14" s="48">
        <v>30013016</v>
      </c>
      <c r="D14" s="47" t="str">
        <f>IFERROR(VLOOKUP(C14,enemy_skills!A:F,4,FALSE),VLOOKUP(C14,[5]enemy_skills!$A:$E,4,FALSE))</f>
        <v>ja</v>
      </c>
      <c r="E14" s="47" t="str">
        <f>IFERROR(VLOOKUP(C14,enemy_skills!A:F,5,FALSE),VLOOKUP(C14,[5]enemy_skills!$A:$E,5,FALSE))</f>
        <v>クロックアップ</v>
      </c>
      <c r="F14" s="48">
        <v>30013001</v>
      </c>
      <c r="G14" s="49">
        <f>VLOOKUP($F14,enemy_skill_triggers!$A:$J,2,FALSE)</f>
        <v>1</v>
      </c>
      <c r="H14" s="49" t="str">
        <f>VLOOKUP($F14,enemy_skill_triggers!$A:$J,3,FALSE)</f>
        <v>null</v>
      </c>
      <c r="I14" s="49">
        <f>VLOOKUP($F14,enemy_skill_triggers!$A:$J,4,FALSE)</f>
        <v>100</v>
      </c>
      <c r="J14" s="49" t="str">
        <f>VLOOKUP($F14,enemy_skill_triggers!$A:$J,5,FALSE)</f>
        <v>null</v>
      </c>
      <c r="K14" s="49" t="str">
        <f>VLOOKUP($F14,enemy_skill_triggers!$A:$J,6,FALSE)</f>
        <v>null</v>
      </c>
      <c r="L14" s="49">
        <f>VLOOKUP($F14,enemy_skill_triggers!$A:$J,7,FALSE)</f>
        <v>1</v>
      </c>
      <c r="M14" s="49" t="str">
        <f>VLOOKUP($F14,enemy_skill_triggers!$A:$J,8,FALSE)</f>
        <v>null</v>
      </c>
      <c r="N14" s="49" t="str">
        <f>VLOOKUP($F14,enemy_skill_triggers!$A:$J,9,FALSE)</f>
        <v>null</v>
      </c>
      <c r="O14" s="49">
        <f>VLOOKUP($F14,enemy_skill_triggers!$A:$J,10,FALSE)</f>
        <v>100</v>
      </c>
      <c r="P14" s="48"/>
      <c r="Q14" s="48"/>
      <c r="R14" s="48"/>
    </row>
    <row r="15" spans="1:18" ht="21" customHeight="1" x14ac:dyDescent="0.15">
      <c r="A15" s="40" t="str">
        <f t="shared" ref="A15:A16" si="8">B15&amp;"_"&amp;C15</f>
        <v>30013006_30013009</v>
      </c>
      <c r="B15" s="48">
        <v>30013006</v>
      </c>
      <c r="C15" s="48">
        <v>30013009</v>
      </c>
      <c r="D15" s="47" t="str">
        <f>IFERROR(VLOOKUP(C15,enemy_skills!A:F,4,FALSE),VLOOKUP(C15,[5]enemy_skills!$A:$E,4,FALSE))</f>
        <v>ja</v>
      </c>
      <c r="E15" s="47" t="str">
        <f>IFERROR(VLOOKUP(C15,enemy_skills!A:F,5,FALSE),VLOOKUP(C15,[5]enemy_skills!$A:$E,5,FALSE))</f>
        <v>防壁展開</v>
      </c>
      <c r="F15" s="48">
        <v>30013003</v>
      </c>
      <c r="G15" s="49">
        <f>VLOOKUP($F15,enemy_skill_triggers!$A:$J,2,FALSE)</f>
        <v>0</v>
      </c>
      <c r="H15" s="49" t="str">
        <f>VLOOKUP($F15,enemy_skill_triggers!$A:$J,3,FALSE)</f>
        <v>null</v>
      </c>
      <c r="I15" s="49">
        <f>VLOOKUP($F15,enemy_skill_triggers!$A:$J,4,FALSE)</f>
        <v>100</v>
      </c>
      <c r="J15" s="49">
        <f>VLOOKUP($F15,enemy_skill_triggers!$A:$J,5,FALSE)</f>
        <v>70</v>
      </c>
      <c r="K15" s="49" t="str">
        <f>VLOOKUP($F15,enemy_skill_triggers!$A:$J,6,FALSE)</f>
        <v>null</v>
      </c>
      <c r="L15" s="49">
        <f>VLOOKUP($F15,enemy_skill_triggers!$A:$J,7,FALSE)</f>
        <v>1</v>
      </c>
      <c r="M15" s="49" t="str">
        <f>VLOOKUP($F15,enemy_skill_triggers!$A:$J,8,FALSE)</f>
        <v>null</v>
      </c>
      <c r="N15" s="49" t="str">
        <f>VLOOKUP($F15,enemy_skill_triggers!$A:$J,9,FALSE)</f>
        <v>null</v>
      </c>
      <c r="O15" s="49">
        <f>VLOOKUP($F15,enemy_skill_triggers!$A:$J,10,FALSE)</f>
        <v>100</v>
      </c>
      <c r="P15" s="48"/>
      <c r="Q15" s="48"/>
      <c r="R15" s="48"/>
    </row>
    <row r="16" spans="1:18" ht="21" customHeight="1" x14ac:dyDescent="0.15">
      <c r="A16" s="40" t="str">
        <f t="shared" si="8"/>
        <v>30013006_30013010</v>
      </c>
      <c r="B16" s="48">
        <v>30013006</v>
      </c>
      <c r="C16" s="48">
        <v>30013010</v>
      </c>
      <c r="D16" s="47" t="str">
        <f>IFERROR(VLOOKUP(C16,enemy_skills!A:F,4,FALSE),VLOOKUP(C16,[5]enemy_skills!$A:$E,4,FALSE))</f>
        <v>ja</v>
      </c>
      <c r="E16" s="47" t="str">
        <f>IFERROR(VLOOKUP(C16,enemy_skills!A:F,5,FALSE),VLOOKUP(C16,[5]enemy_skills!$A:$E,5,FALSE))</f>
        <v>反撃開始…！</v>
      </c>
      <c r="F16" s="48">
        <v>30013003</v>
      </c>
      <c r="G16" s="49">
        <f>VLOOKUP($F16,enemy_skill_triggers!$A:$J,2,FALSE)</f>
        <v>0</v>
      </c>
      <c r="H16" s="49" t="str">
        <f>VLOOKUP($F16,enemy_skill_triggers!$A:$J,3,FALSE)</f>
        <v>null</v>
      </c>
      <c r="I16" s="49">
        <f>VLOOKUP($F16,enemy_skill_triggers!$A:$J,4,FALSE)</f>
        <v>100</v>
      </c>
      <c r="J16" s="49">
        <f>VLOOKUP($F16,enemy_skill_triggers!$A:$J,5,FALSE)</f>
        <v>70</v>
      </c>
      <c r="K16" s="49" t="str">
        <f>VLOOKUP($F16,enemy_skill_triggers!$A:$J,6,FALSE)</f>
        <v>null</v>
      </c>
      <c r="L16" s="49">
        <f>VLOOKUP($F16,enemy_skill_triggers!$A:$J,7,FALSE)</f>
        <v>1</v>
      </c>
      <c r="M16" s="49" t="str">
        <f>VLOOKUP($F16,enemy_skill_triggers!$A:$J,8,FALSE)</f>
        <v>null</v>
      </c>
      <c r="N16" s="49" t="str">
        <f>VLOOKUP($F16,enemy_skill_triggers!$A:$J,9,FALSE)</f>
        <v>null</v>
      </c>
      <c r="O16" s="49">
        <f>VLOOKUP($F16,enemy_skill_triggers!$A:$J,10,FALSE)</f>
        <v>100</v>
      </c>
      <c r="P16" s="48"/>
      <c r="Q16" s="48"/>
      <c r="R16" s="48"/>
    </row>
    <row r="17" spans="1:18" ht="21" customHeight="1" x14ac:dyDescent="0.15">
      <c r="A17" s="40" t="str">
        <f t="shared" ref="A17" si="9">B17&amp;"_"&amp;C17</f>
        <v>30013007_30013011</v>
      </c>
      <c r="B17" s="48">
        <v>30013007</v>
      </c>
      <c r="C17" s="48">
        <v>30013011</v>
      </c>
      <c r="D17" s="47" t="str">
        <f>IFERROR(VLOOKUP(C17,enemy_skills!A:F,4,FALSE),VLOOKUP(C17,[5]enemy_skills!$A:$E,4,FALSE))</f>
        <v>ja</v>
      </c>
      <c r="E17" s="47" t="str">
        <f>IFERROR(VLOOKUP(C17,enemy_skills!A:F,5,FALSE),VLOOKUP(C17,[5]enemy_skills!$A:$E,5,FALSE))</f>
        <v>増殖バグ発生</v>
      </c>
      <c r="F17" s="48">
        <v>30013001</v>
      </c>
      <c r="G17" s="49">
        <f>VLOOKUP($F17,enemy_skill_triggers!$A:$J,2,FALSE)</f>
        <v>1</v>
      </c>
      <c r="H17" s="49" t="str">
        <f>VLOOKUP($F17,enemy_skill_triggers!$A:$J,3,FALSE)</f>
        <v>null</v>
      </c>
      <c r="I17" s="49">
        <f>VLOOKUP($F17,enemy_skill_triggers!$A:$J,4,FALSE)</f>
        <v>100</v>
      </c>
      <c r="J17" s="49" t="str">
        <f>VLOOKUP($F17,enemy_skill_triggers!$A:$J,5,FALSE)</f>
        <v>null</v>
      </c>
      <c r="K17" s="49" t="str">
        <f>VLOOKUP($F17,enemy_skill_triggers!$A:$J,6,FALSE)</f>
        <v>null</v>
      </c>
      <c r="L17" s="49">
        <f>VLOOKUP($F17,enemy_skill_triggers!$A:$J,7,FALSE)</f>
        <v>1</v>
      </c>
      <c r="M17" s="49" t="str">
        <f>VLOOKUP($F17,enemy_skill_triggers!$A:$J,8,FALSE)</f>
        <v>null</v>
      </c>
      <c r="N17" s="49" t="str">
        <f>VLOOKUP($F17,enemy_skill_triggers!$A:$J,9,FALSE)</f>
        <v>null</v>
      </c>
      <c r="O17" s="49">
        <f>VLOOKUP($F17,enemy_skill_triggers!$A:$J,10,FALSE)</f>
        <v>100</v>
      </c>
      <c r="P17" s="48"/>
      <c r="Q17" s="48"/>
      <c r="R17" s="48"/>
    </row>
    <row r="18" spans="1:18" ht="21" customHeight="1" x14ac:dyDescent="0.15">
      <c r="A18" s="40" t="str">
        <f t="shared" ref="A18" si="10">B18&amp;"_"&amp;C18</f>
        <v>30013008_30013012</v>
      </c>
      <c r="B18" s="48">
        <v>30013008</v>
      </c>
      <c r="C18" s="48">
        <v>30013012</v>
      </c>
      <c r="D18" s="47" t="str">
        <f>IFERROR(VLOOKUP(C18,enemy_skills!A:F,4,FALSE),VLOOKUP(C18,[5]enemy_skills!$A:$E,4,FALSE))</f>
        <v>ja</v>
      </c>
      <c r="E18" s="47" t="str">
        <f>IFERROR(VLOOKUP(C18,enemy_skills!A:F,5,FALSE),VLOOKUP(C18,[5]enemy_skills!$A:$E,5,FALSE))</f>
        <v>ガガ…バグ発生…</v>
      </c>
      <c r="F18" s="48">
        <v>30013001</v>
      </c>
      <c r="G18" s="49">
        <f>VLOOKUP($F18,enemy_skill_triggers!$A:$J,2,FALSE)</f>
        <v>1</v>
      </c>
      <c r="H18" s="49" t="str">
        <f>VLOOKUP($F18,enemy_skill_triggers!$A:$J,3,FALSE)</f>
        <v>null</v>
      </c>
      <c r="I18" s="49">
        <f>VLOOKUP($F18,enemy_skill_triggers!$A:$J,4,FALSE)</f>
        <v>100</v>
      </c>
      <c r="J18" s="49" t="str">
        <f>VLOOKUP($F18,enemy_skill_triggers!$A:$J,5,FALSE)</f>
        <v>null</v>
      </c>
      <c r="K18" s="49" t="str">
        <f>VLOOKUP($F18,enemy_skill_triggers!$A:$J,6,FALSE)</f>
        <v>null</v>
      </c>
      <c r="L18" s="49">
        <f>VLOOKUP($F18,enemy_skill_triggers!$A:$J,7,FALSE)</f>
        <v>1</v>
      </c>
      <c r="M18" s="49" t="str">
        <f>VLOOKUP($F18,enemy_skill_triggers!$A:$J,8,FALSE)</f>
        <v>null</v>
      </c>
      <c r="N18" s="49" t="str">
        <f>VLOOKUP($F18,enemy_skill_triggers!$A:$J,9,FALSE)</f>
        <v>null</v>
      </c>
      <c r="O18" s="49">
        <f>VLOOKUP($F18,enemy_skill_triggers!$A:$J,10,FALSE)</f>
        <v>100</v>
      </c>
      <c r="P18" s="48"/>
      <c r="Q18" s="48"/>
      <c r="R18" s="48"/>
    </row>
    <row r="19" spans="1:18" ht="21" customHeight="1" x14ac:dyDescent="0.15">
      <c r="A19" s="40" t="str">
        <f t="shared" ref="A19:A20" si="11">B19&amp;"_"&amp;C19</f>
        <v>30013009_30013014</v>
      </c>
      <c r="B19" s="48">
        <v>30013009</v>
      </c>
      <c r="C19" s="48">
        <v>30013014</v>
      </c>
      <c r="D19" s="47" t="str">
        <f>IFERROR(VLOOKUP(C19,enemy_skills!A:F,4,FALSE),VLOOKUP(C19,[5]enemy_skills!$A:$E,4,FALSE))</f>
        <v>ja</v>
      </c>
      <c r="E19" s="47" t="str">
        <f>IFERROR(VLOOKUP(C19,enemy_skills!A:F,5,FALSE),VLOOKUP(C19,[5]enemy_skills!$A:$E,5,FALSE))</f>
        <v>システムハック完了！</v>
      </c>
      <c r="F19" s="48">
        <v>30013006</v>
      </c>
      <c r="G19" s="49">
        <f>VLOOKUP($F19,enemy_skill_triggers!$A:$J,2,FALSE)</f>
        <v>0</v>
      </c>
      <c r="H19" s="49" t="str">
        <f>VLOOKUP($F19,enemy_skill_triggers!$A:$J,3,FALSE)</f>
        <v>null</v>
      </c>
      <c r="I19" s="49">
        <f>VLOOKUP($F19,enemy_skill_triggers!$A:$J,4,FALSE)</f>
        <v>60</v>
      </c>
      <c r="J19" s="49" t="str">
        <f>VLOOKUP($F19,enemy_skill_triggers!$A:$J,5,FALSE)</f>
        <v>null</v>
      </c>
      <c r="K19" s="49" t="str">
        <f>VLOOKUP($F19,enemy_skill_triggers!$A:$J,6,FALSE)</f>
        <v>null</v>
      </c>
      <c r="L19" s="49">
        <f>VLOOKUP($F19,enemy_skill_triggers!$A:$J,7,FALSE)</f>
        <v>1</v>
      </c>
      <c r="M19" s="49" t="str">
        <f>VLOOKUP($F19,enemy_skill_triggers!$A:$J,8,FALSE)</f>
        <v>null</v>
      </c>
      <c r="N19" s="49" t="str">
        <f>VLOOKUP($F19,enemy_skill_triggers!$A:$J,9,FALSE)</f>
        <v>null</v>
      </c>
      <c r="O19" s="49">
        <f>VLOOKUP($F19,enemy_skill_triggers!$A:$J,10,FALSE)</f>
        <v>60</v>
      </c>
      <c r="P19" s="48"/>
      <c r="Q19" s="48"/>
      <c r="R19" s="48"/>
    </row>
    <row r="20" spans="1:18" ht="21" customHeight="1" x14ac:dyDescent="0.15">
      <c r="A20" s="40" t="str">
        <f t="shared" si="11"/>
        <v>30013009_30013015</v>
      </c>
      <c r="B20" s="48">
        <v>30013009</v>
      </c>
      <c r="C20" s="48">
        <v>30013015</v>
      </c>
      <c r="D20" s="47" t="str">
        <f>IFERROR(VLOOKUP(C20,enemy_skills!A:F,4,FALSE),VLOOKUP(C20,[5]enemy_skills!$A:$E,4,FALSE))</f>
        <v>ja</v>
      </c>
      <c r="E20" s="47" t="str">
        <f>IFERROR(VLOOKUP(C20,enemy_skills!A:F,5,FALSE),VLOOKUP(C20,[5]enemy_skills!$A:$E,5,FALSE))</f>
        <v>フリーズしてろ！</v>
      </c>
      <c r="F20" s="48">
        <v>30013001</v>
      </c>
      <c r="G20" s="49">
        <f>VLOOKUP($F20,enemy_skill_triggers!$A:$J,2,FALSE)</f>
        <v>1</v>
      </c>
      <c r="H20" s="49" t="str">
        <f>VLOOKUP($F20,enemy_skill_triggers!$A:$J,3,FALSE)</f>
        <v>null</v>
      </c>
      <c r="I20" s="49">
        <f>VLOOKUP($F20,enemy_skill_triggers!$A:$J,4,FALSE)</f>
        <v>100</v>
      </c>
      <c r="J20" s="49" t="str">
        <f>VLOOKUP($F20,enemy_skill_triggers!$A:$J,5,FALSE)</f>
        <v>null</v>
      </c>
      <c r="K20" s="49" t="str">
        <f>VLOOKUP($F20,enemy_skill_triggers!$A:$J,6,FALSE)</f>
        <v>null</v>
      </c>
      <c r="L20" s="49">
        <f>VLOOKUP($F20,enemy_skill_triggers!$A:$J,7,FALSE)</f>
        <v>1</v>
      </c>
      <c r="M20" s="49" t="str">
        <f>VLOOKUP($F20,enemy_skill_triggers!$A:$J,8,FALSE)</f>
        <v>null</v>
      </c>
      <c r="N20" s="49" t="str">
        <f>VLOOKUP($F20,enemy_skill_triggers!$A:$J,9,FALSE)</f>
        <v>null</v>
      </c>
      <c r="O20" s="49">
        <f>VLOOKUP($F20,enemy_skill_triggers!$A:$J,10,FALSE)</f>
        <v>100</v>
      </c>
      <c r="P20" s="48"/>
      <c r="Q20" s="48"/>
      <c r="R20" s="48"/>
    </row>
    <row r="21" spans="1:18" ht="21" customHeight="1" x14ac:dyDescent="0.15">
      <c r="A21" s="40" t="str">
        <f t="shared" ref="A21:A22" si="12">B21&amp;"_"&amp;C21</f>
        <v>30013010_30013016</v>
      </c>
      <c r="B21" s="48">
        <v>30013010</v>
      </c>
      <c r="C21" s="48">
        <v>30013016</v>
      </c>
      <c r="D21" s="47" t="str">
        <f>IFERROR(VLOOKUP(C21,enemy_skills!A:F,4,FALSE),VLOOKUP(C21,[5]enemy_skills!$A:$E,4,FALSE))</f>
        <v>ja</v>
      </c>
      <c r="E21" s="47" t="str">
        <f>IFERROR(VLOOKUP(C21,enemy_skills!A:F,5,FALSE),VLOOKUP(C21,[5]enemy_skills!$A:$E,5,FALSE))</f>
        <v>クロックアップ</v>
      </c>
      <c r="F21" s="48">
        <v>30013001</v>
      </c>
      <c r="G21" s="49">
        <f>VLOOKUP($F21,enemy_skill_triggers!$A:$J,2,FALSE)</f>
        <v>1</v>
      </c>
      <c r="H21" s="49" t="str">
        <f>VLOOKUP($F21,enemy_skill_triggers!$A:$J,3,FALSE)</f>
        <v>null</v>
      </c>
      <c r="I21" s="49">
        <f>VLOOKUP($F21,enemy_skill_triggers!$A:$J,4,FALSE)</f>
        <v>100</v>
      </c>
      <c r="J21" s="49" t="str">
        <f>VLOOKUP($F21,enemy_skill_triggers!$A:$J,5,FALSE)</f>
        <v>null</v>
      </c>
      <c r="K21" s="49" t="str">
        <f>VLOOKUP($F21,enemy_skill_triggers!$A:$J,6,FALSE)</f>
        <v>null</v>
      </c>
      <c r="L21" s="49">
        <f>VLOOKUP($F21,enemy_skill_triggers!$A:$J,7,FALSE)</f>
        <v>1</v>
      </c>
      <c r="M21" s="49" t="str">
        <f>VLOOKUP($F21,enemy_skill_triggers!$A:$J,8,FALSE)</f>
        <v>null</v>
      </c>
      <c r="N21" s="49" t="str">
        <f>VLOOKUP($F21,enemy_skill_triggers!$A:$J,9,FALSE)</f>
        <v>null</v>
      </c>
      <c r="O21" s="49">
        <f>VLOOKUP($F21,enemy_skill_triggers!$A:$J,10,FALSE)</f>
        <v>100</v>
      </c>
      <c r="P21" s="48"/>
      <c r="Q21" s="48"/>
      <c r="R21" s="48"/>
    </row>
    <row r="22" spans="1:18" ht="21" customHeight="1" x14ac:dyDescent="0.15">
      <c r="A22" s="40" t="str">
        <f t="shared" si="12"/>
        <v>30013010_30013009</v>
      </c>
      <c r="B22" s="48">
        <v>30013010</v>
      </c>
      <c r="C22" s="48">
        <v>30013009</v>
      </c>
      <c r="D22" s="47" t="str">
        <f>IFERROR(VLOOKUP(C22,enemy_skills!A:F,4,FALSE),VLOOKUP(C22,[5]enemy_skills!$A:$E,4,FALSE))</f>
        <v>ja</v>
      </c>
      <c r="E22" s="47" t="str">
        <f>IFERROR(VLOOKUP(C22,enemy_skills!A:F,5,FALSE),VLOOKUP(C22,[5]enemy_skills!$A:$E,5,FALSE))</f>
        <v>防壁展開</v>
      </c>
      <c r="F22" s="48">
        <v>30013003</v>
      </c>
      <c r="G22" s="49">
        <f>VLOOKUP($F22,enemy_skill_triggers!$A:$J,2,FALSE)</f>
        <v>0</v>
      </c>
      <c r="H22" s="49" t="str">
        <f>VLOOKUP($F22,enemy_skill_triggers!$A:$J,3,FALSE)</f>
        <v>null</v>
      </c>
      <c r="I22" s="49">
        <f>VLOOKUP($F22,enemy_skill_triggers!$A:$J,4,FALSE)</f>
        <v>100</v>
      </c>
      <c r="J22" s="49">
        <f>VLOOKUP($F22,enemy_skill_triggers!$A:$J,5,FALSE)</f>
        <v>70</v>
      </c>
      <c r="K22" s="49" t="str">
        <f>VLOOKUP($F22,enemy_skill_triggers!$A:$J,6,FALSE)</f>
        <v>null</v>
      </c>
      <c r="L22" s="49">
        <f>VLOOKUP($F22,enemy_skill_triggers!$A:$J,7,FALSE)</f>
        <v>1</v>
      </c>
      <c r="M22" s="49" t="str">
        <f>VLOOKUP($F22,enemy_skill_triggers!$A:$J,8,FALSE)</f>
        <v>null</v>
      </c>
      <c r="N22" s="49" t="str">
        <f>VLOOKUP($F22,enemy_skill_triggers!$A:$J,9,FALSE)</f>
        <v>null</v>
      </c>
      <c r="O22" s="49">
        <f>VLOOKUP($F22,enemy_skill_triggers!$A:$J,10,FALSE)</f>
        <v>100</v>
      </c>
      <c r="P22" s="48"/>
      <c r="Q22" s="48"/>
      <c r="R22" s="48"/>
    </row>
    <row r="23" spans="1:18" ht="21" customHeight="1" x14ac:dyDescent="0.15">
      <c r="A23" s="40" t="str">
        <f t="shared" ref="A23" si="13">B23&amp;"_"&amp;C23</f>
        <v>30013010_30013010</v>
      </c>
      <c r="B23" s="48">
        <v>30013010</v>
      </c>
      <c r="C23" s="48">
        <v>30013010</v>
      </c>
      <c r="D23" s="47" t="str">
        <f>IFERROR(VLOOKUP(C23,enemy_skills!A:F,4,FALSE),VLOOKUP(C23,[5]enemy_skills!$A:$E,4,FALSE))</f>
        <v>ja</v>
      </c>
      <c r="E23" s="47" t="str">
        <f>IFERROR(VLOOKUP(C23,enemy_skills!A:F,5,FALSE),VLOOKUP(C23,[5]enemy_skills!$A:$E,5,FALSE))</f>
        <v>反撃開始…！</v>
      </c>
      <c r="F23" s="48">
        <v>30013003</v>
      </c>
      <c r="G23" s="49">
        <f>VLOOKUP($F23,enemy_skill_triggers!$A:$J,2,FALSE)</f>
        <v>0</v>
      </c>
      <c r="H23" s="49" t="str">
        <f>VLOOKUP($F23,enemy_skill_triggers!$A:$J,3,FALSE)</f>
        <v>null</v>
      </c>
      <c r="I23" s="49">
        <f>VLOOKUP($F23,enemy_skill_triggers!$A:$J,4,FALSE)</f>
        <v>100</v>
      </c>
      <c r="J23" s="49">
        <f>VLOOKUP($F23,enemy_skill_triggers!$A:$J,5,FALSE)</f>
        <v>70</v>
      </c>
      <c r="K23" s="49" t="str">
        <f>VLOOKUP($F23,enemy_skill_triggers!$A:$J,6,FALSE)</f>
        <v>null</v>
      </c>
      <c r="L23" s="49">
        <f>VLOOKUP($F23,enemy_skill_triggers!$A:$J,7,FALSE)</f>
        <v>1</v>
      </c>
      <c r="M23" s="49" t="str">
        <f>VLOOKUP($F23,enemy_skill_triggers!$A:$J,8,FALSE)</f>
        <v>null</v>
      </c>
      <c r="N23" s="49" t="str">
        <f>VLOOKUP($F23,enemy_skill_triggers!$A:$J,9,FALSE)</f>
        <v>null</v>
      </c>
      <c r="O23" s="49">
        <f>VLOOKUP($F23,enemy_skill_triggers!$A:$J,10,FALSE)</f>
        <v>100</v>
      </c>
      <c r="P23" s="48"/>
      <c r="Q23" s="48"/>
      <c r="R23" s="48"/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2017-03-08T03:32:40Z</dcterms:modified>
</cp:coreProperties>
</file>