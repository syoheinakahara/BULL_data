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4" i="9" l="1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D58" i="9"/>
  <c r="J78" i="11"/>
  <c r="A78" i="9"/>
  <c r="D78" i="9"/>
  <c r="E78" i="9"/>
  <c r="G78" i="9"/>
  <c r="H78" i="9"/>
  <c r="I78" i="9"/>
  <c r="J78" i="9"/>
  <c r="K78" i="9"/>
  <c r="L78" i="9"/>
  <c r="M78" i="9"/>
  <c r="N78" i="9"/>
  <c r="O78" i="9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2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20" i="18"/>
  <c r="D20" i="18"/>
  <c r="C21" i="18"/>
  <c r="D21" i="18"/>
  <c r="C22" i="18"/>
  <c r="D22" i="18"/>
  <c r="C23" i="18"/>
  <c r="D23" i="18"/>
  <c r="C24" i="18"/>
  <c r="D24" i="18"/>
  <c r="C25" i="18"/>
  <c r="D25" i="18"/>
  <c r="C26" i="18"/>
  <c r="D26" i="18"/>
  <c r="C27" i="18"/>
  <c r="D27" i="18"/>
  <c r="C28" i="18"/>
  <c r="D28" i="18"/>
  <c r="C29" i="18"/>
  <c r="D29" i="18"/>
  <c r="C30" i="18"/>
  <c r="D30" i="18"/>
  <c r="C31" i="18"/>
  <c r="D31" i="18"/>
  <c r="C32" i="18"/>
  <c r="D32" i="18"/>
  <c r="C33" i="18"/>
  <c r="D33" i="18"/>
  <c r="J72" i="11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A72" i="9"/>
  <c r="D72" i="9"/>
  <c r="E72" i="9"/>
  <c r="G72" i="9"/>
  <c r="H72" i="9"/>
  <c r="I72" i="9"/>
  <c r="J72" i="9"/>
  <c r="K72" i="9"/>
  <c r="L72" i="9"/>
  <c r="M72" i="9"/>
  <c r="N72" i="9"/>
  <c r="O72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J3" i="11"/>
  <c r="J4" i="11"/>
  <c r="J5" i="11"/>
  <c r="J6" i="11"/>
  <c r="J7" i="11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L3" i="10"/>
  <c r="M3" i="10"/>
  <c r="M65" i="10"/>
  <c r="N65" i="10"/>
  <c r="Q65" i="10"/>
  <c r="P65" i="10"/>
  <c r="R65" i="10"/>
  <c r="O65" i="10"/>
  <c r="S65" i="10"/>
  <c r="M53" i="10"/>
  <c r="N53" i="10"/>
  <c r="Q53" i="10"/>
  <c r="P53" i="10"/>
  <c r="R53" i="10"/>
  <c r="O53" i="10"/>
  <c r="S53" i="10"/>
  <c r="M20" i="10"/>
  <c r="N20" i="10"/>
  <c r="Q20" i="10"/>
  <c r="P20" i="10"/>
  <c r="R20" i="10"/>
  <c r="O20" i="10"/>
  <c r="S20" i="10"/>
  <c r="N3" i="10"/>
  <c r="O3" i="10"/>
  <c r="P3" i="10"/>
  <c r="Q3" i="10"/>
  <c r="R3" i="10"/>
  <c r="S3" i="10"/>
  <c r="T3" i="10"/>
  <c r="U3" i="10"/>
  <c r="V3" i="10"/>
  <c r="W3" i="10"/>
  <c r="X3" i="10"/>
  <c r="Y3" i="10"/>
  <c r="L4" i="10"/>
  <c r="M4" i="10"/>
  <c r="M54" i="10"/>
  <c r="N54" i="10"/>
  <c r="Q54" i="10"/>
  <c r="P54" i="10"/>
  <c r="R54" i="10"/>
  <c r="O54" i="10"/>
  <c r="S54" i="10"/>
  <c r="M21" i="10"/>
  <c r="N21" i="10"/>
  <c r="Q21" i="10"/>
  <c r="P21" i="10"/>
  <c r="R21" i="10"/>
  <c r="O21" i="10"/>
  <c r="S21" i="10"/>
  <c r="N4" i="10"/>
  <c r="O4" i="10"/>
  <c r="P4" i="10"/>
  <c r="Q4" i="10"/>
  <c r="R4" i="10"/>
  <c r="S4" i="10"/>
  <c r="T4" i="10"/>
  <c r="U4" i="10"/>
  <c r="V4" i="10"/>
  <c r="W4" i="10"/>
  <c r="X4" i="10"/>
  <c r="Y4" i="10"/>
  <c r="L5" i="10"/>
  <c r="M5" i="10"/>
  <c r="M22" i="10"/>
  <c r="N22" i="10"/>
  <c r="Q22" i="10"/>
  <c r="P22" i="10"/>
  <c r="R22" i="10"/>
  <c r="O22" i="10"/>
  <c r="S22" i="10"/>
  <c r="N5" i="10"/>
  <c r="O5" i="10"/>
  <c r="P5" i="10"/>
  <c r="Q5" i="10"/>
  <c r="R5" i="10"/>
  <c r="S5" i="10"/>
  <c r="T5" i="10"/>
  <c r="U5" i="10"/>
  <c r="V5" i="10"/>
  <c r="W5" i="10"/>
  <c r="X5" i="10"/>
  <c r="Y5" i="10"/>
  <c r="L6" i="10"/>
  <c r="M6" i="10"/>
  <c r="M23" i="10"/>
  <c r="N23" i="10"/>
  <c r="Q23" i="10"/>
  <c r="P23" i="10"/>
  <c r="R23" i="10"/>
  <c r="O23" i="10"/>
  <c r="S23" i="10"/>
  <c r="N6" i="10"/>
  <c r="O6" i="10"/>
  <c r="P6" i="10"/>
  <c r="Q6" i="10"/>
  <c r="R6" i="10"/>
  <c r="S6" i="10"/>
  <c r="T6" i="10"/>
  <c r="U6" i="10"/>
  <c r="V6" i="10"/>
  <c r="W6" i="10"/>
  <c r="X6" i="10"/>
  <c r="Y6" i="10"/>
  <c r="L7" i="10"/>
  <c r="M7" i="10"/>
  <c r="M55" i="10"/>
  <c r="N55" i="10"/>
  <c r="Q55" i="10"/>
  <c r="P55" i="10"/>
  <c r="R55" i="10"/>
  <c r="O55" i="10"/>
  <c r="S55" i="10"/>
  <c r="M24" i="10"/>
  <c r="N24" i="10"/>
  <c r="Q24" i="10"/>
  <c r="P24" i="10"/>
  <c r="R24" i="10"/>
  <c r="O24" i="10"/>
  <c r="S24" i="10"/>
  <c r="N7" i="10"/>
  <c r="O7" i="10"/>
  <c r="P7" i="10"/>
  <c r="Q7" i="10"/>
  <c r="R7" i="10"/>
  <c r="S7" i="10"/>
  <c r="T7" i="10"/>
  <c r="U7" i="10"/>
  <c r="V7" i="10"/>
  <c r="W7" i="10"/>
  <c r="X7" i="10"/>
  <c r="Y7" i="10"/>
  <c r="X2" i="1"/>
  <c r="D41" i="9"/>
  <c r="E41" i="9"/>
  <c r="D42" i="9"/>
  <c r="E42" i="9"/>
  <c r="D43" i="9"/>
  <c r="E43" i="9"/>
  <c r="D44" i="9"/>
  <c r="E44" i="9"/>
  <c r="D45" i="9"/>
  <c r="E45" i="9"/>
  <c r="D46" i="9"/>
  <c r="E46" i="9"/>
  <c r="D47" i="9"/>
  <c r="E47" i="9"/>
  <c r="D48" i="9"/>
  <c r="E48" i="9"/>
  <c r="D49" i="9"/>
  <c r="E49" i="9"/>
  <c r="D50" i="9"/>
  <c r="E50" i="9"/>
  <c r="D51" i="9"/>
  <c r="E51" i="9"/>
  <c r="D52" i="9"/>
  <c r="E52" i="9"/>
  <c r="D53" i="9"/>
  <c r="E53" i="9"/>
  <c r="D54" i="9"/>
  <c r="E54" i="9"/>
  <c r="D55" i="9"/>
  <c r="E55" i="9"/>
  <c r="D56" i="9"/>
  <c r="E56" i="9"/>
  <c r="D57" i="9"/>
  <c r="E57" i="9"/>
  <c r="E58" i="9"/>
  <c r="D59" i="9"/>
  <c r="E59" i="9"/>
  <c r="D60" i="9"/>
  <c r="E60" i="9"/>
  <c r="D61" i="9"/>
  <c r="E61" i="9"/>
  <c r="D62" i="9"/>
  <c r="E62" i="9"/>
  <c r="G38" i="9"/>
  <c r="H38" i="9"/>
  <c r="I38" i="9"/>
  <c r="J38" i="9"/>
  <c r="K38" i="9"/>
  <c r="L38" i="9"/>
  <c r="M38" i="9"/>
  <c r="N38" i="9"/>
  <c r="J37" i="11"/>
  <c r="O38" i="9"/>
  <c r="G39" i="9"/>
  <c r="H39" i="9"/>
  <c r="I39" i="9"/>
  <c r="J39" i="9"/>
  <c r="K39" i="9"/>
  <c r="L39" i="9"/>
  <c r="M39" i="9"/>
  <c r="N39" i="9"/>
  <c r="O39" i="9"/>
  <c r="G40" i="9"/>
  <c r="H40" i="9"/>
  <c r="I40" i="9"/>
  <c r="J40" i="9"/>
  <c r="K40" i="9"/>
  <c r="L40" i="9"/>
  <c r="M40" i="9"/>
  <c r="N40" i="9"/>
  <c r="J38" i="11"/>
  <c r="O40" i="9"/>
  <c r="G41" i="9"/>
  <c r="H41" i="9"/>
  <c r="I41" i="9"/>
  <c r="J41" i="9"/>
  <c r="K41" i="9"/>
  <c r="L41" i="9"/>
  <c r="M41" i="9"/>
  <c r="N41" i="9"/>
  <c r="J39" i="11"/>
  <c r="O41" i="9"/>
  <c r="G42" i="9"/>
  <c r="H42" i="9"/>
  <c r="I42" i="9"/>
  <c r="J42" i="9"/>
  <c r="K42" i="9"/>
  <c r="L42" i="9"/>
  <c r="M42" i="9"/>
  <c r="N42" i="9"/>
  <c r="J40" i="11"/>
  <c r="O42" i="9"/>
  <c r="G43" i="9"/>
  <c r="H43" i="9"/>
  <c r="I43" i="9"/>
  <c r="J43" i="9"/>
  <c r="K43" i="9"/>
  <c r="L43" i="9"/>
  <c r="M43" i="9"/>
  <c r="N43" i="9"/>
  <c r="J41" i="11"/>
  <c r="O43" i="9"/>
  <c r="J42" i="11"/>
  <c r="J43" i="11"/>
  <c r="G44" i="9"/>
  <c r="H44" i="9"/>
  <c r="I44" i="9"/>
  <c r="J44" i="9"/>
  <c r="K44" i="9"/>
  <c r="L44" i="9"/>
  <c r="M44" i="9"/>
  <c r="N44" i="9"/>
  <c r="J44" i="11"/>
  <c r="O44" i="9"/>
  <c r="G45" i="9"/>
  <c r="H45" i="9"/>
  <c r="I45" i="9"/>
  <c r="J45" i="9"/>
  <c r="K45" i="9"/>
  <c r="L45" i="9"/>
  <c r="M45" i="9"/>
  <c r="N45" i="9"/>
  <c r="J45" i="11"/>
  <c r="O45" i="9"/>
  <c r="G46" i="9"/>
  <c r="H46" i="9"/>
  <c r="I46" i="9"/>
  <c r="J46" i="9"/>
  <c r="K46" i="9"/>
  <c r="L46" i="9"/>
  <c r="M46" i="9"/>
  <c r="N46" i="9"/>
  <c r="J46" i="11"/>
  <c r="O46" i="9"/>
  <c r="G47" i="9"/>
  <c r="H47" i="9"/>
  <c r="I47" i="9"/>
  <c r="J47" i="9"/>
  <c r="K47" i="9"/>
  <c r="L47" i="9"/>
  <c r="M47" i="9"/>
  <c r="N47" i="9"/>
  <c r="J47" i="11"/>
  <c r="O47" i="9"/>
  <c r="G48" i="9"/>
  <c r="H48" i="9"/>
  <c r="I48" i="9"/>
  <c r="J48" i="9"/>
  <c r="K48" i="9"/>
  <c r="L48" i="9"/>
  <c r="M48" i="9"/>
  <c r="N48" i="9"/>
  <c r="J48" i="11"/>
  <c r="O48" i="9"/>
  <c r="G49" i="9"/>
  <c r="H49" i="9"/>
  <c r="I49" i="9"/>
  <c r="J49" i="9"/>
  <c r="K49" i="9"/>
  <c r="L49" i="9"/>
  <c r="M49" i="9"/>
  <c r="N49" i="9"/>
  <c r="J49" i="11"/>
  <c r="O49" i="9"/>
  <c r="G50" i="9"/>
  <c r="H50" i="9"/>
  <c r="I50" i="9"/>
  <c r="J50" i="9"/>
  <c r="K50" i="9"/>
  <c r="L50" i="9"/>
  <c r="M50" i="9"/>
  <c r="N50" i="9"/>
  <c r="J50" i="11"/>
  <c r="O50" i="9"/>
  <c r="G51" i="9"/>
  <c r="H51" i="9"/>
  <c r="I51" i="9"/>
  <c r="J51" i="9"/>
  <c r="K51" i="9"/>
  <c r="L51" i="9"/>
  <c r="M51" i="9"/>
  <c r="N51" i="9"/>
  <c r="J51" i="11"/>
  <c r="O51" i="9"/>
  <c r="G52" i="9"/>
  <c r="H52" i="9"/>
  <c r="I52" i="9"/>
  <c r="J52" i="9"/>
  <c r="K52" i="9"/>
  <c r="L52" i="9"/>
  <c r="M52" i="9"/>
  <c r="N52" i="9"/>
  <c r="J52" i="11"/>
  <c r="O52" i="9"/>
  <c r="G53" i="9"/>
  <c r="H53" i="9"/>
  <c r="I53" i="9"/>
  <c r="J53" i="9"/>
  <c r="K53" i="9"/>
  <c r="L53" i="9"/>
  <c r="M53" i="9"/>
  <c r="N53" i="9"/>
  <c r="J53" i="11"/>
  <c r="O53" i="9"/>
  <c r="G54" i="9"/>
  <c r="H54" i="9"/>
  <c r="I54" i="9"/>
  <c r="J54" i="9"/>
  <c r="K54" i="9"/>
  <c r="L54" i="9"/>
  <c r="M54" i="9"/>
  <c r="N54" i="9"/>
  <c r="J54" i="11"/>
  <c r="O54" i="9"/>
  <c r="G55" i="9"/>
  <c r="H55" i="9"/>
  <c r="I55" i="9"/>
  <c r="J55" i="9"/>
  <c r="K55" i="9"/>
  <c r="L55" i="9"/>
  <c r="M55" i="9"/>
  <c r="N55" i="9"/>
  <c r="J55" i="11"/>
  <c r="O55" i="9"/>
  <c r="G56" i="9"/>
  <c r="H56" i="9"/>
  <c r="I56" i="9"/>
  <c r="J56" i="9"/>
  <c r="K56" i="9"/>
  <c r="L56" i="9"/>
  <c r="M56" i="9"/>
  <c r="N56" i="9"/>
  <c r="J56" i="11"/>
  <c r="O56" i="9"/>
  <c r="G57" i="9"/>
  <c r="H57" i="9"/>
  <c r="I57" i="9"/>
  <c r="J57" i="9"/>
  <c r="K57" i="9"/>
  <c r="L57" i="9"/>
  <c r="M57" i="9"/>
  <c r="N57" i="9"/>
  <c r="J57" i="11"/>
  <c r="O57" i="9"/>
  <c r="G58" i="9"/>
  <c r="H58" i="9"/>
  <c r="I58" i="9"/>
  <c r="J58" i="9"/>
  <c r="K58" i="9"/>
  <c r="L58" i="9"/>
  <c r="M58" i="9"/>
  <c r="N58" i="9"/>
  <c r="J58" i="11"/>
  <c r="O58" i="9"/>
  <c r="G59" i="9"/>
  <c r="H59" i="9"/>
  <c r="I59" i="9"/>
  <c r="J59" i="9"/>
  <c r="K59" i="9"/>
  <c r="L59" i="9"/>
  <c r="M59" i="9"/>
  <c r="N59" i="9"/>
  <c r="J59" i="11"/>
  <c r="O59" i="9"/>
  <c r="G60" i="9"/>
  <c r="H60" i="9"/>
  <c r="I60" i="9"/>
  <c r="J60" i="9"/>
  <c r="K60" i="9"/>
  <c r="L60" i="9"/>
  <c r="M60" i="9"/>
  <c r="N60" i="9"/>
  <c r="J60" i="11"/>
  <c r="O60" i="9"/>
  <c r="J36" i="11"/>
  <c r="J61" i="11"/>
  <c r="J62" i="11"/>
  <c r="J63" i="11"/>
  <c r="J64" i="11"/>
  <c r="J65" i="11"/>
  <c r="J66" i="11"/>
  <c r="J67" i="11"/>
  <c r="J68" i="11"/>
  <c r="J69" i="11"/>
  <c r="J70" i="11"/>
  <c r="J71" i="11"/>
  <c r="J73" i="11"/>
  <c r="J74" i="11"/>
  <c r="J75" i="11"/>
  <c r="J76" i="11"/>
  <c r="J77" i="11"/>
  <c r="D38" i="9"/>
  <c r="E38" i="9"/>
  <c r="D39" i="9"/>
  <c r="E39" i="9"/>
  <c r="A38" i="9"/>
  <c r="A39" i="9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A60" i="9"/>
  <c r="A61" i="9"/>
  <c r="G61" i="9"/>
  <c r="H61" i="9"/>
  <c r="I61" i="9"/>
  <c r="J61" i="9"/>
  <c r="K61" i="9"/>
  <c r="L61" i="9"/>
  <c r="M61" i="9"/>
  <c r="N61" i="9"/>
  <c r="O61" i="9"/>
  <c r="A62" i="9"/>
  <c r="G62" i="9"/>
  <c r="H62" i="9"/>
  <c r="I62" i="9"/>
  <c r="J62" i="9"/>
  <c r="K62" i="9"/>
  <c r="L62" i="9"/>
  <c r="M62" i="9"/>
  <c r="N62" i="9"/>
  <c r="O62" i="9"/>
  <c r="A63" i="9"/>
  <c r="D63" i="9"/>
  <c r="E63" i="9"/>
  <c r="G63" i="9"/>
  <c r="H63" i="9"/>
  <c r="I63" i="9"/>
  <c r="J63" i="9"/>
  <c r="K63" i="9"/>
  <c r="L63" i="9"/>
  <c r="M63" i="9"/>
  <c r="N63" i="9"/>
  <c r="O63" i="9"/>
  <c r="A64" i="9"/>
  <c r="D64" i="9"/>
  <c r="E64" i="9"/>
  <c r="G64" i="9"/>
  <c r="H64" i="9"/>
  <c r="I64" i="9"/>
  <c r="J64" i="9"/>
  <c r="K64" i="9"/>
  <c r="L64" i="9"/>
  <c r="M64" i="9"/>
  <c r="N64" i="9"/>
  <c r="O64" i="9"/>
  <c r="A65" i="9"/>
  <c r="D65" i="9"/>
  <c r="E65" i="9"/>
  <c r="G65" i="9"/>
  <c r="H65" i="9"/>
  <c r="I65" i="9"/>
  <c r="J65" i="9"/>
  <c r="K65" i="9"/>
  <c r="L65" i="9"/>
  <c r="M65" i="9"/>
  <c r="N65" i="9"/>
  <c r="O65" i="9"/>
  <c r="A66" i="9"/>
  <c r="D66" i="9"/>
  <c r="E66" i="9"/>
  <c r="G66" i="9"/>
  <c r="H66" i="9"/>
  <c r="I66" i="9"/>
  <c r="J66" i="9"/>
  <c r="K66" i="9"/>
  <c r="L66" i="9"/>
  <c r="M66" i="9"/>
  <c r="N66" i="9"/>
  <c r="O66" i="9"/>
  <c r="A67" i="9"/>
  <c r="D67" i="9"/>
  <c r="E67" i="9"/>
  <c r="G67" i="9"/>
  <c r="H67" i="9"/>
  <c r="I67" i="9"/>
  <c r="J67" i="9"/>
  <c r="K67" i="9"/>
  <c r="L67" i="9"/>
  <c r="M67" i="9"/>
  <c r="N67" i="9"/>
  <c r="O67" i="9"/>
  <c r="A68" i="9"/>
  <c r="D68" i="9"/>
  <c r="E68" i="9"/>
  <c r="G68" i="9"/>
  <c r="H68" i="9"/>
  <c r="I68" i="9"/>
  <c r="J68" i="9"/>
  <c r="K68" i="9"/>
  <c r="L68" i="9"/>
  <c r="M68" i="9"/>
  <c r="N68" i="9"/>
  <c r="O68" i="9"/>
  <c r="A69" i="9"/>
  <c r="D69" i="9"/>
  <c r="E69" i="9"/>
  <c r="G69" i="9"/>
  <c r="H69" i="9"/>
  <c r="I69" i="9"/>
  <c r="J69" i="9"/>
  <c r="K69" i="9"/>
  <c r="L69" i="9"/>
  <c r="M69" i="9"/>
  <c r="N69" i="9"/>
  <c r="O69" i="9"/>
  <c r="A70" i="9"/>
  <c r="D70" i="9"/>
  <c r="E70" i="9"/>
  <c r="G70" i="9"/>
  <c r="H70" i="9"/>
  <c r="I70" i="9"/>
  <c r="J70" i="9"/>
  <c r="K70" i="9"/>
  <c r="L70" i="9"/>
  <c r="M70" i="9"/>
  <c r="N70" i="9"/>
  <c r="O70" i="9"/>
  <c r="A71" i="9"/>
  <c r="D71" i="9"/>
  <c r="E71" i="9"/>
  <c r="G71" i="9"/>
  <c r="H71" i="9"/>
  <c r="I71" i="9"/>
  <c r="J71" i="9"/>
  <c r="K71" i="9"/>
  <c r="L71" i="9"/>
  <c r="M71" i="9"/>
  <c r="N71" i="9"/>
  <c r="O71" i="9"/>
  <c r="A73" i="9"/>
  <c r="D73" i="9"/>
  <c r="E73" i="9"/>
  <c r="G73" i="9"/>
  <c r="H73" i="9"/>
  <c r="I73" i="9"/>
  <c r="J73" i="9"/>
  <c r="K73" i="9"/>
  <c r="L73" i="9"/>
  <c r="M73" i="9"/>
  <c r="N73" i="9"/>
  <c r="O73" i="9"/>
  <c r="A74" i="9"/>
  <c r="D74" i="9"/>
  <c r="E74" i="9"/>
  <c r="G74" i="9"/>
  <c r="H74" i="9"/>
  <c r="I74" i="9"/>
  <c r="J74" i="9"/>
  <c r="K74" i="9"/>
  <c r="L74" i="9"/>
  <c r="M74" i="9"/>
  <c r="N74" i="9"/>
  <c r="O74" i="9"/>
  <c r="A75" i="9"/>
  <c r="D75" i="9"/>
  <c r="E75" i="9"/>
  <c r="G75" i="9"/>
  <c r="H75" i="9"/>
  <c r="I75" i="9"/>
  <c r="J75" i="9"/>
  <c r="K75" i="9"/>
  <c r="L75" i="9"/>
  <c r="M75" i="9"/>
  <c r="N75" i="9"/>
  <c r="O75" i="9"/>
  <c r="A76" i="9"/>
  <c r="D76" i="9"/>
  <c r="E76" i="9"/>
  <c r="G76" i="9"/>
  <c r="H76" i="9"/>
  <c r="I76" i="9"/>
  <c r="J76" i="9"/>
  <c r="K76" i="9"/>
  <c r="L76" i="9"/>
  <c r="M76" i="9"/>
  <c r="N76" i="9"/>
  <c r="O76" i="9"/>
  <c r="A77" i="9"/>
  <c r="D77" i="9"/>
  <c r="E77" i="9"/>
  <c r="G77" i="9"/>
  <c r="H77" i="9"/>
  <c r="I77" i="9"/>
  <c r="J77" i="9"/>
  <c r="K77" i="9"/>
  <c r="L77" i="9"/>
  <c r="M77" i="9"/>
  <c r="N77" i="9"/>
  <c r="O77" i="9"/>
  <c r="L49" i="10"/>
  <c r="M49" i="10"/>
  <c r="M62" i="10"/>
  <c r="N62" i="10"/>
  <c r="Q62" i="10"/>
  <c r="P62" i="10"/>
  <c r="R62" i="10"/>
  <c r="O62" i="10"/>
  <c r="S62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L17" i="10"/>
  <c r="M17" i="10"/>
  <c r="M52" i="10"/>
  <c r="M64" i="10"/>
  <c r="N64" i="10"/>
  <c r="Q64" i="10"/>
  <c r="P64" i="10"/>
  <c r="R64" i="10"/>
  <c r="O64" i="10"/>
  <c r="S64" i="10"/>
  <c r="N52" i="10"/>
  <c r="Q52" i="10"/>
  <c r="P52" i="10"/>
  <c r="R52" i="10"/>
  <c r="O52" i="10"/>
  <c r="S52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59" i="10"/>
  <c r="H59" i="10"/>
  <c r="I59" i="10"/>
  <c r="K59" i="10"/>
  <c r="J5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L40" i="10"/>
  <c r="M40" i="10"/>
  <c r="M63" i="10"/>
  <c r="N63" i="10"/>
  <c r="Q63" i="10"/>
  <c r="P63" i="10"/>
  <c r="R63" i="10"/>
  <c r="O63" i="10"/>
  <c r="S63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G38" i="10"/>
  <c r="H38" i="10"/>
  <c r="I38" i="10"/>
  <c r="J38" i="10"/>
  <c r="K38" i="10"/>
  <c r="L38" i="10"/>
  <c r="M38" i="10"/>
  <c r="M61" i="10"/>
  <c r="N61" i="10"/>
  <c r="Q61" i="10"/>
  <c r="P61" i="10"/>
  <c r="R61" i="10"/>
  <c r="O61" i="10"/>
  <c r="S61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B12" i="21"/>
  <c r="C12" i="21"/>
  <c r="D12" i="21"/>
  <c r="F12" i="21"/>
  <c r="G12" i="21"/>
  <c r="I12" i="21"/>
  <c r="J12" i="21"/>
  <c r="B13" i="21"/>
  <c r="C13" i="21"/>
  <c r="D13" i="21"/>
  <c r="F13" i="21"/>
  <c r="G13" i="21"/>
  <c r="I13" i="21"/>
  <c r="J13" i="21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25" i="10"/>
  <c r="N25" i="10"/>
  <c r="Q25" i="10"/>
  <c r="P25" i="10"/>
  <c r="R25" i="10"/>
  <c r="O25" i="10"/>
  <c r="S25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8" i="10"/>
  <c r="N28" i="10"/>
  <c r="Q28" i="10"/>
  <c r="P28" i="10"/>
  <c r="R28" i="10"/>
  <c r="O28" i="10"/>
  <c r="S28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31" i="10"/>
  <c r="M56" i="10"/>
  <c r="N56" i="10"/>
  <c r="Q56" i="10"/>
  <c r="P56" i="10"/>
  <c r="R56" i="10"/>
  <c r="O56" i="10"/>
  <c r="S56" i="10"/>
  <c r="N31" i="10"/>
  <c r="Q31" i="10"/>
  <c r="P31" i="10"/>
  <c r="R31" i="10"/>
  <c r="O31" i="10"/>
  <c r="S3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34" i="10"/>
  <c r="M57" i="10"/>
  <c r="N57" i="10"/>
  <c r="Q57" i="10"/>
  <c r="P57" i="10"/>
  <c r="R57" i="10"/>
  <c r="O57" i="10"/>
  <c r="S57" i="10"/>
  <c r="N34" i="10"/>
  <c r="Q34" i="10"/>
  <c r="P34" i="10"/>
  <c r="R34" i="10"/>
  <c r="O34" i="10"/>
  <c r="S34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M37" i="10"/>
  <c r="M58" i="10"/>
  <c r="N58" i="10"/>
  <c r="Q58" i="10"/>
  <c r="P58" i="10"/>
  <c r="R58" i="10"/>
  <c r="O58" i="10"/>
  <c r="S58" i="10"/>
  <c r="N37" i="10"/>
  <c r="Q37" i="10"/>
  <c r="P37" i="10"/>
  <c r="R37" i="10"/>
  <c r="O37" i="10"/>
  <c r="S37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M48" i="10"/>
  <c r="N48" i="10"/>
  <c r="Q48" i="10"/>
  <c r="P48" i="10"/>
  <c r="R48" i="10"/>
  <c r="O48" i="10"/>
  <c r="S48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M50" i="10"/>
  <c r="N50" i="10"/>
  <c r="Q50" i="10"/>
  <c r="P50" i="10"/>
  <c r="R50" i="10"/>
  <c r="O50" i="10"/>
  <c r="S50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M51" i="10"/>
  <c r="N51" i="10"/>
  <c r="Q51" i="10"/>
  <c r="P51" i="10"/>
  <c r="R51" i="10"/>
  <c r="O51" i="10"/>
  <c r="S51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T58" i="10"/>
  <c r="U58" i="10"/>
  <c r="V58" i="10"/>
  <c r="W58" i="10"/>
  <c r="X58" i="10"/>
  <c r="Y58" i="10"/>
  <c r="G61" i="10"/>
  <c r="H61" i="10"/>
  <c r="I61" i="10"/>
  <c r="J61" i="10"/>
  <c r="K61" i="10"/>
  <c r="L61" i="10"/>
  <c r="T61" i="10"/>
  <c r="U61" i="10"/>
  <c r="V61" i="10"/>
  <c r="W61" i="10"/>
  <c r="X61" i="10"/>
  <c r="Y61" i="10"/>
  <c r="G62" i="10"/>
  <c r="H62" i="10"/>
  <c r="I62" i="10"/>
  <c r="J62" i="10"/>
  <c r="K62" i="10"/>
  <c r="L62" i="10"/>
  <c r="T62" i="10"/>
  <c r="U62" i="10"/>
  <c r="V62" i="10"/>
  <c r="W62" i="10"/>
  <c r="X62" i="10"/>
  <c r="Y62" i="10"/>
  <c r="G63" i="10"/>
  <c r="H63" i="10"/>
  <c r="I63" i="10"/>
  <c r="J63" i="10"/>
  <c r="K63" i="10"/>
  <c r="L63" i="10"/>
  <c r="T63" i="10"/>
  <c r="U63" i="10"/>
  <c r="V63" i="10"/>
  <c r="W63" i="10"/>
  <c r="X63" i="10"/>
  <c r="Y63" i="10"/>
  <c r="G64" i="10"/>
  <c r="H64" i="10"/>
  <c r="I64" i="10"/>
  <c r="J64" i="10"/>
  <c r="K64" i="10"/>
  <c r="L64" i="10"/>
  <c r="T64" i="10"/>
  <c r="U64" i="10"/>
  <c r="V64" i="10"/>
  <c r="W64" i="10"/>
  <c r="X64" i="10"/>
  <c r="Y64" i="10"/>
  <c r="G65" i="10"/>
  <c r="H65" i="10"/>
  <c r="I65" i="10"/>
  <c r="J65" i="10"/>
  <c r="K65" i="10"/>
  <c r="L65" i="10"/>
  <c r="T65" i="10"/>
  <c r="U65" i="10"/>
  <c r="V65" i="10"/>
  <c r="W65" i="10"/>
  <c r="X65" i="10"/>
  <c r="Y65" i="10"/>
  <c r="A2" i="9"/>
  <c r="D2" i="9"/>
  <c r="E2" i="9"/>
  <c r="G2" i="9"/>
  <c r="H2" i="9"/>
  <c r="I2" i="9"/>
  <c r="J2" i="9"/>
  <c r="K2" i="9"/>
  <c r="L2" i="9"/>
  <c r="M2" i="9"/>
  <c r="N2" i="9"/>
  <c r="J2" i="11"/>
  <c r="O2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40" i="9"/>
  <c r="D40" i="9"/>
  <c r="E40" i="9"/>
  <c r="AA4" i="7"/>
  <c r="Y4" i="7"/>
  <c r="W4" i="7"/>
  <c r="U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4" i="7"/>
  <c r="I4" i="7"/>
  <c r="D4" i="7"/>
  <c r="F4" i="7"/>
  <c r="E4" i="7"/>
  <c r="A4" i="7"/>
  <c r="AA3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A2" i="7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AC18" i="1"/>
  <c r="A18" i="1"/>
  <c r="D18" i="1"/>
  <c r="E18" i="1"/>
  <c r="F18" i="1"/>
  <c r="H18" i="1"/>
  <c r="I18" i="1"/>
  <c r="J18" i="1"/>
  <c r="M18" i="1"/>
  <c r="N18" i="1"/>
  <c r="O18" i="1"/>
  <c r="P18" i="1"/>
  <c r="Q18" i="1"/>
  <c r="T18" i="1"/>
  <c r="V18" i="1"/>
  <c r="X18" i="1"/>
  <c r="AD18" i="1"/>
  <c r="AE18" i="1"/>
  <c r="AF18" i="1"/>
  <c r="AG18" i="1"/>
  <c r="AC19" i="1"/>
  <c r="A19" i="1"/>
  <c r="D19" i="1"/>
  <c r="E19" i="1"/>
  <c r="F19" i="1"/>
  <c r="H19" i="1"/>
  <c r="I19" i="1"/>
  <c r="J19" i="1"/>
  <c r="M19" i="1"/>
  <c r="N19" i="1"/>
  <c r="O19" i="1"/>
  <c r="P19" i="1"/>
  <c r="Q19" i="1"/>
  <c r="T19" i="1"/>
  <c r="V19" i="1"/>
  <c r="X19" i="1"/>
  <c r="AD19" i="1"/>
  <c r="AE19" i="1"/>
  <c r="AF19" i="1"/>
  <c r="AG19" i="1"/>
  <c r="AI19" i="1"/>
  <c r="AC3" i="1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AC4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C5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C6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C7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AC8" i="1"/>
  <c r="A8" i="1"/>
  <c r="D8" i="1"/>
  <c r="E8" i="1"/>
  <c r="F8" i="1"/>
  <c r="H8" i="1"/>
  <c r="I8" i="1"/>
  <c r="J8" i="1"/>
  <c r="M8" i="1"/>
  <c r="N8" i="1"/>
  <c r="O8" i="1"/>
  <c r="P8" i="1"/>
  <c r="Q8" i="1"/>
  <c r="T8" i="1"/>
  <c r="V8" i="1"/>
  <c r="X8" i="1"/>
  <c r="AD8" i="1"/>
  <c r="AE8" i="1"/>
  <c r="AF8" i="1"/>
  <c r="AG8" i="1"/>
  <c r="AI8" i="1"/>
  <c r="AC9" i="1"/>
  <c r="A9" i="1"/>
  <c r="D9" i="1"/>
  <c r="E9" i="1"/>
  <c r="F9" i="1"/>
  <c r="H9" i="1"/>
  <c r="I9" i="1"/>
  <c r="J9" i="1"/>
  <c r="M9" i="1"/>
  <c r="N9" i="1"/>
  <c r="O9" i="1"/>
  <c r="P9" i="1"/>
  <c r="Q9" i="1"/>
  <c r="T9" i="1"/>
  <c r="V9" i="1"/>
  <c r="X9" i="1"/>
  <c r="AD9" i="1"/>
  <c r="AE9" i="1"/>
  <c r="AF9" i="1"/>
  <c r="AG9" i="1"/>
  <c r="AI9" i="1"/>
  <c r="AC10" i="1"/>
  <c r="A10" i="1"/>
  <c r="D10" i="1"/>
  <c r="E10" i="1"/>
  <c r="F10" i="1"/>
  <c r="H10" i="1"/>
  <c r="I10" i="1"/>
  <c r="J10" i="1"/>
  <c r="M10" i="1"/>
  <c r="N10" i="1"/>
  <c r="O10" i="1"/>
  <c r="P10" i="1"/>
  <c r="Q10" i="1"/>
  <c r="T10" i="1"/>
  <c r="V10" i="1"/>
  <c r="X10" i="1"/>
  <c r="AD10" i="1"/>
  <c r="AE10" i="1"/>
  <c r="AF10" i="1"/>
  <c r="AG10" i="1"/>
  <c r="AI10" i="1"/>
  <c r="AC11" i="1"/>
  <c r="A11" i="1"/>
  <c r="D11" i="1"/>
  <c r="E11" i="1"/>
  <c r="F11" i="1"/>
  <c r="H11" i="1"/>
  <c r="I11" i="1"/>
  <c r="J11" i="1"/>
  <c r="M11" i="1"/>
  <c r="N11" i="1"/>
  <c r="O11" i="1"/>
  <c r="P11" i="1"/>
  <c r="Q11" i="1"/>
  <c r="T11" i="1"/>
  <c r="V11" i="1"/>
  <c r="X11" i="1"/>
  <c r="AD11" i="1"/>
  <c r="AE11" i="1"/>
  <c r="AF11" i="1"/>
  <c r="AG11" i="1"/>
  <c r="AC12" i="1"/>
  <c r="A12" i="1"/>
  <c r="D12" i="1"/>
  <c r="E12" i="1"/>
  <c r="F12" i="1"/>
  <c r="H12" i="1"/>
  <c r="I12" i="1"/>
  <c r="J12" i="1"/>
  <c r="M12" i="1"/>
  <c r="N12" i="1"/>
  <c r="O12" i="1"/>
  <c r="P12" i="1"/>
  <c r="Q12" i="1"/>
  <c r="T12" i="1"/>
  <c r="V12" i="1"/>
  <c r="X12" i="1"/>
  <c r="AD12" i="1"/>
  <c r="AE12" i="1"/>
  <c r="AF12" i="1"/>
  <c r="AG12" i="1"/>
  <c r="AC13" i="1"/>
  <c r="A13" i="1"/>
  <c r="D13" i="1"/>
  <c r="E13" i="1"/>
  <c r="F13" i="1"/>
  <c r="H13" i="1"/>
  <c r="I13" i="1"/>
  <c r="J13" i="1"/>
  <c r="M13" i="1"/>
  <c r="N13" i="1"/>
  <c r="O13" i="1"/>
  <c r="P13" i="1"/>
  <c r="Q13" i="1"/>
  <c r="T13" i="1"/>
  <c r="V13" i="1"/>
  <c r="X13" i="1"/>
  <c r="AD13" i="1"/>
  <c r="AE13" i="1"/>
  <c r="AF13" i="1"/>
  <c r="AG13" i="1"/>
  <c r="AI13" i="1"/>
  <c r="AC14" i="1"/>
  <c r="A14" i="1"/>
  <c r="D14" i="1"/>
  <c r="E14" i="1"/>
  <c r="F14" i="1"/>
  <c r="H14" i="1"/>
  <c r="I14" i="1"/>
  <c r="J14" i="1"/>
  <c r="M14" i="1"/>
  <c r="N14" i="1"/>
  <c r="O14" i="1"/>
  <c r="P14" i="1"/>
  <c r="Q14" i="1"/>
  <c r="T14" i="1"/>
  <c r="V14" i="1"/>
  <c r="X14" i="1"/>
  <c r="AD14" i="1"/>
  <c r="AE14" i="1"/>
  <c r="AF14" i="1"/>
  <c r="AG14" i="1"/>
  <c r="AI14" i="1"/>
  <c r="AC15" i="1"/>
  <c r="A15" i="1"/>
  <c r="D15" i="1"/>
  <c r="E15" i="1"/>
  <c r="F15" i="1"/>
  <c r="H15" i="1"/>
  <c r="I15" i="1"/>
  <c r="J15" i="1"/>
  <c r="M15" i="1"/>
  <c r="N15" i="1"/>
  <c r="O15" i="1"/>
  <c r="P15" i="1"/>
  <c r="Q15" i="1"/>
  <c r="T15" i="1"/>
  <c r="V15" i="1"/>
  <c r="X15" i="1"/>
  <c r="AD15" i="1"/>
  <c r="AE15" i="1"/>
  <c r="AF15" i="1"/>
  <c r="AG15" i="1"/>
  <c r="AI15" i="1"/>
  <c r="AC16" i="1"/>
  <c r="A16" i="1"/>
  <c r="D16" i="1"/>
  <c r="E16" i="1"/>
  <c r="F16" i="1"/>
  <c r="H16" i="1"/>
  <c r="I16" i="1"/>
  <c r="J16" i="1"/>
  <c r="M16" i="1"/>
  <c r="N16" i="1"/>
  <c r="O16" i="1"/>
  <c r="P16" i="1"/>
  <c r="Q16" i="1"/>
  <c r="T16" i="1"/>
  <c r="V16" i="1"/>
  <c r="X16" i="1"/>
  <c r="AD16" i="1"/>
  <c r="AE16" i="1"/>
  <c r="AF16" i="1"/>
  <c r="AG16" i="1"/>
  <c r="AI16" i="1"/>
  <c r="AC17" i="1"/>
  <c r="A17" i="1"/>
  <c r="D17" i="1"/>
  <c r="E17" i="1"/>
  <c r="F17" i="1"/>
  <c r="H17" i="1"/>
  <c r="I17" i="1"/>
  <c r="J17" i="1"/>
  <c r="M17" i="1"/>
  <c r="N17" i="1"/>
  <c r="O17" i="1"/>
  <c r="P17" i="1"/>
  <c r="Q17" i="1"/>
  <c r="T17" i="1"/>
  <c r="V17" i="1"/>
  <c r="X17" i="1"/>
  <c r="AD17" i="1"/>
  <c r="AE17" i="1"/>
  <c r="AF17" i="1"/>
  <c r="AG17" i="1"/>
  <c r="H2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V2" i="1"/>
  <c r="T2" i="1"/>
  <c r="C13" i="16"/>
  <c r="E13" i="16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C4" i="16"/>
  <c r="C5" i="16"/>
  <c r="C6" i="16"/>
  <c r="C7" i="16"/>
  <c r="C8" i="16"/>
  <c r="C9" i="16"/>
  <c r="C3" i="16"/>
  <c r="E9" i="16"/>
  <c r="AD2" i="1"/>
  <c r="AG2" i="1"/>
  <c r="AF2" i="1"/>
  <c r="AE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<sst xmlns="http://schemas.openxmlformats.org/spreadsheetml/2006/main" count="1489" uniqueCount="482">
  <si>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</si>
  <si>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</si>
  <si>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</si>
  <si>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</si>
  <si>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</si>
  <si>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</si>
  <si>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</si>
  <si>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</si>
  <si>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</si>
  <si>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</si>
  <si>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</si>
  <si>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</si>
  <si>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</si>
  <si>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</si>
  <si>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</si>
  <si>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</si>
  <si>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</si>
  <si>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</si>
  <si>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</si>
  <si>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</si>
  <si>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</si>
  <si>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</si>
  <si>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</si>
  <si>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</si>
  <si>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</si>
  <si>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</si>
  <si>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</si>
  <si>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</si>
  <si>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</si>
  <si>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</si>
  <si>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</si>
  <si>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</si>
  <si>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</si>
  <si>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</si>
  <si>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</si>
  <si>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</si>
  <si>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</si>
  <si>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</si>
  <si>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</si>
  <si>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</si>
  <si>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</si>
  <si>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</si>
  <si>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</si>
  <si>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</si>
  <si>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</si>
  <si>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</si>
  <si>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</si>
  <si>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</si>
  <si>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</si>
  <si>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</si>
  <si>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</si>
  <si>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</si>
  <si>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</si>
  <si>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</si>
  <si>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</si>
  <si>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</si>
  <si>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</si>
  <si>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</si>
  <si>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</si>
  <si>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</si>
  <si>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</si>
  <si>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</si>
  <si>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</si>
  <si>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</si>
  <si>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</si>
  <si>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</si>
  <si>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</si>
  <si>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</si>
  <si>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</si>
  <si>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</si>
  <si>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</si>
  <si>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</si>
  <si>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</si>
  <si>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</si>
  <si>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</si>
  <si>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</si>
  <si>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</si>
  <si>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</si>
  <si>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</si>
  <si>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</si>
  <si>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</si>
  <si>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</si>
  <si>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</si>
  <si>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</si>
  <si>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</si>
  <si>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</si>
  <si>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</si>
  <si>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</si>
  <si>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</si>
  <si>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</si>
  <si>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</si>
  <si>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</si>
  <si>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</si>
  <si>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</si>
  <si>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</si>
  <si>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</si>
  <si>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</si>
  <si>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</si>
  <si>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</si>
  <si>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</si>
  <si>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</si>
  <si>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</si>
  <si>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</si>
  <si>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</si>
  <si>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</si>
  <si>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</si>
  <si>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</si>
  <si>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</si>
  <si>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</si>
  <si>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</si>
  <si>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</si>
  <si>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</si>
  <si>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</si>
  <si>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</si>
  <si>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</si>
  <si>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</si>
  <si>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</si>
  <si>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</si>
  <si>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</si>
  <si>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</si>
  <si>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</si>
  <si>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</si>
  <si>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</si>
  <si>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</si>
  <si>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</si>
  <si>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</si>
  <si>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</si>
  <si>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</si>
  <si>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</si>
  <si>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</si>
  <si>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</si>
  <si>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</si>
  <si>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</si>
  <si>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</si>
  <si>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</si>
  <si>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</si>
  <si>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</si>
  <si>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</si>
  <si>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</si>
  <si>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</si>
  <si>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</si>
  <si>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</si>
  <si>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</si>
  <si>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</si>
  <si>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</si>
  <si>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</si>
  <si>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</si>
  <si>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</si>
  <si>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</si>
  <si>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</si>
  <si>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</si>
  <si>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</si>
  <si>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</si>
  <si>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</si>
  <si>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</si>
  <si>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</si>
  <si>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</si>
  <si>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</si>
  <si>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</si>
  <si>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</si>
  <si>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</si>
  <si>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</si>
  <si>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</si>
  <si>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</si>
  <si>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</si>
  <si>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</si>
  <si>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</si>
  <si>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</si>
  <si>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</si>
  <si>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</si>
  <si>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</si>
  <si>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</si>
  <si>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</si>
  <si>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</si>
  <si>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</si>
  <si>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</si>
  <si>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</si>
  <si>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</si>
  <si>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</si>
  <si>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</si>
  <si>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</si>
  <si>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</si>
  <si>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</si>
  <si>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</si>
  <si>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</si>
  <si>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</si>
  <si>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</si>
  <si>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</si>
  <si>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</si>
  <si>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</si>
  <si>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</si>
  <si>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</si>
  <si>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</si>
  <si>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</si>
  <si>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</si>
  <si>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</si>
  <si>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</si>
  <si>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</si>
  <si>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</si>
  <si>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</si>
  <si>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</si>
  <si>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</si>
  <si>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</si>
  <si>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</si>
  <si>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</si>
  <si>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</si>
  <si>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</si>
  <si>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</si>
  <si>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</si>
  <si>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</si>
  <si>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</si>
  <si>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</si>
  <si>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</si>
  <si>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</si>
  <si>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</si>
  <si>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</si>
  <si>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</si>
  <si>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</si>
  <si>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</si>
  <si>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</si>
  <si>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</si>
  <si>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</si>
  <si>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</si>
  <si>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</si>
  <si>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</si>
  <si>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</si>
  <si>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</si>
  <si>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</si>
  <si>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</si>
  <si>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</si>
  <si>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</si>
  <si>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</si>
  <si>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</si>
  <si>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</si>
  <si>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</si>
  <si>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</si>
  <si>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</si>
  <si>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</si>
  <si>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</si>
  <si>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</si>
  <si>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</si>
  <si>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</si>
  <si>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</si>
  <si>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</si>
  <si>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</si>
  <si>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</si>
  <si>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</si>
  <si>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</si>
  <si>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</si>
  <si>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</si>
  <si>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</si>
  <si>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</si>
  <si>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２Fスフィンクス</t>
    <phoneticPr fontId="5"/>
  </si>
  <si>
    <t>２Fファイアフォックス</t>
    <phoneticPr fontId="5"/>
  </si>
  <si>
    <t>２Fブレット</t>
    <phoneticPr fontId="5"/>
  </si>
  <si>
    <t>よ〜ん〜</t>
    <phoneticPr fontId="5"/>
  </si>
  <si>
    <t>さ〜ん〜</t>
    <phoneticPr fontId="5"/>
  </si>
  <si>
    <t>に〜い〜</t>
    <phoneticPr fontId="5"/>
  </si>
  <si>
    <t>い〜ち〜</t>
    <phoneticPr fontId="5"/>
  </si>
  <si>
    <t>ご〜ぉ〜</t>
    <phoneticPr fontId="5"/>
  </si>
  <si>
    <t>[effect:enemy_message, val1:2, val2:3]</t>
  </si>
  <si>
    <t xml:space="preserve">[effect:heal, target:enemy_one, val:0.55, animation:enemy_heal]    </t>
    <phoneticPr fontId="5"/>
  </si>
  <si>
    <t>この後も油断しちゃダメよ</t>
    <rPh sb="4" eb="6">
      <t>ユダンシチャダメ</t>
    </rPh>
    <phoneticPr fontId="5"/>
  </si>
  <si>
    <t>【3ターン毎に全回復】するセルケトを
【30ターン以内に撃破】しよう</t>
    <rPh sb="25" eb="27">
      <t>イナイニ</t>
    </rPh>
    <rPh sb="28" eb="30">
      <t>ゲキハシヨウ</t>
    </rPh>
    <phoneticPr fontId="5"/>
  </si>
  <si>
    <t>しっかり準備を整えてくれよ</t>
    <rPh sb="4" eb="6">
      <t>ジュンビ</t>
    </rPh>
    <rPh sb="7" eb="8">
      <t>トトノエテ</t>
    </rPh>
    <phoneticPr fontId="5"/>
  </si>
  <si>
    <t>【30ターン経過までは攻撃されませんので
　落ち着いてダメージソースを作りましょう】</t>
    <rPh sb="6" eb="8">
      <t>ケイカ</t>
    </rPh>
    <rPh sb="11" eb="13">
      <t>コウゲキシテコナイ</t>
    </rPh>
    <rPh sb="22" eb="23">
      <t>オチツイテ</t>
    </rPh>
    <rPh sb="35" eb="36">
      <t>ツクリマショウ</t>
    </rPh>
    <phoneticPr fontId="5"/>
  </si>
  <si>
    <t>自己回復</t>
    <phoneticPr fontId="5"/>
  </si>
  <si>
    <t xml:space="preserve">[effect:heal, target:enemy_one, val:1, animation:enemy_heal]    </t>
    <phoneticPr fontId="5"/>
  </si>
  <si>
    <t>[effect:enemy_message, val1:2, val2:3]</t>
    <phoneticPr fontId="5"/>
  </si>
  <si>
    <t xml:space="preserve"> [effect:damage_fix_absolute, target:unit_all, val:1000000]    </t>
    <phoneticPr fontId="5"/>
  </si>
  <si>
    <t>カノプス・ヒーリング</t>
    <phoneticPr fontId="5"/>
  </si>
  <si>
    <t>カノプス・ヒーリング</t>
    <phoneticPr fontId="5"/>
  </si>
  <si>
    <t>バステト殿、久しぶりですね</t>
    <phoneticPr fontId="5"/>
  </si>
  <si>
    <t>たいむあ〜っぷ！</t>
    <phoneticPr fontId="5"/>
  </si>
  <si>
    <t>たいむあ〜っぷ！</t>
    <phoneticPr fontId="5"/>
  </si>
  <si>
    <t>たいむあ〜っぷ！</t>
    <phoneticPr fontId="5"/>
  </si>
  <si>
    <t>３Fゆらら撃破時</t>
    <phoneticPr fontId="5"/>
  </si>
  <si>
    <t>５つ数える間に回復してね〜</t>
    <rPh sb="2" eb="3">
      <t>カゾエルアイダ</t>
    </rPh>
    <rPh sb="7" eb="9">
      <t>カイフク</t>
    </rPh>
    <phoneticPr fontId="5"/>
  </si>
  <si>
    <t>３Fゆらら開幕上級</t>
    <phoneticPr fontId="5"/>
  </si>
  <si>
    <t>３Fゆらら開幕中級</t>
    <phoneticPr fontId="5"/>
  </si>
  <si>
    <t>１Fサキ開幕</t>
    <phoneticPr fontId="5"/>
  </si>
  <si>
    <t>１Fサキ６T目</t>
    <phoneticPr fontId="5"/>
  </si>
  <si>
    <t>ふーん、耐久力はあるみたいね</t>
    <phoneticPr fontId="5"/>
  </si>
  <si>
    <t>なかなかやるわね</t>
    <phoneticPr fontId="5"/>
  </si>
  <si>
    <t>１Fサキ撃破時</t>
    <phoneticPr fontId="5"/>
  </si>
  <si>
    <t>３Fゆらら開幕超級</t>
    <phoneticPr fontId="5"/>
  </si>
  <si>
    <t>ja</t>
    <phoneticPr fontId="5"/>
  </si>
  <si>
    <t>【あと5ターン以内に10000HPを確保しよう】</t>
    <phoneticPr fontId="5"/>
  </si>
  <si>
    <t>【あと5ターン以内に8000HPを確保しよう】</t>
    <phoneticPr fontId="5"/>
  </si>
  <si>
    <t>【あと4ターン以内に13000HPを確保しよう】</t>
    <phoneticPr fontId="5"/>
  </si>
  <si>
    <t>【あと4ターン以内に10000HPを確保しよう】</t>
    <phoneticPr fontId="5"/>
  </si>
  <si>
    <t>【あと4ターン以内に8000HPを確保しよう】</t>
    <phoneticPr fontId="5"/>
  </si>
  <si>
    <t>【あと3ターン以内に13000HPを確保しよう】</t>
    <phoneticPr fontId="5"/>
  </si>
  <si>
    <t>【あと3ターン以内に10000HPを確保しよう】</t>
    <phoneticPr fontId="5"/>
  </si>
  <si>
    <t>【あと3ターン以内に8000HPを確保しよう】</t>
    <phoneticPr fontId="5"/>
  </si>
  <si>
    <t>【あと2ターン以内に13000HPを確保しよう】</t>
    <phoneticPr fontId="5"/>
  </si>
  <si>
    <t>【あと2ターン以内に10000HPを確保しよう】</t>
    <phoneticPr fontId="5"/>
  </si>
  <si>
    <t>【あと2ターン以内に8000HPを確保しよう】</t>
    <phoneticPr fontId="5"/>
  </si>
  <si>
    <t>【あと5ターン以内に13000HPを確保しよう】</t>
    <phoneticPr fontId="5"/>
  </si>
  <si>
    <t>【あと1ターン以内に13000HPを確保しよう】</t>
    <rPh sb="7" eb="9">
      <t>イナイ</t>
    </rPh>
    <phoneticPr fontId="5"/>
  </si>
  <si>
    <t>【あと1ターン以内に10000HPを確保しよう】</t>
    <phoneticPr fontId="5"/>
  </si>
  <si>
    <t>【あと1ターン以内に8000HPを確保しよう】</t>
    <phoneticPr fontId="5"/>
  </si>
  <si>
    <t>やりましたぁ〜おみごとです！</t>
    <phoneticPr fontId="5"/>
  </si>
  <si>
    <t>回復系Cスキルを持つユニットや
回復力が高いユニットの手番で
パネルを多く割れるようにしましょう</t>
    <rPh sb="0" eb="3">
      <t>カイフクケイ</t>
    </rPh>
    <rPh sb="8" eb="9">
      <t>モツユニット</t>
    </rPh>
    <rPh sb="27" eb="29">
      <t>テバン</t>
    </rPh>
    <rPh sb="35" eb="36">
      <t>オオク</t>
    </rPh>
    <rPh sb="37" eb="38">
      <t>ワレルヨウニ</t>
    </rPh>
    <phoneticPr fontId="5"/>
  </si>
  <si>
    <t>セト</t>
    <phoneticPr fontId="5"/>
  </si>
  <si>
    <t>オシリス</t>
    <phoneticPr fontId="5"/>
  </si>
  <si>
    <t>アメミット</t>
    <phoneticPr fontId="5"/>
  </si>
  <si>
    <t>ラー</t>
    <phoneticPr fontId="5"/>
  </si>
  <si>
    <t>バステト</t>
    <phoneticPr fontId="5"/>
  </si>
  <si>
    <t>イシス</t>
    <phoneticPr fontId="5"/>
  </si>
  <si>
    <t>ハトホル</t>
    <phoneticPr fontId="5"/>
  </si>
  <si>
    <t>ホルス（R3,R4,R5）</t>
    <phoneticPr fontId="5"/>
  </si>
  <si>
    <t>セルケト（R4,R5）</t>
    <phoneticPr fontId="5"/>
  </si>
  <si>
    <t>スフィンクス（R3,R4,R5）387,388,389</t>
    <phoneticPr fontId="5"/>
  </si>
  <si>
    <t>いたいの☆とんでけー☆</t>
    <phoneticPr fontId="5"/>
  </si>
  <si>
    <t>２Fスフィンクス先制</t>
    <rPh sb="8" eb="10">
      <t>sennsei</t>
    </rPh>
    <phoneticPr fontId="5"/>
  </si>
  <si>
    <t>ファイアフォックスとブレットは喜んでいる！</t>
    <rPh sb="15" eb="16">
      <t>ヨロコンデイル！</t>
    </rPh>
    <phoneticPr fontId="5"/>
  </si>
  <si>
    <t>種族ヒューマンのユニットに大ダメージ</t>
    <phoneticPr fontId="5"/>
  </si>
  <si>
    <t xml:space="preserve">[effect:critical, val:1.3, animation:enemy_critical]    </t>
    <phoneticPr fontId="5"/>
  </si>
  <si>
    <t>火遊び超炎上</t>
    <rPh sb="0" eb="2">
      <t>ヒアソビ</t>
    </rPh>
    <rPh sb="3" eb="6">
      <t>チョウエンジョウ</t>
    </rPh>
    <phoneticPr fontId="5"/>
  </si>
  <si>
    <t>クリティカル！</t>
    <phoneticPr fontId="5"/>
  </si>
  <si>
    <t>[effect:enemy_message, val1:0, val2:3]</t>
    <phoneticPr fontId="5"/>
  </si>
  <si>
    <t>セルケトは3ターン毎に完全回復しますが
30ターン経過までは攻撃してこないため
最適な攻撃開始タイミングを見つけましょう</t>
    <rPh sb="11" eb="15">
      <t>カンゼンカイフク</t>
    </rPh>
    <rPh sb="30" eb="32">
      <t>コウゲキシテコナイタメ</t>
    </rPh>
    <rPh sb="40" eb="42">
      <t>サイテキナ</t>
    </rPh>
    <rPh sb="43" eb="47">
      <t>コウゲキカイシ</t>
    </rPh>
    <rPh sb="53" eb="54">
      <t>ミツケマショウ</t>
    </rPh>
    <phoneticPr fontId="5"/>
  </si>
  <si>
    <t>ホルス。修行をサボってなかったか試してあげます</t>
    <rPh sb="4" eb="6">
      <t>シュギョウ</t>
    </rPh>
    <rPh sb="16" eb="17">
      <t>タメシテヤロウ</t>
    </rPh>
    <phoneticPr fontId="5"/>
  </si>
  <si>
    <t>ワタシの真似事か、キミはセンスが良いね！</t>
    <rPh sb="16" eb="17">
      <t>ヨイ</t>
    </rPh>
    <phoneticPr fontId="5"/>
  </si>
  <si>
    <t>アメミット…悪いやつではないけれど…</t>
    <phoneticPr fontId="5"/>
  </si>
  <si>
    <t>まだ時間はある、強力なのを頼むよ</t>
    <rPh sb="2" eb="4">
      <t>ジカンハアルヨ</t>
    </rPh>
    <rPh sb="8" eb="10">
      <t>キョウリョクナノヲ</t>
    </rPh>
    <rPh sb="13" eb="14">
      <t>タノムゾ</t>
    </rPh>
    <phoneticPr fontId="5"/>
  </si>
  <si>
    <t>折り返し点だね　そろそろ来るかい？</t>
    <rPh sb="0" eb="1">
      <t>オリカエシテｎ</t>
    </rPh>
    <rPh sb="12" eb="13">
      <t>クル</t>
    </rPh>
    <phoneticPr fontId="5"/>
  </si>
  <si>
    <t>まだ来ないのかい？</t>
    <rPh sb="2" eb="3">
      <t>コナイノカ</t>
    </rPh>
    <phoneticPr fontId="5"/>
  </si>
  <si>
    <t>テイル・スウィング</t>
    <phoneticPr fontId="5"/>
  </si>
  <si>
    <t>３Fゆらら1T超級</t>
    <phoneticPr fontId="5"/>
  </si>
  <si>
    <t>３Fゆらら1T上級</t>
    <phoneticPr fontId="5"/>
  </si>
  <si>
    <t>３Fゆらら1T中級</t>
    <phoneticPr fontId="5"/>
  </si>
  <si>
    <t>３Fゆらら2T超級</t>
  </si>
  <si>
    <t>３Fゆらら2T上級</t>
  </si>
  <si>
    <t>３Fゆらら2T中級</t>
  </si>
  <si>
    <t>３Fゆらら3T超級</t>
  </si>
  <si>
    <t>３Fゆらら3T上級</t>
  </si>
  <si>
    <t>３Fゆらら3T中級</t>
  </si>
  <si>
    <t>３Fゆらら4T超級</t>
  </si>
  <si>
    <t>３Fゆらら4T上級</t>
  </si>
  <si>
    <t>３Fゆらら4T中級</t>
  </si>
  <si>
    <t>３Fゆらら5T超級</t>
  </si>
  <si>
    <t>３Fゆらら5T上級</t>
  </si>
  <si>
    <t>３Fゆらら5T中級</t>
  </si>
  <si>
    <t>３Fゆらら6T超級</t>
  </si>
  <si>
    <t>３Fゆらら6T上級</t>
  </si>
  <si>
    <t>３Fゆらら6T中級</t>
  </si>
  <si>
    <t>４Fセルケトノーマル開幕</t>
    <rPh sb="10" eb="12">
      <t>カイマク</t>
    </rPh>
    <phoneticPr fontId="5"/>
  </si>
  <si>
    <t>４Fセルケト1ターン目</t>
    <phoneticPr fontId="5"/>
  </si>
  <si>
    <t>４Fセルケト3ターン毎</t>
    <phoneticPr fontId="5"/>
  </si>
  <si>
    <t>４Fセルケト11ターン目</t>
    <rPh sb="11" eb="12">
      <t>メ</t>
    </rPh>
    <phoneticPr fontId="5"/>
  </si>
  <si>
    <t>４Fセルケト16ターン目</t>
    <rPh sb="11" eb="12">
      <t>メ</t>
    </rPh>
    <phoneticPr fontId="5"/>
  </si>
  <si>
    <t>４Fセルケト21ターン目</t>
    <rPh sb="11" eb="12">
      <t>メ</t>
    </rPh>
    <phoneticPr fontId="5"/>
  </si>
  <si>
    <t>４Fセルケト26ターン目</t>
    <rPh sb="11" eb="12">
      <t>メ</t>
    </rPh>
    <phoneticPr fontId="5"/>
  </si>
  <si>
    <t>４Fセルケト28ターン目</t>
    <rPh sb="11" eb="12">
      <t>メ</t>
    </rPh>
    <phoneticPr fontId="5"/>
  </si>
  <si>
    <t>４Fセルケト29ターン目</t>
    <rPh sb="11" eb="12">
      <t>メ</t>
    </rPh>
    <phoneticPr fontId="5"/>
  </si>
  <si>
    <t>４Fセルケト30ターン目</t>
    <rPh sb="11" eb="12">
      <t>メ</t>
    </rPh>
    <phoneticPr fontId="5"/>
  </si>
  <si>
    <t>４Fセルケト31ターン目</t>
    <rPh sb="11" eb="12">
      <t>メ</t>
    </rPh>
    <phoneticPr fontId="5"/>
  </si>
  <si>
    <t>４Fセルケト２G開幕</t>
    <rPh sb="8" eb="10">
      <t>カイマク</t>
    </rPh>
    <phoneticPr fontId="5"/>
  </si>
  <si>
    <t>４Fセルケト２GHP４５％以下</t>
    <rPh sb="13" eb="15">
      <t>イカ</t>
    </rPh>
    <phoneticPr fontId="5"/>
  </si>
  <si>
    <t>４Fセルケト７T目</t>
    <rPh sb="8" eb="9">
      <t>メ</t>
    </rPh>
    <phoneticPr fontId="5"/>
  </si>
  <si>
    <t>４Fセルケト２G（HP&lt;50%の時に使用、3回まで）</t>
    <phoneticPr fontId="5"/>
  </si>
  <si>
    <t>４Fセルケト２G３０％で使用</t>
    <phoneticPr fontId="5"/>
  </si>
  <si>
    <t>セト1010</t>
    <phoneticPr fontId="5"/>
  </si>
  <si>
    <t>セト1011</t>
    <phoneticPr fontId="5"/>
  </si>
  <si>
    <t>オシリス1009</t>
    <phoneticPr fontId="5"/>
  </si>
  <si>
    <t>オシリス1008</t>
    <phoneticPr fontId="5"/>
  </si>
  <si>
    <t>セルケト（R4,R5）1006</t>
    <phoneticPr fontId="5"/>
  </si>
  <si>
    <t>セルケト（R4,R5）1007</t>
    <phoneticPr fontId="5"/>
  </si>
  <si>
    <t>アメミット1004</t>
    <phoneticPr fontId="5"/>
  </si>
  <si>
    <t>アメミット1005</t>
    <phoneticPr fontId="5"/>
  </si>
  <si>
    <t>ラー1013</t>
    <phoneticPr fontId="5"/>
  </si>
  <si>
    <t>ラー1012</t>
    <phoneticPr fontId="5"/>
  </si>
  <si>
    <t>バステト1019</t>
    <phoneticPr fontId="5"/>
  </si>
  <si>
    <t>バステト1018</t>
    <phoneticPr fontId="5"/>
  </si>
  <si>
    <t>イシス1015</t>
    <phoneticPr fontId="5"/>
  </si>
  <si>
    <t>イシス1014</t>
    <phoneticPr fontId="5"/>
  </si>
  <si>
    <t>ハトホル1017</t>
    <phoneticPr fontId="5"/>
  </si>
  <si>
    <t>ハトホル1016</t>
    <phoneticPr fontId="5"/>
  </si>
  <si>
    <t>ホルス（R3,R4,R5）187</t>
    <phoneticPr fontId="5"/>
  </si>
  <si>
    <t>ホルス（R3,R4,R5）188</t>
    <phoneticPr fontId="5"/>
  </si>
  <si>
    <t>ホルス（R3,R4,R5）189</t>
    <phoneticPr fontId="5"/>
  </si>
  <si>
    <t>スフィンクス（R3,R4,R5）387</t>
    <phoneticPr fontId="5"/>
  </si>
  <si>
    <t>スフィンクス（R3,R4,R5）388</t>
    <phoneticPr fontId="5"/>
  </si>
  <si>
    <t>スフィンクス（R3,R4,R5）389</t>
    <phoneticPr fontId="5"/>
  </si>
  <si>
    <t>null</t>
    <phoneticPr fontId="5"/>
  </si>
  <si>
    <t>old</t>
  </si>
  <si>
    <t xml:space="preserve">[effect:heal, target:enemy_one, val:1, animation:enemy_heal]    </t>
    <phoneticPr fontId="5"/>
  </si>
  <si>
    <t xml:space="preserve">[effect:heal, target:enemy_one, val:1, animation:enemy_heal]    </t>
    <phoneticPr fontId="5"/>
  </si>
  <si>
    <t>そろそろタイムオーバーが近いよ</t>
    <phoneticPr fontId="5"/>
  </si>
  <si>
    <t>ダメ元で撃ってきてもいいんだよ？</t>
    <rPh sb="4" eb="5">
      <t>utteキテモイインダゾ</t>
    </rPh>
    <phoneticPr fontId="5"/>
  </si>
  <si>
    <t>残念だが時間切れだね。再挑戦を待ってるよ</t>
    <rPh sb="0" eb="2">
      <t>ザンネン</t>
    </rPh>
    <rPh sb="4" eb="7">
      <t>ジカンギレ</t>
    </rPh>
    <rPh sb="11" eb="14">
      <t>サイチョウセｎ</t>
    </rPh>
    <rPh sb="15" eb="16">
      <t>マッテルヨ</t>
    </rPh>
    <phoneticPr fontId="5"/>
  </si>
  <si>
    <t>ヒューマンデスペロイヤー</t>
    <phoneticPr fontId="5"/>
  </si>
  <si>
    <t>着火点サーチ</t>
    <rPh sb="0" eb="2">
      <t>チャッカ</t>
    </rPh>
    <rPh sb="2" eb="3">
      <t>テン</t>
    </rPh>
    <phoneticPr fontId="5"/>
  </si>
  <si>
    <t>ヒューマンサーチ</t>
    <phoneticPr fontId="5"/>
  </si>
  <si>
    <t>１Fサキ 第1ターン</t>
    <rPh sb="5" eb="6">
      <t>ダイイチ</t>
    </rPh>
    <phoneticPr fontId="5"/>
  </si>
  <si>
    <t>１Fサキ 第2ターン</t>
    <rPh sb="5" eb="6">
      <t>ダイイチ</t>
    </rPh>
    <phoneticPr fontId="5"/>
  </si>
  <si>
    <t>１Fサキ 第3ターン</t>
    <rPh sb="5" eb="6">
      <t>ダイイチ</t>
    </rPh>
    <phoneticPr fontId="5"/>
  </si>
  <si>
    <t>１Fサキ 第4ターン</t>
    <rPh sb="5" eb="6">
      <t>ダイイチ</t>
    </rPh>
    <phoneticPr fontId="5"/>
  </si>
  <si>
    <t>１Fサキ 第5ターン</t>
    <rPh sb="5" eb="6">
      <t>ダイイチ</t>
    </rPh>
    <phoneticPr fontId="5"/>
  </si>
  <si>
    <t>次で最後！</t>
    <rPh sb="0" eb="1">
      <t>ツギ</t>
    </rPh>
    <rPh sb="2" eb="4">
      <t>サイゴヨ</t>
    </rPh>
    <phoneticPr fontId="5"/>
  </si>
  <si>
    <t>ちゃんと耐えなさいよ！</t>
    <phoneticPr fontId="5"/>
  </si>
  <si>
    <t>計画的に回復できるかしら</t>
    <rPh sb="0" eb="3">
      <t>ケイカクテキニ</t>
    </rPh>
    <rPh sb="4" eb="6">
      <t>カイフク</t>
    </rPh>
    <phoneticPr fontId="5"/>
  </si>
  <si>
    <t>そういうチカラを見せてもらうわ</t>
    <rPh sb="8" eb="9">
      <t>ミセテ</t>
    </rPh>
    <phoneticPr fontId="5"/>
  </si>
  <si>
    <t>そろそろ苦しいでしょ？</t>
    <rPh sb="4" eb="5">
      <t>クルシクナッテクルワヨ</t>
    </rPh>
    <phoneticPr fontId="5"/>
  </si>
  <si>
    <t>ちゃんと回復を始めなさいよ？</t>
    <rPh sb="4" eb="6">
      <t>カイフク</t>
    </rPh>
    <rPh sb="7" eb="8">
      <t>ハジメナサイヨ</t>
    </rPh>
    <phoneticPr fontId="5"/>
  </si>
  <si>
    <t>回復に自信がないなら</t>
    <rPh sb="0" eb="2">
      <t>カイフク</t>
    </rPh>
    <rPh sb="3" eb="5">
      <t>ジシンガナイ</t>
    </rPh>
    <phoneticPr fontId="5"/>
  </si>
  <si>
    <t>あっ閃光弾が混ざってたー！</t>
    <rPh sb="2" eb="5">
      <t>センコウダン</t>
    </rPh>
    <rPh sb="6" eb="7">
      <t>マザッテタ</t>
    </rPh>
    <phoneticPr fontId="5"/>
  </si>
  <si>
    <t>ゴメンね？(・ω&lt;) 
（1ターン暗闇）</t>
    <rPh sb="17" eb="19">
      <t>クラヤミ</t>
    </rPh>
    <phoneticPr fontId="5"/>
  </si>
  <si>
    <t xml:space="preserve">[effect:dark, target:unit_all, turn:1, animation:enemy_dark]    </t>
    <phoneticPr fontId="5"/>
  </si>
  <si>
    <t xml:space="preserve"> [effect:damage_fix_absolute, target:unit_all, val:3250]    </t>
    <phoneticPr fontId="5"/>
  </si>
  <si>
    <t xml:space="preserve"> [effect:damage_fix_absolute, target:unit_all, val:2500]    </t>
    <phoneticPr fontId="5"/>
  </si>
  <si>
    <t xml:space="preserve"> [effect:damage_fix_absolute, target:unit_all, val:2000]    </t>
    <phoneticPr fontId="5"/>
  </si>
  <si>
    <t>13000の固定値ダメージ！</t>
    <rPh sb="6" eb="8">
      <t>コテイ</t>
    </rPh>
    <rPh sb="8" eb="9">
      <t>チ</t>
    </rPh>
    <phoneticPr fontId="5"/>
  </si>
  <si>
    <t>10000の固定値ダメージ！</t>
    <rPh sb="6" eb="8">
      <t>コテイ</t>
    </rPh>
    <rPh sb="8" eb="9">
      <t>ti</t>
    </rPh>
    <phoneticPr fontId="5"/>
  </si>
  <si>
    <t>8000の固定値ダメージ！</t>
    <rPh sb="5" eb="8">
      <t>コテイチ</t>
    </rPh>
    <phoneticPr fontId="5"/>
  </si>
  <si>
    <t>３Fゆらら撃破時
３Fゆららクリア時</t>
    <rPh sb="17" eb="18">
      <t>ケイカジ</t>
    </rPh>
    <phoneticPr fontId="5"/>
  </si>
  <si>
    <t>試練が終わるまでの間は
ゆららには攻撃がほぼ通りません
回復することに専念しましょう</t>
    <rPh sb="0" eb="2">
      <t>シレｎ</t>
    </rPh>
    <rPh sb="3" eb="4">
      <t>オワルマデ</t>
    </rPh>
    <rPh sb="17" eb="19">
      <t>コウゲキ</t>
    </rPh>
    <rPh sb="22" eb="23">
      <t>トオリマセン</t>
    </rPh>
    <rPh sb="28" eb="30">
      <t>カイフクスルコトニセンネンシマショウ</t>
    </rPh>
    <phoneticPr fontId="5"/>
  </si>
  <si>
    <t>[effect:ability_lock, target:unit_all, turn:5],[effect:tolerance, target:myself, turn:5, tolerance_effect:all, count:-1, animation:enemy_tolerance],[effect:hungup, target:unit_all, turn:5, rate:1, animation:hungup01],[effect:virus, turn:5, rate:1, val:0.3, animation:enemy_virus],[effect:fix_speed, target:enemy_all, turn:1]</t>
    <phoneticPr fontId="5"/>
  </si>
  <si>
    <t>ファイアフォックスは
ペロペロする対象を探している！</t>
    <rPh sb="17" eb="19">
      <t>タイショウ</t>
    </rPh>
    <rPh sb="20" eb="21">
      <t>サガシテイル</t>
    </rPh>
    <phoneticPr fontId="5"/>
  </si>
  <si>
    <t>ブレットは
燃えやすそうな場所を探している！</t>
    <rPh sb="6" eb="7">
      <t>モエヤスソウナ</t>
    </rPh>
    <rPh sb="13" eb="15">
      <t>バショヲ</t>
    </rPh>
    <rPh sb="16" eb="17">
      <t>サガシテイル</t>
    </rPh>
    <phoneticPr fontId="5"/>
  </si>
  <si>
    <t>ハトホル殿、本日はどのような御用向きで？</t>
    <rPh sb="6" eb="8">
      <t>ホンジツ</t>
    </rPh>
    <rPh sb="14" eb="17">
      <t>ゴヨウムキ</t>
    </rPh>
    <phoneticPr fontId="5"/>
  </si>
  <si>
    <t>セルケトはこちらの行動を見守っている！</t>
    <rPh sb="12" eb="14">
      <t>ミマモッテイル</t>
    </rPh>
    <phoneticPr fontId="5"/>
  </si>
  <si>
    <t>ふーむ。準備はすすんでいるかい？</t>
    <rPh sb="4" eb="6">
      <t>ジュンビ</t>
    </rPh>
    <phoneticPr fontId="5"/>
  </si>
  <si>
    <t>４Fセルケト１G汎用</t>
    <rPh sb="8" eb="10">
      <t>ハンヨウ</t>
    </rPh>
    <phoneticPr fontId="5"/>
  </si>
  <si>
    <t>[effect:damage_gravity, val:0.9, animation:fevergauge_down],[effect:enhance_enemy, target:myself, turn:6, status:defense, val:50000, calc:add, animation:enemy_enhance_defense],[effect:tolerance, target:myself, turn:5, tolerance_effect:all, count:-1, animation:enemy_tolerance],[effect:fix_speed, target:enemy_all, turn:1]</t>
    <phoneticPr fontId="5"/>
  </si>
  <si>
    <t xml:space="preserve">[effect:damage_gravity, val:0.9, animation:fevergauge_down],[effect:enhance_enemy, target:myself, turn:6, status:defense, val:50000, calc:add, animation:enemy_enhance_defense],[effect:tolerance, target:myself, turn:5, tolerance_effect:all, count:-1, animation:enemy_tolerance],[effect:fix_speed, target:enemy_all, turn:1]      </t>
    <phoneticPr fontId="5"/>
  </si>
  <si>
    <t xml:space="preserve">[effect:damage_gravity, val:0.9, animation:fevergauge_down],[effect:enhance_enemy, target:myself, turn:6, status:defense, val:50000, calc:add, animation:enemy_enhance_defense],[effect:tolerance, target:myself, turn:5, tolerance_effect:all, count:-1, animation:enemy_tolerance],[effect:fix_speed, target:enemy_all, turn:1]    </t>
    <phoneticPr fontId="5"/>
  </si>
  <si>
    <t>止血帯の貴婦人</t>
    <phoneticPr fontId="5"/>
  </si>
  <si>
    <t>解除するまでダメージを受けるウィルス</t>
    <rPh sb="0" eb="2">
      <t>カイジョ</t>
    </rPh>
    <rPh sb="11" eb="12">
      <t>ウケル</t>
    </rPh>
    <phoneticPr fontId="5"/>
  </si>
  <si>
    <t>毒絶神の尾針</t>
    <rPh sb="4" eb="6">
      <t>オバリ</t>
    </rPh>
    <phoneticPr fontId="5"/>
  </si>
  <si>
    <t>全体攻撃</t>
    <rPh sb="0" eb="4">
      <t>ゼンタイコウゲキ</t>
    </rPh>
    <phoneticPr fontId="5"/>
  </si>
  <si>
    <t>自己回復</t>
    <rPh sb="0" eb="2">
      <t>jiko</t>
    </rPh>
    <phoneticPr fontId="5"/>
  </si>
  <si>
    <t>[effect:damage_anti_tribe, target:unit_all, tribe:human, val1:1.25, val2:0.25]</t>
    <phoneticPr fontId="5"/>
  </si>
  <si>
    <t>[effect:fix_speed, target:enemy_all, turn:2],[effect:remove_enhancement, target:unit_all, target_effect:all, target_type:debuff, animation:frozen_wave]</t>
    <phoneticPr fontId="5"/>
  </si>
  <si>
    <t xml:space="preserve">[effect:spread, val:0.27]    </t>
    <phoneticPr fontId="5"/>
  </si>
  <si>
    <t>[effect:virus, turn:-1, rate:1, val:0.2, animation:enemy_virus]</t>
    <phoneticPr fontId="5"/>
  </si>
  <si>
    <t xml:space="preserve">[effect:damage_anti_color, target:unit_one, color:blue, val1:1.3, val2:1.5]    </t>
    <phoneticPr fontId="5"/>
  </si>
  <si>
    <t>次の試練も　がんばってね〜！</t>
    <rPh sb="0" eb="1">
      <t>ツギノ</t>
    </rPh>
    <rPh sb="2" eb="4">
      <t>シレン</t>
    </rPh>
    <phoneticPr fontId="5"/>
  </si>
  <si>
    <t>おさんぽの時間だよっ☆</t>
    <rPh sb="5" eb="7">
      <t>ジカン</t>
    </rPh>
    <phoneticPr fontId="5"/>
  </si>
  <si>
    <t>全体回復＋Cパネルとボム以外を
ランダムで12個ハートパネルに変換</t>
    <rPh sb="0" eb="2">
      <t>ゼンタイ</t>
    </rPh>
    <rPh sb="2" eb="4">
      <t>カイフク</t>
    </rPh>
    <phoneticPr fontId="5"/>
  </si>
  <si>
    <t>先にやっつけちゃうのもアリよ！？
もしできるんなら、だけどね！</t>
    <rPh sb="0" eb="1">
      <t>サキニ</t>
    </rPh>
    <phoneticPr fontId="5"/>
  </si>
  <si>
    <t>この毒に５回、耐えてみせて</t>
    <rPh sb="2" eb="3">
      <t>ドク</t>
    </rPh>
    <rPh sb="5" eb="6">
      <t>カイ</t>
    </rPh>
    <phoneticPr fontId="5"/>
  </si>
  <si>
    <t>ラー様…お仲間の力、試させていただきます</t>
    <phoneticPr fontId="5"/>
  </si>
  <si>
    <t>link</t>
  </si>
  <si>
    <t>unit</t>
  </si>
  <si>
    <t>[effect:fix_speed, target:enemy_all, turn:1],[effect:tolerance, target:myself, turn:32, tolerance_effect:all, count:-1, animation:enemy_tolerance]</t>
    <phoneticPr fontId="5"/>
  </si>
  <si>
    <t>[effect:fix_speed, target:enemy_animal, turn:2],[effect:virus, turn:-1, rate:1, val:0.15, animation:enemy_virus],[effect:tolerance, target:myself, turn:-1, tolerance_effect:all, count:16, animation:enemy_tolerance]</t>
    <phoneticPr fontId="5"/>
  </si>
  <si>
    <t>解除するまでダメージを受けるウィルス
＋状態異常を16回まで無効化</t>
    <rPh sb="0" eb="2">
      <t>カイジョ</t>
    </rPh>
    <rPh sb="11" eb="12">
      <t>ウケル</t>
    </rPh>
    <rPh sb="20" eb="22">
      <t>ジョウタイイジョウ</t>
    </rPh>
    <rPh sb="22" eb="24">
      <t>ijou</t>
    </rPh>
    <rPh sb="30" eb="33">
      <t>mukouka</t>
    </rPh>
    <phoneticPr fontId="5"/>
  </si>
  <si>
    <t>うん、ワタシの見込んだ通りだったね</t>
    <phoneticPr fontId="5"/>
  </si>
  <si>
    <t>そのチカラで…オシリス様を
救ってくれないか</t>
    <phoneticPr fontId="5"/>
  </si>
  <si>
    <t>４Fセルケト２G撃破時</t>
    <rPh sb="8" eb="11">
      <t>ゲキハジ</t>
    </rPh>
    <phoneticPr fontId="5"/>
  </si>
  <si>
    <t>ワタシのスキを見切って
打ち込んできてくれよ</t>
    <rPh sb="7" eb="9">
      <t>ミキッテ</t>
    </rPh>
    <rPh sb="12" eb="13">
      <t>ウチコンデキテクレ</t>
    </rPh>
    <phoneticPr fontId="5"/>
  </si>
  <si>
    <t>攻撃の準備が出来たと判断したら</t>
    <rPh sb="0" eb="5">
      <t>コウゲキジュンビ</t>
    </rPh>
    <rPh sb="10" eb="12">
      <t>ハンダｎ</t>
    </rPh>
    <phoneticPr fontId="5"/>
  </si>
  <si>
    <t>最後は総合テストといこうか！</t>
    <rPh sb="0" eb="2">
      <t>サイゴニ</t>
    </rPh>
    <rPh sb="3" eb="5">
      <t>ソウゴウテスト</t>
    </rPh>
    <phoneticPr fontId="5"/>
  </si>
  <si>
    <t>４Fセルケト１G汎用２</t>
    <rPh sb="8" eb="10">
      <t>ハンヨウ</t>
    </rPh>
    <phoneticPr fontId="5"/>
  </si>
  <si>
    <t>４Fセルケト２G（HP&lt;50%の時に使用、1回のみ）</t>
    <phoneticPr fontId="5"/>
  </si>
  <si>
    <t>パーティ編成に慢心は無いよね？</t>
    <rPh sb="4" eb="6">
      <t>ヘンセイ</t>
    </rPh>
    <rPh sb="7" eb="9">
      <t>マンシｎ</t>
    </rPh>
    <rPh sb="10" eb="11">
      <t>ナイ</t>
    </rPh>
    <phoneticPr fontId="5"/>
  </si>
  <si>
    <t>スフィンクスは回復スキルの際に
ハートパネルを生成します
逆用してSCPを作ってみましょう</t>
    <rPh sb="7" eb="9">
      <t>ゼンタイカイフク</t>
    </rPh>
    <rPh sb="13" eb="14">
      <t>サイニ</t>
    </rPh>
    <rPh sb="23" eb="25">
      <t>セイセイシマス</t>
    </rPh>
    <rPh sb="29" eb="31">
      <t>ギャクヨウシテ</t>
    </rPh>
    <rPh sb="37" eb="38">
      <t>ツクッテミマショウ</t>
    </rPh>
    <phoneticPr fontId="5"/>
  </si>
  <si>
    <t>青属性ユニット以外に大ダメージ！</t>
    <phoneticPr fontId="5"/>
  </si>
  <si>
    <t>[effect:sp_boost, target:unit_all, val:10, animation:sp_boost_one03],[effect:force_change_block, new_block:block_heart, target:block_all, ignore01:crash, ignore02:crack_bomb, count:0, val:0]</t>
    <phoneticPr fontId="5"/>
  </si>
  <si>
    <t xml:space="preserve">[effect:heal, target:enemy_all, val:0.5, animation:enemy_heal],[effect:force_change_block, new_block:block_heart, target:block_all, ignore01:crash, ignore02:crack_bomb, count:12, val:0]    </t>
    <phoneticPr fontId="5"/>
  </si>
  <si>
    <t>現在HPの90％ダメージ＋6ターン自身防御力UP
＋5ターン状態異常無効</t>
    <rPh sb="21" eb="22">
      <t>リョク</t>
    </rPh>
    <phoneticPr fontId="5"/>
  </si>
  <si>
    <t>[effect:force_change_block, new_block:block_heart, target:block_all, ignore01:crash, ignore02:crack_bomb, count:0, val:0]</t>
    <phoneticPr fontId="5"/>
  </si>
  <si>
    <t>超強力な全体攻撃！</t>
    <rPh sb="0" eb="3">
      <t>チョウキョウリョクナ</t>
    </rPh>
    <rPh sb="4" eb="6">
      <t>ゼンタイ</t>
    </rPh>
    <rPh sb="6" eb="8">
      <t>コウゲキ</t>
    </rPh>
    <phoneticPr fontId="5"/>
  </si>
  <si>
    <t>あと20ターンで超強力な全体攻撃！</t>
    <rPh sb="8" eb="11">
      <t>チョウキョウリョクナコウゲキ</t>
    </rPh>
    <rPh sb="12" eb="14">
      <t>ゼンタイ</t>
    </rPh>
    <phoneticPr fontId="5"/>
  </si>
  <si>
    <t>あと15ターンで超強力な全体攻撃！</t>
    <rPh sb="8" eb="11">
      <t>チョウキョウリョクナコウゲキ</t>
    </rPh>
    <rPh sb="12" eb="14">
      <t>ゼンタイ</t>
    </rPh>
    <phoneticPr fontId="5"/>
  </si>
  <si>
    <t>あと10ターンで超強力な全体攻撃！
＋自己回復</t>
    <rPh sb="8" eb="11">
      <t>チョウキョウリョク</t>
    </rPh>
    <rPh sb="12" eb="14">
      <t>ゼンタイ</t>
    </rPh>
    <rPh sb="19" eb="21">
      <t>jiko</t>
    </rPh>
    <rPh sb="21" eb="23">
      <t>ゼンカイフク</t>
    </rPh>
    <phoneticPr fontId="5"/>
  </si>
  <si>
    <t>あと５ターンで超強力な全体攻撃！</t>
    <rPh sb="7" eb="10">
      <t>チョウキョウリョクナコウゲキ</t>
    </rPh>
    <rPh sb="11" eb="13">
      <t>ゼンタイ</t>
    </rPh>
    <phoneticPr fontId="5"/>
  </si>
  <si>
    <t>あと３ターンで超強力な全体攻撃！</t>
    <rPh sb="7" eb="10">
      <t>チョウキョウリョクナコウゲキ</t>
    </rPh>
    <rPh sb="11" eb="13">
      <t>ゼンタイ</t>
    </rPh>
    <phoneticPr fontId="5"/>
  </si>
  <si>
    <t>あと２ターンで超強力な全体攻撃！</t>
    <rPh sb="7" eb="10">
      <t>チョウキョウリョクナコウゲキ</t>
    </rPh>
    <rPh sb="11" eb="13">
      <t>ゼンタイ</t>
    </rPh>
    <phoneticPr fontId="5"/>
  </si>
  <si>
    <t>あと１ターンで超強力な全体攻撃！
＋自己回復</t>
    <rPh sb="7" eb="10">
      <t>チョウキョウリョクナコウゲキ</t>
    </rPh>
    <rPh sb="11" eb="13">
      <t>ゼンタイ</t>
    </rPh>
    <rPh sb="18" eb="20">
      <t>ジコ</t>
    </rPh>
    <rPh sb="20" eb="22">
      <t>ゼンカイフク</t>
    </rPh>
    <phoneticPr fontId="5"/>
  </si>
  <si>
    <t>スキル10ターン短縮
＋Cパネル、ボムパネル以外をハートパネルに変換</t>
    <rPh sb="8" eb="10">
      <t>タンシュク</t>
    </rPh>
    <rPh sb="22" eb="24">
      <t>イガイ</t>
    </rPh>
    <rPh sb="32" eb="34">
      <t>ヘンカｎ</t>
    </rPh>
    <phoneticPr fontId="5"/>
  </si>
  <si>
    <t>キミ達の最大限の力を見たいんだ</t>
    <rPh sb="2" eb="3">
      <t>タチ</t>
    </rPh>
    <rPh sb="8" eb="9">
      <t>サイダイカリョク</t>
    </rPh>
    <rPh sb="10" eb="11">
      <t>ミタイ</t>
    </rPh>
    <phoneticPr fontId="5"/>
  </si>
  <si>
    <t>たとえイシス様でもすぐには通しませんよ</t>
    <phoneticPr fontId="5"/>
  </si>
  <si>
    <t>スフィンクスか。遊んであげようか？</t>
    <phoneticPr fontId="5"/>
  </si>
  <si>
    <t>オシリス様…！？！？</t>
    <phoneticPr fontId="5"/>
  </si>
  <si>
    <t>セト様…？？なぜ…？</t>
    <phoneticPr fontId="5"/>
  </si>
  <si>
    <t>[effect:ability_lock, target:unit_all, turn:5],[effect:tolerance, target:myself, turn:5, tolerance_effect:all, count:-1, animation:enemy_tolerance],[effect:hungup, target:unit_all, turn:5, rate:1, animation:hungup01],[effect:virus, turn:5, rate:1, val:0.18, animation:enemy_virus],[effect:fix_speed, target:enemy_all, turn:1]</t>
    <phoneticPr fontId="5"/>
  </si>
  <si>
    <t>[effect:ability_lock, target:unit_all, turn:5],[effect:tolerance, target:myself, turn:5, tolerance_effect:all, count:-1, animation:enemy_tolerance],[effect:hungup, target:unit_all, turn:5, rate:1, animation:hungup01],[effect:virus, turn:5, rate:1, val:0.24, animation:enemy_virus],[effect:fix_speed, target:enemy_all, turn:1]</t>
    <phoneticPr fontId="5"/>
  </si>
  <si>
    <t>５ターンウィルス＆スキルバインド
＆アビリティ無効＋5ターン状態異常無効</t>
    <rPh sb="23" eb="25">
      <t>ムコウ</t>
    </rPh>
    <rPh sb="30" eb="34">
      <t>ジョウタイイジョウ</t>
    </rPh>
    <rPh sb="34" eb="36">
      <t>ムコウ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</si>
</sst>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メイリオ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2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2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177" fontId="8" fillId="0" borderId="23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176" fontId="4" fillId="0" borderId="26" xfId="0" applyNumberFormat="1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7" xfId="0" applyNumberFormat="1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7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52" fillId="0" borderId="0" xfId="0" applyFont="1" applyFill="1" applyAlignment="1">
      <alignment vertical="center"/>
    </xf>
    <xf numFmtId="0" fontId="52" fillId="0" borderId="7" xfId="0" applyFont="1" applyFill="1" applyBorder="1" applyAlignment="1">
      <alignment vertical="center"/>
    </xf>
    <xf numFmtId="0" fontId="52" fillId="3" borderId="7" xfId="0" applyFont="1" applyFill="1" applyBorder="1" applyAlignment="1">
      <alignment vertical="center"/>
    </xf>
    <xf numFmtId="0" fontId="52" fillId="6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 wrapText="1"/>
    </xf>
    <xf numFmtId="0" fontId="52" fillId="3" borderId="7" xfId="0" applyFont="1" applyFill="1" applyBorder="1" applyAlignment="1">
      <alignment vertical="center" wrapText="1"/>
    </xf>
    <xf numFmtId="14" fontId="52" fillId="0" borderId="7" xfId="0" applyNumberFormat="1" applyFont="1" applyFill="1" applyBorder="1" applyAlignment="1">
      <alignment vertical="center"/>
    </xf>
    <xf numFmtId="0" fontId="52" fillId="32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33" borderId="7" xfId="0" applyFill="1" applyBorder="1"/>
    <xf numFmtId="0" fontId="6" fillId="34" borderId="1" xfId="0" applyFont="1" applyFill="1" applyBorder="1" applyAlignment="1">
      <alignment vertical="center"/>
    </xf>
    <xf numFmtId="0" fontId="0" fillId="35" borderId="7" xfId="0" applyFill="1" applyBorder="1"/>
    <xf numFmtId="0" fontId="6" fillId="36" borderId="1" xfId="0" applyFont="1" applyFill="1" applyBorder="1" applyAlignment="1">
      <alignment vertical="center"/>
    </xf>
    <xf numFmtId="0" fontId="0" fillId="37" borderId="7" xfId="0" applyFill="1" applyBorder="1"/>
    <xf numFmtId="0" fontId="6" fillId="38" borderId="1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L24" sqref="L2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131</v>
      </c>
      <c r="B1" s="52" t="s">
        <v>101</v>
      </c>
      <c r="C1" s="52" t="s">
        <v>102</v>
      </c>
      <c r="D1" s="52" t="s">
        <v>103</v>
      </c>
      <c r="E1" s="52" t="s">
        <v>104</v>
      </c>
      <c r="F1" s="52" t="s">
        <v>105</v>
      </c>
      <c r="G1" s="52" t="s">
        <v>106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387</v>
      </c>
      <c r="B2" s="54" t="s">
        <v>107</v>
      </c>
      <c r="C2" s="59">
        <v>30038</v>
      </c>
      <c r="D2" s="54" t="s">
        <v>108</v>
      </c>
      <c r="E2" s="53" t="str">
        <f>B2&amp;C2&amp;D2</f>
        <v>floors_30038.tmp</v>
      </c>
      <c r="F2" s="54" t="s">
        <v>109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387</v>
      </c>
      <c r="B3" s="54" t="s">
        <v>110</v>
      </c>
      <c r="C3" s="59">
        <f>C$2</f>
        <v>30038</v>
      </c>
      <c r="D3" s="54" t="s">
        <v>108</v>
      </c>
      <c r="E3" s="53" t="str">
        <f>B3&amp;C3&amp;D3</f>
        <v>enemy_habitats_30038.tmp</v>
      </c>
      <c r="F3" s="54" t="s">
        <v>111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180</v>
      </c>
    </row>
    <row r="4" spans="1:30" x14ac:dyDescent="0.15">
      <c r="A4" s="58" t="s">
        <v>387</v>
      </c>
      <c r="B4" s="54" t="s">
        <v>112</v>
      </c>
      <c r="C4" s="59">
        <f t="shared" ref="C4:C13" si="0">C$2</f>
        <v>30038</v>
      </c>
      <c r="D4" s="54" t="s">
        <v>108</v>
      </c>
      <c r="E4" s="53" t="str">
        <f>B4&amp;C4&amp;D4</f>
        <v>enemy_habitat_S_30038.tmp</v>
      </c>
      <c r="F4" s="54" t="s">
        <v>113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387</v>
      </c>
      <c r="B5" s="54" t="s">
        <v>114</v>
      </c>
      <c r="C5" s="59">
        <f t="shared" si="0"/>
        <v>30038</v>
      </c>
      <c r="D5" s="54" t="s">
        <v>108</v>
      </c>
      <c r="E5" s="53" t="str">
        <f>B5&amp;C5&amp;D5</f>
        <v>enemy_skill_sets_30038.tmp</v>
      </c>
      <c r="F5" s="54" t="s">
        <v>115</v>
      </c>
      <c r="G5" s="56" t="s">
        <v>22</v>
      </c>
      <c r="H5" s="56" t="s">
        <v>100</v>
      </c>
      <c r="I5" s="56" t="s">
        <v>95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387</v>
      </c>
      <c r="B6" s="54" t="s">
        <v>116</v>
      </c>
      <c r="C6" s="59">
        <f t="shared" si="0"/>
        <v>30038</v>
      </c>
      <c r="D6" s="54" t="s">
        <v>117</v>
      </c>
      <c r="E6" s="53" t="str">
        <f t="shared" ref="E6:E10" si="1">B6&amp;C6&amp;D6</f>
        <v>enemy_skills_tmp_30038.tmp</v>
      </c>
      <c r="F6" s="54" t="s">
        <v>91</v>
      </c>
      <c r="G6" s="55" t="s">
        <v>79</v>
      </c>
      <c r="H6" s="55" t="s">
        <v>80</v>
      </c>
      <c r="I6" s="55" t="s">
        <v>81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387</v>
      </c>
      <c r="B7" s="54" t="s">
        <v>118</v>
      </c>
      <c r="C7" s="59">
        <f t="shared" si="0"/>
        <v>30038</v>
      </c>
      <c r="D7" s="54" t="s">
        <v>108</v>
      </c>
      <c r="E7" s="53" t="str">
        <f>B7&amp;C7&amp;D7</f>
        <v>enemy_skills_i18n_30038.tmp</v>
      </c>
      <c r="F7" s="54" t="s">
        <v>119</v>
      </c>
      <c r="G7" s="55" t="s">
        <v>79</v>
      </c>
      <c r="H7" s="55" t="s">
        <v>92</v>
      </c>
      <c r="I7" s="55" t="s">
        <v>93</v>
      </c>
      <c r="J7" s="55" t="s">
        <v>94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387</v>
      </c>
      <c r="B8" s="54" t="s">
        <v>120</v>
      </c>
      <c r="C8" s="59">
        <f t="shared" si="0"/>
        <v>30038</v>
      </c>
      <c r="D8" s="54" t="s">
        <v>121</v>
      </c>
      <c r="E8" s="53" t="str">
        <f t="shared" si="1"/>
        <v>enemy_skill_triggers_30038.tmp</v>
      </c>
      <c r="F8" s="54" t="s">
        <v>122</v>
      </c>
      <c r="G8" s="55" t="s">
        <v>95</v>
      </c>
      <c r="H8" s="55" t="s">
        <v>96</v>
      </c>
      <c r="I8" s="55" t="s">
        <v>97</v>
      </c>
      <c r="J8" s="55" t="s">
        <v>98</v>
      </c>
      <c r="K8" s="55" t="s">
        <v>123</v>
      </c>
      <c r="L8" s="55" t="s">
        <v>99</v>
      </c>
      <c r="M8" s="55" t="s">
        <v>124</v>
      </c>
      <c r="N8" s="55" t="s">
        <v>125</v>
      </c>
      <c r="O8" s="55" t="s">
        <v>126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387</v>
      </c>
      <c r="B9" s="63" t="s">
        <v>179</v>
      </c>
      <c r="C9" s="59">
        <f t="shared" si="0"/>
        <v>30038</v>
      </c>
      <c r="D9" s="63" t="s">
        <v>173</v>
      </c>
      <c r="E9" s="64" t="str">
        <f t="shared" si="1"/>
        <v>stage_bug_bonuses_30038.tmp</v>
      </c>
      <c r="F9" s="63" t="s">
        <v>174</v>
      </c>
      <c r="G9" s="60" t="s">
        <v>151</v>
      </c>
      <c r="H9" s="60" t="s">
        <v>175</v>
      </c>
      <c r="I9" s="60" t="s">
        <v>176</v>
      </c>
      <c r="J9" s="62" t="s">
        <v>177</v>
      </c>
      <c r="K9" s="60" t="s">
        <v>178</v>
      </c>
      <c r="L9" s="60" t="s">
        <v>157</v>
      </c>
      <c r="M9" s="60" t="s">
        <v>158</v>
      </c>
      <c r="N9" s="60" t="s">
        <v>159</v>
      </c>
      <c r="O9" s="60" t="s">
        <v>160</v>
      </c>
      <c r="P9" s="60" t="s">
        <v>161</v>
      </c>
      <c r="Q9" s="60" t="s">
        <v>162</v>
      </c>
      <c r="R9" s="60" t="s">
        <v>163</v>
      </c>
      <c r="S9" s="60" t="s">
        <v>164</v>
      </c>
      <c r="T9" s="60" t="s">
        <v>165</v>
      </c>
      <c r="U9" s="60" t="s">
        <v>166</v>
      </c>
      <c r="V9" s="60" t="s">
        <v>167</v>
      </c>
      <c r="W9" s="60" t="s">
        <v>168</v>
      </c>
      <c r="X9" s="54"/>
      <c r="Y9" s="54"/>
      <c r="Z9" s="54"/>
      <c r="AA9" s="54"/>
      <c r="AB9" s="54"/>
      <c r="AC9" s="54"/>
      <c r="AD9" s="54"/>
    </row>
    <row r="10" spans="1:30" s="70" customFormat="1" x14ac:dyDescent="0.15">
      <c r="A10" s="58" t="s">
        <v>387</v>
      </c>
      <c r="B10" s="63" t="s">
        <v>203</v>
      </c>
      <c r="C10" s="59">
        <f>C$2</f>
        <v>30038</v>
      </c>
      <c r="D10" s="63" t="s">
        <v>182</v>
      </c>
      <c r="E10" s="64" t="str">
        <f t="shared" si="1"/>
        <v>stage_hints_data_c_30038.tmp</v>
      </c>
      <c r="F10" s="63" t="s">
        <v>211</v>
      </c>
      <c r="G10" s="68" t="s">
        <v>183</v>
      </c>
      <c r="H10" s="68" t="s">
        <v>175</v>
      </c>
      <c r="I10" s="69" t="s">
        <v>184</v>
      </c>
      <c r="J10" s="62" t="s">
        <v>185</v>
      </c>
      <c r="K10" s="62" t="s">
        <v>186</v>
      </c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</row>
    <row r="11" spans="1:30" s="70" customFormat="1" x14ac:dyDescent="0.15">
      <c r="A11" s="58" t="s">
        <v>387</v>
      </c>
      <c r="B11" s="63" t="s">
        <v>204</v>
      </c>
      <c r="C11" s="59">
        <f t="shared" si="0"/>
        <v>30038</v>
      </c>
      <c r="D11" s="63" t="s">
        <v>173</v>
      </c>
      <c r="E11" s="64" t="str">
        <f t="shared" ref="E11:E13" si="2">B11&amp;C11&amp;D11</f>
        <v>stage_hints_data_f_30038.tmp</v>
      </c>
      <c r="F11" s="63" t="s">
        <v>213</v>
      </c>
      <c r="G11" s="68" t="s">
        <v>183</v>
      </c>
      <c r="H11" s="68" t="s">
        <v>175</v>
      </c>
      <c r="I11" s="69" t="s">
        <v>184</v>
      </c>
      <c r="J11" s="62" t="s">
        <v>185</v>
      </c>
      <c r="K11" s="62" t="s">
        <v>186</v>
      </c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</row>
    <row r="12" spans="1:30" s="70" customFormat="1" x14ac:dyDescent="0.15">
      <c r="A12" s="58" t="s">
        <v>387</v>
      </c>
      <c r="B12" s="63" t="s">
        <v>205</v>
      </c>
      <c r="C12" s="59">
        <f t="shared" si="0"/>
        <v>30038</v>
      </c>
      <c r="D12" s="63" t="s">
        <v>173</v>
      </c>
      <c r="E12" s="64" t="str">
        <f t="shared" si="2"/>
        <v>stage_hints_i18n_30038.tmp</v>
      </c>
      <c r="F12" s="63" t="s">
        <v>214</v>
      </c>
      <c r="G12" s="69" t="s">
        <v>206</v>
      </c>
      <c r="H12" s="90" t="s">
        <v>207</v>
      </c>
      <c r="I12" s="68" t="s">
        <v>208</v>
      </c>
      <c r="J12" s="95" t="s">
        <v>209</v>
      </c>
      <c r="K12" s="62" t="s">
        <v>210</v>
      </c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</row>
    <row r="13" spans="1:30" s="70" customFormat="1" x14ac:dyDescent="0.15">
      <c r="A13" s="58" t="s">
        <v>387</v>
      </c>
      <c r="B13" s="63" t="s">
        <v>249</v>
      </c>
      <c r="C13" s="59">
        <f t="shared" si="0"/>
        <v>30038</v>
      </c>
      <c r="D13" s="63" t="s">
        <v>230</v>
      </c>
      <c r="E13" s="64" t="str">
        <f t="shared" si="2"/>
        <v>stage_bonuses_30038.tmp</v>
      </c>
      <c r="F13" s="63" t="s">
        <v>229</v>
      </c>
      <c r="G13" s="68" t="s">
        <v>231</v>
      </c>
      <c r="H13" s="68" t="s">
        <v>232</v>
      </c>
      <c r="I13" s="68" t="s">
        <v>233</v>
      </c>
      <c r="J13" s="68" t="s">
        <v>234</v>
      </c>
      <c r="K13" s="68" t="s">
        <v>235</v>
      </c>
      <c r="L13" s="68" t="s">
        <v>236</v>
      </c>
      <c r="M13" s="68" t="s">
        <v>237</v>
      </c>
      <c r="N13" s="68" t="s">
        <v>238</v>
      </c>
      <c r="O13" s="68" t="s">
        <v>239</v>
      </c>
      <c r="P13" s="68" t="s">
        <v>240</v>
      </c>
      <c r="Q13" s="68" t="s">
        <v>241</v>
      </c>
      <c r="R13" s="68" t="s">
        <v>242</v>
      </c>
      <c r="S13" s="68" t="s">
        <v>243</v>
      </c>
      <c r="T13" s="68" t="s">
        <v>244</v>
      </c>
      <c r="U13" s="68" t="s">
        <v>245</v>
      </c>
      <c r="V13" s="68" t="s">
        <v>246</v>
      </c>
      <c r="W13" s="68" t="s">
        <v>247</v>
      </c>
      <c r="X13" s="68" t="s">
        <v>248</v>
      </c>
      <c r="Y13" s="94"/>
      <c r="Z13" s="94"/>
      <c r="AA13" s="94"/>
      <c r="AB13" s="94"/>
      <c r="AC13" s="94"/>
      <c r="AD13" s="94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A16" sqref="A1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30038_1-1</v>
      </c>
      <c r="B2" s="16" t="str">
        <f>IF(COUNTIF(enemy_habitats!$H:$H,A2),"OK","NG")</f>
        <v>OK</v>
      </c>
      <c r="C2" s="7">
        <v>30038</v>
      </c>
      <c r="D2" s="11" t="str">
        <f ca="1">VLOOKUP($C2,OFFSET([2]quests!$A$1,0,0,COUNTA([2]quests!$A:$A),MATCH(D$1,[2]quests!$1:$1,0)-MATCH($C$1,[2]quests!$1:$1,0)+1),MATCH(D$1,[2]quests!$1:$1,0)-MATCH($C$1,[2]quests!$1:$1,0)+1,FALSE)</f>
        <v>毒絶神の願い</v>
      </c>
      <c r="E2" s="18" t="str">
        <f ca="1">VLOOKUP($C2,OFFSET([2]quests!$A$1,0,0,COUNTA([2]quests!$A:$A),MATCH(E$1,[2]quests!$1:$1,0)-MATCH($C$1,[2]quests!$1:$1,0)+1),MATCH(E$1,[2]quests!$1:$1,0)-MATCH($C$1,[2]quests!$1:$1,0)+1,FALSE)</f>
        <v>エジプト神話シリーズ超級</v>
      </c>
      <c r="F2" s="21">
        <v>1</v>
      </c>
      <c r="G2" s="23" t="str">
        <f>C2&amp;"_"&amp;F2</f>
        <v>30038_1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【中級】毒絶神の願い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ref="A3:A13" si="0">G3&amp;"-"&amp;I3</f>
        <v>30038_1-2</v>
      </c>
      <c r="B3" s="16" t="str">
        <f>IF(COUNTIF(enemy_habitats!$H:$H,A3),"OK","NG")</f>
        <v>OK</v>
      </c>
      <c r="C3" s="7">
        <v>30038</v>
      </c>
      <c r="D3" s="11" t="str">
        <f ca="1">VLOOKUP($C3,OFFSET([2]quests!$A$1,0,0,COUNTA([2]quests!$A:$A),MATCH(D$1,[2]quests!$1:$1,0)-MATCH($C$1,[2]quests!$1:$1,0)+1),MATCH(D$1,[2]quests!$1:$1,0)-MATCH($C$1,[2]quests!$1:$1,0)+1,FALSE)</f>
        <v>毒絶神の願い</v>
      </c>
      <c r="E3" s="18" t="str">
        <f ca="1">VLOOKUP($C3,OFFSET([2]quests!$A$1,0,0,COUNTA([2]quests!$A:$A),MATCH(E$1,[2]quests!$1:$1,0)-MATCH($C$1,[2]quests!$1:$1,0)+1),MATCH(E$1,[2]quests!$1:$1,0)-MATCH($C$1,[2]quests!$1:$1,0)+1,FALSE)</f>
        <v>エジプト神話シリーズ超級</v>
      </c>
      <c r="F3" s="21">
        <v>1</v>
      </c>
      <c r="G3" s="23" t="str">
        <f t="shared" ref="G3:G13" si="1">C3&amp;"_"&amp;F3</f>
        <v>30038_1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【中級】毒絶神の願い</v>
      </c>
      <c r="I3" s="21">
        <v>2</v>
      </c>
      <c r="J3" s="12">
        <v>55</v>
      </c>
      <c r="K3" s="12">
        <v>55</v>
      </c>
    </row>
    <row r="4" spans="1:11" ht="21" customHeight="1" x14ac:dyDescent="0.15">
      <c r="A4" s="16" t="str">
        <f t="shared" si="0"/>
        <v>30038_1-3</v>
      </c>
      <c r="B4" s="16" t="str">
        <f>IF(COUNTIF(enemy_habitats!$H:$H,A4),"OK","NG")</f>
        <v>OK</v>
      </c>
      <c r="C4" s="7">
        <v>30038</v>
      </c>
      <c r="D4" s="11" t="str">
        <f ca="1">VLOOKUP($C4,OFFSET([2]quests!$A$1,0,0,COUNTA([2]quests!$A:$A),MATCH(D$1,[2]quests!$1:$1,0)-MATCH($C$1,[2]quests!$1:$1,0)+1),MATCH(D$1,[2]quests!$1:$1,0)-MATCH($C$1,[2]quests!$1:$1,0)+1,FALSE)</f>
        <v>毒絶神の願い</v>
      </c>
      <c r="E4" s="18" t="str">
        <f ca="1">VLOOKUP($C4,OFFSET([2]quests!$A$1,0,0,COUNTA([2]quests!$A:$A),MATCH(E$1,[2]quests!$1:$1,0)-MATCH($C$1,[2]quests!$1:$1,0)+1),MATCH(E$1,[2]quests!$1:$1,0)-MATCH($C$1,[2]quests!$1:$1,0)+1,FALSE)</f>
        <v>エジプト神話シリーズ超級</v>
      </c>
      <c r="F4" s="21">
        <v>1</v>
      </c>
      <c r="G4" s="23" t="str">
        <f t="shared" si="1"/>
        <v>30038_1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【中級】毒絶神の願い</v>
      </c>
      <c r="I4" s="21">
        <v>3</v>
      </c>
      <c r="J4" s="12">
        <v>15</v>
      </c>
      <c r="K4" s="12">
        <v>15</v>
      </c>
    </row>
    <row r="5" spans="1:11" ht="21" customHeight="1" x14ac:dyDescent="0.15">
      <c r="A5" s="16" t="str">
        <f t="shared" si="0"/>
        <v>30038_1-4</v>
      </c>
      <c r="B5" s="16" t="str">
        <f>IF(COUNTIF(enemy_habitats!$H:$H,A5),"OK","NG")</f>
        <v>OK</v>
      </c>
      <c r="C5" s="7">
        <v>30038</v>
      </c>
      <c r="D5" s="11" t="str">
        <f ca="1">VLOOKUP($C5,OFFSET([2]quests!$A$1,0,0,COUNTA([2]quests!$A:$A),MATCH(D$1,[2]quests!$1:$1,0)-MATCH($C$1,[2]quests!$1:$1,0)+1),MATCH(D$1,[2]quests!$1:$1,0)-MATCH($C$1,[2]quests!$1:$1,0)+1,FALSE)</f>
        <v>毒絶神の願い</v>
      </c>
      <c r="E5" s="18" t="str">
        <f ca="1">VLOOKUP($C5,OFFSET([2]quests!$A$1,0,0,COUNTA([2]quests!$A:$A),MATCH(E$1,[2]quests!$1:$1,0)-MATCH($C$1,[2]quests!$1:$1,0)+1),MATCH(E$1,[2]quests!$1:$1,0)-MATCH($C$1,[2]quests!$1:$1,0)+1,FALSE)</f>
        <v>エジプト神話シリーズ超級</v>
      </c>
      <c r="F5" s="21">
        <v>1</v>
      </c>
      <c r="G5" s="23" t="str">
        <f t="shared" si="1"/>
        <v>30038_1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【中級】毒絶神の願い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30038_2-1</v>
      </c>
      <c r="B6" s="16" t="str">
        <f>IF(COUNTIF(enemy_habitats!$H:$H,A6),"OK","NG")</f>
        <v>OK</v>
      </c>
      <c r="C6" s="7">
        <v>30038</v>
      </c>
      <c r="D6" s="11" t="str">
        <f ca="1">VLOOKUP($C6,OFFSET([2]quests!$A$1,0,0,COUNTA([2]quests!$A:$A),MATCH(D$1,[2]quests!$1:$1,0)-MATCH($C$1,[2]quests!$1:$1,0)+1),MATCH(D$1,[2]quests!$1:$1,0)-MATCH($C$1,[2]quests!$1:$1,0)+1,FALSE)</f>
        <v>毒絶神の願い</v>
      </c>
      <c r="E6" s="18" t="str">
        <f ca="1">VLOOKUP($C6,OFFSET([2]quests!$A$1,0,0,COUNTA([2]quests!$A:$A),MATCH(E$1,[2]quests!$1:$1,0)-MATCH($C$1,[2]quests!$1:$1,0)+1),MATCH(E$1,[2]quests!$1:$1,0)-MATCH($C$1,[2]quests!$1:$1,0)+1,FALSE)</f>
        <v>エジプト神話シリーズ超級</v>
      </c>
      <c r="F6" s="21">
        <v>2</v>
      </c>
      <c r="G6" s="23" t="str">
        <f t="shared" si="1"/>
        <v>30038_2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【上級】毒絶神の願い</v>
      </c>
      <c r="I6" s="21">
        <v>1</v>
      </c>
      <c r="J6" s="12">
        <v>30</v>
      </c>
      <c r="K6" s="12">
        <v>30</v>
      </c>
    </row>
    <row r="7" spans="1:11" ht="21" customHeight="1" x14ac:dyDescent="0.15">
      <c r="A7" s="16" t="str">
        <f t="shared" si="0"/>
        <v>30038_2-2</v>
      </c>
      <c r="B7" s="16" t="str">
        <f>IF(COUNTIF(enemy_habitats!$H:$H,A7),"OK","NG")</f>
        <v>OK</v>
      </c>
      <c r="C7" s="7">
        <v>30038</v>
      </c>
      <c r="D7" s="11" t="str">
        <f ca="1">VLOOKUP($C7,OFFSET([2]quests!$A$1,0,0,COUNTA([2]quests!$A:$A),MATCH(D$1,[2]quests!$1:$1,0)-MATCH($C$1,[2]quests!$1:$1,0)+1),MATCH(D$1,[2]quests!$1:$1,0)-MATCH($C$1,[2]quests!$1:$1,0)+1,FALSE)</f>
        <v>毒絶神の願い</v>
      </c>
      <c r="E7" s="18" t="str">
        <f ca="1">VLOOKUP($C7,OFFSET([2]quests!$A$1,0,0,COUNTA([2]quests!$A:$A),MATCH(E$1,[2]quests!$1:$1,0)-MATCH($C$1,[2]quests!$1:$1,0)+1),MATCH(E$1,[2]quests!$1:$1,0)-MATCH($C$1,[2]quests!$1:$1,0)+1,FALSE)</f>
        <v>エジプト神話シリーズ超級</v>
      </c>
      <c r="F7" s="21">
        <v>2</v>
      </c>
      <c r="G7" s="23" t="str">
        <f t="shared" si="1"/>
        <v>30038_2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【上級】毒絶神の願い</v>
      </c>
      <c r="I7" s="21">
        <v>2</v>
      </c>
      <c r="J7" s="12">
        <v>55</v>
      </c>
      <c r="K7" s="12">
        <v>55</v>
      </c>
    </row>
    <row r="8" spans="1:11" ht="21" customHeight="1" x14ac:dyDescent="0.15">
      <c r="A8" s="16" t="str">
        <f t="shared" si="0"/>
        <v>30038_2-3</v>
      </c>
      <c r="B8" s="16" t="str">
        <f>IF(COUNTIF(enemy_habitats!$H:$H,A8),"OK","NG")</f>
        <v>OK</v>
      </c>
      <c r="C8" s="7">
        <v>30038</v>
      </c>
      <c r="D8" s="11" t="str">
        <f ca="1">VLOOKUP($C8,OFFSET([2]quests!$A$1,0,0,COUNTA([2]quests!$A:$A),MATCH(D$1,[2]quests!$1:$1,0)-MATCH($C$1,[2]quests!$1:$1,0)+1),MATCH(D$1,[2]quests!$1:$1,0)-MATCH($C$1,[2]quests!$1:$1,0)+1,FALSE)</f>
        <v>毒絶神の願い</v>
      </c>
      <c r="E8" s="18" t="str">
        <f ca="1">VLOOKUP($C8,OFFSET([2]quests!$A$1,0,0,COUNTA([2]quests!$A:$A),MATCH(E$1,[2]quests!$1:$1,0)-MATCH($C$1,[2]quests!$1:$1,0)+1),MATCH(E$1,[2]quests!$1:$1,0)-MATCH($C$1,[2]quests!$1:$1,0)+1,FALSE)</f>
        <v>エジプト神話シリーズ超級</v>
      </c>
      <c r="F8" s="21">
        <v>2</v>
      </c>
      <c r="G8" s="23" t="str">
        <f t="shared" si="1"/>
        <v>30038_2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【上級】毒絶神の願い</v>
      </c>
      <c r="I8" s="21">
        <v>3</v>
      </c>
      <c r="J8" s="12">
        <v>15</v>
      </c>
      <c r="K8" s="12">
        <v>15</v>
      </c>
    </row>
    <row r="9" spans="1:11" ht="21" customHeight="1" x14ac:dyDescent="0.15">
      <c r="A9" s="16" t="str">
        <f t="shared" si="0"/>
        <v>30038_2-4</v>
      </c>
      <c r="B9" s="16" t="str">
        <f>IF(COUNTIF(enemy_habitats!$H:$H,A9),"OK","NG")</f>
        <v>OK</v>
      </c>
      <c r="C9" s="7">
        <v>30038</v>
      </c>
      <c r="D9" s="11" t="str">
        <f ca="1">VLOOKUP($C9,OFFSET([2]quests!$A$1,0,0,COUNTA([2]quests!$A:$A),MATCH(D$1,[2]quests!$1:$1,0)-MATCH($C$1,[2]quests!$1:$1,0)+1),MATCH(D$1,[2]quests!$1:$1,0)-MATCH($C$1,[2]quests!$1:$1,0)+1,FALSE)</f>
        <v>毒絶神の願い</v>
      </c>
      <c r="E9" s="18" t="str">
        <f ca="1">VLOOKUP($C9,OFFSET([2]quests!$A$1,0,0,COUNTA([2]quests!$A:$A),MATCH(E$1,[2]quests!$1:$1,0)-MATCH($C$1,[2]quests!$1:$1,0)+1),MATCH(E$1,[2]quests!$1:$1,0)-MATCH($C$1,[2]quests!$1:$1,0)+1,FALSE)</f>
        <v>エジプト神話シリーズ超級</v>
      </c>
      <c r="F9" s="21">
        <v>2</v>
      </c>
      <c r="G9" s="23" t="str">
        <f t="shared" si="1"/>
        <v>30038_2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【上級】毒絶神の願い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30038_3-1</v>
      </c>
      <c r="B10" s="16" t="str">
        <f>IF(COUNTIF(enemy_habitats!$H:$H,A10),"OK","NG")</f>
        <v>OK</v>
      </c>
      <c r="C10" s="7">
        <v>30038</v>
      </c>
      <c r="D10" s="11" t="str">
        <f ca="1">VLOOKUP($C10,OFFSET([2]quests!$A$1,0,0,COUNTA([2]quests!$A:$A),MATCH(D$1,[2]quests!$1:$1,0)-MATCH($C$1,[2]quests!$1:$1,0)+1),MATCH(D$1,[2]quests!$1:$1,0)-MATCH($C$1,[2]quests!$1:$1,0)+1,FALSE)</f>
        <v>毒絶神の願い</v>
      </c>
      <c r="E10" s="18" t="str">
        <f ca="1">VLOOKUP($C10,OFFSET([2]quests!$A$1,0,0,COUNTA([2]quests!$A:$A),MATCH(E$1,[2]quests!$1:$1,0)-MATCH($C$1,[2]quests!$1:$1,0)+1),MATCH(E$1,[2]quests!$1:$1,0)-MATCH($C$1,[2]quests!$1:$1,0)+1,FALSE)</f>
        <v>エジプト神話シリーズ超級</v>
      </c>
      <c r="F10" s="21">
        <v>3</v>
      </c>
      <c r="G10" s="23" t="str">
        <f t="shared" si="1"/>
        <v>30038_3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【超級】毒絶神の願い</v>
      </c>
      <c r="I10" s="21">
        <v>1</v>
      </c>
      <c r="J10" s="12">
        <v>30</v>
      </c>
      <c r="K10" s="12">
        <v>30</v>
      </c>
    </row>
    <row r="11" spans="1:11" ht="21" customHeight="1" x14ac:dyDescent="0.15">
      <c r="A11" s="16" t="str">
        <f t="shared" si="0"/>
        <v>30038_3-2</v>
      </c>
      <c r="B11" s="16" t="str">
        <f>IF(COUNTIF(enemy_habitats!$H:$H,A11),"OK","NG")</f>
        <v>OK</v>
      </c>
      <c r="C11" s="7">
        <v>30038</v>
      </c>
      <c r="D11" s="11" t="str">
        <f ca="1">VLOOKUP($C11,OFFSET([2]quests!$A$1,0,0,COUNTA([2]quests!$A:$A),MATCH(D$1,[2]quests!$1:$1,0)-MATCH($C$1,[2]quests!$1:$1,0)+1),MATCH(D$1,[2]quests!$1:$1,0)-MATCH($C$1,[2]quests!$1:$1,0)+1,FALSE)</f>
        <v>毒絶神の願い</v>
      </c>
      <c r="E11" s="18" t="str">
        <f ca="1">VLOOKUP($C11,OFFSET([2]quests!$A$1,0,0,COUNTA([2]quests!$A:$A),MATCH(E$1,[2]quests!$1:$1,0)-MATCH($C$1,[2]quests!$1:$1,0)+1),MATCH(E$1,[2]quests!$1:$1,0)-MATCH($C$1,[2]quests!$1:$1,0)+1,FALSE)</f>
        <v>エジプト神話シリーズ超級</v>
      </c>
      <c r="F11" s="21">
        <v>3</v>
      </c>
      <c r="G11" s="23" t="str">
        <f t="shared" si="1"/>
        <v>30038_3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【超級】毒絶神の願い</v>
      </c>
      <c r="I11" s="21">
        <v>2</v>
      </c>
      <c r="J11" s="12">
        <v>55</v>
      </c>
      <c r="K11" s="12">
        <v>55</v>
      </c>
    </row>
    <row r="12" spans="1:11" ht="21" customHeight="1" x14ac:dyDescent="0.15">
      <c r="A12" s="16" t="str">
        <f t="shared" si="0"/>
        <v>30038_3-3</v>
      </c>
      <c r="B12" s="16" t="str">
        <f>IF(COUNTIF(enemy_habitats!$H:$H,A12),"OK","NG")</f>
        <v>OK</v>
      </c>
      <c r="C12" s="7">
        <v>30038</v>
      </c>
      <c r="D12" s="11" t="str">
        <f ca="1">VLOOKUP($C12,OFFSET([2]quests!$A$1,0,0,COUNTA([2]quests!$A:$A),MATCH(D$1,[2]quests!$1:$1,0)-MATCH($C$1,[2]quests!$1:$1,0)+1),MATCH(D$1,[2]quests!$1:$1,0)-MATCH($C$1,[2]quests!$1:$1,0)+1,FALSE)</f>
        <v>毒絶神の願い</v>
      </c>
      <c r="E12" s="18" t="str">
        <f ca="1">VLOOKUP($C12,OFFSET([2]quests!$A$1,0,0,COUNTA([2]quests!$A:$A),MATCH(E$1,[2]quests!$1:$1,0)-MATCH($C$1,[2]quests!$1:$1,0)+1),MATCH(E$1,[2]quests!$1:$1,0)-MATCH($C$1,[2]quests!$1:$1,0)+1,FALSE)</f>
        <v>エジプト神話シリーズ超級</v>
      </c>
      <c r="F12" s="21">
        <v>3</v>
      </c>
      <c r="G12" s="23" t="str">
        <f t="shared" si="1"/>
        <v>30038_3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【超級】毒絶神の願い</v>
      </c>
      <c r="I12" s="21">
        <v>3</v>
      </c>
      <c r="J12" s="12">
        <v>15</v>
      </c>
      <c r="K12" s="12">
        <v>15</v>
      </c>
    </row>
    <row r="13" spans="1:11" ht="21" customHeight="1" x14ac:dyDescent="0.15">
      <c r="A13" s="16" t="str">
        <f t="shared" si="0"/>
        <v>30038_3-4</v>
      </c>
      <c r="B13" s="16" t="str">
        <f>IF(COUNTIF(enemy_habitats!$H:$H,A13),"OK","NG")</f>
        <v>OK</v>
      </c>
      <c r="C13" s="7">
        <v>30038</v>
      </c>
      <c r="D13" s="11" t="str">
        <f ca="1">VLOOKUP($C13,OFFSET([2]quests!$A$1,0,0,COUNTA([2]quests!$A:$A),MATCH(D$1,[2]quests!$1:$1,0)-MATCH($C$1,[2]quests!$1:$1,0)+1),MATCH(D$1,[2]quests!$1:$1,0)-MATCH($C$1,[2]quests!$1:$1,0)+1,FALSE)</f>
        <v>毒絶神の願い</v>
      </c>
      <c r="E13" s="18" t="str">
        <f ca="1">VLOOKUP($C13,OFFSET([2]quests!$A$1,0,0,COUNTA([2]quests!$A:$A),MATCH(E$1,[2]quests!$1:$1,0)-MATCH($C$1,[2]quests!$1:$1,0)+1),MATCH(E$1,[2]quests!$1:$1,0)-MATCH($C$1,[2]quests!$1:$1,0)+1,FALSE)</f>
        <v>エジプト神話シリーズ超級</v>
      </c>
      <c r="F13" s="21">
        <v>3</v>
      </c>
      <c r="G13" s="23" t="str">
        <f t="shared" si="1"/>
        <v>30038_3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【超級】毒絶神の願い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tabSelected="1" topLeftCell="F1" zoomScale="75" zoomScaleNormal="75" zoomScalePageLayoutView="75" workbookViewId="0">
      <selection activeCell="F21" sqref="F2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22.6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8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22.332031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6" t="s">
        <v>250</v>
      </c>
      <c r="U1" s="26" t="s">
        <v>50</v>
      </c>
      <c r="V1" s="96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 ca="1">B2&amp;"_"&amp;C2&amp;"-"&amp;G2&amp;"/"&amp;L2&amp;"&lt;lv"&amp;R2&amp;"&gt;s"&amp;AC2</f>
        <v>30038_1-1/151&lt;lv35&gt;s2</v>
      </c>
      <c r="B2" s="22">
        <v>30038</v>
      </c>
      <c r="C2" s="21">
        <v>1</v>
      </c>
      <c r="D2" s="2" t="str">
        <f>B2&amp;"_"&amp;C2</f>
        <v>30038_1</v>
      </c>
      <c r="E2" s="4" t="str">
        <f ca="1">VLOOKUP($B2,OFFSET([2]quests!$A$1,0,0,COUNTA([2]quests!$A:$A),MATCH(E$1,[2]quests!$1:$1,0)-MATCH($B$1,[2]quests!$1:$1,0)+1),MATCH(E$1,[2]quests!$1:$1,0)-MATCH($B$1,[2]quests!$1:$1,0)+1,FALSE)</f>
        <v>毒絶神の願い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【中級】毒絶神の願い</v>
      </c>
      <c r="G2" s="21">
        <v>1</v>
      </c>
      <c r="H2" s="15" t="str">
        <f>B2&amp;"_"&amp;C2&amp;"-"&amp;G2</f>
        <v>30038_1-1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151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毒煙の処刑人サキ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35</v>
      </c>
      <c r="S2" s="25">
        <v>2</v>
      </c>
      <c r="T2" s="97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80286</v>
      </c>
      <c r="U2" s="25">
        <v>1</v>
      </c>
      <c r="V2" s="97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3364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30038010</v>
      </c>
      <c r="Z2" s="6">
        <v>0</v>
      </c>
      <c r="AA2" s="6">
        <v>100</v>
      </c>
      <c r="AB2" s="6">
        <v>0</v>
      </c>
      <c r="AC2" s="17">
        <f ca="1">VLOOKUP($L2,OFFSET([3]enemies!$A$1,0,0,COUNTA([3]enemies!$A:$A),MATCH(AC$1,[3]enemies!$1:$1,0)-MATCH($L$1,[3]enemies!$1:$1,0)+1),MATCH(AC$1,[3]enemies!$1:$1,0)-MATCH($L$1,[3]enemies!$1:$1,0)+1,FALSE)</f>
        <v>2</v>
      </c>
      <c r="AD2" s="24">
        <f>L2</f>
        <v>151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毒煙の処刑人サキ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" s="7">
        <v>1</v>
      </c>
      <c r="AI2" s="24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5">
        <v>1</v>
      </c>
    </row>
    <row r="3" spans="1:42" ht="21" customHeight="1" x14ac:dyDescent="0.15">
      <c r="A3" s="16" t="str">
        <f t="shared" ref="A3:A17" ca="1" si="0">B3&amp;"_"&amp;C3&amp;"-"&amp;G3&amp;"/"&amp;L3&amp;"&lt;lv"&amp;R3&amp;"&gt;s"&amp;AC3</f>
        <v>30038_1-2/387&lt;lv35&gt;s3</v>
      </c>
      <c r="B3" s="22">
        <v>30038</v>
      </c>
      <c r="C3" s="21">
        <v>1</v>
      </c>
      <c r="D3" s="2" t="str">
        <f t="shared" ref="D3:D17" si="1">B3&amp;"_"&amp;C3</f>
        <v>30038_1</v>
      </c>
      <c r="E3" s="4" t="str">
        <f ca="1">VLOOKUP($B3,OFFSET([2]quests!$A$1,0,0,COUNTA([2]quests!$A:$A),MATCH(E$1,[2]quests!$1:$1,0)-MATCH($B$1,[2]quests!$1:$1,0)+1),MATCH(E$1,[2]quests!$1:$1,0)-MATCH($B$1,[2]quests!$1:$1,0)+1,FALSE)</f>
        <v>毒絶神の願い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【中級】毒絶神の願い</v>
      </c>
      <c r="G3" s="21">
        <v>2</v>
      </c>
      <c r="H3" s="15" t="str">
        <f t="shared" ref="H3:H17" si="2">B3&amp;"_"&amp;C3&amp;"-"&amp;G3</f>
        <v>30038_1-2</v>
      </c>
      <c r="I3" s="4">
        <f ca="1">VLOOKUP($H3,OFFSET(floors!$A$1,0,0,COUNTA(floors!$A:$A),MATCH(I$1,floors!$1:$1,0)-MATCH($H$1,floors!$1:$1,0)+1),MATCH(I$1,floors!$1:$1,0)-MATCH($H$1,floors!$1:$1,0)+1,FALSE)</f>
        <v>55</v>
      </c>
      <c r="J3" s="4">
        <f ca="1">VLOOKUP($H3,OFFSET(floors!$A$1,0,0,COUNTA(floors!$A:$A),MATCH(J$1,floors!$1:$1,0)-MATCH($H$1,floors!$1:$1,0)+1),MATCH(J$1,floors!$1:$1,0)-MATCH($H$1,floors!$1:$1,0)+1,FALSE)</f>
        <v>55</v>
      </c>
      <c r="K3" s="38" t="s">
        <v>53</v>
      </c>
      <c r="L3" s="20">
        <v>387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スフィンクス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25</v>
      </c>
      <c r="R3" s="5">
        <v>35</v>
      </c>
      <c r="S3" s="25">
        <v>0.7</v>
      </c>
      <c r="T3" s="97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24037.3</v>
      </c>
      <c r="U3" s="25">
        <v>0.4</v>
      </c>
      <c r="V3" s="97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1233.6000000000001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">
        <v>30038002</v>
      </c>
      <c r="Z3" s="6">
        <v>0</v>
      </c>
      <c r="AA3" s="6">
        <v>100</v>
      </c>
      <c r="AB3" s="6">
        <v>1</v>
      </c>
      <c r="AC3" s="17">
        <f ca="1">VLOOKUP($L3,OFFSET([3]enemies!$A$1,0,0,COUNTA([3]enemies!$A:$A),MATCH(AC$1,[3]enemies!$1:$1,0)-MATCH($L$1,[3]enemies!$1:$1,0)+1),MATCH(AC$1,[3]enemies!$1:$1,0)-MATCH($L$1,[3]enemies!$1:$1,0)+1,FALSE)</f>
        <v>3</v>
      </c>
      <c r="AD3" s="24">
        <f t="shared" ref="AD3:AD17" si="3">L3</f>
        <v>387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スフィンクス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t="shared" ref="AI3:AI16" ca="1" si="4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5">
        <v>1</v>
      </c>
    </row>
    <row r="4" spans="1:42" ht="21" customHeight="1" x14ac:dyDescent="0.15">
      <c r="A4" s="16" t="str">
        <f t="shared" ca="1" si="0"/>
        <v>30038_1-2/65&lt;lv35&gt;s2</v>
      </c>
      <c r="B4" s="22">
        <v>30038</v>
      </c>
      <c r="C4" s="21">
        <v>1</v>
      </c>
      <c r="D4" s="2" t="str">
        <f t="shared" si="1"/>
        <v>30038_1</v>
      </c>
      <c r="E4" s="4" t="str">
        <f ca="1">VLOOKUP($B4,OFFSET([2]quests!$A$1,0,0,COUNTA([2]quests!$A:$A),MATCH(E$1,[2]quests!$1:$1,0)-MATCH($B$1,[2]quests!$1:$1,0)+1),MATCH(E$1,[2]quests!$1:$1,0)-MATCH($B$1,[2]quests!$1:$1,0)+1,FALSE)</f>
        <v>毒絶神の願い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【中級】毒絶神の願い</v>
      </c>
      <c r="G4" s="21">
        <v>2</v>
      </c>
      <c r="H4" s="15" t="str">
        <f t="shared" si="2"/>
        <v>30038_1-2</v>
      </c>
      <c r="I4" s="4">
        <f ca="1">VLOOKUP($H4,OFFSET(floors!$A$1,0,0,COUNTA(floors!$A:$A),MATCH(I$1,floors!$1:$1,0)-MATCH($H$1,floors!$1:$1,0)+1),MATCH(I$1,floors!$1:$1,0)-MATCH($H$1,floors!$1:$1,0)+1,FALSE)</f>
        <v>55</v>
      </c>
      <c r="J4" s="4">
        <f ca="1">VLOOKUP($H4,OFFSET(floors!$A$1,0,0,COUNTA(floors!$A:$A),MATCH(J$1,floors!$1:$1,0)-MATCH($H$1,floors!$1:$1,0)+1),MATCH(J$1,floors!$1:$1,0)-MATCH($H$1,floors!$1:$1,0)+1,FALSE)</f>
        <v>55</v>
      </c>
      <c r="K4" s="38" t="s">
        <v>53</v>
      </c>
      <c r="L4" s="20">
        <v>65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ファイアフォックス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35</v>
      </c>
      <c r="S4" s="25">
        <v>1</v>
      </c>
      <c r="T4" s="97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7300</v>
      </c>
      <c r="U4" s="25">
        <v>1</v>
      </c>
      <c r="V4" s="97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3268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">
        <v>30038003</v>
      </c>
      <c r="Z4" s="6">
        <v>1</v>
      </c>
      <c r="AA4" s="6">
        <v>100</v>
      </c>
      <c r="AB4" s="6">
        <v>2</v>
      </c>
      <c r="AC4" s="17">
        <f ca="1">VLOOKUP($L4,OFFSET([3]enemies!$A$1,0,0,COUNTA([3]enemies!$A:$A),MATCH(AC$1,[3]enemies!$1:$1,0)-MATCH($L$1,[3]enemies!$1:$1,0)+1),MATCH(AC$1,[3]enemies!$1:$1,0)-MATCH($L$1,[3]enemies!$1:$1,0)+1,FALSE)</f>
        <v>2</v>
      </c>
      <c r="AD4" s="24">
        <f t="shared" si="3"/>
        <v>65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t="shared" ca="1" si="4"/>
        <v>2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5">
        <v>1</v>
      </c>
    </row>
    <row r="5" spans="1:42" ht="21" customHeight="1" x14ac:dyDescent="0.15">
      <c r="A5" s="16" t="str">
        <f t="shared" ca="1" si="0"/>
        <v>30038_1-2/10&lt;lv35&gt;s2</v>
      </c>
      <c r="B5" s="22">
        <v>30038</v>
      </c>
      <c r="C5" s="21">
        <v>1</v>
      </c>
      <c r="D5" s="2" t="str">
        <f t="shared" si="1"/>
        <v>30038_1</v>
      </c>
      <c r="E5" s="4" t="str">
        <f ca="1">VLOOKUP($B5,OFFSET([2]quests!$A$1,0,0,COUNTA([2]quests!$A:$A),MATCH(E$1,[2]quests!$1:$1,0)-MATCH($B$1,[2]quests!$1:$1,0)+1),MATCH(E$1,[2]quests!$1:$1,0)-MATCH($B$1,[2]quests!$1:$1,0)+1,FALSE)</f>
        <v>毒絶神の願い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【中級】毒絶神の願い</v>
      </c>
      <c r="G5" s="21">
        <v>2</v>
      </c>
      <c r="H5" s="15" t="str">
        <f t="shared" si="2"/>
        <v>30038_1-2</v>
      </c>
      <c r="I5" s="4">
        <f ca="1">VLOOKUP($H5,OFFSET(floors!$A$1,0,0,COUNTA(floors!$A:$A),MATCH(I$1,floors!$1:$1,0)-MATCH($H$1,floors!$1:$1,0)+1),MATCH(I$1,floors!$1:$1,0)-MATCH($H$1,floors!$1:$1,0)+1,FALSE)</f>
        <v>55</v>
      </c>
      <c r="J5" s="4">
        <f ca="1">VLOOKUP($H5,OFFSET(floors!$A$1,0,0,COUNTA(floors!$A:$A),MATCH(J$1,floors!$1:$1,0)-MATCH($H$1,floors!$1:$1,0)+1),MATCH(J$1,floors!$1:$1,0)-MATCH($H$1,floors!$1:$1,0)+1,FALSE)</f>
        <v>55</v>
      </c>
      <c r="K5" s="38" t="s">
        <v>53</v>
      </c>
      <c r="L5" s="20">
        <v>10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燃える悪戯魂 ブレット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35</v>
      </c>
      <c r="S5" s="25">
        <v>1</v>
      </c>
      <c r="T5" s="97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7300</v>
      </c>
      <c r="U5" s="25">
        <v>1</v>
      </c>
      <c r="V5" s="97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3268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">
        <v>30038004</v>
      </c>
      <c r="Z5" s="6">
        <v>1</v>
      </c>
      <c r="AA5" s="6">
        <v>100</v>
      </c>
      <c r="AB5" s="6">
        <v>2</v>
      </c>
      <c r="AC5" s="17">
        <f ca="1">VLOOKUP($L5,OFFSET([3]enemies!$A$1,0,0,COUNTA([3]enemies!$A:$A),MATCH(AC$1,[3]enemies!$1:$1,0)-MATCH($L$1,[3]enemies!$1:$1,0)+1),MATCH(AC$1,[3]enemies!$1:$1,0)-MATCH($L$1,[3]enemies!$1:$1,0)+1,FALSE)</f>
        <v>2</v>
      </c>
      <c r="AD5" s="24">
        <f t="shared" si="3"/>
        <v>10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燃える悪戯魂 ブレット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Drop1W</v>
      </c>
      <c r="AH5" s="7">
        <v>1</v>
      </c>
      <c r="AI5" s="24">
        <v>1</v>
      </c>
      <c r="AJ5" s="8">
        <v>20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5">
        <v>1</v>
      </c>
    </row>
    <row r="6" spans="1:42" ht="21" customHeight="1" x14ac:dyDescent="0.15">
      <c r="A6" s="16" t="str">
        <f t="shared" ca="1" si="0"/>
        <v>30038_1-3/363&lt;lv35&gt;s3</v>
      </c>
      <c r="B6" s="22">
        <v>30038</v>
      </c>
      <c r="C6" s="21">
        <v>1</v>
      </c>
      <c r="D6" s="2" t="str">
        <f t="shared" si="1"/>
        <v>30038_1</v>
      </c>
      <c r="E6" s="4" t="str">
        <f ca="1">VLOOKUP($B6,OFFSET([2]quests!$A$1,0,0,COUNTA([2]quests!$A:$A),MATCH(E$1,[2]quests!$1:$1,0)-MATCH($B$1,[2]quests!$1:$1,0)+1),MATCH(E$1,[2]quests!$1:$1,0)-MATCH($B$1,[2]quests!$1:$1,0)+1,FALSE)</f>
        <v>毒絶神の願い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【中級】毒絶神の願い</v>
      </c>
      <c r="G6" s="21">
        <v>3</v>
      </c>
      <c r="H6" s="15" t="str">
        <f t="shared" si="2"/>
        <v>30038_1-3</v>
      </c>
      <c r="I6" s="4">
        <f ca="1">VLOOKUP($H6,OFFSET(floors!$A$1,0,0,COUNTA(floors!$A:$A),MATCH(I$1,floors!$1:$1,0)-MATCH($H$1,floors!$1:$1,0)+1),MATCH(I$1,floors!$1:$1,0)-MATCH($H$1,floors!$1:$1,0)+1,FALSE)</f>
        <v>15</v>
      </c>
      <c r="J6" s="4">
        <f ca="1">VLOOKUP($H6,OFFSET(floors!$A$1,0,0,COUNTA(floors!$A:$A),MATCH(J$1,floors!$1:$1,0)-MATCH($H$1,floors!$1:$1,0)+1),MATCH(J$1,floors!$1:$1,0)-MATCH($H$1,floors!$1:$1,0)+1,FALSE)</f>
        <v>15</v>
      </c>
      <c r="K6" s="38" t="s">
        <v>53</v>
      </c>
      <c r="L6" s="20">
        <v>363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花咲く幼精 ゆらら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35</v>
      </c>
      <c r="S6" s="25">
        <v>1</v>
      </c>
      <c r="T6" s="97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6701</v>
      </c>
      <c r="U6" s="25">
        <v>1</v>
      </c>
      <c r="V6" s="97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2125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">
        <v>30038007</v>
      </c>
      <c r="Z6" s="6">
        <v>1</v>
      </c>
      <c r="AA6" s="6">
        <v>100</v>
      </c>
      <c r="AB6" s="6">
        <v>0</v>
      </c>
      <c r="AC6" s="17">
        <f ca="1">VLOOKUP($L6,OFFSET([3]enemies!$A$1,0,0,COUNTA([3]enemies!$A:$A),MATCH(AC$1,[3]enemies!$1:$1,0)-MATCH($L$1,[3]enemies!$1:$1,0)+1),MATCH(AC$1,[3]enemies!$1:$1,0)-MATCH($L$1,[3]enemies!$1:$1,0)+1,FALSE)</f>
        <v>3</v>
      </c>
      <c r="AD6" s="24">
        <f t="shared" si="3"/>
        <v>363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花咲く幼精 ゆらら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Drop1S</v>
      </c>
      <c r="AH6" s="7">
        <v>1</v>
      </c>
      <c r="AI6" s="24">
        <v>2</v>
      </c>
      <c r="AJ6" s="8">
        <v>20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5">
        <v>1</v>
      </c>
    </row>
    <row r="7" spans="1:42" ht="21" customHeight="1" thickBot="1" x14ac:dyDescent="0.2">
      <c r="A7" s="111" t="str">
        <f t="shared" ca="1" si="0"/>
        <v>30038_1-4/1006&lt;lv40&gt;s3</v>
      </c>
      <c r="B7" s="112">
        <v>30038</v>
      </c>
      <c r="C7" s="113">
        <v>1</v>
      </c>
      <c r="D7" s="114" t="str">
        <f t="shared" si="1"/>
        <v>30038_1</v>
      </c>
      <c r="E7" s="115" t="str">
        <f ca="1">VLOOKUP($B7,OFFSET([2]quests!$A$1,0,0,COUNTA([2]quests!$A:$A),MATCH(E$1,[2]quests!$1:$1,0)-MATCH($B$1,[2]quests!$1:$1,0)+1),MATCH(E$1,[2]quests!$1:$1,0)-MATCH($B$1,[2]quests!$1:$1,0)+1,FALSE)</f>
        <v>毒絶神の願い</v>
      </c>
      <c r="F7" s="115" t="str">
        <f ca="1">VLOOKUP($D7,OFFSET([2]stages!$A$1,0,0,COUNTA([2]stages!$A:$A),MATCH(F$1,[2]stages!$2:$2,0)-MATCH($D$1,[2]stages!$2:$2,0)+1),MATCH(F$1,[2]stages!$2:$2,0)-MATCH($D$1,[2]stages!$2:$2,0)+1,FALSE)</f>
        <v>【中級】毒絶神の願い</v>
      </c>
      <c r="G7" s="113">
        <v>4</v>
      </c>
      <c r="H7" s="114" t="str">
        <f t="shared" si="2"/>
        <v>30038_1-4</v>
      </c>
      <c r="I7" s="115">
        <f ca="1">VLOOKUP($H7,OFFSET(floors!$A$1,0,0,COUNTA(floors!$A:$A),MATCH(I$1,floors!$1:$1,0)-MATCH($H$1,floors!$1:$1,0)+1),MATCH(I$1,floors!$1:$1,0)-MATCH($H$1,floors!$1:$1,0)+1,FALSE)</f>
        <v>60</v>
      </c>
      <c r="J7" s="115">
        <f ca="1">VLOOKUP($H7,OFFSET(floors!$A$1,0,0,COUNTA(floors!$A:$A),MATCH(J$1,floors!$1:$1,0)-MATCH($H$1,floors!$1:$1,0)+1),MATCH(J$1,floors!$1:$1,0)-MATCH($H$1,floors!$1:$1,0)+1,FALSE)</f>
        <v>60</v>
      </c>
      <c r="K7" s="116">
        <v>1</v>
      </c>
      <c r="L7" s="117">
        <v>1006</v>
      </c>
      <c r="M7" s="118" t="str">
        <f ca="1">VLOOKUP($L7,OFFSET([3]enemies!$A$1,0,0,COUNTA([3]enemies!$A:$A),MATCH(M$1,[3]enemies!$1:$1,0)-MATCH($L$1,[3]enemies!$1:$1,0)+1),MATCH(M$1,[3]enemies!$1:$1,0)-MATCH($L$1,[3]enemies!$1:$1,0)+1,FALSE)</f>
        <v>セルケト</v>
      </c>
      <c r="N7" s="118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18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18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18">
        <f ca="1">VLOOKUP($L7,OFFSET([3]enemies!$A$1,0,0,COUNTA([3]enemies!$A:$A),MATCH(Q$1,[3]enemies!$1:$1,0)-MATCH($L$1,[3]enemies!$1:$1,0)+1),MATCH(Q$1,[3]enemies!$1:$1,0)-MATCH($L$1,[3]enemies!$1:$1,0)+1,FALSE)</f>
        <v>30</v>
      </c>
      <c r="R7" s="119">
        <v>40</v>
      </c>
      <c r="S7" s="120">
        <v>1.8</v>
      </c>
      <c r="T7" s="12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93225.600000000006</v>
      </c>
      <c r="U7" s="120">
        <v>1</v>
      </c>
      <c r="V7" s="12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4378</v>
      </c>
      <c r="W7" s="119">
        <v>100</v>
      </c>
      <c r="X7" s="115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115">
        <v>30038008</v>
      </c>
      <c r="Z7" s="122">
        <v>1</v>
      </c>
      <c r="AA7" s="122">
        <v>100</v>
      </c>
      <c r="AB7" s="122">
        <v>1</v>
      </c>
      <c r="AC7" s="118">
        <f ca="1">VLOOKUP($L7,OFFSET([3]enemies!$A$1,0,0,COUNTA([3]enemies!$A:$A),MATCH(AC$1,[3]enemies!$1:$1,0)-MATCH($L$1,[3]enemies!$1:$1,0)+1),MATCH(AC$1,[3]enemies!$1:$1,0)-MATCH($L$1,[3]enemies!$1:$1,0)+1,FALSE)</f>
        <v>3</v>
      </c>
      <c r="AD7" s="123">
        <f t="shared" si="3"/>
        <v>1006</v>
      </c>
      <c r="AE7" s="115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セルケト</v>
      </c>
      <c r="AF7" s="115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115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124">
        <v>1</v>
      </c>
      <c r="AI7" s="123">
        <f t="shared" ca="1" si="4"/>
        <v>4</v>
      </c>
      <c r="AJ7" s="125">
        <v>20</v>
      </c>
      <c r="AK7" s="124">
        <v>0</v>
      </c>
      <c r="AL7" s="124">
        <v>0</v>
      </c>
      <c r="AM7" s="124">
        <v>0</v>
      </c>
      <c r="AN7" s="124">
        <v>0</v>
      </c>
      <c r="AO7" s="124">
        <v>1</v>
      </c>
      <c r="AP7" s="126">
        <v>1</v>
      </c>
    </row>
    <row r="8" spans="1:42" ht="21" customHeight="1" x14ac:dyDescent="0.15">
      <c r="A8" s="16" t="str">
        <f t="shared" ca="1" si="0"/>
        <v>30038_2-1/151&lt;lv45&gt;s2</v>
      </c>
      <c r="B8" s="22">
        <v>30038</v>
      </c>
      <c r="C8" s="99">
        <v>2</v>
      </c>
      <c r="D8" s="100" t="str">
        <f t="shared" si="1"/>
        <v>30038_2</v>
      </c>
      <c r="E8" s="4" t="str">
        <f ca="1">VLOOKUP($B8,OFFSET([2]quests!$A$1,0,0,COUNTA([2]quests!$A:$A),MATCH(E$1,[2]quests!$1:$1,0)-MATCH($B$1,[2]quests!$1:$1,0)+1),MATCH(E$1,[2]quests!$1:$1,0)-MATCH($B$1,[2]quests!$1:$1,0)+1,FALSE)</f>
        <v>毒絶神の願い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【上級】毒絶神の願い</v>
      </c>
      <c r="G8" s="21">
        <v>1</v>
      </c>
      <c r="H8" s="100" t="str">
        <f t="shared" si="2"/>
        <v>30038_2-1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101" t="s">
        <v>53</v>
      </c>
      <c r="L8" s="102">
        <v>151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毒煙の処刑人サキ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103">
        <v>45</v>
      </c>
      <c r="S8" s="104">
        <v>2</v>
      </c>
      <c r="T8" s="105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102282</v>
      </c>
      <c r="U8" s="104">
        <v>1</v>
      </c>
      <c r="V8" s="105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4285</v>
      </c>
      <c r="W8" s="103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">
        <v>30038011</v>
      </c>
      <c r="Z8" s="106">
        <v>0</v>
      </c>
      <c r="AA8" s="106">
        <v>100</v>
      </c>
      <c r="AB8" s="106">
        <v>0</v>
      </c>
      <c r="AC8" s="17">
        <f ca="1">VLOOKUP($L8,OFFSET([3]enemies!$A$1,0,0,COUNTA([3]enemies!$A:$A),MATCH(AC$1,[3]enemies!$1:$1,0)-MATCH($L$1,[3]enemies!$1:$1,0)+1),MATCH(AC$1,[3]enemies!$1:$1,0)-MATCH($L$1,[3]enemies!$1:$1,0)+1,FALSE)</f>
        <v>2</v>
      </c>
      <c r="AD8" s="107">
        <f t="shared" si="3"/>
        <v>151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毒煙の処刑人サキ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8" s="108">
        <v>1</v>
      </c>
      <c r="AI8" s="107">
        <f t="shared" ca="1" si="4"/>
        <v>4</v>
      </c>
      <c r="AJ8" s="109">
        <v>0</v>
      </c>
      <c r="AK8" s="108">
        <v>0</v>
      </c>
      <c r="AL8" s="108">
        <v>0</v>
      </c>
      <c r="AM8" s="108">
        <v>0</v>
      </c>
      <c r="AN8" s="108">
        <v>0</v>
      </c>
      <c r="AO8" s="108">
        <v>1</v>
      </c>
      <c r="AP8" s="110">
        <v>1</v>
      </c>
    </row>
    <row r="9" spans="1:42" ht="21" customHeight="1" x14ac:dyDescent="0.15">
      <c r="A9" s="16" t="str">
        <f t="shared" ca="1" si="0"/>
        <v>30038_2-2/387&lt;lv45&gt;s3</v>
      </c>
      <c r="B9" s="22">
        <v>30038</v>
      </c>
      <c r="C9" s="21">
        <v>2</v>
      </c>
      <c r="D9" s="2" t="str">
        <f t="shared" si="1"/>
        <v>30038_2</v>
      </c>
      <c r="E9" s="4" t="str">
        <f ca="1">VLOOKUP($B9,OFFSET([2]quests!$A$1,0,0,COUNTA([2]quests!$A:$A),MATCH(E$1,[2]quests!$1:$1,0)-MATCH($B$1,[2]quests!$1:$1,0)+1),MATCH(E$1,[2]quests!$1:$1,0)-MATCH($B$1,[2]quests!$1:$1,0)+1,FALSE)</f>
        <v>毒絶神の願い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【上級】毒絶神の願い</v>
      </c>
      <c r="G9" s="21">
        <v>2</v>
      </c>
      <c r="H9" s="15" t="str">
        <f t="shared" si="2"/>
        <v>30038_2-2</v>
      </c>
      <c r="I9" s="4">
        <f ca="1">VLOOKUP($H9,OFFSET(floors!$A$1,0,0,COUNTA(floors!$A:$A),MATCH(I$1,floors!$1:$1,0)-MATCH($H$1,floors!$1:$1,0)+1),MATCH(I$1,floors!$1:$1,0)-MATCH($H$1,floors!$1:$1,0)+1,FALSE)</f>
        <v>55</v>
      </c>
      <c r="J9" s="4">
        <f ca="1">VLOOKUP($H9,OFFSET(floors!$A$1,0,0,COUNTA(floors!$A:$A),MATCH(J$1,floors!$1:$1,0)-MATCH($H$1,floors!$1:$1,0)+1),MATCH(J$1,floors!$1:$1,0)-MATCH($H$1,floors!$1:$1,0)+1,FALSE)</f>
        <v>55</v>
      </c>
      <c r="K9" s="38" t="s">
        <v>53</v>
      </c>
      <c r="L9" s="20">
        <v>387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スフィンクス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25</v>
      </c>
      <c r="R9" s="5">
        <v>45</v>
      </c>
      <c r="S9" s="25">
        <v>0.7</v>
      </c>
      <c r="T9" s="97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30622.899999999998</v>
      </c>
      <c r="U9" s="25">
        <v>0.4</v>
      </c>
      <c r="V9" s="97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1571.6000000000001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">
        <v>30038002</v>
      </c>
      <c r="Z9" s="6">
        <v>0</v>
      </c>
      <c r="AA9" s="6">
        <v>100</v>
      </c>
      <c r="AB9" s="6">
        <v>1</v>
      </c>
      <c r="AC9" s="17">
        <f ca="1">VLOOKUP($L9,OFFSET([3]enemies!$A$1,0,0,COUNTA([3]enemies!$A:$A),MATCH(AC$1,[3]enemies!$1:$1,0)-MATCH($L$1,[3]enemies!$1:$1,0)+1),MATCH(AC$1,[3]enemies!$1:$1,0)-MATCH($L$1,[3]enemies!$1:$1,0)+1,FALSE)</f>
        <v>3</v>
      </c>
      <c r="AD9" s="24">
        <f t="shared" si="3"/>
        <v>387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スフィンクス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9" s="7">
        <v>1</v>
      </c>
      <c r="AI9" s="24">
        <f t="shared" ca="1" si="4"/>
        <v>3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5">
        <v>1</v>
      </c>
    </row>
    <row r="10" spans="1:42" ht="21" customHeight="1" x14ac:dyDescent="0.15">
      <c r="A10" s="16" t="str">
        <f t="shared" ca="1" si="0"/>
        <v>30038_2-2/65&lt;lv45&gt;s2</v>
      </c>
      <c r="B10" s="22">
        <v>30038</v>
      </c>
      <c r="C10" s="21">
        <v>2</v>
      </c>
      <c r="D10" s="2" t="str">
        <f t="shared" si="1"/>
        <v>30038_2</v>
      </c>
      <c r="E10" s="4" t="str">
        <f ca="1">VLOOKUP($B10,OFFSET([2]quests!$A$1,0,0,COUNTA([2]quests!$A:$A),MATCH(E$1,[2]quests!$1:$1,0)-MATCH($B$1,[2]quests!$1:$1,0)+1),MATCH(E$1,[2]quests!$1:$1,0)-MATCH($B$1,[2]quests!$1:$1,0)+1,FALSE)</f>
        <v>毒絶神の願い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【上級】毒絶神の願い</v>
      </c>
      <c r="G10" s="21">
        <v>2</v>
      </c>
      <c r="H10" s="15" t="str">
        <f t="shared" si="2"/>
        <v>30038_2-2</v>
      </c>
      <c r="I10" s="4">
        <f ca="1">VLOOKUP($H10,OFFSET(floors!$A$1,0,0,COUNTA(floors!$A:$A),MATCH(I$1,floors!$1:$1,0)-MATCH($H$1,floors!$1:$1,0)+1),MATCH(I$1,floors!$1:$1,0)-MATCH($H$1,floors!$1:$1,0)+1,FALSE)</f>
        <v>55</v>
      </c>
      <c r="J10" s="4">
        <f ca="1">VLOOKUP($H10,OFFSET(floors!$A$1,0,0,COUNTA(floors!$A:$A),MATCH(J$1,floors!$1:$1,0)-MATCH($H$1,floors!$1:$1,0)+1),MATCH(J$1,floors!$1:$1,0)-MATCH($H$1,floors!$1:$1,0)+1,FALSE)</f>
        <v>55</v>
      </c>
      <c r="K10" s="38" t="s">
        <v>53</v>
      </c>
      <c r="L10" s="20">
        <v>65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ファイアフォックス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45</v>
      </c>
      <c r="S10" s="25">
        <v>1</v>
      </c>
      <c r="T10" s="97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9300</v>
      </c>
      <c r="U10" s="25">
        <v>1</v>
      </c>
      <c r="V10" s="97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4163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4">
        <v>30038003</v>
      </c>
      <c r="Z10" s="6">
        <v>1</v>
      </c>
      <c r="AA10" s="6">
        <v>100</v>
      </c>
      <c r="AB10" s="6">
        <v>2</v>
      </c>
      <c r="AC10" s="17">
        <f ca="1">VLOOKUP($L10,OFFSET([3]enemies!$A$1,0,0,COUNTA([3]enemies!$A:$A),MATCH(AC$1,[3]enemies!$1:$1,0)-MATCH($L$1,[3]enemies!$1:$1,0)+1),MATCH(AC$1,[3]enemies!$1:$1,0)-MATCH($L$1,[3]enemies!$1:$1,0)+1,FALSE)</f>
        <v>2</v>
      </c>
      <c r="AD10" s="24">
        <f t="shared" si="3"/>
        <v>65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7">
        <v>1</v>
      </c>
      <c r="AI10" s="24">
        <f t="shared" ca="1" si="4"/>
        <v>2</v>
      </c>
      <c r="AJ10" s="8">
        <v>20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5">
        <v>1</v>
      </c>
    </row>
    <row r="11" spans="1:42" ht="21" customHeight="1" x14ac:dyDescent="0.15">
      <c r="A11" s="16" t="str">
        <f t="shared" ca="1" si="0"/>
        <v>30038_2-2/10&lt;lv45&gt;s2</v>
      </c>
      <c r="B11" s="22">
        <v>30038</v>
      </c>
      <c r="C11" s="21">
        <v>2</v>
      </c>
      <c r="D11" s="2" t="str">
        <f t="shared" si="1"/>
        <v>30038_2</v>
      </c>
      <c r="E11" s="4" t="str">
        <f ca="1">VLOOKUP($B11,OFFSET([2]quests!$A$1,0,0,COUNTA([2]quests!$A:$A),MATCH(E$1,[2]quests!$1:$1,0)-MATCH($B$1,[2]quests!$1:$1,0)+1),MATCH(E$1,[2]quests!$1:$1,0)-MATCH($B$1,[2]quests!$1:$1,0)+1,FALSE)</f>
        <v>毒絶神の願い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【上級】毒絶神の願い</v>
      </c>
      <c r="G11" s="21">
        <v>2</v>
      </c>
      <c r="H11" s="15" t="str">
        <f t="shared" si="2"/>
        <v>30038_2-2</v>
      </c>
      <c r="I11" s="4">
        <f ca="1">VLOOKUP($H11,OFFSET(floors!$A$1,0,0,COUNTA(floors!$A:$A),MATCH(I$1,floors!$1:$1,0)-MATCH($H$1,floors!$1:$1,0)+1),MATCH(I$1,floors!$1:$1,0)-MATCH($H$1,floors!$1:$1,0)+1,FALSE)</f>
        <v>55</v>
      </c>
      <c r="J11" s="4">
        <f ca="1">VLOOKUP($H11,OFFSET(floors!$A$1,0,0,COUNTA(floors!$A:$A),MATCH(J$1,floors!$1:$1,0)-MATCH($H$1,floors!$1:$1,0)+1),MATCH(J$1,floors!$1:$1,0)-MATCH($H$1,floors!$1:$1,0)+1,FALSE)</f>
        <v>55</v>
      </c>
      <c r="K11" s="38" t="s">
        <v>53</v>
      </c>
      <c r="L11" s="20">
        <v>10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燃える悪戯魂 ブレット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45</v>
      </c>
      <c r="S11" s="25">
        <v>1</v>
      </c>
      <c r="T11" s="97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9300</v>
      </c>
      <c r="U11" s="25">
        <v>1</v>
      </c>
      <c r="V11" s="97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4163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4">
        <v>30038004</v>
      </c>
      <c r="Z11" s="6">
        <v>1</v>
      </c>
      <c r="AA11" s="6">
        <v>100</v>
      </c>
      <c r="AB11" s="6">
        <v>2</v>
      </c>
      <c r="AC11" s="17">
        <f ca="1">VLOOKUP($L11,OFFSET([3]enemies!$A$1,0,0,COUNTA([3]enemies!$A:$A),MATCH(AC$1,[3]enemies!$1:$1,0)-MATCH($L$1,[3]enemies!$1:$1,0)+1),MATCH(AC$1,[3]enemies!$1:$1,0)-MATCH($L$1,[3]enemies!$1:$1,0)+1,FALSE)</f>
        <v>2</v>
      </c>
      <c r="AD11" s="24">
        <f t="shared" si="3"/>
        <v>10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燃える悪戯魂 ブレット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Drop1W</v>
      </c>
      <c r="AH11" s="7">
        <v>1</v>
      </c>
      <c r="AI11" s="24">
        <v>1</v>
      </c>
      <c r="AJ11" s="8">
        <v>20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5">
        <v>1</v>
      </c>
    </row>
    <row r="12" spans="1:42" ht="21" customHeight="1" x14ac:dyDescent="0.15">
      <c r="A12" s="16" t="str">
        <f t="shared" ca="1" si="0"/>
        <v>30038_2-3/363&lt;lv45&gt;s3</v>
      </c>
      <c r="B12" s="22">
        <v>30038</v>
      </c>
      <c r="C12" s="21">
        <v>2</v>
      </c>
      <c r="D12" s="2" t="str">
        <f t="shared" si="1"/>
        <v>30038_2</v>
      </c>
      <c r="E12" s="4" t="str">
        <f ca="1">VLOOKUP($B12,OFFSET([2]quests!$A$1,0,0,COUNTA([2]quests!$A:$A),MATCH(E$1,[2]quests!$1:$1,0)-MATCH($B$1,[2]quests!$1:$1,0)+1),MATCH(E$1,[2]quests!$1:$1,0)-MATCH($B$1,[2]quests!$1:$1,0)+1,FALSE)</f>
        <v>毒絶神の願い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【上級】毒絶神の願い</v>
      </c>
      <c r="G12" s="21">
        <v>3</v>
      </c>
      <c r="H12" s="15" t="str">
        <f t="shared" si="2"/>
        <v>30038_2-3</v>
      </c>
      <c r="I12" s="4">
        <f ca="1">VLOOKUP($H12,OFFSET(floors!$A$1,0,0,COUNTA(floors!$A:$A),MATCH(I$1,floors!$1:$1,0)-MATCH($H$1,floors!$1:$1,0)+1),MATCH(I$1,floors!$1:$1,0)-MATCH($H$1,floors!$1:$1,0)+1,FALSE)</f>
        <v>15</v>
      </c>
      <c r="J12" s="4">
        <f ca="1">VLOOKUP($H12,OFFSET(floors!$A$1,0,0,COUNTA(floors!$A:$A),MATCH(J$1,floors!$1:$1,0)-MATCH($H$1,floors!$1:$1,0)+1),MATCH(J$1,floors!$1:$1,0)-MATCH($H$1,floors!$1:$1,0)+1,FALSE)</f>
        <v>15</v>
      </c>
      <c r="K12" s="38" t="s">
        <v>53</v>
      </c>
      <c r="L12" s="20">
        <v>363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花咲く幼精 ゆらら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45</v>
      </c>
      <c r="S12" s="25">
        <v>1</v>
      </c>
      <c r="T12" s="97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8537</v>
      </c>
      <c r="U12" s="25">
        <v>1</v>
      </c>
      <c r="V12" s="97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2707</v>
      </c>
      <c r="W12" s="5">
        <v>0</v>
      </c>
      <c r="X12" s="4" t="e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2" s="4">
        <v>30038006</v>
      </c>
      <c r="Z12" s="6">
        <v>1</v>
      </c>
      <c r="AA12" s="6">
        <v>100</v>
      </c>
      <c r="AB12" s="6">
        <v>0</v>
      </c>
      <c r="AC12" s="17">
        <f ca="1">VLOOKUP($L12,OFFSET([3]enemies!$A$1,0,0,COUNTA([3]enemies!$A:$A),MATCH(AC$1,[3]enemies!$1:$1,0)-MATCH($L$1,[3]enemies!$1:$1,0)+1),MATCH(AC$1,[3]enemies!$1:$1,0)-MATCH($L$1,[3]enemies!$1:$1,0)+1,FALSE)</f>
        <v>3</v>
      </c>
      <c r="AD12" s="24">
        <f t="shared" si="3"/>
        <v>363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花咲く幼精 ゆらら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3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Drop1S</v>
      </c>
      <c r="AH12" s="7">
        <v>1</v>
      </c>
      <c r="AI12" s="24">
        <v>2</v>
      </c>
      <c r="AJ12" s="8">
        <v>20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5">
        <v>1</v>
      </c>
    </row>
    <row r="13" spans="1:42" ht="21" customHeight="1" thickBot="1" x14ac:dyDescent="0.2">
      <c r="A13" s="111" t="str">
        <f t="shared" ca="1" si="0"/>
        <v>30038_2-4/1006&lt;lv50&gt;s3</v>
      </c>
      <c r="B13" s="112">
        <v>30038</v>
      </c>
      <c r="C13" s="113">
        <v>2</v>
      </c>
      <c r="D13" s="114" t="str">
        <f t="shared" si="1"/>
        <v>30038_2</v>
      </c>
      <c r="E13" s="115" t="str">
        <f ca="1">VLOOKUP($B13,OFFSET([2]quests!$A$1,0,0,COUNTA([2]quests!$A:$A),MATCH(E$1,[2]quests!$1:$1,0)-MATCH($B$1,[2]quests!$1:$1,0)+1),MATCH(E$1,[2]quests!$1:$1,0)-MATCH($B$1,[2]quests!$1:$1,0)+1,FALSE)</f>
        <v>毒絶神の願い</v>
      </c>
      <c r="F13" s="115" t="str">
        <f ca="1">VLOOKUP($D13,OFFSET([2]stages!$A$1,0,0,COUNTA([2]stages!$A:$A),MATCH(F$1,[2]stages!$2:$2,0)-MATCH($D$1,[2]stages!$2:$2,0)+1),MATCH(F$1,[2]stages!$2:$2,0)-MATCH($D$1,[2]stages!$2:$2,0)+1,FALSE)</f>
        <v>【上級】毒絶神の願い</v>
      </c>
      <c r="G13" s="113">
        <v>4</v>
      </c>
      <c r="H13" s="114" t="str">
        <f t="shared" si="2"/>
        <v>30038_2-4</v>
      </c>
      <c r="I13" s="115">
        <f ca="1">VLOOKUP($H13,OFFSET(floors!$A$1,0,0,COUNTA(floors!$A:$A),MATCH(I$1,floors!$1:$1,0)-MATCH($H$1,floors!$1:$1,0)+1),MATCH(I$1,floors!$1:$1,0)-MATCH($H$1,floors!$1:$1,0)+1,FALSE)</f>
        <v>60</v>
      </c>
      <c r="J13" s="115">
        <f ca="1">VLOOKUP($H13,OFFSET(floors!$A$1,0,0,COUNTA(floors!$A:$A),MATCH(J$1,floors!$1:$1,0)-MATCH($H$1,floors!$1:$1,0)+1),MATCH(J$1,floors!$1:$1,0)-MATCH($H$1,floors!$1:$1,0)+1,FALSE)</f>
        <v>60</v>
      </c>
      <c r="K13" s="116">
        <v>2</v>
      </c>
      <c r="L13" s="117">
        <v>1006</v>
      </c>
      <c r="M13" s="118" t="str">
        <f ca="1">VLOOKUP($L13,OFFSET([3]enemies!$A$1,0,0,COUNTA([3]enemies!$A:$A),MATCH(M$1,[3]enemies!$1:$1,0)-MATCH($L$1,[3]enemies!$1:$1,0)+1),MATCH(M$1,[3]enemies!$1:$1,0)-MATCH($L$1,[3]enemies!$1:$1,0)+1,FALSE)</f>
        <v>セルケト</v>
      </c>
      <c r="N13" s="118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18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18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18">
        <f ca="1">VLOOKUP($L13,OFFSET([3]enemies!$A$1,0,0,COUNTA([3]enemies!$A:$A),MATCH(Q$1,[3]enemies!$1:$1,0)-MATCH($L$1,[3]enemies!$1:$1,0)+1),MATCH(Q$1,[3]enemies!$1:$1,0)-MATCH($L$1,[3]enemies!$1:$1,0)+1,FALSE)</f>
        <v>30</v>
      </c>
      <c r="R13" s="119">
        <v>50</v>
      </c>
      <c r="S13" s="120">
        <v>1.8</v>
      </c>
      <c r="T13" s="121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115689.60000000001</v>
      </c>
      <c r="U13" s="120">
        <v>1</v>
      </c>
      <c r="V13" s="121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5433</v>
      </c>
      <c r="W13" s="119">
        <v>200</v>
      </c>
      <c r="X13" s="115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3" s="115">
        <v>30038008</v>
      </c>
      <c r="Z13" s="122">
        <v>1</v>
      </c>
      <c r="AA13" s="122">
        <v>100</v>
      </c>
      <c r="AB13" s="122">
        <v>1</v>
      </c>
      <c r="AC13" s="118">
        <f ca="1">VLOOKUP($L13,OFFSET([3]enemies!$A$1,0,0,COUNTA([3]enemies!$A:$A),MATCH(AC$1,[3]enemies!$1:$1,0)-MATCH($L$1,[3]enemies!$1:$1,0)+1),MATCH(AC$1,[3]enemies!$1:$1,0)-MATCH($L$1,[3]enemies!$1:$1,0)+1,FALSE)</f>
        <v>3</v>
      </c>
      <c r="AD13" s="123">
        <f t="shared" si="3"/>
        <v>1006</v>
      </c>
      <c r="AE13" s="115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セルケト</v>
      </c>
      <c r="AF13" s="115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115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124">
        <v>1</v>
      </c>
      <c r="AI13" s="123">
        <f t="shared" ca="1" si="4"/>
        <v>4</v>
      </c>
      <c r="AJ13" s="125">
        <v>50</v>
      </c>
      <c r="AK13" s="124">
        <v>0</v>
      </c>
      <c r="AL13" s="124">
        <v>0</v>
      </c>
      <c r="AM13" s="124">
        <v>0</v>
      </c>
      <c r="AN13" s="124">
        <v>0</v>
      </c>
      <c r="AO13" s="124">
        <v>1</v>
      </c>
      <c r="AP13" s="126">
        <v>1</v>
      </c>
    </row>
    <row r="14" spans="1:42" ht="21" customHeight="1" x14ac:dyDescent="0.15">
      <c r="A14" s="16" t="str">
        <f t="shared" ca="1" si="0"/>
        <v>30038_3-1/151&lt;lv50&gt;s2</v>
      </c>
      <c r="B14" s="22">
        <v>30038</v>
      </c>
      <c r="C14" s="99">
        <v>3</v>
      </c>
      <c r="D14" s="100" t="str">
        <f t="shared" si="1"/>
        <v>30038_3</v>
      </c>
      <c r="E14" s="4" t="str">
        <f ca="1">VLOOKUP($B14,OFFSET([2]quests!$A$1,0,0,COUNTA([2]quests!$A:$A),MATCH(E$1,[2]quests!$1:$1,0)-MATCH($B$1,[2]quests!$1:$1,0)+1),MATCH(E$1,[2]quests!$1:$1,0)-MATCH($B$1,[2]quests!$1:$1,0)+1,FALSE)</f>
        <v>毒絶神の願い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【超級】毒絶神の願い</v>
      </c>
      <c r="G14" s="21">
        <v>1</v>
      </c>
      <c r="H14" s="100" t="str">
        <f t="shared" si="2"/>
        <v>30038_3-1</v>
      </c>
      <c r="I14" s="4">
        <f ca="1">VLOOKUP($H14,OFFSET(floors!$A$1,0,0,COUNTA(floors!$A:$A),MATCH(I$1,floors!$1:$1,0)-MATCH($H$1,floors!$1:$1,0)+1),MATCH(I$1,floors!$1:$1,0)-MATCH($H$1,floors!$1:$1,0)+1,FALSE)</f>
        <v>30</v>
      </c>
      <c r="J14" s="4">
        <f ca="1">VLOOKUP($H14,OFFSET(floors!$A$1,0,0,COUNTA(floors!$A:$A),MATCH(J$1,floors!$1:$1,0)-MATCH($H$1,floors!$1:$1,0)+1),MATCH(J$1,floors!$1:$1,0)-MATCH($H$1,floors!$1:$1,0)+1,FALSE)</f>
        <v>30</v>
      </c>
      <c r="K14" s="101" t="s">
        <v>53</v>
      </c>
      <c r="L14" s="102">
        <v>151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毒煙の処刑人サキ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103">
        <v>50</v>
      </c>
      <c r="S14" s="104">
        <v>2</v>
      </c>
      <c r="T14" s="105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113280</v>
      </c>
      <c r="U14" s="104">
        <v>1</v>
      </c>
      <c r="V14" s="105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4746</v>
      </c>
      <c r="W14" s="103">
        <v>0</v>
      </c>
      <c r="X14" s="4" t="e">
        <f ca="1">VLOOKUP($Y14,OFFSET([5]enemy_skill_sets!$B$1,0,0,COUNTA([5]enemy_skill_sets!$B:$B),MATCH(M$1,[5]enemy_skill_sets!$1:$1,0)-MATCH($Y$1,[5]enemy_skill_sets!$1:$1,0)+2),MATCH(M$1,[5]enemy_skill_sets!$1:$1,0)-MATCH($Y$1,[5]enemy_skill_sets!$1:$1,0)+2,FALSE)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4" s="4">
        <v>30038001</v>
      </c>
      <c r="Z14" s="106">
        <v>0</v>
      </c>
      <c r="AA14" s="106">
        <v>100</v>
      </c>
      <c r="AB14" s="106">
        <v>0</v>
      </c>
      <c r="AC14" s="17">
        <f ca="1">VLOOKUP($L14,OFFSET([3]enemies!$A$1,0,0,COUNTA([3]enemies!$A:$A),MATCH(AC$1,[3]enemies!$1:$1,0)-MATCH($L$1,[3]enemies!$1:$1,0)+1),MATCH(AC$1,[3]enemies!$1:$1,0)-MATCH($L$1,[3]enemies!$1:$1,0)+1,FALSE)</f>
        <v>2</v>
      </c>
      <c r="AD14" s="107">
        <f t="shared" si="3"/>
        <v>151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毒煙の処刑人サキ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4" s="108">
        <v>1</v>
      </c>
      <c r="AI14" s="107">
        <f t="shared" ca="1" si="4"/>
        <v>4</v>
      </c>
      <c r="AJ14" s="109">
        <v>0</v>
      </c>
      <c r="AK14" s="108">
        <v>0</v>
      </c>
      <c r="AL14" s="108">
        <v>0</v>
      </c>
      <c r="AM14" s="108">
        <v>0</v>
      </c>
      <c r="AN14" s="108">
        <v>0</v>
      </c>
      <c r="AO14" s="108">
        <v>1</v>
      </c>
      <c r="AP14" s="110">
        <v>1</v>
      </c>
    </row>
    <row r="15" spans="1:42" ht="21" customHeight="1" x14ac:dyDescent="0.15">
      <c r="A15" s="16" t="str">
        <f t="shared" ca="1" si="0"/>
        <v>30038_3-2/387&lt;lv50&gt;s3</v>
      </c>
      <c r="B15" s="22">
        <v>30038</v>
      </c>
      <c r="C15" s="21">
        <v>3</v>
      </c>
      <c r="D15" s="2" t="str">
        <f t="shared" si="1"/>
        <v>30038_3</v>
      </c>
      <c r="E15" s="4" t="str">
        <f ca="1">VLOOKUP($B15,OFFSET([2]quests!$A$1,0,0,COUNTA([2]quests!$A:$A),MATCH(E$1,[2]quests!$1:$1,0)-MATCH($B$1,[2]quests!$1:$1,0)+1),MATCH(E$1,[2]quests!$1:$1,0)-MATCH($B$1,[2]quests!$1:$1,0)+1,FALSE)</f>
        <v>毒絶神の願い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【超級】毒絶神の願い</v>
      </c>
      <c r="G15" s="21">
        <v>2</v>
      </c>
      <c r="H15" s="15" t="str">
        <f t="shared" si="2"/>
        <v>30038_3-2</v>
      </c>
      <c r="I15" s="4">
        <f ca="1">VLOOKUP($H15,OFFSET(floors!$A$1,0,0,COUNTA(floors!$A:$A),MATCH(I$1,floors!$1:$1,0)-MATCH($H$1,floors!$1:$1,0)+1),MATCH(I$1,floors!$1:$1,0)-MATCH($H$1,floors!$1:$1,0)+1,FALSE)</f>
        <v>55</v>
      </c>
      <c r="J15" s="4">
        <f ca="1">VLOOKUP($H15,OFFSET(floors!$A$1,0,0,COUNTA(floors!$A:$A),MATCH(J$1,floors!$1:$1,0)-MATCH($H$1,floors!$1:$1,0)+1),MATCH(J$1,floors!$1:$1,0)-MATCH($H$1,floors!$1:$1,0)+1,FALSE)</f>
        <v>55</v>
      </c>
      <c r="K15" s="38" t="s">
        <v>53</v>
      </c>
      <c r="L15" s="20">
        <v>387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スフィンクス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25</v>
      </c>
      <c r="R15" s="5">
        <v>50</v>
      </c>
      <c r="S15" s="25">
        <v>0.7</v>
      </c>
      <c r="T15" s="97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33915.699999999997</v>
      </c>
      <c r="U15" s="25">
        <v>0.4</v>
      </c>
      <c r="V15" s="97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1740.4</v>
      </c>
      <c r="W15" s="5">
        <v>0</v>
      </c>
      <c r="X15" s="4" t="e">
        <f ca="1">VLOOKUP($Y15,OFFSET([5]enemy_skill_sets!$B$1,0,0,COUNTA([5]enemy_skill_sets!$B:$B),MATCH(M$1,[5]enemy_skill_sets!$1:$1,0)-MATCH($Y$1,[5]enemy_skill_sets!$1:$1,0)+2),MATCH(M$1,[5]enemy_skill_sets!$1:$1,0)-MATCH($Y$1,[5]enemy_skill_sets!$1:$1,0)+2,FALSE)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5" s="4">
        <v>30038002</v>
      </c>
      <c r="Z15" s="6">
        <v>0</v>
      </c>
      <c r="AA15" s="6">
        <v>100</v>
      </c>
      <c r="AB15" s="6">
        <v>1</v>
      </c>
      <c r="AC15" s="17">
        <f ca="1">VLOOKUP($L15,OFFSET([3]enemies!$A$1,0,0,COUNTA([3]enemies!$A:$A),MATCH(AC$1,[3]enemies!$1:$1,0)-MATCH($L$1,[3]enemies!$1:$1,0)+1),MATCH(AC$1,[3]enemies!$1:$1,0)-MATCH($L$1,[3]enemies!$1:$1,0)+1,FALSE)</f>
        <v>3</v>
      </c>
      <c r="AD15" s="24">
        <f t="shared" si="3"/>
        <v>387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スフィンクス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3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5" s="7">
        <v>1</v>
      </c>
      <c r="AI15" s="24">
        <f t="shared" ca="1" si="4"/>
        <v>3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5">
        <v>1</v>
      </c>
    </row>
    <row r="16" spans="1:42" ht="21" customHeight="1" x14ac:dyDescent="0.15">
      <c r="A16" s="16" t="str">
        <f t="shared" ca="1" si="0"/>
        <v>30038_3-2/65&lt;lv50&gt;s2</v>
      </c>
      <c r="B16" s="22">
        <v>30038</v>
      </c>
      <c r="C16" s="21">
        <v>3</v>
      </c>
      <c r="D16" s="2" t="str">
        <f t="shared" si="1"/>
        <v>30038_3</v>
      </c>
      <c r="E16" s="4" t="str">
        <f ca="1">VLOOKUP($B16,OFFSET([2]quests!$A$1,0,0,COUNTA([2]quests!$A:$A),MATCH(E$1,[2]quests!$1:$1,0)-MATCH($B$1,[2]quests!$1:$1,0)+1),MATCH(E$1,[2]quests!$1:$1,0)-MATCH($B$1,[2]quests!$1:$1,0)+1,FALSE)</f>
        <v>毒絶神の願い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【超級】毒絶神の願い</v>
      </c>
      <c r="G16" s="21">
        <v>2</v>
      </c>
      <c r="H16" s="15" t="str">
        <f t="shared" si="2"/>
        <v>30038_3-2</v>
      </c>
      <c r="I16" s="4">
        <f ca="1">VLOOKUP($H16,OFFSET(floors!$A$1,0,0,COUNTA(floors!$A:$A),MATCH(I$1,floors!$1:$1,0)-MATCH($H$1,floors!$1:$1,0)+1),MATCH(I$1,floors!$1:$1,0)-MATCH($H$1,floors!$1:$1,0)+1,FALSE)</f>
        <v>55</v>
      </c>
      <c r="J16" s="4">
        <f ca="1">VLOOKUP($H16,OFFSET(floors!$A$1,0,0,COUNTA(floors!$A:$A),MATCH(J$1,floors!$1:$1,0)-MATCH($H$1,floors!$1:$1,0)+1),MATCH(J$1,floors!$1:$1,0)-MATCH($H$1,floors!$1:$1,0)+1,FALSE)</f>
        <v>55</v>
      </c>
      <c r="K16" s="38" t="s">
        <v>53</v>
      </c>
      <c r="L16" s="20">
        <v>65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ファイアフォックス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50</v>
      </c>
      <c r="S16" s="25">
        <v>1</v>
      </c>
      <c r="T16" s="97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10300</v>
      </c>
      <c r="U16" s="25">
        <v>1</v>
      </c>
      <c r="V16" s="97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4611</v>
      </c>
      <c r="W16" s="5">
        <v>0</v>
      </c>
      <c r="X16" s="4" t="e">
        <f ca="1">VLOOKUP($Y16,OFFSET([5]enemy_skill_sets!$B$1,0,0,COUNTA([5]enemy_skill_sets!$B:$B),MATCH(M$1,[5]enemy_skill_sets!$1:$1,0)-MATCH($Y$1,[5]enemy_skill_sets!$1:$1,0)+2),MATCH(M$1,[5]enemy_skill_sets!$1:$1,0)-MATCH($Y$1,[5]enemy_skill_sets!$1:$1,0)+2,FALSE)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6" s="4">
        <v>30038003</v>
      </c>
      <c r="Z16" s="6">
        <v>1</v>
      </c>
      <c r="AA16" s="6">
        <v>100</v>
      </c>
      <c r="AB16" s="6">
        <v>2</v>
      </c>
      <c r="AC16" s="17">
        <f ca="1">VLOOKUP($L16,OFFSET([3]enemies!$A$1,0,0,COUNTA([3]enemies!$A:$A),MATCH(AC$1,[3]enemies!$1:$1,0)-MATCH($L$1,[3]enemies!$1:$1,0)+1),MATCH(AC$1,[3]enemies!$1:$1,0)-MATCH($L$1,[3]enemies!$1:$1,0)+1,FALSE)</f>
        <v>2</v>
      </c>
      <c r="AD16" s="24">
        <f t="shared" si="3"/>
        <v>65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Drop1S</v>
      </c>
      <c r="AH16" s="7">
        <v>1</v>
      </c>
      <c r="AI16" s="24">
        <f t="shared" ca="1" si="4"/>
        <v>2</v>
      </c>
      <c r="AJ16" s="8">
        <v>20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5">
        <v>1</v>
      </c>
    </row>
    <row r="17" spans="1:42" ht="21" customHeight="1" x14ac:dyDescent="0.15">
      <c r="A17" s="16" t="str">
        <f t="shared" ca="1" si="0"/>
        <v>30038_3-2/10&lt;lv50&gt;s2</v>
      </c>
      <c r="B17" s="22">
        <v>30038</v>
      </c>
      <c r="C17" s="21">
        <v>3</v>
      </c>
      <c r="D17" s="2" t="str">
        <f t="shared" si="1"/>
        <v>30038_3</v>
      </c>
      <c r="E17" s="4" t="str">
        <f ca="1">VLOOKUP($B17,OFFSET([2]quests!$A$1,0,0,COUNTA([2]quests!$A:$A),MATCH(E$1,[2]quests!$1:$1,0)-MATCH($B$1,[2]quests!$1:$1,0)+1),MATCH(E$1,[2]quests!$1:$1,0)-MATCH($B$1,[2]quests!$1:$1,0)+1,FALSE)</f>
        <v>毒絶神の願い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【超級】毒絶神の願い</v>
      </c>
      <c r="G17" s="21">
        <v>2</v>
      </c>
      <c r="H17" s="15" t="str">
        <f t="shared" si="2"/>
        <v>30038_3-2</v>
      </c>
      <c r="I17" s="4">
        <f ca="1">VLOOKUP($H17,OFFSET(floors!$A$1,0,0,COUNTA(floors!$A:$A),MATCH(I$1,floors!$1:$1,0)-MATCH($H$1,floors!$1:$1,0)+1),MATCH(I$1,floors!$1:$1,0)-MATCH($H$1,floors!$1:$1,0)+1,FALSE)</f>
        <v>55</v>
      </c>
      <c r="J17" s="4">
        <f ca="1">VLOOKUP($H17,OFFSET(floors!$A$1,0,0,COUNTA(floors!$A:$A),MATCH(J$1,floors!$1:$1,0)-MATCH($H$1,floors!$1:$1,0)+1),MATCH(J$1,floors!$1:$1,0)-MATCH($H$1,floors!$1:$1,0)+1,FALSE)</f>
        <v>55</v>
      </c>
      <c r="K17" s="38" t="s">
        <v>53</v>
      </c>
      <c r="L17" s="20">
        <v>10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燃える悪戯魂 ブレット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50</v>
      </c>
      <c r="S17" s="25">
        <v>1</v>
      </c>
      <c r="T17" s="97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10300</v>
      </c>
      <c r="U17" s="25">
        <v>1</v>
      </c>
      <c r="V17" s="97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4611</v>
      </c>
      <c r="W17" s="5">
        <v>0</v>
      </c>
      <c r="X17" s="4" t="e">
        <f ca="1">VLOOKUP($Y17,OFFSET([5]enemy_skill_sets!$B$1,0,0,COUNTA([5]enemy_skill_sets!$B:$B),MATCH(M$1,[5]enemy_skill_sets!$1:$1,0)-MATCH($Y$1,[5]enemy_skill_sets!$1:$1,0)+2),MATCH(M$1,[5]enemy_skill_sets!$1:$1,0)-MATCH($Y$1,[5]enemy_skill_sets!$1:$1,0)+2,FALSE)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7" s="4">
        <v>30038004</v>
      </c>
      <c r="Z17" s="6">
        <v>1</v>
      </c>
      <c r="AA17" s="6">
        <v>100</v>
      </c>
      <c r="AB17" s="6">
        <v>2</v>
      </c>
      <c r="AC17" s="17">
        <f ca="1">VLOOKUP($L17,OFFSET([3]enemies!$A$1,0,0,COUNTA([3]enemies!$A:$A),MATCH(AC$1,[3]enemies!$1:$1,0)-MATCH($L$1,[3]enemies!$1:$1,0)+1),MATCH(AC$1,[3]enemies!$1:$1,0)-MATCH($L$1,[3]enemies!$1:$1,0)+1,FALSE)</f>
        <v>2</v>
      </c>
      <c r="AD17" s="24">
        <f t="shared" si="3"/>
        <v>10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燃える悪戯魂 ブレット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2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Drop1W</v>
      </c>
      <c r="AH17" s="7">
        <v>1</v>
      </c>
      <c r="AI17" s="24">
        <v>1</v>
      </c>
      <c r="AJ17" s="8">
        <v>20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5">
        <v>1</v>
      </c>
    </row>
    <row r="18" spans="1:42" ht="21" customHeight="1" x14ac:dyDescent="0.15">
      <c r="A18" s="16" t="str">
        <f ca="1">B18&amp;"_"&amp;C18&amp;"-"&amp;G18&amp;"/"&amp;L18&amp;"&lt;lv"&amp;R18&amp;"&gt;s"&amp;AC18</f>
        <v>30038_3-3/363&lt;lv50&gt;s3</v>
      </c>
      <c r="B18" s="22">
        <v>30038</v>
      </c>
      <c r="C18" s="21">
        <v>3</v>
      </c>
      <c r="D18" s="2" t="str">
        <f>B18&amp;"_"&amp;C18</f>
        <v>30038_3</v>
      </c>
      <c r="E18" s="4" t="str">
        <f ca="1">VLOOKUP($B18,OFFSET([2]quests!$A$1,0,0,COUNTA([2]quests!$A:$A),MATCH(E$1,[2]quests!$1:$1,0)-MATCH($B$1,[2]quests!$1:$1,0)+1),MATCH(E$1,[2]quests!$1:$1,0)-MATCH($B$1,[2]quests!$1:$1,0)+1,FALSE)</f>
        <v>毒絶神の願い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【超級】毒絶神の願い</v>
      </c>
      <c r="G18" s="21">
        <v>3</v>
      </c>
      <c r="H18" s="15" t="str">
        <f>B18&amp;"_"&amp;C18&amp;"-"&amp;G18</f>
        <v>30038_3-3</v>
      </c>
      <c r="I18" s="4">
        <f ca="1">VLOOKUP($H18,OFFSET(floors!$A$1,0,0,COUNTA(floors!$A:$A),MATCH(I$1,floors!$1:$1,0)-MATCH($H$1,floors!$1:$1,0)+1),MATCH(I$1,floors!$1:$1,0)-MATCH($H$1,floors!$1:$1,0)+1,FALSE)</f>
        <v>15</v>
      </c>
      <c r="J18" s="4">
        <f ca="1">VLOOKUP($H18,OFFSET(floors!$A$1,0,0,COUNTA(floors!$A:$A),MATCH(J$1,floors!$1:$1,0)-MATCH($H$1,floors!$1:$1,0)+1),MATCH(J$1,floors!$1:$1,0)-MATCH($H$1,floors!$1:$1,0)+1,FALSE)</f>
        <v>15</v>
      </c>
      <c r="K18" s="38" t="s">
        <v>53</v>
      </c>
      <c r="L18" s="20">
        <v>363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花咲く幼精 ゆらら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50</v>
      </c>
      <c r="S18" s="25">
        <v>1</v>
      </c>
      <c r="T18" s="97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9455</v>
      </c>
      <c r="U18" s="25">
        <v>1</v>
      </c>
      <c r="V18" s="97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2998</v>
      </c>
      <c r="W18" s="5">
        <v>0</v>
      </c>
      <c r="X18" s="4" t="e">
        <f ca="1">VLOOKUP($Y18,OFFSET([5]enemy_skill_sets!$B$1,0,0,COUNTA([5]enemy_skill_sets!$B:$B),MATCH(M$1,[5]enemy_skill_sets!$1:$1,0)-MATCH($Y$1,[5]enemy_skill_sets!$1:$1,0)+2),MATCH(M$1,[5]enemy_skill_sets!$1:$1,0)-MATCH($Y$1,[5]enemy_skill_sets!$1:$1,0)+2,FALSE)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8" s="4">
        <v>30038005</v>
      </c>
      <c r="Z18" s="6">
        <v>1</v>
      </c>
      <c r="AA18" s="6">
        <v>100</v>
      </c>
      <c r="AB18" s="6">
        <v>0</v>
      </c>
      <c r="AC18" s="17">
        <f ca="1">VLOOKUP($L18,OFFSET([3]enemies!$A$1,0,0,COUNTA([3]enemies!$A:$A),MATCH(AC$1,[3]enemies!$1:$1,0)-MATCH($L$1,[3]enemies!$1:$1,0)+1),MATCH(AC$1,[3]enemies!$1:$1,0)-MATCH($L$1,[3]enemies!$1:$1,0)+1,FALSE)</f>
        <v>3</v>
      </c>
      <c r="AD18" s="24">
        <f>L18</f>
        <v>363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花咲く幼精 ゆらら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3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Drop1S</v>
      </c>
      <c r="AH18" s="7">
        <v>1</v>
      </c>
      <c r="AI18" s="24">
        <v>2</v>
      </c>
      <c r="AJ18" s="8">
        <v>20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5">
        <v>1</v>
      </c>
    </row>
    <row r="19" spans="1:42" ht="21" customHeight="1" thickBot="1" x14ac:dyDescent="0.2">
      <c r="A19" s="16" t="str">
        <f t="shared" ref="A19" ca="1" si="5">B19&amp;"_"&amp;C19&amp;"-"&amp;G19&amp;"/"&amp;L19&amp;"&lt;lv"&amp;R19&amp;"&gt;s"&amp;AC19</f>
        <v>30038_3-4/1006&lt;lv55&gt;s3</v>
      </c>
      <c r="B19" s="112">
        <v>30038</v>
      </c>
      <c r="C19" s="113">
        <v>3</v>
      </c>
      <c r="D19" s="114" t="str">
        <f t="shared" ref="D19" si="6">B19&amp;"_"&amp;C19</f>
        <v>30038_3</v>
      </c>
      <c r="E19" s="115" t="str">
        <f ca="1">VLOOKUP($B19,OFFSET([2]quests!$A$1,0,0,COUNTA([2]quests!$A:$A),MATCH(E$1,[2]quests!$1:$1,0)-MATCH($B$1,[2]quests!$1:$1,0)+1),MATCH(E$1,[2]quests!$1:$1,0)-MATCH($B$1,[2]quests!$1:$1,0)+1,FALSE)</f>
        <v>毒絶神の願い</v>
      </c>
      <c r="F19" s="115" t="str">
        <f ca="1">VLOOKUP($D19,OFFSET([2]stages!$A$1,0,0,COUNTA([2]stages!$A:$A),MATCH(F$1,[2]stages!$2:$2,0)-MATCH($D$1,[2]stages!$2:$2,0)+1),MATCH(F$1,[2]stages!$2:$2,0)-MATCH($D$1,[2]stages!$2:$2,0)+1,FALSE)</f>
        <v>【超級】毒絶神の願い</v>
      </c>
      <c r="G19" s="113">
        <v>4</v>
      </c>
      <c r="H19" s="114" t="str">
        <f t="shared" ref="H19" si="7">B19&amp;"_"&amp;C19&amp;"-"&amp;G19</f>
        <v>30038_3-4</v>
      </c>
      <c r="I19" s="115">
        <f ca="1">VLOOKUP($H19,OFFSET(floors!$A$1,0,0,COUNTA(floors!$A:$A),MATCH(I$1,floors!$1:$1,0)-MATCH($H$1,floors!$1:$1,0)+1),MATCH(I$1,floors!$1:$1,0)-MATCH($H$1,floors!$1:$1,0)+1,FALSE)</f>
        <v>60</v>
      </c>
      <c r="J19" s="115">
        <f ca="1">VLOOKUP($H19,OFFSET(floors!$A$1,0,0,COUNTA(floors!$A:$A),MATCH(J$1,floors!$1:$1,0)-MATCH($H$1,floors!$1:$1,0)+1),MATCH(J$1,floors!$1:$1,0)-MATCH($H$1,floors!$1:$1,0)+1,FALSE)</f>
        <v>60</v>
      </c>
      <c r="K19" s="116">
        <v>3</v>
      </c>
      <c r="L19" s="117">
        <v>1006</v>
      </c>
      <c r="M19" s="118" t="str">
        <f ca="1">VLOOKUP($L19,OFFSET([3]enemies!$A$1,0,0,COUNTA([3]enemies!$A:$A),MATCH(M$1,[3]enemies!$1:$1,0)-MATCH($L$1,[3]enemies!$1:$1,0)+1),MATCH(M$1,[3]enemies!$1:$1,0)-MATCH($L$1,[3]enemies!$1:$1,0)+1,FALSE)</f>
        <v>セルケト</v>
      </c>
      <c r="N19" s="118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18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18" t="str">
        <f ca="1">VLOOKUP($L19,OFFSET([3]enemies!$A$1,0,0,COUNTA([3]enemies!$A:$A),MATCH(P$1,[3]enemies!$1:$1,0)-MATCH($L$1,[3]enemies!$1:$1,0)+1),MATCH(P$1,[3]enemies!$1:$1,0)-MATCH($L$1,[3]enemies!$1:$1,0)+1,FALSE)</f>
        <v>god</v>
      </c>
      <c r="Q19" s="118">
        <f ca="1">VLOOKUP($L19,OFFSET([3]enemies!$A$1,0,0,COUNTA([3]enemies!$A:$A),MATCH(Q$1,[3]enemies!$1:$1,0)-MATCH($L$1,[3]enemies!$1:$1,0)+1),MATCH(Q$1,[3]enemies!$1:$1,0)-MATCH($L$1,[3]enemies!$1:$1,0)+1,FALSE)</f>
        <v>30</v>
      </c>
      <c r="R19" s="119">
        <v>55</v>
      </c>
      <c r="S19" s="120">
        <v>1.8</v>
      </c>
      <c r="T19" s="121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126921.60000000001</v>
      </c>
      <c r="U19" s="120">
        <v>1</v>
      </c>
      <c r="V19" s="121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5961</v>
      </c>
      <c r="W19" s="119">
        <v>300</v>
      </c>
      <c r="X19" s="115" t="e">
        <f ca="1">VLOOKUP($Y19,OFFSET([5]enemy_skill_sets!$B$1,0,0,COUNTA([5]enemy_skill_sets!$B:$B),MATCH(M$1,[5]enemy_skill_sets!$1:$1,0)-MATCH($Y$1,[5]enemy_skill_sets!$1:$1,0)+2),MATCH(M$1,[5]enemy_skill_sets!$1:$1,0)-MATCH($Y$1,[5]enemy_skill_sets!$1:$1,0)+2,FALSE)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9" s="115">
        <v>30038008</v>
      </c>
      <c r="Z19" s="122">
        <v>1</v>
      </c>
      <c r="AA19" s="122">
        <v>100</v>
      </c>
      <c r="AB19" s="122">
        <v>1</v>
      </c>
      <c r="AC19" s="118">
        <f ca="1">VLOOKUP($L19,OFFSET([3]enemies!$A$1,0,0,COUNTA([3]enemies!$A:$A),MATCH(AC$1,[3]enemies!$1:$1,0)-MATCH($L$1,[3]enemies!$1:$1,0)+1),MATCH(AC$1,[3]enemies!$1:$1,0)-MATCH($L$1,[3]enemies!$1:$1,0)+1,FALSE)</f>
        <v>3</v>
      </c>
      <c r="AD19" s="123">
        <f t="shared" ref="AD19" si="8">L19</f>
        <v>1006</v>
      </c>
      <c r="AE19" s="115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セルケト</v>
      </c>
      <c r="AF19" s="115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115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Drop2N</v>
      </c>
      <c r="AH19" s="124">
        <v>1</v>
      </c>
      <c r="AI19" s="123">
        <f t="shared" ref="AI19" ca="1" si="9">AF19</f>
        <v>4</v>
      </c>
      <c r="AJ19" s="125">
        <v>100</v>
      </c>
      <c r="AK19" s="124">
        <v>0</v>
      </c>
      <c r="AL19" s="124">
        <v>0</v>
      </c>
      <c r="AM19" s="124">
        <v>0</v>
      </c>
      <c r="AN19" s="124">
        <v>0</v>
      </c>
      <c r="AO19" s="124">
        <v>1</v>
      </c>
      <c r="AP19" s="126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K4" sqref="K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6" t="s">
        <v>250</v>
      </c>
      <c r="V1" s="26" t="s">
        <v>50</v>
      </c>
      <c r="W1" s="96" t="s">
        <v>251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 t="shared" ref="A2:A4" si="0">B2&amp;"_"&amp;C2&amp;"-"&amp;G2&amp;"/"&amp;M2&amp;"&lt;lv"&amp;S2&amp;"&gt;sq"&amp;K2&amp;"st"&amp;L2</f>
        <v>30038_1-4/1007&lt;lv40&gt;sq1st2</v>
      </c>
      <c r="B2" s="22">
        <v>30038</v>
      </c>
      <c r="C2" s="21">
        <v>1</v>
      </c>
      <c r="D2" s="2" t="str">
        <f t="shared" ref="D2:D4" si="1">B2&amp;"_"&amp;C2</f>
        <v>30038_1</v>
      </c>
      <c r="E2" s="4" t="str">
        <f ca="1">VLOOKUP($B2,OFFSET([2]quests!$A$1,0,0,COUNTA([2]quests!$A:$A),MATCH(E$1,[2]quests!$1:$1,0)-MATCH($B$1,[2]quests!$1:$1,0)+1),MATCH(E$1,[2]quests!$1:$1,0)-MATCH($B$1,[2]quests!$1:$1,0)+1,FALSE)</f>
        <v>毒絶神の願い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【中級】毒絶神の願い</v>
      </c>
      <c r="G2" s="21">
        <v>4</v>
      </c>
      <c r="H2" s="15" t="str">
        <f t="shared" ref="H2:H4" si="2">B2&amp;"_"&amp;C2&amp;"-"&amp;G2</f>
        <v>30038_1-4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1007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癒命の守蠍神 セルケト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25">
        <v>2</v>
      </c>
      <c r="U2" s="97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135456</v>
      </c>
      <c r="V2" s="25">
        <v>1</v>
      </c>
      <c r="W2" s="97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4715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30038009</v>
      </c>
      <c r="AA2" s="66">
        <f ca="1">VLOOKUP($M2,OFFSET([3]enemies!$A$1,0,0,COUNTA([3]enemies!$A:$A),MATCH(AA$1,[3]enemies!$1:$1,0)-MATCH($M$1,[3]enemies!$1:$1,0)+1),MATCH(AA$1,[3]enemies!$1:$1,0)-MATCH($M$1,[3]enemies!$1:$1,0)+1,FALSE)</f>
        <v>3</v>
      </c>
    </row>
    <row r="3" spans="1:27" ht="21" customHeight="1" x14ac:dyDescent="0.15">
      <c r="A3" s="16" t="str">
        <f t="shared" si="0"/>
        <v>30038_2-4/1007&lt;lv50&gt;sq2st2</v>
      </c>
      <c r="B3" s="22">
        <v>30038</v>
      </c>
      <c r="C3" s="21">
        <v>2</v>
      </c>
      <c r="D3" s="2" t="str">
        <f t="shared" si="1"/>
        <v>30038_2</v>
      </c>
      <c r="E3" s="4" t="str">
        <f ca="1">VLOOKUP($B3,OFFSET([2]quests!$A$1,0,0,COUNTA([2]quests!$A:$A),MATCH(E$1,[2]quests!$1:$1,0)-MATCH($B$1,[2]quests!$1:$1,0)+1),MATCH(E$1,[2]quests!$1:$1,0)-MATCH($B$1,[2]quests!$1:$1,0)+1,FALSE)</f>
        <v>毒絶神の願い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【上級】毒絶神の願い</v>
      </c>
      <c r="G3" s="21">
        <v>4</v>
      </c>
      <c r="H3" s="15" t="str">
        <f t="shared" si="2"/>
        <v>30038_2-4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1007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癒命の守蠍神 セルケト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25">
        <v>2</v>
      </c>
      <c r="U3" s="97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168096</v>
      </c>
      <c r="V3" s="25">
        <v>1</v>
      </c>
      <c r="W3" s="97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5851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30038009</v>
      </c>
      <c r="AA3" s="66">
        <f ca="1">VLOOKUP($M3,OFFSET([3]enemies!$A$1,0,0,COUNTA([3]enemies!$A:$A),MATCH(AA$1,[3]enemies!$1:$1,0)-MATCH($M$1,[3]enemies!$1:$1,0)+1),MATCH(AA$1,[3]enemies!$1:$1,0)-MATCH($M$1,[3]enemies!$1:$1,0)+1,FALSE)</f>
        <v>3</v>
      </c>
    </row>
    <row r="4" spans="1:27" ht="21" customHeight="1" x14ac:dyDescent="0.15">
      <c r="A4" s="16" t="str">
        <f t="shared" si="0"/>
        <v>30038_3-4/1007&lt;lv60&gt;sq3st2</v>
      </c>
      <c r="B4" s="22">
        <v>30038</v>
      </c>
      <c r="C4" s="21">
        <v>3</v>
      </c>
      <c r="D4" s="2" t="str">
        <f t="shared" si="1"/>
        <v>30038_3</v>
      </c>
      <c r="E4" s="4" t="str">
        <f ca="1">VLOOKUP($B4,OFFSET([2]quests!$A$1,0,0,COUNTA([2]quests!$A:$A),MATCH(E$1,[2]quests!$1:$1,0)-MATCH($B$1,[2]quests!$1:$1,0)+1),MATCH(E$1,[2]quests!$1:$1,0)-MATCH($B$1,[2]quests!$1:$1,0)+1,FALSE)</f>
        <v>毒絶神の願い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【超級】毒絶神の願い</v>
      </c>
      <c r="G4" s="21">
        <v>4</v>
      </c>
      <c r="H4" s="15" t="str">
        <f t="shared" si="2"/>
        <v>30038_3-4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1007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癒命の守蠍神 セルケト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2</v>
      </c>
      <c r="U4" s="97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200736</v>
      </c>
      <c r="V4" s="25">
        <v>1</v>
      </c>
      <c r="W4" s="97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6987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30038009</v>
      </c>
      <c r="AA4" s="66">
        <f ca="1">VLOOKUP($M4,OFFSET([3]enemies!$A$1,0,0,COUNTA([3]enemies!$A:$A),MATCH(AA$1,[3]enemies!$1:$1,0)-MATCH($M$1,[3]enemies!$1:$1,0)+1),MATCH(AA$1,[3]enemies!$1:$1,0)-MATCH($M$1,[3]enemies!$1:$1,0)+1,FALSE)</f>
        <v>3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94"/>
  <sheetViews>
    <sheetView showGridLines="0" workbookViewId="0">
      <selection activeCell="D95" sqref="D95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59" si="0">B2&amp;"_"&amp;C2</f>
        <v>30038001_30038001</v>
      </c>
      <c r="B2" s="47">
        <v>30038001</v>
      </c>
      <c r="C2" s="47">
        <v>30038001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この毒に５回、耐えてみせて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５ターンウィルス＆スキルバインド_x000D_＆アビリティ無効＋5ターン状態異常無効</v>
      </c>
      <c r="F2" s="47">
        <v>30038001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7" si="1">B3&amp;"_"&amp;C3</f>
        <v>30038001_30038002</v>
      </c>
      <c r="B3" s="47">
        <v>30038001</v>
      </c>
      <c r="C3" s="47">
        <v>30038002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あっ閃光弾が混ざってたー！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ゴメンね？(・ω&lt;) _x000D_（1ターン暗闇）</v>
      </c>
      <c r="F3" s="47">
        <v>30038002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30038001_30038003</v>
      </c>
      <c r="B4" s="47">
        <v>30038001</v>
      </c>
      <c r="C4" s="47">
        <v>30038003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計画的に回復できるかしら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そういうチカラを見せてもらうわ</v>
      </c>
      <c r="F4" s="47">
        <v>30038003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30038001_30038004</v>
      </c>
      <c r="B5" s="47">
        <v>30038001</v>
      </c>
      <c r="C5" s="47">
        <v>30038004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そろそろ苦しいでしょ？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ちゃんと回復を始めなさいよ？</v>
      </c>
      <c r="F5" s="47">
        <v>30038004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30038001_30038005</v>
      </c>
      <c r="B6" s="47">
        <v>30038001</v>
      </c>
      <c r="C6" s="47">
        <v>30038005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次で最後！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ちゃんと耐えなさいよ！</v>
      </c>
      <c r="F6" s="47">
        <v>30038005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30038001_30038006</v>
      </c>
      <c r="B7" s="47">
        <v>30038001</v>
      </c>
      <c r="C7" s="47">
        <v>30038006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回復に自信がないなら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先にやっつけちゃうのもアリよ！？_x000D_もしできるんなら、だけどね！</v>
      </c>
      <c r="F7" s="47">
        <v>30038006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30038001_30038007</v>
      </c>
      <c r="B8" s="47">
        <v>30038001</v>
      </c>
      <c r="C8" s="47">
        <v>30038007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ふーん、耐久力はあるみたいね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スキル10ターン短縮_x000D_＋Cパネル、ボムパネル以外をハートパネルに変換</v>
      </c>
      <c r="F8" s="47">
        <v>30038007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30038001_30038008</v>
      </c>
      <c r="B9" s="47">
        <v>30038001</v>
      </c>
      <c r="C9" s="47">
        <v>30038008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なかなかやるわね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この後も油断しちゃダメよ</v>
      </c>
      <c r="F9" s="47">
        <v>30038008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30038002_30038009</v>
      </c>
      <c r="B10" s="47">
        <v>30038002</v>
      </c>
      <c r="C10" s="47">
        <v>30038009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おさんぽの時間だよっ☆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ファイアフォックスとブレットは喜んでいる！</v>
      </c>
      <c r="F10" s="47">
        <v>30038009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30038002_30038010</v>
      </c>
      <c r="B11" s="47">
        <v>30038002</v>
      </c>
      <c r="C11" s="47">
        <v>30038010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いたいの☆とんでけー☆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全体回復＋Cパネルとボム以外を_x000D_ランダムで12個ハートパネルに変換</v>
      </c>
      <c r="F11" s="47">
        <v>30038010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99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1" s="47"/>
      <c r="Q11" s="47"/>
      <c r="R11" s="47"/>
    </row>
    <row r="12" spans="1:18" ht="21" customHeight="1" x14ac:dyDescent="0.15">
      <c r="A12" s="39" t="str">
        <f t="shared" si="0"/>
        <v>30038003_30038011</v>
      </c>
      <c r="B12" s="47">
        <v>30038003</v>
      </c>
      <c r="C12" s="47">
        <v>30038011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ヒューマンデスペロイヤー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12" s="47">
        <v>30038011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" s="47"/>
      <c r="Q12" s="47"/>
      <c r="R12" s="47"/>
    </row>
    <row r="13" spans="1:18" ht="21" customHeight="1" x14ac:dyDescent="0.15">
      <c r="A13" s="39" t="str">
        <f t="shared" si="0"/>
        <v>30038003_30038012</v>
      </c>
      <c r="B13" s="47">
        <v>30038003</v>
      </c>
      <c r="C13" s="47">
        <v>30038012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ヒューマンサーチ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ファイアフォックスは_x000D_ペロペロする対象を探している！</v>
      </c>
      <c r="F13" s="47">
        <v>30038012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0"/>
        <v>30038004_30038013</v>
      </c>
      <c r="B14" s="47">
        <v>30038004</v>
      </c>
      <c r="C14" s="47">
        <v>30038013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火遊び超炎上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4" s="47">
        <v>30038013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4" s="47"/>
      <c r="Q14" s="47"/>
      <c r="R14" s="47"/>
    </row>
    <row r="15" spans="1:18" ht="21" customHeight="1" x14ac:dyDescent="0.15">
      <c r="A15" s="39" t="str">
        <f t="shared" si="0"/>
        <v>30038004_30038014</v>
      </c>
      <c r="B15" s="47">
        <v>30038004</v>
      </c>
      <c r="C15" s="47">
        <v>30038014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着火点サーチ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ブレットは_x000D_燃えやすそうな場所を探している！</v>
      </c>
      <c r="F15" s="47">
        <v>30038014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30038005_30038015</v>
      </c>
      <c r="B16" s="47">
        <v>30038005</v>
      </c>
      <c r="C16" s="47">
        <v>30038015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５つ数える間に回復してね〜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現在HPの90％ダメージ＋6ターン自身防御力UP_x000D_＋5ターン状態異常無効</v>
      </c>
      <c r="F16" s="47">
        <v>30038015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0"/>
        <v>30038006_30038016</v>
      </c>
      <c r="B17" s="47">
        <v>30038006</v>
      </c>
      <c r="C17" s="47">
        <v>30038016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５つ数える間に回復してね〜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現在HPの90％ダメージ＋6ターン自身防御力UP_x000D_＋5ターン状態異常無効</v>
      </c>
      <c r="F17" s="47">
        <v>30038016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0"/>
        <v>30038007_30038017</v>
      </c>
      <c r="B18" s="47">
        <v>30038007</v>
      </c>
      <c r="C18" s="47">
        <v>30038017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５つ数える間に回復してね〜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現在HPの90％ダメージ＋6ターン自身防御力UP_x000D_＋5ターン状態異常無効</v>
      </c>
      <c r="F18" s="47">
        <v>30038017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0"/>
        <v>30038005_30038018</v>
      </c>
      <c r="B19" s="47">
        <v>30038005</v>
      </c>
      <c r="C19" s="47">
        <v>30038018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ご〜ぉ〜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【あと5ターン以内に13000HPを確保しよう】</v>
      </c>
      <c r="F19" s="47">
        <v>30038018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0"/>
        <v>30038006_30038019</v>
      </c>
      <c r="B20" s="47">
        <v>30038006</v>
      </c>
      <c r="C20" s="47">
        <v>30038019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ご〜ぉ〜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【あと5ターン以内に10000HPを確保しよう】</v>
      </c>
      <c r="F20" s="47">
        <v>30038019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0"/>
        <v>30038007_30038020</v>
      </c>
      <c r="B21" s="47">
        <v>30038007</v>
      </c>
      <c r="C21" s="47">
        <v>30038020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ご〜ぉ〜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【あと5ターン以内に8000HPを確保しよう】</v>
      </c>
      <c r="F21" s="47">
        <v>30038020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0"/>
        <v>30038005_30038021</v>
      </c>
      <c r="B22" s="47">
        <v>30038005</v>
      </c>
      <c r="C22" s="47">
        <v>30038021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よ〜ん〜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【あと4ターン以内に13000HPを確保しよう】</v>
      </c>
      <c r="F22" s="47">
        <v>30038021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0"/>
        <v>30038006_30038022</v>
      </c>
      <c r="B23" s="47">
        <v>30038006</v>
      </c>
      <c r="C23" s="47">
        <v>30038022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よ〜ん〜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【あと4ターン以内に10000HPを確保しよう】</v>
      </c>
      <c r="F23" s="47">
        <v>30038022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0"/>
        <v>30038007_30038023</v>
      </c>
      <c r="B24" s="47">
        <v>30038007</v>
      </c>
      <c r="C24" s="47">
        <v>30038023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よ〜ん〜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【あと4ターン以内に8000HPを確保しよう】</v>
      </c>
      <c r="F24" s="47">
        <v>30038023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0"/>
        <v>30038005_30038024</v>
      </c>
      <c r="B25" s="47">
        <v>30038005</v>
      </c>
      <c r="C25" s="47">
        <v>30038024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さ〜ん〜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【あと3ターン以内に13000HPを確保しよう】</v>
      </c>
      <c r="F25" s="47">
        <v>30038024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0"/>
        <v>30038006_30038025</v>
      </c>
      <c r="B26" s="47">
        <v>30038006</v>
      </c>
      <c r="C26" s="47">
        <v>30038025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さ〜ん〜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【あと3ターン以内に10000HPを確保しよう】</v>
      </c>
      <c r="F26" s="47">
        <v>30038025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0"/>
        <v>30038007_30038026</v>
      </c>
      <c r="B27" s="47">
        <v>30038007</v>
      </c>
      <c r="C27" s="47">
        <v>30038026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さ〜ん〜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【あと3ターン以内に8000HPを確保しよう】</v>
      </c>
      <c r="F27" s="47">
        <v>30038026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0"/>
        <v>30038005_30038027</v>
      </c>
      <c r="B28" s="47">
        <v>30038005</v>
      </c>
      <c r="C28" s="47">
        <v>30038027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に〜い〜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【あと2ターン以内に13000HPを確保しよう】</v>
      </c>
      <c r="F28" s="47">
        <v>30038027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0"/>
        <v>30038006_30038028</v>
      </c>
      <c r="B29" s="47">
        <v>30038006</v>
      </c>
      <c r="C29" s="47">
        <v>30038028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に〜い〜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【あと2ターン以内に10000HPを確保しよう】</v>
      </c>
      <c r="F29" s="47">
        <v>30038028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0"/>
        <v>30038007_30038029</v>
      </c>
      <c r="B30" s="47">
        <v>30038007</v>
      </c>
      <c r="C30" s="47">
        <v>30038029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に〜い〜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【あと2ターン以内に8000HPを確保しよう】</v>
      </c>
      <c r="F30" s="47">
        <v>30038029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0"/>
        <v>30038005_30038030</v>
      </c>
      <c r="B31" s="47">
        <v>30038005</v>
      </c>
      <c r="C31" s="47">
        <v>30038030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い〜ち〜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【あと1ターン以内に13000HPを確保しよう】</v>
      </c>
      <c r="F31" s="47">
        <v>30038030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0"/>
        <v>30038006_30038031</v>
      </c>
      <c r="B32" s="47">
        <v>30038006</v>
      </c>
      <c r="C32" s="47">
        <v>30038031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い〜ち〜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【あと1ターン以内に10000HPを確保しよう】</v>
      </c>
      <c r="F32" s="47">
        <v>30038031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0"/>
        <v>30038007_30038032</v>
      </c>
      <c r="B33" s="47">
        <v>30038007</v>
      </c>
      <c r="C33" s="47">
        <v>30038032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い〜ち〜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【あと1ターン以内に8000HPを確保しよう】</v>
      </c>
      <c r="F33" s="47">
        <v>30038032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0"/>
        <v>30038005_30038033</v>
      </c>
      <c r="B34" s="47">
        <v>30038005</v>
      </c>
      <c r="C34" s="47">
        <v>30038033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たいむあ〜っぷ！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13000の固定値ダメージ！</v>
      </c>
      <c r="F34" s="47">
        <v>30038033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0"/>
        <v>30038006_30038034</v>
      </c>
      <c r="B35" s="47">
        <v>30038006</v>
      </c>
      <c r="C35" s="47">
        <v>30038034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たいむあ〜っぷ！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10000の固定値ダメージ！</v>
      </c>
      <c r="F35" s="47">
        <v>30038034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0"/>
        <v>30038007_30038035</v>
      </c>
      <c r="B36" s="47">
        <v>30038007</v>
      </c>
      <c r="C36" s="47">
        <v>30038035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たいむあ〜っぷ！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8000の固定値ダメージ！</v>
      </c>
      <c r="F36" s="47">
        <v>30038035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0"/>
        <v>30038005_30038036</v>
      </c>
      <c r="B37" s="47">
        <v>30038005</v>
      </c>
      <c r="C37" s="47">
        <v>30038036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やりましたぁ〜おみごとです！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次の試練も　がんばってね〜！</v>
      </c>
      <c r="F37" s="47">
        <v>30038036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0"/>
        <v>30038006_30038036</v>
      </c>
      <c r="B38" s="47">
        <v>30038006</v>
      </c>
      <c r="C38" s="47">
        <v>30038036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やりましたぁ〜おみごとです！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次の試練も　がんばってね〜！</v>
      </c>
      <c r="F38" s="47">
        <v>30038036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0"/>
        <v>30038007_30038036</v>
      </c>
      <c r="B39" s="47">
        <v>30038007</v>
      </c>
      <c r="C39" s="47">
        <v>30038036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やりましたぁ〜おみごとです！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次の試練も　がんばってね〜！</v>
      </c>
      <c r="F39" s="47">
        <v>30038036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0"/>
        <v>30038008_30038037</v>
      </c>
      <c r="B40" s="47">
        <v>30038008</v>
      </c>
      <c r="C40" s="47">
        <v>30038037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セト様…？？なぜ…？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40" s="47">
        <v>30038037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1010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0"/>
        <v>30038008_30038037</v>
      </c>
      <c r="B41" s="47">
        <v>30038008</v>
      </c>
      <c r="C41" s="47">
        <v>30038037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セト様…？？なぜ…？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41" s="47">
        <v>30038038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1011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0"/>
        <v>30038008_30038038</v>
      </c>
      <c r="B42" s="47">
        <v>30038008</v>
      </c>
      <c r="C42" s="47">
        <v>30038038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オシリス様…！？！？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42" s="47">
        <v>30038039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1008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0"/>
        <v>30038008_30038038</v>
      </c>
      <c r="B43" s="47">
        <v>30038008</v>
      </c>
      <c r="C43" s="47">
        <v>30038038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オシリス様…！？！？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43" s="47">
        <v>30038040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1009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0"/>
        <v>30038008_30038040</v>
      </c>
      <c r="B44" s="47">
        <v>30038008</v>
      </c>
      <c r="C44" s="47">
        <v>30038040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アメミット…悪いやつではないけれど…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44" s="47">
        <v>30038043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1004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0"/>
        <v>30038008_30038040</v>
      </c>
      <c r="B45" s="47">
        <v>30038008</v>
      </c>
      <c r="C45" s="47">
        <v>30038040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アメミット…悪いやつではないけれど…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45" s="47">
        <v>30038044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1005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0"/>
        <v>30038008_30038041</v>
      </c>
      <c r="B46" s="47">
        <v>30038008</v>
      </c>
      <c r="C46" s="47">
        <v>30038041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ラー様…お仲間の力、試させていただきます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46" s="47">
        <v>30038045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1012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0"/>
        <v>30038008_30038041</v>
      </c>
      <c r="B47" s="47">
        <v>30038008</v>
      </c>
      <c r="C47" s="47">
        <v>30038041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ラー様…お仲間の力、試させていただきます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47" s="47">
        <v>30038046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1013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0"/>
        <v>30038008_30038042</v>
      </c>
      <c r="B48" s="47">
        <v>30038008</v>
      </c>
      <c r="C48" s="47">
        <v>30038042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バステト殿、久しぶりですね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48" s="47">
        <v>30038047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1018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0"/>
        <v>30038008_30038042</v>
      </c>
      <c r="B49" s="47">
        <v>30038008</v>
      </c>
      <c r="C49" s="47">
        <v>30038042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バステト殿、久しぶりですね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49" s="47">
        <v>30038048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1019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0"/>
        <v>30038008_30038043</v>
      </c>
      <c r="B50" s="47">
        <v>30038008</v>
      </c>
      <c r="C50" s="47">
        <v>30038043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たとえイシス様でもすぐには通しませんよ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50" s="47">
        <v>30038049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1014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0"/>
        <v>30038008_30038043</v>
      </c>
      <c r="B51" s="47">
        <v>30038008</v>
      </c>
      <c r="C51" s="47">
        <v>30038043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たとえイシス様でもすぐには通しませんよ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51" s="47">
        <v>30038050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1015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0"/>
        <v>30038008_30038044</v>
      </c>
      <c r="B52" s="47">
        <v>30038008</v>
      </c>
      <c r="C52" s="47">
        <v>30038044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ハトホル殿、本日はどのような御用向きで？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52" s="47">
        <v>30038051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1016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0"/>
        <v>30038008_30038044</v>
      </c>
      <c r="B53" s="47">
        <v>30038008</v>
      </c>
      <c r="C53" s="47">
        <v>30038044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ハトホル殿、本日はどのような御用向きで？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53" s="47">
        <v>30038052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1017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0"/>
        <v>30038008_30038045</v>
      </c>
      <c r="B54" s="47">
        <v>30038008</v>
      </c>
      <c r="C54" s="47">
        <v>30038045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ホルス。修行をサボってなかったか試してあげます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54" s="47">
        <v>30038053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84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187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0"/>
        <v>30038008_30038045</v>
      </c>
      <c r="B55" s="47">
        <v>30038008</v>
      </c>
      <c r="C55" s="47">
        <v>30038045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ホルス。修行をサボってなかったか試してあげます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55" s="47">
        <v>30038054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83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188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0"/>
        <v>30038008_30038045</v>
      </c>
      <c r="B56" s="47">
        <v>30038008</v>
      </c>
      <c r="C56" s="47">
        <v>30038045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ホルス。修行をサボってなかったか試してあげます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56" s="47">
        <v>30038055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82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189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0"/>
        <v>30038008_30038046</v>
      </c>
      <c r="B57" s="47">
        <v>30038008</v>
      </c>
      <c r="C57" s="47">
        <v>30038046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スフィンクスか。遊んであげようか？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57" s="47">
        <v>30038056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387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0"/>
        <v>30038008_30038046</v>
      </c>
      <c r="B58" s="47">
        <v>30038008</v>
      </c>
      <c r="C58" s="47">
        <v>30038046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スフィンクスか。遊んであげようか？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58" s="47">
        <v>30038057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388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0"/>
        <v>30038008_30038046</v>
      </c>
      <c r="B59" s="47">
        <v>30038008</v>
      </c>
      <c r="C59" s="47">
        <v>30038046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スフィンクスか。遊んであげようか？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59" s="47">
        <v>30038058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79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389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ref="A60:A77" si="2">B60&amp;"_"&amp;C60</f>
        <v>30038008_30038047</v>
      </c>
      <c r="B60" s="47">
        <v>30038008</v>
      </c>
      <c r="C60" s="47">
        <v>30038047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キミ達の最大限の力を見たいんだ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【3ターン毎に全回復】するセルケトを_x000D_【30ターン以内に撃破】しよう</v>
      </c>
      <c r="F60" s="47">
        <v>30038059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78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2"/>
        <v>30038008_30038048</v>
      </c>
      <c r="B61" s="47">
        <v>30038008</v>
      </c>
      <c r="C61" s="47">
        <v>30038048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しっかり準備を整えてくれよ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【30ターン経過までは攻撃されませんので_x000D_　落ち着いてダメージソースを作りましょう】</v>
      </c>
      <c r="F61" s="47">
        <v>30038060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77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2"/>
        <v>30038008_30038049</v>
      </c>
      <c r="B62" s="47">
        <v>30038008</v>
      </c>
      <c r="C62" s="47">
        <v>30038049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カノプス・ヒーリング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自己回復</v>
      </c>
      <c r="F62" s="47">
        <v>30038061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10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2"/>
        <v>30038008_30038050</v>
      </c>
      <c r="B63" s="47">
        <v>30038008</v>
      </c>
      <c r="C63" s="47">
        <v>30038050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まだ時間はある、強力なのを頼むよ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あと20ターンで超強力な全体攻撃！</v>
      </c>
      <c r="F63" s="47">
        <v>30038062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2"/>
        <v>30038008_30038051</v>
      </c>
      <c r="B64" s="47">
        <v>30038008</v>
      </c>
      <c r="C64" s="47">
        <v>30038051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折り返し点だね　そろそろ来るかい？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あと15ターンで超強力な全体攻撃！</v>
      </c>
      <c r="F64" s="47">
        <v>30038063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16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2"/>
        <v>30038008_30038052</v>
      </c>
      <c r="B65" s="47">
        <v>30038008</v>
      </c>
      <c r="C65" s="47">
        <v>30038052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カノプス・ヒーリング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あと10ターンで超強力な全体攻撃！_x000D_＋自己回復</v>
      </c>
      <c r="F65" s="47">
        <v>30038064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21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2"/>
        <v>30038008_30038053</v>
      </c>
      <c r="B66" s="47">
        <v>30038008</v>
      </c>
      <c r="C66" s="47">
        <v>30038053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まだ来ないのかい？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あと５ターンで超強力な全体攻撃！</v>
      </c>
      <c r="F66" s="47">
        <v>30038065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26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2"/>
        <v>30038008_30038054</v>
      </c>
      <c r="B67" s="47">
        <v>30038008</v>
      </c>
      <c r="C67" s="47">
        <v>30038054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そろそろタイムオーバーが近いよ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あと３ターンで超強力な全体攻撃！</v>
      </c>
      <c r="F67" s="47">
        <v>30038066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28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2"/>
        <v>30038008_30038055</v>
      </c>
      <c r="B68" s="47">
        <v>30038008</v>
      </c>
      <c r="C68" s="47">
        <v>30038055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ダメ元で撃ってきてもいいんだよ？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あと２ターンで超強力な全体攻撃！</v>
      </c>
      <c r="F68" s="47">
        <v>30038067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29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2"/>
        <v>30038008_30038056</v>
      </c>
      <c r="B69" s="47">
        <v>30038008</v>
      </c>
      <c r="C69" s="47">
        <v>30038056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カノプス・ヒーリング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あと１ターンで超強力な全体攻撃！_x000D_＋自己回復</v>
      </c>
      <c r="F69" s="47">
        <v>30038068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30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2"/>
        <v>30038008_30038057</v>
      </c>
      <c r="B70" s="47">
        <v>30038008</v>
      </c>
      <c r="C70" s="47">
        <v>30038057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残念だが時間切れだね。再挑戦を待ってるよ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超強力な全体攻撃！</v>
      </c>
      <c r="F70" s="47">
        <v>30038069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31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2"/>
        <v>30038008_30038058</v>
      </c>
      <c r="B71" s="47">
        <v>30038008</v>
      </c>
      <c r="C71" s="47">
        <v>30038058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攻撃の準備が出来たと判断したら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ワタシのスキを見切って_x000D_打ち込んできてくれよ</v>
      </c>
      <c r="F71" s="47">
        <v>30038070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ref="A72" si="3">B72&amp;"_"&amp;C72</f>
        <v>30038008_30038059</v>
      </c>
      <c r="B72" s="47">
        <v>30038008</v>
      </c>
      <c r="C72" s="47">
        <v>30038059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ふーむ。準備はすすんでいるかい？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セルケトはこちらの行動を見守っている！</v>
      </c>
      <c r="F72" s="47">
        <v>30038071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2" s="47"/>
      <c r="Q72" s="47"/>
      <c r="R72" s="47"/>
    </row>
    <row r="73" spans="1:18" ht="21" customHeight="1" x14ac:dyDescent="0.15">
      <c r="A73" s="39" t="str">
        <f t="shared" si="2"/>
        <v>30038009_30038062</v>
      </c>
      <c r="B73" s="47">
        <v>30038009</v>
      </c>
      <c r="C73" s="47">
        <v>30038062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最後は総合テストといこうか！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解除するまでダメージを受けるウィルス_x000D_＋状態異常を16回まで無効化</v>
      </c>
      <c r="F73" s="47">
        <v>30038074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 t="str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2"/>
        <v>30038009_30038063</v>
      </c>
      <c r="B74" s="47">
        <v>30038009</v>
      </c>
      <c r="C74" s="47">
        <v>30038063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テイル・スウィング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4" s="47">
        <v>30038075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4" s="47"/>
      <c r="Q74" s="47"/>
      <c r="R74" s="47"/>
    </row>
    <row r="75" spans="1:18" ht="21" customHeight="1" x14ac:dyDescent="0.15">
      <c r="A75" s="39" t="str">
        <f t="shared" si="2"/>
        <v>30038009_30038064</v>
      </c>
      <c r="B75" s="47">
        <v>30038009</v>
      </c>
      <c r="C75" s="47">
        <v>30038064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止血帯の貴婦人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自己回復</v>
      </c>
      <c r="F75" s="47">
        <v>30038076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2"/>
        <v>30038009_30038065</v>
      </c>
      <c r="B76" s="47">
        <v>30038009</v>
      </c>
      <c r="C76" s="47">
        <v>30038065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毒絶神の尾針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解除するまでダメージを受けるウィルス</v>
      </c>
      <c r="F76" s="47">
        <v>30038077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 t="str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2"/>
        <v>30038009_30038066</v>
      </c>
      <c r="B77" s="47">
        <v>30038009</v>
      </c>
      <c r="C77" s="47">
        <v>30038066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パーティ編成に慢心は無いよね？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青属性ユニット以外に大ダメージ！</v>
      </c>
      <c r="F77" s="47">
        <v>30038078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45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ref="A78:A86" si="4">B78&amp;"_"&amp;C78</f>
        <v>30038009_30038067</v>
      </c>
      <c r="B78" s="47">
        <v>30038009</v>
      </c>
      <c r="C78" s="47">
        <v>30038067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うん、ワタシの見込んだ通りだったね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そのチカラで…オシリス様を_x000D_救ってくれないか</v>
      </c>
      <c r="F78" s="47">
        <v>30038079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 t="str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4"/>
        <v>30038010_30038068</v>
      </c>
      <c r="B79" s="142">
        <v>30038010</v>
      </c>
      <c r="C79" s="142">
        <v>30038068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この毒に５回、耐えてみせて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５ターンウィルス＆スキルバインド_x000D_＆アビリティ無効＋5ターン状態異常無効</v>
      </c>
      <c r="F79" s="47">
        <v>30038001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8" t="str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4"/>
        <v>30038010_30038002</v>
      </c>
      <c r="B80" s="142">
        <v>30038010</v>
      </c>
      <c r="C80" s="142">
        <v>30038002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あっ閃光弾が混ざってたー！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ゴメンね？(・ω&lt;) _x000D_（1ターン暗闇）</v>
      </c>
      <c r="F80" s="47">
        <v>30038002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4"/>
        <v>30038010_30038003</v>
      </c>
      <c r="B81" s="142">
        <v>30038010</v>
      </c>
      <c r="C81" s="142">
        <v>30038003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計画的に回復できるかしら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そういうチカラを見せてもらうわ</v>
      </c>
      <c r="F81" s="47">
        <v>30038003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4"/>
        <v>30038010_30038004</v>
      </c>
      <c r="B82" s="142">
        <v>30038010</v>
      </c>
      <c r="C82" s="142">
        <v>30038004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そろそろ苦しいでしょ？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ちゃんと回復を始めなさいよ？</v>
      </c>
      <c r="F82" s="47">
        <v>30038004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4"/>
        <v>30038010_30038005</v>
      </c>
      <c r="B83" s="142">
        <v>30038010</v>
      </c>
      <c r="C83" s="142">
        <v>30038005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次で最後！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ちゃんと耐えなさいよ！</v>
      </c>
      <c r="F83" s="47">
        <v>30038005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4"/>
        <v>30038010_30038006</v>
      </c>
      <c r="B84" s="142">
        <v>30038010</v>
      </c>
      <c r="C84" s="142">
        <v>30038006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回復に自信がないなら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先にやっつけちゃうのもアリよ！？_x000D_もしできるんなら、だけどね！</v>
      </c>
      <c r="F84" s="47">
        <v>30038006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4"/>
        <v>30038010_30038007</v>
      </c>
      <c r="B85" s="142">
        <v>30038010</v>
      </c>
      <c r="C85" s="142">
        <v>30038007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ふーん、耐久力はあるみたいね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スキル10ターン短縮_x000D_＋Cパネル、ボムパネル以外をハートパネルに変換</v>
      </c>
      <c r="F85" s="47">
        <v>30038007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 t="str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4"/>
        <v>30038010_30038008</v>
      </c>
      <c r="B86" s="142">
        <v>30038010</v>
      </c>
      <c r="C86" s="142">
        <v>30038008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なかなかやるわね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この後も油断しちゃダメよ</v>
      </c>
      <c r="F86" s="47">
        <v>30038008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 t="str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ref="A87:A94" si="5">B87&amp;"_"&amp;C87</f>
        <v>30038011_30038069</v>
      </c>
      <c r="B87" s="143">
        <v>30038011</v>
      </c>
      <c r="C87" s="143">
        <v>30038069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この毒に５回、耐えてみせて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５ターンウィルス＆スキルバインド_x000D_＆アビリティ無効＋5ターン状態異常無効</v>
      </c>
      <c r="F87" s="47">
        <v>30038001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8" t="str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5"/>
        <v>30038011_30038002</v>
      </c>
      <c r="B88" s="143">
        <v>30038011</v>
      </c>
      <c r="C88" s="143">
        <v>30038002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あっ閃光弾が混ざってたー！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ゴメンね？(・ω&lt;) _x000D_（1ターン暗闇）</v>
      </c>
      <c r="F88" s="47">
        <v>30038002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5"/>
        <v>30038011_30038003</v>
      </c>
      <c r="B89" s="143">
        <v>30038011</v>
      </c>
      <c r="C89" s="143">
        <v>30038003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計画的に回復できるかしら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そういうチカラを見せてもらうわ</v>
      </c>
      <c r="F89" s="47">
        <v>30038003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5"/>
        <v>30038011_30038004</v>
      </c>
      <c r="B90" s="143">
        <v>30038011</v>
      </c>
      <c r="C90" s="143">
        <v>30038004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そろそろ苦しいでしょ？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ちゃんと回復を始めなさいよ？</v>
      </c>
      <c r="F90" s="47">
        <v>30038004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5"/>
        <v>30038011_30038005</v>
      </c>
      <c r="B91" s="143">
        <v>30038011</v>
      </c>
      <c r="C91" s="143">
        <v>30038005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次で最後！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ちゃんと耐えなさいよ！</v>
      </c>
      <c r="F91" s="47">
        <v>30038005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5"/>
        <v>30038011_30038006</v>
      </c>
      <c r="B92" s="143">
        <v>30038011</v>
      </c>
      <c r="C92" s="143">
        <v>30038006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回復に自信がないなら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先にやっつけちゃうのもアリよ！？_x000D_もしできるんなら、だけどね！</v>
      </c>
      <c r="F92" s="47">
        <v>30038006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5"/>
        <v>30038011_30038007</v>
      </c>
      <c r="B93" s="143">
        <v>30038011</v>
      </c>
      <c r="C93" s="143">
        <v>30038007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ふーん、耐久力はあるみたいね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スキル10ターン短縮_x000D_＋Cパネル、ボムパネル以外をハートパネルに変換</v>
      </c>
      <c r="F93" s="47">
        <v>30038007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 t="str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5"/>
        <v>30038011_30038008</v>
      </c>
      <c r="B94" s="143">
        <v>30038011</v>
      </c>
      <c r="C94" s="143">
        <v>30038008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なかなかやるわね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この後も油断しちゃダメよ</v>
      </c>
      <c r="F94" s="47">
        <v>30038008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 t="str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8"/>
  <sheetViews>
    <sheetView showGridLines="0" workbookViewId="0">
      <pane ySplit="1" topLeftCell="A48" activePane="bottomLeft" state="frozenSplit"/>
      <selection pane="bottomLeft" activeCell="B68" sqref="B68"/>
    </sheetView>
  </sheetViews>
  <sheetFormatPr baseColWidth="12" defaultColWidth="12.83203125" defaultRowHeight="21" customHeight="1" outlineLevelCol="1" x14ac:dyDescent="0.15"/>
  <cols>
    <col min="1" max="1" width="12.83203125" style="127"/>
    <col min="2" max="2" width="67.1640625" style="127" customWidth="1"/>
    <col min="3" max="4" width="12.83203125" style="127"/>
    <col min="5" max="5" width="43.1640625" style="127" bestFit="1" customWidth="1"/>
    <col min="6" max="6" width="44.1640625" style="127" bestFit="1" customWidth="1"/>
    <col min="7" max="7" width="52" style="127" hidden="1" customWidth="1" outlineLevel="1"/>
    <col min="8" max="8" width="18.33203125" style="127" hidden="1" customWidth="1" outlineLevel="1"/>
    <col min="9" max="11" width="18.6640625" style="127" hidden="1" customWidth="1" outlineLevel="1"/>
    <col min="12" max="12" width="23.6640625" style="127" customWidth="1" collapsed="1"/>
    <col min="13" max="18" width="23.6640625" style="127" hidden="1" customWidth="1" outlineLevel="1"/>
    <col min="19" max="19" width="23.6640625" style="127" customWidth="1" collapsed="1"/>
    <col min="20" max="24" width="23.6640625" style="127" hidden="1" customWidth="1" outlineLevel="1"/>
    <col min="25" max="25" width="23.6640625" style="127" customWidth="1" collapsed="1"/>
    <col min="26" max="27" width="12.83203125" style="127"/>
    <col min="28" max="28" width="44.5" style="127" customWidth="1"/>
    <col min="29" max="16384" width="12.83203125" style="127"/>
  </cols>
  <sheetData>
    <row r="1" spans="1:28" ht="21" customHeight="1" x14ac:dyDescent="0.15">
      <c r="A1" s="130" t="s">
        <v>79</v>
      </c>
      <c r="B1" s="130" t="s">
        <v>80</v>
      </c>
      <c r="C1" s="130" t="s">
        <v>81</v>
      </c>
      <c r="D1" s="130" t="s">
        <v>127</v>
      </c>
      <c r="E1" s="130" t="s">
        <v>82</v>
      </c>
      <c r="F1" s="130" t="s">
        <v>83</v>
      </c>
      <c r="G1" s="129" t="s">
        <v>133</v>
      </c>
      <c r="H1" s="129" t="s">
        <v>139</v>
      </c>
      <c r="I1" s="129" t="s">
        <v>141</v>
      </c>
      <c r="J1" s="129" t="s">
        <v>140</v>
      </c>
      <c r="K1" s="129" t="s">
        <v>142</v>
      </c>
      <c r="L1" s="129" t="s">
        <v>134</v>
      </c>
      <c r="M1" s="129" t="s">
        <v>132</v>
      </c>
      <c r="N1" s="129" t="s">
        <v>135</v>
      </c>
      <c r="O1" s="129" t="s">
        <v>143</v>
      </c>
      <c r="P1" s="129" t="s">
        <v>144</v>
      </c>
      <c r="Q1" s="129" t="s">
        <v>145</v>
      </c>
      <c r="R1" s="129" t="s">
        <v>146</v>
      </c>
      <c r="S1" s="129" t="s">
        <v>136</v>
      </c>
      <c r="T1" s="129" t="s">
        <v>137</v>
      </c>
      <c r="U1" s="129" t="s">
        <v>147</v>
      </c>
      <c r="V1" s="129" t="s">
        <v>148</v>
      </c>
      <c r="W1" s="129" t="s">
        <v>149</v>
      </c>
      <c r="X1" s="129" t="s">
        <v>150</v>
      </c>
      <c r="Y1" s="129" t="s">
        <v>138</v>
      </c>
      <c r="Z1" s="129" t="s">
        <v>76</v>
      </c>
      <c r="AA1" s="129" t="s">
        <v>77</v>
      </c>
      <c r="AB1" s="129" t="s">
        <v>78</v>
      </c>
    </row>
    <row r="2" spans="1:28" ht="52" customHeight="1" x14ac:dyDescent="0.15">
      <c r="A2" s="128">
        <v>30038001</v>
      </c>
      <c r="B2" s="134" t="s">
        <v>419</v>
      </c>
      <c r="C2" s="128">
        <v>3</v>
      </c>
      <c r="D2" s="128" t="s">
        <v>128</v>
      </c>
      <c r="E2" s="131" t="s">
        <v>443</v>
      </c>
      <c r="F2" s="131" t="s">
        <v>481</v>
      </c>
      <c r="G2" s="132" t="str">
        <f>IFERROR(LEFT(B2,FIND("],",B2)),B2)</f>
        <v>[effect:ability_lock, target:unit_all, turn:5]</v>
      </c>
      <c r="H2" s="132">
        <f>FIND("effect:",G2)+7</f>
        <v>9</v>
      </c>
      <c r="I2" s="132">
        <f>IFERROR(FIND(",",G2),LEN(G2))</f>
        <v>21</v>
      </c>
      <c r="J2" s="132">
        <f>FIND("target:",G2)+7</f>
        <v>30</v>
      </c>
      <c r="K2" s="132">
        <f>FIND(",",G2,I2+1)</f>
        <v>38</v>
      </c>
      <c r="L2" s="132" t="str">
        <f>IFERROR(VLOOKUP(MID(G2,J2,K2-J2),[6]skilldef!$C:$D,2,FALSE),"-") &amp; " / " &amp; IFERROR(VLOOKUP(MID(G2,H2,I2-H2),[6]skilldef!$A:$B,2,FALSE),"-")</f>
        <v>味方全体に / -</v>
      </c>
      <c r="M2" s="132" t="str">
        <f>IFERROR(RIGHT(B2,LEN(B2)-FIND("],",B2)-1),"none")</f>
        <v>[effect:tolerance, target:myself, turn:5, tolerance_effect:all, count:-1, animation:enemy_tolerance],[effect:hungup, target:unit_all, turn:5, rate:1, animation:hungup01],[effect:virus, turn:5, rate:1, val:0.3, animation:enemy_virus],[effect:fix_speed, target:enemy_all, turn:1]</v>
      </c>
      <c r="N2" s="129" t="str">
        <f t="shared" ref="N2" si="0">IFERROR(LEFT(M2,FIND("],",M2)+S19),M2)</f>
        <v>[effect:tolerance, target:myself, turn:5, tolerance_effect:all, count:-1, animation:enemy_tolerance],[effect:hungup, target:unit_all, turn:5, rate:1, animation:hungup01],[effect:virus, turn:5, rate:1, val:0.3, animation:enemy_virus],[effect:fix_speed, target:enemy_all, turn:1]</v>
      </c>
      <c r="O2" s="132">
        <f>FIND("effect:",N2)+7</f>
        <v>9</v>
      </c>
      <c r="P2" s="132">
        <f>IFERROR(FIND(",",N2),LEN(N2))</f>
        <v>18</v>
      </c>
      <c r="Q2" s="132">
        <f>FIND("target:",N2)+7</f>
        <v>27</v>
      </c>
      <c r="R2" s="132">
        <f>FIND(",",N2,P2+1)</f>
        <v>33</v>
      </c>
      <c r="S2" s="132" t="str">
        <f>IFERROR(VLOOKUP(MID(N2,Q2,R2-Q2),[6]skilldef!$C:$D,2,FALSE),"-") &amp; " / " &amp; IFERROR(VLOOKUP(MID(N2,O2,P2-O2),[6]skilldef!$A:$B,2,FALSE),"-")</f>
        <v>自分自身に / 状態異常耐性</v>
      </c>
      <c r="T2" s="129" t="str">
        <f>IFERROR(RIGHT(M2,LEN(M2)-FIND("],",M2)-1),"none")</f>
        <v>[effect:hungup, target:unit_all, turn:5, rate:1, animation:hungup01],[effect:virus, turn:5, rate:1, val:0.3, animation:enemy_virus],[effect:fix_speed, target:enemy_all, turn:1]</v>
      </c>
      <c r="U2" s="132">
        <f>FIND("effect:",T2)+7</f>
        <v>9</v>
      </c>
      <c r="V2" s="132">
        <f>IFERROR(FIND(",",T2),LEN(T2))</f>
        <v>15</v>
      </c>
      <c r="W2" s="132">
        <f>FIND("target:",T2)+7</f>
        <v>24</v>
      </c>
      <c r="X2" s="132">
        <f>FIND(",",T2,V2+1)</f>
        <v>32</v>
      </c>
      <c r="Y2" s="132" t="str">
        <f>IFERROR(VLOOKUP(MID(T2,W2,X2-W2),[6]skilldef!$C:$D,2,FALSE),"-") &amp; " / " &amp; IFERROR(VLOOKUP(MID(T2,U2,V2-U2),[6]skilldef!$A:$B,2,FALSE),"-")</f>
        <v>味方全体に / ハングアップ</v>
      </c>
      <c r="Z2" s="128"/>
      <c r="AA2" s="133"/>
      <c r="AB2" s="128" t="s">
        <v>280</v>
      </c>
    </row>
    <row r="3" spans="1:28" ht="52" customHeight="1" x14ac:dyDescent="0.15">
      <c r="A3" s="128">
        <v>30038002</v>
      </c>
      <c r="B3" s="134" t="s">
        <v>410</v>
      </c>
      <c r="C3" s="128">
        <v>3</v>
      </c>
      <c r="D3" s="128" t="s">
        <v>128</v>
      </c>
      <c r="E3" s="131" t="s">
        <v>408</v>
      </c>
      <c r="F3" s="131" t="s">
        <v>409</v>
      </c>
      <c r="G3" s="132"/>
      <c r="H3" s="132"/>
      <c r="I3" s="132"/>
      <c r="J3" s="132"/>
      <c r="K3" s="132"/>
      <c r="L3" s="132" t="str">
        <f>IFERROR(VLOOKUP(MID(G3,J3,K3-J3),[6]skilldef!$C:$D,2,FALSE),"-") &amp; " / " &amp; IFERROR(VLOOKUP(MID(G3,H3,I3-H3),[6]skilldef!$A:$B,2,FALSE),"-")</f>
        <v>- / -</v>
      </c>
      <c r="M3" s="132" t="str">
        <f t="shared" ref="M3:M7" si="1">IFERROR(RIGHT(B3,LEN(B3)-FIND("],",B3)-1),"none")</f>
        <v>none</v>
      </c>
      <c r="N3" s="129" t="str">
        <f t="shared" ref="N3:N7" si="2">IFERROR(LEFT(M3,FIND("],",M3)+S20),M3)</f>
        <v>none</v>
      </c>
      <c r="O3" s="132" t="e">
        <f t="shared" ref="O3:O7" si="3">FIND("effect:",N3)+7</f>
        <v>#VALUE!</v>
      </c>
      <c r="P3" s="132">
        <f t="shared" ref="P3:P7" si="4">IFERROR(FIND(",",N3),LEN(N3))</f>
        <v>4</v>
      </c>
      <c r="Q3" s="132" t="e">
        <f t="shared" ref="Q3:Q7" si="5">FIND("target:",N3)+7</f>
        <v>#VALUE!</v>
      </c>
      <c r="R3" s="132" t="e">
        <f t="shared" ref="R3:R7" si="6">FIND(",",N3,P3+1)</f>
        <v>#VALUE!</v>
      </c>
      <c r="S3" s="132" t="str">
        <f>IFERROR(VLOOKUP(MID(N3,Q3,R3-Q3),[6]skilldef!$C:$D,2,FALSE),"-") &amp; " / " &amp; IFERROR(VLOOKUP(MID(N3,O3,P3-O3),[6]skilldef!$A:$B,2,FALSE),"-")</f>
        <v>- / -</v>
      </c>
      <c r="T3" s="129" t="str">
        <f t="shared" ref="T3:T7" si="7">IFERROR(RIGHT(M3,LEN(M3)-FIND("],",M3)-1),"none")</f>
        <v>none</v>
      </c>
      <c r="U3" s="132" t="e">
        <f t="shared" ref="U3:U7" si="8">FIND("effect:",T3)+7</f>
        <v>#VALUE!</v>
      </c>
      <c r="V3" s="132">
        <f t="shared" ref="V3:V7" si="9">IFERROR(FIND(",",T3),LEN(T3))</f>
        <v>4</v>
      </c>
      <c r="W3" s="132" t="e">
        <f t="shared" ref="W3:W7" si="10">FIND("target:",T3)+7</f>
        <v>#VALUE!</v>
      </c>
      <c r="X3" s="132" t="e">
        <f t="shared" ref="X3:X7" si="11">FIND(",",T3,V3+1)</f>
        <v>#VALUE!</v>
      </c>
      <c r="Y3" s="132" t="str">
        <f>IFERROR(VLOOKUP(MID(T3,W3,X3-W3),[6]skilldef!$C:$D,2,FALSE),"-") &amp; " / " &amp; IFERROR(VLOOKUP(MID(T3,U3,V3-U3),[6]skilldef!$A:$B,2,FALSE),"-")</f>
        <v>- / -</v>
      </c>
      <c r="Z3" s="128"/>
      <c r="AA3" s="133"/>
      <c r="AB3" s="128" t="s">
        <v>396</v>
      </c>
    </row>
    <row r="4" spans="1:28" ht="52" customHeight="1" x14ac:dyDescent="0.15">
      <c r="A4" s="128">
        <v>30038003</v>
      </c>
      <c r="B4" s="134" t="s">
        <v>260</v>
      </c>
      <c r="C4" s="128">
        <v>3</v>
      </c>
      <c r="D4" s="128" t="s">
        <v>128</v>
      </c>
      <c r="E4" s="131" t="s">
        <v>403</v>
      </c>
      <c r="F4" s="131" t="s">
        <v>404</v>
      </c>
      <c r="G4" s="132"/>
      <c r="H4" s="132"/>
      <c r="I4" s="132"/>
      <c r="J4" s="132"/>
      <c r="K4" s="132"/>
      <c r="L4" s="132" t="str">
        <f>IFERROR(VLOOKUP(MID(G4,J4,K4-J4),[6]skilldef!$C:$D,2,FALSE),"-") &amp; " / " &amp; IFERROR(VLOOKUP(MID(G4,H4,I4-H4),[6]skilldef!$A:$B,2,FALSE),"-")</f>
        <v>- / -</v>
      </c>
      <c r="M4" s="132" t="str">
        <f t="shared" si="1"/>
        <v>none</v>
      </c>
      <c r="N4" s="129" t="str">
        <f t="shared" si="2"/>
        <v>none</v>
      </c>
      <c r="O4" s="132" t="e">
        <f t="shared" si="3"/>
        <v>#VALUE!</v>
      </c>
      <c r="P4" s="132">
        <f t="shared" si="4"/>
        <v>4</v>
      </c>
      <c r="Q4" s="132" t="e">
        <f t="shared" si="5"/>
        <v>#VALUE!</v>
      </c>
      <c r="R4" s="132" t="e">
        <f t="shared" si="6"/>
        <v>#VALUE!</v>
      </c>
      <c r="S4" s="132" t="str">
        <f>IFERROR(VLOOKUP(MID(N4,Q4,R4-Q4),[6]skilldef!$C:$D,2,FALSE),"-") &amp; " / " &amp; IFERROR(VLOOKUP(MID(N4,O4,P4-O4),[6]skilldef!$A:$B,2,FALSE),"-")</f>
        <v>- / -</v>
      </c>
      <c r="T4" s="129" t="str">
        <f t="shared" si="7"/>
        <v>none</v>
      </c>
      <c r="U4" s="132" t="e">
        <f t="shared" si="8"/>
        <v>#VALUE!</v>
      </c>
      <c r="V4" s="132">
        <f t="shared" si="9"/>
        <v>4</v>
      </c>
      <c r="W4" s="132" t="e">
        <f t="shared" si="10"/>
        <v>#VALUE!</v>
      </c>
      <c r="X4" s="132" t="e">
        <f t="shared" si="11"/>
        <v>#VALUE!</v>
      </c>
      <c r="Y4" s="132" t="str">
        <f>IFERROR(VLOOKUP(MID(T4,W4,X4-W4),[6]skilldef!$C:$D,2,FALSE),"-") &amp; " / " &amp; IFERROR(VLOOKUP(MID(T4,U4,V4-U4),[6]skilldef!$A:$B,2,FALSE),"-")</f>
        <v>- / -</v>
      </c>
      <c r="Z4" s="128"/>
      <c r="AA4" s="133"/>
      <c r="AB4" s="128" t="s">
        <v>397</v>
      </c>
    </row>
    <row r="5" spans="1:28" ht="52" customHeight="1" x14ac:dyDescent="0.15">
      <c r="A5" s="128">
        <v>30038004</v>
      </c>
      <c r="B5" s="134" t="s">
        <v>260</v>
      </c>
      <c r="C5" s="128">
        <v>3</v>
      </c>
      <c r="D5" s="128" t="s">
        <v>128</v>
      </c>
      <c r="E5" s="131" t="s">
        <v>405</v>
      </c>
      <c r="F5" s="131" t="s">
        <v>406</v>
      </c>
      <c r="G5" s="132"/>
      <c r="H5" s="132"/>
      <c r="I5" s="132"/>
      <c r="J5" s="132"/>
      <c r="K5" s="132"/>
      <c r="L5" s="132" t="str">
        <f>IFERROR(VLOOKUP(MID(G5,J5,K5-J5),[6]skilldef!$C:$D,2,FALSE),"-") &amp; " / " &amp; IFERROR(VLOOKUP(MID(G5,H5,I5-H5),[6]skilldef!$A:$B,2,FALSE),"-")</f>
        <v>- / -</v>
      </c>
      <c r="M5" s="132" t="str">
        <f t="shared" si="1"/>
        <v>none</v>
      </c>
      <c r="N5" s="129" t="str">
        <f t="shared" si="2"/>
        <v>none</v>
      </c>
      <c r="O5" s="132" t="e">
        <f t="shared" si="3"/>
        <v>#VALUE!</v>
      </c>
      <c r="P5" s="132">
        <f t="shared" si="4"/>
        <v>4</v>
      </c>
      <c r="Q5" s="132" t="e">
        <f t="shared" si="5"/>
        <v>#VALUE!</v>
      </c>
      <c r="R5" s="132" t="e">
        <f t="shared" si="6"/>
        <v>#VALUE!</v>
      </c>
      <c r="S5" s="132" t="str">
        <f>IFERROR(VLOOKUP(MID(N5,Q5,R5-Q5),[6]skilldef!$C:$D,2,FALSE),"-") &amp; " / " &amp; IFERROR(VLOOKUP(MID(N5,O5,P5-O5),[6]skilldef!$A:$B,2,FALSE),"-")</f>
        <v>- / -</v>
      </c>
      <c r="T5" s="129" t="str">
        <f t="shared" si="7"/>
        <v>none</v>
      </c>
      <c r="U5" s="132" t="e">
        <f t="shared" si="8"/>
        <v>#VALUE!</v>
      </c>
      <c r="V5" s="132">
        <f t="shared" si="9"/>
        <v>4</v>
      </c>
      <c r="W5" s="132" t="e">
        <f t="shared" si="10"/>
        <v>#VALUE!</v>
      </c>
      <c r="X5" s="132" t="e">
        <f t="shared" si="11"/>
        <v>#VALUE!</v>
      </c>
      <c r="Y5" s="132" t="str">
        <f>IFERROR(VLOOKUP(MID(T5,W5,X5-W5),[6]skilldef!$C:$D,2,FALSE),"-") &amp; " / " &amp; IFERROR(VLOOKUP(MID(T5,U5,V5-U5),[6]skilldef!$A:$B,2,FALSE),"-")</f>
        <v>- / -</v>
      </c>
      <c r="Z5" s="131"/>
      <c r="AA5" s="131"/>
      <c r="AB5" s="128" t="s">
        <v>398</v>
      </c>
    </row>
    <row r="6" spans="1:28" ht="52" customHeight="1" x14ac:dyDescent="0.15">
      <c r="A6" s="128">
        <v>30038005</v>
      </c>
      <c r="B6" s="134" t="s">
        <v>260</v>
      </c>
      <c r="C6" s="128">
        <v>3</v>
      </c>
      <c r="D6" s="128" t="s">
        <v>128</v>
      </c>
      <c r="E6" s="131" t="s">
        <v>401</v>
      </c>
      <c r="F6" s="131" t="s">
        <v>402</v>
      </c>
      <c r="G6" s="132"/>
      <c r="H6" s="132"/>
      <c r="I6" s="132"/>
      <c r="J6" s="132"/>
      <c r="K6" s="132"/>
      <c r="L6" s="132" t="str">
        <f>IFERROR(VLOOKUP(MID(G6,J6,K6-J6),[6]skilldef!$C:$D,2,FALSE),"-") &amp; " / " &amp; IFERROR(VLOOKUP(MID(G6,H6,I6-H6),[6]skilldef!$A:$B,2,FALSE),"-")</f>
        <v>- / -</v>
      </c>
      <c r="M6" s="132" t="str">
        <f t="shared" si="1"/>
        <v>none</v>
      </c>
      <c r="N6" s="129" t="str">
        <f t="shared" si="2"/>
        <v>none</v>
      </c>
      <c r="O6" s="132" t="e">
        <f t="shared" si="3"/>
        <v>#VALUE!</v>
      </c>
      <c r="P6" s="132">
        <f t="shared" si="4"/>
        <v>4</v>
      </c>
      <c r="Q6" s="132" t="e">
        <f t="shared" si="5"/>
        <v>#VALUE!</v>
      </c>
      <c r="R6" s="132" t="e">
        <f t="shared" si="6"/>
        <v>#VALUE!</v>
      </c>
      <c r="S6" s="132" t="str">
        <f>IFERROR(VLOOKUP(MID(N6,Q6,R6-Q6),[6]skilldef!$C:$D,2,FALSE),"-") &amp; " / " &amp; IFERROR(VLOOKUP(MID(N6,O6,P6-O6),[6]skilldef!$A:$B,2,FALSE),"-")</f>
        <v>- / -</v>
      </c>
      <c r="T6" s="129" t="str">
        <f t="shared" si="7"/>
        <v>none</v>
      </c>
      <c r="U6" s="132" t="e">
        <f t="shared" si="8"/>
        <v>#VALUE!</v>
      </c>
      <c r="V6" s="132">
        <f t="shared" si="9"/>
        <v>4</v>
      </c>
      <c r="W6" s="132" t="e">
        <f t="shared" si="10"/>
        <v>#VALUE!</v>
      </c>
      <c r="X6" s="132" t="e">
        <f t="shared" si="11"/>
        <v>#VALUE!</v>
      </c>
      <c r="Y6" s="132" t="str">
        <f>IFERROR(VLOOKUP(MID(T6,W6,X6-W6),[6]skilldef!$C:$D,2,FALSE),"-") &amp; " / " &amp; IFERROR(VLOOKUP(MID(T6,U6,V6-U6),[6]skilldef!$A:$B,2,FALSE),"-")</f>
        <v>- / -</v>
      </c>
      <c r="Z6" s="128"/>
      <c r="AA6" s="133"/>
      <c r="AB6" s="128" t="s">
        <v>399</v>
      </c>
    </row>
    <row r="7" spans="1:28" ht="52" customHeight="1" x14ac:dyDescent="0.15">
      <c r="A7" s="128">
        <v>30038006</v>
      </c>
      <c r="B7" s="134" t="s">
        <v>260</v>
      </c>
      <c r="C7" s="128">
        <v>3</v>
      </c>
      <c r="D7" s="128" t="s">
        <v>128</v>
      </c>
      <c r="E7" s="131" t="s">
        <v>407</v>
      </c>
      <c r="F7" s="131" t="s">
        <v>442</v>
      </c>
      <c r="G7" s="132"/>
      <c r="H7" s="132"/>
      <c r="I7" s="132"/>
      <c r="J7" s="132"/>
      <c r="K7" s="132"/>
      <c r="L7" s="132" t="str">
        <f>IFERROR(VLOOKUP(MID(G7,J7,K7-J7),[6]skilldef!$C:$D,2,FALSE),"-") &amp; " / " &amp; IFERROR(VLOOKUP(MID(G7,H7,I7-H7),[6]skilldef!$A:$B,2,FALSE),"-")</f>
        <v>- / -</v>
      </c>
      <c r="M7" s="132" t="str">
        <f t="shared" si="1"/>
        <v>none</v>
      </c>
      <c r="N7" s="129" t="str">
        <f t="shared" si="2"/>
        <v>none</v>
      </c>
      <c r="O7" s="132" t="e">
        <f t="shared" si="3"/>
        <v>#VALUE!</v>
      </c>
      <c r="P7" s="132">
        <f t="shared" si="4"/>
        <v>4</v>
      </c>
      <c r="Q7" s="132" t="e">
        <f t="shared" si="5"/>
        <v>#VALUE!</v>
      </c>
      <c r="R7" s="132" t="e">
        <f t="shared" si="6"/>
        <v>#VALUE!</v>
      </c>
      <c r="S7" s="132" t="str">
        <f>IFERROR(VLOOKUP(MID(N7,Q7,R7-Q7),[6]skilldef!$C:$D,2,FALSE),"-") &amp; " / " &amp; IFERROR(VLOOKUP(MID(N7,O7,P7-O7),[6]skilldef!$A:$B,2,FALSE),"-")</f>
        <v>- / -</v>
      </c>
      <c r="T7" s="129" t="str">
        <f t="shared" si="7"/>
        <v>none</v>
      </c>
      <c r="U7" s="132" t="e">
        <f t="shared" si="8"/>
        <v>#VALUE!</v>
      </c>
      <c r="V7" s="132">
        <f t="shared" si="9"/>
        <v>4</v>
      </c>
      <c r="W7" s="132" t="e">
        <f t="shared" si="10"/>
        <v>#VALUE!</v>
      </c>
      <c r="X7" s="132" t="e">
        <f t="shared" si="11"/>
        <v>#VALUE!</v>
      </c>
      <c r="Y7" s="132" t="str">
        <f>IFERROR(VLOOKUP(MID(T7,W7,X7-W7),[6]skilldef!$C:$D,2,FALSE),"-") &amp; " / " &amp; IFERROR(VLOOKUP(MID(T7,U7,V7-U7),[6]skilldef!$A:$B,2,FALSE),"-")</f>
        <v>- / -</v>
      </c>
      <c r="Z7" s="131"/>
      <c r="AA7" s="131"/>
      <c r="AB7" s="128" t="s">
        <v>400</v>
      </c>
    </row>
    <row r="8" spans="1:28" ht="102" x14ac:dyDescent="0.15">
      <c r="A8" s="128">
        <v>30038007</v>
      </c>
      <c r="B8" s="134" t="s">
        <v>461</v>
      </c>
      <c r="C8" s="128">
        <v>3</v>
      </c>
      <c r="D8" s="128" t="s">
        <v>128</v>
      </c>
      <c r="E8" s="131" t="s">
        <v>282</v>
      </c>
      <c r="F8" s="131" t="s">
        <v>473</v>
      </c>
      <c r="G8" s="132" t="str">
        <f t="shared" ref="G8:G65" si="12">IFERROR(LEFT(B8,FIND("],",B8)),B8)</f>
        <v>[effect:sp_boost, target:unit_all, val:10, animation:sp_boost_one03]</v>
      </c>
      <c r="H8" s="132">
        <f t="shared" ref="H8:H65" si="13">FIND("effect:",G8)+7</f>
        <v>9</v>
      </c>
      <c r="I8" s="132">
        <f t="shared" ref="I8:I65" si="14">IFERROR(FIND(",",G8),LEN(G8))</f>
        <v>17</v>
      </c>
      <c r="J8" s="132">
        <f t="shared" ref="J8:J65" si="15">FIND("target:",G8)+7</f>
        <v>26</v>
      </c>
      <c r="K8" s="132">
        <f t="shared" ref="K8:K65" si="16">FIND(",",G8,I8+1)</f>
        <v>34</v>
      </c>
      <c r="L8" s="132" t="str">
        <f>IFERROR(VLOOKUP(MID(G8,J8,K8-J8),[6]skilldef!$C:$D,2,FALSE),"-") &amp; " / " &amp; IFERROR(VLOOKUP(MID(G8,H8,I8-H8),[6]skilldef!$A:$B,2,FALSE),"-")</f>
        <v>味方全体に / -</v>
      </c>
      <c r="M8" s="132" t="str">
        <f t="shared" ref="M8:M65" si="17">IFERROR(RIGHT(B8,LEN(B8)-FIND("],",B8)-1),"none")</f>
        <v>[effect:force_change_block, new_block:block_heart, target:block_all, ignore01:crash, ignore02:crack_bomb, count:0, val:0]</v>
      </c>
      <c r="N8" s="129" t="str">
        <f>IFERROR(LEFT(M8,FIND("],",M8)+S22),M8)</f>
        <v>[effect:force_change_block, new_block:block_heart, target:block_all, ignore01:crash, ignore02:crack_bomb, count:0, val:0]</v>
      </c>
      <c r="O8" s="132">
        <f t="shared" ref="O8:O65" si="18">FIND("effect:",N8)+7</f>
        <v>9</v>
      </c>
      <c r="P8" s="132">
        <f t="shared" ref="P8:P65" si="19">IFERROR(FIND(",",N8),LEN(N8))</f>
        <v>27</v>
      </c>
      <c r="Q8" s="132">
        <f t="shared" ref="Q8:Q65" si="20">FIND("target:",N8)+7</f>
        <v>59</v>
      </c>
      <c r="R8" s="132">
        <f t="shared" ref="R8:R65" si="21">FIND(",",N8,P8+1)</f>
        <v>50</v>
      </c>
      <c r="S8" s="132" t="str">
        <f>IFERROR(VLOOKUP(MID(N8,Q8,R8-Q8),[6]skilldef!$C:$D,2,FALSE),"-") &amp; " / " &amp; IFERROR(VLOOKUP(MID(N8,O8,P8-O8),[6]skilldef!$A:$B,2,FALSE),"-")</f>
        <v>- / -</v>
      </c>
      <c r="T8" s="129" t="str">
        <f t="shared" ref="T8:T65" si="22">IFERROR(RIGHT(M8,LEN(M8)-FIND("],",M8)-1),"none")</f>
        <v>none</v>
      </c>
      <c r="U8" s="132" t="e">
        <f t="shared" ref="U8:U65" si="23">FIND("effect:",T8)+7</f>
        <v>#VALUE!</v>
      </c>
      <c r="V8" s="132">
        <f t="shared" ref="V8:V65" si="24">IFERROR(FIND(",",T8),LEN(T8))</f>
        <v>4</v>
      </c>
      <c r="W8" s="132" t="e">
        <f t="shared" ref="W8:W65" si="25">FIND("target:",T8)+7</f>
        <v>#VALUE!</v>
      </c>
      <c r="X8" s="132" t="e">
        <f t="shared" ref="X8:X65" si="26">FIND(",",T8,V8+1)</f>
        <v>#VALUE!</v>
      </c>
      <c r="Y8" s="132" t="str">
        <f>IFERROR(VLOOKUP(MID(T8,W8,X8-W8),[6]skilldef!$C:$D,2,FALSE),"-") &amp; " / " &amp; IFERROR(VLOOKUP(MID(T8,U8,V8-U8),[6]skilldef!$A:$B,2,FALSE),"-")</f>
        <v>- / -</v>
      </c>
      <c r="Z8" s="128"/>
      <c r="AA8" s="133"/>
      <c r="AB8" s="128" t="s">
        <v>281</v>
      </c>
    </row>
    <row r="9" spans="1:28" ht="17" x14ac:dyDescent="0.15">
      <c r="A9" s="128">
        <v>30038008</v>
      </c>
      <c r="B9" s="134" t="s">
        <v>260</v>
      </c>
      <c r="C9" s="128">
        <v>3</v>
      </c>
      <c r="D9" s="128" t="s">
        <v>128</v>
      </c>
      <c r="E9" s="131" t="s">
        <v>283</v>
      </c>
      <c r="F9" s="131" t="s">
        <v>262</v>
      </c>
      <c r="G9" s="132" t="str">
        <f t="shared" si="12"/>
        <v>[effect:enemy_message, val1:2, val2:3]</v>
      </c>
      <c r="H9" s="132">
        <f t="shared" si="13"/>
        <v>9</v>
      </c>
      <c r="I9" s="132">
        <f t="shared" si="14"/>
        <v>22</v>
      </c>
      <c r="J9" s="132" t="e">
        <f t="shared" si="15"/>
        <v>#VALUE!</v>
      </c>
      <c r="K9" s="132">
        <f t="shared" si="16"/>
        <v>30</v>
      </c>
      <c r="L9" s="132" t="str">
        <f>IFERROR(VLOOKUP(MID(G9,J9,K9-J9),[6]skilldef!$C:$D,2,FALSE),"-") &amp; " / " &amp; IFERROR(VLOOKUP(MID(G9,H9,I9-H9),[6]skilldef!$A:$B,2,FALSE),"-")</f>
        <v>- / -</v>
      </c>
      <c r="M9" s="132" t="str">
        <f t="shared" si="17"/>
        <v>none</v>
      </c>
      <c r="N9" s="129" t="str">
        <f>IFERROR(LEFT(M9,FIND("],",M9)+S25),M9)</f>
        <v>none</v>
      </c>
      <c r="O9" s="132" t="e">
        <f t="shared" si="18"/>
        <v>#VALUE!</v>
      </c>
      <c r="P9" s="132">
        <f t="shared" si="19"/>
        <v>4</v>
      </c>
      <c r="Q9" s="132" t="e">
        <f t="shared" si="20"/>
        <v>#VALUE!</v>
      </c>
      <c r="R9" s="132" t="e">
        <f t="shared" si="21"/>
        <v>#VALUE!</v>
      </c>
      <c r="S9" s="132" t="str">
        <f>IFERROR(VLOOKUP(MID(N9,Q9,R9-Q9),[6]skilldef!$C:$D,2,FALSE),"-") &amp; " / " &amp; IFERROR(VLOOKUP(MID(N9,O9,P9-O9),[6]skilldef!$A:$B,2,FALSE),"-")</f>
        <v>- / -</v>
      </c>
      <c r="T9" s="129" t="str">
        <f t="shared" si="22"/>
        <v>none</v>
      </c>
      <c r="U9" s="132" t="e">
        <f t="shared" si="23"/>
        <v>#VALUE!</v>
      </c>
      <c r="V9" s="132">
        <f t="shared" si="24"/>
        <v>4</v>
      </c>
      <c r="W9" s="132" t="e">
        <f t="shared" si="25"/>
        <v>#VALUE!</v>
      </c>
      <c r="X9" s="132" t="e">
        <f t="shared" si="26"/>
        <v>#VALUE!</v>
      </c>
      <c r="Y9" s="132" t="str">
        <f>IFERROR(VLOOKUP(MID(T9,W9,X9-W9),[6]skilldef!$C:$D,2,FALSE),"-") &amp; " / " &amp; IFERROR(VLOOKUP(MID(T9,U9,V9-U9),[6]skilldef!$A:$B,2,FALSE),"-")</f>
        <v>- / -</v>
      </c>
      <c r="Z9" s="128"/>
      <c r="AA9" s="133"/>
      <c r="AB9" s="128" t="s">
        <v>284</v>
      </c>
    </row>
    <row r="10" spans="1:28" ht="21" customHeight="1" x14ac:dyDescent="0.15">
      <c r="A10" s="128">
        <v>30038009</v>
      </c>
      <c r="B10" s="134" t="s">
        <v>435</v>
      </c>
      <c r="C10" s="128">
        <v>3</v>
      </c>
      <c r="D10" s="128" t="s">
        <v>128</v>
      </c>
      <c r="E10" s="131" t="s">
        <v>440</v>
      </c>
      <c r="F10" s="131" t="s">
        <v>316</v>
      </c>
      <c r="G10" s="132" t="str">
        <f t="shared" si="12"/>
        <v>[effect:fix_speed, target:enemy_all, turn:2]</v>
      </c>
      <c r="H10" s="132">
        <f t="shared" si="13"/>
        <v>9</v>
      </c>
      <c r="I10" s="132">
        <f t="shared" si="14"/>
        <v>18</v>
      </c>
      <c r="J10" s="132">
        <f t="shared" si="15"/>
        <v>27</v>
      </c>
      <c r="K10" s="132">
        <f t="shared" si="16"/>
        <v>36</v>
      </c>
      <c r="L10" s="132" t="str">
        <f>IFERROR(VLOOKUP(MID(G10,J10,K10-J10),[6]skilldef!$C:$D,2,FALSE),"-") &amp; " / " &amp; IFERROR(VLOOKUP(MID(G10,H10,I10-H10),[6]skilldef!$A:$B,2,FALSE),"-")</f>
        <v>敵全体に / 行動値設定</v>
      </c>
      <c r="M10" s="132" t="str">
        <f t="shared" si="17"/>
        <v>[effect:remove_enhancement, target:unit_all, target_effect:all, target_type:debuff, animation:frozen_wave]</v>
      </c>
      <c r="N10" s="129" t="str">
        <f>IFERROR(LEFT(M10,FIND("],",M10)+S28),M10)</f>
        <v>[effect:remove_enhancement, target:unit_all, target_effect:all, target_type:debuff, animation:frozen_wave]</v>
      </c>
      <c r="O10" s="132">
        <f t="shared" si="18"/>
        <v>9</v>
      </c>
      <c r="P10" s="132">
        <f t="shared" si="19"/>
        <v>27</v>
      </c>
      <c r="Q10" s="132">
        <f t="shared" si="20"/>
        <v>36</v>
      </c>
      <c r="R10" s="132">
        <f t="shared" si="21"/>
        <v>44</v>
      </c>
      <c r="S10" s="132" t="str">
        <f>IFERROR(VLOOKUP(MID(N10,Q10,R10-Q10),[6]skilldef!$C:$D,2,FALSE),"-") &amp; " / " &amp; IFERROR(VLOOKUP(MID(N10,O10,P10-O10),[6]skilldef!$A:$B,2,FALSE),"-")</f>
        <v>味方全体に / -</v>
      </c>
      <c r="T10" s="129" t="str">
        <f t="shared" si="22"/>
        <v>none</v>
      </c>
      <c r="U10" s="132" t="e">
        <f t="shared" si="23"/>
        <v>#VALUE!</v>
      </c>
      <c r="V10" s="132">
        <f t="shared" si="24"/>
        <v>4</v>
      </c>
      <c r="W10" s="132" t="e">
        <f t="shared" si="25"/>
        <v>#VALUE!</v>
      </c>
      <c r="X10" s="132" t="e">
        <f t="shared" si="26"/>
        <v>#VALUE!</v>
      </c>
      <c r="Y10" s="132" t="str">
        <f>IFERROR(VLOOKUP(MID(T10,W10,X10-W10),[6]skilldef!$C:$D,2,FALSE),"-") &amp; " / " &amp; IFERROR(VLOOKUP(MID(T10,U10,V10-U10),[6]skilldef!$A:$B,2,FALSE),"-")</f>
        <v>- / -</v>
      </c>
      <c r="Z10" s="128"/>
      <c r="AA10" s="133"/>
      <c r="AB10" s="131" t="s">
        <v>315</v>
      </c>
    </row>
    <row r="11" spans="1:28" ht="102" x14ac:dyDescent="0.15">
      <c r="A11" s="128">
        <v>30038010</v>
      </c>
      <c r="B11" s="134" t="s">
        <v>462</v>
      </c>
      <c r="C11" s="128">
        <v>3</v>
      </c>
      <c r="D11" s="128" t="s">
        <v>128</v>
      </c>
      <c r="E11" s="131" t="s">
        <v>314</v>
      </c>
      <c r="F11" s="131" t="s">
        <v>441</v>
      </c>
      <c r="G11" s="132" t="str">
        <f t="shared" si="12"/>
        <v>[effect:heal, target:enemy_all, val:0.5, animation:enemy_heal]</v>
      </c>
      <c r="H11" s="132">
        <f t="shared" si="13"/>
        <v>9</v>
      </c>
      <c r="I11" s="132">
        <f t="shared" si="14"/>
        <v>13</v>
      </c>
      <c r="J11" s="132">
        <f t="shared" si="15"/>
        <v>22</v>
      </c>
      <c r="K11" s="132">
        <f t="shared" si="16"/>
        <v>31</v>
      </c>
      <c r="L11" s="132" t="str">
        <f>IFERROR(VLOOKUP(MID(G11,J11,K11-J11),[6]skilldef!$C:$D,2,FALSE),"-") &amp; " / " &amp; IFERROR(VLOOKUP(MID(G11,H11,I11-H11),[6]skilldef!$A:$B,2,FALSE),"-")</f>
        <v>敵全体に / 回復</v>
      </c>
      <c r="M11" s="132" t="str">
        <f t="shared" si="17"/>
        <v xml:space="preserve">[effect:force_change_block, new_block:block_heart, target:block_all, ignore01:crash, ignore02:crack_bomb, count:12, val:0]    </v>
      </c>
      <c r="N11" s="129" t="str">
        <f>IFERROR(LEFT(M11,FIND("],",M11)+S31),M11)</f>
        <v xml:space="preserve">[effect:force_change_block, new_block:block_heart, target:block_all, ignore01:crash, ignore02:crack_bomb, count:12, val:0]    </v>
      </c>
      <c r="O11" s="132">
        <f t="shared" si="18"/>
        <v>9</v>
      </c>
      <c r="P11" s="132">
        <f t="shared" si="19"/>
        <v>27</v>
      </c>
      <c r="Q11" s="132">
        <f t="shared" si="20"/>
        <v>59</v>
      </c>
      <c r="R11" s="132">
        <f t="shared" si="21"/>
        <v>50</v>
      </c>
      <c r="S11" s="132" t="str">
        <f>IFERROR(VLOOKUP(MID(N11,Q11,R11-Q11),[6]skilldef!$C:$D,2,FALSE),"-") &amp; " / " &amp; IFERROR(VLOOKUP(MID(N11,O11,P11-O11),[6]skilldef!$A:$B,2,FALSE),"-")</f>
        <v>- / -</v>
      </c>
      <c r="T11" s="129" t="str">
        <f t="shared" si="22"/>
        <v>none</v>
      </c>
      <c r="U11" s="132" t="e">
        <f t="shared" si="23"/>
        <v>#VALUE!</v>
      </c>
      <c r="V11" s="132">
        <f t="shared" si="24"/>
        <v>4</v>
      </c>
      <c r="W11" s="132" t="e">
        <f t="shared" si="25"/>
        <v>#VALUE!</v>
      </c>
      <c r="X11" s="132" t="e">
        <f t="shared" si="26"/>
        <v>#VALUE!</v>
      </c>
      <c r="Y11" s="132" t="str">
        <f>IFERROR(VLOOKUP(MID(T11,W11,X11-W11),[6]skilldef!$C:$D,2,FALSE),"-") &amp; " / " &amp; IFERROR(VLOOKUP(MID(T11,U11,V11-U11),[6]skilldef!$A:$B,2,FALSE),"-")</f>
        <v>- / -</v>
      </c>
      <c r="Z11" s="128"/>
      <c r="AA11" s="133"/>
      <c r="AB11" s="131" t="s">
        <v>252</v>
      </c>
    </row>
    <row r="12" spans="1:28" ht="21" customHeight="1" x14ac:dyDescent="0.15">
      <c r="A12" s="128">
        <v>30038011</v>
      </c>
      <c r="B12" s="134" t="s">
        <v>434</v>
      </c>
      <c r="C12" s="128">
        <v>3</v>
      </c>
      <c r="D12" s="128" t="s">
        <v>128</v>
      </c>
      <c r="E12" s="131" t="s">
        <v>393</v>
      </c>
      <c r="F12" s="131" t="s">
        <v>317</v>
      </c>
      <c r="G12" s="132" t="str">
        <f t="shared" si="12"/>
        <v>[effect:damage_anti_tribe, target:unit_all, tribe:human, val1:1.25, val2:0.25]</v>
      </c>
      <c r="H12" s="132">
        <f t="shared" si="13"/>
        <v>9</v>
      </c>
      <c r="I12" s="132">
        <f t="shared" si="14"/>
        <v>26</v>
      </c>
      <c r="J12" s="132">
        <f t="shared" si="15"/>
        <v>35</v>
      </c>
      <c r="K12" s="132">
        <f t="shared" si="16"/>
        <v>43</v>
      </c>
      <c r="L12" s="132" t="str">
        <f>IFERROR(VLOOKUP(MID(G12,J12,K12-J12),[6]skilldef!$C:$D,2,FALSE),"-") &amp; " / " &amp; IFERROR(VLOOKUP(MID(G12,H12,I12-H12),[6]skilldef!$A:$B,2,FALSE),"-")</f>
        <v>味方全体に / 種族キラー</v>
      </c>
      <c r="M12" s="132" t="str">
        <f t="shared" si="17"/>
        <v>none</v>
      </c>
      <c r="N12" s="129" t="str">
        <f>IFERROR(LEFT(M12,FIND("],",M12)+S34),M12)</f>
        <v>none</v>
      </c>
      <c r="O12" s="132" t="e">
        <f t="shared" si="18"/>
        <v>#VALUE!</v>
      </c>
      <c r="P12" s="132">
        <f t="shared" si="19"/>
        <v>4</v>
      </c>
      <c r="Q12" s="132" t="e">
        <f t="shared" si="20"/>
        <v>#VALUE!</v>
      </c>
      <c r="R12" s="132" t="e">
        <f t="shared" si="21"/>
        <v>#VALUE!</v>
      </c>
      <c r="S12" s="132" t="str">
        <f>IFERROR(VLOOKUP(MID(N12,Q12,R12-Q12),[6]skilldef!$C:$D,2,FALSE),"-") &amp; " / " &amp; IFERROR(VLOOKUP(MID(N12,O12,P12-O12),[6]skilldef!$A:$B,2,FALSE),"-")</f>
        <v>- / -</v>
      </c>
      <c r="T12" s="129" t="str">
        <f t="shared" si="22"/>
        <v>none</v>
      </c>
      <c r="U12" s="132" t="e">
        <f t="shared" si="23"/>
        <v>#VALUE!</v>
      </c>
      <c r="V12" s="132">
        <f t="shared" si="24"/>
        <v>4</v>
      </c>
      <c r="W12" s="132" t="e">
        <f t="shared" si="25"/>
        <v>#VALUE!</v>
      </c>
      <c r="X12" s="132" t="e">
        <f t="shared" si="26"/>
        <v>#VALUE!</v>
      </c>
      <c r="Y12" s="132" t="str">
        <f>IFERROR(VLOOKUP(MID(T12,W12,X12-W12),[6]skilldef!$C:$D,2,FALSE),"-") &amp; " / " &amp; IFERROR(VLOOKUP(MID(T12,U12,V12-U12),[6]skilldef!$A:$B,2,FALSE),"-")</f>
        <v>- / -</v>
      </c>
      <c r="Z12" s="128"/>
      <c r="AA12" s="133"/>
      <c r="AB12" s="131" t="s">
        <v>253</v>
      </c>
    </row>
    <row r="13" spans="1:28" ht="21" customHeight="1" x14ac:dyDescent="0.15">
      <c r="A13" s="128">
        <v>30038012</v>
      </c>
      <c r="B13" s="134" t="s">
        <v>321</v>
      </c>
      <c r="C13" s="128">
        <v>3</v>
      </c>
      <c r="D13" s="128" t="s">
        <v>128</v>
      </c>
      <c r="E13" s="131" t="s">
        <v>395</v>
      </c>
      <c r="F13" s="131" t="s">
        <v>420</v>
      </c>
      <c r="G13" s="132" t="str">
        <f t="shared" si="12"/>
        <v>[effect:enemy_message, val1:0, val2:3]</v>
      </c>
      <c r="H13" s="132">
        <f t="shared" si="13"/>
        <v>9</v>
      </c>
      <c r="I13" s="132">
        <f t="shared" si="14"/>
        <v>22</v>
      </c>
      <c r="J13" s="132" t="e">
        <f t="shared" si="15"/>
        <v>#VALUE!</v>
      </c>
      <c r="K13" s="132">
        <f t="shared" si="16"/>
        <v>30</v>
      </c>
      <c r="L13" s="132" t="str">
        <f>IFERROR(VLOOKUP(MID(G13,J13,K13-J13),[6]skilldef!$C:$D,2,FALSE),"-") &amp; " / " &amp; IFERROR(VLOOKUP(MID(G13,H13,I13-H13),[6]skilldef!$A:$B,2,FALSE),"-")</f>
        <v>- / -</v>
      </c>
      <c r="M13" s="132" t="str">
        <f t="shared" si="17"/>
        <v>none</v>
      </c>
      <c r="N13" s="129" t="str">
        <f>IFERROR(LEFT(M13,FIND("],",M13)+S37),M13)</f>
        <v>none</v>
      </c>
      <c r="O13" s="132" t="e">
        <f t="shared" si="18"/>
        <v>#VALUE!</v>
      </c>
      <c r="P13" s="132">
        <f t="shared" si="19"/>
        <v>4</v>
      </c>
      <c r="Q13" s="132" t="e">
        <f t="shared" si="20"/>
        <v>#VALUE!</v>
      </c>
      <c r="R13" s="132" t="e">
        <f t="shared" si="21"/>
        <v>#VALUE!</v>
      </c>
      <c r="S13" s="132" t="str">
        <f>IFERROR(VLOOKUP(MID(N13,Q13,R13-Q13),[6]skilldef!$C:$D,2,FALSE),"-") &amp; " / " &amp; IFERROR(VLOOKUP(MID(N13,O13,P13-O13),[6]skilldef!$A:$B,2,FALSE),"-")</f>
        <v>- / -</v>
      </c>
      <c r="T13" s="129" t="str">
        <f t="shared" si="22"/>
        <v>none</v>
      </c>
      <c r="U13" s="132" t="e">
        <f t="shared" si="23"/>
        <v>#VALUE!</v>
      </c>
      <c r="V13" s="132">
        <f t="shared" si="24"/>
        <v>4</v>
      </c>
      <c r="W13" s="132" t="e">
        <f t="shared" si="25"/>
        <v>#VALUE!</v>
      </c>
      <c r="X13" s="132" t="e">
        <f t="shared" si="26"/>
        <v>#VALUE!</v>
      </c>
      <c r="Y13" s="132" t="str">
        <f>IFERROR(VLOOKUP(MID(T13,W13,X13-W13),[6]skilldef!$C:$D,2,FALSE),"-") &amp; " / " &amp; IFERROR(VLOOKUP(MID(T13,U13,V13-U13),[6]skilldef!$A:$B,2,FALSE),"-")</f>
        <v>- / -</v>
      </c>
      <c r="Z13" s="128"/>
      <c r="AA13" s="133"/>
      <c r="AB13" s="131" t="s">
        <v>253</v>
      </c>
    </row>
    <row r="14" spans="1:28" ht="21" customHeight="1" x14ac:dyDescent="0.15">
      <c r="A14" s="128">
        <v>30038013</v>
      </c>
      <c r="B14" s="134" t="s">
        <v>318</v>
      </c>
      <c r="C14" s="128">
        <v>3</v>
      </c>
      <c r="D14" s="128" t="s">
        <v>128</v>
      </c>
      <c r="E14" s="131" t="s">
        <v>319</v>
      </c>
      <c r="F14" s="131" t="s">
        <v>320</v>
      </c>
      <c r="G14" s="132" t="str">
        <f t="shared" si="12"/>
        <v xml:space="preserve">[effect:critical, val:1.3, animation:enemy_critical]    </v>
      </c>
      <c r="H14" s="132">
        <f t="shared" si="13"/>
        <v>9</v>
      </c>
      <c r="I14" s="132">
        <f t="shared" si="14"/>
        <v>17</v>
      </c>
      <c r="J14" s="132" t="e">
        <f t="shared" si="15"/>
        <v>#VALUE!</v>
      </c>
      <c r="K14" s="132">
        <f t="shared" si="16"/>
        <v>26</v>
      </c>
      <c r="L14" s="132" t="str">
        <f>IFERROR(VLOOKUP(MID(G14,J14,K14-J14),[6]skilldef!$C:$D,2,FALSE),"-") &amp; " / " &amp; IFERROR(VLOOKUP(MID(G14,H14,I14-H14),[6]skilldef!$A:$B,2,FALSE),"-")</f>
        <v>- / 大攻撃</v>
      </c>
      <c r="M14" s="132" t="str">
        <f t="shared" si="17"/>
        <v>none</v>
      </c>
      <c r="N14" s="129" t="str">
        <f>IFERROR(LEFT(M14,FIND("],",M14)+S48),M14)</f>
        <v>none</v>
      </c>
      <c r="O14" s="132" t="e">
        <f t="shared" si="18"/>
        <v>#VALUE!</v>
      </c>
      <c r="P14" s="132">
        <f t="shared" si="19"/>
        <v>4</v>
      </c>
      <c r="Q14" s="132" t="e">
        <f t="shared" si="20"/>
        <v>#VALUE!</v>
      </c>
      <c r="R14" s="132" t="e">
        <f t="shared" si="21"/>
        <v>#VALUE!</v>
      </c>
      <c r="S14" s="132" t="str">
        <f>IFERROR(VLOOKUP(MID(N14,Q14,R14-Q14),[6]skilldef!$C:$D,2,FALSE),"-") &amp; " / " &amp; IFERROR(VLOOKUP(MID(N14,O14,P14-O14),[6]skilldef!$A:$B,2,FALSE),"-")</f>
        <v>- / -</v>
      </c>
      <c r="T14" s="129" t="str">
        <f t="shared" si="22"/>
        <v>none</v>
      </c>
      <c r="U14" s="132" t="e">
        <f t="shared" si="23"/>
        <v>#VALUE!</v>
      </c>
      <c r="V14" s="132">
        <f t="shared" si="24"/>
        <v>4</v>
      </c>
      <c r="W14" s="132" t="e">
        <f t="shared" si="25"/>
        <v>#VALUE!</v>
      </c>
      <c r="X14" s="132" t="e">
        <f t="shared" si="26"/>
        <v>#VALUE!</v>
      </c>
      <c r="Y14" s="132" t="str">
        <f>IFERROR(VLOOKUP(MID(T14,W14,X14-W14),[6]skilldef!$C:$D,2,FALSE),"-") &amp; " / " &amp; IFERROR(VLOOKUP(MID(T14,U14,V14-U14),[6]skilldef!$A:$B,2,FALSE),"-")</f>
        <v>- / -</v>
      </c>
      <c r="Z14" s="128"/>
      <c r="AA14" s="133"/>
      <c r="AB14" s="131" t="s">
        <v>254</v>
      </c>
    </row>
    <row r="15" spans="1:28" ht="21" customHeight="1" x14ac:dyDescent="0.15">
      <c r="A15" s="128">
        <v>30038014</v>
      </c>
      <c r="B15" s="134" t="s">
        <v>321</v>
      </c>
      <c r="C15" s="128">
        <v>3</v>
      </c>
      <c r="D15" s="128" t="s">
        <v>128</v>
      </c>
      <c r="E15" s="131" t="s">
        <v>394</v>
      </c>
      <c r="F15" s="131" t="s">
        <v>421</v>
      </c>
      <c r="G15" s="132" t="str">
        <f t="shared" si="12"/>
        <v>[effect:enemy_message, val1:0, val2:3]</v>
      </c>
      <c r="H15" s="132">
        <f t="shared" si="13"/>
        <v>9</v>
      </c>
      <c r="I15" s="132">
        <f t="shared" si="14"/>
        <v>22</v>
      </c>
      <c r="J15" s="132" t="e">
        <f t="shared" si="15"/>
        <v>#VALUE!</v>
      </c>
      <c r="K15" s="132">
        <f t="shared" si="16"/>
        <v>30</v>
      </c>
      <c r="L15" s="132" t="str">
        <f>IFERROR(VLOOKUP(MID(G15,J15,K15-J15),[6]skilldef!$C:$D,2,FALSE),"-") &amp; " / " &amp; IFERROR(VLOOKUP(MID(G15,H15,I15-H15),[6]skilldef!$A:$B,2,FALSE),"-")</f>
        <v>- / -</v>
      </c>
      <c r="M15" s="132" t="str">
        <f t="shared" si="17"/>
        <v>none</v>
      </c>
      <c r="N15" s="129" t="str">
        <f>IFERROR(LEFT(M15,FIND("],",M15)+S50),M15)</f>
        <v>none</v>
      </c>
      <c r="O15" s="132" t="e">
        <f t="shared" si="18"/>
        <v>#VALUE!</v>
      </c>
      <c r="P15" s="132">
        <f t="shared" si="19"/>
        <v>4</v>
      </c>
      <c r="Q15" s="132" t="e">
        <f t="shared" si="20"/>
        <v>#VALUE!</v>
      </c>
      <c r="R15" s="132" t="e">
        <f t="shared" si="21"/>
        <v>#VALUE!</v>
      </c>
      <c r="S15" s="132" t="str">
        <f>IFERROR(VLOOKUP(MID(N15,Q15,R15-Q15),[6]skilldef!$C:$D,2,FALSE),"-") &amp; " / " &amp; IFERROR(VLOOKUP(MID(N15,O15,P15-O15),[6]skilldef!$A:$B,2,FALSE),"-")</f>
        <v>- / -</v>
      </c>
      <c r="T15" s="129" t="str">
        <f t="shared" si="22"/>
        <v>none</v>
      </c>
      <c r="U15" s="132" t="e">
        <f t="shared" si="23"/>
        <v>#VALUE!</v>
      </c>
      <c r="V15" s="132">
        <f t="shared" si="24"/>
        <v>4</v>
      </c>
      <c r="W15" s="132" t="e">
        <f t="shared" si="25"/>
        <v>#VALUE!</v>
      </c>
      <c r="X15" s="132" t="e">
        <f t="shared" si="26"/>
        <v>#VALUE!</v>
      </c>
      <c r="Y15" s="132" t="str">
        <f>IFERROR(VLOOKUP(MID(T15,W15,X15-W15),[6]skilldef!$C:$D,2,FALSE),"-") &amp; " / " &amp; IFERROR(VLOOKUP(MID(T15,U15,V15-U15),[6]skilldef!$A:$B,2,FALSE),"-")</f>
        <v>- / -</v>
      </c>
      <c r="Z15" s="128"/>
      <c r="AA15" s="133"/>
      <c r="AB15" s="131" t="s">
        <v>254</v>
      </c>
    </row>
    <row r="16" spans="1:28" ht="204" x14ac:dyDescent="0.15">
      <c r="A16" s="128">
        <v>30038015</v>
      </c>
      <c r="B16" s="134" t="s">
        <v>426</v>
      </c>
      <c r="C16" s="128">
        <v>3</v>
      </c>
      <c r="D16" s="128" t="s">
        <v>286</v>
      </c>
      <c r="E16" s="131" t="s">
        <v>277</v>
      </c>
      <c r="F16" s="131" t="s">
        <v>463</v>
      </c>
      <c r="G16" s="132" t="str">
        <f t="shared" si="12"/>
        <v>[effect:damage_gravity, val:0.9, animation:fevergauge_down]</v>
      </c>
      <c r="H16" s="132">
        <f t="shared" si="13"/>
        <v>9</v>
      </c>
      <c r="I16" s="132">
        <f t="shared" si="14"/>
        <v>23</v>
      </c>
      <c r="J16" s="132" t="e">
        <f t="shared" si="15"/>
        <v>#VALUE!</v>
      </c>
      <c r="K16" s="132">
        <f t="shared" si="16"/>
        <v>32</v>
      </c>
      <c r="L16" s="132" t="str">
        <f>IFERROR(VLOOKUP(MID(G16,J16,K16-J16),[6]skilldef!$C:$D,2,FALSE),"-") &amp; " / " &amp; IFERROR(VLOOKUP(MID(G16,H16,I16-H16),[6]skilldef!$A:$B,2,FALSE),"-")</f>
        <v>- / 割合ダメージ</v>
      </c>
      <c r="M16" s="132" t="str">
        <f t="shared" si="17"/>
        <v>[effect:enhance_enemy, target:myself, turn:6, status:defense, val:50000, calc:add, animation:enemy_enhance_defense],[effect:tolerance, target:myself, turn:5, tolerance_effect:all, count:-1, animation:enemy_tolerance],[effect:fix_speed, target:enemy_all, turn:1]</v>
      </c>
      <c r="N16" s="129" t="str">
        <f>IFERROR(LEFT(M16,FIND("],",M16)+S51),M16)</f>
        <v>[effect:enhance_enemy, target:myself, turn:6, status:defense, val:50000, calc:add, animation:enemy_enhance_defense],[effect:tolerance, target:myself, turn:5, tolerance_effect:all, count:-1, animation:enemy_tolerance],[effect:fix_speed, target:enemy_all, turn:1]</v>
      </c>
      <c r="O16" s="132">
        <f t="shared" si="18"/>
        <v>9</v>
      </c>
      <c r="P16" s="132">
        <f t="shared" si="19"/>
        <v>22</v>
      </c>
      <c r="Q16" s="132">
        <f t="shared" si="20"/>
        <v>31</v>
      </c>
      <c r="R16" s="132">
        <f t="shared" si="21"/>
        <v>37</v>
      </c>
      <c r="S16" s="132" t="str">
        <f>IFERROR(VLOOKUP(MID(N16,Q16,R16-Q16),[6]skilldef!$C:$D,2,FALSE),"-") &amp; " / " &amp; IFERROR(VLOOKUP(MID(N16,O16,P16-O16),[6]skilldef!$A:$B,2,FALSE),"-")</f>
        <v>自分自身に / ステータス強化</v>
      </c>
      <c r="T16" s="129" t="str">
        <f t="shared" si="22"/>
        <v>[effect:tolerance, target:myself, turn:5, tolerance_effect:all, count:-1, animation:enemy_tolerance],[effect:fix_speed, target:enemy_all, turn:1]</v>
      </c>
      <c r="U16" s="132">
        <f t="shared" si="23"/>
        <v>9</v>
      </c>
      <c r="V16" s="132">
        <f t="shared" si="24"/>
        <v>18</v>
      </c>
      <c r="W16" s="132">
        <f t="shared" si="25"/>
        <v>27</v>
      </c>
      <c r="X16" s="132">
        <f t="shared" si="26"/>
        <v>33</v>
      </c>
      <c r="Y16" s="132" t="str">
        <f>IFERROR(VLOOKUP(MID(T16,W16,X16-W16),[6]skilldef!$C:$D,2,FALSE),"-") &amp; " / " &amp; IFERROR(VLOOKUP(MID(T16,U16,V16-U16),[6]skilldef!$A:$B,2,FALSE),"-")</f>
        <v>自分自身に / 状態異常耐性</v>
      </c>
      <c r="Z16" s="128"/>
      <c r="AA16" s="133"/>
      <c r="AB16" s="128" t="s">
        <v>285</v>
      </c>
    </row>
    <row r="17" spans="1:28" ht="204" x14ac:dyDescent="0.15">
      <c r="A17" s="128">
        <v>30038016</v>
      </c>
      <c r="B17" s="134" t="s">
        <v>427</v>
      </c>
      <c r="C17" s="128">
        <v>3</v>
      </c>
      <c r="D17" s="128" t="s">
        <v>128</v>
      </c>
      <c r="E17" s="131" t="s">
        <v>277</v>
      </c>
      <c r="F17" s="131" t="s">
        <v>463</v>
      </c>
      <c r="G17" s="132"/>
      <c r="H17" s="132"/>
      <c r="I17" s="132"/>
      <c r="J17" s="132"/>
      <c r="K17" s="132"/>
      <c r="L17" s="132" t="str">
        <f>IFERROR(VLOOKUP(MID(G17,J17,K17-J17),[6]skilldef!$C:$D,2,FALSE),"-") &amp; " / " &amp; IFERROR(VLOOKUP(MID(G17,H17,I17-H17),[6]skilldef!$A:$B,2,FALSE),"-")</f>
        <v>- / -</v>
      </c>
      <c r="M17" s="132" t="str">
        <f t="shared" ref="M17:M18" si="27">IFERROR(RIGHT(B17,LEN(B17)-FIND("],",B17)-1),"none")</f>
        <v xml:space="preserve">[effect:enhance_enemy, target:myself, turn:6, status:defense, val:50000, calc:add, animation:enemy_enhance_defense],[effect:tolerance, target:myself, turn:5, tolerance_effect:all, count:-1, animation:enemy_tolerance],[effect:fix_speed, target:enemy_all, turn:1]      </v>
      </c>
      <c r="N17" s="129" t="str">
        <f>IFERROR(LEFT(M17,FIND("],",M17)+S52),M17)</f>
        <v xml:space="preserve">[effect:enhance_enemy, target:myself, turn:6, status:defense, val:50000, calc:add, animation:enemy_enhance_defense],[effect:tolerance, target:myself, turn:5, tolerance_effect:all, count:-1, animation:enemy_tolerance],[effect:fix_speed, target:enemy_all, turn:1]      </v>
      </c>
      <c r="O17" s="132">
        <f t="shared" ref="O17:O18" si="28">FIND("effect:",N17)+7</f>
        <v>9</v>
      </c>
      <c r="P17" s="132">
        <f t="shared" ref="P17:P18" si="29">IFERROR(FIND(",",N17),LEN(N17))</f>
        <v>22</v>
      </c>
      <c r="Q17" s="132">
        <f t="shared" ref="Q17:Q18" si="30">FIND("target:",N17)+7</f>
        <v>31</v>
      </c>
      <c r="R17" s="132">
        <f t="shared" ref="R17:R18" si="31">FIND(",",N17,P17+1)</f>
        <v>37</v>
      </c>
      <c r="S17" s="132" t="str">
        <f>IFERROR(VLOOKUP(MID(N17,Q17,R17-Q17),[6]skilldef!$C:$D,2,FALSE),"-") &amp; " / " &amp; IFERROR(VLOOKUP(MID(N17,O17,P17-O17),[6]skilldef!$A:$B,2,FALSE),"-")</f>
        <v>自分自身に / ステータス強化</v>
      </c>
      <c r="T17" s="129" t="str">
        <f t="shared" ref="T17:T18" si="32">IFERROR(RIGHT(M17,LEN(M17)-FIND("],",M17)-1),"none")</f>
        <v xml:space="preserve">[effect:tolerance, target:myself, turn:5, tolerance_effect:all, count:-1, animation:enemy_tolerance],[effect:fix_speed, target:enemy_all, turn:1]      </v>
      </c>
      <c r="U17" s="132">
        <f t="shared" ref="U17:U18" si="33">FIND("effect:",T17)+7</f>
        <v>9</v>
      </c>
      <c r="V17" s="132">
        <f t="shared" ref="V17:V18" si="34">IFERROR(FIND(",",T17),LEN(T17))</f>
        <v>18</v>
      </c>
      <c r="W17" s="132">
        <f t="shared" ref="W17:W18" si="35">FIND("target:",T17)+7</f>
        <v>27</v>
      </c>
      <c r="X17" s="132">
        <f t="shared" ref="X17:X18" si="36">FIND(",",T17,V17+1)</f>
        <v>33</v>
      </c>
      <c r="Y17" s="132" t="str">
        <f>IFERROR(VLOOKUP(MID(T17,W17,X17-W17),[6]skilldef!$C:$D,2,FALSE),"-") &amp; " / " &amp; IFERROR(VLOOKUP(MID(T17,U17,V17-U17),[6]skilldef!$A:$B,2,FALSE),"-")</f>
        <v>自分自身に / 状態異常耐性</v>
      </c>
      <c r="Z17" s="128"/>
      <c r="AA17" s="133"/>
      <c r="AB17" s="128" t="s">
        <v>278</v>
      </c>
    </row>
    <row r="18" spans="1:28" ht="204" x14ac:dyDescent="0.15">
      <c r="A18" s="128">
        <v>30038017</v>
      </c>
      <c r="B18" s="134" t="s">
        <v>428</v>
      </c>
      <c r="C18" s="128">
        <v>3</v>
      </c>
      <c r="D18" s="128" t="s">
        <v>128</v>
      </c>
      <c r="E18" s="131" t="s">
        <v>277</v>
      </c>
      <c r="F18" s="131" t="s">
        <v>463</v>
      </c>
      <c r="G18" s="132"/>
      <c r="H18" s="132"/>
      <c r="I18" s="132"/>
      <c r="J18" s="132"/>
      <c r="K18" s="132"/>
      <c r="L18" s="132" t="str">
        <f>IFERROR(VLOOKUP(MID(G18,J18,K18-J18),[6]skilldef!$C:$D,2,FALSE),"-") &amp; " / " &amp; IFERROR(VLOOKUP(MID(G18,H18,I18-H18),[6]skilldef!$A:$B,2,FALSE),"-")</f>
        <v>- / -</v>
      </c>
      <c r="M18" s="132" t="str">
        <f t="shared" si="27"/>
        <v xml:space="preserve">[effect:enhance_enemy, target:myself, turn:6, status:defense, val:50000, calc:add, animation:enemy_enhance_defense],[effect:tolerance, target:myself, turn:5, tolerance_effect:all, count:-1, animation:enemy_tolerance],[effect:fix_speed, target:enemy_all, turn:1]    </v>
      </c>
      <c r="N18" s="129" t="str">
        <f>IFERROR(LEFT(M18,FIND("],",M18)+S53),M18)</f>
        <v xml:space="preserve">[effect:enhance_enemy, target:myself, turn:6, status:defense, val:50000, calc:add, animation:enemy_enhance_defense],[effect:tolerance, target:myself, turn:5, tolerance_effect:all, count:-1, animation:enemy_tolerance],[effect:fix_speed, target:enemy_all, turn:1]    </v>
      </c>
      <c r="O18" s="132">
        <f t="shared" si="28"/>
        <v>9</v>
      </c>
      <c r="P18" s="132">
        <f t="shared" si="29"/>
        <v>22</v>
      </c>
      <c r="Q18" s="132">
        <f t="shared" si="30"/>
        <v>31</v>
      </c>
      <c r="R18" s="132">
        <f t="shared" si="31"/>
        <v>37</v>
      </c>
      <c r="S18" s="132" t="str">
        <f>IFERROR(VLOOKUP(MID(N18,Q18,R18-Q18),[6]skilldef!$C:$D,2,FALSE),"-") &amp; " / " &amp; IFERROR(VLOOKUP(MID(N18,O18,P18-O18),[6]skilldef!$A:$B,2,FALSE),"-")</f>
        <v>自分自身に / ステータス強化</v>
      </c>
      <c r="T18" s="129" t="str">
        <f t="shared" si="32"/>
        <v xml:space="preserve">[effect:tolerance, target:myself, turn:5, tolerance_effect:all, count:-1, animation:enemy_tolerance],[effect:fix_speed, target:enemy_all, turn:1]    </v>
      </c>
      <c r="U18" s="132">
        <f t="shared" si="33"/>
        <v>9</v>
      </c>
      <c r="V18" s="132">
        <f t="shared" si="34"/>
        <v>18</v>
      </c>
      <c r="W18" s="132">
        <f t="shared" si="35"/>
        <v>27</v>
      </c>
      <c r="X18" s="132">
        <f t="shared" si="36"/>
        <v>33</v>
      </c>
      <c r="Y18" s="132" t="str">
        <f>IFERROR(VLOOKUP(MID(T18,W18,X18-W18),[6]skilldef!$C:$D,2,FALSE),"-") &amp; " / " &amp; IFERROR(VLOOKUP(MID(T18,U18,V18-U18),[6]skilldef!$A:$B,2,FALSE),"-")</f>
        <v>自分自身に / 状態異常耐性</v>
      </c>
      <c r="Z18" s="128"/>
      <c r="AA18" s="133"/>
      <c r="AB18" s="128" t="s">
        <v>279</v>
      </c>
    </row>
    <row r="19" spans="1:28" ht="21" customHeight="1" x14ac:dyDescent="0.15">
      <c r="A19" s="128">
        <v>30038018</v>
      </c>
      <c r="B19" s="134" t="s">
        <v>260</v>
      </c>
      <c r="C19" s="128">
        <v>3</v>
      </c>
      <c r="D19" s="128" t="s">
        <v>128</v>
      </c>
      <c r="E19" s="131" t="s">
        <v>259</v>
      </c>
      <c r="F19" s="131" t="s">
        <v>298</v>
      </c>
      <c r="G19" s="132" t="str">
        <f t="shared" si="12"/>
        <v>[effect:enemy_message, val1:2, val2:3]</v>
      </c>
      <c r="H19" s="132">
        <f t="shared" si="13"/>
        <v>9</v>
      </c>
      <c r="I19" s="132">
        <f t="shared" si="14"/>
        <v>22</v>
      </c>
      <c r="J19" s="132" t="e">
        <f t="shared" si="15"/>
        <v>#VALUE!</v>
      </c>
      <c r="K19" s="132">
        <f t="shared" si="16"/>
        <v>30</v>
      </c>
      <c r="L19" s="132" t="str">
        <f>IFERROR(VLOOKUP(MID(G19,J19,K19-J19),[6]skilldef!$C:$D,2,FALSE),"-") &amp; " / " &amp; IFERROR(VLOOKUP(MID(G19,H19,I19-H19),[6]skilldef!$A:$B,2,FALSE),"-")</f>
        <v>- / -</v>
      </c>
      <c r="M19" s="132" t="str">
        <f t="shared" si="17"/>
        <v>none</v>
      </c>
      <c r="N19" s="129" t="str">
        <f>IFERROR(LEFT(M19,FIND("],",M19)+S52),M19)</f>
        <v>none</v>
      </c>
      <c r="O19" s="132" t="e">
        <f t="shared" si="18"/>
        <v>#VALUE!</v>
      </c>
      <c r="P19" s="132">
        <f t="shared" si="19"/>
        <v>4</v>
      </c>
      <c r="Q19" s="132" t="e">
        <f t="shared" si="20"/>
        <v>#VALUE!</v>
      </c>
      <c r="R19" s="132" t="e">
        <f t="shared" si="21"/>
        <v>#VALUE!</v>
      </c>
      <c r="S19" s="132" t="str">
        <f>IFERROR(VLOOKUP(MID(N19,Q19,R19-Q19),[6]skilldef!$C:$D,2,FALSE),"-") &amp; " / " &amp; IFERROR(VLOOKUP(MID(N19,O19,P19-O19),[6]skilldef!$A:$B,2,FALSE),"-")</f>
        <v>- / -</v>
      </c>
      <c r="T19" s="129" t="str">
        <f t="shared" si="22"/>
        <v>none</v>
      </c>
      <c r="U19" s="132" t="e">
        <f t="shared" si="23"/>
        <v>#VALUE!</v>
      </c>
      <c r="V19" s="132">
        <f t="shared" si="24"/>
        <v>4</v>
      </c>
      <c r="W19" s="132" t="e">
        <f t="shared" si="25"/>
        <v>#VALUE!</v>
      </c>
      <c r="X19" s="132" t="e">
        <f t="shared" si="26"/>
        <v>#VALUE!</v>
      </c>
      <c r="Y19" s="132" t="str">
        <f>IFERROR(VLOOKUP(MID(T19,W19,X19-W19),[6]skilldef!$C:$D,2,FALSE),"-") &amp; " / " &amp; IFERROR(VLOOKUP(MID(T19,U19,V19-U19),[6]skilldef!$A:$B,2,FALSE),"-")</f>
        <v>- / -</v>
      </c>
      <c r="Z19" s="128"/>
      <c r="AA19" s="133"/>
      <c r="AB19" s="128" t="s">
        <v>330</v>
      </c>
    </row>
    <row r="20" spans="1:28" ht="21" customHeight="1" x14ac:dyDescent="0.15">
      <c r="A20" s="128">
        <v>30038019</v>
      </c>
      <c r="B20" s="134" t="s">
        <v>260</v>
      </c>
      <c r="C20" s="128">
        <v>3</v>
      </c>
      <c r="D20" s="128" t="s">
        <v>128</v>
      </c>
      <c r="E20" s="131" t="s">
        <v>259</v>
      </c>
      <c r="F20" s="131" t="s">
        <v>287</v>
      </c>
      <c r="G20" s="132" t="str">
        <f t="shared" ref="G20:G21" si="37">IFERROR(LEFT(B20,FIND("],",B20)),B20)</f>
        <v>[effect:enemy_message, val1:2, val2:3]</v>
      </c>
      <c r="H20" s="132">
        <f t="shared" ref="H20:H21" si="38">FIND("effect:",G20)+7</f>
        <v>9</v>
      </c>
      <c r="I20" s="132">
        <f t="shared" ref="I20:I21" si="39">IFERROR(FIND(",",G20),LEN(G20))</f>
        <v>22</v>
      </c>
      <c r="J20" s="132" t="e">
        <f t="shared" ref="J20:J21" si="40">FIND("target:",G20)+7</f>
        <v>#VALUE!</v>
      </c>
      <c r="K20" s="132">
        <f t="shared" ref="K20:K21" si="41">FIND(",",G20,I20+1)</f>
        <v>30</v>
      </c>
      <c r="L20" s="132" t="str">
        <f>IFERROR(VLOOKUP(MID(G20,J20,K20-J20),[6]skilldef!$C:$D,2,FALSE),"-") &amp; " / " &amp; IFERROR(VLOOKUP(MID(G20,H20,I20-H20),[6]skilldef!$A:$B,2,FALSE),"-")</f>
        <v>- / -</v>
      </c>
      <c r="M20" s="132" t="str">
        <f t="shared" ref="M20:M21" si="42">IFERROR(RIGHT(B20,LEN(B20)-FIND("],",B20)-1),"none")</f>
        <v>none</v>
      </c>
      <c r="N20" s="129" t="str">
        <f>IFERROR(LEFT(M20,FIND("],",M20)+S53),M20)</f>
        <v>none</v>
      </c>
      <c r="O20" s="132" t="e">
        <f t="shared" ref="O20:O21" si="43">FIND("effect:",N20)+7</f>
        <v>#VALUE!</v>
      </c>
      <c r="P20" s="132">
        <f t="shared" ref="P20:P21" si="44">IFERROR(FIND(",",N20),LEN(N20))</f>
        <v>4</v>
      </c>
      <c r="Q20" s="132" t="e">
        <f t="shared" ref="Q20:Q21" si="45">FIND("target:",N20)+7</f>
        <v>#VALUE!</v>
      </c>
      <c r="R20" s="132" t="e">
        <f t="shared" ref="R20:R21" si="46">FIND(",",N20,P20+1)</f>
        <v>#VALUE!</v>
      </c>
      <c r="S20" s="132" t="str">
        <f>IFERROR(VLOOKUP(MID(N20,Q20,R20-Q20),[6]skilldef!$C:$D,2,FALSE),"-") &amp; " / " &amp; IFERROR(VLOOKUP(MID(N20,O20,P20-O20),[6]skilldef!$A:$B,2,FALSE),"-")</f>
        <v>- / -</v>
      </c>
      <c r="T20" s="129" t="str">
        <f t="shared" ref="T20:T21" si="47">IFERROR(RIGHT(M20,LEN(M20)-FIND("],",M20)-1),"none")</f>
        <v>none</v>
      </c>
      <c r="U20" s="132" t="e">
        <f t="shared" ref="U20:U21" si="48">FIND("effect:",T20)+7</f>
        <v>#VALUE!</v>
      </c>
      <c r="V20" s="132">
        <f t="shared" ref="V20:V21" si="49">IFERROR(FIND(",",T20),LEN(T20))</f>
        <v>4</v>
      </c>
      <c r="W20" s="132" t="e">
        <f t="shared" ref="W20:W21" si="50">FIND("target:",T20)+7</f>
        <v>#VALUE!</v>
      </c>
      <c r="X20" s="132" t="e">
        <f t="shared" ref="X20:X21" si="51">FIND(",",T20,V20+1)</f>
        <v>#VALUE!</v>
      </c>
      <c r="Y20" s="132" t="str">
        <f>IFERROR(VLOOKUP(MID(T20,W20,X20-W20),[6]skilldef!$C:$D,2,FALSE),"-") &amp; " / " &amp; IFERROR(VLOOKUP(MID(T20,U20,V20-U20),[6]skilldef!$A:$B,2,FALSE),"-")</f>
        <v>- / -</v>
      </c>
      <c r="Z20" s="128"/>
      <c r="AA20" s="133"/>
      <c r="AB20" s="128" t="s">
        <v>331</v>
      </c>
    </row>
    <row r="21" spans="1:28" ht="21" customHeight="1" x14ac:dyDescent="0.15">
      <c r="A21" s="128">
        <v>30038020</v>
      </c>
      <c r="B21" s="134" t="s">
        <v>260</v>
      </c>
      <c r="C21" s="128">
        <v>3</v>
      </c>
      <c r="D21" s="128" t="s">
        <v>128</v>
      </c>
      <c r="E21" s="131" t="s">
        <v>259</v>
      </c>
      <c r="F21" s="131" t="s">
        <v>288</v>
      </c>
      <c r="G21" s="132" t="str">
        <f t="shared" si="37"/>
        <v>[effect:enemy_message, val1:2, val2:3]</v>
      </c>
      <c r="H21" s="132">
        <f t="shared" si="38"/>
        <v>9</v>
      </c>
      <c r="I21" s="132">
        <f t="shared" si="39"/>
        <v>22</v>
      </c>
      <c r="J21" s="132" t="e">
        <f t="shared" si="40"/>
        <v>#VALUE!</v>
      </c>
      <c r="K21" s="132">
        <f t="shared" si="41"/>
        <v>30</v>
      </c>
      <c r="L21" s="132" t="str">
        <f>IFERROR(VLOOKUP(MID(G21,J21,K21-J21),[6]skilldef!$C:$D,2,FALSE),"-") &amp; " / " &amp; IFERROR(VLOOKUP(MID(G21,H21,I21-H21),[6]skilldef!$A:$B,2,FALSE),"-")</f>
        <v>- / -</v>
      </c>
      <c r="M21" s="132" t="str">
        <f t="shared" si="42"/>
        <v>none</v>
      </c>
      <c r="N21" s="129" t="str">
        <f>IFERROR(LEFT(M21,FIND("],",M21)+S54),M21)</f>
        <v>none</v>
      </c>
      <c r="O21" s="132" t="e">
        <f t="shared" si="43"/>
        <v>#VALUE!</v>
      </c>
      <c r="P21" s="132">
        <f t="shared" si="44"/>
        <v>4</v>
      </c>
      <c r="Q21" s="132" t="e">
        <f t="shared" si="45"/>
        <v>#VALUE!</v>
      </c>
      <c r="R21" s="132" t="e">
        <f t="shared" si="46"/>
        <v>#VALUE!</v>
      </c>
      <c r="S21" s="132" t="str">
        <f>IFERROR(VLOOKUP(MID(N21,Q21,R21-Q21),[6]skilldef!$C:$D,2,FALSE),"-") &amp; " / " &amp; IFERROR(VLOOKUP(MID(N21,O21,P21-O21),[6]skilldef!$A:$B,2,FALSE),"-")</f>
        <v>- / -</v>
      </c>
      <c r="T21" s="129" t="str">
        <f t="shared" si="47"/>
        <v>none</v>
      </c>
      <c r="U21" s="132" t="e">
        <f t="shared" si="48"/>
        <v>#VALUE!</v>
      </c>
      <c r="V21" s="132">
        <f t="shared" si="49"/>
        <v>4</v>
      </c>
      <c r="W21" s="132" t="e">
        <f t="shared" si="50"/>
        <v>#VALUE!</v>
      </c>
      <c r="X21" s="132" t="e">
        <f t="shared" si="51"/>
        <v>#VALUE!</v>
      </c>
      <c r="Y21" s="132" t="str">
        <f>IFERROR(VLOOKUP(MID(T21,W21,X21-W21),[6]skilldef!$C:$D,2,FALSE),"-") &amp; " / " &amp; IFERROR(VLOOKUP(MID(T21,U21,V21-U21),[6]skilldef!$A:$B,2,FALSE),"-")</f>
        <v>- / -</v>
      </c>
      <c r="Z21" s="128"/>
      <c r="AA21" s="133"/>
      <c r="AB21" s="128" t="s">
        <v>332</v>
      </c>
    </row>
    <row r="22" spans="1:28" ht="21" customHeight="1" x14ac:dyDescent="0.15">
      <c r="A22" s="128">
        <v>30038021</v>
      </c>
      <c r="B22" s="134" t="s">
        <v>260</v>
      </c>
      <c r="C22" s="128">
        <v>3</v>
      </c>
      <c r="D22" s="128" t="s">
        <v>128</v>
      </c>
      <c r="E22" s="131" t="s">
        <v>255</v>
      </c>
      <c r="F22" s="131" t="s">
        <v>289</v>
      </c>
      <c r="G22" s="132" t="str">
        <f t="shared" si="12"/>
        <v>[effect:enemy_message, val1:2, val2:3]</v>
      </c>
      <c r="H22" s="132">
        <f t="shared" si="13"/>
        <v>9</v>
      </c>
      <c r="I22" s="132">
        <f t="shared" si="14"/>
        <v>22</v>
      </c>
      <c r="J22" s="132" t="e">
        <f t="shared" si="15"/>
        <v>#VALUE!</v>
      </c>
      <c r="K22" s="132">
        <f t="shared" si="16"/>
        <v>30</v>
      </c>
      <c r="L22" s="132" t="str">
        <f>IFERROR(VLOOKUP(MID(G22,J22,K22-J22),[6]skilldef!$C:$D,2,FALSE),"-") &amp; " / " &amp; IFERROR(VLOOKUP(MID(G22,H22,I22-H22),[6]skilldef!$A:$B,2,FALSE),"-")</f>
        <v>- / -</v>
      </c>
      <c r="M22" s="132" t="str">
        <f t="shared" si="17"/>
        <v>none</v>
      </c>
      <c r="N22" s="129" t="str">
        <f>IFERROR(LEFT(M22,FIND("],",M22)+S53),M22)</f>
        <v>none</v>
      </c>
      <c r="O22" s="132" t="e">
        <f t="shared" si="18"/>
        <v>#VALUE!</v>
      </c>
      <c r="P22" s="132">
        <f t="shared" si="19"/>
        <v>4</v>
      </c>
      <c r="Q22" s="132" t="e">
        <f t="shared" si="20"/>
        <v>#VALUE!</v>
      </c>
      <c r="R22" s="132" t="e">
        <f t="shared" si="21"/>
        <v>#VALUE!</v>
      </c>
      <c r="S22" s="132" t="str">
        <f>IFERROR(VLOOKUP(MID(N22,Q22,R22-Q22),[6]skilldef!$C:$D,2,FALSE),"-") &amp; " / " &amp; IFERROR(VLOOKUP(MID(N22,O22,P22-O22),[6]skilldef!$A:$B,2,FALSE),"-")</f>
        <v>- / -</v>
      </c>
      <c r="T22" s="129" t="str">
        <f t="shared" si="22"/>
        <v>none</v>
      </c>
      <c r="U22" s="132" t="e">
        <f t="shared" si="23"/>
        <v>#VALUE!</v>
      </c>
      <c r="V22" s="132">
        <f t="shared" si="24"/>
        <v>4</v>
      </c>
      <c r="W22" s="132" t="e">
        <f t="shared" si="25"/>
        <v>#VALUE!</v>
      </c>
      <c r="X22" s="132" t="e">
        <f t="shared" si="26"/>
        <v>#VALUE!</v>
      </c>
      <c r="Y22" s="132" t="str">
        <f>IFERROR(VLOOKUP(MID(T22,W22,X22-W22),[6]skilldef!$C:$D,2,FALSE),"-") &amp; " / " &amp; IFERROR(VLOOKUP(MID(T22,U22,V22-U22),[6]skilldef!$A:$B,2,FALSE),"-")</f>
        <v>- / -</v>
      </c>
      <c r="Z22" s="128"/>
      <c r="AA22" s="133"/>
      <c r="AB22" s="128" t="s">
        <v>333</v>
      </c>
    </row>
    <row r="23" spans="1:28" ht="21" customHeight="1" x14ac:dyDescent="0.15">
      <c r="A23" s="128">
        <v>30038022</v>
      </c>
      <c r="B23" s="134" t="s">
        <v>260</v>
      </c>
      <c r="C23" s="128">
        <v>3</v>
      </c>
      <c r="D23" s="128" t="s">
        <v>128</v>
      </c>
      <c r="E23" s="131" t="s">
        <v>255</v>
      </c>
      <c r="F23" s="131" t="s">
        <v>290</v>
      </c>
      <c r="G23" s="132" t="str">
        <f t="shared" ref="G23:G24" si="52">IFERROR(LEFT(B23,FIND("],",B23)),B23)</f>
        <v>[effect:enemy_message, val1:2, val2:3]</v>
      </c>
      <c r="H23" s="132">
        <f t="shared" ref="H23:H24" si="53">FIND("effect:",G23)+7</f>
        <v>9</v>
      </c>
      <c r="I23" s="132">
        <f t="shared" ref="I23:I24" si="54">IFERROR(FIND(",",G23),LEN(G23))</f>
        <v>22</v>
      </c>
      <c r="J23" s="132" t="e">
        <f t="shared" ref="J23:J24" si="55">FIND("target:",G23)+7</f>
        <v>#VALUE!</v>
      </c>
      <c r="K23" s="132">
        <f t="shared" ref="K23:K24" si="56">FIND(",",G23,I23+1)</f>
        <v>30</v>
      </c>
      <c r="L23" s="132" t="str">
        <f>IFERROR(VLOOKUP(MID(G23,J23,K23-J23),[6]skilldef!$C:$D,2,FALSE),"-") &amp; " / " &amp; IFERROR(VLOOKUP(MID(G23,H23,I23-H23),[6]skilldef!$A:$B,2,FALSE),"-")</f>
        <v>- / -</v>
      </c>
      <c r="M23" s="132" t="str">
        <f t="shared" ref="M23:M24" si="57">IFERROR(RIGHT(B23,LEN(B23)-FIND("],",B23)-1),"none")</f>
        <v>none</v>
      </c>
      <c r="N23" s="129" t="str">
        <f>IFERROR(LEFT(M23,FIND("],",M23)+S54),M23)</f>
        <v>none</v>
      </c>
      <c r="O23" s="132" t="e">
        <f t="shared" ref="O23:O24" si="58">FIND("effect:",N23)+7</f>
        <v>#VALUE!</v>
      </c>
      <c r="P23" s="132">
        <f t="shared" ref="P23:P24" si="59">IFERROR(FIND(",",N23),LEN(N23))</f>
        <v>4</v>
      </c>
      <c r="Q23" s="132" t="e">
        <f t="shared" ref="Q23:Q24" si="60">FIND("target:",N23)+7</f>
        <v>#VALUE!</v>
      </c>
      <c r="R23" s="132" t="e">
        <f t="shared" ref="R23:R24" si="61">FIND(",",N23,P23+1)</f>
        <v>#VALUE!</v>
      </c>
      <c r="S23" s="132" t="str">
        <f>IFERROR(VLOOKUP(MID(N23,Q23,R23-Q23),[6]skilldef!$C:$D,2,FALSE),"-") &amp; " / " &amp; IFERROR(VLOOKUP(MID(N23,O23,P23-O23),[6]skilldef!$A:$B,2,FALSE),"-")</f>
        <v>- / -</v>
      </c>
      <c r="T23" s="129" t="str">
        <f t="shared" ref="T23:T24" si="62">IFERROR(RIGHT(M23,LEN(M23)-FIND("],",M23)-1),"none")</f>
        <v>none</v>
      </c>
      <c r="U23" s="132" t="e">
        <f t="shared" ref="U23:U24" si="63">FIND("effect:",T23)+7</f>
        <v>#VALUE!</v>
      </c>
      <c r="V23" s="132">
        <f t="shared" ref="V23:V24" si="64">IFERROR(FIND(",",T23),LEN(T23))</f>
        <v>4</v>
      </c>
      <c r="W23" s="132" t="e">
        <f t="shared" ref="W23:W24" si="65">FIND("target:",T23)+7</f>
        <v>#VALUE!</v>
      </c>
      <c r="X23" s="132" t="e">
        <f t="shared" ref="X23:X24" si="66">FIND(",",T23,V23+1)</f>
        <v>#VALUE!</v>
      </c>
      <c r="Y23" s="132" t="str">
        <f>IFERROR(VLOOKUP(MID(T23,W23,X23-W23),[6]skilldef!$C:$D,2,FALSE),"-") &amp; " / " &amp; IFERROR(VLOOKUP(MID(T23,U23,V23-U23),[6]skilldef!$A:$B,2,FALSE),"-")</f>
        <v>- / -</v>
      </c>
      <c r="Z23" s="128"/>
      <c r="AA23" s="133"/>
      <c r="AB23" s="128" t="s">
        <v>334</v>
      </c>
    </row>
    <row r="24" spans="1:28" ht="21" customHeight="1" x14ac:dyDescent="0.15">
      <c r="A24" s="128">
        <v>30038023</v>
      </c>
      <c r="B24" s="134" t="s">
        <v>260</v>
      </c>
      <c r="C24" s="128">
        <v>3</v>
      </c>
      <c r="D24" s="128" t="s">
        <v>128</v>
      </c>
      <c r="E24" s="131" t="s">
        <v>255</v>
      </c>
      <c r="F24" s="131" t="s">
        <v>291</v>
      </c>
      <c r="G24" s="132" t="str">
        <f t="shared" si="52"/>
        <v>[effect:enemy_message, val1:2, val2:3]</v>
      </c>
      <c r="H24" s="132">
        <f t="shared" si="53"/>
        <v>9</v>
      </c>
      <c r="I24" s="132">
        <f t="shared" si="54"/>
        <v>22</v>
      </c>
      <c r="J24" s="132" t="e">
        <f t="shared" si="55"/>
        <v>#VALUE!</v>
      </c>
      <c r="K24" s="132">
        <f t="shared" si="56"/>
        <v>30</v>
      </c>
      <c r="L24" s="132" t="str">
        <f>IFERROR(VLOOKUP(MID(G24,J24,K24-J24),[6]skilldef!$C:$D,2,FALSE),"-") &amp; " / " &amp; IFERROR(VLOOKUP(MID(G24,H24,I24-H24),[6]skilldef!$A:$B,2,FALSE),"-")</f>
        <v>- / -</v>
      </c>
      <c r="M24" s="132" t="str">
        <f t="shared" si="57"/>
        <v>none</v>
      </c>
      <c r="N24" s="129" t="str">
        <f>IFERROR(LEFT(M24,FIND("],",M24)+S55),M24)</f>
        <v>none</v>
      </c>
      <c r="O24" s="132" t="e">
        <f t="shared" si="58"/>
        <v>#VALUE!</v>
      </c>
      <c r="P24" s="132">
        <f t="shared" si="59"/>
        <v>4</v>
      </c>
      <c r="Q24" s="132" t="e">
        <f t="shared" si="60"/>
        <v>#VALUE!</v>
      </c>
      <c r="R24" s="132" t="e">
        <f t="shared" si="61"/>
        <v>#VALUE!</v>
      </c>
      <c r="S24" s="132" t="str">
        <f>IFERROR(VLOOKUP(MID(N24,Q24,R24-Q24),[6]skilldef!$C:$D,2,FALSE),"-") &amp; " / " &amp; IFERROR(VLOOKUP(MID(N24,O24,P24-O24),[6]skilldef!$A:$B,2,FALSE),"-")</f>
        <v>- / -</v>
      </c>
      <c r="T24" s="129" t="str">
        <f t="shared" si="62"/>
        <v>none</v>
      </c>
      <c r="U24" s="132" t="e">
        <f t="shared" si="63"/>
        <v>#VALUE!</v>
      </c>
      <c r="V24" s="132">
        <f t="shared" si="64"/>
        <v>4</v>
      </c>
      <c r="W24" s="132" t="e">
        <f t="shared" si="65"/>
        <v>#VALUE!</v>
      </c>
      <c r="X24" s="132" t="e">
        <f t="shared" si="66"/>
        <v>#VALUE!</v>
      </c>
      <c r="Y24" s="132" t="str">
        <f>IFERROR(VLOOKUP(MID(T24,W24,X24-W24),[6]skilldef!$C:$D,2,FALSE),"-") &amp; " / " &amp; IFERROR(VLOOKUP(MID(T24,U24,V24-U24),[6]skilldef!$A:$B,2,FALSE),"-")</f>
        <v>- / -</v>
      </c>
      <c r="Z24" s="128"/>
      <c r="AA24" s="133"/>
      <c r="AB24" s="128" t="s">
        <v>335</v>
      </c>
    </row>
    <row r="25" spans="1:28" ht="21" customHeight="1" x14ac:dyDescent="0.15">
      <c r="A25" s="128">
        <v>30038024</v>
      </c>
      <c r="B25" s="134" t="s">
        <v>260</v>
      </c>
      <c r="C25" s="128">
        <v>3</v>
      </c>
      <c r="D25" s="128" t="s">
        <v>128</v>
      </c>
      <c r="E25" s="131" t="s">
        <v>256</v>
      </c>
      <c r="F25" s="131" t="s">
        <v>292</v>
      </c>
      <c r="G25" s="132" t="str">
        <f t="shared" si="12"/>
        <v>[effect:enemy_message, val1:2, val2:3]</v>
      </c>
      <c r="H25" s="132">
        <f t="shared" si="13"/>
        <v>9</v>
      </c>
      <c r="I25" s="132">
        <f t="shared" si="14"/>
        <v>22</v>
      </c>
      <c r="J25" s="132" t="e">
        <f t="shared" si="15"/>
        <v>#VALUE!</v>
      </c>
      <c r="K25" s="132">
        <f t="shared" si="16"/>
        <v>30</v>
      </c>
      <c r="L25" s="132" t="str">
        <f>IFERROR(VLOOKUP(MID(G25,J25,K25-J25),[6]skilldef!$C:$D,2,FALSE),"-") &amp; " / " &amp; IFERROR(VLOOKUP(MID(G25,H25,I25-H25),[6]skilldef!$A:$B,2,FALSE),"-")</f>
        <v>- / -</v>
      </c>
      <c r="M25" s="132" t="str">
        <f t="shared" si="17"/>
        <v>none</v>
      </c>
      <c r="N25" s="129" t="str">
        <f>IFERROR(LEFT(M25,FIND("],",M25)+S54),M25)</f>
        <v>none</v>
      </c>
      <c r="O25" s="132" t="e">
        <f t="shared" si="18"/>
        <v>#VALUE!</v>
      </c>
      <c r="P25" s="132">
        <f t="shared" si="19"/>
        <v>4</v>
      </c>
      <c r="Q25" s="132" t="e">
        <f t="shared" si="20"/>
        <v>#VALUE!</v>
      </c>
      <c r="R25" s="132" t="e">
        <f t="shared" si="21"/>
        <v>#VALUE!</v>
      </c>
      <c r="S25" s="132" t="str">
        <f>IFERROR(VLOOKUP(MID(N25,Q25,R25-Q25),[6]skilldef!$C:$D,2,FALSE),"-") &amp; " / " &amp; IFERROR(VLOOKUP(MID(N25,O25,P25-O25),[6]skilldef!$A:$B,2,FALSE),"-")</f>
        <v>- / -</v>
      </c>
      <c r="T25" s="129" t="str">
        <f t="shared" si="22"/>
        <v>none</v>
      </c>
      <c r="U25" s="132" t="e">
        <f t="shared" si="23"/>
        <v>#VALUE!</v>
      </c>
      <c r="V25" s="132">
        <f t="shared" si="24"/>
        <v>4</v>
      </c>
      <c r="W25" s="132" t="e">
        <f t="shared" si="25"/>
        <v>#VALUE!</v>
      </c>
      <c r="X25" s="132" t="e">
        <f t="shared" si="26"/>
        <v>#VALUE!</v>
      </c>
      <c r="Y25" s="132" t="str">
        <f>IFERROR(VLOOKUP(MID(T25,W25,X25-W25),[6]skilldef!$C:$D,2,FALSE),"-") &amp; " / " &amp; IFERROR(VLOOKUP(MID(T25,U25,V25-U25),[6]skilldef!$A:$B,2,FALSE),"-")</f>
        <v>- / -</v>
      </c>
      <c r="Z25" s="128"/>
      <c r="AA25" s="133"/>
      <c r="AB25" s="128" t="s">
        <v>336</v>
      </c>
    </row>
    <row r="26" spans="1:28" ht="21" customHeight="1" x14ac:dyDescent="0.15">
      <c r="A26" s="128">
        <v>30038025</v>
      </c>
      <c r="B26" s="134" t="s">
        <v>260</v>
      </c>
      <c r="C26" s="128">
        <v>3</v>
      </c>
      <c r="D26" s="128" t="s">
        <v>128</v>
      </c>
      <c r="E26" s="131" t="s">
        <v>256</v>
      </c>
      <c r="F26" s="131" t="s">
        <v>293</v>
      </c>
      <c r="G26" s="132"/>
      <c r="H26" s="132"/>
      <c r="I26" s="132"/>
      <c r="J26" s="132"/>
      <c r="K26" s="132"/>
      <c r="L26" s="132"/>
      <c r="M26" s="132"/>
      <c r="N26" s="129"/>
      <c r="O26" s="132"/>
      <c r="P26" s="132"/>
      <c r="Q26" s="132"/>
      <c r="R26" s="132"/>
      <c r="S26" s="132"/>
      <c r="T26" s="129"/>
      <c r="U26" s="132"/>
      <c r="V26" s="132"/>
      <c r="W26" s="132"/>
      <c r="X26" s="132"/>
      <c r="Y26" s="132"/>
      <c r="Z26" s="128"/>
      <c r="AA26" s="133"/>
      <c r="AB26" s="128" t="s">
        <v>337</v>
      </c>
    </row>
    <row r="27" spans="1:28" ht="21" customHeight="1" x14ac:dyDescent="0.15">
      <c r="A27" s="128">
        <v>30038026</v>
      </c>
      <c r="B27" s="134" t="s">
        <v>260</v>
      </c>
      <c r="C27" s="128">
        <v>3</v>
      </c>
      <c r="D27" s="128" t="s">
        <v>128</v>
      </c>
      <c r="E27" s="131" t="s">
        <v>256</v>
      </c>
      <c r="F27" s="131" t="s">
        <v>294</v>
      </c>
      <c r="G27" s="132"/>
      <c r="H27" s="132"/>
      <c r="I27" s="132"/>
      <c r="J27" s="132"/>
      <c r="K27" s="132"/>
      <c r="L27" s="132"/>
      <c r="M27" s="132"/>
      <c r="N27" s="129"/>
      <c r="O27" s="132"/>
      <c r="P27" s="132"/>
      <c r="Q27" s="132"/>
      <c r="R27" s="132"/>
      <c r="S27" s="132"/>
      <c r="T27" s="129"/>
      <c r="U27" s="132"/>
      <c r="V27" s="132"/>
      <c r="W27" s="132"/>
      <c r="X27" s="132"/>
      <c r="Y27" s="132"/>
      <c r="Z27" s="128"/>
      <c r="AA27" s="133"/>
      <c r="AB27" s="128" t="s">
        <v>338</v>
      </c>
    </row>
    <row r="28" spans="1:28" ht="21" customHeight="1" x14ac:dyDescent="0.15">
      <c r="A28" s="128">
        <v>30038027</v>
      </c>
      <c r="B28" s="134" t="s">
        <v>260</v>
      </c>
      <c r="C28" s="128">
        <v>3</v>
      </c>
      <c r="D28" s="128" t="s">
        <v>128</v>
      </c>
      <c r="E28" s="131" t="s">
        <v>257</v>
      </c>
      <c r="F28" s="131" t="s">
        <v>295</v>
      </c>
      <c r="G28" s="132" t="str">
        <f t="shared" si="12"/>
        <v>[effect:enemy_message, val1:2, val2:3]</v>
      </c>
      <c r="H28" s="132">
        <f t="shared" si="13"/>
        <v>9</v>
      </c>
      <c r="I28" s="132">
        <f t="shared" si="14"/>
        <v>22</v>
      </c>
      <c r="J28" s="132" t="e">
        <f t="shared" si="15"/>
        <v>#VALUE!</v>
      </c>
      <c r="K28" s="132">
        <f t="shared" si="16"/>
        <v>30</v>
      </c>
      <c r="L28" s="132" t="str">
        <f>IFERROR(VLOOKUP(MID(G28,J28,K28-J28),[6]skilldef!$C:$D,2,FALSE),"-") &amp; " / " &amp; IFERROR(VLOOKUP(MID(G28,H28,I28-H28),[6]skilldef!$A:$B,2,FALSE),"-")</f>
        <v>- / -</v>
      </c>
      <c r="M28" s="132" t="str">
        <f t="shared" si="17"/>
        <v>none</v>
      </c>
      <c r="N28" s="129" t="str">
        <f>IFERROR(LEFT(M28,FIND("],",M28)+S55),M28)</f>
        <v>none</v>
      </c>
      <c r="O28" s="132" t="e">
        <f t="shared" si="18"/>
        <v>#VALUE!</v>
      </c>
      <c r="P28" s="132">
        <f t="shared" si="19"/>
        <v>4</v>
      </c>
      <c r="Q28" s="132" t="e">
        <f t="shared" si="20"/>
        <v>#VALUE!</v>
      </c>
      <c r="R28" s="132" t="e">
        <f t="shared" si="21"/>
        <v>#VALUE!</v>
      </c>
      <c r="S28" s="132" t="str">
        <f>IFERROR(VLOOKUP(MID(N28,Q28,R28-Q28),[6]skilldef!$C:$D,2,FALSE),"-") &amp; " / " &amp; IFERROR(VLOOKUP(MID(N28,O28,P28-O28),[6]skilldef!$A:$B,2,FALSE),"-")</f>
        <v>- / -</v>
      </c>
      <c r="T28" s="129" t="str">
        <f t="shared" si="22"/>
        <v>none</v>
      </c>
      <c r="U28" s="132" t="e">
        <f t="shared" si="23"/>
        <v>#VALUE!</v>
      </c>
      <c r="V28" s="132">
        <f t="shared" si="24"/>
        <v>4</v>
      </c>
      <c r="W28" s="132" t="e">
        <f t="shared" si="25"/>
        <v>#VALUE!</v>
      </c>
      <c r="X28" s="132" t="e">
        <f t="shared" si="26"/>
        <v>#VALUE!</v>
      </c>
      <c r="Y28" s="132" t="str">
        <f>IFERROR(VLOOKUP(MID(T28,W28,X28-W28),[6]skilldef!$C:$D,2,FALSE),"-") &amp; " / " &amp; IFERROR(VLOOKUP(MID(T28,U28,V28-U28),[6]skilldef!$A:$B,2,FALSE),"-")</f>
        <v>- / -</v>
      </c>
      <c r="Z28" s="128"/>
      <c r="AA28" s="133"/>
      <c r="AB28" s="128" t="s">
        <v>339</v>
      </c>
    </row>
    <row r="29" spans="1:28" ht="21" customHeight="1" x14ac:dyDescent="0.15">
      <c r="A29" s="128">
        <v>30038028</v>
      </c>
      <c r="B29" s="134" t="s">
        <v>260</v>
      </c>
      <c r="C29" s="128">
        <v>3</v>
      </c>
      <c r="D29" s="128" t="s">
        <v>128</v>
      </c>
      <c r="E29" s="131" t="s">
        <v>257</v>
      </c>
      <c r="F29" s="131" t="s">
        <v>296</v>
      </c>
      <c r="G29" s="132"/>
      <c r="H29" s="132"/>
      <c r="I29" s="132"/>
      <c r="J29" s="132"/>
      <c r="K29" s="132"/>
      <c r="L29" s="132"/>
      <c r="M29" s="132"/>
      <c r="N29" s="129"/>
      <c r="O29" s="132"/>
      <c r="P29" s="132"/>
      <c r="Q29" s="132"/>
      <c r="R29" s="132"/>
      <c r="S29" s="132"/>
      <c r="T29" s="129"/>
      <c r="U29" s="132"/>
      <c r="V29" s="132"/>
      <c r="W29" s="132"/>
      <c r="X29" s="132"/>
      <c r="Y29" s="132"/>
      <c r="Z29" s="128"/>
      <c r="AA29" s="133"/>
      <c r="AB29" s="128" t="s">
        <v>340</v>
      </c>
    </row>
    <row r="30" spans="1:28" ht="21" customHeight="1" x14ac:dyDescent="0.15">
      <c r="A30" s="128">
        <v>30038029</v>
      </c>
      <c r="B30" s="134" t="s">
        <v>260</v>
      </c>
      <c r="C30" s="128">
        <v>3</v>
      </c>
      <c r="D30" s="128" t="s">
        <v>128</v>
      </c>
      <c r="E30" s="131" t="s">
        <v>257</v>
      </c>
      <c r="F30" s="131" t="s">
        <v>297</v>
      </c>
      <c r="G30" s="132"/>
      <c r="H30" s="132"/>
      <c r="I30" s="132"/>
      <c r="J30" s="132"/>
      <c r="K30" s="132"/>
      <c r="L30" s="132"/>
      <c r="M30" s="132"/>
      <c r="N30" s="129"/>
      <c r="O30" s="132"/>
      <c r="P30" s="132"/>
      <c r="Q30" s="132"/>
      <c r="R30" s="132"/>
      <c r="S30" s="132"/>
      <c r="T30" s="129"/>
      <c r="U30" s="132"/>
      <c r="V30" s="132"/>
      <c r="W30" s="132"/>
      <c r="X30" s="132"/>
      <c r="Y30" s="132"/>
      <c r="Z30" s="128"/>
      <c r="AA30" s="133"/>
      <c r="AB30" s="128" t="s">
        <v>341</v>
      </c>
    </row>
    <row r="31" spans="1:28" ht="21" customHeight="1" x14ac:dyDescent="0.15">
      <c r="A31" s="128">
        <v>30038030</v>
      </c>
      <c r="B31" s="134" t="s">
        <v>260</v>
      </c>
      <c r="C31" s="128">
        <v>3</v>
      </c>
      <c r="D31" s="128" t="s">
        <v>128</v>
      </c>
      <c r="E31" s="131" t="s">
        <v>258</v>
      </c>
      <c r="F31" s="131" t="s">
        <v>299</v>
      </c>
      <c r="G31" s="132" t="str">
        <f t="shared" si="12"/>
        <v>[effect:enemy_message, val1:2, val2:3]</v>
      </c>
      <c r="H31" s="132">
        <f t="shared" si="13"/>
        <v>9</v>
      </c>
      <c r="I31" s="132">
        <f t="shared" si="14"/>
        <v>22</v>
      </c>
      <c r="J31" s="132" t="e">
        <f t="shared" si="15"/>
        <v>#VALUE!</v>
      </c>
      <c r="K31" s="132">
        <f t="shared" si="16"/>
        <v>30</v>
      </c>
      <c r="L31" s="132" t="str">
        <f>IFERROR(VLOOKUP(MID(G31,J31,K31-J31),[6]skilldef!$C:$D,2,FALSE),"-") &amp; " / " &amp; IFERROR(VLOOKUP(MID(G31,H31,I31-H31),[6]skilldef!$A:$B,2,FALSE),"-")</f>
        <v>- / -</v>
      </c>
      <c r="M31" s="132" t="str">
        <f t="shared" si="17"/>
        <v>none</v>
      </c>
      <c r="N31" s="129" t="str">
        <f>IFERROR(LEFT(M31,FIND("],",M31)+S56),M31)</f>
        <v>none</v>
      </c>
      <c r="O31" s="132" t="e">
        <f t="shared" si="18"/>
        <v>#VALUE!</v>
      </c>
      <c r="P31" s="132">
        <f t="shared" si="19"/>
        <v>4</v>
      </c>
      <c r="Q31" s="132" t="e">
        <f t="shared" si="20"/>
        <v>#VALUE!</v>
      </c>
      <c r="R31" s="132" t="e">
        <f t="shared" si="21"/>
        <v>#VALUE!</v>
      </c>
      <c r="S31" s="132" t="str">
        <f>IFERROR(VLOOKUP(MID(N31,Q31,R31-Q31),[6]skilldef!$C:$D,2,FALSE),"-") &amp; " / " &amp; IFERROR(VLOOKUP(MID(N31,O31,P31-O31),[6]skilldef!$A:$B,2,FALSE),"-")</f>
        <v>- / -</v>
      </c>
      <c r="T31" s="129" t="str">
        <f t="shared" si="22"/>
        <v>none</v>
      </c>
      <c r="U31" s="132" t="e">
        <f t="shared" si="23"/>
        <v>#VALUE!</v>
      </c>
      <c r="V31" s="132">
        <f t="shared" si="24"/>
        <v>4</v>
      </c>
      <c r="W31" s="132" t="e">
        <f t="shared" si="25"/>
        <v>#VALUE!</v>
      </c>
      <c r="X31" s="132" t="e">
        <f t="shared" si="26"/>
        <v>#VALUE!</v>
      </c>
      <c r="Y31" s="132" t="str">
        <f>IFERROR(VLOOKUP(MID(T31,W31,X31-W31),[6]skilldef!$C:$D,2,FALSE),"-") &amp; " / " &amp; IFERROR(VLOOKUP(MID(T31,U31,V31-U31),[6]skilldef!$A:$B,2,FALSE),"-")</f>
        <v>- / -</v>
      </c>
      <c r="Z31" s="128"/>
      <c r="AA31" s="133"/>
      <c r="AB31" s="128" t="s">
        <v>342</v>
      </c>
    </row>
    <row r="32" spans="1:28" ht="21" customHeight="1" x14ac:dyDescent="0.15">
      <c r="A32" s="128">
        <v>30038031</v>
      </c>
      <c r="B32" s="134" t="s">
        <v>260</v>
      </c>
      <c r="C32" s="128">
        <v>3</v>
      </c>
      <c r="D32" s="128" t="s">
        <v>128</v>
      </c>
      <c r="E32" s="131" t="s">
        <v>258</v>
      </c>
      <c r="F32" s="131" t="s">
        <v>300</v>
      </c>
      <c r="G32" s="132"/>
      <c r="H32" s="132"/>
      <c r="I32" s="132"/>
      <c r="J32" s="132"/>
      <c r="K32" s="132"/>
      <c r="L32" s="132"/>
      <c r="M32" s="132"/>
      <c r="N32" s="129"/>
      <c r="O32" s="132"/>
      <c r="P32" s="132"/>
      <c r="Q32" s="132"/>
      <c r="R32" s="132"/>
      <c r="S32" s="132"/>
      <c r="T32" s="129"/>
      <c r="U32" s="132"/>
      <c r="V32" s="132"/>
      <c r="W32" s="132"/>
      <c r="X32" s="132"/>
      <c r="Y32" s="132"/>
      <c r="Z32" s="128"/>
      <c r="AA32" s="133"/>
      <c r="AB32" s="128" t="s">
        <v>343</v>
      </c>
    </row>
    <row r="33" spans="1:28" ht="21" customHeight="1" x14ac:dyDescent="0.15">
      <c r="A33" s="128">
        <v>30038032</v>
      </c>
      <c r="B33" s="134" t="s">
        <v>260</v>
      </c>
      <c r="C33" s="128">
        <v>3</v>
      </c>
      <c r="D33" s="128" t="s">
        <v>128</v>
      </c>
      <c r="E33" s="131" t="s">
        <v>258</v>
      </c>
      <c r="F33" s="131" t="s">
        <v>301</v>
      </c>
      <c r="G33" s="132"/>
      <c r="H33" s="132"/>
      <c r="I33" s="132"/>
      <c r="J33" s="132"/>
      <c r="K33" s="132"/>
      <c r="L33" s="132"/>
      <c r="M33" s="132"/>
      <c r="N33" s="129"/>
      <c r="O33" s="132"/>
      <c r="P33" s="132"/>
      <c r="Q33" s="132"/>
      <c r="R33" s="132"/>
      <c r="S33" s="132"/>
      <c r="T33" s="129"/>
      <c r="U33" s="132"/>
      <c r="V33" s="132"/>
      <c r="W33" s="132"/>
      <c r="X33" s="132"/>
      <c r="Y33" s="132"/>
      <c r="Z33" s="128"/>
      <c r="AA33" s="133"/>
      <c r="AB33" s="128" t="s">
        <v>344</v>
      </c>
    </row>
    <row r="34" spans="1:28" ht="21" customHeight="1" x14ac:dyDescent="0.15">
      <c r="A34" s="128">
        <v>30038033</v>
      </c>
      <c r="B34" s="134" t="s">
        <v>411</v>
      </c>
      <c r="C34" s="128">
        <v>3</v>
      </c>
      <c r="D34" s="128" t="s">
        <v>128</v>
      </c>
      <c r="E34" s="131" t="s">
        <v>273</v>
      </c>
      <c r="F34" s="131" t="s">
        <v>414</v>
      </c>
      <c r="G34" s="132" t="str">
        <f t="shared" si="12"/>
        <v xml:space="preserve"> [effect:damage_fix_absolute, target:unit_all, val:3250]    </v>
      </c>
      <c r="H34" s="132">
        <f t="shared" si="13"/>
        <v>10</v>
      </c>
      <c r="I34" s="132">
        <f t="shared" si="14"/>
        <v>29</v>
      </c>
      <c r="J34" s="132">
        <f t="shared" si="15"/>
        <v>38</v>
      </c>
      <c r="K34" s="132">
        <f t="shared" si="16"/>
        <v>46</v>
      </c>
      <c r="L34" s="132" t="str">
        <f>IFERROR(VLOOKUP(MID(G34,J34,K34-J34),[6]skilldef!$C:$D,2,FALSE),"-") &amp; " / " &amp; IFERROR(VLOOKUP(MID(G34,H34,I34-H34),[6]skilldef!$A:$B,2,FALSE),"-")</f>
        <v>味方全体に / -</v>
      </c>
      <c r="M34" s="132" t="str">
        <f t="shared" si="17"/>
        <v>none</v>
      </c>
      <c r="N34" s="129" t="str">
        <f>IFERROR(LEFT(M34,FIND("],",M34)+S57),M34)</f>
        <v>none</v>
      </c>
      <c r="O34" s="132" t="e">
        <f t="shared" si="18"/>
        <v>#VALUE!</v>
      </c>
      <c r="P34" s="132">
        <f t="shared" si="19"/>
        <v>4</v>
      </c>
      <c r="Q34" s="132" t="e">
        <f t="shared" si="20"/>
        <v>#VALUE!</v>
      </c>
      <c r="R34" s="132" t="e">
        <f t="shared" si="21"/>
        <v>#VALUE!</v>
      </c>
      <c r="S34" s="132" t="str">
        <f>IFERROR(VLOOKUP(MID(N34,Q34,R34-Q34),[6]skilldef!$C:$D,2,FALSE),"-") &amp; " / " &amp; IFERROR(VLOOKUP(MID(N34,O34,P34-O34),[6]skilldef!$A:$B,2,FALSE),"-")</f>
        <v>- / -</v>
      </c>
      <c r="T34" s="129" t="str">
        <f t="shared" si="22"/>
        <v>none</v>
      </c>
      <c r="U34" s="132" t="e">
        <f t="shared" si="23"/>
        <v>#VALUE!</v>
      </c>
      <c r="V34" s="132">
        <f t="shared" si="24"/>
        <v>4</v>
      </c>
      <c r="W34" s="132" t="e">
        <f t="shared" si="25"/>
        <v>#VALUE!</v>
      </c>
      <c r="X34" s="132" t="e">
        <f t="shared" si="26"/>
        <v>#VALUE!</v>
      </c>
      <c r="Y34" s="132" t="str">
        <f>IFERROR(VLOOKUP(MID(T34,W34,X34-W34),[6]skilldef!$C:$D,2,FALSE),"-") &amp; " / " &amp; IFERROR(VLOOKUP(MID(T34,U34,V34-U34),[6]skilldef!$A:$B,2,FALSE),"-")</f>
        <v>- / -</v>
      </c>
      <c r="Z34" s="128"/>
      <c r="AA34" s="133"/>
      <c r="AB34" s="128" t="s">
        <v>345</v>
      </c>
    </row>
    <row r="35" spans="1:28" ht="21" customHeight="1" x14ac:dyDescent="0.15">
      <c r="A35" s="128">
        <v>30038034</v>
      </c>
      <c r="B35" s="134" t="s">
        <v>412</v>
      </c>
      <c r="C35" s="128">
        <v>3</v>
      </c>
      <c r="D35" s="128" t="s">
        <v>128</v>
      </c>
      <c r="E35" s="131" t="s">
        <v>274</v>
      </c>
      <c r="F35" s="131" t="s">
        <v>415</v>
      </c>
      <c r="G35" s="132"/>
      <c r="H35" s="132"/>
      <c r="I35" s="132"/>
      <c r="J35" s="132"/>
      <c r="K35" s="132"/>
      <c r="L35" s="132"/>
      <c r="M35" s="132"/>
      <c r="N35" s="129"/>
      <c r="O35" s="132"/>
      <c r="P35" s="132"/>
      <c r="Q35" s="132"/>
      <c r="R35" s="132"/>
      <c r="S35" s="132"/>
      <c r="T35" s="129"/>
      <c r="U35" s="132"/>
      <c r="V35" s="132"/>
      <c r="W35" s="132"/>
      <c r="X35" s="132"/>
      <c r="Y35" s="132"/>
      <c r="Z35" s="128"/>
      <c r="AA35" s="133"/>
      <c r="AB35" s="128" t="s">
        <v>346</v>
      </c>
    </row>
    <row r="36" spans="1:28" ht="17" x14ac:dyDescent="0.15">
      <c r="A36" s="128">
        <v>30038035</v>
      </c>
      <c r="B36" s="134" t="s">
        <v>413</v>
      </c>
      <c r="C36" s="128">
        <v>3</v>
      </c>
      <c r="D36" s="128" t="s">
        <v>128</v>
      </c>
      <c r="E36" s="131" t="s">
        <v>275</v>
      </c>
      <c r="F36" s="131" t="s">
        <v>416</v>
      </c>
      <c r="G36" s="132"/>
      <c r="H36" s="132"/>
      <c r="I36" s="132"/>
      <c r="J36" s="132"/>
      <c r="K36" s="132"/>
      <c r="L36" s="132"/>
      <c r="M36" s="132"/>
      <c r="N36" s="129"/>
      <c r="O36" s="132"/>
      <c r="P36" s="132"/>
      <c r="Q36" s="132"/>
      <c r="R36" s="132"/>
      <c r="S36" s="132"/>
      <c r="T36" s="129"/>
      <c r="U36" s="132"/>
      <c r="V36" s="132"/>
      <c r="W36" s="132"/>
      <c r="X36" s="132"/>
      <c r="Y36" s="132"/>
      <c r="Z36" s="128"/>
      <c r="AA36" s="133"/>
      <c r="AB36" s="128" t="s">
        <v>347</v>
      </c>
    </row>
    <row r="37" spans="1:28" ht="51" x14ac:dyDescent="0.15">
      <c r="A37" s="128">
        <v>30038036</v>
      </c>
      <c r="B37" s="134" t="s">
        <v>464</v>
      </c>
      <c r="C37" s="128">
        <v>3</v>
      </c>
      <c r="D37" s="128" t="s">
        <v>128</v>
      </c>
      <c r="E37" s="131" t="s">
        <v>302</v>
      </c>
      <c r="F37" s="131" t="s">
        <v>439</v>
      </c>
      <c r="G37" s="132" t="str">
        <f t="shared" si="12"/>
        <v>[effect:force_change_block, new_block:block_heart, target:block_all, ignore01:crash, ignore02:crack_bomb, count:0, val:0]</v>
      </c>
      <c r="H37" s="132">
        <f t="shared" si="13"/>
        <v>9</v>
      </c>
      <c r="I37" s="132">
        <f t="shared" si="14"/>
        <v>27</v>
      </c>
      <c r="J37" s="132">
        <f t="shared" si="15"/>
        <v>59</v>
      </c>
      <c r="K37" s="132">
        <f t="shared" si="16"/>
        <v>50</v>
      </c>
      <c r="L37" s="132" t="str">
        <f>IFERROR(VLOOKUP(MID(G37,J37,K37-J37),[6]skilldef!$C:$D,2,FALSE),"-") &amp; " / " &amp; IFERROR(VLOOKUP(MID(G37,H37,I37-H37),[6]skilldef!$A:$B,2,FALSE),"-")</f>
        <v>- / -</v>
      </c>
      <c r="M37" s="132" t="str">
        <f t="shared" si="17"/>
        <v>none</v>
      </c>
      <c r="N37" s="129" t="str">
        <f>IFERROR(LEFT(M37,FIND("],",M37)+S58),M37)</f>
        <v>none</v>
      </c>
      <c r="O37" s="132" t="e">
        <f t="shared" si="18"/>
        <v>#VALUE!</v>
      </c>
      <c r="P37" s="132">
        <f t="shared" si="19"/>
        <v>4</v>
      </c>
      <c r="Q37" s="132" t="e">
        <f t="shared" si="20"/>
        <v>#VALUE!</v>
      </c>
      <c r="R37" s="132" t="e">
        <f t="shared" si="21"/>
        <v>#VALUE!</v>
      </c>
      <c r="S37" s="132" t="str">
        <f>IFERROR(VLOOKUP(MID(N37,Q37,R37-Q37),[6]skilldef!$C:$D,2,FALSE),"-") &amp; " / " &amp; IFERROR(VLOOKUP(MID(N37,O37,P37-O37),[6]skilldef!$A:$B,2,FALSE),"-")</f>
        <v>- / -</v>
      </c>
      <c r="T37" s="129" t="str">
        <f t="shared" si="22"/>
        <v>none</v>
      </c>
      <c r="U37" s="132" t="e">
        <f t="shared" si="23"/>
        <v>#VALUE!</v>
      </c>
      <c r="V37" s="132">
        <f t="shared" si="24"/>
        <v>4</v>
      </c>
      <c r="W37" s="132" t="e">
        <f t="shared" si="25"/>
        <v>#VALUE!</v>
      </c>
      <c r="X37" s="132" t="e">
        <f t="shared" si="26"/>
        <v>#VALUE!</v>
      </c>
      <c r="Y37" s="132" t="str">
        <f>IFERROR(VLOOKUP(MID(T37,W37,X37-W37),[6]skilldef!$C:$D,2,FALSE),"-") &amp; " / " &amp; IFERROR(VLOOKUP(MID(T37,U37,V37-U37),[6]skilldef!$A:$B,2,FALSE),"-")</f>
        <v>- / -</v>
      </c>
      <c r="Z37" s="128"/>
      <c r="AA37" s="133"/>
      <c r="AB37" s="131" t="s">
        <v>417</v>
      </c>
    </row>
    <row r="38" spans="1:28" ht="102" x14ac:dyDescent="0.15">
      <c r="A38" s="128">
        <v>30038037</v>
      </c>
      <c r="B38" s="134" t="s">
        <v>447</v>
      </c>
      <c r="C38" s="128">
        <v>3</v>
      </c>
      <c r="D38" s="128" t="s">
        <v>128</v>
      </c>
      <c r="E38" s="131" t="s">
        <v>478</v>
      </c>
      <c r="F38" s="131" t="s">
        <v>263</v>
      </c>
      <c r="G38" s="132" t="str">
        <f t="shared" ref="G38" si="67">IFERROR(LEFT(B38,FIND("],",B38)),B38)</f>
        <v>[effect:fix_speed, target:enemy_all, turn:1]</v>
      </c>
      <c r="H38" s="132">
        <f t="shared" si="13"/>
        <v>9</v>
      </c>
      <c r="I38" s="132">
        <f t="shared" ref="I38" si="68">IFERROR(FIND(",",G38),LEN(G38))</f>
        <v>18</v>
      </c>
      <c r="J38" s="132">
        <f t="shared" ref="J38" si="69">FIND("target:",G38)+7</f>
        <v>27</v>
      </c>
      <c r="K38" s="132">
        <f t="shared" ref="K38" si="70">FIND(",",G38,I38+1)</f>
        <v>36</v>
      </c>
      <c r="L38" s="132" t="str">
        <f>IFERROR(VLOOKUP(MID(G38,J38,K38-J38),[6]skilldef!$C:$D,2,FALSE),"-") &amp; " / " &amp; IFERROR(VLOOKUP(MID(G38,H38,I38-H38),[6]skilldef!$A:$B,2,FALSE),"-")</f>
        <v>敵全体に / 行動値設定</v>
      </c>
      <c r="M38" s="132" t="str">
        <f t="shared" ref="M38" si="71">IFERROR(RIGHT(B38,LEN(B38)-FIND("],",B38)-1),"none")</f>
        <v>[effect:tolerance, target:myself, turn:32, tolerance_effect:all, count:-1, animation:enemy_tolerance]</v>
      </c>
      <c r="N38" s="129" t="str">
        <f>IFERROR(LEFT(M38,FIND("],",M38)+S61),M38)</f>
        <v>[effect:tolerance, target:myself, turn:32, tolerance_effect:all, count:-1, animation:enemy_tolerance]</v>
      </c>
      <c r="O38" s="132">
        <f t="shared" si="18"/>
        <v>9</v>
      </c>
      <c r="P38" s="132">
        <f t="shared" ref="P38" si="72">IFERROR(FIND(",",N38),LEN(N38))</f>
        <v>18</v>
      </c>
      <c r="Q38" s="132">
        <f t="shared" ref="Q38" si="73">FIND("target:",N38)+7</f>
        <v>27</v>
      </c>
      <c r="R38" s="132">
        <f t="shared" ref="R38" si="74">FIND(",",N38,P38+1)</f>
        <v>33</v>
      </c>
      <c r="S38" s="132" t="str">
        <f>IFERROR(VLOOKUP(MID(N38,Q38,R38-Q38),[6]skilldef!$C:$D,2,FALSE),"-") &amp; " / " &amp; IFERROR(VLOOKUP(MID(N38,O38,P38-O38),[6]skilldef!$A:$B,2,FALSE),"-")</f>
        <v>自分自身に / 状態異常耐性</v>
      </c>
      <c r="T38" s="129" t="str">
        <f t="shared" ref="T38" si="75">IFERROR(RIGHT(M38,LEN(M38)-FIND("],",M38)-1),"none")</f>
        <v>none</v>
      </c>
      <c r="U38" s="132" t="e">
        <f t="shared" si="23"/>
        <v>#VALUE!</v>
      </c>
      <c r="V38" s="132">
        <f t="shared" ref="V38" si="76">IFERROR(FIND(",",T38),LEN(T38))</f>
        <v>4</v>
      </c>
      <c r="W38" s="132" t="e">
        <f t="shared" ref="W38" si="77">FIND("target:",T38)+7</f>
        <v>#VALUE!</v>
      </c>
      <c r="X38" s="132" t="e">
        <f t="shared" ref="X38" si="78">FIND(",",T38,V38+1)</f>
        <v>#VALUE!</v>
      </c>
      <c r="Y38" s="132" t="str">
        <f>IFERROR(VLOOKUP(MID(T38,W38,X38-W38),[6]skilldef!$C:$D,2,FALSE),"-") &amp; " / " &amp; IFERROR(VLOOKUP(MID(T38,U38,V38-U38),[6]skilldef!$A:$B,2,FALSE),"-")</f>
        <v>- / -</v>
      </c>
      <c r="Z38" s="128"/>
      <c r="AA38" s="133"/>
      <c r="AB38" s="128" t="s">
        <v>304</v>
      </c>
    </row>
    <row r="39" spans="1:28" ht="102" x14ac:dyDescent="0.15">
      <c r="A39" s="128">
        <v>30038038</v>
      </c>
      <c r="B39" s="134" t="s">
        <v>447</v>
      </c>
      <c r="C39" s="128">
        <v>3</v>
      </c>
      <c r="D39" s="128" t="s">
        <v>128</v>
      </c>
      <c r="E39" s="131" t="s">
        <v>477</v>
      </c>
      <c r="F39" s="131" t="s">
        <v>263</v>
      </c>
      <c r="G39" s="132"/>
      <c r="H39" s="132"/>
      <c r="I39" s="132"/>
      <c r="J39" s="132"/>
      <c r="K39" s="132"/>
      <c r="L39" s="132" t="str">
        <f>IFERROR(VLOOKUP(MID(G39,J39,K39-J39),[6]skilldef!$C:$D,2,FALSE),"-") &amp; " / " &amp; IFERROR(VLOOKUP(MID(G39,H39,I39-H39),[6]skilldef!$A:$B,2,FALSE),"-")</f>
        <v>- / -</v>
      </c>
      <c r="M39" s="132" t="str">
        <f t="shared" ref="M39:M46" si="79">IFERROR(RIGHT(B39,LEN(B39)-FIND("],",B39)-1),"none")</f>
        <v>[effect:tolerance, target:myself, turn:32, tolerance_effect:all, count:-1, animation:enemy_tolerance]</v>
      </c>
      <c r="N39" s="129" t="str">
        <f>IFERROR(LEFT(M39,FIND("],",M39)+S62),M39)</f>
        <v>[effect:tolerance, target:myself, turn:32, tolerance_effect:all, count:-1, animation:enemy_tolerance]</v>
      </c>
      <c r="O39" s="132">
        <f t="shared" si="18"/>
        <v>9</v>
      </c>
      <c r="P39" s="132">
        <f t="shared" ref="P39:P46" si="80">IFERROR(FIND(",",N39),LEN(N39))</f>
        <v>18</v>
      </c>
      <c r="Q39" s="132">
        <f t="shared" ref="Q39:Q46" si="81">FIND("target:",N39)+7</f>
        <v>27</v>
      </c>
      <c r="R39" s="132">
        <f t="shared" ref="R39:R46" si="82">FIND(",",N39,P39+1)</f>
        <v>33</v>
      </c>
      <c r="S39" s="132" t="str">
        <f>IFERROR(VLOOKUP(MID(N39,Q39,R39-Q39),[6]skilldef!$C:$D,2,FALSE),"-") &amp; " / " &amp; IFERROR(VLOOKUP(MID(N39,O39,P39-O39),[6]skilldef!$A:$B,2,FALSE),"-")</f>
        <v>自分自身に / 状態異常耐性</v>
      </c>
      <c r="T39" s="129" t="str">
        <f t="shared" ref="T39:T46" si="83">IFERROR(RIGHT(M39,LEN(M39)-FIND("],",M39)-1),"none")</f>
        <v>none</v>
      </c>
      <c r="U39" s="132" t="e">
        <f t="shared" si="23"/>
        <v>#VALUE!</v>
      </c>
      <c r="V39" s="132">
        <f t="shared" ref="V39:V46" si="84">IFERROR(FIND(",",T39),LEN(T39))</f>
        <v>4</v>
      </c>
      <c r="W39" s="132" t="e">
        <f t="shared" ref="W39:W46" si="85">FIND("target:",T39)+7</f>
        <v>#VALUE!</v>
      </c>
      <c r="X39" s="132" t="e">
        <f t="shared" ref="X39:X46" si="86">FIND(",",T39,V39+1)</f>
        <v>#VALUE!</v>
      </c>
      <c r="Y39" s="132" t="str">
        <f>IFERROR(VLOOKUP(MID(T39,W39,X39-W39),[6]skilldef!$C:$D,2,FALSE),"-") &amp; " / " &amp; IFERROR(VLOOKUP(MID(T39,U39,V39-U39),[6]skilldef!$A:$B,2,FALSE),"-")</f>
        <v>- / -</v>
      </c>
      <c r="Z39" s="128"/>
      <c r="AA39" s="133"/>
      <c r="AB39" s="128" t="s">
        <v>305</v>
      </c>
    </row>
    <row r="40" spans="1:28" ht="102" x14ac:dyDescent="0.15">
      <c r="A40" s="128">
        <v>30038039</v>
      </c>
      <c r="B40" s="134" t="s">
        <v>447</v>
      </c>
      <c r="C40" s="128">
        <v>3</v>
      </c>
      <c r="D40" s="128" t="s">
        <v>128</v>
      </c>
      <c r="E40" s="131" t="s">
        <v>324</v>
      </c>
      <c r="F40" s="131" t="s">
        <v>263</v>
      </c>
      <c r="G40" s="132"/>
      <c r="H40" s="132"/>
      <c r="I40" s="132"/>
      <c r="J40" s="132"/>
      <c r="K40" s="132"/>
      <c r="L40" s="132" t="str">
        <f>IFERROR(VLOOKUP(MID(G40,J40,K40-J40),[6]skilldef!$C:$D,2,FALSE),"-") &amp; " / " &amp; IFERROR(VLOOKUP(MID(G40,H40,I40-H40),[6]skilldef!$A:$B,2,FALSE),"-")</f>
        <v>- / -</v>
      </c>
      <c r="M40" s="132" t="str">
        <f t="shared" si="79"/>
        <v>[effect:tolerance, target:myself, turn:32, tolerance_effect:all, count:-1, animation:enemy_tolerance]</v>
      </c>
      <c r="N40" s="129" t="str">
        <f>IFERROR(LEFT(M40,FIND("],",M40)+S63),M40)</f>
        <v>[effect:tolerance, target:myself, turn:32, tolerance_effect:all, count:-1, animation:enemy_tolerance]</v>
      </c>
      <c r="O40" s="132">
        <f t="shared" si="18"/>
        <v>9</v>
      </c>
      <c r="P40" s="132">
        <f t="shared" si="80"/>
        <v>18</v>
      </c>
      <c r="Q40" s="132">
        <f t="shared" si="81"/>
        <v>27</v>
      </c>
      <c r="R40" s="132">
        <f t="shared" si="82"/>
        <v>33</v>
      </c>
      <c r="S40" s="132" t="str">
        <f>IFERROR(VLOOKUP(MID(N40,Q40,R40-Q40),[6]skilldef!$C:$D,2,FALSE),"-") &amp; " / " &amp; IFERROR(VLOOKUP(MID(N40,O40,P40-O40),[6]skilldef!$A:$B,2,FALSE),"-")</f>
        <v>自分自身に / 状態異常耐性</v>
      </c>
      <c r="T40" s="129" t="str">
        <f t="shared" si="83"/>
        <v>none</v>
      </c>
      <c r="U40" s="132" t="e">
        <f t="shared" si="23"/>
        <v>#VALUE!</v>
      </c>
      <c r="V40" s="132">
        <f t="shared" si="84"/>
        <v>4</v>
      </c>
      <c r="W40" s="132" t="e">
        <f t="shared" si="85"/>
        <v>#VALUE!</v>
      </c>
      <c r="X40" s="132" t="e">
        <f t="shared" si="86"/>
        <v>#VALUE!</v>
      </c>
      <c r="Y40" s="132" t="str">
        <f>IFERROR(VLOOKUP(MID(T40,W40,X40-W40),[6]skilldef!$C:$D,2,FALSE),"-") &amp; " / " &amp; IFERROR(VLOOKUP(MID(T40,U40,V40-U40),[6]skilldef!$A:$B,2,FALSE),"-")</f>
        <v>- / -</v>
      </c>
      <c r="Z40" s="128"/>
      <c r="AA40" s="133"/>
      <c r="AB40" s="128" t="s">
        <v>312</v>
      </c>
    </row>
    <row r="41" spans="1:28" ht="102" x14ac:dyDescent="0.15">
      <c r="A41" s="128">
        <v>30038040</v>
      </c>
      <c r="B41" s="134" t="s">
        <v>447</v>
      </c>
      <c r="C41" s="128">
        <v>3</v>
      </c>
      <c r="D41" s="128" t="s">
        <v>128</v>
      </c>
      <c r="E41" s="131" t="s">
        <v>325</v>
      </c>
      <c r="F41" s="131" t="s">
        <v>263</v>
      </c>
      <c r="G41" s="132"/>
      <c r="H41" s="132"/>
      <c r="I41" s="132"/>
      <c r="J41" s="132"/>
      <c r="K41" s="132"/>
      <c r="L41" s="132" t="str">
        <f>IFERROR(VLOOKUP(MID(G41,J41,K41-J41),[6]skilldef!$C:$D,2,FALSE),"-") &amp; " / " &amp; IFERROR(VLOOKUP(MID(G41,H41,I41-H41),[6]skilldef!$A:$B,2,FALSE),"-")</f>
        <v>- / -</v>
      </c>
      <c r="M41" s="132" t="str">
        <f t="shared" si="79"/>
        <v>[effect:tolerance, target:myself, turn:32, tolerance_effect:all, count:-1, animation:enemy_tolerance]</v>
      </c>
      <c r="N41" s="129" t="str">
        <f>IFERROR(LEFT(M41,FIND("],",M41)+S64),M41)</f>
        <v>[effect:tolerance, target:myself, turn:32, tolerance_effect:all, count:-1, animation:enemy_tolerance]</v>
      </c>
      <c r="O41" s="132">
        <f t="shared" si="18"/>
        <v>9</v>
      </c>
      <c r="P41" s="132">
        <f t="shared" si="80"/>
        <v>18</v>
      </c>
      <c r="Q41" s="132">
        <f t="shared" si="81"/>
        <v>27</v>
      </c>
      <c r="R41" s="132">
        <f t="shared" si="82"/>
        <v>33</v>
      </c>
      <c r="S41" s="132" t="str">
        <f>IFERROR(VLOOKUP(MID(N41,Q41,R41-Q41),[6]skilldef!$C:$D,2,FALSE),"-") &amp; " / " &amp; IFERROR(VLOOKUP(MID(N41,O41,P41-O41),[6]skilldef!$A:$B,2,FALSE),"-")</f>
        <v>自分自身に / 状態異常耐性</v>
      </c>
      <c r="T41" s="129" t="str">
        <f t="shared" si="83"/>
        <v>none</v>
      </c>
      <c r="U41" s="132" t="e">
        <f t="shared" si="23"/>
        <v>#VALUE!</v>
      </c>
      <c r="V41" s="132">
        <f t="shared" si="84"/>
        <v>4</v>
      </c>
      <c r="W41" s="132" t="e">
        <f t="shared" si="85"/>
        <v>#VALUE!</v>
      </c>
      <c r="X41" s="132" t="e">
        <f t="shared" si="86"/>
        <v>#VALUE!</v>
      </c>
      <c r="Y41" s="132" t="str">
        <f>IFERROR(VLOOKUP(MID(T41,W41,X41-W41),[6]skilldef!$C:$D,2,FALSE),"-") &amp; " / " &amp; IFERROR(VLOOKUP(MID(T41,U41,V41-U41),[6]skilldef!$A:$B,2,FALSE),"-")</f>
        <v>- / -</v>
      </c>
      <c r="Z41" s="128"/>
      <c r="AA41" s="133"/>
      <c r="AB41" s="128" t="s">
        <v>306</v>
      </c>
    </row>
    <row r="42" spans="1:28" ht="102" x14ac:dyDescent="0.15">
      <c r="A42" s="128">
        <v>30038041</v>
      </c>
      <c r="B42" s="134" t="s">
        <v>447</v>
      </c>
      <c r="C42" s="128">
        <v>3</v>
      </c>
      <c r="D42" s="128" t="s">
        <v>128</v>
      </c>
      <c r="E42" s="131" t="s">
        <v>444</v>
      </c>
      <c r="F42" s="131" t="s">
        <v>263</v>
      </c>
      <c r="G42" s="132"/>
      <c r="H42" s="132"/>
      <c r="I42" s="132"/>
      <c r="J42" s="132"/>
      <c r="K42" s="132"/>
      <c r="L42" s="132" t="str">
        <f>IFERROR(VLOOKUP(MID(G42,J42,K42-J42),[6]skilldef!$C:$D,2,FALSE),"-") &amp; " / " &amp; IFERROR(VLOOKUP(MID(G42,H42,I42-H42),[6]skilldef!$A:$B,2,FALSE),"-")</f>
        <v>- / -</v>
      </c>
      <c r="M42" s="132" t="str">
        <f t="shared" si="79"/>
        <v>[effect:tolerance, target:myself, turn:32, tolerance_effect:all, count:-1, animation:enemy_tolerance]</v>
      </c>
      <c r="N42" s="129" t="str">
        <f>IFERROR(LEFT(M42,FIND("],",M42)+S65),M42)</f>
        <v>[effect:tolerance, target:myself, turn:32, tolerance_effect:all, count:-1, animation:enemy_tolerance]</v>
      </c>
      <c r="O42" s="132">
        <f t="shared" si="18"/>
        <v>9</v>
      </c>
      <c r="P42" s="132">
        <f t="shared" si="80"/>
        <v>18</v>
      </c>
      <c r="Q42" s="132">
        <f t="shared" si="81"/>
        <v>27</v>
      </c>
      <c r="R42" s="132">
        <f t="shared" si="82"/>
        <v>33</v>
      </c>
      <c r="S42" s="132" t="str">
        <f>IFERROR(VLOOKUP(MID(N42,Q42,R42-Q42),[6]skilldef!$C:$D,2,FALSE),"-") &amp; " / " &amp; IFERROR(VLOOKUP(MID(N42,O42,P42-O42),[6]skilldef!$A:$B,2,FALSE),"-")</f>
        <v>自分自身に / 状態異常耐性</v>
      </c>
      <c r="T42" s="129" t="str">
        <f t="shared" si="83"/>
        <v>none</v>
      </c>
      <c r="U42" s="132" t="e">
        <f t="shared" si="23"/>
        <v>#VALUE!</v>
      </c>
      <c r="V42" s="132">
        <f t="shared" si="84"/>
        <v>4</v>
      </c>
      <c r="W42" s="132" t="e">
        <f t="shared" si="85"/>
        <v>#VALUE!</v>
      </c>
      <c r="X42" s="132" t="e">
        <f t="shared" si="86"/>
        <v>#VALUE!</v>
      </c>
      <c r="Y42" s="132" t="str">
        <f>IFERROR(VLOOKUP(MID(T42,W42,X42-W42),[6]skilldef!$C:$D,2,FALSE),"-") &amp; " / " &amp; IFERROR(VLOOKUP(MID(T42,U42,V42-U42),[6]skilldef!$A:$B,2,FALSE),"-")</f>
        <v>- / -</v>
      </c>
      <c r="Z42" s="128"/>
      <c r="AA42" s="133"/>
      <c r="AB42" s="128" t="s">
        <v>307</v>
      </c>
    </row>
    <row r="43" spans="1:28" ht="102" x14ac:dyDescent="0.15">
      <c r="A43" s="128">
        <v>30038042</v>
      </c>
      <c r="B43" s="134" t="s">
        <v>447</v>
      </c>
      <c r="C43" s="128">
        <v>3</v>
      </c>
      <c r="D43" s="128" t="s">
        <v>128</v>
      </c>
      <c r="E43" s="131" t="s">
        <v>272</v>
      </c>
      <c r="F43" s="131" t="s">
        <v>263</v>
      </c>
      <c r="G43" s="132"/>
      <c r="H43" s="132"/>
      <c r="I43" s="132"/>
      <c r="J43" s="132"/>
      <c r="K43" s="132"/>
      <c r="L43" s="132" t="str">
        <f>IFERROR(VLOOKUP(MID(G43,J43,K43-J43),[6]skilldef!$C:$D,2,FALSE),"-") &amp; " / " &amp; IFERROR(VLOOKUP(MID(G43,H43,I43-H43),[6]skilldef!$A:$B,2,FALSE),"-")</f>
        <v>- / -</v>
      </c>
      <c r="M43" s="132" t="str">
        <f t="shared" si="79"/>
        <v>[effect:tolerance, target:myself, turn:32, tolerance_effect:all, count:-1, animation:enemy_tolerance]</v>
      </c>
      <c r="N43" s="129" t="str">
        <f>IFERROR(LEFT(M43,FIND("],",M43)+#REF!),M43)</f>
        <v>[effect:tolerance, target:myself, turn:32, tolerance_effect:all, count:-1, animation:enemy_tolerance]</v>
      </c>
      <c r="O43" s="132">
        <f t="shared" si="18"/>
        <v>9</v>
      </c>
      <c r="P43" s="132">
        <f t="shared" si="80"/>
        <v>18</v>
      </c>
      <c r="Q43" s="132">
        <f t="shared" si="81"/>
        <v>27</v>
      </c>
      <c r="R43" s="132">
        <f t="shared" si="82"/>
        <v>33</v>
      </c>
      <c r="S43" s="132" t="str">
        <f>IFERROR(VLOOKUP(MID(N43,Q43,R43-Q43),[6]skilldef!$C:$D,2,FALSE),"-") &amp; " / " &amp; IFERROR(VLOOKUP(MID(N43,O43,P43-O43),[6]skilldef!$A:$B,2,FALSE),"-")</f>
        <v>自分自身に / 状態異常耐性</v>
      </c>
      <c r="T43" s="129" t="str">
        <f t="shared" si="83"/>
        <v>none</v>
      </c>
      <c r="U43" s="132" t="e">
        <f t="shared" si="23"/>
        <v>#VALUE!</v>
      </c>
      <c r="V43" s="132">
        <f t="shared" si="84"/>
        <v>4</v>
      </c>
      <c r="W43" s="132" t="e">
        <f t="shared" si="85"/>
        <v>#VALUE!</v>
      </c>
      <c r="X43" s="132" t="e">
        <f t="shared" si="86"/>
        <v>#VALUE!</v>
      </c>
      <c r="Y43" s="132" t="str">
        <f>IFERROR(VLOOKUP(MID(T43,W43,X43-W43),[6]skilldef!$C:$D,2,FALSE),"-") &amp; " / " &amp; IFERROR(VLOOKUP(MID(T43,U43,V43-U43),[6]skilldef!$A:$B,2,FALSE),"-")</f>
        <v>- / -</v>
      </c>
      <c r="Z43" s="128"/>
      <c r="AA43" s="133"/>
      <c r="AB43" s="128" t="s">
        <v>308</v>
      </c>
    </row>
    <row r="44" spans="1:28" ht="102" x14ac:dyDescent="0.15">
      <c r="A44" s="128">
        <v>30038043</v>
      </c>
      <c r="B44" s="134" t="s">
        <v>447</v>
      </c>
      <c r="C44" s="128">
        <v>3</v>
      </c>
      <c r="D44" s="128" t="s">
        <v>128</v>
      </c>
      <c r="E44" s="131" t="s">
        <v>475</v>
      </c>
      <c r="F44" s="131" t="s">
        <v>263</v>
      </c>
      <c r="G44" s="132"/>
      <c r="H44" s="132"/>
      <c r="I44" s="132"/>
      <c r="J44" s="132"/>
      <c r="K44" s="132"/>
      <c r="L44" s="132" t="str">
        <f>IFERROR(VLOOKUP(MID(G44,J44,K44-J44),[6]skilldef!$C:$D,2,FALSE),"-") &amp; " / " &amp; IFERROR(VLOOKUP(MID(G44,H44,I44-H44),[6]skilldef!$A:$B,2,FALSE),"-")</f>
        <v>- / -</v>
      </c>
      <c r="M44" s="132" t="str">
        <f t="shared" si="79"/>
        <v>[effect:tolerance, target:myself, turn:32, tolerance_effect:all, count:-1, animation:enemy_tolerance]</v>
      </c>
      <c r="N44" s="129" t="str">
        <f>IFERROR(LEFT(M44,FIND("],",M44)+#REF!),M44)</f>
        <v>[effect:tolerance, target:myself, turn:32, tolerance_effect:all, count:-1, animation:enemy_tolerance]</v>
      </c>
      <c r="O44" s="132">
        <f t="shared" si="18"/>
        <v>9</v>
      </c>
      <c r="P44" s="132">
        <f t="shared" si="80"/>
        <v>18</v>
      </c>
      <c r="Q44" s="132">
        <f t="shared" si="81"/>
        <v>27</v>
      </c>
      <c r="R44" s="132">
        <f t="shared" si="82"/>
        <v>33</v>
      </c>
      <c r="S44" s="132" t="str">
        <f>IFERROR(VLOOKUP(MID(N44,Q44,R44-Q44),[6]skilldef!$C:$D,2,FALSE),"-") &amp; " / " &amp; IFERROR(VLOOKUP(MID(N44,O44,P44-O44),[6]skilldef!$A:$B,2,FALSE),"-")</f>
        <v>自分自身に / 状態異常耐性</v>
      </c>
      <c r="T44" s="129" t="str">
        <f t="shared" si="83"/>
        <v>none</v>
      </c>
      <c r="U44" s="132" t="e">
        <f t="shared" si="23"/>
        <v>#VALUE!</v>
      </c>
      <c r="V44" s="132">
        <f t="shared" si="84"/>
        <v>4</v>
      </c>
      <c r="W44" s="132" t="e">
        <f t="shared" si="85"/>
        <v>#VALUE!</v>
      </c>
      <c r="X44" s="132" t="e">
        <f t="shared" si="86"/>
        <v>#VALUE!</v>
      </c>
      <c r="Y44" s="132" t="str">
        <f>IFERROR(VLOOKUP(MID(T44,W44,X44-W44),[6]skilldef!$C:$D,2,FALSE),"-") &amp; " / " &amp; IFERROR(VLOOKUP(MID(T44,U44,V44-U44),[6]skilldef!$A:$B,2,FALSE),"-")</f>
        <v>- / -</v>
      </c>
      <c r="Z44" s="128"/>
      <c r="AA44" s="133"/>
      <c r="AB44" s="128" t="s">
        <v>309</v>
      </c>
    </row>
    <row r="45" spans="1:28" ht="102" x14ac:dyDescent="0.15">
      <c r="A45" s="128">
        <v>30038044</v>
      </c>
      <c r="B45" s="134" t="s">
        <v>447</v>
      </c>
      <c r="C45" s="128">
        <v>3</v>
      </c>
      <c r="D45" s="128" t="s">
        <v>128</v>
      </c>
      <c r="E45" s="131" t="s">
        <v>422</v>
      </c>
      <c r="F45" s="131" t="s">
        <v>263</v>
      </c>
      <c r="G45" s="132"/>
      <c r="H45" s="132"/>
      <c r="I45" s="132"/>
      <c r="J45" s="132"/>
      <c r="K45" s="132"/>
      <c r="L45" s="132" t="str">
        <f>IFERROR(VLOOKUP(MID(G45,J45,K45-J45),[6]skilldef!$C:$D,2,FALSE),"-") &amp; " / " &amp; IFERROR(VLOOKUP(MID(G45,H45,I45-H45),[6]skilldef!$A:$B,2,FALSE),"-")</f>
        <v>- / -</v>
      </c>
      <c r="M45" s="132" t="str">
        <f t="shared" si="79"/>
        <v>[effect:tolerance, target:myself, turn:32, tolerance_effect:all, count:-1, animation:enemy_tolerance]</v>
      </c>
      <c r="N45" s="129" t="str">
        <f>IFERROR(LEFT(M45,FIND("],",M45)+#REF!),M45)</f>
        <v>[effect:tolerance, target:myself, turn:32, tolerance_effect:all, count:-1, animation:enemy_tolerance]</v>
      </c>
      <c r="O45" s="132">
        <f t="shared" si="18"/>
        <v>9</v>
      </c>
      <c r="P45" s="132">
        <f t="shared" si="80"/>
        <v>18</v>
      </c>
      <c r="Q45" s="132">
        <f t="shared" si="81"/>
        <v>27</v>
      </c>
      <c r="R45" s="132">
        <f t="shared" si="82"/>
        <v>33</v>
      </c>
      <c r="S45" s="132" t="str">
        <f>IFERROR(VLOOKUP(MID(N45,Q45,R45-Q45),[6]skilldef!$C:$D,2,FALSE),"-") &amp; " / " &amp; IFERROR(VLOOKUP(MID(N45,O45,P45-O45),[6]skilldef!$A:$B,2,FALSE),"-")</f>
        <v>自分自身に / 状態異常耐性</v>
      </c>
      <c r="T45" s="129" t="str">
        <f t="shared" si="83"/>
        <v>none</v>
      </c>
      <c r="U45" s="132" t="e">
        <f t="shared" si="23"/>
        <v>#VALUE!</v>
      </c>
      <c r="V45" s="132">
        <f t="shared" si="84"/>
        <v>4</v>
      </c>
      <c r="W45" s="132" t="e">
        <f t="shared" si="85"/>
        <v>#VALUE!</v>
      </c>
      <c r="X45" s="132" t="e">
        <f t="shared" si="86"/>
        <v>#VALUE!</v>
      </c>
      <c r="Y45" s="132" t="str">
        <f>IFERROR(VLOOKUP(MID(T45,W45,X45-W45),[6]skilldef!$C:$D,2,FALSE),"-") &amp; " / " &amp; IFERROR(VLOOKUP(MID(T45,U45,V45-U45),[6]skilldef!$A:$B,2,FALSE),"-")</f>
        <v>- / -</v>
      </c>
      <c r="Z45" s="128"/>
      <c r="AA45" s="133"/>
      <c r="AB45" s="128" t="s">
        <v>310</v>
      </c>
    </row>
    <row r="46" spans="1:28" ht="102" x14ac:dyDescent="0.15">
      <c r="A46" s="128">
        <v>30038045</v>
      </c>
      <c r="B46" s="134" t="s">
        <v>447</v>
      </c>
      <c r="C46" s="128">
        <v>3</v>
      </c>
      <c r="D46" s="128" t="s">
        <v>128</v>
      </c>
      <c r="E46" s="131" t="s">
        <v>323</v>
      </c>
      <c r="F46" s="131" t="s">
        <v>263</v>
      </c>
      <c r="G46" s="132"/>
      <c r="H46" s="132"/>
      <c r="I46" s="132"/>
      <c r="J46" s="132"/>
      <c r="K46" s="132"/>
      <c r="L46" s="132" t="str">
        <f>IFERROR(VLOOKUP(MID(G46,J46,K46-J46),[6]skilldef!$C:$D,2,FALSE),"-") &amp; " / " &amp; IFERROR(VLOOKUP(MID(G46,H46,I46-H46),[6]skilldef!$A:$B,2,FALSE),"-")</f>
        <v>- / -</v>
      </c>
      <c r="M46" s="132" t="str">
        <f t="shared" si="79"/>
        <v>[effect:tolerance, target:myself, turn:32, tolerance_effect:all, count:-1, animation:enemy_tolerance]</v>
      </c>
      <c r="N46" s="129" t="str">
        <f>IFERROR(LEFT(M46,FIND("],",M46)+#REF!),M46)</f>
        <v>[effect:tolerance, target:myself, turn:32, tolerance_effect:all, count:-1, animation:enemy_tolerance]</v>
      </c>
      <c r="O46" s="132">
        <f t="shared" si="18"/>
        <v>9</v>
      </c>
      <c r="P46" s="132">
        <f t="shared" si="80"/>
        <v>18</v>
      </c>
      <c r="Q46" s="132">
        <f t="shared" si="81"/>
        <v>27</v>
      </c>
      <c r="R46" s="132">
        <f t="shared" si="82"/>
        <v>33</v>
      </c>
      <c r="S46" s="132" t="str">
        <f>IFERROR(VLOOKUP(MID(N46,Q46,R46-Q46),[6]skilldef!$C:$D,2,FALSE),"-") &amp; " / " &amp; IFERROR(VLOOKUP(MID(N46,O46,P46-O46),[6]skilldef!$A:$B,2,FALSE),"-")</f>
        <v>自分自身に / 状態異常耐性</v>
      </c>
      <c r="T46" s="129" t="str">
        <f t="shared" si="83"/>
        <v>none</v>
      </c>
      <c r="U46" s="132" t="e">
        <f t="shared" si="23"/>
        <v>#VALUE!</v>
      </c>
      <c r="V46" s="132">
        <f t="shared" si="84"/>
        <v>4</v>
      </c>
      <c r="W46" s="132" t="e">
        <f t="shared" si="85"/>
        <v>#VALUE!</v>
      </c>
      <c r="X46" s="132" t="e">
        <f t="shared" si="86"/>
        <v>#VALUE!</v>
      </c>
      <c r="Y46" s="132" t="str">
        <f>IFERROR(VLOOKUP(MID(T46,W46,X46-W46),[6]skilldef!$C:$D,2,FALSE),"-") &amp; " / " &amp; IFERROR(VLOOKUP(MID(T46,U46,V46-U46),[6]skilldef!$A:$B,2,FALSE),"-")</f>
        <v>- / -</v>
      </c>
      <c r="Z46" s="128"/>
      <c r="AA46" s="133"/>
      <c r="AB46" s="128" t="s">
        <v>311</v>
      </c>
    </row>
    <row r="47" spans="1:28" ht="102" x14ac:dyDescent="0.15">
      <c r="A47" s="128">
        <v>30038046</v>
      </c>
      <c r="B47" s="134" t="s">
        <v>447</v>
      </c>
      <c r="C47" s="128">
        <v>3</v>
      </c>
      <c r="D47" s="128" t="s">
        <v>128</v>
      </c>
      <c r="E47" s="131" t="s">
        <v>476</v>
      </c>
      <c r="F47" s="131" t="s">
        <v>263</v>
      </c>
      <c r="G47" s="132"/>
      <c r="H47" s="132"/>
      <c r="I47" s="132"/>
      <c r="J47" s="132"/>
      <c r="K47" s="132"/>
      <c r="L47" s="132" t="str">
        <f>IFERROR(VLOOKUP(MID(G47,J47,K47-J47),[6]skilldef!$C:$D,2,FALSE),"-") &amp; " / " &amp; IFERROR(VLOOKUP(MID(G47,H47,I47-H47),[6]skilldef!$A:$B,2,FALSE),"-")</f>
        <v>- / -</v>
      </c>
      <c r="M47" s="132" t="str">
        <f t="shared" ref="M47" si="87">IFERROR(RIGHT(B47,LEN(B47)-FIND("],",B47)-1),"none")</f>
        <v>[effect:tolerance, target:myself, turn:32, tolerance_effect:all, count:-1, animation:enemy_tolerance]</v>
      </c>
      <c r="N47" s="129" t="str">
        <f>IFERROR(LEFT(M47,FIND("],",M47)+#REF!),M47)</f>
        <v>[effect:tolerance, target:myself, turn:32, tolerance_effect:all, count:-1, animation:enemy_tolerance]</v>
      </c>
      <c r="O47" s="132">
        <f t="shared" ref="O47" si="88">FIND("effect:",N47)+7</f>
        <v>9</v>
      </c>
      <c r="P47" s="132">
        <f t="shared" ref="P47" si="89">IFERROR(FIND(",",N47),LEN(N47))</f>
        <v>18</v>
      </c>
      <c r="Q47" s="132">
        <f t="shared" ref="Q47" si="90">FIND("target:",N47)+7</f>
        <v>27</v>
      </c>
      <c r="R47" s="132">
        <f t="shared" ref="R47" si="91">FIND(",",N47,P47+1)</f>
        <v>33</v>
      </c>
      <c r="S47" s="132" t="str">
        <f>IFERROR(VLOOKUP(MID(N47,Q47,R47-Q47),[6]skilldef!$C:$D,2,FALSE),"-") &amp; " / " &amp; IFERROR(VLOOKUP(MID(N47,O47,P47-O47),[6]skilldef!$A:$B,2,FALSE),"-")</f>
        <v>自分自身に / 状態異常耐性</v>
      </c>
      <c r="T47" s="129" t="str">
        <f t="shared" ref="T47" si="92">IFERROR(RIGHT(M47,LEN(M47)-FIND("],",M47)-1),"none")</f>
        <v>none</v>
      </c>
      <c r="U47" s="132" t="e">
        <f t="shared" ref="U47" si="93">FIND("effect:",T47)+7</f>
        <v>#VALUE!</v>
      </c>
      <c r="V47" s="132">
        <f t="shared" ref="V47" si="94">IFERROR(FIND(",",T47),LEN(T47))</f>
        <v>4</v>
      </c>
      <c r="W47" s="132" t="e">
        <f t="shared" ref="W47" si="95">FIND("target:",T47)+7</f>
        <v>#VALUE!</v>
      </c>
      <c r="X47" s="132" t="e">
        <f t="shared" ref="X47" si="96">FIND(",",T47,V47+1)</f>
        <v>#VALUE!</v>
      </c>
      <c r="Y47" s="132" t="str">
        <f>IFERROR(VLOOKUP(MID(T47,W47,X47-W47),[6]skilldef!$C:$D,2,FALSE),"-") &amp; " / " &amp; IFERROR(VLOOKUP(MID(T47,U47,V47-U47),[6]skilldef!$A:$B,2,FALSE),"-")</f>
        <v>- / -</v>
      </c>
      <c r="Z47" s="128"/>
      <c r="AA47" s="133"/>
      <c r="AB47" s="128" t="s">
        <v>313</v>
      </c>
    </row>
    <row r="48" spans="1:28" ht="102" x14ac:dyDescent="0.15">
      <c r="A48" s="128">
        <v>30038047</v>
      </c>
      <c r="B48" s="134" t="s">
        <v>447</v>
      </c>
      <c r="C48" s="128">
        <v>3</v>
      </c>
      <c r="D48" s="128" t="s">
        <v>128</v>
      </c>
      <c r="E48" s="131" t="s">
        <v>474</v>
      </c>
      <c r="F48" s="131" t="s">
        <v>263</v>
      </c>
      <c r="G48" s="132" t="str">
        <f t="shared" si="12"/>
        <v>[effect:fix_speed, target:enemy_all, turn:1]</v>
      </c>
      <c r="H48" s="132">
        <f t="shared" si="13"/>
        <v>9</v>
      </c>
      <c r="I48" s="132">
        <f t="shared" si="14"/>
        <v>18</v>
      </c>
      <c r="J48" s="132">
        <f t="shared" si="15"/>
        <v>27</v>
      </c>
      <c r="K48" s="132">
        <f t="shared" si="16"/>
        <v>36</v>
      </c>
      <c r="L48" s="132" t="str">
        <f>IFERROR(VLOOKUP(MID(G48,J48,K48-J48),[6]skilldef!$C:$D,2,FALSE),"-") &amp; " / " &amp; IFERROR(VLOOKUP(MID(G48,H48,I48-H48),[6]skilldef!$A:$B,2,FALSE),"-")</f>
        <v>敵全体に / 行動値設定</v>
      </c>
      <c r="M48" s="132" t="str">
        <f t="shared" si="17"/>
        <v>[effect:tolerance, target:myself, turn:32, tolerance_effect:all, count:-1, animation:enemy_tolerance]</v>
      </c>
      <c r="N48" s="129" t="str">
        <f>IFERROR(LEFT(M48,FIND("],",M48)+S61),M48)</f>
        <v>[effect:tolerance, target:myself, turn:32, tolerance_effect:all, count:-1, animation:enemy_tolerance]</v>
      </c>
      <c r="O48" s="132">
        <f t="shared" si="18"/>
        <v>9</v>
      </c>
      <c r="P48" s="132">
        <f t="shared" si="19"/>
        <v>18</v>
      </c>
      <c r="Q48" s="132">
        <f t="shared" si="20"/>
        <v>27</v>
      </c>
      <c r="R48" s="132">
        <f t="shared" si="21"/>
        <v>33</v>
      </c>
      <c r="S48" s="132" t="str">
        <f>IFERROR(VLOOKUP(MID(N48,Q48,R48-Q48),[6]skilldef!$C:$D,2,FALSE),"-") &amp; " / " &amp; IFERROR(VLOOKUP(MID(N48,O48,P48-O48),[6]skilldef!$A:$B,2,FALSE),"-")</f>
        <v>自分自身に / 状態異常耐性</v>
      </c>
      <c r="T48" s="129" t="str">
        <f t="shared" si="22"/>
        <v>none</v>
      </c>
      <c r="U48" s="132" t="e">
        <f t="shared" si="23"/>
        <v>#VALUE!</v>
      </c>
      <c r="V48" s="132">
        <f t="shared" si="24"/>
        <v>4</v>
      </c>
      <c r="W48" s="132" t="e">
        <f t="shared" si="25"/>
        <v>#VALUE!</v>
      </c>
      <c r="X48" s="132" t="e">
        <f t="shared" si="26"/>
        <v>#VALUE!</v>
      </c>
      <c r="Y48" s="132" t="str">
        <f>IFERROR(VLOOKUP(MID(T48,W48,X48-W48),[6]skilldef!$C:$D,2,FALSE),"-") &amp; " / " &amp; IFERROR(VLOOKUP(MID(T48,U48,V48-U48),[6]skilldef!$A:$B,2,FALSE),"-")</f>
        <v>- / -</v>
      </c>
      <c r="Z48" s="128"/>
      <c r="AA48" s="133"/>
      <c r="AB48" s="128" t="s">
        <v>348</v>
      </c>
    </row>
    <row r="49" spans="1:28" ht="34" x14ac:dyDescent="0.15">
      <c r="A49" s="128">
        <v>30038048</v>
      </c>
      <c r="B49" s="134" t="s">
        <v>260</v>
      </c>
      <c r="C49" s="128">
        <v>3</v>
      </c>
      <c r="D49" s="128" t="s">
        <v>128</v>
      </c>
      <c r="E49" s="131" t="s">
        <v>264</v>
      </c>
      <c r="F49" s="131" t="s">
        <v>265</v>
      </c>
      <c r="G49" s="132"/>
      <c r="H49" s="132"/>
      <c r="I49" s="132"/>
      <c r="J49" s="132"/>
      <c r="K49" s="132"/>
      <c r="L49" s="132" t="str">
        <f>IFERROR(VLOOKUP(MID(G49,J49,K49-J49),[6]skilldef!$C:$D,2,FALSE),"-") &amp; " / " &amp; IFERROR(VLOOKUP(MID(G49,H49,I49-H49),[6]skilldef!$A:$B,2,FALSE),"-")</f>
        <v>- / -</v>
      </c>
      <c r="M49" s="132" t="str">
        <f t="shared" ref="M49" si="97">IFERROR(RIGHT(B49,LEN(B49)-FIND("],",B49)-1),"none")</f>
        <v>none</v>
      </c>
      <c r="N49" s="129" t="str">
        <f>IFERROR(LEFT(M49,FIND("],",M49)+S62),M49)</f>
        <v>none</v>
      </c>
      <c r="O49" s="132" t="e">
        <f t="shared" ref="O49" si="98">FIND("effect:",N49)+7</f>
        <v>#VALUE!</v>
      </c>
      <c r="P49" s="132">
        <f t="shared" ref="P49" si="99">IFERROR(FIND(",",N49),LEN(N49))</f>
        <v>4</v>
      </c>
      <c r="Q49" s="132" t="e">
        <f t="shared" ref="Q49" si="100">FIND("target:",N49)+7</f>
        <v>#VALUE!</v>
      </c>
      <c r="R49" s="132" t="e">
        <f t="shared" ref="R49" si="101">FIND(",",N49,P49+1)</f>
        <v>#VALUE!</v>
      </c>
      <c r="S49" s="132" t="str">
        <f>IFERROR(VLOOKUP(MID(N49,Q49,R49-Q49),[6]skilldef!$C:$D,2,FALSE),"-") &amp; " / " &amp; IFERROR(VLOOKUP(MID(N49,O49,P49-O49),[6]skilldef!$A:$B,2,FALSE),"-")</f>
        <v>- / -</v>
      </c>
      <c r="T49" s="129" t="str">
        <f t="shared" ref="T49" si="102">IFERROR(RIGHT(M49,LEN(M49)-FIND("],",M49)-1),"none")</f>
        <v>none</v>
      </c>
      <c r="U49" s="132" t="e">
        <f t="shared" ref="U49" si="103">FIND("effect:",T49)+7</f>
        <v>#VALUE!</v>
      </c>
      <c r="V49" s="132">
        <f t="shared" ref="V49" si="104">IFERROR(FIND(",",T49),LEN(T49))</f>
        <v>4</v>
      </c>
      <c r="W49" s="132" t="e">
        <f t="shared" ref="W49" si="105">FIND("target:",T49)+7</f>
        <v>#VALUE!</v>
      </c>
      <c r="X49" s="132" t="e">
        <f t="shared" ref="X49" si="106">FIND(",",T49,V49+1)</f>
        <v>#VALUE!</v>
      </c>
      <c r="Y49" s="132" t="str">
        <f>IFERROR(VLOOKUP(MID(T49,W49,X49-W49),[6]skilldef!$C:$D,2,FALSE),"-") &amp; " / " &amp; IFERROR(VLOOKUP(MID(T49,U49,V49-U49),[6]skilldef!$A:$B,2,FALSE),"-")</f>
        <v>- / -</v>
      </c>
      <c r="Z49" s="128"/>
      <c r="AA49" s="133"/>
      <c r="AB49" s="128" t="s">
        <v>349</v>
      </c>
    </row>
    <row r="50" spans="1:28" ht="21" customHeight="1" x14ac:dyDescent="0.15">
      <c r="A50" s="128">
        <v>30038049</v>
      </c>
      <c r="B50" s="134" t="s">
        <v>267</v>
      </c>
      <c r="C50" s="128">
        <v>3</v>
      </c>
      <c r="D50" s="128" t="s">
        <v>128</v>
      </c>
      <c r="E50" s="131" t="s">
        <v>271</v>
      </c>
      <c r="F50" s="131" t="s">
        <v>266</v>
      </c>
      <c r="G50" s="132" t="str">
        <f t="shared" si="12"/>
        <v xml:space="preserve">[effect:heal, target:enemy_one, val:1, animation:enemy_heal]    </v>
      </c>
      <c r="H50" s="132">
        <f t="shared" si="13"/>
        <v>9</v>
      </c>
      <c r="I50" s="132">
        <f t="shared" si="14"/>
        <v>13</v>
      </c>
      <c r="J50" s="132">
        <f t="shared" si="15"/>
        <v>22</v>
      </c>
      <c r="K50" s="132">
        <f t="shared" si="16"/>
        <v>31</v>
      </c>
      <c r="L50" s="132" t="str">
        <f>IFERROR(VLOOKUP(MID(G50,J50,K50-J50),[6]skilldef!$C:$D,2,FALSE),"-") &amp; " / " &amp; IFERROR(VLOOKUP(MID(G50,H50,I50-H50),[6]skilldef!$A:$B,2,FALSE),"-")</f>
        <v>敵単体に / 回復</v>
      </c>
      <c r="M50" s="132" t="str">
        <f t="shared" si="17"/>
        <v>none</v>
      </c>
      <c r="N50" s="129" t="str">
        <f>IFERROR(LEFT(M50,FIND("],",M50)+S62),M50)</f>
        <v>none</v>
      </c>
      <c r="O50" s="132" t="e">
        <f t="shared" si="18"/>
        <v>#VALUE!</v>
      </c>
      <c r="P50" s="132">
        <f t="shared" si="19"/>
        <v>4</v>
      </c>
      <c r="Q50" s="132" t="e">
        <f t="shared" si="20"/>
        <v>#VALUE!</v>
      </c>
      <c r="R50" s="132" t="e">
        <f t="shared" si="21"/>
        <v>#VALUE!</v>
      </c>
      <c r="S50" s="132" t="str">
        <f>IFERROR(VLOOKUP(MID(N50,Q50,R50-Q50),[6]skilldef!$C:$D,2,FALSE),"-") &amp; " / " &amp; IFERROR(VLOOKUP(MID(N50,O50,P50-O50),[6]skilldef!$A:$B,2,FALSE),"-")</f>
        <v>- / -</v>
      </c>
      <c r="T50" s="129" t="str">
        <f t="shared" si="22"/>
        <v>none</v>
      </c>
      <c r="U50" s="132" t="e">
        <f t="shared" si="23"/>
        <v>#VALUE!</v>
      </c>
      <c r="V50" s="132">
        <f t="shared" si="24"/>
        <v>4</v>
      </c>
      <c r="W50" s="132" t="e">
        <f t="shared" si="25"/>
        <v>#VALUE!</v>
      </c>
      <c r="X50" s="132" t="e">
        <f t="shared" si="26"/>
        <v>#VALUE!</v>
      </c>
      <c r="Y50" s="132" t="str">
        <f>IFERROR(VLOOKUP(MID(T50,W50,X50-W50),[6]skilldef!$C:$D,2,FALSE),"-") &amp; " / " &amp; IFERROR(VLOOKUP(MID(T50,U50,V50-U50),[6]skilldef!$A:$B,2,FALSE),"-")</f>
        <v>- / -</v>
      </c>
      <c r="Z50" s="128"/>
      <c r="AA50" s="133"/>
      <c r="AB50" s="128" t="s">
        <v>350</v>
      </c>
    </row>
    <row r="51" spans="1:28" ht="21" customHeight="1" x14ac:dyDescent="0.15">
      <c r="A51" s="128">
        <v>30038050</v>
      </c>
      <c r="B51" s="134" t="s">
        <v>260</v>
      </c>
      <c r="C51" s="128">
        <v>3</v>
      </c>
      <c r="D51" s="128" t="s">
        <v>128</v>
      </c>
      <c r="E51" s="131" t="s">
        <v>326</v>
      </c>
      <c r="F51" s="131" t="s">
        <v>466</v>
      </c>
      <c r="G51" s="132" t="str">
        <f t="shared" si="12"/>
        <v>[effect:enemy_message, val1:2, val2:3]</v>
      </c>
      <c r="H51" s="132">
        <f t="shared" si="13"/>
        <v>9</v>
      </c>
      <c r="I51" s="132">
        <f t="shared" si="14"/>
        <v>22</v>
      </c>
      <c r="J51" s="132" t="e">
        <f t="shared" si="15"/>
        <v>#VALUE!</v>
      </c>
      <c r="K51" s="132">
        <f t="shared" si="16"/>
        <v>30</v>
      </c>
      <c r="L51" s="132" t="str">
        <f>IFERROR(VLOOKUP(MID(G51,J51,K51-J51),[6]skilldef!$C:$D,2,FALSE),"-") &amp; " / " &amp; IFERROR(VLOOKUP(MID(G51,H51,I51-H51),[6]skilldef!$A:$B,2,FALSE),"-")</f>
        <v>- / -</v>
      </c>
      <c r="M51" s="132" t="str">
        <f t="shared" si="17"/>
        <v>none</v>
      </c>
      <c r="N51" s="129" t="str">
        <f>IFERROR(LEFT(M51,FIND("],",M51)+S63),M51)</f>
        <v>none</v>
      </c>
      <c r="O51" s="132" t="e">
        <f t="shared" si="18"/>
        <v>#VALUE!</v>
      </c>
      <c r="P51" s="132">
        <f t="shared" si="19"/>
        <v>4</v>
      </c>
      <c r="Q51" s="132" t="e">
        <f t="shared" si="20"/>
        <v>#VALUE!</v>
      </c>
      <c r="R51" s="132" t="e">
        <f t="shared" si="21"/>
        <v>#VALUE!</v>
      </c>
      <c r="S51" s="132" t="str">
        <f>IFERROR(VLOOKUP(MID(N51,Q51,R51-Q51),[6]skilldef!$C:$D,2,FALSE),"-") &amp; " / " &amp; IFERROR(VLOOKUP(MID(N51,O51,P51-O51),[6]skilldef!$A:$B,2,FALSE),"-")</f>
        <v>- / -</v>
      </c>
      <c r="T51" s="129" t="str">
        <f t="shared" si="22"/>
        <v>none</v>
      </c>
      <c r="U51" s="132" t="e">
        <f t="shared" si="23"/>
        <v>#VALUE!</v>
      </c>
      <c r="V51" s="132">
        <f t="shared" si="24"/>
        <v>4</v>
      </c>
      <c r="W51" s="132" t="e">
        <f t="shared" si="25"/>
        <v>#VALUE!</v>
      </c>
      <c r="X51" s="132" t="e">
        <f t="shared" si="26"/>
        <v>#VALUE!</v>
      </c>
      <c r="Y51" s="132" t="str">
        <f>IFERROR(VLOOKUP(MID(T51,W51,X51-W51),[6]skilldef!$C:$D,2,FALSE),"-") &amp; " / " &amp; IFERROR(VLOOKUP(MID(T51,U51,V51-U51),[6]skilldef!$A:$B,2,FALSE),"-")</f>
        <v>- / -</v>
      </c>
      <c r="Z51" s="128"/>
      <c r="AA51" s="133"/>
      <c r="AB51" s="128" t="s">
        <v>351</v>
      </c>
    </row>
    <row r="52" spans="1:28" ht="21" customHeight="1" x14ac:dyDescent="0.15">
      <c r="A52" s="128">
        <v>30038051</v>
      </c>
      <c r="B52" s="134" t="s">
        <v>268</v>
      </c>
      <c r="C52" s="128">
        <v>3</v>
      </c>
      <c r="D52" s="128" t="s">
        <v>128</v>
      </c>
      <c r="E52" s="131" t="s">
        <v>327</v>
      </c>
      <c r="F52" s="131" t="s">
        <v>467</v>
      </c>
      <c r="G52" s="132" t="str">
        <f t="shared" si="12"/>
        <v>[effect:enemy_message, val1:2, val2:3]</v>
      </c>
      <c r="H52" s="132">
        <f t="shared" si="13"/>
        <v>9</v>
      </c>
      <c r="I52" s="132">
        <f t="shared" si="14"/>
        <v>22</v>
      </c>
      <c r="J52" s="132" t="e">
        <f t="shared" si="15"/>
        <v>#VALUE!</v>
      </c>
      <c r="K52" s="132">
        <f t="shared" si="16"/>
        <v>30</v>
      </c>
      <c r="L52" s="132" t="str">
        <f>IFERROR(VLOOKUP(MID(G52,J52,K52-J52),[6]skilldef!$C:$D,2,FALSE),"-") &amp; " / " &amp; IFERROR(VLOOKUP(MID(G52,H52,I52-H52),[6]skilldef!$A:$B,2,FALSE),"-")</f>
        <v>- / -</v>
      </c>
      <c r="M52" s="132" t="str">
        <f t="shared" si="17"/>
        <v>none</v>
      </c>
      <c r="N52" s="129" t="str">
        <f>IFERROR(LEFT(M52,FIND("],",M52)+S64),M52)</f>
        <v>none</v>
      </c>
      <c r="O52" s="132" t="e">
        <f t="shared" si="18"/>
        <v>#VALUE!</v>
      </c>
      <c r="P52" s="132">
        <f t="shared" si="19"/>
        <v>4</v>
      </c>
      <c r="Q52" s="132" t="e">
        <f t="shared" si="20"/>
        <v>#VALUE!</v>
      </c>
      <c r="R52" s="132" t="e">
        <f t="shared" si="21"/>
        <v>#VALUE!</v>
      </c>
      <c r="S52" s="132" t="str">
        <f>IFERROR(VLOOKUP(MID(N52,Q52,R52-Q52),[6]skilldef!$C:$D,2,FALSE),"-") &amp; " / " &amp; IFERROR(VLOOKUP(MID(N52,O52,P52-O52),[6]skilldef!$A:$B,2,FALSE),"-")</f>
        <v>- / -</v>
      </c>
      <c r="T52" s="129" t="str">
        <f t="shared" si="22"/>
        <v>none</v>
      </c>
      <c r="U52" s="132" t="e">
        <f t="shared" si="23"/>
        <v>#VALUE!</v>
      </c>
      <c r="V52" s="132">
        <f t="shared" si="24"/>
        <v>4</v>
      </c>
      <c r="W52" s="132" t="e">
        <f t="shared" si="25"/>
        <v>#VALUE!</v>
      </c>
      <c r="X52" s="132" t="e">
        <f t="shared" si="26"/>
        <v>#VALUE!</v>
      </c>
      <c r="Y52" s="132" t="str">
        <f>IFERROR(VLOOKUP(MID(T52,W52,X52-W52),[6]skilldef!$C:$D,2,FALSE),"-") &amp; " / " &amp; IFERROR(VLOOKUP(MID(T52,U52,V52-U52),[6]skilldef!$A:$B,2,FALSE),"-")</f>
        <v>- / -</v>
      </c>
      <c r="Z52" s="128"/>
      <c r="AA52" s="133"/>
      <c r="AB52" s="128" t="s">
        <v>352</v>
      </c>
    </row>
    <row r="53" spans="1:28" ht="34" x14ac:dyDescent="0.15">
      <c r="A53" s="128">
        <v>30038052</v>
      </c>
      <c r="B53" s="134" t="s">
        <v>388</v>
      </c>
      <c r="C53" s="128">
        <v>3</v>
      </c>
      <c r="D53" s="128" t="s">
        <v>128</v>
      </c>
      <c r="E53" s="131" t="s">
        <v>270</v>
      </c>
      <c r="F53" s="131" t="s">
        <v>468</v>
      </c>
      <c r="G53" s="132" t="str">
        <f t="shared" si="12"/>
        <v xml:space="preserve">[effect:heal, target:enemy_one, val:1, animation:enemy_heal]    </v>
      </c>
      <c r="H53" s="132">
        <f t="shared" si="13"/>
        <v>9</v>
      </c>
      <c r="I53" s="132">
        <f t="shared" si="14"/>
        <v>13</v>
      </c>
      <c r="J53" s="132">
        <f t="shared" si="15"/>
        <v>22</v>
      </c>
      <c r="K53" s="132">
        <f t="shared" si="16"/>
        <v>31</v>
      </c>
      <c r="L53" s="132" t="str">
        <f>IFERROR(VLOOKUP(MID(G53,J53,K53-J53),[6]skilldef!$C:$D,2,FALSE),"-") &amp; " / " &amp; IFERROR(VLOOKUP(MID(G53,H53,I53-H53),[6]skilldef!$A:$B,2,FALSE),"-")</f>
        <v>敵単体に / 回復</v>
      </c>
      <c r="M53" s="132" t="str">
        <f t="shared" si="17"/>
        <v>none</v>
      </c>
      <c r="N53" s="129" t="str">
        <f>IFERROR(LEFT(M53,FIND("],",M53)+S65),M53)</f>
        <v>none</v>
      </c>
      <c r="O53" s="132" t="e">
        <f t="shared" si="18"/>
        <v>#VALUE!</v>
      </c>
      <c r="P53" s="132">
        <f t="shared" si="19"/>
        <v>4</v>
      </c>
      <c r="Q53" s="132" t="e">
        <f t="shared" si="20"/>
        <v>#VALUE!</v>
      </c>
      <c r="R53" s="132" t="e">
        <f t="shared" si="21"/>
        <v>#VALUE!</v>
      </c>
      <c r="S53" s="132" t="str">
        <f>IFERROR(VLOOKUP(MID(N53,Q53,R53-Q53),[6]skilldef!$C:$D,2,FALSE),"-") &amp; " / " &amp; IFERROR(VLOOKUP(MID(N53,O53,P53-O53),[6]skilldef!$A:$B,2,FALSE),"-")</f>
        <v>- / -</v>
      </c>
      <c r="T53" s="129" t="str">
        <f t="shared" si="22"/>
        <v>none</v>
      </c>
      <c r="U53" s="132" t="e">
        <f t="shared" si="23"/>
        <v>#VALUE!</v>
      </c>
      <c r="V53" s="132">
        <f t="shared" si="24"/>
        <v>4</v>
      </c>
      <c r="W53" s="132" t="e">
        <f t="shared" si="25"/>
        <v>#VALUE!</v>
      </c>
      <c r="X53" s="132" t="e">
        <f t="shared" si="26"/>
        <v>#VALUE!</v>
      </c>
      <c r="Y53" s="132" t="str">
        <f>IFERROR(VLOOKUP(MID(T53,W53,X53-W53),[6]skilldef!$C:$D,2,FALSE),"-") &amp; " / " &amp; IFERROR(VLOOKUP(MID(T53,U53,V53-U53),[6]skilldef!$A:$B,2,FALSE),"-")</f>
        <v>- / -</v>
      </c>
      <c r="Z53" s="128"/>
      <c r="AA53" s="133"/>
      <c r="AB53" s="128" t="s">
        <v>353</v>
      </c>
    </row>
    <row r="54" spans="1:28" ht="21" customHeight="1" x14ac:dyDescent="0.15">
      <c r="A54" s="128">
        <v>30038053</v>
      </c>
      <c r="B54" s="134" t="s">
        <v>260</v>
      </c>
      <c r="C54" s="128">
        <v>3</v>
      </c>
      <c r="D54" s="128" t="s">
        <v>128</v>
      </c>
      <c r="E54" s="131" t="s">
        <v>328</v>
      </c>
      <c r="F54" s="131" t="s">
        <v>469</v>
      </c>
      <c r="G54" s="132" t="str">
        <f t="shared" si="12"/>
        <v>[effect:enemy_message, val1:2, val2:3]</v>
      </c>
      <c r="H54" s="132">
        <f t="shared" si="13"/>
        <v>9</v>
      </c>
      <c r="I54" s="132">
        <f t="shared" si="14"/>
        <v>22</v>
      </c>
      <c r="J54" s="132" t="e">
        <f t="shared" si="15"/>
        <v>#VALUE!</v>
      </c>
      <c r="K54" s="132">
        <f t="shared" si="16"/>
        <v>30</v>
      </c>
      <c r="L54" s="132" t="str">
        <f>IFERROR(VLOOKUP(MID(G54,J54,K54-J54),[6]skilldef!$C:$D,2,FALSE),"-") &amp; " / " &amp; IFERROR(VLOOKUP(MID(G54,H54,I54-H54),[6]skilldef!$A:$B,2,FALSE),"-")</f>
        <v>- / -</v>
      </c>
      <c r="M54" s="132" t="str">
        <f t="shared" si="17"/>
        <v>none</v>
      </c>
      <c r="N54" s="129" t="str">
        <f>IFERROR(LEFT(M54,FIND("],",M54)+#REF!),M54)</f>
        <v>none</v>
      </c>
      <c r="O54" s="132" t="e">
        <f t="shared" si="18"/>
        <v>#VALUE!</v>
      </c>
      <c r="P54" s="132">
        <f t="shared" si="19"/>
        <v>4</v>
      </c>
      <c r="Q54" s="132" t="e">
        <f t="shared" si="20"/>
        <v>#VALUE!</v>
      </c>
      <c r="R54" s="132" t="e">
        <f t="shared" si="21"/>
        <v>#VALUE!</v>
      </c>
      <c r="S54" s="132" t="str">
        <f>IFERROR(VLOOKUP(MID(N54,Q54,R54-Q54),[6]skilldef!$C:$D,2,FALSE),"-") &amp; " / " &amp; IFERROR(VLOOKUP(MID(N54,O54,P54-O54),[6]skilldef!$A:$B,2,FALSE),"-")</f>
        <v>- / -</v>
      </c>
      <c r="T54" s="129" t="str">
        <f t="shared" si="22"/>
        <v>none</v>
      </c>
      <c r="U54" s="132" t="e">
        <f t="shared" si="23"/>
        <v>#VALUE!</v>
      </c>
      <c r="V54" s="132">
        <f t="shared" si="24"/>
        <v>4</v>
      </c>
      <c r="W54" s="132" t="e">
        <f t="shared" si="25"/>
        <v>#VALUE!</v>
      </c>
      <c r="X54" s="132" t="e">
        <f t="shared" si="26"/>
        <v>#VALUE!</v>
      </c>
      <c r="Y54" s="132" t="str">
        <f>IFERROR(VLOOKUP(MID(T54,W54,X54-W54),[6]skilldef!$C:$D,2,FALSE),"-") &amp; " / " &amp; IFERROR(VLOOKUP(MID(T54,U54,V54-U54),[6]skilldef!$A:$B,2,FALSE),"-")</f>
        <v>- / -</v>
      </c>
      <c r="Z54" s="128"/>
      <c r="AA54" s="133"/>
      <c r="AB54" s="128" t="s">
        <v>354</v>
      </c>
    </row>
    <row r="55" spans="1:28" ht="21" customHeight="1" x14ac:dyDescent="0.15">
      <c r="A55" s="128">
        <v>30038054</v>
      </c>
      <c r="B55" s="134" t="s">
        <v>260</v>
      </c>
      <c r="C55" s="128">
        <v>3</v>
      </c>
      <c r="D55" s="128" t="s">
        <v>128</v>
      </c>
      <c r="E55" s="131" t="s">
        <v>390</v>
      </c>
      <c r="F55" s="131" t="s">
        <v>470</v>
      </c>
      <c r="G55" s="132" t="str">
        <f t="shared" si="12"/>
        <v>[effect:enemy_message, val1:2, val2:3]</v>
      </c>
      <c r="H55" s="132">
        <f t="shared" si="13"/>
        <v>9</v>
      </c>
      <c r="I55" s="132">
        <f t="shared" si="14"/>
        <v>22</v>
      </c>
      <c r="J55" s="132" t="e">
        <f t="shared" si="15"/>
        <v>#VALUE!</v>
      </c>
      <c r="K55" s="132">
        <f t="shared" si="16"/>
        <v>30</v>
      </c>
      <c r="L55" s="132" t="str">
        <f>IFERROR(VLOOKUP(MID(G55,J55,K55-J55),[6]skilldef!$C:$D,2,FALSE),"-") &amp; " / " &amp; IFERROR(VLOOKUP(MID(G55,H55,I55-H55),[6]skilldef!$A:$B,2,FALSE),"-")</f>
        <v>- / -</v>
      </c>
      <c r="M55" s="132" t="str">
        <f t="shared" si="17"/>
        <v>none</v>
      </c>
      <c r="N55" s="129" t="str">
        <f>IFERROR(LEFT(M55,FIND("],",M55)+#REF!),M55)</f>
        <v>none</v>
      </c>
      <c r="O55" s="132" t="e">
        <f t="shared" si="18"/>
        <v>#VALUE!</v>
      </c>
      <c r="P55" s="132">
        <f t="shared" si="19"/>
        <v>4</v>
      </c>
      <c r="Q55" s="132" t="e">
        <f t="shared" si="20"/>
        <v>#VALUE!</v>
      </c>
      <c r="R55" s="132" t="e">
        <f t="shared" si="21"/>
        <v>#VALUE!</v>
      </c>
      <c r="S55" s="132" t="str">
        <f>IFERROR(VLOOKUP(MID(N55,Q55,R55-Q55),[6]skilldef!$C:$D,2,FALSE),"-") &amp; " / " &amp; IFERROR(VLOOKUP(MID(N55,O55,P55-O55),[6]skilldef!$A:$B,2,FALSE),"-")</f>
        <v>- / -</v>
      </c>
      <c r="T55" s="129" t="str">
        <f t="shared" si="22"/>
        <v>none</v>
      </c>
      <c r="U55" s="132" t="e">
        <f t="shared" si="23"/>
        <v>#VALUE!</v>
      </c>
      <c r="V55" s="132">
        <f t="shared" si="24"/>
        <v>4</v>
      </c>
      <c r="W55" s="132" t="e">
        <f t="shared" si="25"/>
        <v>#VALUE!</v>
      </c>
      <c r="X55" s="132" t="e">
        <f t="shared" si="26"/>
        <v>#VALUE!</v>
      </c>
      <c r="Y55" s="132" t="str">
        <f>IFERROR(VLOOKUP(MID(T55,W55,X55-W55),[6]skilldef!$C:$D,2,FALSE),"-") &amp; " / " &amp; IFERROR(VLOOKUP(MID(T55,U55,V55-U55),[6]skilldef!$A:$B,2,FALSE),"-")</f>
        <v>- / -</v>
      </c>
      <c r="Z55" s="128"/>
      <c r="AA55" s="133"/>
      <c r="AB55" s="128" t="s">
        <v>355</v>
      </c>
    </row>
    <row r="56" spans="1:28" ht="21" customHeight="1" x14ac:dyDescent="0.15">
      <c r="A56" s="128">
        <v>30038055</v>
      </c>
      <c r="B56" s="134" t="s">
        <v>260</v>
      </c>
      <c r="C56" s="128">
        <v>3</v>
      </c>
      <c r="D56" s="128" t="s">
        <v>128</v>
      </c>
      <c r="E56" s="131" t="s">
        <v>391</v>
      </c>
      <c r="F56" s="131" t="s">
        <v>471</v>
      </c>
      <c r="G56" s="132" t="str">
        <f t="shared" si="12"/>
        <v>[effect:enemy_message, val1:2, val2:3]</v>
      </c>
      <c r="H56" s="132">
        <f t="shared" si="13"/>
        <v>9</v>
      </c>
      <c r="I56" s="132">
        <f t="shared" si="14"/>
        <v>22</v>
      </c>
      <c r="J56" s="132" t="e">
        <f t="shared" si="15"/>
        <v>#VALUE!</v>
      </c>
      <c r="K56" s="132">
        <f t="shared" si="16"/>
        <v>30</v>
      </c>
      <c r="L56" s="132" t="str">
        <f>IFERROR(VLOOKUP(MID(G56,J56,K56-J56),[6]skilldef!$C:$D,2,FALSE),"-") &amp; " / " &amp; IFERROR(VLOOKUP(MID(G56,H56,I56-H56),[6]skilldef!$A:$B,2,FALSE),"-")</f>
        <v>- / -</v>
      </c>
      <c r="M56" s="132" t="str">
        <f t="shared" si="17"/>
        <v>none</v>
      </c>
      <c r="N56" s="129" t="str">
        <f>IFERROR(LEFT(M56,FIND("],",M56)+#REF!),M56)</f>
        <v>none</v>
      </c>
      <c r="O56" s="132" t="e">
        <f t="shared" si="18"/>
        <v>#VALUE!</v>
      </c>
      <c r="P56" s="132">
        <f t="shared" si="19"/>
        <v>4</v>
      </c>
      <c r="Q56" s="132" t="e">
        <f t="shared" si="20"/>
        <v>#VALUE!</v>
      </c>
      <c r="R56" s="132" t="e">
        <f t="shared" si="21"/>
        <v>#VALUE!</v>
      </c>
      <c r="S56" s="132" t="str">
        <f>IFERROR(VLOOKUP(MID(N56,Q56,R56-Q56),[6]skilldef!$C:$D,2,FALSE),"-") &amp; " / " &amp; IFERROR(VLOOKUP(MID(N56,O56,P56-O56),[6]skilldef!$A:$B,2,FALSE),"-")</f>
        <v>- / -</v>
      </c>
      <c r="T56" s="129" t="str">
        <f t="shared" si="22"/>
        <v>none</v>
      </c>
      <c r="U56" s="132" t="e">
        <f t="shared" si="23"/>
        <v>#VALUE!</v>
      </c>
      <c r="V56" s="132">
        <f t="shared" si="24"/>
        <v>4</v>
      </c>
      <c r="W56" s="132" t="e">
        <f t="shared" si="25"/>
        <v>#VALUE!</v>
      </c>
      <c r="X56" s="132" t="e">
        <f t="shared" si="26"/>
        <v>#VALUE!</v>
      </c>
      <c r="Y56" s="132" t="str">
        <f>IFERROR(VLOOKUP(MID(T56,W56,X56-W56),[6]skilldef!$C:$D,2,FALSE),"-") &amp; " / " &amp; IFERROR(VLOOKUP(MID(T56,U56,V56-U56),[6]skilldef!$A:$B,2,FALSE),"-")</f>
        <v>- / -</v>
      </c>
      <c r="Z56" s="128"/>
      <c r="AA56" s="133"/>
      <c r="AB56" s="128" t="s">
        <v>356</v>
      </c>
    </row>
    <row r="57" spans="1:28" ht="34" x14ac:dyDescent="0.15">
      <c r="A57" s="128">
        <v>30038056</v>
      </c>
      <c r="B57" s="134" t="s">
        <v>389</v>
      </c>
      <c r="C57" s="128">
        <v>3</v>
      </c>
      <c r="D57" s="128" t="s">
        <v>128</v>
      </c>
      <c r="E57" s="131" t="s">
        <v>271</v>
      </c>
      <c r="F57" s="131" t="s">
        <v>472</v>
      </c>
      <c r="G57" s="132" t="str">
        <f t="shared" si="12"/>
        <v xml:space="preserve">[effect:heal, target:enemy_one, val:1, animation:enemy_heal]    </v>
      </c>
      <c r="H57" s="132">
        <f t="shared" si="13"/>
        <v>9</v>
      </c>
      <c r="I57" s="132">
        <f t="shared" si="14"/>
        <v>13</v>
      </c>
      <c r="J57" s="132">
        <f t="shared" si="15"/>
        <v>22</v>
      </c>
      <c r="K57" s="132">
        <f t="shared" si="16"/>
        <v>31</v>
      </c>
      <c r="L57" s="132" t="str">
        <f>IFERROR(VLOOKUP(MID(G57,J57,K57-J57),[6]skilldef!$C:$D,2,FALSE),"-") &amp; " / " &amp; IFERROR(VLOOKUP(MID(G57,H57,I57-H57),[6]skilldef!$A:$B,2,FALSE),"-")</f>
        <v>敵単体に / 回復</v>
      </c>
      <c r="M57" s="132" t="str">
        <f t="shared" si="17"/>
        <v>none</v>
      </c>
      <c r="N57" s="129" t="str">
        <f>IFERROR(LEFT(M57,FIND("],",M57)+#REF!),M57)</f>
        <v>none</v>
      </c>
      <c r="O57" s="132" t="e">
        <f t="shared" si="18"/>
        <v>#VALUE!</v>
      </c>
      <c r="P57" s="132">
        <f t="shared" si="19"/>
        <v>4</v>
      </c>
      <c r="Q57" s="132" t="e">
        <f t="shared" si="20"/>
        <v>#VALUE!</v>
      </c>
      <c r="R57" s="132" t="e">
        <f t="shared" si="21"/>
        <v>#VALUE!</v>
      </c>
      <c r="S57" s="132" t="str">
        <f>IFERROR(VLOOKUP(MID(N57,Q57,R57-Q57),[6]skilldef!$C:$D,2,FALSE),"-") &amp; " / " &amp; IFERROR(VLOOKUP(MID(N57,O57,P57-O57),[6]skilldef!$A:$B,2,FALSE),"-")</f>
        <v>- / -</v>
      </c>
      <c r="T57" s="129" t="str">
        <f t="shared" si="22"/>
        <v>none</v>
      </c>
      <c r="U57" s="132" t="e">
        <f t="shared" si="23"/>
        <v>#VALUE!</v>
      </c>
      <c r="V57" s="132">
        <f t="shared" si="24"/>
        <v>4</v>
      </c>
      <c r="W57" s="132" t="e">
        <f t="shared" si="25"/>
        <v>#VALUE!</v>
      </c>
      <c r="X57" s="132" t="e">
        <f t="shared" si="26"/>
        <v>#VALUE!</v>
      </c>
      <c r="Y57" s="132" t="str">
        <f>IFERROR(VLOOKUP(MID(T57,W57,X57-W57),[6]skilldef!$C:$D,2,FALSE),"-") &amp; " / " &amp; IFERROR(VLOOKUP(MID(T57,U57,V57-U57),[6]skilldef!$A:$B,2,FALSE),"-")</f>
        <v>- / -</v>
      </c>
      <c r="Z57" s="128"/>
      <c r="AA57" s="133"/>
      <c r="AB57" s="128" t="s">
        <v>357</v>
      </c>
    </row>
    <row r="58" spans="1:28" ht="17" x14ac:dyDescent="0.15">
      <c r="A58" s="128">
        <v>30038057</v>
      </c>
      <c r="B58" s="134" t="s">
        <v>269</v>
      </c>
      <c r="C58" s="128">
        <v>3</v>
      </c>
      <c r="D58" s="128" t="s">
        <v>128</v>
      </c>
      <c r="E58" s="131" t="s">
        <v>392</v>
      </c>
      <c r="F58" s="131" t="s">
        <v>465</v>
      </c>
      <c r="G58" s="132" t="str">
        <f t="shared" si="12"/>
        <v xml:space="preserve"> [effect:damage_fix_absolute, target:unit_all, val:1000000]    </v>
      </c>
      <c r="H58" s="132">
        <f t="shared" si="13"/>
        <v>10</v>
      </c>
      <c r="I58" s="132">
        <f t="shared" si="14"/>
        <v>29</v>
      </c>
      <c r="J58" s="132">
        <f t="shared" si="15"/>
        <v>38</v>
      </c>
      <c r="K58" s="132">
        <f t="shared" si="16"/>
        <v>46</v>
      </c>
      <c r="L58" s="132" t="str">
        <f>IFERROR(VLOOKUP(MID(G58,J58,K58-J58),[6]skilldef!$C:$D,2,FALSE),"-") &amp; " / " &amp; IFERROR(VLOOKUP(MID(G58,H58,I58-H58),[6]skilldef!$A:$B,2,FALSE),"-")</f>
        <v>味方全体に / -</v>
      </c>
      <c r="M58" s="132" t="str">
        <f t="shared" si="17"/>
        <v>none</v>
      </c>
      <c r="N58" s="129" t="str">
        <f>IFERROR(LEFT(M58,FIND("],",M58)+#REF!),M58)</f>
        <v>none</v>
      </c>
      <c r="O58" s="132" t="e">
        <f t="shared" si="18"/>
        <v>#VALUE!</v>
      </c>
      <c r="P58" s="132">
        <f t="shared" si="19"/>
        <v>4</v>
      </c>
      <c r="Q58" s="132" t="e">
        <f t="shared" si="20"/>
        <v>#VALUE!</v>
      </c>
      <c r="R58" s="132" t="e">
        <f t="shared" si="21"/>
        <v>#VALUE!</v>
      </c>
      <c r="S58" s="132" t="str">
        <f>IFERROR(VLOOKUP(MID(N58,Q58,R58-Q58),[6]skilldef!$C:$D,2,FALSE),"-") &amp; " / " &amp; IFERROR(VLOOKUP(MID(N58,O58,P58-O58),[6]skilldef!$A:$B,2,FALSE),"-")</f>
        <v>- / -</v>
      </c>
      <c r="T58" s="129" t="str">
        <f t="shared" si="22"/>
        <v>none</v>
      </c>
      <c r="U58" s="132" t="e">
        <f t="shared" si="23"/>
        <v>#VALUE!</v>
      </c>
      <c r="V58" s="132">
        <f t="shared" si="24"/>
        <v>4</v>
      </c>
      <c r="W58" s="132" t="e">
        <f t="shared" si="25"/>
        <v>#VALUE!</v>
      </c>
      <c r="X58" s="132" t="e">
        <f t="shared" si="26"/>
        <v>#VALUE!</v>
      </c>
      <c r="Y58" s="132" t="str">
        <f>IFERROR(VLOOKUP(MID(T58,W58,X58-W58),[6]skilldef!$C:$D,2,FALSE),"-") &amp; " / " &amp; IFERROR(VLOOKUP(MID(T58,U58,V58-U58),[6]skilldef!$A:$B,2,FALSE),"-")</f>
        <v>- / -</v>
      </c>
      <c r="Z58" s="128"/>
      <c r="AA58" s="133"/>
      <c r="AB58" s="128" t="s">
        <v>358</v>
      </c>
    </row>
    <row r="59" spans="1:28" ht="37" customHeight="1" x14ac:dyDescent="0.15">
      <c r="A59" s="128">
        <v>30038058</v>
      </c>
      <c r="B59" s="134" t="s">
        <v>260</v>
      </c>
      <c r="C59" s="128">
        <v>3</v>
      </c>
      <c r="D59" s="128" t="s">
        <v>128</v>
      </c>
      <c r="E59" s="131" t="s">
        <v>454</v>
      </c>
      <c r="F59" s="131" t="s">
        <v>453</v>
      </c>
      <c r="G59" s="132" t="str">
        <f t="shared" si="12"/>
        <v>[effect:enemy_message, val1:2, val2:3]</v>
      </c>
      <c r="H59" s="132">
        <f t="shared" si="13"/>
        <v>9</v>
      </c>
      <c r="I59" s="132">
        <f t="shared" si="14"/>
        <v>22</v>
      </c>
      <c r="J59" s="132" t="e">
        <f t="shared" si="15"/>
        <v>#VALUE!</v>
      </c>
      <c r="K59" s="132">
        <f t="shared" si="16"/>
        <v>30</v>
      </c>
      <c r="L59" s="132" t="str">
        <f>IFERROR(VLOOKUP(MID(G59,J59,K59-J59),[6]skilldef!$C:$D,2,FALSE),"-") &amp; " / " &amp; IFERROR(VLOOKUP(MID(G59,H59,I59-H59),[6]skilldef!$A:$B,2,FALSE),"-")</f>
        <v>- / -</v>
      </c>
      <c r="M59" s="132" t="str">
        <f t="shared" ref="M59:M60" si="107">IFERROR(RIGHT(B59,LEN(B59)-FIND("],",B59)-1),"none")</f>
        <v>none</v>
      </c>
      <c r="N59" s="129" t="str">
        <f>IFERROR(LEFT(M59,FIND("],",M59)+#REF!),M59)</f>
        <v>none</v>
      </c>
      <c r="O59" s="132" t="e">
        <f t="shared" ref="O59:O60" si="108">FIND("effect:",N59)+7</f>
        <v>#VALUE!</v>
      </c>
      <c r="P59" s="132">
        <f t="shared" ref="P59:P60" si="109">IFERROR(FIND(",",N59),LEN(N59))</f>
        <v>4</v>
      </c>
      <c r="Q59" s="132" t="e">
        <f t="shared" ref="Q59:Q60" si="110">FIND("target:",N59)+7</f>
        <v>#VALUE!</v>
      </c>
      <c r="R59" s="132" t="e">
        <f t="shared" ref="R59:R60" si="111">FIND(",",N59,P59+1)</f>
        <v>#VALUE!</v>
      </c>
      <c r="S59" s="132" t="str">
        <f>IFERROR(VLOOKUP(MID(N59,Q59,R59-Q59),[6]skilldef!$C:$D,2,FALSE),"-") &amp; " / " &amp; IFERROR(VLOOKUP(MID(N59,O59,P59-O59),[6]skilldef!$A:$B,2,FALSE),"-")</f>
        <v>- / -</v>
      </c>
      <c r="T59" s="129" t="str">
        <f t="shared" ref="T59:T60" si="112">IFERROR(RIGHT(M59,LEN(M59)-FIND("],",M59)-1),"none")</f>
        <v>none</v>
      </c>
      <c r="U59" s="132" t="e">
        <f t="shared" ref="U59:U60" si="113">FIND("effect:",T59)+7</f>
        <v>#VALUE!</v>
      </c>
      <c r="V59" s="132">
        <f t="shared" ref="V59:V60" si="114">IFERROR(FIND(",",T59),LEN(T59))</f>
        <v>4</v>
      </c>
      <c r="W59" s="132" t="e">
        <f t="shared" ref="W59:W60" si="115">FIND("target:",T59)+7</f>
        <v>#VALUE!</v>
      </c>
      <c r="X59" s="132" t="e">
        <f t="shared" ref="X59:X60" si="116">FIND(",",T59,V59+1)</f>
        <v>#VALUE!</v>
      </c>
      <c r="Y59" s="132" t="str">
        <f>IFERROR(VLOOKUP(MID(T59,W59,X59-W59),[6]skilldef!$C:$D,2,FALSE),"-") &amp; " / " &amp; IFERROR(VLOOKUP(MID(T59,U59,V59-U59),[6]skilldef!$A:$B,2,FALSE),"-")</f>
        <v>- / -</v>
      </c>
      <c r="Z59" s="128"/>
      <c r="AA59" s="133"/>
      <c r="AB59" s="131" t="s">
        <v>425</v>
      </c>
    </row>
    <row r="60" spans="1:28" ht="21" customHeight="1" x14ac:dyDescent="0.15">
      <c r="A60" s="128">
        <v>30038059</v>
      </c>
      <c r="B60" s="134" t="s">
        <v>260</v>
      </c>
      <c r="C60" s="128">
        <v>3</v>
      </c>
      <c r="D60" s="128" t="s">
        <v>128</v>
      </c>
      <c r="E60" s="131" t="s">
        <v>424</v>
      </c>
      <c r="F60" s="131" t="s">
        <v>423</v>
      </c>
      <c r="G60" s="132"/>
      <c r="H60" s="132"/>
      <c r="I60" s="132"/>
      <c r="J60" s="132"/>
      <c r="K60" s="132"/>
      <c r="L60" s="132" t="str">
        <f>IFERROR(VLOOKUP(MID(G60,J60,K60-J60),[6]skilldef!$C:$D,2,FALSE),"-") &amp; " / " &amp; IFERROR(VLOOKUP(MID(G60,H60,I60-H60),[6]skilldef!$A:$B,2,FALSE),"-")</f>
        <v>- / -</v>
      </c>
      <c r="M60" s="132" t="str">
        <f t="shared" si="107"/>
        <v>none</v>
      </c>
      <c r="N60" s="129" t="str">
        <f>IFERROR(LEFT(M60,FIND("],",M60)+#REF!),M60)</f>
        <v>none</v>
      </c>
      <c r="O60" s="132" t="e">
        <f t="shared" si="108"/>
        <v>#VALUE!</v>
      </c>
      <c r="P60" s="132">
        <f t="shared" si="109"/>
        <v>4</v>
      </c>
      <c r="Q60" s="132" t="e">
        <f t="shared" si="110"/>
        <v>#VALUE!</v>
      </c>
      <c r="R60" s="132" t="e">
        <f t="shared" si="111"/>
        <v>#VALUE!</v>
      </c>
      <c r="S60" s="132" t="str">
        <f>IFERROR(VLOOKUP(MID(N60,Q60,R60-Q60),[6]skilldef!$C:$D,2,FALSE),"-") &amp; " / " &amp; IFERROR(VLOOKUP(MID(N60,O60,P60-O60),[6]skilldef!$A:$B,2,FALSE),"-")</f>
        <v>- / -</v>
      </c>
      <c r="T60" s="129" t="str">
        <f t="shared" si="112"/>
        <v>none</v>
      </c>
      <c r="U60" s="132" t="e">
        <f t="shared" si="113"/>
        <v>#VALUE!</v>
      </c>
      <c r="V60" s="132">
        <f t="shared" si="114"/>
        <v>4</v>
      </c>
      <c r="W60" s="132" t="e">
        <f t="shared" si="115"/>
        <v>#VALUE!</v>
      </c>
      <c r="X60" s="132" t="e">
        <f t="shared" si="116"/>
        <v>#VALUE!</v>
      </c>
      <c r="Y60" s="132" t="str">
        <f>IFERROR(VLOOKUP(MID(T60,W60,X60-W60),[6]skilldef!$C:$D,2,FALSE),"-") &amp; " / " &amp; IFERROR(VLOOKUP(MID(T60,U60,V60-U60),[6]skilldef!$A:$B,2,FALSE),"-")</f>
        <v>- / -</v>
      </c>
      <c r="Z60" s="128"/>
      <c r="AA60" s="133"/>
      <c r="AB60" s="131" t="s">
        <v>456</v>
      </c>
    </row>
    <row r="61" spans="1:28" ht="153" x14ac:dyDescent="0.15">
      <c r="A61" s="128">
        <v>30038062</v>
      </c>
      <c r="B61" s="134" t="s">
        <v>448</v>
      </c>
      <c r="C61" s="128">
        <v>3</v>
      </c>
      <c r="D61" s="128" t="s">
        <v>128</v>
      </c>
      <c r="E61" s="131" t="s">
        <v>455</v>
      </c>
      <c r="F61" s="131" t="s">
        <v>449</v>
      </c>
      <c r="G61" s="132" t="str">
        <f t="shared" si="12"/>
        <v>[effect:fix_speed, target:enemy_animal, turn:2]</v>
      </c>
      <c r="H61" s="132">
        <f t="shared" si="13"/>
        <v>9</v>
      </c>
      <c r="I61" s="132">
        <f t="shared" si="14"/>
        <v>18</v>
      </c>
      <c r="J61" s="132">
        <f t="shared" si="15"/>
        <v>27</v>
      </c>
      <c r="K61" s="132">
        <f t="shared" si="16"/>
        <v>39</v>
      </c>
      <c r="L61" s="132" t="str">
        <f>IFERROR(VLOOKUP(MID(G61,J61,K61-J61),[6]skilldef!$C:$D,2,FALSE),"-") &amp; " / " &amp; IFERROR(VLOOKUP(MID(G61,H61,I61-H61),[6]skilldef!$A:$B,2,FALSE),"-")</f>
        <v>- / 行動値設定</v>
      </c>
      <c r="M61" s="132" t="str">
        <f t="shared" si="17"/>
        <v>[effect:virus, turn:-1, rate:1, val:0.15, animation:enemy_virus],[effect:tolerance, target:myself, turn:-1, tolerance_effect:all, count:16, animation:enemy_tolerance]</v>
      </c>
      <c r="N61" s="129" t="str">
        <f t="shared" ref="N61:N66" si="117">IFERROR(LEFT(M61,FIND("],",M61)+S66),M61)</f>
        <v>[effect:virus, turn:-1, rate:1, val:0.15, animation:enemy_virus],[effect:tolerance, target:myself, turn:-1, tolerance_effect:all, count:16, animation:enemy_tolerance]</v>
      </c>
      <c r="O61" s="132">
        <f t="shared" si="18"/>
        <v>9</v>
      </c>
      <c r="P61" s="132">
        <f t="shared" si="19"/>
        <v>14</v>
      </c>
      <c r="Q61" s="132">
        <f t="shared" si="20"/>
        <v>92</v>
      </c>
      <c r="R61" s="132">
        <f t="shared" si="21"/>
        <v>23</v>
      </c>
      <c r="S61" s="132" t="str">
        <f>IFERROR(VLOOKUP(MID(N61,Q61,R61-Q61),[6]skilldef!$C:$D,2,FALSE),"-") &amp; " / " &amp; IFERROR(VLOOKUP(MID(N61,O61,P61-O61),[6]skilldef!$A:$B,2,FALSE),"-")</f>
        <v>- / ウィルス</v>
      </c>
      <c r="T61" s="129" t="str">
        <f t="shared" si="22"/>
        <v>[effect:tolerance, target:myself, turn:-1, tolerance_effect:all, count:16, animation:enemy_tolerance]</v>
      </c>
      <c r="U61" s="132">
        <f t="shared" si="23"/>
        <v>9</v>
      </c>
      <c r="V61" s="132">
        <f t="shared" si="24"/>
        <v>18</v>
      </c>
      <c r="W61" s="132">
        <f t="shared" si="25"/>
        <v>27</v>
      </c>
      <c r="X61" s="132">
        <f t="shared" si="26"/>
        <v>33</v>
      </c>
      <c r="Y61" s="132" t="str">
        <f>IFERROR(VLOOKUP(MID(T61,W61,X61-W61),[6]skilldef!$C:$D,2,FALSE),"-") &amp; " / " &amp; IFERROR(VLOOKUP(MID(T61,U61,V61-U61),[6]skilldef!$A:$B,2,FALSE),"-")</f>
        <v>自分自身に / 状態異常耐性</v>
      </c>
      <c r="Z61" s="128"/>
      <c r="AA61" s="133"/>
      <c r="AB61" s="128" t="s">
        <v>359</v>
      </c>
    </row>
    <row r="62" spans="1:28" ht="21" customHeight="1" x14ac:dyDescent="0.15">
      <c r="A62" s="128">
        <v>30038063</v>
      </c>
      <c r="B62" s="134" t="s">
        <v>436</v>
      </c>
      <c r="C62" s="128">
        <v>3</v>
      </c>
      <c r="D62" s="128" t="s">
        <v>128</v>
      </c>
      <c r="E62" s="131" t="s">
        <v>329</v>
      </c>
      <c r="F62" s="131" t="s">
        <v>432</v>
      </c>
      <c r="G62" s="132" t="str">
        <f t="shared" si="12"/>
        <v xml:space="preserve">[effect:spread, val:0.27]    </v>
      </c>
      <c r="H62" s="132">
        <f t="shared" si="13"/>
        <v>9</v>
      </c>
      <c r="I62" s="132">
        <f t="shared" si="14"/>
        <v>15</v>
      </c>
      <c r="J62" s="132" t="e">
        <f t="shared" si="15"/>
        <v>#VALUE!</v>
      </c>
      <c r="K62" s="132" t="e">
        <f t="shared" si="16"/>
        <v>#VALUE!</v>
      </c>
      <c r="L62" s="132" t="str">
        <f>IFERROR(VLOOKUP(MID(G62,J62,K62-J62),[6]skilldef!$C:$D,2,FALSE),"-") &amp; " / " &amp; IFERROR(VLOOKUP(MID(G62,H62,I62-H62),[6]skilldef!$A:$B,2,FALSE),"-")</f>
        <v>- / 全体攻撃</v>
      </c>
      <c r="M62" s="132" t="str">
        <f t="shared" si="17"/>
        <v>none</v>
      </c>
      <c r="N62" s="129" t="str">
        <f t="shared" si="117"/>
        <v>none</v>
      </c>
      <c r="O62" s="132" t="e">
        <f t="shared" si="18"/>
        <v>#VALUE!</v>
      </c>
      <c r="P62" s="132">
        <f t="shared" si="19"/>
        <v>4</v>
      </c>
      <c r="Q62" s="132" t="e">
        <f t="shared" si="20"/>
        <v>#VALUE!</v>
      </c>
      <c r="R62" s="132" t="e">
        <f t="shared" si="21"/>
        <v>#VALUE!</v>
      </c>
      <c r="S62" s="132" t="str">
        <f>IFERROR(VLOOKUP(MID(N62,Q62,R62-Q62),[6]skilldef!$C:$D,2,FALSE),"-") &amp; " / " &amp; IFERROR(VLOOKUP(MID(N62,O62,P62-O62),[6]skilldef!$A:$B,2,FALSE),"-")</f>
        <v>- / -</v>
      </c>
      <c r="T62" s="129" t="str">
        <f t="shared" si="22"/>
        <v>none</v>
      </c>
      <c r="U62" s="132" t="e">
        <f t="shared" si="23"/>
        <v>#VALUE!</v>
      </c>
      <c r="V62" s="132">
        <f t="shared" si="24"/>
        <v>4</v>
      </c>
      <c r="W62" s="132" t="e">
        <f t="shared" si="25"/>
        <v>#VALUE!</v>
      </c>
      <c r="X62" s="132" t="e">
        <f t="shared" si="26"/>
        <v>#VALUE!</v>
      </c>
      <c r="Y62" s="132" t="str">
        <f>IFERROR(VLOOKUP(MID(T62,W62,X62-W62),[6]skilldef!$C:$D,2,FALSE),"-") &amp; " / " &amp; IFERROR(VLOOKUP(MID(T62,U62,V62-U62),[6]skilldef!$A:$B,2,FALSE),"-")</f>
        <v>- / -</v>
      </c>
      <c r="Z62" s="128"/>
      <c r="AA62" s="133"/>
      <c r="AB62" s="128" t="s">
        <v>363</v>
      </c>
    </row>
    <row r="63" spans="1:28" ht="21" customHeight="1" x14ac:dyDescent="0.15">
      <c r="A63" s="128">
        <v>30038064</v>
      </c>
      <c r="B63" s="134" t="s">
        <v>261</v>
      </c>
      <c r="C63" s="128">
        <v>3</v>
      </c>
      <c r="D63" s="128" t="s">
        <v>128</v>
      </c>
      <c r="E63" s="131" t="s">
        <v>429</v>
      </c>
      <c r="F63" s="131" t="s">
        <v>433</v>
      </c>
      <c r="G63" s="132" t="str">
        <f t="shared" si="12"/>
        <v xml:space="preserve">[effect:heal, target:enemy_one, val:0.55, animation:enemy_heal]    </v>
      </c>
      <c r="H63" s="132">
        <f t="shared" si="13"/>
        <v>9</v>
      </c>
      <c r="I63" s="132">
        <f t="shared" si="14"/>
        <v>13</v>
      </c>
      <c r="J63" s="132">
        <f t="shared" si="15"/>
        <v>22</v>
      </c>
      <c r="K63" s="132">
        <f t="shared" si="16"/>
        <v>31</v>
      </c>
      <c r="L63" s="132" t="str">
        <f>IFERROR(VLOOKUP(MID(G63,J63,K63-J63),[6]skilldef!$C:$D,2,FALSE),"-") &amp; " / " &amp; IFERROR(VLOOKUP(MID(G63,H63,I63-H63),[6]skilldef!$A:$B,2,FALSE),"-")</f>
        <v>敵単体に / 回復</v>
      </c>
      <c r="M63" s="132" t="str">
        <f t="shared" si="17"/>
        <v>none</v>
      </c>
      <c r="N63" s="129" t="str">
        <f t="shared" si="117"/>
        <v>none</v>
      </c>
      <c r="O63" s="132" t="e">
        <f t="shared" si="18"/>
        <v>#VALUE!</v>
      </c>
      <c r="P63" s="132">
        <f t="shared" si="19"/>
        <v>4</v>
      </c>
      <c r="Q63" s="132" t="e">
        <f t="shared" si="20"/>
        <v>#VALUE!</v>
      </c>
      <c r="R63" s="132" t="e">
        <f t="shared" si="21"/>
        <v>#VALUE!</v>
      </c>
      <c r="S63" s="132" t="str">
        <f>IFERROR(VLOOKUP(MID(N63,Q63,R63-Q63),[6]skilldef!$C:$D,2,FALSE),"-") &amp; " / " &amp; IFERROR(VLOOKUP(MID(N63,O63,P63-O63),[6]skilldef!$A:$B,2,FALSE),"-")</f>
        <v>- / -</v>
      </c>
      <c r="T63" s="129" t="str">
        <f t="shared" si="22"/>
        <v>none</v>
      </c>
      <c r="U63" s="132" t="e">
        <f t="shared" si="23"/>
        <v>#VALUE!</v>
      </c>
      <c r="V63" s="132">
        <f t="shared" si="24"/>
        <v>4</v>
      </c>
      <c r="W63" s="132" t="e">
        <f t="shared" si="25"/>
        <v>#VALUE!</v>
      </c>
      <c r="X63" s="132" t="e">
        <f t="shared" si="26"/>
        <v>#VALUE!</v>
      </c>
      <c r="Y63" s="132" t="str">
        <f>IFERROR(VLOOKUP(MID(T63,W63,X63-W63),[6]skilldef!$C:$D,2,FALSE),"-") &amp; " / " &amp; IFERROR(VLOOKUP(MID(T63,U63,V63-U63),[6]skilldef!$A:$B,2,FALSE),"-")</f>
        <v>- / -</v>
      </c>
      <c r="Z63" s="128"/>
      <c r="AA63" s="133"/>
      <c r="AB63" s="128" t="s">
        <v>457</v>
      </c>
    </row>
    <row r="64" spans="1:28" ht="21" customHeight="1" x14ac:dyDescent="0.15">
      <c r="A64" s="128">
        <v>30038065</v>
      </c>
      <c r="B64" s="134" t="s">
        <v>437</v>
      </c>
      <c r="C64" s="128">
        <v>3</v>
      </c>
      <c r="D64" s="128" t="s">
        <v>128</v>
      </c>
      <c r="E64" s="131" t="s">
        <v>431</v>
      </c>
      <c r="F64" s="131" t="s">
        <v>430</v>
      </c>
      <c r="G64" s="132" t="str">
        <f t="shared" si="12"/>
        <v>[effect:virus, turn:-1, rate:1, val:0.2, animation:enemy_virus]</v>
      </c>
      <c r="H64" s="132">
        <f t="shared" si="13"/>
        <v>9</v>
      </c>
      <c r="I64" s="132">
        <f t="shared" si="14"/>
        <v>14</v>
      </c>
      <c r="J64" s="132" t="e">
        <f t="shared" si="15"/>
        <v>#VALUE!</v>
      </c>
      <c r="K64" s="132">
        <f t="shared" si="16"/>
        <v>23</v>
      </c>
      <c r="L64" s="132" t="str">
        <f>IFERROR(VLOOKUP(MID(G64,J64,K64-J64),[6]skilldef!$C:$D,2,FALSE),"-") &amp; " / " &amp; IFERROR(VLOOKUP(MID(G64,H64,I64-H64),[6]skilldef!$A:$B,2,FALSE),"-")</f>
        <v>- / ウィルス</v>
      </c>
      <c r="M64" s="132" t="str">
        <f t="shared" si="17"/>
        <v>none</v>
      </c>
      <c r="N64" s="129" t="str">
        <f t="shared" si="117"/>
        <v>none</v>
      </c>
      <c r="O64" s="132" t="e">
        <f t="shared" si="18"/>
        <v>#VALUE!</v>
      </c>
      <c r="P64" s="132">
        <f t="shared" si="19"/>
        <v>4</v>
      </c>
      <c r="Q64" s="132" t="e">
        <f t="shared" si="20"/>
        <v>#VALUE!</v>
      </c>
      <c r="R64" s="132" t="e">
        <f t="shared" si="21"/>
        <v>#VALUE!</v>
      </c>
      <c r="S64" s="132" t="str">
        <f>IFERROR(VLOOKUP(MID(N64,Q64,R64-Q64),[6]skilldef!$C:$D,2,FALSE),"-") &amp; " / " &amp; IFERROR(VLOOKUP(MID(N64,O64,P64-O64),[6]skilldef!$A:$B,2,FALSE),"-")</f>
        <v>- / -</v>
      </c>
      <c r="T64" s="129" t="str">
        <f t="shared" si="22"/>
        <v>none</v>
      </c>
      <c r="U64" s="132" t="e">
        <f t="shared" si="23"/>
        <v>#VALUE!</v>
      </c>
      <c r="V64" s="132">
        <f t="shared" si="24"/>
        <v>4</v>
      </c>
      <c r="W64" s="132" t="e">
        <f t="shared" si="25"/>
        <v>#VALUE!</v>
      </c>
      <c r="X64" s="132" t="e">
        <f t="shared" si="26"/>
        <v>#VALUE!</v>
      </c>
      <c r="Y64" s="132" t="str">
        <f>IFERROR(VLOOKUP(MID(T64,W64,X64-W64),[6]skilldef!$C:$D,2,FALSE),"-") &amp; " / " &amp; IFERROR(VLOOKUP(MID(T64,U64,V64-U64),[6]skilldef!$A:$B,2,FALSE),"-")</f>
        <v>- / -</v>
      </c>
      <c r="Z64" s="128"/>
      <c r="AA64" s="133"/>
      <c r="AB64" s="128" t="s">
        <v>361</v>
      </c>
    </row>
    <row r="65" spans="1:28" ht="21" customHeight="1" x14ac:dyDescent="0.15">
      <c r="A65" s="128">
        <v>30038066</v>
      </c>
      <c r="B65" s="134" t="s">
        <v>438</v>
      </c>
      <c r="C65" s="128">
        <v>3</v>
      </c>
      <c r="D65" s="128" t="s">
        <v>128</v>
      </c>
      <c r="E65" s="131" t="s">
        <v>458</v>
      </c>
      <c r="F65" s="131" t="s">
        <v>460</v>
      </c>
      <c r="G65" s="132" t="str">
        <f t="shared" si="12"/>
        <v xml:space="preserve">[effect:damage_anti_color, target:unit_one, color:blue, val1:1.3, val2:1.5]    </v>
      </c>
      <c r="H65" s="132">
        <f t="shared" si="13"/>
        <v>9</v>
      </c>
      <c r="I65" s="132">
        <f t="shared" si="14"/>
        <v>26</v>
      </c>
      <c r="J65" s="132">
        <f t="shared" si="15"/>
        <v>35</v>
      </c>
      <c r="K65" s="132">
        <f t="shared" si="16"/>
        <v>43</v>
      </c>
      <c r="L65" s="132" t="str">
        <f>IFERROR(VLOOKUP(MID(G65,J65,K65-J65),[6]skilldef!$C:$D,2,FALSE),"-") &amp; " / " &amp; IFERROR(VLOOKUP(MID(G65,H65,I65-H65),[6]skilldef!$A:$B,2,FALSE),"-")</f>
        <v>味方単体に / 属性キラー</v>
      </c>
      <c r="M65" s="132" t="str">
        <f t="shared" si="17"/>
        <v>none</v>
      </c>
      <c r="N65" s="129" t="str">
        <f t="shared" si="117"/>
        <v>none</v>
      </c>
      <c r="O65" s="132" t="e">
        <f t="shared" si="18"/>
        <v>#VALUE!</v>
      </c>
      <c r="P65" s="132">
        <f t="shared" si="19"/>
        <v>4</v>
      </c>
      <c r="Q65" s="132" t="e">
        <f t="shared" si="20"/>
        <v>#VALUE!</v>
      </c>
      <c r="R65" s="132" t="e">
        <f t="shared" si="21"/>
        <v>#VALUE!</v>
      </c>
      <c r="S65" s="132" t="str">
        <f>IFERROR(VLOOKUP(MID(N65,Q65,R65-Q65),[6]skilldef!$C:$D,2,FALSE),"-") &amp; " / " &amp; IFERROR(VLOOKUP(MID(N65,O65,P65-O65),[6]skilldef!$A:$B,2,FALSE),"-")</f>
        <v>- / -</v>
      </c>
      <c r="T65" s="129" t="str">
        <f t="shared" si="22"/>
        <v>none</v>
      </c>
      <c r="U65" s="132" t="e">
        <f t="shared" si="23"/>
        <v>#VALUE!</v>
      </c>
      <c r="V65" s="132">
        <f t="shared" si="24"/>
        <v>4</v>
      </c>
      <c r="W65" s="132" t="e">
        <f t="shared" si="25"/>
        <v>#VALUE!</v>
      </c>
      <c r="X65" s="132" t="e">
        <f t="shared" si="26"/>
        <v>#VALUE!</v>
      </c>
      <c r="Y65" s="132" t="str">
        <f>IFERROR(VLOOKUP(MID(T65,W65,X65-W65),[6]skilldef!$C:$D,2,FALSE),"-") &amp; " / " &amp; IFERROR(VLOOKUP(MID(T65,U65,V65-U65),[6]skilldef!$A:$B,2,FALSE),"-")</f>
        <v>- / -</v>
      </c>
      <c r="Z65" s="128"/>
      <c r="AA65" s="133"/>
      <c r="AB65" s="128" t="s">
        <v>360</v>
      </c>
    </row>
    <row r="66" spans="1:28" ht="34" x14ac:dyDescent="0.15">
      <c r="A66" s="128">
        <v>30038067</v>
      </c>
      <c r="B66" s="134" t="s">
        <v>260</v>
      </c>
      <c r="C66" s="128">
        <v>3</v>
      </c>
      <c r="D66" s="128" t="s">
        <v>128</v>
      </c>
      <c r="E66" s="131" t="s">
        <v>450</v>
      </c>
      <c r="F66" s="131" t="s">
        <v>451</v>
      </c>
      <c r="G66" s="132" t="str">
        <f t="shared" ref="G66" si="118">IFERROR(LEFT(B66,FIND("],",B66)),B66)</f>
        <v>[effect:enemy_message, val1:2, val2:3]</v>
      </c>
      <c r="H66" s="132">
        <f t="shared" ref="H66" si="119">FIND("effect:",G66)+7</f>
        <v>9</v>
      </c>
      <c r="I66" s="132">
        <f t="shared" ref="I66" si="120">IFERROR(FIND(",",G66),LEN(G66))</f>
        <v>22</v>
      </c>
      <c r="J66" s="132" t="e">
        <f t="shared" ref="J66" si="121">FIND("target:",G66)+7</f>
        <v>#VALUE!</v>
      </c>
      <c r="K66" s="132">
        <f t="shared" ref="K66" si="122">FIND(",",G66,I66+1)</f>
        <v>30</v>
      </c>
      <c r="L66" s="132" t="str">
        <f>IFERROR(VLOOKUP(MID(G66,J66,K66-J66),[6]skilldef!$C:$D,2,FALSE),"-") &amp; " / " &amp; IFERROR(VLOOKUP(MID(G66,H66,I66-H66),[6]skilldef!$A:$B,2,FALSE),"-")</f>
        <v>- / -</v>
      </c>
      <c r="M66" s="132" t="str">
        <f t="shared" ref="M66" si="123">IFERROR(RIGHT(B66,LEN(B66)-FIND("],",B66)-1),"none")</f>
        <v>none</v>
      </c>
      <c r="N66" s="129" t="str">
        <f t="shared" si="117"/>
        <v>none</v>
      </c>
      <c r="O66" s="132" t="e">
        <f t="shared" ref="O66" si="124">FIND("effect:",N66)+7</f>
        <v>#VALUE!</v>
      </c>
      <c r="P66" s="132">
        <f t="shared" ref="P66" si="125">IFERROR(FIND(",",N66),LEN(N66))</f>
        <v>4</v>
      </c>
      <c r="Q66" s="132" t="e">
        <f t="shared" ref="Q66" si="126">FIND("target:",N66)+7</f>
        <v>#VALUE!</v>
      </c>
      <c r="R66" s="132" t="e">
        <f t="shared" ref="R66" si="127">FIND(",",N66,P66+1)</f>
        <v>#VALUE!</v>
      </c>
      <c r="S66" s="132" t="str">
        <f>IFERROR(VLOOKUP(MID(N66,Q66,R66-Q66),[6]skilldef!$C:$D,2,FALSE),"-") &amp; " / " &amp; IFERROR(VLOOKUP(MID(N66,O66,P66-O66),[6]skilldef!$A:$B,2,FALSE),"-")</f>
        <v>- / -</v>
      </c>
      <c r="T66" s="129" t="str">
        <f t="shared" ref="T66" si="128">IFERROR(RIGHT(M66,LEN(M66)-FIND("],",M66)-1),"none")</f>
        <v>none</v>
      </c>
      <c r="U66" s="132" t="e">
        <f t="shared" ref="U66" si="129">FIND("effect:",T66)+7</f>
        <v>#VALUE!</v>
      </c>
      <c r="V66" s="132">
        <f t="shared" ref="V66" si="130">IFERROR(FIND(",",T66),LEN(T66))</f>
        <v>4</v>
      </c>
      <c r="W66" s="132" t="e">
        <f t="shared" ref="W66" si="131">FIND("target:",T66)+7</f>
        <v>#VALUE!</v>
      </c>
      <c r="X66" s="132" t="e">
        <f t="shared" ref="X66" si="132">FIND(",",T66,V66+1)</f>
        <v>#VALUE!</v>
      </c>
      <c r="Y66" s="132" t="str">
        <f>IFERROR(VLOOKUP(MID(T66,W66,X66-W66),[6]skilldef!$C:$D,2,FALSE),"-") &amp; " / " &amp; IFERROR(VLOOKUP(MID(T66,U66,V66-U66),[6]skilldef!$A:$B,2,FALSE),"-")</f>
        <v>- / -</v>
      </c>
      <c r="Z66" s="128"/>
      <c r="AA66" s="133"/>
      <c r="AB66" s="128" t="s">
        <v>452</v>
      </c>
    </row>
    <row r="67" spans="1:28" ht="52" customHeight="1" x14ac:dyDescent="0.15">
      <c r="A67" s="128">
        <v>30038068</v>
      </c>
      <c r="B67" s="134" t="s">
        <v>479</v>
      </c>
      <c r="C67" s="128">
        <v>3</v>
      </c>
      <c r="D67" s="128" t="s">
        <v>128</v>
      </c>
      <c r="E67" s="131" t="s">
        <v>443</v>
      </c>
      <c r="F67" s="131" t="s">
        <v>481</v>
      </c>
      <c r="G67" s="132" t="str">
        <f>IFERROR(LEFT(B67,FIND("],",B67)),B67)</f>
        <v>[effect:ability_lock, target:unit_all, turn:5]</v>
      </c>
      <c r="H67" s="132">
        <f>FIND("effect:",G67)+7</f>
        <v>9</v>
      </c>
      <c r="I67" s="132">
        <f>IFERROR(FIND(",",G67),LEN(G67))</f>
        <v>21</v>
      </c>
      <c r="J67" s="132">
        <f>FIND("target:",G67)+7</f>
        <v>30</v>
      </c>
      <c r="K67" s="132">
        <f>FIND(",",G67,I67+1)</f>
        <v>38</v>
      </c>
      <c r="L67" s="132" t="str">
        <f>IFERROR(VLOOKUP(MID(G67,J67,K67-J67),[6]skilldef!$C:$D,2,FALSE),"-") &amp; " / " &amp; IFERROR(VLOOKUP(MID(G67,H67,I67-H67),[6]skilldef!$A:$B,2,FALSE),"-")</f>
        <v>味方全体に / -</v>
      </c>
      <c r="M67" s="132" t="str">
        <f>IFERROR(RIGHT(B67,LEN(B67)-FIND("],",B67)-1),"none")</f>
        <v>[effect:tolerance, target:myself, turn:5, tolerance_effect:all, count:-1, animation:enemy_tolerance],[effect:hungup, target:unit_all, turn:5, rate:1, animation:hungup01],[effect:virus, turn:5, rate:1, val:0.18, animation:enemy_virus],[effect:fix_speed, target:enemy_all, turn:1]</v>
      </c>
      <c r="N67" s="129" t="str">
        <f t="shared" ref="N67:N68" si="133">IFERROR(LEFT(M67,FIND("],",M67)+S84),M67)</f>
        <v>[effect:tolerance, target:myself, turn:5, tolerance_effect:all, count:-1, animation:enemy_tolerance]</v>
      </c>
      <c r="O67" s="132">
        <f>FIND("effect:",N67)+7</f>
        <v>9</v>
      </c>
      <c r="P67" s="132">
        <f>IFERROR(FIND(",",N67),LEN(N67))</f>
        <v>18</v>
      </c>
      <c r="Q67" s="132">
        <f>FIND("target:",N67)+7</f>
        <v>27</v>
      </c>
      <c r="R67" s="132">
        <f>FIND(",",N67,P67+1)</f>
        <v>33</v>
      </c>
      <c r="S67" s="132" t="str">
        <f>IFERROR(VLOOKUP(MID(N67,Q67,R67-Q67),[6]skilldef!$C:$D,2,FALSE),"-") &amp; " / " &amp; IFERROR(VLOOKUP(MID(N67,O67,P67-O67),[6]skilldef!$A:$B,2,FALSE),"-")</f>
        <v>自分自身に / 状態異常耐性</v>
      </c>
      <c r="T67" s="129" t="str">
        <f>IFERROR(RIGHT(M67,LEN(M67)-FIND("],",M67)-1),"none")</f>
        <v>[effect:hungup, target:unit_all, turn:5, rate:1, animation:hungup01],[effect:virus, turn:5, rate:1, val:0.18, animation:enemy_virus],[effect:fix_speed, target:enemy_all, turn:1]</v>
      </c>
      <c r="U67" s="132">
        <f>FIND("effect:",T67)+7</f>
        <v>9</v>
      </c>
      <c r="V67" s="132">
        <f>IFERROR(FIND(",",T67),LEN(T67))</f>
        <v>15</v>
      </c>
      <c r="W67" s="132">
        <f>FIND("target:",T67)+7</f>
        <v>24</v>
      </c>
      <c r="X67" s="132">
        <f>FIND(",",T67,V67+1)</f>
        <v>32</v>
      </c>
      <c r="Y67" s="132" t="str">
        <f>IFERROR(VLOOKUP(MID(T67,W67,X67-W67),[6]skilldef!$C:$D,2,FALSE),"-") &amp; " / " &amp; IFERROR(VLOOKUP(MID(T67,U67,V67-U67),[6]skilldef!$A:$B,2,FALSE),"-")</f>
        <v>味方全体に / ハングアップ</v>
      </c>
      <c r="Z67" s="128"/>
      <c r="AA67" s="133"/>
      <c r="AB67" s="128" t="s">
        <v>280</v>
      </c>
    </row>
    <row r="68" spans="1:28" ht="52" customHeight="1" x14ac:dyDescent="0.15">
      <c r="A68" s="128">
        <v>30038069</v>
      </c>
      <c r="B68" s="134" t="s">
        <v>480</v>
      </c>
      <c r="C68" s="128">
        <v>3</v>
      </c>
      <c r="D68" s="128" t="s">
        <v>128</v>
      </c>
      <c r="E68" s="131" t="s">
        <v>443</v>
      </c>
      <c r="F68" s="131" t="s">
        <v>481</v>
      </c>
      <c r="G68" s="132" t="str">
        <f>IFERROR(LEFT(B68,FIND("],",B68)),B68)</f>
        <v>[effect:ability_lock, target:unit_all, turn:5]</v>
      </c>
      <c r="H68" s="132">
        <f>FIND("effect:",G68)+7</f>
        <v>9</v>
      </c>
      <c r="I68" s="132">
        <f>IFERROR(FIND(",",G68),LEN(G68))</f>
        <v>21</v>
      </c>
      <c r="J68" s="132">
        <f>FIND("target:",G68)+7</f>
        <v>30</v>
      </c>
      <c r="K68" s="132">
        <f>FIND(",",G68,I68+1)</f>
        <v>38</v>
      </c>
      <c r="L68" s="132" t="str">
        <f>IFERROR(VLOOKUP(MID(G68,J68,K68-J68),[6]skilldef!$C:$D,2,FALSE),"-") &amp; " / " &amp; IFERROR(VLOOKUP(MID(G68,H68,I68-H68),[6]skilldef!$A:$B,2,FALSE),"-")</f>
        <v>味方全体に / -</v>
      </c>
      <c r="M68" s="132" t="str">
        <f>IFERROR(RIGHT(B68,LEN(B68)-FIND("],",B68)-1),"none")</f>
        <v>[effect:tolerance, target:myself, turn:5, tolerance_effect:all, count:-1, animation:enemy_tolerance],[effect:hungup, target:unit_all, turn:5, rate:1, animation:hungup01],[effect:virus, turn:5, rate:1, val:0.24, animation:enemy_virus],[effect:fix_speed, target:enemy_all, turn:1]</v>
      </c>
      <c r="N68" s="129" t="str">
        <f t="shared" si="133"/>
        <v>[effect:tolerance, target:myself, turn:5, tolerance_effect:all, count:-1, animation:enemy_tolerance]</v>
      </c>
      <c r="O68" s="132">
        <f>FIND("effect:",N68)+7</f>
        <v>9</v>
      </c>
      <c r="P68" s="132">
        <f>IFERROR(FIND(",",N68),LEN(N68))</f>
        <v>18</v>
      </c>
      <c r="Q68" s="132">
        <f>FIND("target:",N68)+7</f>
        <v>27</v>
      </c>
      <c r="R68" s="132">
        <f>FIND(",",N68,P68+1)</f>
        <v>33</v>
      </c>
      <c r="S68" s="132" t="str">
        <f>IFERROR(VLOOKUP(MID(N68,Q68,R68-Q68),[6]skilldef!$C:$D,2,FALSE),"-") &amp; " / " &amp; IFERROR(VLOOKUP(MID(N68,O68,P68-O68),[6]skilldef!$A:$B,2,FALSE),"-")</f>
        <v>自分自身に / 状態異常耐性</v>
      </c>
      <c r="T68" s="129" t="str">
        <f>IFERROR(RIGHT(M68,LEN(M68)-FIND("],",M68)-1),"none")</f>
        <v>[effect:hungup, target:unit_all, turn:5, rate:1, animation:hungup01],[effect:virus, turn:5, rate:1, val:0.24, animation:enemy_virus],[effect:fix_speed, target:enemy_all, turn:1]</v>
      </c>
      <c r="U68" s="132">
        <f>FIND("effect:",T68)+7</f>
        <v>9</v>
      </c>
      <c r="V68" s="132">
        <f>IFERROR(FIND(",",T68),LEN(T68))</f>
        <v>15</v>
      </c>
      <c r="W68" s="132">
        <f>FIND("target:",T68)+7</f>
        <v>24</v>
      </c>
      <c r="X68" s="132">
        <f>FIND(",",T68,V68+1)</f>
        <v>32</v>
      </c>
      <c r="Y68" s="132" t="str">
        <f>IFERROR(VLOOKUP(MID(T68,W68,X68-W68),[6]skilldef!$C:$D,2,FALSE),"-") &amp; " / " &amp; IFERROR(VLOOKUP(MID(T68,U68,V68-U68),[6]skilldef!$A:$B,2,FALSE),"-")</f>
        <v>味方全体に / ハングアップ</v>
      </c>
      <c r="Z68" s="128"/>
      <c r="AA68" s="133"/>
      <c r="AB68" s="128" t="s">
        <v>280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78"/>
  <sheetViews>
    <sheetView showGridLines="0" workbookViewId="0">
      <pane ySplit="1" topLeftCell="A45" activePane="bottomLeft" state="frozenSplit"/>
      <selection pane="bottomLeft" activeCell="A14" sqref="A1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44.83203125" style="45" customWidth="1"/>
    <col min="13" max="16384" width="12.83203125" style="45"/>
  </cols>
  <sheetData>
    <row r="1" spans="1:12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0" t="s">
        <v>71</v>
      </c>
      <c r="G1" s="50" t="s">
        <v>72</v>
      </c>
      <c r="H1" s="42" t="s">
        <v>73</v>
      </c>
      <c r="I1" s="42" t="s">
        <v>74</v>
      </c>
      <c r="J1" s="42" t="s">
        <v>75</v>
      </c>
      <c r="K1" s="51" t="s">
        <v>88</v>
      </c>
    </row>
    <row r="2" spans="1:12" ht="22" customHeight="1" x14ac:dyDescent="0.15">
      <c r="A2" s="47">
        <v>30038001</v>
      </c>
      <c r="B2" s="47">
        <v>1</v>
      </c>
      <c r="C2" s="47" t="s">
        <v>89</v>
      </c>
      <c r="D2" s="47">
        <v>100</v>
      </c>
      <c r="E2" s="47" t="s">
        <v>90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:J7" si="0">D2</f>
        <v>100</v>
      </c>
      <c r="L2" s="128" t="s">
        <v>280</v>
      </c>
    </row>
    <row r="3" spans="1:12" ht="22" customHeight="1" x14ac:dyDescent="0.15">
      <c r="A3" s="47">
        <v>30038002</v>
      </c>
      <c r="B3" s="47">
        <v>0</v>
      </c>
      <c r="C3" s="47">
        <v>100</v>
      </c>
      <c r="D3" s="47">
        <v>100</v>
      </c>
      <c r="E3" s="47" t="s">
        <v>53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si="0"/>
        <v>100</v>
      </c>
      <c r="L3" s="128" t="s">
        <v>396</v>
      </c>
    </row>
    <row r="4" spans="1:12" ht="22" customHeight="1" x14ac:dyDescent="0.15">
      <c r="A4" s="47">
        <v>30038003</v>
      </c>
      <c r="B4" s="47">
        <v>0</v>
      </c>
      <c r="C4" s="47">
        <v>90</v>
      </c>
      <c r="D4" s="47">
        <v>100</v>
      </c>
      <c r="E4" s="47" t="s">
        <v>53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0"/>
        <v>100</v>
      </c>
      <c r="L4" s="128" t="s">
        <v>397</v>
      </c>
    </row>
    <row r="5" spans="1:12" ht="22" customHeight="1" x14ac:dyDescent="0.15">
      <c r="A5" s="47">
        <v>30038004</v>
      </c>
      <c r="B5" s="47">
        <v>0</v>
      </c>
      <c r="C5" s="47">
        <v>80</v>
      </c>
      <c r="D5" s="47">
        <v>100</v>
      </c>
      <c r="E5" s="47" t="s">
        <v>53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0"/>
        <v>100</v>
      </c>
      <c r="L5" s="128" t="s">
        <v>398</v>
      </c>
    </row>
    <row r="6" spans="1:12" ht="22" customHeight="1" x14ac:dyDescent="0.15">
      <c r="A6" s="47">
        <v>30038005</v>
      </c>
      <c r="B6" s="47">
        <v>0</v>
      </c>
      <c r="C6" s="47">
        <v>70</v>
      </c>
      <c r="D6" s="47">
        <v>100</v>
      </c>
      <c r="E6" s="47" t="s">
        <v>53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si="0"/>
        <v>100</v>
      </c>
      <c r="L6" s="128" t="s">
        <v>399</v>
      </c>
    </row>
    <row r="7" spans="1:12" ht="22" customHeight="1" x14ac:dyDescent="0.15">
      <c r="A7" s="47">
        <v>30038006</v>
      </c>
      <c r="B7" s="47">
        <v>0</v>
      </c>
      <c r="C7" s="47">
        <v>60</v>
      </c>
      <c r="D7" s="47">
        <v>100</v>
      </c>
      <c r="E7" s="47" t="s">
        <v>53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si="0"/>
        <v>100</v>
      </c>
      <c r="L7" s="128" t="s">
        <v>400</v>
      </c>
    </row>
    <row r="8" spans="1:12" ht="22" customHeight="1" x14ac:dyDescent="0.15">
      <c r="A8" s="47">
        <v>30038007</v>
      </c>
      <c r="B8" s="47">
        <v>0</v>
      </c>
      <c r="C8" s="47" t="s">
        <v>89</v>
      </c>
      <c r="D8" s="47">
        <v>100</v>
      </c>
      <c r="E8" s="47" t="s">
        <v>90</v>
      </c>
      <c r="F8" s="47" t="s">
        <v>90</v>
      </c>
      <c r="G8" s="47">
        <v>1</v>
      </c>
      <c r="H8" s="47">
        <v>6</v>
      </c>
      <c r="I8" s="47" t="s">
        <v>90</v>
      </c>
      <c r="J8" s="48">
        <f t="shared" ref="J8:J67" si="1">D8</f>
        <v>100</v>
      </c>
      <c r="L8" s="128" t="s">
        <v>281</v>
      </c>
    </row>
    <row r="9" spans="1:12" ht="22" customHeight="1" x14ac:dyDescent="0.15">
      <c r="A9" s="47">
        <v>30038008</v>
      </c>
      <c r="B9" s="47">
        <v>0</v>
      </c>
      <c r="C9" s="47" t="s">
        <v>89</v>
      </c>
      <c r="D9" s="47">
        <v>100</v>
      </c>
      <c r="E9" s="47" t="s">
        <v>90</v>
      </c>
      <c r="F9" s="47" t="s">
        <v>90</v>
      </c>
      <c r="G9" s="47">
        <v>0</v>
      </c>
      <c r="H9" s="47" t="s">
        <v>90</v>
      </c>
      <c r="I9" s="47">
        <v>0</v>
      </c>
      <c r="J9" s="48">
        <f t="shared" si="1"/>
        <v>100</v>
      </c>
      <c r="L9" s="128" t="s">
        <v>284</v>
      </c>
    </row>
    <row r="10" spans="1:12" ht="22" customHeight="1" x14ac:dyDescent="0.15">
      <c r="A10" s="47">
        <v>30038009</v>
      </c>
      <c r="B10" s="47">
        <v>1</v>
      </c>
      <c r="C10" s="47" t="s">
        <v>89</v>
      </c>
      <c r="D10" s="47">
        <v>100</v>
      </c>
      <c r="E10" s="47" t="s">
        <v>90</v>
      </c>
      <c r="F10" s="47" t="s">
        <v>90</v>
      </c>
      <c r="G10" s="47">
        <v>1</v>
      </c>
      <c r="H10" s="47" t="s">
        <v>90</v>
      </c>
      <c r="I10" s="47" t="s">
        <v>90</v>
      </c>
      <c r="J10" s="48">
        <f t="shared" si="1"/>
        <v>100</v>
      </c>
      <c r="L10" s="131" t="s">
        <v>315</v>
      </c>
    </row>
    <row r="11" spans="1:12" ht="22" customHeight="1" x14ac:dyDescent="0.15">
      <c r="A11" s="47">
        <v>30038010</v>
      </c>
      <c r="B11" s="47">
        <v>0</v>
      </c>
      <c r="C11" s="47">
        <v>100</v>
      </c>
      <c r="D11" s="47">
        <v>75</v>
      </c>
      <c r="E11" s="47">
        <v>99</v>
      </c>
      <c r="F11" s="47" t="s">
        <v>90</v>
      </c>
      <c r="G11" s="47">
        <v>3</v>
      </c>
      <c r="H11" s="47" t="s">
        <v>90</v>
      </c>
      <c r="I11" s="47" t="s">
        <v>90</v>
      </c>
      <c r="J11" s="48">
        <f t="shared" si="1"/>
        <v>75</v>
      </c>
      <c r="L11" s="131" t="s">
        <v>252</v>
      </c>
    </row>
    <row r="12" spans="1:12" ht="22" customHeight="1" x14ac:dyDescent="0.15">
      <c r="A12" s="47">
        <v>30038011</v>
      </c>
      <c r="B12" s="47">
        <v>0</v>
      </c>
      <c r="C12" s="47">
        <v>100</v>
      </c>
      <c r="D12" s="47">
        <v>50</v>
      </c>
      <c r="E12" s="47" t="s">
        <v>90</v>
      </c>
      <c r="F12" s="47" t="s">
        <v>90</v>
      </c>
      <c r="G12" s="47">
        <v>3</v>
      </c>
      <c r="H12" s="47" t="s">
        <v>90</v>
      </c>
      <c r="I12" s="47" t="s">
        <v>90</v>
      </c>
      <c r="J12" s="48">
        <f t="shared" si="1"/>
        <v>50</v>
      </c>
      <c r="L12" s="131" t="s">
        <v>253</v>
      </c>
    </row>
    <row r="13" spans="1:12" ht="22" customHeight="1" x14ac:dyDescent="0.15">
      <c r="A13" s="47">
        <v>30038012</v>
      </c>
      <c r="B13" s="47">
        <v>0</v>
      </c>
      <c r="C13" s="47">
        <v>99</v>
      </c>
      <c r="D13" s="47">
        <v>100</v>
      </c>
      <c r="E13" s="47" t="s">
        <v>90</v>
      </c>
      <c r="F13" s="47" t="s">
        <v>90</v>
      </c>
      <c r="G13" s="47" t="s">
        <v>90</v>
      </c>
      <c r="H13" s="47" t="s">
        <v>90</v>
      </c>
      <c r="I13" s="47" t="s">
        <v>90</v>
      </c>
      <c r="J13" s="48">
        <f t="shared" si="1"/>
        <v>100</v>
      </c>
      <c r="L13" s="131" t="s">
        <v>253</v>
      </c>
    </row>
    <row r="14" spans="1:12" ht="22" customHeight="1" x14ac:dyDescent="0.15">
      <c r="A14" s="47">
        <v>30038013</v>
      </c>
      <c r="B14" s="47">
        <v>0</v>
      </c>
      <c r="C14" s="47">
        <v>100</v>
      </c>
      <c r="D14" s="47">
        <v>60</v>
      </c>
      <c r="E14" s="47" t="s">
        <v>90</v>
      </c>
      <c r="F14" s="47" t="s">
        <v>90</v>
      </c>
      <c r="G14" s="47">
        <v>4</v>
      </c>
      <c r="H14" s="47" t="s">
        <v>90</v>
      </c>
      <c r="I14" s="47" t="s">
        <v>90</v>
      </c>
      <c r="J14" s="48">
        <f t="shared" si="1"/>
        <v>60</v>
      </c>
      <c r="L14" s="131" t="s">
        <v>254</v>
      </c>
    </row>
    <row r="15" spans="1:12" ht="22" customHeight="1" x14ac:dyDescent="0.15">
      <c r="A15" s="47">
        <v>30038014</v>
      </c>
      <c r="B15" s="47">
        <v>0</v>
      </c>
      <c r="C15" s="47">
        <v>99</v>
      </c>
      <c r="D15" s="47">
        <v>100</v>
      </c>
      <c r="E15" s="47" t="s">
        <v>90</v>
      </c>
      <c r="F15" s="47" t="s">
        <v>90</v>
      </c>
      <c r="G15" s="47" t="s">
        <v>90</v>
      </c>
      <c r="H15" s="47" t="s">
        <v>90</v>
      </c>
      <c r="I15" s="47" t="s">
        <v>90</v>
      </c>
      <c r="J15" s="48">
        <f t="shared" si="1"/>
        <v>100</v>
      </c>
      <c r="L15" s="131" t="s">
        <v>254</v>
      </c>
    </row>
    <row r="16" spans="1:12" ht="22" customHeight="1" x14ac:dyDescent="0.15">
      <c r="A16" s="47">
        <v>30038015</v>
      </c>
      <c r="B16" s="47">
        <v>1</v>
      </c>
      <c r="C16" s="47" t="s">
        <v>89</v>
      </c>
      <c r="D16" s="47">
        <v>100</v>
      </c>
      <c r="E16" s="47" t="s">
        <v>90</v>
      </c>
      <c r="F16" s="47" t="s">
        <v>90</v>
      </c>
      <c r="G16" s="47">
        <v>1</v>
      </c>
      <c r="H16" s="47" t="s">
        <v>90</v>
      </c>
      <c r="I16" s="47" t="s">
        <v>90</v>
      </c>
      <c r="J16" s="48">
        <f t="shared" si="1"/>
        <v>100</v>
      </c>
      <c r="L16" s="128" t="s">
        <v>285</v>
      </c>
    </row>
    <row r="17" spans="1:12" ht="22" customHeight="1" x14ac:dyDescent="0.15">
      <c r="A17" s="47">
        <v>30038016</v>
      </c>
      <c r="B17" s="47">
        <v>1</v>
      </c>
      <c r="C17" s="47" t="s">
        <v>89</v>
      </c>
      <c r="D17" s="47">
        <v>100</v>
      </c>
      <c r="E17" s="47" t="s">
        <v>90</v>
      </c>
      <c r="F17" s="47" t="s">
        <v>90</v>
      </c>
      <c r="G17" s="47">
        <v>1</v>
      </c>
      <c r="H17" s="47" t="s">
        <v>90</v>
      </c>
      <c r="I17" s="47" t="s">
        <v>90</v>
      </c>
      <c r="J17" s="48">
        <f t="shared" si="1"/>
        <v>100</v>
      </c>
      <c r="L17" s="128" t="s">
        <v>278</v>
      </c>
    </row>
    <row r="18" spans="1:12" ht="22" customHeight="1" x14ac:dyDescent="0.15">
      <c r="A18" s="47">
        <v>30038017</v>
      </c>
      <c r="B18" s="47">
        <v>1</v>
      </c>
      <c r="C18" s="47" t="s">
        <v>89</v>
      </c>
      <c r="D18" s="47">
        <v>100</v>
      </c>
      <c r="E18" s="47" t="s">
        <v>90</v>
      </c>
      <c r="F18" s="47" t="s">
        <v>90</v>
      </c>
      <c r="G18" s="47">
        <v>1</v>
      </c>
      <c r="H18" s="47" t="s">
        <v>90</v>
      </c>
      <c r="I18" s="47" t="s">
        <v>90</v>
      </c>
      <c r="J18" s="48">
        <f t="shared" si="1"/>
        <v>100</v>
      </c>
      <c r="L18" s="128" t="s">
        <v>279</v>
      </c>
    </row>
    <row r="19" spans="1:12" ht="22" customHeight="1" x14ac:dyDescent="0.15">
      <c r="A19" s="47">
        <v>30038018</v>
      </c>
      <c r="B19" s="47">
        <v>0</v>
      </c>
      <c r="C19" s="47">
        <v>100</v>
      </c>
      <c r="D19" s="47">
        <v>100</v>
      </c>
      <c r="E19" s="47" t="s">
        <v>90</v>
      </c>
      <c r="F19" s="47" t="s">
        <v>90</v>
      </c>
      <c r="G19" s="47">
        <v>1</v>
      </c>
      <c r="H19" s="47" t="s">
        <v>90</v>
      </c>
      <c r="I19" s="47" t="s">
        <v>90</v>
      </c>
      <c r="J19" s="48">
        <f t="shared" si="1"/>
        <v>100</v>
      </c>
      <c r="L19" s="128" t="s">
        <v>330</v>
      </c>
    </row>
    <row r="20" spans="1:12" ht="22" customHeight="1" x14ac:dyDescent="0.15">
      <c r="A20" s="47">
        <v>30038019</v>
      </c>
      <c r="B20" s="47">
        <v>0</v>
      </c>
      <c r="C20" s="47">
        <v>100</v>
      </c>
      <c r="D20" s="47">
        <v>100</v>
      </c>
      <c r="E20" s="47" t="s">
        <v>90</v>
      </c>
      <c r="F20" s="47" t="s">
        <v>90</v>
      </c>
      <c r="G20" s="47">
        <v>1</v>
      </c>
      <c r="H20" s="47" t="s">
        <v>90</v>
      </c>
      <c r="I20" s="47" t="s">
        <v>90</v>
      </c>
      <c r="J20" s="48">
        <f t="shared" si="1"/>
        <v>100</v>
      </c>
      <c r="L20" s="128" t="s">
        <v>331</v>
      </c>
    </row>
    <row r="21" spans="1:12" ht="22" customHeight="1" x14ac:dyDescent="0.15">
      <c r="A21" s="47">
        <v>30038020</v>
      </c>
      <c r="B21" s="47">
        <v>0</v>
      </c>
      <c r="C21" s="47">
        <v>100</v>
      </c>
      <c r="D21" s="47">
        <v>100</v>
      </c>
      <c r="E21" s="47" t="s">
        <v>90</v>
      </c>
      <c r="F21" s="47" t="s">
        <v>90</v>
      </c>
      <c r="G21" s="47">
        <v>1</v>
      </c>
      <c r="H21" s="47" t="s">
        <v>90</v>
      </c>
      <c r="I21" s="47" t="s">
        <v>90</v>
      </c>
      <c r="J21" s="48">
        <f t="shared" si="1"/>
        <v>100</v>
      </c>
      <c r="L21" s="128" t="s">
        <v>332</v>
      </c>
    </row>
    <row r="22" spans="1:12" ht="22" customHeight="1" x14ac:dyDescent="0.15">
      <c r="A22" s="47">
        <v>30038021</v>
      </c>
      <c r="B22" s="47">
        <v>0</v>
      </c>
      <c r="C22" s="47">
        <v>99</v>
      </c>
      <c r="D22" s="47">
        <v>100</v>
      </c>
      <c r="E22" s="47" t="s">
        <v>90</v>
      </c>
      <c r="F22" s="47" t="s">
        <v>90</v>
      </c>
      <c r="G22" s="47">
        <v>1</v>
      </c>
      <c r="H22" s="47" t="s">
        <v>90</v>
      </c>
      <c r="I22" s="47" t="s">
        <v>90</v>
      </c>
      <c r="J22" s="48">
        <f t="shared" si="1"/>
        <v>100</v>
      </c>
      <c r="L22" s="128" t="s">
        <v>333</v>
      </c>
    </row>
    <row r="23" spans="1:12" ht="22" customHeight="1" x14ac:dyDescent="0.15">
      <c r="A23" s="47">
        <v>30038022</v>
      </c>
      <c r="B23" s="47">
        <v>0</v>
      </c>
      <c r="C23" s="47">
        <v>99</v>
      </c>
      <c r="D23" s="47">
        <v>100</v>
      </c>
      <c r="E23" s="47" t="s">
        <v>90</v>
      </c>
      <c r="F23" s="47" t="s">
        <v>90</v>
      </c>
      <c r="G23" s="47">
        <v>1</v>
      </c>
      <c r="H23" s="47" t="s">
        <v>90</v>
      </c>
      <c r="I23" s="47" t="s">
        <v>90</v>
      </c>
      <c r="J23" s="48">
        <f t="shared" si="1"/>
        <v>100</v>
      </c>
      <c r="L23" s="128" t="s">
        <v>334</v>
      </c>
    </row>
    <row r="24" spans="1:12" ht="22" customHeight="1" x14ac:dyDescent="0.15">
      <c r="A24" s="47">
        <v>30038023</v>
      </c>
      <c r="B24" s="47">
        <v>0</v>
      </c>
      <c r="C24" s="47">
        <v>99</v>
      </c>
      <c r="D24" s="47">
        <v>100</v>
      </c>
      <c r="E24" s="47" t="s">
        <v>90</v>
      </c>
      <c r="F24" s="47" t="s">
        <v>90</v>
      </c>
      <c r="G24" s="47">
        <v>1</v>
      </c>
      <c r="H24" s="47" t="s">
        <v>90</v>
      </c>
      <c r="I24" s="47" t="s">
        <v>90</v>
      </c>
      <c r="J24" s="48">
        <f t="shared" si="1"/>
        <v>100</v>
      </c>
      <c r="L24" s="128" t="s">
        <v>335</v>
      </c>
    </row>
    <row r="25" spans="1:12" ht="22" customHeight="1" x14ac:dyDescent="0.15">
      <c r="A25" s="47">
        <v>30038024</v>
      </c>
      <c r="B25" s="47">
        <v>0</v>
      </c>
      <c r="C25" s="47">
        <v>98</v>
      </c>
      <c r="D25" s="47">
        <v>100</v>
      </c>
      <c r="E25" s="47" t="s">
        <v>90</v>
      </c>
      <c r="F25" s="47" t="s">
        <v>90</v>
      </c>
      <c r="G25" s="47">
        <v>1</v>
      </c>
      <c r="H25" s="47" t="s">
        <v>90</v>
      </c>
      <c r="I25" s="47" t="s">
        <v>90</v>
      </c>
      <c r="J25" s="48">
        <f t="shared" si="1"/>
        <v>100</v>
      </c>
      <c r="L25" s="128" t="s">
        <v>336</v>
      </c>
    </row>
    <row r="26" spans="1:12" ht="22" customHeight="1" x14ac:dyDescent="0.15">
      <c r="A26" s="47">
        <v>30038025</v>
      </c>
      <c r="B26" s="47">
        <v>0</v>
      </c>
      <c r="C26" s="47">
        <v>98</v>
      </c>
      <c r="D26" s="47">
        <v>100</v>
      </c>
      <c r="E26" s="47" t="s">
        <v>90</v>
      </c>
      <c r="F26" s="47" t="s">
        <v>90</v>
      </c>
      <c r="G26" s="47">
        <v>1</v>
      </c>
      <c r="H26" s="47" t="s">
        <v>90</v>
      </c>
      <c r="I26" s="47" t="s">
        <v>90</v>
      </c>
      <c r="J26" s="48">
        <f t="shared" si="1"/>
        <v>100</v>
      </c>
      <c r="L26" s="128" t="s">
        <v>337</v>
      </c>
    </row>
    <row r="27" spans="1:12" ht="22" customHeight="1" x14ac:dyDescent="0.15">
      <c r="A27" s="47">
        <v>30038026</v>
      </c>
      <c r="B27" s="47">
        <v>0</v>
      </c>
      <c r="C27" s="47">
        <v>98</v>
      </c>
      <c r="D27" s="47">
        <v>100</v>
      </c>
      <c r="E27" s="47" t="s">
        <v>90</v>
      </c>
      <c r="F27" s="47" t="s">
        <v>90</v>
      </c>
      <c r="G27" s="47">
        <v>1</v>
      </c>
      <c r="H27" s="47" t="s">
        <v>90</v>
      </c>
      <c r="I27" s="47" t="s">
        <v>90</v>
      </c>
      <c r="J27" s="48">
        <f t="shared" si="1"/>
        <v>100</v>
      </c>
      <c r="L27" s="128" t="s">
        <v>338</v>
      </c>
    </row>
    <row r="28" spans="1:12" ht="22" customHeight="1" x14ac:dyDescent="0.15">
      <c r="A28" s="47">
        <v>30038027</v>
      </c>
      <c r="B28" s="47">
        <v>0</v>
      </c>
      <c r="C28" s="47">
        <v>97</v>
      </c>
      <c r="D28" s="47">
        <v>100</v>
      </c>
      <c r="E28" s="47" t="s">
        <v>90</v>
      </c>
      <c r="F28" s="47" t="s">
        <v>90</v>
      </c>
      <c r="G28" s="47">
        <v>1</v>
      </c>
      <c r="H28" s="47" t="s">
        <v>90</v>
      </c>
      <c r="I28" s="47" t="s">
        <v>90</v>
      </c>
      <c r="J28" s="48">
        <f t="shared" si="1"/>
        <v>100</v>
      </c>
      <c r="L28" s="128" t="s">
        <v>339</v>
      </c>
    </row>
    <row r="29" spans="1:12" ht="22" customHeight="1" x14ac:dyDescent="0.15">
      <c r="A29" s="47">
        <v>30038028</v>
      </c>
      <c r="B29" s="47">
        <v>0</v>
      </c>
      <c r="C29" s="47">
        <v>97</v>
      </c>
      <c r="D29" s="47">
        <v>100</v>
      </c>
      <c r="E29" s="47" t="s">
        <v>90</v>
      </c>
      <c r="F29" s="47" t="s">
        <v>90</v>
      </c>
      <c r="G29" s="47">
        <v>1</v>
      </c>
      <c r="H29" s="47" t="s">
        <v>90</v>
      </c>
      <c r="I29" s="47" t="s">
        <v>90</v>
      </c>
      <c r="J29" s="48">
        <f t="shared" si="1"/>
        <v>100</v>
      </c>
      <c r="L29" s="128" t="s">
        <v>340</v>
      </c>
    </row>
    <row r="30" spans="1:12" ht="22" customHeight="1" x14ac:dyDescent="0.15">
      <c r="A30" s="47">
        <v>30038029</v>
      </c>
      <c r="B30" s="47">
        <v>0</v>
      </c>
      <c r="C30" s="47">
        <v>97</v>
      </c>
      <c r="D30" s="47">
        <v>100</v>
      </c>
      <c r="E30" s="47" t="s">
        <v>90</v>
      </c>
      <c r="F30" s="47" t="s">
        <v>90</v>
      </c>
      <c r="G30" s="47">
        <v>1</v>
      </c>
      <c r="H30" s="47" t="s">
        <v>90</v>
      </c>
      <c r="I30" s="47" t="s">
        <v>90</v>
      </c>
      <c r="J30" s="48">
        <f t="shared" si="1"/>
        <v>100</v>
      </c>
      <c r="L30" s="128" t="s">
        <v>341</v>
      </c>
    </row>
    <row r="31" spans="1:12" ht="22" customHeight="1" x14ac:dyDescent="0.15">
      <c r="A31" s="47">
        <v>30038030</v>
      </c>
      <c r="B31" s="47">
        <v>0</v>
      </c>
      <c r="C31" s="47">
        <v>96</v>
      </c>
      <c r="D31" s="47">
        <v>100</v>
      </c>
      <c r="E31" s="47" t="s">
        <v>90</v>
      </c>
      <c r="F31" s="47" t="s">
        <v>90</v>
      </c>
      <c r="G31" s="47">
        <v>1</v>
      </c>
      <c r="H31" s="47" t="s">
        <v>90</v>
      </c>
      <c r="I31" s="47" t="s">
        <v>90</v>
      </c>
      <c r="J31" s="48">
        <f t="shared" si="1"/>
        <v>100</v>
      </c>
      <c r="L31" s="128" t="s">
        <v>342</v>
      </c>
    </row>
    <row r="32" spans="1:12" ht="22" customHeight="1" x14ac:dyDescent="0.15">
      <c r="A32" s="47">
        <v>30038031</v>
      </c>
      <c r="B32" s="47">
        <v>0</v>
      </c>
      <c r="C32" s="47">
        <v>96</v>
      </c>
      <c r="D32" s="47">
        <v>100</v>
      </c>
      <c r="E32" s="47" t="s">
        <v>90</v>
      </c>
      <c r="F32" s="47" t="s">
        <v>90</v>
      </c>
      <c r="G32" s="47">
        <v>1</v>
      </c>
      <c r="H32" s="47" t="s">
        <v>90</v>
      </c>
      <c r="I32" s="47" t="s">
        <v>90</v>
      </c>
      <c r="J32" s="48">
        <f t="shared" si="1"/>
        <v>100</v>
      </c>
      <c r="L32" s="128" t="s">
        <v>343</v>
      </c>
    </row>
    <row r="33" spans="1:12" ht="22" customHeight="1" x14ac:dyDescent="0.15">
      <c r="A33" s="47">
        <v>30038032</v>
      </c>
      <c r="B33" s="47">
        <v>0</v>
      </c>
      <c r="C33" s="47">
        <v>96</v>
      </c>
      <c r="D33" s="47">
        <v>100</v>
      </c>
      <c r="E33" s="47" t="s">
        <v>90</v>
      </c>
      <c r="F33" s="47" t="s">
        <v>90</v>
      </c>
      <c r="G33" s="47">
        <v>1</v>
      </c>
      <c r="H33" s="47" t="s">
        <v>90</v>
      </c>
      <c r="I33" s="47" t="s">
        <v>90</v>
      </c>
      <c r="J33" s="48">
        <f t="shared" si="1"/>
        <v>100</v>
      </c>
      <c r="L33" s="128" t="s">
        <v>344</v>
      </c>
    </row>
    <row r="34" spans="1:12" ht="22" customHeight="1" x14ac:dyDescent="0.15">
      <c r="A34" s="47">
        <v>30038033</v>
      </c>
      <c r="B34" s="47">
        <v>0</v>
      </c>
      <c r="C34" s="47">
        <v>95</v>
      </c>
      <c r="D34" s="47">
        <v>100</v>
      </c>
      <c r="E34" s="47" t="s">
        <v>90</v>
      </c>
      <c r="F34" s="47" t="s">
        <v>90</v>
      </c>
      <c r="G34" s="47">
        <v>1</v>
      </c>
      <c r="H34" s="47" t="s">
        <v>90</v>
      </c>
      <c r="I34" s="47" t="s">
        <v>90</v>
      </c>
      <c r="J34" s="48">
        <f t="shared" si="1"/>
        <v>100</v>
      </c>
      <c r="L34" s="128" t="s">
        <v>345</v>
      </c>
    </row>
    <row r="35" spans="1:12" ht="22" customHeight="1" x14ac:dyDescent="0.15">
      <c r="A35" s="47">
        <v>30038034</v>
      </c>
      <c r="B35" s="47">
        <v>0</v>
      </c>
      <c r="C35" s="47">
        <v>95</v>
      </c>
      <c r="D35" s="47">
        <v>100</v>
      </c>
      <c r="E35" s="47" t="s">
        <v>90</v>
      </c>
      <c r="F35" s="47" t="s">
        <v>90</v>
      </c>
      <c r="G35" s="47">
        <v>1</v>
      </c>
      <c r="H35" s="47" t="s">
        <v>90</v>
      </c>
      <c r="I35" s="47" t="s">
        <v>90</v>
      </c>
      <c r="J35" s="48">
        <f t="shared" si="1"/>
        <v>100</v>
      </c>
      <c r="L35" s="128" t="s">
        <v>346</v>
      </c>
    </row>
    <row r="36" spans="1:12" ht="22" customHeight="1" x14ac:dyDescent="0.15">
      <c r="A36" s="47">
        <v>30038035</v>
      </c>
      <c r="B36" s="47">
        <v>0</v>
      </c>
      <c r="C36" s="47">
        <v>95</v>
      </c>
      <c r="D36" s="47">
        <v>100</v>
      </c>
      <c r="E36" s="47" t="s">
        <v>90</v>
      </c>
      <c r="F36" s="47" t="s">
        <v>90</v>
      </c>
      <c r="G36" s="47">
        <v>1</v>
      </c>
      <c r="H36" s="47" t="s">
        <v>90</v>
      </c>
      <c r="I36" s="47" t="s">
        <v>90</v>
      </c>
      <c r="J36" s="48">
        <f t="shared" si="1"/>
        <v>100</v>
      </c>
      <c r="L36" s="128" t="s">
        <v>347</v>
      </c>
    </row>
    <row r="37" spans="1:12" ht="22" customHeight="1" x14ac:dyDescent="0.15">
      <c r="A37" s="47">
        <v>30038036</v>
      </c>
      <c r="B37" s="47">
        <v>0</v>
      </c>
      <c r="C37" s="47" t="s">
        <v>89</v>
      </c>
      <c r="D37" s="47">
        <v>100</v>
      </c>
      <c r="E37" s="47" t="s">
        <v>90</v>
      </c>
      <c r="F37" s="47" t="s">
        <v>90</v>
      </c>
      <c r="G37" s="47">
        <v>0</v>
      </c>
      <c r="H37" s="47" t="s">
        <v>90</v>
      </c>
      <c r="I37" s="47">
        <v>0</v>
      </c>
      <c r="J37" s="48">
        <f t="shared" si="1"/>
        <v>100</v>
      </c>
      <c r="L37" s="128" t="s">
        <v>276</v>
      </c>
    </row>
    <row r="38" spans="1:12" ht="22" customHeight="1" x14ac:dyDescent="0.15">
      <c r="A38" s="47">
        <v>30038037</v>
      </c>
      <c r="B38" s="47">
        <v>1</v>
      </c>
      <c r="C38" s="47">
        <v>100</v>
      </c>
      <c r="D38" s="47">
        <v>100</v>
      </c>
      <c r="E38" s="47" t="s">
        <v>90</v>
      </c>
      <c r="F38" s="47" t="s">
        <v>90</v>
      </c>
      <c r="G38" s="47">
        <v>1</v>
      </c>
      <c r="H38" s="47" t="s">
        <v>90</v>
      </c>
      <c r="I38" s="47">
        <v>1010</v>
      </c>
      <c r="J38" s="48">
        <f t="shared" si="1"/>
        <v>100</v>
      </c>
      <c r="L38" s="128" t="s">
        <v>364</v>
      </c>
    </row>
    <row r="39" spans="1:12" ht="22" customHeight="1" x14ac:dyDescent="0.15">
      <c r="A39" s="47">
        <v>30038038</v>
      </c>
      <c r="B39" s="47">
        <v>1</v>
      </c>
      <c r="C39" s="47">
        <v>99</v>
      </c>
      <c r="D39" s="47">
        <v>100</v>
      </c>
      <c r="E39" s="47" t="s">
        <v>90</v>
      </c>
      <c r="F39" s="47" t="s">
        <v>90</v>
      </c>
      <c r="G39" s="47">
        <v>1</v>
      </c>
      <c r="H39" s="47" t="s">
        <v>90</v>
      </c>
      <c r="I39" s="47">
        <v>1011</v>
      </c>
      <c r="J39" s="48">
        <f t="shared" si="1"/>
        <v>100</v>
      </c>
      <c r="L39" s="128" t="s">
        <v>365</v>
      </c>
    </row>
    <row r="40" spans="1:12" ht="22" customHeight="1" x14ac:dyDescent="0.15">
      <c r="A40" s="47">
        <v>30038039</v>
      </c>
      <c r="B40" s="47">
        <v>1</v>
      </c>
      <c r="C40" s="47">
        <v>98</v>
      </c>
      <c r="D40" s="47">
        <v>100</v>
      </c>
      <c r="E40" s="47" t="s">
        <v>90</v>
      </c>
      <c r="F40" s="47" t="s">
        <v>90</v>
      </c>
      <c r="G40" s="47">
        <v>1</v>
      </c>
      <c r="H40" s="47" t="s">
        <v>90</v>
      </c>
      <c r="I40" s="47">
        <v>1008</v>
      </c>
      <c r="J40" s="48">
        <f t="shared" si="1"/>
        <v>100</v>
      </c>
      <c r="L40" s="128" t="s">
        <v>367</v>
      </c>
    </row>
    <row r="41" spans="1:12" ht="22" customHeight="1" x14ac:dyDescent="0.15">
      <c r="A41" s="47">
        <v>30038040</v>
      </c>
      <c r="B41" s="47">
        <v>1</v>
      </c>
      <c r="C41" s="47">
        <v>97</v>
      </c>
      <c r="D41" s="47">
        <v>100</v>
      </c>
      <c r="E41" s="47" t="s">
        <v>90</v>
      </c>
      <c r="F41" s="47" t="s">
        <v>90</v>
      </c>
      <c r="G41" s="47">
        <v>1</v>
      </c>
      <c r="H41" s="47" t="s">
        <v>90</v>
      </c>
      <c r="I41" s="47">
        <v>1009</v>
      </c>
      <c r="J41" s="48">
        <f t="shared" si="1"/>
        <v>100</v>
      </c>
      <c r="L41" s="128" t="s">
        <v>366</v>
      </c>
    </row>
    <row r="42" spans="1:12" ht="22" customHeight="1" x14ac:dyDescent="0.15">
      <c r="A42" s="47">
        <v>30038041</v>
      </c>
      <c r="B42" s="47">
        <v>1</v>
      </c>
      <c r="C42" s="47">
        <v>96</v>
      </c>
      <c r="D42" s="47">
        <v>100</v>
      </c>
      <c r="E42" s="47" t="s">
        <v>90</v>
      </c>
      <c r="F42" s="47" t="s">
        <v>90</v>
      </c>
      <c r="G42" s="47">
        <v>1</v>
      </c>
      <c r="H42" s="47" t="s">
        <v>90</v>
      </c>
      <c r="I42" s="47">
        <v>1006</v>
      </c>
      <c r="J42" s="48">
        <f t="shared" si="1"/>
        <v>100</v>
      </c>
      <c r="L42" s="128" t="s">
        <v>368</v>
      </c>
    </row>
    <row r="43" spans="1:12" ht="22" customHeight="1" x14ac:dyDescent="0.15">
      <c r="A43" s="47">
        <v>30038042</v>
      </c>
      <c r="B43" s="47">
        <v>1</v>
      </c>
      <c r="C43" s="47">
        <v>95</v>
      </c>
      <c r="D43" s="47">
        <v>100</v>
      </c>
      <c r="E43" s="47" t="s">
        <v>90</v>
      </c>
      <c r="F43" s="47" t="s">
        <v>90</v>
      </c>
      <c r="G43" s="47">
        <v>1</v>
      </c>
      <c r="H43" s="47" t="s">
        <v>90</v>
      </c>
      <c r="I43" s="47">
        <v>1007</v>
      </c>
      <c r="J43" s="48">
        <f t="shared" si="1"/>
        <v>100</v>
      </c>
      <c r="L43" s="128" t="s">
        <v>369</v>
      </c>
    </row>
    <row r="44" spans="1:12" ht="22" customHeight="1" x14ac:dyDescent="0.15">
      <c r="A44" s="47">
        <v>30038043</v>
      </c>
      <c r="B44" s="47">
        <v>1</v>
      </c>
      <c r="C44" s="47">
        <v>94</v>
      </c>
      <c r="D44" s="47">
        <v>100</v>
      </c>
      <c r="E44" s="47" t="s">
        <v>90</v>
      </c>
      <c r="F44" s="47" t="s">
        <v>90</v>
      </c>
      <c r="G44" s="47">
        <v>1</v>
      </c>
      <c r="H44" s="47" t="s">
        <v>90</v>
      </c>
      <c r="I44" s="47">
        <v>1004</v>
      </c>
      <c r="J44" s="48">
        <f t="shared" si="1"/>
        <v>100</v>
      </c>
      <c r="L44" s="128" t="s">
        <v>370</v>
      </c>
    </row>
    <row r="45" spans="1:12" ht="22" customHeight="1" x14ac:dyDescent="0.15">
      <c r="A45" s="47">
        <v>30038044</v>
      </c>
      <c r="B45" s="47">
        <v>1</v>
      </c>
      <c r="C45" s="47">
        <v>93</v>
      </c>
      <c r="D45" s="47">
        <v>100</v>
      </c>
      <c r="E45" s="47" t="s">
        <v>90</v>
      </c>
      <c r="F45" s="47" t="s">
        <v>90</v>
      </c>
      <c r="G45" s="47">
        <v>1</v>
      </c>
      <c r="H45" s="47" t="s">
        <v>90</v>
      </c>
      <c r="I45" s="47">
        <v>1005</v>
      </c>
      <c r="J45" s="48">
        <f t="shared" si="1"/>
        <v>100</v>
      </c>
      <c r="L45" s="128" t="s">
        <v>371</v>
      </c>
    </row>
    <row r="46" spans="1:12" ht="22" customHeight="1" x14ac:dyDescent="0.15">
      <c r="A46" s="47">
        <v>30038045</v>
      </c>
      <c r="B46" s="47">
        <v>1</v>
      </c>
      <c r="C46" s="47">
        <v>92</v>
      </c>
      <c r="D46" s="47">
        <v>100</v>
      </c>
      <c r="E46" s="47" t="s">
        <v>90</v>
      </c>
      <c r="F46" s="47" t="s">
        <v>90</v>
      </c>
      <c r="G46" s="47">
        <v>1</v>
      </c>
      <c r="H46" s="47" t="s">
        <v>90</v>
      </c>
      <c r="I46" s="47">
        <v>1012</v>
      </c>
      <c r="J46" s="48">
        <f t="shared" si="1"/>
        <v>100</v>
      </c>
      <c r="L46" s="128" t="s">
        <v>373</v>
      </c>
    </row>
    <row r="47" spans="1:12" ht="22" customHeight="1" x14ac:dyDescent="0.15">
      <c r="A47" s="47">
        <v>30038046</v>
      </c>
      <c r="B47" s="47">
        <v>1</v>
      </c>
      <c r="C47" s="47">
        <v>91</v>
      </c>
      <c r="D47" s="47">
        <v>100</v>
      </c>
      <c r="E47" s="47" t="s">
        <v>90</v>
      </c>
      <c r="F47" s="47" t="s">
        <v>90</v>
      </c>
      <c r="G47" s="47">
        <v>1</v>
      </c>
      <c r="H47" s="47" t="s">
        <v>90</v>
      </c>
      <c r="I47" s="47">
        <v>1013</v>
      </c>
      <c r="J47" s="48">
        <f t="shared" si="1"/>
        <v>100</v>
      </c>
      <c r="L47" s="128" t="s">
        <v>372</v>
      </c>
    </row>
    <row r="48" spans="1:12" ht="22" customHeight="1" x14ac:dyDescent="0.15">
      <c r="A48" s="47">
        <v>30038047</v>
      </c>
      <c r="B48" s="47">
        <v>1</v>
      </c>
      <c r="C48" s="47">
        <v>90</v>
      </c>
      <c r="D48" s="47">
        <v>100</v>
      </c>
      <c r="E48" s="47" t="s">
        <v>90</v>
      </c>
      <c r="F48" s="47" t="s">
        <v>90</v>
      </c>
      <c r="G48" s="47">
        <v>1</v>
      </c>
      <c r="H48" s="47" t="s">
        <v>90</v>
      </c>
      <c r="I48" s="47">
        <v>1018</v>
      </c>
      <c r="J48" s="48">
        <f t="shared" si="1"/>
        <v>100</v>
      </c>
      <c r="L48" s="128" t="s">
        <v>375</v>
      </c>
    </row>
    <row r="49" spans="1:12" ht="22" customHeight="1" x14ac:dyDescent="0.15">
      <c r="A49" s="47">
        <v>30038048</v>
      </c>
      <c r="B49" s="47">
        <v>1</v>
      </c>
      <c r="C49" s="47">
        <v>89</v>
      </c>
      <c r="D49" s="47">
        <v>100</v>
      </c>
      <c r="E49" s="47" t="s">
        <v>90</v>
      </c>
      <c r="F49" s="47" t="s">
        <v>90</v>
      </c>
      <c r="G49" s="47">
        <v>1</v>
      </c>
      <c r="H49" s="47" t="s">
        <v>90</v>
      </c>
      <c r="I49" s="47">
        <v>1019</v>
      </c>
      <c r="J49" s="48">
        <f t="shared" si="1"/>
        <v>100</v>
      </c>
      <c r="L49" s="128" t="s">
        <v>374</v>
      </c>
    </row>
    <row r="50" spans="1:12" ht="22" customHeight="1" x14ac:dyDescent="0.15">
      <c r="A50" s="47">
        <v>30038049</v>
      </c>
      <c r="B50" s="47">
        <v>1</v>
      </c>
      <c r="C50" s="47">
        <v>88</v>
      </c>
      <c r="D50" s="47">
        <v>100</v>
      </c>
      <c r="E50" s="47" t="s">
        <v>90</v>
      </c>
      <c r="F50" s="47" t="s">
        <v>90</v>
      </c>
      <c r="G50" s="47">
        <v>1</v>
      </c>
      <c r="H50" s="47" t="s">
        <v>90</v>
      </c>
      <c r="I50" s="47">
        <v>1014</v>
      </c>
      <c r="J50" s="48">
        <f t="shared" si="1"/>
        <v>100</v>
      </c>
      <c r="L50" s="128" t="s">
        <v>377</v>
      </c>
    </row>
    <row r="51" spans="1:12" ht="22" customHeight="1" x14ac:dyDescent="0.15">
      <c r="A51" s="47">
        <v>30038050</v>
      </c>
      <c r="B51" s="47">
        <v>1</v>
      </c>
      <c r="C51" s="47">
        <v>87</v>
      </c>
      <c r="D51" s="47">
        <v>100</v>
      </c>
      <c r="E51" s="47" t="s">
        <v>90</v>
      </c>
      <c r="F51" s="47" t="s">
        <v>90</v>
      </c>
      <c r="G51" s="47">
        <v>1</v>
      </c>
      <c r="H51" s="47" t="s">
        <v>90</v>
      </c>
      <c r="I51" s="47">
        <v>1015</v>
      </c>
      <c r="J51" s="48">
        <f t="shared" si="1"/>
        <v>100</v>
      </c>
      <c r="L51" s="128" t="s">
        <v>376</v>
      </c>
    </row>
    <row r="52" spans="1:12" ht="22" customHeight="1" x14ac:dyDescent="0.15">
      <c r="A52" s="47">
        <v>30038051</v>
      </c>
      <c r="B52" s="47">
        <v>1</v>
      </c>
      <c r="C52" s="47">
        <v>86</v>
      </c>
      <c r="D52" s="47">
        <v>100</v>
      </c>
      <c r="E52" s="47" t="s">
        <v>90</v>
      </c>
      <c r="F52" s="47" t="s">
        <v>90</v>
      </c>
      <c r="G52" s="47">
        <v>1</v>
      </c>
      <c r="H52" s="47" t="s">
        <v>90</v>
      </c>
      <c r="I52" s="47">
        <v>1016</v>
      </c>
      <c r="J52" s="48">
        <f t="shared" si="1"/>
        <v>100</v>
      </c>
      <c r="L52" s="128" t="s">
        <v>379</v>
      </c>
    </row>
    <row r="53" spans="1:12" ht="22" customHeight="1" x14ac:dyDescent="0.15">
      <c r="A53" s="47">
        <v>30038052</v>
      </c>
      <c r="B53" s="47">
        <v>1</v>
      </c>
      <c r="C53" s="47">
        <v>85</v>
      </c>
      <c r="D53" s="47">
        <v>100</v>
      </c>
      <c r="E53" s="47" t="s">
        <v>90</v>
      </c>
      <c r="F53" s="47" t="s">
        <v>90</v>
      </c>
      <c r="G53" s="47">
        <v>1</v>
      </c>
      <c r="H53" s="47" t="s">
        <v>90</v>
      </c>
      <c r="I53" s="47">
        <v>1017</v>
      </c>
      <c r="J53" s="48">
        <f t="shared" si="1"/>
        <v>100</v>
      </c>
      <c r="L53" s="128" t="s">
        <v>378</v>
      </c>
    </row>
    <row r="54" spans="1:12" ht="22" customHeight="1" x14ac:dyDescent="0.15">
      <c r="A54" s="47">
        <v>30038053</v>
      </c>
      <c r="B54" s="47">
        <v>1</v>
      </c>
      <c r="C54" s="47">
        <v>84</v>
      </c>
      <c r="D54" s="47">
        <v>100</v>
      </c>
      <c r="E54" s="47" t="s">
        <v>90</v>
      </c>
      <c r="F54" s="47" t="s">
        <v>90</v>
      </c>
      <c r="G54" s="47">
        <v>1</v>
      </c>
      <c r="H54" s="47" t="s">
        <v>90</v>
      </c>
      <c r="I54" s="47">
        <v>187</v>
      </c>
      <c r="J54" s="48">
        <f t="shared" si="1"/>
        <v>100</v>
      </c>
      <c r="L54" s="128" t="s">
        <v>380</v>
      </c>
    </row>
    <row r="55" spans="1:12" ht="22" customHeight="1" x14ac:dyDescent="0.15">
      <c r="A55" s="47">
        <v>30038054</v>
      </c>
      <c r="B55" s="47">
        <v>1</v>
      </c>
      <c r="C55" s="47">
        <v>83</v>
      </c>
      <c r="D55" s="47">
        <v>100</v>
      </c>
      <c r="E55" s="47" t="s">
        <v>90</v>
      </c>
      <c r="F55" s="47" t="s">
        <v>90</v>
      </c>
      <c r="G55" s="47">
        <v>1</v>
      </c>
      <c r="H55" s="47" t="s">
        <v>90</v>
      </c>
      <c r="I55" s="47">
        <v>188</v>
      </c>
      <c r="J55" s="48">
        <f t="shared" si="1"/>
        <v>100</v>
      </c>
      <c r="L55" s="128" t="s">
        <v>381</v>
      </c>
    </row>
    <row r="56" spans="1:12" ht="22" customHeight="1" x14ac:dyDescent="0.15">
      <c r="A56" s="47">
        <v>30038055</v>
      </c>
      <c r="B56" s="47">
        <v>1</v>
      </c>
      <c r="C56" s="47">
        <v>82</v>
      </c>
      <c r="D56" s="47">
        <v>100</v>
      </c>
      <c r="E56" s="47" t="s">
        <v>90</v>
      </c>
      <c r="F56" s="47" t="s">
        <v>90</v>
      </c>
      <c r="G56" s="47">
        <v>1</v>
      </c>
      <c r="H56" s="47" t="s">
        <v>90</v>
      </c>
      <c r="I56" s="47">
        <v>189</v>
      </c>
      <c r="J56" s="48">
        <f t="shared" si="1"/>
        <v>100</v>
      </c>
      <c r="L56" s="128" t="s">
        <v>382</v>
      </c>
    </row>
    <row r="57" spans="1:12" ht="21" customHeight="1" x14ac:dyDescent="0.15">
      <c r="A57" s="47">
        <v>30038056</v>
      </c>
      <c r="B57" s="47">
        <v>1</v>
      </c>
      <c r="C57" s="47">
        <v>81</v>
      </c>
      <c r="D57" s="47">
        <v>100</v>
      </c>
      <c r="E57" s="47" t="s">
        <v>90</v>
      </c>
      <c r="F57" s="47" t="s">
        <v>90</v>
      </c>
      <c r="G57" s="47">
        <v>1</v>
      </c>
      <c r="H57" s="47" t="s">
        <v>90</v>
      </c>
      <c r="I57" s="47">
        <v>387</v>
      </c>
      <c r="J57" s="48">
        <f t="shared" si="1"/>
        <v>100</v>
      </c>
      <c r="L57" s="128" t="s">
        <v>383</v>
      </c>
    </row>
    <row r="58" spans="1:12" ht="21" customHeight="1" x14ac:dyDescent="0.15">
      <c r="A58" s="47">
        <v>30038057</v>
      </c>
      <c r="B58" s="47">
        <v>1</v>
      </c>
      <c r="C58" s="47">
        <v>80</v>
      </c>
      <c r="D58" s="47">
        <v>100</v>
      </c>
      <c r="E58" s="47" t="s">
        <v>90</v>
      </c>
      <c r="F58" s="47" t="s">
        <v>90</v>
      </c>
      <c r="G58" s="47">
        <v>1</v>
      </c>
      <c r="H58" s="47" t="s">
        <v>90</v>
      </c>
      <c r="I58" s="47">
        <v>388</v>
      </c>
      <c r="J58" s="48">
        <f t="shared" si="1"/>
        <v>100</v>
      </c>
      <c r="L58" s="128" t="s">
        <v>384</v>
      </c>
    </row>
    <row r="59" spans="1:12" ht="21" customHeight="1" x14ac:dyDescent="0.15">
      <c r="A59" s="47">
        <v>30038058</v>
      </c>
      <c r="B59" s="47">
        <v>1</v>
      </c>
      <c r="C59" s="47">
        <v>79</v>
      </c>
      <c r="D59" s="47">
        <v>100</v>
      </c>
      <c r="E59" s="47" t="s">
        <v>90</v>
      </c>
      <c r="F59" s="47" t="s">
        <v>90</v>
      </c>
      <c r="G59" s="47">
        <v>1</v>
      </c>
      <c r="H59" s="47" t="s">
        <v>90</v>
      </c>
      <c r="I59" s="47">
        <v>389</v>
      </c>
      <c r="J59" s="48">
        <f t="shared" si="1"/>
        <v>100</v>
      </c>
      <c r="L59" s="128" t="s">
        <v>385</v>
      </c>
    </row>
    <row r="60" spans="1:12" ht="21" customHeight="1" x14ac:dyDescent="0.15">
      <c r="A60" s="47">
        <v>30038059</v>
      </c>
      <c r="B60" s="47">
        <v>1</v>
      </c>
      <c r="C60" s="47">
        <v>78</v>
      </c>
      <c r="D60" s="47">
        <v>100</v>
      </c>
      <c r="E60" s="47" t="s">
        <v>90</v>
      </c>
      <c r="F60" s="47" t="s">
        <v>90</v>
      </c>
      <c r="G60" s="47">
        <v>1</v>
      </c>
      <c r="H60" s="47" t="s">
        <v>90</v>
      </c>
      <c r="I60" s="47" t="s">
        <v>90</v>
      </c>
      <c r="J60" s="48">
        <f t="shared" si="1"/>
        <v>100</v>
      </c>
      <c r="L60" s="128" t="s">
        <v>348</v>
      </c>
    </row>
    <row r="61" spans="1:12" ht="21" customHeight="1" x14ac:dyDescent="0.15">
      <c r="A61" s="47">
        <v>30038060</v>
      </c>
      <c r="B61" s="47">
        <v>0</v>
      </c>
      <c r="C61" s="47">
        <v>77</v>
      </c>
      <c r="D61" s="47">
        <v>100</v>
      </c>
      <c r="E61" s="47" t="s">
        <v>90</v>
      </c>
      <c r="F61" s="47" t="s">
        <v>90</v>
      </c>
      <c r="G61" s="47">
        <v>1</v>
      </c>
      <c r="H61" s="47" t="s">
        <v>90</v>
      </c>
      <c r="I61" s="47" t="s">
        <v>90</v>
      </c>
      <c r="J61" s="48">
        <f t="shared" si="1"/>
        <v>100</v>
      </c>
      <c r="L61" s="128" t="s">
        <v>349</v>
      </c>
    </row>
    <row r="62" spans="1:12" ht="21" customHeight="1" x14ac:dyDescent="0.15">
      <c r="A62" s="47">
        <v>30038061</v>
      </c>
      <c r="B62" s="47">
        <v>0</v>
      </c>
      <c r="C62" s="47">
        <v>10</v>
      </c>
      <c r="D62" s="47">
        <v>100</v>
      </c>
      <c r="E62" s="47" t="s">
        <v>90</v>
      </c>
      <c r="F62" s="47" t="s">
        <v>90</v>
      </c>
      <c r="G62" s="47">
        <v>10</v>
      </c>
      <c r="H62" s="47">
        <v>3</v>
      </c>
      <c r="I62" s="47" t="s">
        <v>90</v>
      </c>
      <c r="J62" s="48">
        <f t="shared" si="1"/>
        <v>100</v>
      </c>
      <c r="L62" s="128" t="s">
        <v>350</v>
      </c>
    </row>
    <row r="63" spans="1:12" ht="21" customHeight="1" x14ac:dyDescent="0.15">
      <c r="A63" s="47">
        <v>30038062</v>
      </c>
      <c r="B63" s="47">
        <v>0</v>
      </c>
      <c r="C63" s="47">
        <v>11</v>
      </c>
      <c r="D63" s="47">
        <v>100</v>
      </c>
      <c r="E63" s="47" t="s">
        <v>90</v>
      </c>
      <c r="F63" s="47" t="s">
        <v>90</v>
      </c>
      <c r="G63" s="47">
        <v>1</v>
      </c>
      <c r="H63" s="47">
        <v>11</v>
      </c>
      <c r="I63" s="47" t="s">
        <v>90</v>
      </c>
      <c r="J63" s="48">
        <f t="shared" si="1"/>
        <v>100</v>
      </c>
      <c r="L63" s="128" t="s">
        <v>351</v>
      </c>
    </row>
    <row r="64" spans="1:12" ht="21" customHeight="1" x14ac:dyDescent="0.15">
      <c r="A64" s="47">
        <v>30038063</v>
      </c>
      <c r="B64" s="47">
        <v>0</v>
      </c>
      <c r="C64" s="47">
        <v>12</v>
      </c>
      <c r="D64" s="47">
        <v>100</v>
      </c>
      <c r="E64" s="47" t="s">
        <v>90</v>
      </c>
      <c r="F64" s="47" t="s">
        <v>90</v>
      </c>
      <c r="G64" s="47">
        <v>1</v>
      </c>
      <c r="H64" s="47">
        <v>16</v>
      </c>
      <c r="I64" s="47" t="s">
        <v>90</v>
      </c>
      <c r="J64" s="48">
        <f t="shared" si="1"/>
        <v>100</v>
      </c>
      <c r="L64" s="128" t="s">
        <v>352</v>
      </c>
    </row>
    <row r="65" spans="1:12" ht="21" customHeight="1" x14ac:dyDescent="0.15">
      <c r="A65" s="47">
        <v>30038064</v>
      </c>
      <c r="B65" s="47">
        <v>0</v>
      </c>
      <c r="C65" s="47">
        <v>13</v>
      </c>
      <c r="D65" s="47">
        <v>100</v>
      </c>
      <c r="E65" s="47" t="s">
        <v>90</v>
      </c>
      <c r="F65" s="47" t="s">
        <v>90</v>
      </c>
      <c r="G65" s="47">
        <v>1</v>
      </c>
      <c r="H65" s="47">
        <v>21</v>
      </c>
      <c r="I65" s="47" t="s">
        <v>90</v>
      </c>
      <c r="J65" s="48">
        <f t="shared" si="1"/>
        <v>100</v>
      </c>
      <c r="L65" s="128" t="s">
        <v>353</v>
      </c>
    </row>
    <row r="66" spans="1:12" ht="21" customHeight="1" x14ac:dyDescent="0.15">
      <c r="A66" s="47">
        <v>30038065</v>
      </c>
      <c r="B66" s="47">
        <v>0</v>
      </c>
      <c r="C66" s="47">
        <v>14</v>
      </c>
      <c r="D66" s="47">
        <v>100</v>
      </c>
      <c r="E66" s="47" t="s">
        <v>90</v>
      </c>
      <c r="F66" s="47" t="s">
        <v>90</v>
      </c>
      <c r="G66" s="47">
        <v>1</v>
      </c>
      <c r="H66" s="47">
        <v>26</v>
      </c>
      <c r="I66" s="47" t="s">
        <v>90</v>
      </c>
      <c r="J66" s="48">
        <f t="shared" si="1"/>
        <v>100</v>
      </c>
      <c r="L66" s="128" t="s">
        <v>354</v>
      </c>
    </row>
    <row r="67" spans="1:12" ht="21" customHeight="1" x14ac:dyDescent="0.15">
      <c r="A67" s="47">
        <v>30038066</v>
      </c>
      <c r="B67" s="47">
        <v>0</v>
      </c>
      <c r="C67" s="47">
        <v>15</v>
      </c>
      <c r="D67" s="47">
        <v>100</v>
      </c>
      <c r="E67" s="47" t="s">
        <v>90</v>
      </c>
      <c r="F67" s="47" t="s">
        <v>90</v>
      </c>
      <c r="G67" s="47">
        <v>1</v>
      </c>
      <c r="H67" s="47">
        <v>28</v>
      </c>
      <c r="I67" s="47" t="s">
        <v>90</v>
      </c>
      <c r="J67" s="48">
        <f t="shared" si="1"/>
        <v>100</v>
      </c>
      <c r="L67" s="128" t="s">
        <v>355</v>
      </c>
    </row>
    <row r="68" spans="1:12" ht="21" customHeight="1" x14ac:dyDescent="0.15">
      <c r="A68" s="47">
        <v>30038067</v>
      </c>
      <c r="B68" s="47">
        <v>0</v>
      </c>
      <c r="C68" s="47">
        <v>16</v>
      </c>
      <c r="D68" s="47">
        <v>100</v>
      </c>
      <c r="E68" s="47" t="s">
        <v>90</v>
      </c>
      <c r="F68" s="47" t="s">
        <v>90</v>
      </c>
      <c r="G68" s="47">
        <v>1</v>
      </c>
      <c r="H68" s="47">
        <v>29</v>
      </c>
      <c r="I68" s="47" t="s">
        <v>90</v>
      </c>
      <c r="J68" s="48">
        <f t="shared" ref="J68:J77" si="2">D68</f>
        <v>100</v>
      </c>
      <c r="L68" s="128" t="s">
        <v>356</v>
      </c>
    </row>
    <row r="69" spans="1:12" ht="21" customHeight="1" x14ac:dyDescent="0.15">
      <c r="A69" s="47">
        <v>30038068</v>
      </c>
      <c r="B69" s="47">
        <v>0</v>
      </c>
      <c r="C69" s="47">
        <v>17</v>
      </c>
      <c r="D69" s="47">
        <v>100</v>
      </c>
      <c r="E69" s="47" t="s">
        <v>90</v>
      </c>
      <c r="F69" s="47" t="s">
        <v>90</v>
      </c>
      <c r="G69" s="47">
        <v>1</v>
      </c>
      <c r="H69" s="47">
        <v>30</v>
      </c>
      <c r="I69" s="47" t="s">
        <v>90</v>
      </c>
      <c r="J69" s="48">
        <f t="shared" si="2"/>
        <v>100</v>
      </c>
      <c r="L69" s="128" t="s">
        <v>357</v>
      </c>
    </row>
    <row r="70" spans="1:12" ht="21" customHeight="1" x14ac:dyDescent="0.15">
      <c r="A70" s="47">
        <v>30038069</v>
      </c>
      <c r="B70" s="47">
        <v>0</v>
      </c>
      <c r="C70" s="47">
        <v>18</v>
      </c>
      <c r="D70" s="47">
        <v>100</v>
      </c>
      <c r="E70" s="47" t="s">
        <v>90</v>
      </c>
      <c r="F70" s="47" t="s">
        <v>90</v>
      </c>
      <c r="G70" s="47">
        <v>1</v>
      </c>
      <c r="H70" s="47">
        <v>31</v>
      </c>
      <c r="I70" s="47" t="s">
        <v>90</v>
      </c>
      <c r="J70" s="48">
        <f t="shared" si="2"/>
        <v>100</v>
      </c>
      <c r="L70" s="128" t="s">
        <v>358</v>
      </c>
    </row>
    <row r="71" spans="1:12" ht="21" customHeight="1" x14ac:dyDescent="0.15">
      <c r="A71" s="47">
        <v>30038070</v>
      </c>
      <c r="B71" s="47">
        <v>0</v>
      </c>
      <c r="C71" s="47">
        <v>8</v>
      </c>
      <c r="D71" s="47">
        <v>100</v>
      </c>
      <c r="E71" s="47" t="s">
        <v>90</v>
      </c>
      <c r="F71" s="47" t="s">
        <v>90</v>
      </c>
      <c r="G71" s="47" t="s">
        <v>90</v>
      </c>
      <c r="H71" s="47" t="s">
        <v>90</v>
      </c>
      <c r="I71" s="47" t="s">
        <v>90</v>
      </c>
      <c r="J71" s="48">
        <f t="shared" si="2"/>
        <v>100</v>
      </c>
      <c r="L71" s="131" t="s">
        <v>425</v>
      </c>
    </row>
    <row r="72" spans="1:12" ht="21" customHeight="1" x14ac:dyDescent="0.15">
      <c r="A72" s="47">
        <v>30038071</v>
      </c>
      <c r="B72" s="47">
        <v>0</v>
      </c>
      <c r="C72" s="47">
        <v>9</v>
      </c>
      <c r="D72" s="47">
        <v>50</v>
      </c>
      <c r="E72" s="47" t="s">
        <v>90</v>
      </c>
      <c r="F72" s="47" t="s">
        <v>90</v>
      </c>
      <c r="G72" s="47" t="s">
        <v>90</v>
      </c>
      <c r="H72" s="47" t="s">
        <v>90</v>
      </c>
      <c r="I72" s="47" t="s">
        <v>90</v>
      </c>
      <c r="J72" s="48">
        <f t="shared" ref="J72" si="3">D72</f>
        <v>50</v>
      </c>
      <c r="L72" s="131" t="s">
        <v>425</v>
      </c>
    </row>
    <row r="73" spans="1:12" ht="21" customHeight="1" x14ac:dyDescent="0.15">
      <c r="A73" s="47">
        <v>30038074</v>
      </c>
      <c r="B73" s="47">
        <v>1</v>
      </c>
      <c r="C73" s="47" t="s">
        <v>89</v>
      </c>
      <c r="D73" s="47">
        <v>100</v>
      </c>
      <c r="E73" s="47" t="s">
        <v>90</v>
      </c>
      <c r="F73" s="47" t="s">
        <v>90</v>
      </c>
      <c r="G73" s="47">
        <v>1</v>
      </c>
      <c r="H73" s="47" t="s">
        <v>90</v>
      </c>
      <c r="I73" s="47" t="s">
        <v>90</v>
      </c>
      <c r="J73" s="48">
        <f t="shared" si="2"/>
        <v>100</v>
      </c>
      <c r="L73" s="128" t="s">
        <v>359</v>
      </c>
    </row>
    <row r="74" spans="1:12" ht="21" customHeight="1" x14ac:dyDescent="0.15">
      <c r="A74" s="47">
        <v>30038075</v>
      </c>
      <c r="B74" s="47">
        <v>0</v>
      </c>
      <c r="C74" s="47">
        <v>99</v>
      </c>
      <c r="D74" s="47">
        <v>30</v>
      </c>
      <c r="E74" s="47" t="s">
        <v>90</v>
      </c>
      <c r="F74" s="47" t="s">
        <v>90</v>
      </c>
      <c r="G74" s="47" t="s">
        <v>386</v>
      </c>
      <c r="H74" s="47" t="s">
        <v>90</v>
      </c>
      <c r="I74" s="47" t="s">
        <v>90</v>
      </c>
      <c r="J74" s="48">
        <f t="shared" si="2"/>
        <v>30</v>
      </c>
      <c r="L74" s="128" t="s">
        <v>363</v>
      </c>
    </row>
    <row r="75" spans="1:12" ht="21" customHeight="1" x14ac:dyDescent="0.15">
      <c r="A75" s="47">
        <v>30038076</v>
      </c>
      <c r="B75" s="47">
        <v>0</v>
      </c>
      <c r="C75" s="47">
        <v>100</v>
      </c>
      <c r="D75" s="47">
        <v>100</v>
      </c>
      <c r="E75" s="47">
        <v>50</v>
      </c>
      <c r="F75" s="47" t="s">
        <v>90</v>
      </c>
      <c r="G75" s="47">
        <v>1</v>
      </c>
      <c r="H75" s="47" t="s">
        <v>90</v>
      </c>
      <c r="I75" s="47" t="s">
        <v>90</v>
      </c>
      <c r="J75" s="48">
        <f t="shared" si="2"/>
        <v>100</v>
      </c>
      <c r="L75" s="128" t="s">
        <v>362</v>
      </c>
    </row>
    <row r="76" spans="1:12" ht="21" customHeight="1" x14ac:dyDescent="0.15">
      <c r="A76" s="47">
        <v>30038077</v>
      </c>
      <c r="B76" s="47">
        <v>0</v>
      </c>
      <c r="C76" s="47" t="s">
        <v>89</v>
      </c>
      <c r="D76" s="47">
        <v>100</v>
      </c>
      <c r="E76" s="47" t="s">
        <v>90</v>
      </c>
      <c r="F76" s="47" t="s">
        <v>90</v>
      </c>
      <c r="G76" s="47">
        <v>1</v>
      </c>
      <c r="H76" s="47">
        <v>7</v>
      </c>
      <c r="I76" s="47" t="s">
        <v>90</v>
      </c>
      <c r="J76" s="48">
        <f t="shared" si="2"/>
        <v>100</v>
      </c>
      <c r="L76" s="128" t="s">
        <v>361</v>
      </c>
    </row>
    <row r="77" spans="1:12" ht="21" customHeight="1" x14ac:dyDescent="0.15">
      <c r="A77" s="47">
        <v>30038078</v>
      </c>
      <c r="B77" s="47">
        <v>0</v>
      </c>
      <c r="C77" s="47">
        <v>98</v>
      </c>
      <c r="D77" s="47">
        <v>100</v>
      </c>
      <c r="E77" s="47">
        <v>45</v>
      </c>
      <c r="F77" s="47" t="s">
        <v>90</v>
      </c>
      <c r="G77" s="47">
        <v>1</v>
      </c>
      <c r="H77" s="47" t="s">
        <v>90</v>
      </c>
      <c r="I77" s="47" t="s">
        <v>90</v>
      </c>
      <c r="J77" s="48">
        <f t="shared" si="2"/>
        <v>100</v>
      </c>
      <c r="L77" s="128" t="s">
        <v>360</v>
      </c>
    </row>
    <row r="78" spans="1:12" ht="21" customHeight="1" x14ac:dyDescent="0.15">
      <c r="A78" s="47">
        <v>30038079</v>
      </c>
      <c r="B78" s="47">
        <v>0</v>
      </c>
      <c r="C78" s="47" t="s">
        <v>53</v>
      </c>
      <c r="D78" s="47">
        <v>100</v>
      </c>
      <c r="E78" s="47" t="s">
        <v>53</v>
      </c>
      <c r="F78" s="47" t="s">
        <v>90</v>
      </c>
      <c r="G78" s="47">
        <v>0</v>
      </c>
      <c r="H78" s="47" t="s">
        <v>90</v>
      </c>
      <c r="I78" s="47">
        <v>0</v>
      </c>
      <c r="J78" s="48">
        <f t="shared" ref="J78" si="4">D78</f>
        <v>100</v>
      </c>
      <c r="L78" s="128" t="s">
        <v>452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O24" sqref="O2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0" t="s">
        <v>151</v>
      </c>
      <c r="B1" s="60" t="s">
        <v>152</v>
      </c>
      <c r="C1" s="61" t="s">
        <v>153</v>
      </c>
      <c r="D1" s="67" t="s">
        <v>154</v>
      </c>
      <c r="E1" s="62" t="s">
        <v>155</v>
      </c>
      <c r="F1" s="60" t="s">
        <v>156</v>
      </c>
      <c r="G1" s="60" t="s">
        <v>157</v>
      </c>
      <c r="H1" s="60" t="s">
        <v>158</v>
      </c>
      <c r="I1" s="60" t="s">
        <v>159</v>
      </c>
      <c r="J1" s="60" t="s">
        <v>160</v>
      </c>
      <c r="K1" s="60" t="s">
        <v>161</v>
      </c>
      <c r="L1" s="60" t="s">
        <v>162</v>
      </c>
      <c r="M1" s="60" t="s">
        <v>163</v>
      </c>
      <c r="N1" s="60" t="s">
        <v>164</v>
      </c>
      <c r="O1" s="60" t="s">
        <v>165</v>
      </c>
      <c r="P1" s="60" t="s">
        <v>166</v>
      </c>
      <c r="Q1" s="60" t="s">
        <v>167</v>
      </c>
      <c r="R1" s="60" t="s">
        <v>168</v>
      </c>
    </row>
    <row r="2" spans="1:18" x14ac:dyDescent="0.15">
      <c r="A2" s="136">
        <f>floors!C$2</f>
        <v>30038</v>
      </c>
      <c r="B2" s="136">
        <v>1</v>
      </c>
      <c r="C2" s="136" t="str">
        <f>A2&amp; "_"&amp;B2</f>
        <v>30038_1</v>
      </c>
      <c r="D2" s="13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36">
        <v>1</v>
      </c>
      <c r="F2" s="136" t="s">
        <v>169</v>
      </c>
      <c r="G2" s="136">
        <v>3200</v>
      </c>
      <c r="H2" s="136" t="s">
        <v>170</v>
      </c>
      <c r="I2" s="136">
        <v>1</v>
      </c>
      <c r="J2" s="136">
        <v>1</v>
      </c>
      <c r="K2" s="136">
        <v>0</v>
      </c>
      <c r="L2" s="136">
        <v>0</v>
      </c>
      <c r="M2" s="136">
        <v>0</v>
      </c>
      <c r="N2" s="136">
        <v>0</v>
      </c>
      <c r="O2" s="136">
        <v>1</v>
      </c>
      <c r="P2" s="136">
        <v>200</v>
      </c>
      <c r="Q2" s="136" t="s">
        <v>171</v>
      </c>
      <c r="R2" s="136" t="s">
        <v>172</v>
      </c>
    </row>
    <row r="3" spans="1:18" x14ac:dyDescent="0.15">
      <c r="A3" s="136">
        <f>floors!C$2</f>
        <v>30038</v>
      </c>
      <c r="B3" s="136">
        <v>1</v>
      </c>
      <c r="C3" s="136" t="str">
        <f t="shared" ref="C3:C33" si="0">A3&amp; "_"&amp;B3</f>
        <v>30038_1</v>
      </c>
      <c r="D3" s="13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136">
        <v>2</v>
      </c>
      <c r="F3" s="136" t="s">
        <v>445</v>
      </c>
      <c r="G3" s="136">
        <v>20</v>
      </c>
      <c r="H3" s="136" t="s">
        <v>89</v>
      </c>
      <c r="I3" s="136">
        <v>1</v>
      </c>
      <c r="J3" s="136">
        <v>1</v>
      </c>
      <c r="K3" s="136">
        <v>0</v>
      </c>
      <c r="L3" s="136">
        <v>0</v>
      </c>
      <c r="M3" s="136">
        <v>0</v>
      </c>
      <c r="N3" s="136">
        <v>0</v>
      </c>
      <c r="O3" s="136">
        <v>1</v>
      </c>
      <c r="P3" s="136">
        <v>200</v>
      </c>
      <c r="Q3" s="136" t="s">
        <v>171</v>
      </c>
      <c r="R3" s="136" t="s">
        <v>172</v>
      </c>
    </row>
    <row r="4" spans="1:18" x14ac:dyDescent="0.15">
      <c r="A4" s="136">
        <f>floors!C$2</f>
        <v>30038</v>
      </c>
      <c r="B4" s="136">
        <v>1</v>
      </c>
      <c r="C4" s="136" t="str">
        <f t="shared" si="0"/>
        <v>30038_1</v>
      </c>
      <c r="D4" s="13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136">
        <v>3</v>
      </c>
      <c r="F4" s="136" t="s">
        <v>446</v>
      </c>
      <c r="G4" s="136">
        <v>332</v>
      </c>
      <c r="H4" s="136">
        <v>1</v>
      </c>
      <c r="I4" s="136">
        <v>1</v>
      </c>
      <c r="J4" s="136">
        <v>1</v>
      </c>
      <c r="K4" s="136">
        <v>0</v>
      </c>
      <c r="L4" s="136">
        <v>0</v>
      </c>
      <c r="M4" s="136">
        <v>0</v>
      </c>
      <c r="N4" s="136">
        <v>0</v>
      </c>
      <c r="O4" s="136">
        <v>1</v>
      </c>
      <c r="P4" s="136">
        <v>70</v>
      </c>
      <c r="Q4" s="136" t="s">
        <v>171</v>
      </c>
      <c r="R4" s="136" t="s">
        <v>172</v>
      </c>
    </row>
    <row r="5" spans="1:18" x14ac:dyDescent="0.15">
      <c r="A5" s="136">
        <f>floors!C$2</f>
        <v>30038</v>
      </c>
      <c r="B5" s="136">
        <v>1</v>
      </c>
      <c r="C5" s="136" t="str">
        <f t="shared" si="0"/>
        <v>30038_1</v>
      </c>
      <c r="D5" s="13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36">
        <v>4</v>
      </c>
      <c r="F5" s="136" t="s">
        <v>446</v>
      </c>
      <c r="G5" s="136">
        <v>333</v>
      </c>
      <c r="H5" s="136">
        <v>1</v>
      </c>
      <c r="I5" s="136">
        <v>1</v>
      </c>
      <c r="J5" s="136">
        <v>1</v>
      </c>
      <c r="K5" s="136">
        <v>0</v>
      </c>
      <c r="L5" s="136">
        <v>0</v>
      </c>
      <c r="M5" s="136">
        <v>0</v>
      </c>
      <c r="N5" s="136">
        <v>0</v>
      </c>
      <c r="O5" s="136">
        <v>1</v>
      </c>
      <c r="P5" s="136">
        <v>70</v>
      </c>
      <c r="Q5" s="136" t="s">
        <v>171</v>
      </c>
      <c r="R5" s="136" t="s">
        <v>172</v>
      </c>
    </row>
    <row r="6" spans="1:18" x14ac:dyDescent="0.15">
      <c r="A6" s="136">
        <f>floors!C$2</f>
        <v>30038</v>
      </c>
      <c r="B6" s="136">
        <v>1</v>
      </c>
      <c r="C6" s="136" t="str">
        <f t="shared" si="0"/>
        <v>30038_1</v>
      </c>
      <c r="D6" s="13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136">
        <v>5</v>
      </c>
      <c r="F6" s="136" t="s">
        <v>446</v>
      </c>
      <c r="G6" s="136">
        <v>121</v>
      </c>
      <c r="H6" s="136">
        <v>1</v>
      </c>
      <c r="I6" s="136">
        <v>1</v>
      </c>
      <c r="J6" s="136">
        <v>1</v>
      </c>
      <c r="K6" s="136">
        <v>0</v>
      </c>
      <c r="L6" s="136">
        <v>0</v>
      </c>
      <c r="M6" s="136">
        <v>0</v>
      </c>
      <c r="N6" s="136">
        <v>0</v>
      </c>
      <c r="O6" s="136">
        <v>1</v>
      </c>
      <c r="P6" s="136">
        <v>50</v>
      </c>
      <c r="Q6" s="136" t="s">
        <v>171</v>
      </c>
      <c r="R6" s="136" t="s">
        <v>172</v>
      </c>
    </row>
    <row r="7" spans="1:18" x14ac:dyDescent="0.15">
      <c r="A7" s="136">
        <f>floors!C$2</f>
        <v>30038</v>
      </c>
      <c r="B7" s="136">
        <v>1</v>
      </c>
      <c r="C7" s="136" t="str">
        <f t="shared" si="0"/>
        <v>30038_1</v>
      </c>
      <c r="D7" s="13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36">
        <v>6</v>
      </c>
      <c r="F7" s="136" t="s">
        <v>446</v>
      </c>
      <c r="G7" s="136">
        <v>122</v>
      </c>
      <c r="H7" s="136">
        <v>1</v>
      </c>
      <c r="I7" s="136">
        <v>1</v>
      </c>
      <c r="J7" s="136">
        <v>1</v>
      </c>
      <c r="K7" s="136">
        <v>0</v>
      </c>
      <c r="L7" s="136">
        <v>0</v>
      </c>
      <c r="M7" s="136">
        <v>0</v>
      </c>
      <c r="N7" s="136">
        <v>0</v>
      </c>
      <c r="O7" s="136">
        <v>1</v>
      </c>
      <c r="P7" s="136">
        <v>50</v>
      </c>
      <c r="Q7" s="136" t="s">
        <v>171</v>
      </c>
      <c r="R7" s="136" t="s">
        <v>172</v>
      </c>
    </row>
    <row r="8" spans="1:18" x14ac:dyDescent="0.15">
      <c r="A8" s="136">
        <f>floors!C$2</f>
        <v>30038</v>
      </c>
      <c r="B8" s="136">
        <v>1</v>
      </c>
      <c r="C8" s="136" t="str">
        <f t="shared" si="0"/>
        <v>30038_1</v>
      </c>
      <c r="D8" s="13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36">
        <v>7</v>
      </c>
      <c r="F8" s="136" t="s">
        <v>446</v>
      </c>
      <c r="G8" s="136">
        <v>123</v>
      </c>
      <c r="H8" s="136">
        <v>1</v>
      </c>
      <c r="I8" s="136">
        <v>1</v>
      </c>
      <c r="J8" s="136">
        <v>1</v>
      </c>
      <c r="K8" s="136">
        <v>0</v>
      </c>
      <c r="L8" s="136">
        <v>0</v>
      </c>
      <c r="M8" s="136">
        <v>0</v>
      </c>
      <c r="N8" s="136">
        <v>0</v>
      </c>
      <c r="O8" s="136">
        <v>1</v>
      </c>
      <c r="P8" s="136">
        <v>50</v>
      </c>
      <c r="Q8" s="136" t="s">
        <v>171</v>
      </c>
      <c r="R8" s="136" t="s">
        <v>172</v>
      </c>
    </row>
    <row r="9" spans="1:18" x14ac:dyDescent="0.15">
      <c r="A9" s="136">
        <f>floors!C$2</f>
        <v>30038</v>
      </c>
      <c r="B9" s="136">
        <v>1</v>
      </c>
      <c r="C9" s="136" t="str">
        <f t="shared" si="0"/>
        <v>30038_1</v>
      </c>
      <c r="D9" s="13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36">
        <v>8</v>
      </c>
      <c r="F9" s="136" t="s">
        <v>446</v>
      </c>
      <c r="G9" s="136">
        <v>125</v>
      </c>
      <c r="H9" s="136">
        <v>1</v>
      </c>
      <c r="I9" s="136">
        <v>1</v>
      </c>
      <c r="J9" s="136">
        <v>1</v>
      </c>
      <c r="K9" s="136">
        <v>0</v>
      </c>
      <c r="L9" s="136">
        <v>0</v>
      </c>
      <c r="M9" s="136">
        <v>0</v>
      </c>
      <c r="N9" s="136">
        <v>0</v>
      </c>
      <c r="O9" s="136">
        <v>1</v>
      </c>
      <c r="P9" s="136">
        <v>10</v>
      </c>
      <c r="Q9" s="136" t="s">
        <v>171</v>
      </c>
      <c r="R9" s="136" t="s">
        <v>172</v>
      </c>
    </row>
    <row r="10" spans="1:18" x14ac:dyDescent="0.15">
      <c r="A10" s="136">
        <f>floors!C$2</f>
        <v>30038</v>
      </c>
      <c r="B10" s="136">
        <v>1</v>
      </c>
      <c r="C10" s="136" t="str">
        <f t="shared" si="0"/>
        <v>30038_1</v>
      </c>
      <c r="D10" s="13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36">
        <v>9</v>
      </c>
      <c r="F10" s="136" t="s">
        <v>446</v>
      </c>
      <c r="G10" s="136">
        <v>1006</v>
      </c>
      <c r="H10" s="136">
        <v>1</v>
      </c>
      <c r="I10" s="136">
        <v>1</v>
      </c>
      <c r="J10" s="136">
        <v>1</v>
      </c>
      <c r="K10" s="136">
        <v>0</v>
      </c>
      <c r="L10" s="136">
        <v>0</v>
      </c>
      <c r="M10" s="136">
        <v>0</v>
      </c>
      <c r="N10" s="136">
        <v>0</v>
      </c>
      <c r="O10" s="136">
        <v>1</v>
      </c>
      <c r="P10" s="136">
        <v>200</v>
      </c>
      <c r="Q10" s="136" t="s">
        <v>171</v>
      </c>
      <c r="R10" s="136" t="s">
        <v>172</v>
      </c>
    </row>
    <row r="11" spans="1:18" x14ac:dyDescent="0.15">
      <c r="A11" s="136">
        <f>floors!C$2</f>
        <v>30038</v>
      </c>
      <c r="B11" s="136">
        <v>1</v>
      </c>
      <c r="C11" s="136" t="str">
        <f t="shared" si="0"/>
        <v>30038_1</v>
      </c>
      <c r="D11" s="13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36">
        <v>10</v>
      </c>
      <c r="F11" s="136" t="s">
        <v>446</v>
      </c>
      <c r="G11" s="136">
        <v>348</v>
      </c>
      <c r="H11" s="136">
        <v>1</v>
      </c>
      <c r="I11" s="136">
        <v>1</v>
      </c>
      <c r="J11" s="136">
        <v>1</v>
      </c>
      <c r="K11" s="136">
        <v>0</v>
      </c>
      <c r="L11" s="136">
        <v>0</v>
      </c>
      <c r="M11" s="136">
        <v>0</v>
      </c>
      <c r="N11" s="136">
        <v>0</v>
      </c>
      <c r="O11" s="136">
        <v>1</v>
      </c>
      <c r="P11" s="136">
        <v>100</v>
      </c>
      <c r="Q11" s="136" t="s">
        <v>171</v>
      </c>
      <c r="R11" s="136" t="s">
        <v>172</v>
      </c>
    </row>
    <row r="12" spans="1:18" x14ac:dyDescent="0.15">
      <c r="A12" s="138">
        <f>floors!C$2</f>
        <v>30038</v>
      </c>
      <c r="B12" s="138">
        <v>2</v>
      </c>
      <c r="C12" s="138" t="str">
        <f t="shared" si="0"/>
        <v>30038_2</v>
      </c>
      <c r="D12" s="139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38">
        <v>11</v>
      </c>
      <c r="F12" s="138" t="s">
        <v>169</v>
      </c>
      <c r="G12" s="138">
        <v>5000</v>
      </c>
      <c r="H12" s="138" t="s">
        <v>89</v>
      </c>
      <c r="I12" s="138">
        <v>1</v>
      </c>
      <c r="J12" s="138">
        <v>1</v>
      </c>
      <c r="K12" s="138">
        <v>0</v>
      </c>
      <c r="L12" s="138">
        <v>0</v>
      </c>
      <c r="M12" s="138">
        <v>0</v>
      </c>
      <c r="N12" s="138">
        <v>0</v>
      </c>
      <c r="O12" s="138">
        <v>1</v>
      </c>
      <c r="P12" s="138">
        <v>200</v>
      </c>
      <c r="Q12" s="138" t="s">
        <v>171</v>
      </c>
      <c r="R12" s="138" t="s">
        <v>172</v>
      </c>
    </row>
    <row r="13" spans="1:18" x14ac:dyDescent="0.15">
      <c r="A13" s="138">
        <f>floors!C$2</f>
        <v>30038</v>
      </c>
      <c r="B13" s="138">
        <v>2</v>
      </c>
      <c r="C13" s="138" t="str">
        <f t="shared" si="0"/>
        <v>30038_2</v>
      </c>
      <c r="D13" s="139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38">
        <v>12</v>
      </c>
      <c r="F13" s="138" t="s">
        <v>445</v>
      </c>
      <c r="G13" s="138">
        <v>25</v>
      </c>
      <c r="H13" s="138" t="s">
        <v>89</v>
      </c>
      <c r="I13" s="138">
        <v>1</v>
      </c>
      <c r="J13" s="138">
        <v>1</v>
      </c>
      <c r="K13" s="138">
        <v>0</v>
      </c>
      <c r="L13" s="138">
        <v>0</v>
      </c>
      <c r="M13" s="138">
        <v>0</v>
      </c>
      <c r="N13" s="138">
        <v>0</v>
      </c>
      <c r="O13" s="138">
        <v>1</v>
      </c>
      <c r="P13" s="138">
        <v>150</v>
      </c>
      <c r="Q13" s="138" t="s">
        <v>171</v>
      </c>
      <c r="R13" s="138" t="s">
        <v>172</v>
      </c>
    </row>
    <row r="14" spans="1:18" x14ac:dyDescent="0.15">
      <c r="A14" s="138">
        <f>floors!C$2</f>
        <v>30038</v>
      </c>
      <c r="B14" s="138">
        <v>2</v>
      </c>
      <c r="C14" s="138" t="str">
        <f t="shared" si="0"/>
        <v>30038_2</v>
      </c>
      <c r="D14" s="139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38">
        <v>13</v>
      </c>
      <c r="F14" s="138" t="s">
        <v>446</v>
      </c>
      <c r="G14" s="138">
        <v>332</v>
      </c>
      <c r="H14" s="138">
        <v>1</v>
      </c>
      <c r="I14" s="138">
        <v>1</v>
      </c>
      <c r="J14" s="138">
        <v>1</v>
      </c>
      <c r="K14" s="138">
        <v>0</v>
      </c>
      <c r="L14" s="138">
        <v>0</v>
      </c>
      <c r="M14" s="138">
        <v>0</v>
      </c>
      <c r="N14" s="138">
        <v>0</v>
      </c>
      <c r="O14" s="138">
        <v>1</v>
      </c>
      <c r="P14" s="138">
        <v>56</v>
      </c>
      <c r="Q14" s="138" t="s">
        <v>171</v>
      </c>
      <c r="R14" s="138" t="s">
        <v>172</v>
      </c>
    </row>
    <row r="15" spans="1:18" x14ac:dyDescent="0.15">
      <c r="A15" s="138">
        <f>floors!C$2</f>
        <v>30038</v>
      </c>
      <c r="B15" s="138">
        <v>2</v>
      </c>
      <c r="C15" s="138" t="str">
        <f t="shared" si="0"/>
        <v>30038_2</v>
      </c>
      <c r="D15" s="139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38">
        <v>14</v>
      </c>
      <c r="F15" s="138" t="s">
        <v>446</v>
      </c>
      <c r="G15" s="138">
        <v>333</v>
      </c>
      <c r="H15" s="138">
        <v>1</v>
      </c>
      <c r="I15" s="138">
        <v>1</v>
      </c>
      <c r="J15" s="138">
        <v>1</v>
      </c>
      <c r="K15" s="138">
        <v>0</v>
      </c>
      <c r="L15" s="138">
        <v>0</v>
      </c>
      <c r="M15" s="138">
        <v>0</v>
      </c>
      <c r="N15" s="138">
        <v>0</v>
      </c>
      <c r="O15" s="138">
        <v>1</v>
      </c>
      <c r="P15" s="138">
        <v>56</v>
      </c>
      <c r="Q15" s="138" t="s">
        <v>171</v>
      </c>
      <c r="R15" s="138" t="s">
        <v>172</v>
      </c>
    </row>
    <row r="16" spans="1:18" x14ac:dyDescent="0.15">
      <c r="A16" s="138">
        <f>floors!C$2</f>
        <v>30038</v>
      </c>
      <c r="B16" s="138">
        <v>2</v>
      </c>
      <c r="C16" s="138" t="str">
        <f t="shared" si="0"/>
        <v>30038_2</v>
      </c>
      <c r="D16" s="139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38">
        <v>15</v>
      </c>
      <c r="F16" s="138" t="s">
        <v>446</v>
      </c>
      <c r="G16" s="138">
        <v>334</v>
      </c>
      <c r="H16" s="138">
        <v>1</v>
      </c>
      <c r="I16" s="138">
        <v>1</v>
      </c>
      <c r="J16" s="138">
        <v>1</v>
      </c>
      <c r="K16" s="138">
        <v>0</v>
      </c>
      <c r="L16" s="138">
        <v>0</v>
      </c>
      <c r="M16" s="138">
        <v>0</v>
      </c>
      <c r="N16" s="138">
        <v>0</v>
      </c>
      <c r="O16" s="138">
        <v>1</v>
      </c>
      <c r="P16" s="138">
        <v>28</v>
      </c>
      <c r="Q16" s="138" t="s">
        <v>171</v>
      </c>
      <c r="R16" s="138" t="s">
        <v>172</v>
      </c>
    </row>
    <row r="17" spans="1:18" x14ac:dyDescent="0.15">
      <c r="A17" s="138">
        <f>floors!C$2</f>
        <v>30038</v>
      </c>
      <c r="B17" s="138">
        <v>2</v>
      </c>
      <c r="C17" s="138" t="str">
        <f t="shared" si="0"/>
        <v>30038_2</v>
      </c>
      <c r="D17" s="139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38">
        <v>16</v>
      </c>
      <c r="F17" s="138" t="s">
        <v>446</v>
      </c>
      <c r="G17" s="138">
        <v>121</v>
      </c>
      <c r="H17" s="138">
        <v>1</v>
      </c>
      <c r="I17" s="138">
        <v>1</v>
      </c>
      <c r="J17" s="138">
        <v>1</v>
      </c>
      <c r="K17" s="138">
        <v>0</v>
      </c>
      <c r="L17" s="138">
        <v>0</v>
      </c>
      <c r="M17" s="138">
        <v>0</v>
      </c>
      <c r="N17" s="138">
        <v>0</v>
      </c>
      <c r="O17" s="138">
        <v>1</v>
      </c>
      <c r="P17" s="138">
        <v>50</v>
      </c>
      <c r="Q17" s="138" t="s">
        <v>171</v>
      </c>
      <c r="R17" s="138" t="s">
        <v>172</v>
      </c>
    </row>
    <row r="18" spans="1:18" x14ac:dyDescent="0.15">
      <c r="A18" s="138">
        <f>floors!C$2</f>
        <v>30038</v>
      </c>
      <c r="B18" s="138">
        <v>2</v>
      </c>
      <c r="C18" s="138" t="str">
        <f t="shared" si="0"/>
        <v>30038_2</v>
      </c>
      <c r="D18" s="139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38">
        <v>17</v>
      </c>
      <c r="F18" s="138" t="s">
        <v>446</v>
      </c>
      <c r="G18" s="138">
        <v>122</v>
      </c>
      <c r="H18" s="138">
        <v>1</v>
      </c>
      <c r="I18" s="138">
        <v>1</v>
      </c>
      <c r="J18" s="138">
        <v>1</v>
      </c>
      <c r="K18" s="138">
        <v>0</v>
      </c>
      <c r="L18" s="138">
        <v>0</v>
      </c>
      <c r="M18" s="138">
        <v>0</v>
      </c>
      <c r="N18" s="138">
        <v>0</v>
      </c>
      <c r="O18" s="138">
        <v>1</v>
      </c>
      <c r="P18" s="138">
        <v>50</v>
      </c>
      <c r="Q18" s="138" t="s">
        <v>171</v>
      </c>
      <c r="R18" s="138" t="s">
        <v>172</v>
      </c>
    </row>
    <row r="19" spans="1:18" x14ac:dyDescent="0.15">
      <c r="A19" s="138">
        <f>floors!C$2</f>
        <v>30038</v>
      </c>
      <c r="B19" s="138">
        <v>2</v>
      </c>
      <c r="C19" s="138" t="str">
        <f t="shared" si="0"/>
        <v>30038_2</v>
      </c>
      <c r="D19" s="139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38">
        <v>18</v>
      </c>
      <c r="F19" s="138" t="s">
        <v>446</v>
      </c>
      <c r="G19" s="138">
        <v>123</v>
      </c>
      <c r="H19" s="138">
        <v>1</v>
      </c>
      <c r="I19" s="138">
        <v>1</v>
      </c>
      <c r="J19" s="138">
        <v>1</v>
      </c>
      <c r="K19" s="138">
        <v>0</v>
      </c>
      <c r="L19" s="138">
        <v>0</v>
      </c>
      <c r="M19" s="138">
        <v>0</v>
      </c>
      <c r="N19" s="138">
        <v>0</v>
      </c>
      <c r="O19" s="138">
        <v>1</v>
      </c>
      <c r="P19" s="138">
        <v>50</v>
      </c>
      <c r="Q19" s="138" t="s">
        <v>171</v>
      </c>
      <c r="R19" s="138" t="s">
        <v>172</v>
      </c>
    </row>
    <row r="20" spans="1:18" x14ac:dyDescent="0.15">
      <c r="A20" s="138">
        <f>floors!C$2</f>
        <v>30038</v>
      </c>
      <c r="B20" s="138">
        <v>2</v>
      </c>
      <c r="C20" s="138" t="str">
        <f t="shared" si="0"/>
        <v>30038_2</v>
      </c>
      <c r="D20" s="139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138">
        <v>19</v>
      </c>
      <c r="F20" s="138" t="s">
        <v>446</v>
      </c>
      <c r="G20" s="138">
        <v>125</v>
      </c>
      <c r="H20" s="138">
        <v>1</v>
      </c>
      <c r="I20" s="138">
        <v>1</v>
      </c>
      <c r="J20" s="138">
        <v>1</v>
      </c>
      <c r="K20" s="138">
        <v>0</v>
      </c>
      <c r="L20" s="138">
        <v>0</v>
      </c>
      <c r="M20" s="138">
        <v>0</v>
      </c>
      <c r="N20" s="138">
        <v>0</v>
      </c>
      <c r="O20" s="138">
        <v>1</v>
      </c>
      <c r="P20" s="138">
        <v>10</v>
      </c>
      <c r="Q20" s="138" t="s">
        <v>171</v>
      </c>
      <c r="R20" s="138" t="s">
        <v>172</v>
      </c>
    </row>
    <row r="21" spans="1:18" x14ac:dyDescent="0.15">
      <c r="A21" s="138">
        <f>floors!C$2</f>
        <v>30038</v>
      </c>
      <c r="B21" s="138">
        <v>2</v>
      </c>
      <c r="C21" s="138" t="str">
        <f t="shared" si="0"/>
        <v>30038_2</v>
      </c>
      <c r="D21" s="139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38">
        <v>20</v>
      </c>
      <c r="F21" s="138" t="s">
        <v>446</v>
      </c>
      <c r="G21" s="138">
        <v>1006</v>
      </c>
      <c r="H21" s="138">
        <v>1</v>
      </c>
      <c r="I21" s="138">
        <v>1</v>
      </c>
      <c r="J21" s="138">
        <v>1</v>
      </c>
      <c r="K21" s="138">
        <v>0</v>
      </c>
      <c r="L21" s="138">
        <v>0</v>
      </c>
      <c r="M21" s="138">
        <v>0</v>
      </c>
      <c r="N21" s="138">
        <v>0</v>
      </c>
      <c r="O21" s="138">
        <v>1</v>
      </c>
      <c r="P21" s="138">
        <v>250</v>
      </c>
      <c r="Q21" s="138" t="s">
        <v>171</v>
      </c>
      <c r="R21" s="138" t="s">
        <v>172</v>
      </c>
    </row>
    <row r="22" spans="1:18" x14ac:dyDescent="0.15">
      <c r="A22" s="138">
        <f>floors!C$2</f>
        <v>30038</v>
      </c>
      <c r="B22" s="138">
        <v>2</v>
      </c>
      <c r="C22" s="138" t="str">
        <f t="shared" si="0"/>
        <v>30038_2</v>
      </c>
      <c r="D22" s="139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38">
        <v>21</v>
      </c>
      <c r="F22" s="138" t="s">
        <v>446</v>
      </c>
      <c r="G22" s="138">
        <v>348</v>
      </c>
      <c r="H22" s="138">
        <v>1</v>
      </c>
      <c r="I22" s="138">
        <v>1</v>
      </c>
      <c r="J22" s="138">
        <v>1</v>
      </c>
      <c r="K22" s="138">
        <v>0</v>
      </c>
      <c r="L22" s="138">
        <v>0</v>
      </c>
      <c r="M22" s="138">
        <v>0</v>
      </c>
      <c r="N22" s="138">
        <v>0</v>
      </c>
      <c r="O22" s="138">
        <v>1</v>
      </c>
      <c r="P22" s="138">
        <v>100</v>
      </c>
      <c r="Q22" s="138" t="s">
        <v>171</v>
      </c>
      <c r="R22" s="138" t="s">
        <v>172</v>
      </c>
    </row>
    <row r="23" spans="1:18" x14ac:dyDescent="0.15">
      <c r="A23" s="140">
        <f>floors!C$2</f>
        <v>30038</v>
      </c>
      <c r="B23" s="140">
        <v>3</v>
      </c>
      <c r="C23" s="140" t="str">
        <f t="shared" si="0"/>
        <v>30038_3</v>
      </c>
      <c r="D23" s="14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40">
        <v>22</v>
      </c>
      <c r="F23" s="140" t="s">
        <v>169</v>
      </c>
      <c r="G23" s="140">
        <v>6500</v>
      </c>
      <c r="H23" s="140" t="s">
        <v>89</v>
      </c>
      <c r="I23" s="140">
        <v>1</v>
      </c>
      <c r="J23" s="140">
        <v>1</v>
      </c>
      <c r="K23" s="140">
        <v>0</v>
      </c>
      <c r="L23" s="140">
        <v>0</v>
      </c>
      <c r="M23" s="140">
        <v>0</v>
      </c>
      <c r="N23" s="140">
        <v>0</v>
      </c>
      <c r="O23" s="140">
        <v>1</v>
      </c>
      <c r="P23" s="140">
        <v>100</v>
      </c>
      <c r="Q23" s="140" t="s">
        <v>171</v>
      </c>
      <c r="R23" s="140" t="s">
        <v>172</v>
      </c>
    </row>
    <row r="24" spans="1:18" x14ac:dyDescent="0.15">
      <c r="A24" s="140">
        <f>floors!C$2</f>
        <v>30038</v>
      </c>
      <c r="B24" s="140">
        <v>3</v>
      </c>
      <c r="C24" s="140" t="str">
        <f t="shared" si="0"/>
        <v>30038_3</v>
      </c>
      <c r="D24" s="14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140">
        <v>23</v>
      </c>
      <c r="F24" s="140" t="s">
        <v>445</v>
      </c>
      <c r="G24" s="140">
        <v>25</v>
      </c>
      <c r="H24" s="140" t="s">
        <v>89</v>
      </c>
      <c r="I24" s="140">
        <v>1</v>
      </c>
      <c r="J24" s="140">
        <v>1</v>
      </c>
      <c r="K24" s="140">
        <v>0</v>
      </c>
      <c r="L24" s="140">
        <v>0</v>
      </c>
      <c r="M24" s="140">
        <v>0</v>
      </c>
      <c r="N24" s="140">
        <v>0</v>
      </c>
      <c r="O24" s="140">
        <v>1</v>
      </c>
      <c r="P24" s="140">
        <v>100</v>
      </c>
      <c r="Q24" s="140" t="s">
        <v>171</v>
      </c>
      <c r="R24" s="140" t="s">
        <v>172</v>
      </c>
    </row>
    <row r="25" spans="1:18" x14ac:dyDescent="0.15">
      <c r="A25" s="140">
        <f>floors!C$2</f>
        <v>30038</v>
      </c>
      <c r="B25" s="140">
        <v>3</v>
      </c>
      <c r="C25" s="140" t="str">
        <f t="shared" si="0"/>
        <v>30038_3</v>
      </c>
      <c r="D25" s="14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140">
        <v>24</v>
      </c>
      <c r="F25" s="140" t="s">
        <v>446</v>
      </c>
      <c r="G25" s="140">
        <v>332</v>
      </c>
      <c r="H25" s="140">
        <v>1</v>
      </c>
      <c r="I25" s="140">
        <v>1</v>
      </c>
      <c r="J25" s="140">
        <v>1</v>
      </c>
      <c r="K25" s="140">
        <v>0</v>
      </c>
      <c r="L25" s="140">
        <v>0</v>
      </c>
      <c r="M25" s="140">
        <v>0</v>
      </c>
      <c r="N25" s="140">
        <v>0</v>
      </c>
      <c r="O25" s="140">
        <v>1</v>
      </c>
      <c r="P25" s="140">
        <v>28</v>
      </c>
      <c r="Q25" s="140" t="s">
        <v>171</v>
      </c>
      <c r="R25" s="140" t="s">
        <v>172</v>
      </c>
    </row>
    <row r="26" spans="1:18" x14ac:dyDescent="0.15">
      <c r="A26" s="140">
        <f>floors!C$2</f>
        <v>30038</v>
      </c>
      <c r="B26" s="140">
        <v>3</v>
      </c>
      <c r="C26" s="140" t="str">
        <f t="shared" si="0"/>
        <v>30038_3</v>
      </c>
      <c r="D26" s="14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40">
        <v>25</v>
      </c>
      <c r="F26" s="140" t="s">
        <v>446</v>
      </c>
      <c r="G26" s="140">
        <v>333</v>
      </c>
      <c r="H26" s="140">
        <v>1</v>
      </c>
      <c r="I26" s="140">
        <v>1</v>
      </c>
      <c r="J26" s="140">
        <v>1</v>
      </c>
      <c r="K26" s="140">
        <v>0</v>
      </c>
      <c r="L26" s="140">
        <v>0</v>
      </c>
      <c r="M26" s="140">
        <v>0</v>
      </c>
      <c r="N26" s="140">
        <v>0</v>
      </c>
      <c r="O26" s="140">
        <v>1</v>
      </c>
      <c r="P26" s="140">
        <v>56</v>
      </c>
      <c r="Q26" s="140" t="s">
        <v>171</v>
      </c>
      <c r="R26" s="140" t="s">
        <v>172</v>
      </c>
    </row>
    <row r="27" spans="1:18" x14ac:dyDescent="0.15">
      <c r="A27" s="140">
        <f>floors!C$2</f>
        <v>30038</v>
      </c>
      <c r="B27" s="140">
        <v>3</v>
      </c>
      <c r="C27" s="140" t="str">
        <f t="shared" si="0"/>
        <v>30038_3</v>
      </c>
      <c r="D27" s="14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140">
        <v>26</v>
      </c>
      <c r="F27" s="140" t="s">
        <v>446</v>
      </c>
      <c r="G27" s="140">
        <v>334</v>
      </c>
      <c r="H27" s="140">
        <v>1</v>
      </c>
      <c r="I27" s="140">
        <v>1</v>
      </c>
      <c r="J27" s="140">
        <v>1</v>
      </c>
      <c r="K27" s="140">
        <v>0</v>
      </c>
      <c r="L27" s="140">
        <v>0</v>
      </c>
      <c r="M27" s="140">
        <v>0</v>
      </c>
      <c r="N27" s="140">
        <v>0</v>
      </c>
      <c r="O27" s="140">
        <v>1</v>
      </c>
      <c r="P27" s="140">
        <v>56</v>
      </c>
      <c r="Q27" s="140" t="s">
        <v>171</v>
      </c>
      <c r="R27" s="140" t="s">
        <v>172</v>
      </c>
    </row>
    <row r="28" spans="1:18" x14ac:dyDescent="0.15">
      <c r="A28" s="140">
        <f>floors!C$2</f>
        <v>30038</v>
      </c>
      <c r="B28" s="140">
        <v>3</v>
      </c>
      <c r="C28" s="140" t="str">
        <f t="shared" si="0"/>
        <v>30038_3</v>
      </c>
      <c r="D28" s="14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140">
        <v>27</v>
      </c>
      <c r="F28" s="140" t="s">
        <v>446</v>
      </c>
      <c r="G28" s="140">
        <v>121</v>
      </c>
      <c r="H28" s="140">
        <v>1</v>
      </c>
      <c r="I28" s="140">
        <v>1</v>
      </c>
      <c r="J28" s="140">
        <v>1</v>
      </c>
      <c r="K28" s="140">
        <v>0</v>
      </c>
      <c r="L28" s="140">
        <v>0</v>
      </c>
      <c r="M28" s="140">
        <v>0</v>
      </c>
      <c r="N28" s="140">
        <v>0</v>
      </c>
      <c r="O28" s="140">
        <v>1</v>
      </c>
      <c r="P28" s="140">
        <v>50</v>
      </c>
      <c r="Q28" s="140" t="s">
        <v>171</v>
      </c>
      <c r="R28" s="140" t="s">
        <v>172</v>
      </c>
    </row>
    <row r="29" spans="1:18" x14ac:dyDescent="0.15">
      <c r="A29" s="140">
        <f>floors!C$2</f>
        <v>30038</v>
      </c>
      <c r="B29" s="140">
        <v>3</v>
      </c>
      <c r="C29" s="140" t="str">
        <f t="shared" si="0"/>
        <v>30038_3</v>
      </c>
      <c r="D29" s="14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140">
        <v>28</v>
      </c>
      <c r="F29" s="140" t="s">
        <v>446</v>
      </c>
      <c r="G29" s="140">
        <v>122</v>
      </c>
      <c r="H29" s="140">
        <v>1</v>
      </c>
      <c r="I29" s="140">
        <v>1</v>
      </c>
      <c r="J29" s="140">
        <v>1</v>
      </c>
      <c r="K29" s="140">
        <v>0</v>
      </c>
      <c r="L29" s="140">
        <v>0</v>
      </c>
      <c r="M29" s="140">
        <v>0</v>
      </c>
      <c r="N29" s="140">
        <v>0</v>
      </c>
      <c r="O29" s="140">
        <v>1</v>
      </c>
      <c r="P29" s="140">
        <v>50</v>
      </c>
      <c r="Q29" s="140" t="s">
        <v>171</v>
      </c>
      <c r="R29" s="140" t="s">
        <v>172</v>
      </c>
    </row>
    <row r="30" spans="1:18" x14ac:dyDescent="0.15">
      <c r="A30" s="140">
        <f>floors!C$2</f>
        <v>30038</v>
      </c>
      <c r="B30" s="140">
        <v>3</v>
      </c>
      <c r="C30" s="140" t="str">
        <f t="shared" si="0"/>
        <v>30038_3</v>
      </c>
      <c r="D30" s="14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140">
        <v>29</v>
      </c>
      <c r="F30" s="140" t="s">
        <v>446</v>
      </c>
      <c r="G30" s="140">
        <v>123</v>
      </c>
      <c r="H30" s="140">
        <v>1</v>
      </c>
      <c r="I30" s="140">
        <v>1</v>
      </c>
      <c r="J30" s="140">
        <v>1</v>
      </c>
      <c r="K30" s="140">
        <v>0</v>
      </c>
      <c r="L30" s="140">
        <v>0</v>
      </c>
      <c r="M30" s="140">
        <v>0</v>
      </c>
      <c r="N30" s="140">
        <v>0</v>
      </c>
      <c r="O30" s="140">
        <v>1</v>
      </c>
      <c r="P30" s="140">
        <v>50</v>
      </c>
      <c r="Q30" s="140" t="s">
        <v>171</v>
      </c>
      <c r="R30" s="140" t="s">
        <v>172</v>
      </c>
    </row>
    <row r="31" spans="1:18" x14ac:dyDescent="0.15">
      <c r="A31" s="140">
        <f>floors!C$2</f>
        <v>30038</v>
      </c>
      <c r="B31" s="140">
        <v>3</v>
      </c>
      <c r="C31" s="140" t="str">
        <f t="shared" si="0"/>
        <v>30038_3</v>
      </c>
      <c r="D31" s="14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140">
        <v>30</v>
      </c>
      <c r="F31" s="140" t="s">
        <v>446</v>
      </c>
      <c r="G31" s="140">
        <v>125</v>
      </c>
      <c r="H31" s="140">
        <v>1</v>
      </c>
      <c r="I31" s="140">
        <v>1</v>
      </c>
      <c r="J31" s="140">
        <v>1</v>
      </c>
      <c r="K31" s="140">
        <v>0</v>
      </c>
      <c r="L31" s="140">
        <v>0</v>
      </c>
      <c r="M31" s="140">
        <v>0</v>
      </c>
      <c r="N31" s="140">
        <v>0</v>
      </c>
      <c r="O31" s="140">
        <v>1</v>
      </c>
      <c r="P31" s="140">
        <v>10</v>
      </c>
      <c r="Q31" s="140" t="s">
        <v>171</v>
      </c>
      <c r="R31" s="140" t="s">
        <v>172</v>
      </c>
    </row>
    <row r="32" spans="1:18" x14ac:dyDescent="0.15">
      <c r="A32" s="140">
        <f>floors!C$2</f>
        <v>30038</v>
      </c>
      <c r="B32" s="140">
        <v>3</v>
      </c>
      <c r="C32" s="140" t="str">
        <f t="shared" si="0"/>
        <v>30038_3</v>
      </c>
      <c r="D32" s="14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40">
        <v>31</v>
      </c>
      <c r="F32" s="140" t="s">
        <v>446</v>
      </c>
      <c r="G32" s="140">
        <v>1006</v>
      </c>
      <c r="H32" s="140">
        <v>1</v>
      </c>
      <c r="I32" s="140">
        <v>1</v>
      </c>
      <c r="J32" s="140">
        <v>1</v>
      </c>
      <c r="K32" s="140">
        <v>0</v>
      </c>
      <c r="L32" s="140">
        <v>0</v>
      </c>
      <c r="M32" s="140">
        <v>0</v>
      </c>
      <c r="N32" s="140">
        <v>0</v>
      </c>
      <c r="O32" s="140">
        <v>1</v>
      </c>
      <c r="P32" s="140">
        <v>400</v>
      </c>
      <c r="Q32" s="140" t="s">
        <v>171</v>
      </c>
      <c r="R32" s="140" t="s">
        <v>172</v>
      </c>
    </row>
    <row r="33" spans="1:18" x14ac:dyDescent="0.15">
      <c r="A33" s="140">
        <f>floors!C$2</f>
        <v>30038</v>
      </c>
      <c r="B33" s="140">
        <v>3</v>
      </c>
      <c r="C33" s="140" t="str">
        <f t="shared" si="0"/>
        <v>30038_3</v>
      </c>
      <c r="D33" s="14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140">
        <v>32</v>
      </c>
      <c r="F33" s="140" t="s">
        <v>446</v>
      </c>
      <c r="G33" s="140">
        <v>348</v>
      </c>
      <c r="H33" s="140">
        <v>1</v>
      </c>
      <c r="I33" s="140">
        <v>1</v>
      </c>
      <c r="J33" s="140">
        <v>1</v>
      </c>
      <c r="K33" s="140">
        <v>0</v>
      </c>
      <c r="L33" s="140">
        <v>0</v>
      </c>
      <c r="M33" s="140">
        <v>0</v>
      </c>
      <c r="N33" s="140">
        <v>0</v>
      </c>
      <c r="O33" s="140">
        <v>1</v>
      </c>
      <c r="P33" s="140">
        <v>100</v>
      </c>
      <c r="Q33" s="140" t="s">
        <v>171</v>
      </c>
      <c r="R33" s="140" t="s">
        <v>172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L87" sqref="L87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97.83203125" customWidth="1"/>
  </cols>
  <sheetData>
    <row r="1" spans="1:13" x14ac:dyDescent="0.15">
      <c r="A1" s="71" t="s">
        <v>189</v>
      </c>
      <c r="B1" s="68" t="s">
        <v>190</v>
      </c>
      <c r="C1" s="72" t="s">
        <v>191</v>
      </c>
      <c r="D1" s="72" t="s">
        <v>33</v>
      </c>
      <c r="E1" s="68" t="s">
        <v>192</v>
      </c>
      <c r="F1" s="72" t="s">
        <v>193</v>
      </c>
      <c r="G1" s="72" t="s">
        <v>33</v>
      </c>
      <c r="H1" s="68" t="s">
        <v>194</v>
      </c>
      <c r="I1" s="86" t="s">
        <v>196</v>
      </c>
      <c r="J1" s="74" t="s">
        <v>127</v>
      </c>
      <c r="K1" s="73" t="s">
        <v>188</v>
      </c>
      <c r="L1" s="87" t="s">
        <v>187</v>
      </c>
      <c r="M1" s="75" t="s">
        <v>197</v>
      </c>
    </row>
    <row r="2" spans="1:13" x14ac:dyDescent="0.15">
      <c r="A2" s="76" t="s">
        <v>202</v>
      </c>
      <c r="B2" s="77">
        <f>floors!$C$2</f>
        <v>30038</v>
      </c>
      <c r="C2" s="78" t="str">
        <f ca="1">VLOOKUP($B2,OFFSET([2]quests!$A$1,0,0,COUNTA([2]quests!$A:$A),MATCH(C$1,[2]quests!$1:$1,0)-MATCH($B$1,[2]quests!$1:$1,0)+1),MATCH(C$1,[2]quests!$1:$1,0)-MATCH($B$1,[2]quests!$1:$1,0)+1,FALSE)</f>
        <v>毒絶神の願い</v>
      </c>
      <c r="D2" s="78" t="str">
        <f ca="1">VLOOKUP($B2,OFFSET([2]quests!$A$1,0,0,COUNTA([2]quests!$A:$A),MATCH(D$1,[2]quests!$1:$1,0)-MATCH($B$1,[2]quests!$1:$1,0)+1),MATCH(D$1,[2]quests!$1:$1,0)-MATCH($B$1,[2]quests!$1:$1,0)+1,FALSE)</f>
        <v>エジプト神話シリーズ超級</v>
      </c>
      <c r="E2" s="82">
        <v>1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【中級】毒絶神の願い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エジプト神話シリーズ超級</v>
      </c>
      <c r="H2" s="80">
        <v>0</v>
      </c>
      <c r="I2">
        <v>3</v>
      </c>
      <c r="J2" s="79" t="s">
        <v>199</v>
      </c>
      <c r="K2" s="88" t="str">
        <f>VLOOKUP(I2,[7]stage_hints!$A:$C,3,FALSE)</f>
        <v>ターゲット</v>
      </c>
      <c r="L2" s="89" t="str">
        <f>VLOOKUP(I2,[7]stage_hints!$A:$D,4,FALSE)</f>
        <v>敵ユニットをタップすると_x000D_その敵を狙い撃ちできます</v>
      </c>
      <c r="M2" s="54" t="s">
        <v>212</v>
      </c>
    </row>
    <row r="3" spans="1:13" x14ac:dyDescent="0.15">
      <c r="A3" s="76" t="s">
        <v>202</v>
      </c>
      <c r="B3" s="77">
        <f>floors!$C$2</f>
        <v>30038</v>
      </c>
      <c r="C3" s="78" t="str">
        <f ca="1">VLOOKUP($B3,OFFSET([2]quests!$A$1,0,0,COUNTA([2]quests!$A:$A),MATCH(C$1,[2]quests!$1:$1,0)-MATCH($B$1,[2]quests!$1:$1,0)+1),MATCH(C$1,[2]quests!$1:$1,0)-MATCH($B$1,[2]quests!$1:$1,0)+1,FALSE)</f>
        <v>毒絶神の願い</v>
      </c>
      <c r="D3" s="78" t="str">
        <f ca="1">VLOOKUP($B3,OFFSET([2]quests!$A$1,0,0,COUNTA([2]quests!$A:$A),MATCH(D$1,[2]quests!$1:$1,0)-MATCH($B$1,[2]quests!$1:$1,0)+1),MATCH(D$1,[2]quests!$1:$1,0)-MATCH($B$1,[2]quests!$1:$1,0)+1,FALSE)</f>
        <v>エジプト神話シリーズ超級</v>
      </c>
      <c r="E3" s="82">
        <v>1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【中級】毒絶神の願い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エジプト神話シリーズ超級</v>
      </c>
      <c r="H3" s="80">
        <v>0</v>
      </c>
      <c r="I3">
        <v>6</v>
      </c>
      <c r="J3" s="79" t="s">
        <v>199</v>
      </c>
      <c r="K3" s="88" t="str">
        <f>VLOOKUP(I3,[7]stage_hints!$A:$C,3,FALSE)</f>
        <v>ユニット強化の属性ボーナス</v>
      </c>
      <c r="L3" s="89" t="str">
        <f>VLOOKUP(I3,[7]stage_hints!$A:$D,4,FALSE)</f>
        <v>同属性ユニットを強化素材にすると_x000D_経験値が多くもらえます</v>
      </c>
      <c r="M3" s="54" t="s">
        <v>212</v>
      </c>
    </row>
    <row r="4" spans="1:13" x14ac:dyDescent="0.15">
      <c r="A4" s="76" t="s">
        <v>202</v>
      </c>
      <c r="B4" s="77">
        <f>floors!$C$2</f>
        <v>30038</v>
      </c>
      <c r="C4" s="78" t="str">
        <f ca="1">VLOOKUP($B4,OFFSET([2]quests!$A$1,0,0,COUNTA([2]quests!$A:$A),MATCH(C$1,[2]quests!$1:$1,0)-MATCH($B$1,[2]quests!$1:$1,0)+1),MATCH(C$1,[2]quests!$1:$1,0)-MATCH($B$1,[2]quests!$1:$1,0)+1,FALSE)</f>
        <v>毒絶神の願い</v>
      </c>
      <c r="D4" s="78" t="str">
        <f ca="1">VLOOKUP($B4,OFFSET([2]quests!$A$1,0,0,COUNTA([2]quests!$A:$A),MATCH(D$1,[2]quests!$1:$1,0)-MATCH($B$1,[2]quests!$1:$1,0)+1),MATCH(D$1,[2]quests!$1:$1,0)-MATCH($B$1,[2]quests!$1:$1,0)+1,FALSE)</f>
        <v>エジプト神話シリーズ超級</v>
      </c>
      <c r="E4" s="82">
        <v>1</v>
      </c>
      <c r="F4" s="78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【中級】毒絶神の願い</v>
      </c>
      <c r="G4" s="78" t="str">
        <f ca="1">VLOOKUP($B4&amp;"_"&amp;$E4,OFFSET([2]stages!$A$1,0,0,COUNTA([2]stages!$A:$A),MATCH(G$1,[2]stages!$2:$2,0)-MATCH("temp_stage",[2]stages!$2:$2,0)+1),MATCH(G$1,[2]stages!$2:$2,0)-MATCH("temp_stage",[2]stages!$2:$2,0)+1,FALSE)</f>
        <v>エジプト神話シリーズ超級</v>
      </c>
      <c r="H4" s="80">
        <v>0</v>
      </c>
      <c r="I4">
        <v>7</v>
      </c>
      <c r="J4" s="79" t="s">
        <v>199</v>
      </c>
      <c r="K4" s="88" t="str">
        <f>VLOOKUP(I4,[7]stage_hints!$A:$C,3,FALSE)</f>
        <v>メタルダックで経験値を獲得</v>
      </c>
      <c r="L4" s="89" t="str">
        <f>VLOOKUP(I4,[7]stage_hints!$A:$D,4,FALSE)</f>
        <v>「メタルなアヒル」を強化素材にすると_x000D_大量の経験値がもらえます</v>
      </c>
      <c r="M4" s="54" t="s">
        <v>212</v>
      </c>
    </row>
    <row r="5" spans="1:13" x14ac:dyDescent="0.15">
      <c r="A5" s="76" t="s">
        <v>202</v>
      </c>
      <c r="B5" s="77">
        <f>floors!$C$2</f>
        <v>30038</v>
      </c>
      <c r="C5" s="78" t="str">
        <f ca="1">VLOOKUP($B5,OFFSET([2]quests!$A$1,0,0,COUNTA([2]quests!$A:$A),MATCH(C$1,[2]quests!$1:$1,0)-MATCH($B$1,[2]quests!$1:$1,0)+1),MATCH(C$1,[2]quests!$1:$1,0)-MATCH($B$1,[2]quests!$1:$1,0)+1,FALSE)</f>
        <v>毒絶神の願い</v>
      </c>
      <c r="D5" s="78" t="str">
        <f ca="1">VLOOKUP($B5,OFFSET([2]quests!$A$1,0,0,COUNTA([2]quests!$A:$A),MATCH(D$1,[2]quests!$1:$1,0)-MATCH($B$1,[2]quests!$1:$1,0)+1),MATCH(D$1,[2]quests!$1:$1,0)-MATCH($B$1,[2]quests!$1:$1,0)+1,FALSE)</f>
        <v>エジプト神話シリーズ超級</v>
      </c>
      <c r="E5" s="82">
        <v>1</v>
      </c>
      <c r="F5" s="78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【中級】毒絶神の願い</v>
      </c>
      <c r="G5" s="78" t="str">
        <f ca="1">VLOOKUP($B5&amp;"_"&amp;$E5,OFFSET([2]stages!$A$1,0,0,COUNTA([2]stages!$A:$A),MATCH(G$1,[2]stages!$2:$2,0)-MATCH("temp_stage",[2]stages!$2:$2,0)+1),MATCH(G$1,[2]stages!$2:$2,0)-MATCH("temp_stage",[2]stages!$2:$2,0)+1,FALSE)</f>
        <v>エジプト神話シリーズ超級</v>
      </c>
      <c r="H5" s="80">
        <v>0</v>
      </c>
      <c r="I5">
        <v>8</v>
      </c>
      <c r="J5" s="79" t="s">
        <v>199</v>
      </c>
      <c r="K5" s="88" t="str">
        <f>VLOOKUP(I5,[7]stage_hints!$A:$C,3,FALSE)</f>
        <v>ゲリラクエストは要チェック</v>
      </c>
      <c r="L5" s="89" t="str">
        <f>VLOOKUP(I5,[7]stage_hints!$A:$D,4,FALSE)</f>
        <v>時間限定の「アヒル捕獲作戦」では_x000D_経験値素材ユニットが多く手に入ります</v>
      </c>
      <c r="M5" s="54" t="s">
        <v>212</v>
      </c>
    </row>
    <row r="6" spans="1:13" x14ac:dyDescent="0.15">
      <c r="A6" s="76" t="s">
        <v>202</v>
      </c>
      <c r="B6" s="77">
        <f>floors!$C$2</f>
        <v>30038</v>
      </c>
      <c r="C6" s="78" t="str">
        <f ca="1">VLOOKUP($B6,OFFSET([2]quests!$A$1,0,0,COUNTA([2]quests!$A:$A),MATCH(C$1,[2]quests!$1:$1,0)-MATCH($B$1,[2]quests!$1:$1,0)+1),MATCH(C$1,[2]quests!$1:$1,0)-MATCH($B$1,[2]quests!$1:$1,0)+1,FALSE)</f>
        <v>毒絶神の願い</v>
      </c>
      <c r="D6" s="78" t="str">
        <f ca="1">VLOOKUP($B6,OFFSET([2]quests!$A$1,0,0,COUNTA([2]quests!$A:$A),MATCH(D$1,[2]quests!$1:$1,0)-MATCH($B$1,[2]quests!$1:$1,0)+1),MATCH(D$1,[2]quests!$1:$1,0)-MATCH($B$1,[2]quests!$1:$1,0)+1,FALSE)</f>
        <v>エジプト神話シリーズ超級</v>
      </c>
      <c r="E6" s="82">
        <v>1</v>
      </c>
      <c r="F6" s="78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【中級】毒絶神の願い</v>
      </c>
      <c r="G6" s="78" t="str">
        <f ca="1">VLOOKUP($B6&amp;"_"&amp;$E6,OFFSET([2]stages!$A$1,0,0,COUNTA([2]stages!$A:$A),MATCH(G$1,[2]stages!$2:$2,0)-MATCH("temp_stage",[2]stages!$2:$2,0)+1),MATCH(G$1,[2]stages!$2:$2,0)-MATCH("temp_stage",[2]stages!$2:$2,0)+1,FALSE)</f>
        <v>エジプト神話シリーズ超級</v>
      </c>
      <c r="H6" s="80">
        <v>0</v>
      </c>
      <c r="I6">
        <v>9</v>
      </c>
      <c r="J6" s="79" t="s">
        <v>199</v>
      </c>
      <c r="K6" s="88" t="str">
        <f>VLOOKUP(I6,[7]stage_hints!$A:$C,3,FALSE)</f>
        <v>ゴールドダックでビットを獲得</v>
      </c>
      <c r="L6" s="89" t="str">
        <f>VLOOKUP(I6,[7]stage_hints!$A:$D,4,FALSE)</f>
        <v>「ゴールドなアヒル」を売却すると_x000D_大量のビットがもらえます</v>
      </c>
      <c r="M6" s="54" t="s">
        <v>212</v>
      </c>
    </row>
    <row r="7" spans="1:13" x14ac:dyDescent="0.15">
      <c r="A7" s="76" t="s">
        <v>202</v>
      </c>
      <c r="B7" s="77">
        <f>floors!$C$2</f>
        <v>30038</v>
      </c>
      <c r="C7" s="78" t="str">
        <f ca="1">VLOOKUP($B7,OFFSET([2]quests!$A$1,0,0,COUNTA([2]quests!$A:$A),MATCH(C$1,[2]quests!$1:$1,0)-MATCH($B$1,[2]quests!$1:$1,0)+1),MATCH(C$1,[2]quests!$1:$1,0)-MATCH($B$1,[2]quests!$1:$1,0)+1,FALSE)</f>
        <v>毒絶神の願い</v>
      </c>
      <c r="D7" s="78" t="str">
        <f ca="1">VLOOKUP($B7,OFFSET([2]quests!$A$1,0,0,COUNTA([2]quests!$A:$A),MATCH(D$1,[2]quests!$1:$1,0)-MATCH($B$1,[2]quests!$1:$1,0)+1),MATCH(D$1,[2]quests!$1:$1,0)-MATCH($B$1,[2]quests!$1:$1,0)+1,FALSE)</f>
        <v>エジプト神話シリーズ超級</v>
      </c>
      <c r="E7" s="82">
        <v>1</v>
      </c>
      <c r="F7" s="78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【中級】毒絶神の願い</v>
      </c>
      <c r="G7" s="78" t="str">
        <f ca="1">VLOOKUP($B7&amp;"_"&amp;$E7,OFFSET([2]stages!$A$1,0,0,COUNTA([2]stages!$A:$A),MATCH(G$1,[2]stages!$2:$2,0)-MATCH("temp_stage",[2]stages!$2:$2,0)+1),MATCH(G$1,[2]stages!$2:$2,0)-MATCH("temp_stage",[2]stages!$2:$2,0)+1,FALSE)</f>
        <v>エジプト神話シリーズ超級</v>
      </c>
      <c r="H7" s="80">
        <v>0</v>
      </c>
      <c r="I7">
        <v>10</v>
      </c>
      <c r="J7" s="79" t="s">
        <v>199</v>
      </c>
      <c r="K7" s="88" t="str">
        <f>VLOOKUP(I7,[7]stage_hints!$A:$C,3,FALSE)</f>
        <v>土日に大量のビットを獲得</v>
      </c>
      <c r="L7" s="89" t="str">
        <f>VLOOKUP(I7,[7]stage_hints!$A:$D,4,FALSE)</f>
        <v>土日限定の「ゴールドカジノ」では_x000D_売却素材ユニットが多く手に入ります</v>
      </c>
      <c r="M7" s="54" t="s">
        <v>212</v>
      </c>
    </row>
    <row r="8" spans="1:13" x14ac:dyDescent="0.15">
      <c r="A8" s="76" t="s">
        <v>202</v>
      </c>
      <c r="B8" s="77">
        <f>floors!$C$2</f>
        <v>30038</v>
      </c>
      <c r="C8" s="78" t="str">
        <f ca="1">VLOOKUP($B8,OFFSET([2]quests!$A$1,0,0,COUNTA([2]quests!$A:$A),MATCH(C$1,[2]quests!$1:$1,0)-MATCH($B$1,[2]quests!$1:$1,0)+1),MATCH(C$1,[2]quests!$1:$1,0)-MATCH($B$1,[2]quests!$1:$1,0)+1,FALSE)</f>
        <v>毒絶神の願い</v>
      </c>
      <c r="D8" s="78" t="str">
        <f ca="1">VLOOKUP($B8,OFFSET([2]quests!$A$1,0,0,COUNTA([2]quests!$A:$A),MATCH(D$1,[2]quests!$1:$1,0)-MATCH($B$1,[2]quests!$1:$1,0)+1),MATCH(D$1,[2]quests!$1:$1,0)-MATCH($B$1,[2]quests!$1:$1,0)+1,FALSE)</f>
        <v>エジプト神話シリーズ超級</v>
      </c>
      <c r="E8" s="82">
        <v>1</v>
      </c>
      <c r="F8" s="78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【中級】毒絶神の願い</v>
      </c>
      <c r="G8" s="78" t="str">
        <f ca="1">VLOOKUP($B8&amp;"_"&amp;$E8,OFFSET([2]stages!$A$1,0,0,COUNTA([2]stages!$A:$A),MATCH(G$1,[2]stages!$2:$2,0)-MATCH("temp_stage",[2]stages!$2:$2,0)+1),MATCH(G$1,[2]stages!$2:$2,0)-MATCH("temp_stage",[2]stages!$2:$2,0)+1,FALSE)</f>
        <v>エジプト神話シリーズ超級</v>
      </c>
      <c r="H8" s="80">
        <v>0</v>
      </c>
      <c r="I8">
        <v>11</v>
      </c>
      <c r="J8" s="79" t="s">
        <v>199</v>
      </c>
      <c r="K8" s="88" t="str">
        <f>VLOOKUP(I8,[7]stage_hints!$A:$C,3,FALSE)</f>
        <v>ランク解放クエスト</v>
      </c>
      <c r="L8" s="89" t="str">
        <f>VLOOKUP(I8,[7]stage_hints!$A:$D,4,FALSE)</f>
        <v>一定ランクに到達すると_x000D_報酬付きのランク開放クエストが現れます</v>
      </c>
      <c r="M8" s="54" t="s">
        <v>212</v>
      </c>
    </row>
    <row r="9" spans="1:13" x14ac:dyDescent="0.15">
      <c r="A9" s="76" t="s">
        <v>202</v>
      </c>
      <c r="B9" s="77">
        <f>floors!$C$2</f>
        <v>30038</v>
      </c>
      <c r="C9" s="78" t="str">
        <f ca="1">VLOOKUP($B9,OFFSET([2]quests!$A$1,0,0,COUNTA([2]quests!$A:$A),MATCH(C$1,[2]quests!$1:$1,0)-MATCH($B$1,[2]quests!$1:$1,0)+1),MATCH(C$1,[2]quests!$1:$1,0)-MATCH($B$1,[2]quests!$1:$1,0)+1,FALSE)</f>
        <v>毒絶神の願い</v>
      </c>
      <c r="D9" s="78" t="str">
        <f ca="1">VLOOKUP($B9,OFFSET([2]quests!$A$1,0,0,COUNTA([2]quests!$A:$A),MATCH(D$1,[2]quests!$1:$1,0)-MATCH($B$1,[2]quests!$1:$1,0)+1),MATCH(D$1,[2]quests!$1:$1,0)-MATCH($B$1,[2]quests!$1:$1,0)+1,FALSE)</f>
        <v>エジプト神話シリーズ超級</v>
      </c>
      <c r="E9" s="82">
        <v>1</v>
      </c>
      <c r="F9" s="78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【中級】毒絶神の願い</v>
      </c>
      <c r="G9" s="78" t="str">
        <f ca="1">VLOOKUP($B9&amp;"_"&amp;$E9,OFFSET([2]stages!$A$1,0,0,COUNTA([2]stages!$A:$A),MATCH(G$1,[2]stages!$2:$2,0)-MATCH("temp_stage",[2]stages!$2:$2,0)+1),MATCH(G$1,[2]stages!$2:$2,0)-MATCH("temp_stage",[2]stages!$2:$2,0)+1,FALSE)</f>
        <v>エジプト神話シリーズ超級</v>
      </c>
      <c r="H9" s="80">
        <v>0</v>
      </c>
      <c r="I9">
        <v>12</v>
      </c>
      <c r="J9" s="79" t="s">
        <v>199</v>
      </c>
      <c r="K9" s="88" t="str">
        <f>VLOOKUP(I9,[7]stage_hints!$A:$C,3,FALSE)</f>
        <v>ユニットのお気に入り登録</v>
      </c>
      <c r="L9" s="89" t="str">
        <f>VLOOKUP(I9,[7]stage_hints!$A:$D,4,FALSE)</f>
        <v>大事なユニットを誤って消さないように_x000D_フォルダから「お気に入り登録」しましょう</v>
      </c>
      <c r="M9" s="54" t="s">
        <v>212</v>
      </c>
    </row>
    <row r="10" spans="1:13" x14ac:dyDescent="0.15">
      <c r="A10" s="76" t="s">
        <v>202</v>
      </c>
      <c r="B10" s="77">
        <f>floors!$C$2</f>
        <v>30038</v>
      </c>
      <c r="C10" s="78" t="str">
        <f ca="1">VLOOKUP($B10,OFFSET([2]quests!$A$1,0,0,COUNTA([2]quests!$A:$A),MATCH(C$1,[2]quests!$1:$1,0)-MATCH($B$1,[2]quests!$1:$1,0)+1),MATCH(C$1,[2]quests!$1:$1,0)-MATCH($B$1,[2]quests!$1:$1,0)+1,FALSE)</f>
        <v>毒絶神の願い</v>
      </c>
      <c r="D10" s="78" t="str">
        <f ca="1">VLOOKUP($B10,OFFSET([2]quests!$A$1,0,0,COUNTA([2]quests!$A:$A),MATCH(D$1,[2]quests!$1:$1,0)-MATCH($B$1,[2]quests!$1:$1,0)+1),MATCH(D$1,[2]quests!$1:$1,0)-MATCH($B$1,[2]quests!$1:$1,0)+1,FALSE)</f>
        <v>エジプト神話シリーズ超級</v>
      </c>
      <c r="E10" s="82">
        <v>1</v>
      </c>
      <c r="F10" s="78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【中級】毒絶神の願い</v>
      </c>
      <c r="G10" s="78" t="str">
        <f ca="1">VLOOKUP($B10&amp;"_"&amp;$E10,OFFSET([2]stages!$A$1,0,0,COUNTA([2]stages!$A:$A),MATCH(G$1,[2]stages!$2:$2,0)-MATCH("temp_stage",[2]stages!$2:$2,0)+1),MATCH(G$1,[2]stages!$2:$2,0)-MATCH("temp_stage",[2]stages!$2:$2,0)+1,FALSE)</f>
        <v>エジプト神話シリーズ超級</v>
      </c>
      <c r="H10" s="80">
        <v>0</v>
      </c>
      <c r="I10">
        <v>13</v>
      </c>
      <c r="J10" s="79" t="s">
        <v>199</v>
      </c>
      <c r="K10" s="88" t="str">
        <f>VLOOKUP(I10,[7]stage_hints!$A:$C,3,FALSE)</f>
        <v>ユニットの覚醒</v>
      </c>
      <c r="L10" s="89" t="str">
        <f>VLOOKUP(I10,[7]stage_hints!$A:$D,4,FALSE)</f>
        <v>ユニットを覚醒させると_x000D_比べものにならない強さが手に入ります</v>
      </c>
      <c r="M10" s="54" t="s">
        <v>212</v>
      </c>
    </row>
    <row r="11" spans="1:13" x14ac:dyDescent="0.15">
      <c r="A11" s="76" t="s">
        <v>202</v>
      </c>
      <c r="B11" s="77">
        <f>floors!$C$2</f>
        <v>30038</v>
      </c>
      <c r="C11" s="78" t="str">
        <f ca="1">VLOOKUP($B11,OFFSET([2]quests!$A$1,0,0,COUNTA([2]quests!$A:$A),MATCH(C$1,[2]quests!$1:$1,0)-MATCH($B$1,[2]quests!$1:$1,0)+1),MATCH(C$1,[2]quests!$1:$1,0)-MATCH($B$1,[2]quests!$1:$1,0)+1,FALSE)</f>
        <v>毒絶神の願い</v>
      </c>
      <c r="D11" s="78" t="str">
        <f ca="1">VLOOKUP($B11,OFFSET([2]quests!$A$1,0,0,COUNTA([2]quests!$A:$A),MATCH(D$1,[2]quests!$1:$1,0)-MATCH($B$1,[2]quests!$1:$1,0)+1),MATCH(D$1,[2]quests!$1:$1,0)-MATCH($B$1,[2]quests!$1:$1,0)+1,FALSE)</f>
        <v>エジプト神話シリーズ超級</v>
      </c>
      <c r="E11" s="82">
        <v>1</v>
      </c>
      <c r="F11" s="78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【中級】毒絶神の願い</v>
      </c>
      <c r="G11" s="78" t="str">
        <f ca="1">VLOOKUP($B11&amp;"_"&amp;$E11,OFFSET([2]stages!$A$1,0,0,COUNTA([2]stages!$A:$A),MATCH(G$1,[2]stages!$2:$2,0)-MATCH("temp_stage",[2]stages!$2:$2,0)+1),MATCH(G$1,[2]stages!$2:$2,0)-MATCH("temp_stage",[2]stages!$2:$2,0)+1,FALSE)</f>
        <v>エジプト神話シリーズ超級</v>
      </c>
      <c r="H11" s="80">
        <v>0</v>
      </c>
      <c r="I11">
        <v>14</v>
      </c>
      <c r="J11" s="79" t="s">
        <v>199</v>
      </c>
      <c r="K11" s="88" t="str">
        <f>VLOOKUP(I11,[7]stage_hints!$A:$C,3,FALSE)</f>
        <v>覚醒するにはレベルを最大に</v>
      </c>
      <c r="L11" s="89" t="str">
        <f>VLOOKUP(I11,[7]stage_hints!$A:$D,4,FALSE)</f>
        <v>覚醒するにはユニットのレベルを_x000D_最大まで上げる必要があります</v>
      </c>
      <c r="M11" s="54" t="s">
        <v>212</v>
      </c>
    </row>
    <row r="12" spans="1:13" x14ac:dyDescent="0.15">
      <c r="A12" s="76" t="s">
        <v>202</v>
      </c>
      <c r="B12" s="77">
        <f>floors!$C$2</f>
        <v>30038</v>
      </c>
      <c r="C12" s="78" t="str">
        <f ca="1">VLOOKUP($B12,OFFSET([2]quests!$A$1,0,0,COUNTA([2]quests!$A:$A),MATCH(C$1,[2]quests!$1:$1,0)-MATCH($B$1,[2]quests!$1:$1,0)+1),MATCH(C$1,[2]quests!$1:$1,0)-MATCH($B$1,[2]quests!$1:$1,0)+1,FALSE)</f>
        <v>毒絶神の願い</v>
      </c>
      <c r="D12" s="78" t="str">
        <f ca="1">VLOOKUP($B12,OFFSET([2]quests!$A$1,0,0,COUNTA([2]quests!$A:$A),MATCH(D$1,[2]quests!$1:$1,0)-MATCH($B$1,[2]quests!$1:$1,0)+1),MATCH(D$1,[2]quests!$1:$1,0)-MATCH($B$1,[2]quests!$1:$1,0)+1,FALSE)</f>
        <v>エジプト神話シリーズ超級</v>
      </c>
      <c r="E12" s="82">
        <v>1</v>
      </c>
      <c r="F12" s="78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【中級】毒絶神の願い</v>
      </c>
      <c r="G12" s="78" t="str">
        <f ca="1">VLOOKUP($B12&amp;"_"&amp;$E12,OFFSET([2]stages!$A$1,0,0,COUNTA([2]stages!$A:$A),MATCH(G$1,[2]stages!$2:$2,0)-MATCH("temp_stage",[2]stages!$2:$2,0)+1),MATCH(G$1,[2]stages!$2:$2,0)-MATCH("temp_stage",[2]stages!$2:$2,0)+1,FALSE)</f>
        <v>エジプト神話シリーズ超級</v>
      </c>
      <c r="H12" s="80">
        <v>0</v>
      </c>
      <c r="I12">
        <v>15</v>
      </c>
      <c r="J12" s="79" t="s">
        <v>199</v>
      </c>
      <c r="K12" s="88" t="str">
        <f>VLOOKUP(I12,[7]stage_hints!$A:$C,3,FALSE)</f>
        <v>覚醒素材を獲得</v>
      </c>
      <c r="L12" s="89" t="str">
        <f>VLOOKUP(I12,[7]stage_hints!$A:$D,4,FALSE)</f>
        <v>「曜日クエスト」では_x000D_ユニットの覚醒に必要な素材が手に入ります</v>
      </c>
      <c r="M12" s="54" t="s">
        <v>212</v>
      </c>
    </row>
    <row r="13" spans="1:13" x14ac:dyDescent="0.15">
      <c r="A13" s="76" t="s">
        <v>202</v>
      </c>
      <c r="B13" s="77">
        <f>floors!$C$2</f>
        <v>30038</v>
      </c>
      <c r="C13" s="78" t="str">
        <f ca="1">VLOOKUP($B13,OFFSET([2]quests!$A$1,0,0,COUNTA([2]quests!$A:$A),MATCH(C$1,[2]quests!$1:$1,0)-MATCH($B$1,[2]quests!$1:$1,0)+1),MATCH(C$1,[2]quests!$1:$1,0)-MATCH($B$1,[2]quests!$1:$1,0)+1,FALSE)</f>
        <v>毒絶神の願い</v>
      </c>
      <c r="D13" s="78" t="str">
        <f ca="1">VLOOKUP($B13,OFFSET([2]quests!$A$1,0,0,COUNTA([2]quests!$A:$A),MATCH(D$1,[2]quests!$1:$1,0)-MATCH($B$1,[2]quests!$1:$1,0)+1),MATCH(D$1,[2]quests!$1:$1,0)-MATCH($B$1,[2]quests!$1:$1,0)+1,FALSE)</f>
        <v>エジプト神話シリーズ超級</v>
      </c>
      <c r="E13" s="82">
        <v>1</v>
      </c>
      <c r="F13" s="78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【中級】毒絶神の願い</v>
      </c>
      <c r="G13" s="78" t="str">
        <f ca="1">VLOOKUP($B13&amp;"_"&amp;$E13,OFFSET([2]stages!$A$1,0,0,COUNTA([2]stages!$A:$A),MATCH(G$1,[2]stages!$2:$2,0)-MATCH("temp_stage",[2]stages!$2:$2,0)+1),MATCH(G$1,[2]stages!$2:$2,0)-MATCH("temp_stage",[2]stages!$2:$2,0)+1,FALSE)</f>
        <v>エジプト神話シリーズ超級</v>
      </c>
      <c r="H13" s="80">
        <v>0</v>
      </c>
      <c r="I13">
        <v>16</v>
      </c>
      <c r="J13" s="79" t="s">
        <v>199</v>
      </c>
      <c r="K13" s="88" t="str">
        <f>VLOOKUP(I13,[7]stage_hints!$A:$C,3,FALSE)</f>
        <v>マルチプレイのメリット（その1）</v>
      </c>
      <c r="L13" s="89" t="str">
        <f>VLOOKUP(I13,[7]stage_hints!$A:$D,4,FALSE)</f>
        <v>他のプレイヤーとマルチプレイで遊ぶと_x000D_ポリゴンがもらえます（100人まで）</v>
      </c>
      <c r="M13" s="54" t="s">
        <v>212</v>
      </c>
    </row>
    <row r="14" spans="1:13" x14ac:dyDescent="0.15">
      <c r="A14" s="76" t="s">
        <v>202</v>
      </c>
      <c r="B14" s="77">
        <f>floors!$C$2</f>
        <v>30038</v>
      </c>
      <c r="C14" s="78" t="str">
        <f ca="1">VLOOKUP($B14,OFFSET([2]quests!$A$1,0,0,COUNTA([2]quests!$A:$A),MATCH(C$1,[2]quests!$1:$1,0)-MATCH($B$1,[2]quests!$1:$1,0)+1),MATCH(C$1,[2]quests!$1:$1,0)-MATCH($B$1,[2]quests!$1:$1,0)+1,FALSE)</f>
        <v>毒絶神の願い</v>
      </c>
      <c r="D14" s="78" t="str">
        <f ca="1">VLOOKUP($B14,OFFSET([2]quests!$A$1,0,0,COUNTA([2]quests!$A:$A),MATCH(D$1,[2]quests!$1:$1,0)-MATCH($B$1,[2]quests!$1:$1,0)+1),MATCH(D$1,[2]quests!$1:$1,0)-MATCH($B$1,[2]quests!$1:$1,0)+1,FALSE)</f>
        <v>エジプト神話シリーズ超級</v>
      </c>
      <c r="E14" s="82">
        <v>1</v>
      </c>
      <c r="F14" s="78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【中級】毒絶神の願い</v>
      </c>
      <c r="G14" s="78" t="str">
        <f ca="1">VLOOKUP($B14&amp;"_"&amp;$E14,OFFSET([2]stages!$A$1,0,0,COUNTA([2]stages!$A:$A),MATCH(G$1,[2]stages!$2:$2,0)-MATCH("temp_stage",[2]stages!$2:$2,0)+1),MATCH(G$1,[2]stages!$2:$2,0)-MATCH("temp_stage",[2]stages!$2:$2,0)+1,FALSE)</f>
        <v>エジプト神話シリーズ超級</v>
      </c>
      <c r="H14" s="80">
        <v>0</v>
      </c>
      <c r="I14">
        <v>17</v>
      </c>
      <c r="J14" s="79" t="s">
        <v>199</v>
      </c>
      <c r="K14" s="88" t="str">
        <f>VLOOKUP(I14,[7]stage_hints!$A:$C,3,FALSE)</f>
        <v>リンクガチャ</v>
      </c>
      <c r="L14" s="89" t="str">
        <f>VLOOKUP(I14,[7]stage_hints!$A:$D,4,FALSE)</f>
        <v>無料のリンクガチャを回して_x000D_経験値素材や売却素材を獲得しましょう</v>
      </c>
      <c r="M14" s="54" t="s">
        <v>212</v>
      </c>
    </row>
    <row r="15" spans="1:13" x14ac:dyDescent="0.15">
      <c r="A15" s="76" t="s">
        <v>202</v>
      </c>
      <c r="B15" s="77">
        <f>floors!$C$2</f>
        <v>30038</v>
      </c>
      <c r="C15" s="78" t="str">
        <f ca="1">VLOOKUP($B15,OFFSET([2]quests!$A$1,0,0,COUNTA([2]quests!$A:$A),MATCH(C$1,[2]quests!$1:$1,0)-MATCH($B$1,[2]quests!$1:$1,0)+1),MATCH(C$1,[2]quests!$1:$1,0)-MATCH($B$1,[2]quests!$1:$1,0)+1,FALSE)</f>
        <v>毒絶神の願い</v>
      </c>
      <c r="D15" s="78" t="str">
        <f ca="1">VLOOKUP($B15,OFFSET([2]quests!$A$1,0,0,COUNTA([2]quests!$A:$A),MATCH(D$1,[2]quests!$1:$1,0)-MATCH($B$1,[2]quests!$1:$1,0)+1),MATCH(D$1,[2]quests!$1:$1,0)-MATCH($B$1,[2]quests!$1:$1,0)+1,FALSE)</f>
        <v>エジプト神話シリーズ超級</v>
      </c>
      <c r="E15" s="82">
        <v>1</v>
      </c>
      <c r="F15" s="78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【中級】毒絶神の願い</v>
      </c>
      <c r="G15" s="78" t="str">
        <f ca="1">VLOOKUP($B15&amp;"_"&amp;$E15,OFFSET([2]stages!$A$1,0,0,COUNTA([2]stages!$A:$A),MATCH(G$1,[2]stages!$2:$2,0)-MATCH("temp_stage",[2]stages!$2:$2,0)+1),MATCH(G$1,[2]stages!$2:$2,0)-MATCH("temp_stage",[2]stages!$2:$2,0)+1,FALSE)</f>
        <v>エジプト神話シリーズ超級</v>
      </c>
      <c r="H15" s="80">
        <v>0</v>
      </c>
      <c r="I15">
        <v>18</v>
      </c>
      <c r="J15" s="79" t="s">
        <v>199</v>
      </c>
      <c r="K15" s="88" t="str">
        <f>VLOOKUP(I15,[7]stage_hints!$A:$C,3,FALSE)</f>
        <v>マルチプレイのメリット（その2）</v>
      </c>
      <c r="L15" s="89" t="str">
        <f>VLOOKUP(I15,[7]stage_hints!$A:$D,4,FALSE)</f>
        <v>マルチプレイならリンクが2倍もらえます_x000D_リンクガチャをたくさん回しましょう</v>
      </c>
      <c r="M15" s="54" t="s">
        <v>212</v>
      </c>
    </row>
    <row r="16" spans="1:13" x14ac:dyDescent="0.15">
      <c r="A16" s="76" t="s">
        <v>202</v>
      </c>
      <c r="B16" s="77">
        <f>floors!$C$2</f>
        <v>30038</v>
      </c>
      <c r="C16" s="78" t="str">
        <f ca="1">VLOOKUP($B16,OFFSET([2]quests!$A$1,0,0,COUNTA([2]quests!$A:$A),MATCH(C$1,[2]quests!$1:$1,0)-MATCH($B$1,[2]quests!$1:$1,0)+1),MATCH(C$1,[2]quests!$1:$1,0)-MATCH($B$1,[2]quests!$1:$1,0)+1,FALSE)</f>
        <v>毒絶神の願い</v>
      </c>
      <c r="D16" s="78" t="str">
        <f ca="1">VLOOKUP($B16,OFFSET([2]quests!$A$1,0,0,COUNTA([2]quests!$A:$A),MATCH(D$1,[2]quests!$1:$1,0)-MATCH($B$1,[2]quests!$1:$1,0)+1),MATCH(D$1,[2]quests!$1:$1,0)-MATCH($B$1,[2]quests!$1:$1,0)+1,FALSE)</f>
        <v>エジプト神話シリーズ超級</v>
      </c>
      <c r="E16" s="82">
        <v>1</v>
      </c>
      <c r="F16" s="78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【中級】毒絶神の願い</v>
      </c>
      <c r="G16" s="78" t="str">
        <f ca="1">VLOOKUP($B16&amp;"_"&amp;$E16,OFFSET([2]stages!$A$1,0,0,COUNTA([2]stages!$A:$A),MATCH(G$1,[2]stages!$2:$2,0)-MATCH("temp_stage",[2]stages!$2:$2,0)+1),MATCH(G$1,[2]stages!$2:$2,0)-MATCH("temp_stage",[2]stages!$2:$2,0)+1,FALSE)</f>
        <v>エジプト神話シリーズ超級</v>
      </c>
      <c r="H16" s="80">
        <v>0</v>
      </c>
      <c r="I16">
        <v>19</v>
      </c>
      <c r="J16" s="79" t="s">
        <v>199</v>
      </c>
      <c r="K16" s="88" t="str">
        <f>VLOOKUP(I16,[7]stage_hints!$A:$C,3,FALSE)</f>
        <v>ソロ専用タワーオブザクイーン</v>
      </c>
      <c r="L16" s="89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4" t="s">
        <v>212</v>
      </c>
    </row>
    <row r="17" spans="1:13" x14ac:dyDescent="0.15">
      <c r="A17" s="76" t="s">
        <v>202</v>
      </c>
      <c r="B17" s="77">
        <f>floors!$C$2</f>
        <v>30038</v>
      </c>
      <c r="C17" s="78" t="str">
        <f ca="1">VLOOKUP($B17,OFFSET([2]quests!$A$1,0,0,COUNTA([2]quests!$A:$A),MATCH(C$1,[2]quests!$1:$1,0)-MATCH($B$1,[2]quests!$1:$1,0)+1),MATCH(C$1,[2]quests!$1:$1,0)-MATCH($B$1,[2]quests!$1:$1,0)+1,FALSE)</f>
        <v>毒絶神の願い</v>
      </c>
      <c r="D17" s="78" t="str">
        <f ca="1">VLOOKUP($B17,OFFSET([2]quests!$A$1,0,0,COUNTA([2]quests!$A:$A),MATCH(D$1,[2]quests!$1:$1,0)-MATCH($B$1,[2]quests!$1:$1,0)+1),MATCH(D$1,[2]quests!$1:$1,0)-MATCH($B$1,[2]quests!$1:$1,0)+1,FALSE)</f>
        <v>エジプト神話シリーズ超級</v>
      </c>
      <c r="E17" s="82">
        <v>1</v>
      </c>
      <c r="F17" s="78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【中級】毒絶神の願い</v>
      </c>
      <c r="G17" s="78" t="str">
        <f ca="1">VLOOKUP($B17&amp;"_"&amp;$E17,OFFSET([2]stages!$A$1,0,0,COUNTA([2]stages!$A:$A),MATCH(G$1,[2]stages!$2:$2,0)-MATCH("temp_stage",[2]stages!$2:$2,0)+1),MATCH(G$1,[2]stages!$2:$2,0)-MATCH("temp_stage",[2]stages!$2:$2,0)+1,FALSE)</f>
        <v>エジプト神話シリーズ超級</v>
      </c>
      <c r="H17" s="80">
        <v>0</v>
      </c>
      <c r="I17">
        <v>20</v>
      </c>
      <c r="J17" s="79" t="s">
        <v>199</v>
      </c>
      <c r="K17" s="88" t="str">
        <f>VLOOKUP(I17,[7]stage_hints!$A:$C,3,FALSE)</f>
        <v>マルチプレイのメリット（その3）</v>
      </c>
      <c r="L17" s="89" t="str">
        <f>VLOOKUP(I17,[7]stage_hints!$A:$D,4,FALSE)</f>
        <v>マルチプレイへの参加はエナジー消費ゼロ_x000D_いつでも好きなだけ遊ぶことができます</v>
      </c>
      <c r="M17" s="54" t="s">
        <v>212</v>
      </c>
    </row>
    <row r="18" spans="1:13" x14ac:dyDescent="0.15">
      <c r="A18" s="76" t="s">
        <v>202</v>
      </c>
      <c r="B18" s="77">
        <f>floors!$C$2</f>
        <v>30038</v>
      </c>
      <c r="C18" s="78" t="str">
        <f ca="1">VLOOKUP($B18,OFFSET([2]quests!$A$1,0,0,COUNTA([2]quests!$A:$A),MATCH(C$1,[2]quests!$1:$1,0)-MATCH($B$1,[2]quests!$1:$1,0)+1),MATCH(C$1,[2]quests!$1:$1,0)-MATCH($B$1,[2]quests!$1:$1,0)+1,FALSE)</f>
        <v>毒絶神の願い</v>
      </c>
      <c r="D18" s="78" t="str">
        <f ca="1">VLOOKUP($B18,OFFSET([2]quests!$A$1,0,0,COUNTA([2]quests!$A:$A),MATCH(D$1,[2]quests!$1:$1,0)-MATCH($B$1,[2]quests!$1:$1,0)+1),MATCH(D$1,[2]quests!$1:$1,0)-MATCH($B$1,[2]quests!$1:$1,0)+1,FALSE)</f>
        <v>エジプト神話シリーズ超級</v>
      </c>
      <c r="E18" s="82">
        <v>1</v>
      </c>
      <c r="F18" s="78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【中級】毒絶神の願い</v>
      </c>
      <c r="G18" s="78" t="str">
        <f ca="1">VLOOKUP($B18&amp;"_"&amp;$E18,OFFSET([2]stages!$A$1,0,0,COUNTA([2]stages!$A:$A),MATCH(G$1,[2]stages!$2:$2,0)-MATCH("temp_stage",[2]stages!$2:$2,0)+1),MATCH(G$1,[2]stages!$2:$2,0)-MATCH("temp_stage",[2]stages!$2:$2,0)+1,FALSE)</f>
        <v>エジプト神話シリーズ超級</v>
      </c>
      <c r="H18" s="80">
        <v>0</v>
      </c>
      <c r="I18">
        <v>21</v>
      </c>
      <c r="J18" s="79" t="s">
        <v>199</v>
      </c>
      <c r="K18" s="88" t="str">
        <f>VLOOKUP(I18,[7]stage_hints!$A:$C,3,FALSE)</f>
        <v>スキルを有効に</v>
      </c>
      <c r="L18" s="89" t="str">
        <f>VLOOKUP(I18,[7]stage_hints!$A:$D,4,FALSE)</f>
        <v>ターン経過でユニットのスキルが使えます_x000D_強力スキルでバトルを有利に進めましょう</v>
      </c>
      <c r="M18" s="54" t="s">
        <v>212</v>
      </c>
    </row>
    <row r="19" spans="1:13" x14ac:dyDescent="0.15">
      <c r="A19" s="76" t="s">
        <v>202</v>
      </c>
      <c r="B19" s="77">
        <f>floors!$C$2</f>
        <v>30038</v>
      </c>
      <c r="C19" s="78" t="str">
        <f ca="1">VLOOKUP($B19,OFFSET([2]quests!$A$1,0,0,COUNTA([2]quests!$A:$A),MATCH(C$1,[2]quests!$1:$1,0)-MATCH($B$1,[2]quests!$1:$1,0)+1),MATCH(C$1,[2]quests!$1:$1,0)-MATCH($B$1,[2]quests!$1:$1,0)+1,FALSE)</f>
        <v>毒絶神の願い</v>
      </c>
      <c r="D19" s="78" t="str">
        <f ca="1">VLOOKUP($B19,OFFSET([2]quests!$A$1,0,0,COUNTA([2]quests!$A:$A),MATCH(D$1,[2]quests!$1:$1,0)-MATCH($B$1,[2]quests!$1:$1,0)+1),MATCH(D$1,[2]quests!$1:$1,0)-MATCH($B$1,[2]quests!$1:$1,0)+1,FALSE)</f>
        <v>エジプト神話シリーズ超級</v>
      </c>
      <c r="E19" s="82">
        <v>1</v>
      </c>
      <c r="F19" s="78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【中級】毒絶神の願い</v>
      </c>
      <c r="G19" s="78" t="str">
        <f ca="1">VLOOKUP($B19&amp;"_"&amp;$E19,OFFSET([2]stages!$A$1,0,0,COUNTA([2]stages!$A:$A),MATCH(G$1,[2]stages!$2:$2,0)-MATCH("temp_stage",[2]stages!$2:$2,0)+1),MATCH(G$1,[2]stages!$2:$2,0)-MATCH("temp_stage",[2]stages!$2:$2,0)+1,FALSE)</f>
        <v>エジプト神話シリーズ超級</v>
      </c>
      <c r="H19" s="80">
        <v>0</v>
      </c>
      <c r="I19">
        <v>22</v>
      </c>
      <c r="J19" s="79" t="s">
        <v>199</v>
      </c>
      <c r="K19" s="88" t="str">
        <f>VLOOKUP(I19,[7]stage_hints!$A:$C,3,FALSE)</f>
        <v>フィーバーで一発逆転（その1）</v>
      </c>
      <c r="L19" s="89" t="str">
        <f>VLOOKUP(I19,[7]stage_hints!$A:$D,4,FALSE)</f>
        <v>フィーバーは攻撃と回復を兼ね備えます_x000D_ピンチからの一発逆転を狙いましょう</v>
      </c>
      <c r="M19" s="54" t="s">
        <v>212</v>
      </c>
    </row>
    <row r="20" spans="1:13" x14ac:dyDescent="0.15">
      <c r="A20" s="76" t="s">
        <v>202</v>
      </c>
      <c r="B20" s="77">
        <f>floors!$C$2</f>
        <v>30038</v>
      </c>
      <c r="C20" s="78" t="str">
        <f ca="1">VLOOKUP($B20,OFFSET([2]quests!$A$1,0,0,COUNTA([2]quests!$A:$A),MATCH(C$1,[2]quests!$1:$1,0)-MATCH($B$1,[2]quests!$1:$1,0)+1),MATCH(C$1,[2]quests!$1:$1,0)-MATCH($B$1,[2]quests!$1:$1,0)+1,FALSE)</f>
        <v>毒絶神の願い</v>
      </c>
      <c r="D20" s="78" t="str">
        <f ca="1">VLOOKUP($B20,OFFSET([2]quests!$A$1,0,0,COUNTA([2]quests!$A:$A),MATCH(D$1,[2]quests!$1:$1,0)-MATCH($B$1,[2]quests!$1:$1,0)+1),MATCH(D$1,[2]quests!$1:$1,0)-MATCH($B$1,[2]quests!$1:$1,0)+1,FALSE)</f>
        <v>エジプト神話シリーズ超級</v>
      </c>
      <c r="E20" s="82">
        <v>1</v>
      </c>
      <c r="F20" s="78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【中級】毒絶神の願い</v>
      </c>
      <c r="G20" s="78" t="str">
        <f ca="1">VLOOKUP($B20&amp;"_"&amp;$E20,OFFSET([2]stages!$A$1,0,0,COUNTA([2]stages!$A:$A),MATCH(G$1,[2]stages!$2:$2,0)-MATCH("temp_stage",[2]stages!$2:$2,0)+1),MATCH(G$1,[2]stages!$2:$2,0)-MATCH("temp_stage",[2]stages!$2:$2,0)+1,FALSE)</f>
        <v>エジプト神話シリーズ超級</v>
      </c>
      <c r="H20" s="80">
        <v>0</v>
      </c>
      <c r="I20">
        <v>23</v>
      </c>
      <c r="J20" s="79" t="s">
        <v>199</v>
      </c>
      <c r="K20" s="88" t="str">
        <f>VLOOKUP(I20,[7]stage_hints!$A:$C,3,FALSE)</f>
        <v>フィーバーで一発逆転（その2）</v>
      </c>
      <c r="L20" s="89" t="str">
        <f>VLOOKUP(I20,[7]stage_hints!$A:$D,4,FALSE)</f>
        <v>フィーバー中は虹色のボムパネルを狙って_x000D_画面上のパネルを一気に破壊しましょう</v>
      </c>
      <c r="M20" s="54" t="s">
        <v>212</v>
      </c>
    </row>
    <row r="21" spans="1:13" x14ac:dyDescent="0.15">
      <c r="A21" s="76" t="s">
        <v>202</v>
      </c>
      <c r="B21" s="77">
        <f>floors!$C$2</f>
        <v>30038</v>
      </c>
      <c r="C21" s="78" t="str">
        <f ca="1">VLOOKUP($B21,OFFSET([2]quests!$A$1,0,0,COUNTA([2]quests!$A:$A),MATCH(C$1,[2]quests!$1:$1,0)-MATCH($B$1,[2]quests!$1:$1,0)+1),MATCH(C$1,[2]quests!$1:$1,0)-MATCH($B$1,[2]quests!$1:$1,0)+1,FALSE)</f>
        <v>毒絶神の願い</v>
      </c>
      <c r="D21" s="78" t="str">
        <f ca="1">VLOOKUP($B21,OFFSET([2]quests!$A$1,0,0,COUNTA([2]quests!$A:$A),MATCH(D$1,[2]quests!$1:$1,0)-MATCH($B$1,[2]quests!$1:$1,0)+1),MATCH(D$1,[2]quests!$1:$1,0)-MATCH($B$1,[2]quests!$1:$1,0)+1,FALSE)</f>
        <v>エジプト神話シリーズ超級</v>
      </c>
      <c r="E21" s="82">
        <v>1</v>
      </c>
      <c r="F21" s="78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【中級】毒絶神の願い</v>
      </c>
      <c r="G21" s="78" t="str">
        <f ca="1">VLOOKUP($B21&amp;"_"&amp;$E21,OFFSET([2]stages!$A$1,0,0,COUNTA([2]stages!$A:$A),MATCH(G$1,[2]stages!$2:$2,0)-MATCH("temp_stage",[2]stages!$2:$2,0)+1),MATCH(G$1,[2]stages!$2:$2,0)-MATCH("temp_stage",[2]stages!$2:$2,0)+1,FALSE)</f>
        <v>エジプト神話シリーズ超級</v>
      </c>
      <c r="H21" s="80">
        <v>0</v>
      </c>
      <c r="I21">
        <v>24</v>
      </c>
      <c r="J21" s="79" t="s">
        <v>199</v>
      </c>
      <c r="K21" s="88" t="str">
        <f>VLOOKUP(I21,[7]stage_hints!$A:$C,3,FALSE)</f>
        <v>果実を使って限界突破</v>
      </c>
      <c r="L21" s="89" t="str">
        <f>VLOOKUP(I21,[7]stage_hints!$A:$D,4,FALSE)</f>
        <v>攻めの果実 癒しの果実_x000D_生命の果実をユニット強化に使うと_x000D_ステータスが限界突破します（計99個迄）</v>
      </c>
      <c r="M21" s="54" t="s">
        <v>212</v>
      </c>
    </row>
    <row r="22" spans="1:13" x14ac:dyDescent="0.15">
      <c r="A22" s="76" t="s">
        <v>202</v>
      </c>
      <c r="B22" s="77">
        <f>floors!$C$2</f>
        <v>30038</v>
      </c>
      <c r="C22" s="78" t="str">
        <f ca="1">VLOOKUP($B22,OFFSET([2]quests!$A$1,0,0,COUNTA([2]quests!$A:$A),MATCH(C$1,[2]quests!$1:$1,0)-MATCH($B$1,[2]quests!$1:$1,0)+1),MATCH(C$1,[2]quests!$1:$1,0)-MATCH($B$1,[2]quests!$1:$1,0)+1,FALSE)</f>
        <v>毒絶神の願い</v>
      </c>
      <c r="D22" s="78" t="str">
        <f ca="1">VLOOKUP($B22,OFFSET([2]quests!$A$1,0,0,COUNTA([2]quests!$A:$A),MATCH(D$1,[2]quests!$1:$1,0)-MATCH($B$1,[2]quests!$1:$1,0)+1),MATCH(D$1,[2]quests!$1:$1,0)-MATCH($B$1,[2]quests!$1:$1,0)+1,FALSE)</f>
        <v>エジプト神話シリーズ超級</v>
      </c>
      <c r="E22" s="82">
        <v>1</v>
      </c>
      <c r="F22" s="78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【中級】毒絶神の願い</v>
      </c>
      <c r="G22" s="78" t="str">
        <f ca="1">VLOOKUP($B22&amp;"_"&amp;$E22,OFFSET([2]stages!$A$1,0,0,COUNTA([2]stages!$A:$A),MATCH(G$1,[2]stages!$2:$2,0)-MATCH("temp_stage",[2]stages!$2:$2,0)+1),MATCH(G$1,[2]stages!$2:$2,0)-MATCH("temp_stage",[2]stages!$2:$2,0)+1,FALSE)</f>
        <v>エジプト神話シリーズ超級</v>
      </c>
      <c r="H22" s="80">
        <v>0</v>
      </c>
      <c r="I22">
        <v>25</v>
      </c>
      <c r="J22" s="79" t="s">
        <v>199</v>
      </c>
      <c r="K22" s="88" t="str">
        <f>VLOOKUP(I22,[7]stage_hints!$A:$C,3,FALSE)</f>
        <v>スキルレベルアップ</v>
      </c>
      <c r="L22" s="89" t="str">
        <f>VLOOKUP(I22,[7]stage_hints!$A:$D,4,FALSE)</f>
        <v>「秘術の果実」を強化に使うと_x000D_スキルレベルを上げることができます</v>
      </c>
      <c r="M22" s="54" t="s">
        <v>212</v>
      </c>
    </row>
    <row r="23" spans="1:13" x14ac:dyDescent="0.15">
      <c r="A23" s="76" t="s">
        <v>202</v>
      </c>
      <c r="B23" s="77">
        <f>floors!$C$2</f>
        <v>30038</v>
      </c>
      <c r="C23" s="78" t="str">
        <f ca="1">VLOOKUP($B23,OFFSET([2]quests!$A$1,0,0,COUNTA([2]quests!$A:$A),MATCH(C$1,[2]quests!$1:$1,0)-MATCH($B$1,[2]quests!$1:$1,0)+1),MATCH(C$1,[2]quests!$1:$1,0)-MATCH($B$1,[2]quests!$1:$1,0)+1,FALSE)</f>
        <v>毒絶神の願い</v>
      </c>
      <c r="D23" s="78" t="str">
        <f ca="1">VLOOKUP($B23,OFFSET([2]quests!$A$1,0,0,COUNTA([2]quests!$A:$A),MATCH(D$1,[2]quests!$1:$1,0)-MATCH($B$1,[2]quests!$1:$1,0)+1),MATCH(D$1,[2]quests!$1:$1,0)-MATCH($B$1,[2]quests!$1:$1,0)+1,FALSE)</f>
        <v>エジプト神話シリーズ超級</v>
      </c>
      <c r="E23" s="82">
        <v>1</v>
      </c>
      <c r="F23" s="78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【中級】毒絶神の願い</v>
      </c>
      <c r="G23" s="78" t="str">
        <f ca="1">VLOOKUP($B23&amp;"_"&amp;$E23,OFFSET([2]stages!$A$1,0,0,COUNTA([2]stages!$A:$A),MATCH(G$1,[2]stages!$2:$2,0)-MATCH("temp_stage",[2]stages!$2:$2,0)+1),MATCH(G$1,[2]stages!$2:$2,0)-MATCH("temp_stage",[2]stages!$2:$2,0)+1,FALSE)</f>
        <v>エジプト神話シリーズ超級</v>
      </c>
      <c r="H23" s="80">
        <v>0</v>
      </c>
      <c r="I23">
        <v>26</v>
      </c>
      <c r="J23" s="79" t="s">
        <v>199</v>
      </c>
      <c r="K23" s="88" t="str">
        <f>VLOOKUP(I23,[7]stage_hints!$A:$C,3,FALSE)</f>
        <v>スキルレベルの効果</v>
      </c>
      <c r="L23" s="89" t="str">
        <f>VLOOKUP(I23,[7]stage_hints!$A:$D,4,FALSE)</f>
        <v>スキルレベルが上がると_x000D_短いターンでスキルを使うことができます</v>
      </c>
      <c r="M23" s="54" t="s">
        <v>212</v>
      </c>
    </row>
    <row r="24" spans="1:13" x14ac:dyDescent="0.15">
      <c r="A24" s="76" t="s">
        <v>202</v>
      </c>
      <c r="B24" s="77">
        <f>floors!$C$2</f>
        <v>30038</v>
      </c>
      <c r="C24" s="78" t="str">
        <f ca="1">VLOOKUP($B24,OFFSET([2]quests!$A$1,0,0,COUNTA([2]quests!$A:$A),MATCH(C$1,[2]quests!$1:$1,0)-MATCH($B$1,[2]quests!$1:$1,0)+1),MATCH(C$1,[2]quests!$1:$1,0)-MATCH($B$1,[2]quests!$1:$1,0)+1,FALSE)</f>
        <v>毒絶神の願い</v>
      </c>
      <c r="D24" s="78" t="str">
        <f ca="1">VLOOKUP($B24,OFFSET([2]quests!$A$1,0,0,COUNTA([2]quests!$A:$A),MATCH(D$1,[2]quests!$1:$1,0)-MATCH($B$1,[2]quests!$1:$1,0)+1),MATCH(D$1,[2]quests!$1:$1,0)-MATCH($B$1,[2]quests!$1:$1,0)+1,FALSE)</f>
        <v>エジプト神話シリーズ超級</v>
      </c>
      <c r="E24" s="82">
        <v>1</v>
      </c>
      <c r="F24" s="78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【中級】毒絶神の願い</v>
      </c>
      <c r="G24" s="78" t="str">
        <f ca="1">VLOOKUP($B24&amp;"_"&amp;$E24,OFFSET([2]stages!$A$1,0,0,COUNTA([2]stages!$A:$A),MATCH(G$1,[2]stages!$2:$2,0)-MATCH("temp_stage",[2]stages!$2:$2,0)+1),MATCH(G$1,[2]stages!$2:$2,0)-MATCH("temp_stage",[2]stages!$2:$2,0)+1,FALSE)</f>
        <v>エジプト神話シリーズ超級</v>
      </c>
      <c r="H24" s="80">
        <v>0</v>
      </c>
      <c r="I24">
        <v>27</v>
      </c>
      <c r="J24" s="79" t="s">
        <v>199</v>
      </c>
      <c r="K24" s="88" t="str">
        <f>VLOOKUP(I24,[7]stage_hints!$A:$C,3,FALSE)</f>
        <v>ホーム画面からデッキを編成</v>
      </c>
      <c r="L24" s="89" t="str">
        <f>VLOOKUP(I24,[7]stage_hints!$A:$D,4,FALSE)</f>
        <v>ホーム画面でユニットを長押しすると_x000D_すぐにパーティ編成に移動できます</v>
      </c>
      <c r="M24" s="54" t="s">
        <v>212</v>
      </c>
    </row>
    <row r="25" spans="1:13" x14ac:dyDescent="0.15">
      <c r="A25" s="76" t="s">
        <v>202</v>
      </c>
      <c r="B25" s="77">
        <f>floors!$C$2</f>
        <v>30038</v>
      </c>
      <c r="C25" s="78" t="str">
        <f ca="1">VLOOKUP($B25,OFFSET([2]quests!$A$1,0,0,COUNTA([2]quests!$A:$A),MATCH(C$1,[2]quests!$1:$1,0)-MATCH($B$1,[2]quests!$1:$1,0)+1),MATCH(C$1,[2]quests!$1:$1,0)-MATCH($B$1,[2]quests!$1:$1,0)+1,FALSE)</f>
        <v>毒絶神の願い</v>
      </c>
      <c r="D25" s="78" t="str">
        <f ca="1">VLOOKUP($B25,OFFSET([2]quests!$A$1,0,0,COUNTA([2]quests!$A:$A),MATCH(D$1,[2]quests!$1:$1,0)-MATCH($B$1,[2]quests!$1:$1,0)+1),MATCH(D$1,[2]quests!$1:$1,0)-MATCH($B$1,[2]quests!$1:$1,0)+1,FALSE)</f>
        <v>エジプト神話シリーズ超級</v>
      </c>
      <c r="E25" s="82">
        <v>1</v>
      </c>
      <c r="F25" s="78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【中級】毒絶神の願い</v>
      </c>
      <c r="G25" s="78" t="str">
        <f ca="1">VLOOKUP($B25&amp;"_"&amp;$E25,OFFSET([2]stages!$A$1,0,0,COUNTA([2]stages!$A:$A),MATCH(G$1,[2]stages!$2:$2,0)-MATCH("temp_stage",[2]stages!$2:$2,0)+1),MATCH(G$1,[2]stages!$2:$2,0)-MATCH("temp_stage",[2]stages!$2:$2,0)+1,FALSE)</f>
        <v>エジプト神話シリーズ超級</v>
      </c>
      <c r="H25" s="80">
        <v>0</v>
      </c>
      <c r="I25">
        <v>28</v>
      </c>
      <c r="J25" s="79" t="s">
        <v>199</v>
      </c>
      <c r="K25" s="88" t="str">
        <f>VLOOKUP(I25,[7]stage_hints!$A:$C,3,FALSE)</f>
        <v>ステータス情報は長押しで</v>
      </c>
      <c r="L25" s="89" t="str">
        <f>VLOOKUP(I25,[7]stage_hints!$A:$D,4,FALSE)</f>
        <v>ユニットのアイコンを長押しすると_x000D_ステータス情報を確認することができます</v>
      </c>
      <c r="M25" s="54" t="s">
        <v>212</v>
      </c>
    </row>
    <row r="26" spans="1:13" x14ac:dyDescent="0.15">
      <c r="A26" s="76" t="s">
        <v>202</v>
      </c>
      <c r="B26" s="77">
        <f>floors!$C$2</f>
        <v>30038</v>
      </c>
      <c r="C26" s="78" t="str">
        <f ca="1">VLOOKUP($B26,OFFSET([2]quests!$A$1,0,0,COUNTA([2]quests!$A:$A),MATCH(C$1,[2]quests!$1:$1,0)-MATCH($B$1,[2]quests!$1:$1,0)+1),MATCH(C$1,[2]quests!$1:$1,0)-MATCH($B$1,[2]quests!$1:$1,0)+1,FALSE)</f>
        <v>毒絶神の願い</v>
      </c>
      <c r="D26" s="78" t="str">
        <f ca="1">VLOOKUP($B26,OFFSET([2]quests!$A$1,0,0,COUNTA([2]quests!$A:$A),MATCH(D$1,[2]quests!$1:$1,0)-MATCH($B$1,[2]quests!$1:$1,0)+1),MATCH(D$1,[2]quests!$1:$1,0)-MATCH($B$1,[2]quests!$1:$1,0)+1,FALSE)</f>
        <v>エジプト神話シリーズ超級</v>
      </c>
      <c r="E26" s="82">
        <v>1</v>
      </c>
      <c r="F26" s="78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【中級】毒絶神の願い</v>
      </c>
      <c r="G26" s="78" t="str">
        <f ca="1">VLOOKUP($B26&amp;"_"&amp;$E26,OFFSET([2]stages!$A$1,0,0,COUNTA([2]stages!$A:$A),MATCH(G$1,[2]stages!$2:$2,0)-MATCH("temp_stage",[2]stages!$2:$2,0)+1),MATCH(G$1,[2]stages!$2:$2,0)-MATCH("temp_stage",[2]stages!$2:$2,0)+1,FALSE)</f>
        <v>エジプト神話シリーズ超級</v>
      </c>
      <c r="H26" s="80">
        <v>0</v>
      </c>
      <c r="I26">
        <v>29</v>
      </c>
      <c r="J26" s="79" t="s">
        <v>199</v>
      </c>
      <c r="K26" s="88" t="str">
        <f>VLOOKUP(I26,[7]stage_hints!$A:$C,3,FALSE)</f>
        <v>「バグ」のメリット</v>
      </c>
      <c r="L26" s="89" t="str">
        <f>VLOOKUP(I26,[7]stage_hints!$A:$D,4,FALSE)</f>
        <v>ユニットの「バグ」を増やすと_x000D_報酬をもらえる確率がアップします</v>
      </c>
      <c r="M26" s="54" t="s">
        <v>212</v>
      </c>
    </row>
    <row r="27" spans="1:13" x14ac:dyDescent="0.15">
      <c r="A27" s="76" t="s">
        <v>202</v>
      </c>
      <c r="B27" s="77">
        <f>floors!$C$2</f>
        <v>30038</v>
      </c>
      <c r="C27" s="78" t="str">
        <f ca="1">VLOOKUP($B27,OFFSET([2]quests!$A$1,0,0,COUNTA([2]quests!$A:$A),MATCH(C$1,[2]quests!$1:$1,0)-MATCH($B$1,[2]quests!$1:$1,0)+1),MATCH(C$1,[2]quests!$1:$1,0)-MATCH($B$1,[2]quests!$1:$1,0)+1,FALSE)</f>
        <v>毒絶神の願い</v>
      </c>
      <c r="D27" s="78" t="str">
        <f ca="1">VLOOKUP($B27,OFFSET([2]quests!$A$1,0,0,COUNTA([2]quests!$A:$A),MATCH(D$1,[2]quests!$1:$1,0)-MATCH($B$1,[2]quests!$1:$1,0)+1),MATCH(D$1,[2]quests!$1:$1,0)-MATCH($B$1,[2]quests!$1:$1,0)+1,FALSE)</f>
        <v>エジプト神話シリーズ超級</v>
      </c>
      <c r="E27" s="82">
        <v>1</v>
      </c>
      <c r="F27" s="78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【中級】毒絶神の願い</v>
      </c>
      <c r="G27" s="78" t="str">
        <f ca="1">VLOOKUP($B27&amp;"_"&amp;$E27,OFFSET([2]stages!$A$1,0,0,COUNTA([2]stages!$A:$A),MATCH(G$1,[2]stages!$2:$2,0)-MATCH("temp_stage",[2]stages!$2:$2,0)+1),MATCH(G$1,[2]stages!$2:$2,0)-MATCH("temp_stage",[2]stages!$2:$2,0)+1,FALSE)</f>
        <v>エジプト神話シリーズ超級</v>
      </c>
      <c r="H27" s="80">
        <v>0</v>
      </c>
      <c r="I27">
        <v>30</v>
      </c>
      <c r="J27" s="79" t="s">
        <v>199</v>
      </c>
      <c r="K27" s="88" t="str">
        <f>VLOOKUP(I27,[7]stage_hints!$A:$C,3,FALSE)</f>
        <v>「バグ」の増やし方</v>
      </c>
      <c r="L27" s="89" t="str">
        <f>VLOOKUP(I27,[7]stage_hints!$A:$D,4,FALSE)</f>
        <v>同じユニット同士を強化で合成すると_x000D_「バグ」を増やすことができます</v>
      </c>
      <c r="M27" s="54" t="s">
        <v>212</v>
      </c>
    </row>
    <row r="28" spans="1:13" x14ac:dyDescent="0.15">
      <c r="A28" s="76" t="s">
        <v>202</v>
      </c>
      <c r="B28" s="77">
        <f>floors!$C$2</f>
        <v>30038</v>
      </c>
      <c r="C28" s="78" t="str">
        <f ca="1">VLOOKUP($B28,OFFSET([2]quests!$A$1,0,0,COUNTA([2]quests!$A:$A),MATCH(C$1,[2]quests!$1:$1,0)-MATCH($B$1,[2]quests!$1:$1,0)+1),MATCH(C$1,[2]quests!$1:$1,0)-MATCH($B$1,[2]quests!$1:$1,0)+1,FALSE)</f>
        <v>毒絶神の願い</v>
      </c>
      <c r="D28" s="78" t="str">
        <f ca="1">VLOOKUP($B28,OFFSET([2]quests!$A$1,0,0,COUNTA([2]quests!$A:$A),MATCH(D$1,[2]quests!$1:$1,0)-MATCH($B$1,[2]quests!$1:$1,0)+1),MATCH(D$1,[2]quests!$1:$1,0)-MATCH($B$1,[2]quests!$1:$1,0)+1,FALSE)</f>
        <v>エジプト神話シリーズ超級</v>
      </c>
      <c r="E28" s="82">
        <v>1</v>
      </c>
      <c r="F28" s="78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【中級】毒絶神の願い</v>
      </c>
      <c r="G28" s="78" t="str">
        <f ca="1">VLOOKUP($B28&amp;"_"&amp;$E28,OFFSET([2]stages!$A$1,0,0,COUNTA([2]stages!$A:$A),MATCH(G$1,[2]stages!$2:$2,0)-MATCH("temp_stage",[2]stages!$2:$2,0)+1),MATCH(G$1,[2]stages!$2:$2,0)-MATCH("temp_stage",[2]stages!$2:$2,0)+1,FALSE)</f>
        <v>エジプト神話シリーズ超級</v>
      </c>
      <c r="H28" s="80">
        <v>0</v>
      </c>
      <c r="I28">
        <v>31</v>
      </c>
      <c r="J28" s="79" t="s">
        <v>199</v>
      </c>
      <c r="K28" s="88" t="str">
        <f>VLOOKUP(I28,[7]stage_hints!$A:$C,3,FALSE)</f>
        <v>イベントはお知らせでチェック</v>
      </c>
      <c r="L28" s="89" t="str">
        <f>VLOOKUP(I28,[7]stage_hints!$A:$D,4,FALSE)</f>
        <v>イベント限定ユニットを取り忘れないように_x000D_お知らせをこまめにチェックしましょう</v>
      </c>
      <c r="M28" s="54" t="s">
        <v>212</v>
      </c>
    </row>
    <row r="29" spans="1:13" x14ac:dyDescent="0.15">
      <c r="A29" s="76" t="s">
        <v>202</v>
      </c>
      <c r="B29" s="77">
        <f>floors!$C$2</f>
        <v>30038</v>
      </c>
      <c r="C29" s="78" t="str">
        <f ca="1">VLOOKUP($B29,OFFSET([2]quests!$A$1,0,0,COUNTA([2]quests!$A:$A),MATCH(C$1,[2]quests!$1:$1,0)-MATCH($B$1,[2]quests!$1:$1,0)+1),MATCH(C$1,[2]quests!$1:$1,0)-MATCH($B$1,[2]quests!$1:$1,0)+1,FALSE)</f>
        <v>毒絶神の願い</v>
      </c>
      <c r="D29" s="78" t="str">
        <f ca="1">VLOOKUP($B29,OFFSET([2]quests!$A$1,0,0,COUNTA([2]quests!$A:$A),MATCH(D$1,[2]quests!$1:$1,0)-MATCH($B$1,[2]quests!$1:$1,0)+1),MATCH(D$1,[2]quests!$1:$1,0)-MATCH($B$1,[2]quests!$1:$1,0)+1,FALSE)</f>
        <v>エジプト神話シリーズ超級</v>
      </c>
      <c r="E29" s="82">
        <v>1</v>
      </c>
      <c r="F29" s="78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【中級】毒絶神の願い</v>
      </c>
      <c r="G29" s="78" t="str">
        <f ca="1">VLOOKUP($B29&amp;"_"&amp;$E29,OFFSET([2]stages!$A$1,0,0,COUNTA([2]stages!$A:$A),MATCH(G$1,[2]stages!$2:$2,0)-MATCH("temp_stage",[2]stages!$2:$2,0)+1),MATCH(G$1,[2]stages!$2:$2,0)-MATCH("temp_stage",[2]stages!$2:$2,0)+1,FALSE)</f>
        <v>エジプト神話シリーズ超級</v>
      </c>
      <c r="H29" s="80">
        <v>0</v>
      </c>
      <c r="I29">
        <v>32</v>
      </c>
      <c r="J29" s="79" t="s">
        <v>199</v>
      </c>
      <c r="K29" s="88" t="str">
        <f>VLOOKUP(I29,[7]stage_hints!$A:$C,3,FALSE)</f>
        <v>敵の連続攻撃には</v>
      </c>
      <c r="L29" s="89" t="str">
        <f>VLOOKUP(I29,[7]stage_hints!$A:$D,4,FALSE)</f>
        <v>カウンタースキルを持つユニットがいれば_x000D_ダメージ回数分の反撃ができます</v>
      </c>
      <c r="M29" s="54" t="s">
        <v>212</v>
      </c>
    </row>
    <row r="30" spans="1:13" x14ac:dyDescent="0.15">
      <c r="A30" s="76" t="s">
        <v>202</v>
      </c>
      <c r="B30" s="77">
        <f>floors!$C$2</f>
        <v>30038</v>
      </c>
      <c r="C30" s="78" t="str">
        <f ca="1">VLOOKUP($B30,OFFSET([2]quests!$A$1,0,0,COUNTA([2]quests!$A:$A),MATCH(C$1,[2]quests!$1:$1,0)-MATCH($B$1,[2]quests!$1:$1,0)+1),MATCH(C$1,[2]quests!$1:$1,0)-MATCH($B$1,[2]quests!$1:$1,0)+1,FALSE)</f>
        <v>毒絶神の願い</v>
      </c>
      <c r="D30" s="78" t="str">
        <f ca="1">VLOOKUP($B30,OFFSET([2]quests!$A$1,0,0,COUNTA([2]quests!$A:$A),MATCH(D$1,[2]quests!$1:$1,0)-MATCH($B$1,[2]quests!$1:$1,0)+1),MATCH(D$1,[2]quests!$1:$1,0)-MATCH($B$1,[2]quests!$1:$1,0)+1,FALSE)</f>
        <v>エジプト神話シリーズ超級</v>
      </c>
      <c r="E30" s="82">
        <v>1</v>
      </c>
      <c r="F30" s="78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【中級】毒絶神の願い</v>
      </c>
      <c r="G30" s="78" t="str">
        <f ca="1">VLOOKUP($B30&amp;"_"&amp;$E30,OFFSET([2]stages!$A$1,0,0,COUNTA([2]stages!$A:$A),MATCH(G$1,[2]stages!$2:$2,0)-MATCH("temp_stage",[2]stages!$2:$2,0)+1),MATCH(G$1,[2]stages!$2:$2,0)-MATCH("temp_stage",[2]stages!$2:$2,0)+1,FALSE)</f>
        <v>エジプト神話シリーズ超級</v>
      </c>
      <c r="H30" s="80">
        <v>0</v>
      </c>
      <c r="I30">
        <v>33</v>
      </c>
      <c r="J30" s="79" t="s">
        <v>199</v>
      </c>
      <c r="K30" s="88" t="str">
        <f>VLOOKUP(I30,[7]stage_hints!$A:$C,3,FALSE)</f>
        <v>敵のカウンター攻撃には</v>
      </c>
      <c r="L30" s="89" t="str">
        <f>VLOOKUP(I30,[7]stage_hints!$A:$D,4,FALSE)</f>
        <v>カウンターブレイクスキルを持っていれば_x000D_敵のカウンターを解除して攻撃ができます</v>
      </c>
      <c r="M30" s="54" t="s">
        <v>212</v>
      </c>
    </row>
    <row r="31" spans="1:13" x14ac:dyDescent="0.15">
      <c r="A31" s="76" t="s">
        <v>202</v>
      </c>
      <c r="B31" s="77">
        <f>floors!$C$2</f>
        <v>30038</v>
      </c>
      <c r="C31" s="78" t="str">
        <f ca="1">VLOOKUP($B31,OFFSET([2]quests!$A$1,0,0,COUNTA([2]quests!$A:$A),MATCH(C$1,[2]quests!$1:$1,0)-MATCH($B$1,[2]quests!$1:$1,0)+1),MATCH(C$1,[2]quests!$1:$1,0)-MATCH($B$1,[2]quests!$1:$1,0)+1,FALSE)</f>
        <v>毒絶神の願い</v>
      </c>
      <c r="D31" s="78" t="str">
        <f ca="1">VLOOKUP($B31,OFFSET([2]quests!$A$1,0,0,COUNTA([2]quests!$A:$A),MATCH(D$1,[2]quests!$1:$1,0)-MATCH($B$1,[2]quests!$1:$1,0)+1),MATCH(D$1,[2]quests!$1:$1,0)-MATCH($B$1,[2]quests!$1:$1,0)+1,FALSE)</f>
        <v>エジプト神話シリーズ超級</v>
      </c>
      <c r="E31" s="82">
        <v>1</v>
      </c>
      <c r="F31" s="78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【中級】毒絶神の願い</v>
      </c>
      <c r="G31" s="78" t="str">
        <f ca="1">VLOOKUP($B31&amp;"_"&amp;$E31,OFFSET([2]stages!$A$1,0,0,COUNTA([2]stages!$A:$A),MATCH(G$1,[2]stages!$2:$2,0)-MATCH("temp_stage",[2]stages!$2:$2,0)+1),MATCH(G$1,[2]stages!$2:$2,0)-MATCH("temp_stage",[2]stages!$2:$2,0)+1,FALSE)</f>
        <v>エジプト神話シリーズ超級</v>
      </c>
      <c r="H31" s="80">
        <v>0</v>
      </c>
      <c r="I31">
        <v>34</v>
      </c>
      <c r="J31" s="79" t="s">
        <v>199</v>
      </c>
      <c r="K31" s="88" t="str">
        <f>VLOOKUP(I31,[7]stage_hints!$A:$C,3,FALSE)</f>
        <v>ステータスをスキルで下げられたら</v>
      </c>
      <c r="L31" s="89" t="str">
        <f>VLOOKUP(I31,[7]stage_hints!$A:$D,4,FALSE)</f>
        <v>ステータスダウンのスキルを受けたら_x000D_ステータスアップスキルで上書きしましょう</v>
      </c>
      <c r="M31" s="54" t="s">
        <v>212</v>
      </c>
    </row>
    <row r="32" spans="1:13" x14ac:dyDescent="0.15">
      <c r="A32" s="76" t="s">
        <v>202</v>
      </c>
      <c r="B32" s="77">
        <f>floors!$C$2</f>
        <v>30038</v>
      </c>
      <c r="C32" s="78" t="str">
        <f ca="1">VLOOKUP($B32,OFFSET([2]quests!$A$1,0,0,COUNTA([2]quests!$A:$A),MATCH(C$1,[2]quests!$1:$1,0)-MATCH($B$1,[2]quests!$1:$1,0)+1),MATCH(C$1,[2]quests!$1:$1,0)-MATCH($B$1,[2]quests!$1:$1,0)+1,FALSE)</f>
        <v>毒絶神の願い</v>
      </c>
      <c r="D32" s="78" t="str">
        <f ca="1">VLOOKUP($B32,OFFSET([2]quests!$A$1,0,0,COUNTA([2]quests!$A:$A),MATCH(D$1,[2]quests!$1:$1,0)-MATCH($B$1,[2]quests!$1:$1,0)+1),MATCH(D$1,[2]quests!$1:$1,0)-MATCH($B$1,[2]quests!$1:$1,0)+1,FALSE)</f>
        <v>エジプト神話シリーズ超級</v>
      </c>
      <c r="E32" s="82">
        <v>1</v>
      </c>
      <c r="F32" s="78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【中級】毒絶神の願い</v>
      </c>
      <c r="G32" s="78" t="str">
        <f ca="1">VLOOKUP($B32&amp;"_"&amp;$E32,OFFSET([2]stages!$A$1,0,0,COUNTA([2]stages!$A:$A),MATCH(G$1,[2]stages!$2:$2,0)-MATCH("temp_stage",[2]stages!$2:$2,0)+1),MATCH(G$1,[2]stages!$2:$2,0)-MATCH("temp_stage",[2]stages!$2:$2,0)+1,FALSE)</f>
        <v>エジプト神話シリーズ超級</v>
      </c>
      <c r="H32" s="80">
        <v>0</v>
      </c>
      <c r="I32">
        <v>35</v>
      </c>
      <c r="J32" s="79" t="s">
        <v>199</v>
      </c>
      <c r="K32" s="88" t="str">
        <f>VLOOKUP(I32,[7]stage_hints!$A:$C,3,FALSE)</f>
        <v>敵のステータスがスキルで上がったら</v>
      </c>
      <c r="L32" s="89" t="str">
        <f>VLOOKUP(I32,[7]stage_hints!$A:$D,4,FALSE)</f>
        <v>敵のステータスがスキルでアップしたときは_x000D_ステータスダウンスキルで上書きしましょう</v>
      </c>
      <c r="M32" s="54" t="s">
        <v>212</v>
      </c>
    </row>
    <row r="33" spans="1:13" x14ac:dyDescent="0.15">
      <c r="A33" s="76" t="s">
        <v>202</v>
      </c>
      <c r="B33" s="77">
        <f>floors!$C$2</f>
        <v>30038</v>
      </c>
      <c r="C33" s="78" t="str">
        <f ca="1">VLOOKUP($B33,OFFSET([2]quests!$A$1,0,0,COUNTA([2]quests!$A:$A),MATCH(C$1,[2]quests!$1:$1,0)-MATCH($B$1,[2]quests!$1:$1,0)+1),MATCH(C$1,[2]quests!$1:$1,0)-MATCH($B$1,[2]quests!$1:$1,0)+1,FALSE)</f>
        <v>毒絶神の願い</v>
      </c>
      <c r="D33" s="78" t="str">
        <f ca="1">VLOOKUP($B33,OFFSET([2]quests!$A$1,0,0,COUNTA([2]quests!$A:$A),MATCH(D$1,[2]quests!$1:$1,0)-MATCH($B$1,[2]quests!$1:$1,0)+1),MATCH(D$1,[2]quests!$1:$1,0)-MATCH($B$1,[2]quests!$1:$1,0)+1,FALSE)</f>
        <v>エジプト神話シリーズ超級</v>
      </c>
      <c r="E33" s="82">
        <v>1</v>
      </c>
      <c r="F33" s="78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【中級】毒絶神の願い</v>
      </c>
      <c r="G33" s="78" t="str">
        <f ca="1">VLOOKUP($B33&amp;"_"&amp;$E33,OFFSET([2]stages!$A$1,0,0,COUNTA([2]stages!$A:$A),MATCH(G$1,[2]stages!$2:$2,0)-MATCH("temp_stage",[2]stages!$2:$2,0)+1),MATCH(G$1,[2]stages!$2:$2,0)-MATCH("temp_stage",[2]stages!$2:$2,0)+1,FALSE)</f>
        <v>エジプト神話シリーズ超級</v>
      </c>
      <c r="H33" s="80">
        <v>0</v>
      </c>
      <c r="I33">
        <v>39</v>
      </c>
      <c r="J33" s="79" t="s">
        <v>199</v>
      </c>
      <c r="K33" s="88" t="str">
        <f>VLOOKUP(I33,[7]stage_hints!$A:$C,3,FALSE)</f>
        <v>システム適合者を確認</v>
      </c>
      <c r="L33" s="89" t="str">
        <f>VLOOKUP(I33,[7]stage_hints!$A:$D,4,FALSE)</f>
        <v>ALICEが 「アナタ」を呼んでいます</v>
      </c>
      <c r="M33" s="54" t="s">
        <v>212</v>
      </c>
    </row>
    <row r="34" spans="1:13" x14ac:dyDescent="0.15">
      <c r="A34" s="76" t="s">
        <v>202</v>
      </c>
      <c r="B34" s="77">
        <f>floors!$C$2</f>
        <v>30038</v>
      </c>
      <c r="C34" s="78" t="str">
        <f ca="1">VLOOKUP($B34,OFFSET([2]quests!$A$1,0,0,COUNTA([2]quests!$A:$A),MATCH(C$1,[2]quests!$1:$1,0)-MATCH($B$1,[2]quests!$1:$1,0)+1),MATCH(C$1,[2]quests!$1:$1,0)-MATCH($B$1,[2]quests!$1:$1,0)+1,FALSE)</f>
        <v>毒絶神の願い</v>
      </c>
      <c r="D34" s="78" t="str">
        <f ca="1">VLOOKUP($B34,OFFSET([2]quests!$A$1,0,0,COUNTA([2]quests!$A:$A),MATCH(D$1,[2]quests!$1:$1,0)-MATCH($B$1,[2]quests!$1:$1,0)+1),MATCH(D$1,[2]quests!$1:$1,0)-MATCH($B$1,[2]quests!$1:$1,0)+1,FALSE)</f>
        <v>エジプト神話シリーズ超級</v>
      </c>
      <c r="E34" s="82">
        <v>2</v>
      </c>
      <c r="F34" s="78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【上級】毒絶神の願い</v>
      </c>
      <c r="G34" s="78" t="str">
        <f ca="1">VLOOKUP($B34&amp;"_"&amp;$E34,OFFSET([2]stages!$A$1,0,0,COUNTA([2]stages!$A:$A),MATCH(G$1,[2]stages!$2:$2,0)-MATCH("temp_stage",[2]stages!$2:$2,0)+1),MATCH(G$1,[2]stages!$2:$2,0)-MATCH("temp_stage",[2]stages!$2:$2,0)+1,FALSE)</f>
        <v>エジプト神話シリーズ超級</v>
      </c>
      <c r="H34" s="80">
        <v>0</v>
      </c>
      <c r="I34" s="91">
        <v>3</v>
      </c>
      <c r="J34" s="79" t="s">
        <v>199</v>
      </c>
      <c r="K34" s="88" t="str">
        <f>VLOOKUP(I34,[7]stage_hints!$A:$C,3,FALSE)</f>
        <v>ターゲット</v>
      </c>
      <c r="L34" s="89" t="str">
        <f>VLOOKUP(I34,[7]stage_hints!$A:$D,4,FALSE)</f>
        <v>敵ユニットをタップすると_x000D_その敵を狙い撃ちできます</v>
      </c>
      <c r="M34" s="54" t="s">
        <v>212</v>
      </c>
    </row>
    <row r="35" spans="1:13" x14ac:dyDescent="0.15">
      <c r="A35" s="76" t="s">
        <v>202</v>
      </c>
      <c r="B35" s="77">
        <f>floors!$C$2</f>
        <v>30038</v>
      </c>
      <c r="C35" s="78" t="str">
        <f ca="1">VLOOKUP($B35,OFFSET([2]quests!$A$1,0,0,COUNTA([2]quests!$A:$A),MATCH(C$1,[2]quests!$1:$1,0)-MATCH($B$1,[2]quests!$1:$1,0)+1),MATCH(C$1,[2]quests!$1:$1,0)-MATCH($B$1,[2]quests!$1:$1,0)+1,FALSE)</f>
        <v>毒絶神の願い</v>
      </c>
      <c r="D35" s="78" t="str">
        <f ca="1">VLOOKUP($B35,OFFSET([2]quests!$A$1,0,0,COUNTA([2]quests!$A:$A),MATCH(D$1,[2]quests!$1:$1,0)-MATCH($B$1,[2]quests!$1:$1,0)+1),MATCH(D$1,[2]quests!$1:$1,0)-MATCH($B$1,[2]quests!$1:$1,0)+1,FALSE)</f>
        <v>エジプト神話シリーズ超級</v>
      </c>
      <c r="E35" s="82">
        <v>2</v>
      </c>
      <c r="F35" s="78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【上級】毒絶神の願い</v>
      </c>
      <c r="G35" s="78" t="str">
        <f ca="1">VLOOKUP($B35&amp;"_"&amp;$E35,OFFSET([2]stages!$A$1,0,0,COUNTA([2]stages!$A:$A),MATCH(G$1,[2]stages!$2:$2,0)-MATCH("temp_stage",[2]stages!$2:$2,0)+1),MATCH(G$1,[2]stages!$2:$2,0)-MATCH("temp_stage",[2]stages!$2:$2,0)+1,FALSE)</f>
        <v>エジプト神話シリーズ超級</v>
      </c>
      <c r="H35" s="80">
        <v>0</v>
      </c>
      <c r="I35" s="91">
        <v>6</v>
      </c>
      <c r="J35" s="79" t="s">
        <v>199</v>
      </c>
      <c r="K35" s="88" t="str">
        <f>VLOOKUP(I35,[7]stage_hints!$A:$C,3,FALSE)</f>
        <v>ユニット強化の属性ボーナス</v>
      </c>
      <c r="L35" s="89" t="str">
        <f>VLOOKUP(I35,[7]stage_hints!$A:$D,4,FALSE)</f>
        <v>同属性ユニットを強化素材にすると_x000D_経験値が多くもらえます</v>
      </c>
      <c r="M35" s="54" t="s">
        <v>212</v>
      </c>
    </row>
    <row r="36" spans="1:13" x14ac:dyDescent="0.15">
      <c r="A36" s="76" t="s">
        <v>202</v>
      </c>
      <c r="B36" s="77">
        <f>floors!$C$2</f>
        <v>30038</v>
      </c>
      <c r="C36" s="78" t="str">
        <f ca="1">VLOOKUP($B36,OFFSET([2]quests!$A$1,0,0,COUNTA([2]quests!$A:$A),MATCH(C$1,[2]quests!$1:$1,0)-MATCH($B$1,[2]quests!$1:$1,0)+1),MATCH(C$1,[2]quests!$1:$1,0)-MATCH($B$1,[2]quests!$1:$1,0)+1,FALSE)</f>
        <v>毒絶神の願い</v>
      </c>
      <c r="D36" s="78" t="str">
        <f ca="1">VLOOKUP($B36,OFFSET([2]quests!$A$1,0,0,COUNTA([2]quests!$A:$A),MATCH(D$1,[2]quests!$1:$1,0)-MATCH($B$1,[2]quests!$1:$1,0)+1),MATCH(D$1,[2]quests!$1:$1,0)-MATCH($B$1,[2]quests!$1:$1,0)+1,FALSE)</f>
        <v>エジプト神話シリーズ超級</v>
      </c>
      <c r="E36" s="82">
        <v>2</v>
      </c>
      <c r="F36" s="78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【上級】毒絶神の願い</v>
      </c>
      <c r="G36" s="78" t="str">
        <f ca="1">VLOOKUP($B36&amp;"_"&amp;$E36,OFFSET([2]stages!$A$1,0,0,COUNTA([2]stages!$A:$A),MATCH(G$1,[2]stages!$2:$2,0)-MATCH("temp_stage",[2]stages!$2:$2,0)+1),MATCH(G$1,[2]stages!$2:$2,0)-MATCH("temp_stage",[2]stages!$2:$2,0)+1,FALSE)</f>
        <v>エジプト神話シリーズ超級</v>
      </c>
      <c r="H36" s="80">
        <v>0</v>
      </c>
      <c r="I36" s="91">
        <v>7</v>
      </c>
      <c r="J36" s="79" t="s">
        <v>199</v>
      </c>
      <c r="K36" s="88" t="str">
        <f>VLOOKUP(I36,[7]stage_hints!$A:$C,3,FALSE)</f>
        <v>メタルダックで経験値を獲得</v>
      </c>
      <c r="L36" s="89" t="str">
        <f>VLOOKUP(I36,[7]stage_hints!$A:$D,4,FALSE)</f>
        <v>「メタルなアヒル」を強化素材にすると_x000D_大量の経験値がもらえます</v>
      </c>
      <c r="M36" s="54" t="s">
        <v>212</v>
      </c>
    </row>
    <row r="37" spans="1:13" x14ac:dyDescent="0.15">
      <c r="A37" s="76" t="s">
        <v>202</v>
      </c>
      <c r="B37" s="77">
        <f>floors!$C$2</f>
        <v>30038</v>
      </c>
      <c r="C37" s="78" t="str">
        <f ca="1">VLOOKUP($B37,OFFSET([2]quests!$A$1,0,0,COUNTA([2]quests!$A:$A),MATCH(C$1,[2]quests!$1:$1,0)-MATCH($B$1,[2]quests!$1:$1,0)+1),MATCH(C$1,[2]quests!$1:$1,0)-MATCH($B$1,[2]quests!$1:$1,0)+1,FALSE)</f>
        <v>毒絶神の願い</v>
      </c>
      <c r="D37" s="78" t="str">
        <f ca="1">VLOOKUP($B37,OFFSET([2]quests!$A$1,0,0,COUNTA([2]quests!$A:$A),MATCH(D$1,[2]quests!$1:$1,0)-MATCH($B$1,[2]quests!$1:$1,0)+1),MATCH(D$1,[2]quests!$1:$1,0)-MATCH($B$1,[2]quests!$1:$1,0)+1,FALSE)</f>
        <v>エジプト神話シリーズ超級</v>
      </c>
      <c r="E37" s="82">
        <v>2</v>
      </c>
      <c r="F37" s="78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【上級】毒絶神の願い</v>
      </c>
      <c r="G37" s="78" t="str">
        <f ca="1">VLOOKUP($B37&amp;"_"&amp;$E37,OFFSET([2]stages!$A$1,0,0,COUNTA([2]stages!$A:$A),MATCH(G$1,[2]stages!$2:$2,0)-MATCH("temp_stage",[2]stages!$2:$2,0)+1),MATCH(G$1,[2]stages!$2:$2,0)-MATCH("temp_stage",[2]stages!$2:$2,0)+1,FALSE)</f>
        <v>エジプト神話シリーズ超級</v>
      </c>
      <c r="H37" s="80">
        <v>0</v>
      </c>
      <c r="I37" s="91">
        <v>8</v>
      </c>
      <c r="J37" s="79" t="s">
        <v>199</v>
      </c>
      <c r="K37" s="88" t="str">
        <f>VLOOKUP(I37,[7]stage_hints!$A:$C,3,FALSE)</f>
        <v>ゲリラクエストは要チェック</v>
      </c>
      <c r="L37" s="89" t="str">
        <f>VLOOKUP(I37,[7]stage_hints!$A:$D,4,FALSE)</f>
        <v>時間限定の「アヒル捕獲作戦」では_x000D_経験値素材ユニットが多く手に入ります</v>
      </c>
      <c r="M37" s="54" t="s">
        <v>212</v>
      </c>
    </row>
    <row r="38" spans="1:13" x14ac:dyDescent="0.15">
      <c r="A38" s="76" t="s">
        <v>202</v>
      </c>
      <c r="B38" s="77">
        <f>floors!$C$2</f>
        <v>30038</v>
      </c>
      <c r="C38" s="78" t="str">
        <f ca="1">VLOOKUP($B38,OFFSET([2]quests!$A$1,0,0,COUNTA([2]quests!$A:$A),MATCH(C$1,[2]quests!$1:$1,0)-MATCH($B$1,[2]quests!$1:$1,0)+1),MATCH(C$1,[2]quests!$1:$1,0)-MATCH($B$1,[2]quests!$1:$1,0)+1,FALSE)</f>
        <v>毒絶神の願い</v>
      </c>
      <c r="D38" s="78" t="str">
        <f ca="1">VLOOKUP($B38,OFFSET([2]quests!$A$1,0,0,COUNTA([2]quests!$A:$A),MATCH(D$1,[2]quests!$1:$1,0)-MATCH($B$1,[2]quests!$1:$1,0)+1),MATCH(D$1,[2]quests!$1:$1,0)-MATCH($B$1,[2]quests!$1:$1,0)+1,FALSE)</f>
        <v>エジプト神話シリーズ超級</v>
      </c>
      <c r="E38" s="82">
        <v>2</v>
      </c>
      <c r="F38" s="78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【上級】毒絶神の願い</v>
      </c>
      <c r="G38" s="78" t="str">
        <f ca="1">VLOOKUP($B38&amp;"_"&amp;$E38,OFFSET([2]stages!$A$1,0,0,COUNTA([2]stages!$A:$A),MATCH(G$1,[2]stages!$2:$2,0)-MATCH("temp_stage",[2]stages!$2:$2,0)+1),MATCH(G$1,[2]stages!$2:$2,0)-MATCH("temp_stage",[2]stages!$2:$2,0)+1,FALSE)</f>
        <v>エジプト神話シリーズ超級</v>
      </c>
      <c r="H38" s="80">
        <v>0</v>
      </c>
      <c r="I38" s="91">
        <v>9</v>
      </c>
      <c r="J38" s="79" t="s">
        <v>199</v>
      </c>
      <c r="K38" s="88" t="str">
        <f>VLOOKUP(I38,[7]stage_hints!$A:$C,3,FALSE)</f>
        <v>ゴールドダックでビットを獲得</v>
      </c>
      <c r="L38" s="89" t="str">
        <f>VLOOKUP(I38,[7]stage_hints!$A:$D,4,FALSE)</f>
        <v>「ゴールドなアヒル」を売却すると_x000D_大量のビットがもらえます</v>
      </c>
      <c r="M38" s="54" t="s">
        <v>212</v>
      </c>
    </row>
    <row r="39" spans="1:13" x14ac:dyDescent="0.15">
      <c r="A39" s="76" t="s">
        <v>202</v>
      </c>
      <c r="B39" s="77">
        <f>floors!$C$2</f>
        <v>30038</v>
      </c>
      <c r="C39" s="78" t="str">
        <f ca="1">VLOOKUP($B39,OFFSET([2]quests!$A$1,0,0,COUNTA([2]quests!$A:$A),MATCH(C$1,[2]quests!$1:$1,0)-MATCH($B$1,[2]quests!$1:$1,0)+1),MATCH(C$1,[2]quests!$1:$1,0)-MATCH($B$1,[2]quests!$1:$1,0)+1,FALSE)</f>
        <v>毒絶神の願い</v>
      </c>
      <c r="D39" s="78" t="str">
        <f ca="1">VLOOKUP($B39,OFFSET([2]quests!$A$1,0,0,COUNTA([2]quests!$A:$A),MATCH(D$1,[2]quests!$1:$1,0)-MATCH($B$1,[2]quests!$1:$1,0)+1),MATCH(D$1,[2]quests!$1:$1,0)-MATCH($B$1,[2]quests!$1:$1,0)+1,FALSE)</f>
        <v>エジプト神話シリーズ超級</v>
      </c>
      <c r="E39" s="82">
        <v>2</v>
      </c>
      <c r="F39" s="78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【上級】毒絶神の願い</v>
      </c>
      <c r="G39" s="78" t="str">
        <f ca="1">VLOOKUP($B39&amp;"_"&amp;$E39,OFFSET([2]stages!$A$1,0,0,COUNTA([2]stages!$A:$A),MATCH(G$1,[2]stages!$2:$2,0)-MATCH("temp_stage",[2]stages!$2:$2,0)+1),MATCH(G$1,[2]stages!$2:$2,0)-MATCH("temp_stage",[2]stages!$2:$2,0)+1,FALSE)</f>
        <v>エジプト神話シリーズ超級</v>
      </c>
      <c r="H39" s="80">
        <v>0</v>
      </c>
      <c r="I39" s="91">
        <v>10</v>
      </c>
      <c r="J39" s="79" t="s">
        <v>199</v>
      </c>
      <c r="K39" s="88" t="str">
        <f>VLOOKUP(I39,[7]stage_hints!$A:$C,3,FALSE)</f>
        <v>土日に大量のビットを獲得</v>
      </c>
      <c r="L39" s="89" t="str">
        <f>VLOOKUP(I39,[7]stage_hints!$A:$D,4,FALSE)</f>
        <v>土日限定の「ゴールドカジノ」では_x000D_売却素材ユニットが多く手に入ります</v>
      </c>
      <c r="M39" s="54" t="s">
        <v>212</v>
      </c>
    </row>
    <row r="40" spans="1:13" x14ac:dyDescent="0.15">
      <c r="A40" s="76" t="s">
        <v>202</v>
      </c>
      <c r="B40" s="77">
        <f>floors!$C$2</f>
        <v>30038</v>
      </c>
      <c r="C40" s="78" t="str">
        <f ca="1">VLOOKUP($B40,OFFSET([2]quests!$A$1,0,0,COUNTA([2]quests!$A:$A),MATCH(C$1,[2]quests!$1:$1,0)-MATCH($B$1,[2]quests!$1:$1,0)+1),MATCH(C$1,[2]quests!$1:$1,0)-MATCH($B$1,[2]quests!$1:$1,0)+1,FALSE)</f>
        <v>毒絶神の願い</v>
      </c>
      <c r="D40" s="78" t="str">
        <f ca="1">VLOOKUP($B40,OFFSET([2]quests!$A$1,0,0,COUNTA([2]quests!$A:$A),MATCH(D$1,[2]quests!$1:$1,0)-MATCH($B$1,[2]quests!$1:$1,0)+1),MATCH(D$1,[2]quests!$1:$1,0)-MATCH($B$1,[2]quests!$1:$1,0)+1,FALSE)</f>
        <v>エジプト神話シリーズ超級</v>
      </c>
      <c r="E40" s="82">
        <v>2</v>
      </c>
      <c r="F40" s="78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【上級】毒絶神の願い</v>
      </c>
      <c r="G40" s="78" t="str">
        <f ca="1">VLOOKUP($B40&amp;"_"&amp;$E40,OFFSET([2]stages!$A$1,0,0,COUNTA([2]stages!$A:$A),MATCH(G$1,[2]stages!$2:$2,0)-MATCH("temp_stage",[2]stages!$2:$2,0)+1),MATCH(G$1,[2]stages!$2:$2,0)-MATCH("temp_stage",[2]stages!$2:$2,0)+1,FALSE)</f>
        <v>エジプト神話シリーズ超級</v>
      </c>
      <c r="H40" s="80">
        <v>0</v>
      </c>
      <c r="I40" s="91">
        <v>11</v>
      </c>
      <c r="J40" s="79" t="s">
        <v>199</v>
      </c>
      <c r="K40" s="88" t="str">
        <f>VLOOKUP(I40,[7]stage_hints!$A:$C,3,FALSE)</f>
        <v>ランク解放クエスト</v>
      </c>
      <c r="L40" s="89" t="str">
        <f>VLOOKUP(I40,[7]stage_hints!$A:$D,4,FALSE)</f>
        <v>一定ランクに到達すると_x000D_報酬付きのランク開放クエストが現れます</v>
      </c>
      <c r="M40" s="54" t="s">
        <v>212</v>
      </c>
    </row>
    <row r="41" spans="1:13" x14ac:dyDescent="0.15">
      <c r="A41" s="76" t="s">
        <v>202</v>
      </c>
      <c r="B41" s="77">
        <f>floors!$C$2</f>
        <v>30038</v>
      </c>
      <c r="C41" s="78" t="str">
        <f ca="1">VLOOKUP($B41,OFFSET([2]quests!$A$1,0,0,COUNTA([2]quests!$A:$A),MATCH(C$1,[2]quests!$1:$1,0)-MATCH($B$1,[2]quests!$1:$1,0)+1),MATCH(C$1,[2]quests!$1:$1,0)-MATCH($B$1,[2]quests!$1:$1,0)+1,FALSE)</f>
        <v>毒絶神の願い</v>
      </c>
      <c r="D41" s="78" t="str">
        <f ca="1">VLOOKUP($B41,OFFSET([2]quests!$A$1,0,0,COUNTA([2]quests!$A:$A),MATCH(D$1,[2]quests!$1:$1,0)-MATCH($B$1,[2]quests!$1:$1,0)+1),MATCH(D$1,[2]quests!$1:$1,0)-MATCH($B$1,[2]quests!$1:$1,0)+1,FALSE)</f>
        <v>エジプト神話シリーズ超級</v>
      </c>
      <c r="E41" s="82">
        <v>2</v>
      </c>
      <c r="F41" s="78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【上級】毒絶神の願い</v>
      </c>
      <c r="G41" s="78" t="str">
        <f ca="1">VLOOKUP($B41&amp;"_"&amp;$E41,OFFSET([2]stages!$A$1,0,0,COUNTA([2]stages!$A:$A),MATCH(G$1,[2]stages!$2:$2,0)-MATCH("temp_stage",[2]stages!$2:$2,0)+1),MATCH(G$1,[2]stages!$2:$2,0)-MATCH("temp_stage",[2]stages!$2:$2,0)+1,FALSE)</f>
        <v>エジプト神話シリーズ超級</v>
      </c>
      <c r="H41" s="80">
        <v>0</v>
      </c>
      <c r="I41" s="91">
        <v>12</v>
      </c>
      <c r="J41" s="79" t="s">
        <v>199</v>
      </c>
      <c r="K41" s="88" t="str">
        <f>VLOOKUP(I41,[7]stage_hints!$A:$C,3,FALSE)</f>
        <v>ユニットのお気に入り登録</v>
      </c>
      <c r="L41" s="89" t="str">
        <f>VLOOKUP(I41,[7]stage_hints!$A:$D,4,FALSE)</f>
        <v>大事なユニットを誤って消さないように_x000D_フォルダから「お気に入り登録」しましょう</v>
      </c>
      <c r="M41" s="54" t="s">
        <v>212</v>
      </c>
    </row>
    <row r="42" spans="1:13" x14ac:dyDescent="0.15">
      <c r="A42" s="76" t="s">
        <v>202</v>
      </c>
      <c r="B42" s="77">
        <f>floors!$C$2</f>
        <v>30038</v>
      </c>
      <c r="C42" s="78" t="str">
        <f ca="1">VLOOKUP($B42,OFFSET([2]quests!$A$1,0,0,COUNTA([2]quests!$A:$A),MATCH(C$1,[2]quests!$1:$1,0)-MATCH($B$1,[2]quests!$1:$1,0)+1),MATCH(C$1,[2]quests!$1:$1,0)-MATCH($B$1,[2]quests!$1:$1,0)+1,FALSE)</f>
        <v>毒絶神の願い</v>
      </c>
      <c r="D42" s="78" t="str">
        <f ca="1">VLOOKUP($B42,OFFSET([2]quests!$A$1,0,0,COUNTA([2]quests!$A:$A),MATCH(D$1,[2]quests!$1:$1,0)-MATCH($B$1,[2]quests!$1:$1,0)+1),MATCH(D$1,[2]quests!$1:$1,0)-MATCH($B$1,[2]quests!$1:$1,0)+1,FALSE)</f>
        <v>エジプト神話シリーズ超級</v>
      </c>
      <c r="E42" s="82">
        <v>2</v>
      </c>
      <c r="F42" s="78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【上級】毒絶神の願い</v>
      </c>
      <c r="G42" s="78" t="str">
        <f ca="1">VLOOKUP($B42&amp;"_"&amp;$E42,OFFSET([2]stages!$A$1,0,0,COUNTA([2]stages!$A:$A),MATCH(G$1,[2]stages!$2:$2,0)-MATCH("temp_stage",[2]stages!$2:$2,0)+1),MATCH(G$1,[2]stages!$2:$2,0)-MATCH("temp_stage",[2]stages!$2:$2,0)+1,FALSE)</f>
        <v>エジプト神話シリーズ超級</v>
      </c>
      <c r="H42" s="80">
        <v>0</v>
      </c>
      <c r="I42" s="91">
        <v>13</v>
      </c>
      <c r="J42" s="79" t="s">
        <v>199</v>
      </c>
      <c r="K42" s="88" t="str">
        <f>VLOOKUP(I42,[7]stage_hints!$A:$C,3,FALSE)</f>
        <v>ユニットの覚醒</v>
      </c>
      <c r="L42" s="89" t="str">
        <f>VLOOKUP(I42,[7]stage_hints!$A:$D,4,FALSE)</f>
        <v>ユニットを覚醒させると_x000D_比べものにならない強さが手に入ります</v>
      </c>
      <c r="M42" s="54" t="s">
        <v>212</v>
      </c>
    </row>
    <row r="43" spans="1:13" x14ac:dyDescent="0.15">
      <c r="A43" s="76" t="s">
        <v>202</v>
      </c>
      <c r="B43" s="77">
        <f>floors!$C$2</f>
        <v>30038</v>
      </c>
      <c r="C43" s="78" t="str">
        <f ca="1">VLOOKUP($B43,OFFSET([2]quests!$A$1,0,0,COUNTA([2]quests!$A:$A),MATCH(C$1,[2]quests!$1:$1,0)-MATCH($B$1,[2]quests!$1:$1,0)+1),MATCH(C$1,[2]quests!$1:$1,0)-MATCH($B$1,[2]quests!$1:$1,0)+1,FALSE)</f>
        <v>毒絶神の願い</v>
      </c>
      <c r="D43" s="78" t="str">
        <f ca="1">VLOOKUP($B43,OFFSET([2]quests!$A$1,0,0,COUNTA([2]quests!$A:$A),MATCH(D$1,[2]quests!$1:$1,0)-MATCH($B$1,[2]quests!$1:$1,0)+1),MATCH(D$1,[2]quests!$1:$1,0)-MATCH($B$1,[2]quests!$1:$1,0)+1,FALSE)</f>
        <v>エジプト神話シリーズ超級</v>
      </c>
      <c r="E43" s="82">
        <v>2</v>
      </c>
      <c r="F43" s="78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【上級】毒絶神の願い</v>
      </c>
      <c r="G43" s="78" t="str">
        <f ca="1">VLOOKUP($B43&amp;"_"&amp;$E43,OFFSET([2]stages!$A$1,0,0,COUNTA([2]stages!$A:$A),MATCH(G$1,[2]stages!$2:$2,0)-MATCH("temp_stage",[2]stages!$2:$2,0)+1),MATCH(G$1,[2]stages!$2:$2,0)-MATCH("temp_stage",[2]stages!$2:$2,0)+1,FALSE)</f>
        <v>エジプト神話シリーズ超級</v>
      </c>
      <c r="H43" s="80">
        <v>0</v>
      </c>
      <c r="I43" s="91">
        <v>14</v>
      </c>
      <c r="J43" s="79" t="s">
        <v>199</v>
      </c>
      <c r="K43" s="88" t="str">
        <f>VLOOKUP(I43,[7]stage_hints!$A:$C,3,FALSE)</f>
        <v>覚醒するにはレベルを最大に</v>
      </c>
      <c r="L43" s="89" t="str">
        <f>VLOOKUP(I43,[7]stage_hints!$A:$D,4,FALSE)</f>
        <v>覚醒するにはユニットのレベルを_x000D_最大まで上げる必要があります</v>
      </c>
      <c r="M43" s="54" t="s">
        <v>212</v>
      </c>
    </row>
    <row r="44" spans="1:13" x14ac:dyDescent="0.15">
      <c r="A44" s="76" t="s">
        <v>202</v>
      </c>
      <c r="B44" s="77">
        <f>floors!$C$2</f>
        <v>30038</v>
      </c>
      <c r="C44" s="78" t="str">
        <f ca="1">VLOOKUP($B44,OFFSET([2]quests!$A$1,0,0,COUNTA([2]quests!$A:$A),MATCH(C$1,[2]quests!$1:$1,0)-MATCH($B$1,[2]quests!$1:$1,0)+1),MATCH(C$1,[2]quests!$1:$1,0)-MATCH($B$1,[2]quests!$1:$1,0)+1,FALSE)</f>
        <v>毒絶神の願い</v>
      </c>
      <c r="D44" s="78" t="str">
        <f ca="1">VLOOKUP($B44,OFFSET([2]quests!$A$1,0,0,COUNTA([2]quests!$A:$A),MATCH(D$1,[2]quests!$1:$1,0)-MATCH($B$1,[2]quests!$1:$1,0)+1),MATCH(D$1,[2]quests!$1:$1,0)-MATCH($B$1,[2]quests!$1:$1,0)+1,FALSE)</f>
        <v>エジプト神話シリーズ超級</v>
      </c>
      <c r="E44" s="82">
        <v>2</v>
      </c>
      <c r="F44" s="78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【上級】毒絶神の願い</v>
      </c>
      <c r="G44" s="78" t="str">
        <f ca="1">VLOOKUP($B44&amp;"_"&amp;$E44,OFFSET([2]stages!$A$1,0,0,COUNTA([2]stages!$A:$A),MATCH(G$1,[2]stages!$2:$2,0)-MATCH("temp_stage",[2]stages!$2:$2,0)+1),MATCH(G$1,[2]stages!$2:$2,0)-MATCH("temp_stage",[2]stages!$2:$2,0)+1,FALSE)</f>
        <v>エジプト神話シリーズ超級</v>
      </c>
      <c r="H44" s="80">
        <v>0</v>
      </c>
      <c r="I44" s="91">
        <v>15</v>
      </c>
      <c r="J44" s="79" t="s">
        <v>199</v>
      </c>
      <c r="K44" s="88" t="str">
        <f>VLOOKUP(I44,[7]stage_hints!$A:$C,3,FALSE)</f>
        <v>覚醒素材を獲得</v>
      </c>
      <c r="L44" s="89" t="str">
        <f>VLOOKUP(I44,[7]stage_hints!$A:$D,4,FALSE)</f>
        <v>「曜日クエスト」では_x000D_ユニットの覚醒に必要な素材が手に入ります</v>
      </c>
      <c r="M44" s="54" t="s">
        <v>212</v>
      </c>
    </row>
    <row r="45" spans="1:13" x14ac:dyDescent="0.15">
      <c r="A45" s="76" t="s">
        <v>202</v>
      </c>
      <c r="B45" s="77">
        <f>floors!$C$2</f>
        <v>30038</v>
      </c>
      <c r="C45" s="78" t="str">
        <f ca="1">VLOOKUP($B45,OFFSET([2]quests!$A$1,0,0,COUNTA([2]quests!$A:$A),MATCH(C$1,[2]quests!$1:$1,0)-MATCH($B$1,[2]quests!$1:$1,0)+1),MATCH(C$1,[2]quests!$1:$1,0)-MATCH($B$1,[2]quests!$1:$1,0)+1,FALSE)</f>
        <v>毒絶神の願い</v>
      </c>
      <c r="D45" s="78" t="str">
        <f ca="1">VLOOKUP($B45,OFFSET([2]quests!$A$1,0,0,COUNTA([2]quests!$A:$A),MATCH(D$1,[2]quests!$1:$1,0)-MATCH($B$1,[2]quests!$1:$1,0)+1),MATCH(D$1,[2]quests!$1:$1,0)-MATCH($B$1,[2]quests!$1:$1,0)+1,FALSE)</f>
        <v>エジプト神話シリーズ超級</v>
      </c>
      <c r="E45" s="82">
        <v>2</v>
      </c>
      <c r="F45" s="78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【上級】毒絶神の願い</v>
      </c>
      <c r="G45" s="78" t="str">
        <f ca="1">VLOOKUP($B45&amp;"_"&amp;$E45,OFFSET([2]stages!$A$1,0,0,COUNTA([2]stages!$A:$A),MATCH(G$1,[2]stages!$2:$2,0)-MATCH("temp_stage",[2]stages!$2:$2,0)+1),MATCH(G$1,[2]stages!$2:$2,0)-MATCH("temp_stage",[2]stages!$2:$2,0)+1,FALSE)</f>
        <v>エジプト神話シリーズ超級</v>
      </c>
      <c r="H45" s="80">
        <v>0</v>
      </c>
      <c r="I45" s="91">
        <v>16</v>
      </c>
      <c r="J45" s="79" t="s">
        <v>199</v>
      </c>
      <c r="K45" s="88" t="str">
        <f>VLOOKUP(I45,[7]stage_hints!$A:$C,3,FALSE)</f>
        <v>マルチプレイのメリット（その1）</v>
      </c>
      <c r="L45" s="89" t="str">
        <f>VLOOKUP(I45,[7]stage_hints!$A:$D,4,FALSE)</f>
        <v>他のプレイヤーとマルチプレイで遊ぶと_x000D_ポリゴンがもらえます（100人まで）</v>
      </c>
      <c r="M45" s="54" t="s">
        <v>212</v>
      </c>
    </row>
    <row r="46" spans="1:13" x14ac:dyDescent="0.15">
      <c r="A46" s="76" t="s">
        <v>202</v>
      </c>
      <c r="B46" s="77">
        <f>floors!$C$2</f>
        <v>30038</v>
      </c>
      <c r="C46" s="78" t="str">
        <f ca="1">VLOOKUP($B46,OFFSET([2]quests!$A$1,0,0,COUNTA([2]quests!$A:$A),MATCH(C$1,[2]quests!$1:$1,0)-MATCH($B$1,[2]quests!$1:$1,0)+1),MATCH(C$1,[2]quests!$1:$1,0)-MATCH($B$1,[2]quests!$1:$1,0)+1,FALSE)</f>
        <v>毒絶神の願い</v>
      </c>
      <c r="D46" s="78" t="str">
        <f ca="1">VLOOKUP($B46,OFFSET([2]quests!$A$1,0,0,COUNTA([2]quests!$A:$A),MATCH(D$1,[2]quests!$1:$1,0)-MATCH($B$1,[2]quests!$1:$1,0)+1),MATCH(D$1,[2]quests!$1:$1,0)-MATCH($B$1,[2]quests!$1:$1,0)+1,FALSE)</f>
        <v>エジプト神話シリーズ超級</v>
      </c>
      <c r="E46" s="82">
        <v>2</v>
      </c>
      <c r="F46" s="78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【上級】毒絶神の願い</v>
      </c>
      <c r="G46" s="78" t="str">
        <f ca="1">VLOOKUP($B46&amp;"_"&amp;$E46,OFFSET([2]stages!$A$1,0,0,COUNTA([2]stages!$A:$A),MATCH(G$1,[2]stages!$2:$2,0)-MATCH("temp_stage",[2]stages!$2:$2,0)+1),MATCH(G$1,[2]stages!$2:$2,0)-MATCH("temp_stage",[2]stages!$2:$2,0)+1,FALSE)</f>
        <v>エジプト神話シリーズ超級</v>
      </c>
      <c r="H46" s="80">
        <v>0</v>
      </c>
      <c r="I46" s="91">
        <v>17</v>
      </c>
      <c r="J46" s="79" t="s">
        <v>199</v>
      </c>
      <c r="K46" s="88" t="str">
        <f>VLOOKUP(I46,[7]stage_hints!$A:$C,3,FALSE)</f>
        <v>リンクガチャ</v>
      </c>
      <c r="L46" s="89" t="str">
        <f>VLOOKUP(I46,[7]stage_hints!$A:$D,4,FALSE)</f>
        <v>無料のリンクガチャを回して_x000D_経験値素材や売却素材を獲得しましょう</v>
      </c>
      <c r="M46" s="54" t="s">
        <v>212</v>
      </c>
    </row>
    <row r="47" spans="1:13" x14ac:dyDescent="0.15">
      <c r="A47" s="76" t="s">
        <v>202</v>
      </c>
      <c r="B47" s="77">
        <f>floors!$C$2</f>
        <v>30038</v>
      </c>
      <c r="C47" s="78" t="str">
        <f ca="1">VLOOKUP($B47,OFFSET([2]quests!$A$1,0,0,COUNTA([2]quests!$A:$A),MATCH(C$1,[2]quests!$1:$1,0)-MATCH($B$1,[2]quests!$1:$1,0)+1),MATCH(C$1,[2]quests!$1:$1,0)-MATCH($B$1,[2]quests!$1:$1,0)+1,FALSE)</f>
        <v>毒絶神の願い</v>
      </c>
      <c r="D47" s="78" t="str">
        <f ca="1">VLOOKUP($B47,OFFSET([2]quests!$A$1,0,0,COUNTA([2]quests!$A:$A),MATCH(D$1,[2]quests!$1:$1,0)-MATCH($B$1,[2]quests!$1:$1,0)+1),MATCH(D$1,[2]quests!$1:$1,0)-MATCH($B$1,[2]quests!$1:$1,0)+1,FALSE)</f>
        <v>エジプト神話シリーズ超級</v>
      </c>
      <c r="E47" s="82">
        <v>2</v>
      </c>
      <c r="F47" s="78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【上級】毒絶神の願い</v>
      </c>
      <c r="G47" s="78" t="str">
        <f ca="1">VLOOKUP($B47&amp;"_"&amp;$E47,OFFSET([2]stages!$A$1,0,0,COUNTA([2]stages!$A:$A),MATCH(G$1,[2]stages!$2:$2,0)-MATCH("temp_stage",[2]stages!$2:$2,0)+1),MATCH(G$1,[2]stages!$2:$2,0)-MATCH("temp_stage",[2]stages!$2:$2,0)+1,FALSE)</f>
        <v>エジプト神話シリーズ超級</v>
      </c>
      <c r="H47" s="80">
        <v>0</v>
      </c>
      <c r="I47" s="91">
        <v>18</v>
      </c>
      <c r="J47" s="79" t="s">
        <v>199</v>
      </c>
      <c r="K47" s="88" t="str">
        <f>VLOOKUP(I47,[7]stage_hints!$A:$C,3,FALSE)</f>
        <v>マルチプレイのメリット（その2）</v>
      </c>
      <c r="L47" s="89" t="str">
        <f>VLOOKUP(I47,[7]stage_hints!$A:$D,4,FALSE)</f>
        <v>マルチプレイならリンクが2倍もらえます_x000D_リンクガチャをたくさん回しましょう</v>
      </c>
      <c r="M47" s="54" t="s">
        <v>212</v>
      </c>
    </row>
    <row r="48" spans="1:13" x14ac:dyDescent="0.15">
      <c r="A48" s="76" t="s">
        <v>202</v>
      </c>
      <c r="B48" s="77">
        <f>floors!$C$2</f>
        <v>30038</v>
      </c>
      <c r="C48" s="78" t="str">
        <f ca="1">VLOOKUP($B48,OFFSET([2]quests!$A$1,0,0,COUNTA([2]quests!$A:$A),MATCH(C$1,[2]quests!$1:$1,0)-MATCH($B$1,[2]quests!$1:$1,0)+1),MATCH(C$1,[2]quests!$1:$1,0)-MATCH($B$1,[2]quests!$1:$1,0)+1,FALSE)</f>
        <v>毒絶神の願い</v>
      </c>
      <c r="D48" s="78" t="str">
        <f ca="1">VLOOKUP($B48,OFFSET([2]quests!$A$1,0,0,COUNTA([2]quests!$A:$A),MATCH(D$1,[2]quests!$1:$1,0)-MATCH($B$1,[2]quests!$1:$1,0)+1),MATCH(D$1,[2]quests!$1:$1,0)-MATCH($B$1,[2]quests!$1:$1,0)+1,FALSE)</f>
        <v>エジプト神話シリーズ超級</v>
      </c>
      <c r="E48" s="82">
        <v>2</v>
      </c>
      <c r="F48" s="78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【上級】毒絶神の願い</v>
      </c>
      <c r="G48" s="78" t="str">
        <f ca="1">VLOOKUP($B48&amp;"_"&amp;$E48,OFFSET([2]stages!$A$1,0,0,COUNTA([2]stages!$A:$A),MATCH(G$1,[2]stages!$2:$2,0)-MATCH("temp_stage",[2]stages!$2:$2,0)+1),MATCH(G$1,[2]stages!$2:$2,0)-MATCH("temp_stage",[2]stages!$2:$2,0)+1,FALSE)</f>
        <v>エジプト神話シリーズ超級</v>
      </c>
      <c r="H48" s="80">
        <v>0</v>
      </c>
      <c r="I48" s="91">
        <v>19</v>
      </c>
      <c r="J48" s="79" t="s">
        <v>199</v>
      </c>
      <c r="K48" s="88" t="str">
        <f>VLOOKUP(I48,[7]stage_hints!$A:$C,3,FALSE)</f>
        <v>ソロ専用タワーオブザクイーン</v>
      </c>
      <c r="L48" s="89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4" t="s">
        <v>212</v>
      </c>
    </row>
    <row r="49" spans="1:13" x14ac:dyDescent="0.15">
      <c r="A49" s="76" t="s">
        <v>202</v>
      </c>
      <c r="B49" s="77">
        <f>floors!$C$2</f>
        <v>30038</v>
      </c>
      <c r="C49" s="78" t="str">
        <f ca="1">VLOOKUP($B49,OFFSET([2]quests!$A$1,0,0,COUNTA([2]quests!$A:$A),MATCH(C$1,[2]quests!$1:$1,0)-MATCH($B$1,[2]quests!$1:$1,0)+1),MATCH(C$1,[2]quests!$1:$1,0)-MATCH($B$1,[2]quests!$1:$1,0)+1,FALSE)</f>
        <v>毒絶神の願い</v>
      </c>
      <c r="D49" s="78" t="str">
        <f ca="1">VLOOKUP($B49,OFFSET([2]quests!$A$1,0,0,COUNTA([2]quests!$A:$A),MATCH(D$1,[2]quests!$1:$1,0)-MATCH($B$1,[2]quests!$1:$1,0)+1),MATCH(D$1,[2]quests!$1:$1,0)-MATCH($B$1,[2]quests!$1:$1,0)+1,FALSE)</f>
        <v>エジプト神話シリーズ超級</v>
      </c>
      <c r="E49" s="82">
        <v>2</v>
      </c>
      <c r="F49" s="78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【上級】毒絶神の願い</v>
      </c>
      <c r="G49" s="78" t="str">
        <f ca="1">VLOOKUP($B49&amp;"_"&amp;$E49,OFFSET([2]stages!$A$1,0,0,COUNTA([2]stages!$A:$A),MATCH(G$1,[2]stages!$2:$2,0)-MATCH("temp_stage",[2]stages!$2:$2,0)+1),MATCH(G$1,[2]stages!$2:$2,0)-MATCH("temp_stage",[2]stages!$2:$2,0)+1,FALSE)</f>
        <v>エジプト神話シリーズ超級</v>
      </c>
      <c r="H49" s="80">
        <v>0</v>
      </c>
      <c r="I49" s="91">
        <v>20</v>
      </c>
      <c r="J49" s="79" t="s">
        <v>199</v>
      </c>
      <c r="K49" s="88" t="str">
        <f>VLOOKUP(I49,[7]stage_hints!$A:$C,3,FALSE)</f>
        <v>マルチプレイのメリット（その3）</v>
      </c>
      <c r="L49" s="89" t="str">
        <f>VLOOKUP(I49,[7]stage_hints!$A:$D,4,FALSE)</f>
        <v>マルチプレイへの参加はエナジー消費ゼロ_x000D_いつでも好きなだけ遊ぶことができます</v>
      </c>
      <c r="M49" s="54" t="s">
        <v>212</v>
      </c>
    </row>
    <row r="50" spans="1:13" x14ac:dyDescent="0.15">
      <c r="A50" s="76" t="s">
        <v>202</v>
      </c>
      <c r="B50" s="77">
        <f>floors!$C$2</f>
        <v>30038</v>
      </c>
      <c r="C50" s="78" t="str">
        <f ca="1">VLOOKUP($B50,OFFSET([2]quests!$A$1,0,0,COUNTA([2]quests!$A:$A),MATCH(C$1,[2]quests!$1:$1,0)-MATCH($B$1,[2]quests!$1:$1,0)+1),MATCH(C$1,[2]quests!$1:$1,0)-MATCH($B$1,[2]quests!$1:$1,0)+1,FALSE)</f>
        <v>毒絶神の願い</v>
      </c>
      <c r="D50" s="78" t="str">
        <f ca="1">VLOOKUP($B50,OFFSET([2]quests!$A$1,0,0,COUNTA([2]quests!$A:$A),MATCH(D$1,[2]quests!$1:$1,0)-MATCH($B$1,[2]quests!$1:$1,0)+1),MATCH(D$1,[2]quests!$1:$1,0)-MATCH($B$1,[2]quests!$1:$1,0)+1,FALSE)</f>
        <v>エジプト神話シリーズ超級</v>
      </c>
      <c r="E50" s="82">
        <v>2</v>
      </c>
      <c r="F50" s="78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【上級】毒絶神の願い</v>
      </c>
      <c r="G50" s="78" t="str">
        <f ca="1">VLOOKUP($B50&amp;"_"&amp;$E50,OFFSET([2]stages!$A$1,0,0,COUNTA([2]stages!$A:$A),MATCH(G$1,[2]stages!$2:$2,0)-MATCH("temp_stage",[2]stages!$2:$2,0)+1),MATCH(G$1,[2]stages!$2:$2,0)-MATCH("temp_stage",[2]stages!$2:$2,0)+1,FALSE)</f>
        <v>エジプト神話シリーズ超級</v>
      </c>
      <c r="H50" s="80">
        <v>0</v>
      </c>
      <c r="I50" s="91">
        <v>21</v>
      </c>
      <c r="J50" s="79" t="s">
        <v>199</v>
      </c>
      <c r="K50" s="88" t="str">
        <f>VLOOKUP(I50,[7]stage_hints!$A:$C,3,FALSE)</f>
        <v>スキルを有効に</v>
      </c>
      <c r="L50" s="89" t="str">
        <f>VLOOKUP(I50,[7]stage_hints!$A:$D,4,FALSE)</f>
        <v>ターン経過でユニットのスキルが使えます_x000D_強力スキルでバトルを有利に進めましょう</v>
      </c>
      <c r="M50" s="54" t="s">
        <v>212</v>
      </c>
    </row>
    <row r="51" spans="1:13" x14ac:dyDescent="0.15">
      <c r="A51" s="76" t="s">
        <v>202</v>
      </c>
      <c r="B51" s="77">
        <f>floors!$C$2</f>
        <v>30038</v>
      </c>
      <c r="C51" s="78" t="str">
        <f ca="1">VLOOKUP($B51,OFFSET([2]quests!$A$1,0,0,COUNTA([2]quests!$A:$A),MATCH(C$1,[2]quests!$1:$1,0)-MATCH($B$1,[2]quests!$1:$1,0)+1),MATCH(C$1,[2]quests!$1:$1,0)-MATCH($B$1,[2]quests!$1:$1,0)+1,FALSE)</f>
        <v>毒絶神の願い</v>
      </c>
      <c r="D51" s="78" t="str">
        <f ca="1">VLOOKUP($B51,OFFSET([2]quests!$A$1,0,0,COUNTA([2]quests!$A:$A),MATCH(D$1,[2]quests!$1:$1,0)-MATCH($B$1,[2]quests!$1:$1,0)+1),MATCH(D$1,[2]quests!$1:$1,0)-MATCH($B$1,[2]quests!$1:$1,0)+1,FALSE)</f>
        <v>エジプト神話シリーズ超級</v>
      </c>
      <c r="E51" s="82">
        <v>2</v>
      </c>
      <c r="F51" s="78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【上級】毒絶神の願い</v>
      </c>
      <c r="G51" s="78" t="str">
        <f ca="1">VLOOKUP($B51&amp;"_"&amp;$E51,OFFSET([2]stages!$A$1,0,0,COUNTA([2]stages!$A:$A),MATCH(G$1,[2]stages!$2:$2,0)-MATCH("temp_stage",[2]stages!$2:$2,0)+1),MATCH(G$1,[2]stages!$2:$2,0)-MATCH("temp_stage",[2]stages!$2:$2,0)+1,FALSE)</f>
        <v>エジプト神話シリーズ超級</v>
      </c>
      <c r="H51" s="80">
        <v>0</v>
      </c>
      <c r="I51" s="91">
        <v>22</v>
      </c>
      <c r="J51" s="79" t="s">
        <v>199</v>
      </c>
      <c r="K51" s="88" t="str">
        <f>VLOOKUP(I51,[7]stage_hints!$A:$C,3,FALSE)</f>
        <v>フィーバーで一発逆転（その1）</v>
      </c>
      <c r="L51" s="89" t="str">
        <f>VLOOKUP(I51,[7]stage_hints!$A:$D,4,FALSE)</f>
        <v>フィーバーは攻撃と回復を兼ね備えます_x000D_ピンチからの一発逆転を狙いましょう</v>
      </c>
      <c r="M51" s="54" t="s">
        <v>212</v>
      </c>
    </row>
    <row r="52" spans="1:13" x14ac:dyDescent="0.15">
      <c r="A52" s="76" t="s">
        <v>202</v>
      </c>
      <c r="B52" s="77">
        <f>floors!$C$2</f>
        <v>30038</v>
      </c>
      <c r="C52" s="78" t="str">
        <f ca="1">VLOOKUP($B52,OFFSET([2]quests!$A$1,0,0,COUNTA([2]quests!$A:$A),MATCH(C$1,[2]quests!$1:$1,0)-MATCH($B$1,[2]quests!$1:$1,0)+1),MATCH(C$1,[2]quests!$1:$1,0)-MATCH($B$1,[2]quests!$1:$1,0)+1,FALSE)</f>
        <v>毒絶神の願い</v>
      </c>
      <c r="D52" s="78" t="str">
        <f ca="1">VLOOKUP($B52,OFFSET([2]quests!$A$1,0,0,COUNTA([2]quests!$A:$A),MATCH(D$1,[2]quests!$1:$1,0)-MATCH($B$1,[2]quests!$1:$1,0)+1),MATCH(D$1,[2]quests!$1:$1,0)-MATCH($B$1,[2]quests!$1:$1,0)+1,FALSE)</f>
        <v>エジプト神話シリーズ超級</v>
      </c>
      <c r="E52" s="82">
        <v>2</v>
      </c>
      <c r="F52" s="78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【上級】毒絶神の願い</v>
      </c>
      <c r="G52" s="78" t="str">
        <f ca="1">VLOOKUP($B52&amp;"_"&amp;$E52,OFFSET([2]stages!$A$1,0,0,COUNTA([2]stages!$A:$A),MATCH(G$1,[2]stages!$2:$2,0)-MATCH("temp_stage",[2]stages!$2:$2,0)+1),MATCH(G$1,[2]stages!$2:$2,0)-MATCH("temp_stage",[2]stages!$2:$2,0)+1,FALSE)</f>
        <v>エジプト神話シリーズ超級</v>
      </c>
      <c r="H52" s="80">
        <v>0</v>
      </c>
      <c r="I52" s="91">
        <v>23</v>
      </c>
      <c r="J52" s="79" t="s">
        <v>199</v>
      </c>
      <c r="K52" s="88" t="str">
        <f>VLOOKUP(I52,[7]stage_hints!$A:$C,3,FALSE)</f>
        <v>フィーバーで一発逆転（その2）</v>
      </c>
      <c r="L52" s="89" t="str">
        <f>VLOOKUP(I52,[7]stage_hints!$A:$D,4,FALSE)</f>
        <v>フィーバー中は虹色のボムパネルを狙って_x000D_画面上のパネルを一気に破壊しましょう</v>
      </c>
      <c r="M52" s="54" t="s">
        <v>212</v>
      </c>
    </row>
    <row r="53" spans="1:13" x14ac:dyDescent="0.15">
      <c r="A53" s="76" t="s">
        <v>202</v>
      </c>
      <c r="B53" s="77">
        <f>floors!$C$2</f>
        <v>30038</v>
      </c>
      <c r="C53" s="78" t="str">
        <f ca="1">VLOOKUP($B53,OFFSET([2]quests!$A$1,0,0,COUNTA([2]quests!$A:$A),MATCH(C$1,[2]quests!$1:$1,0)-MATCH($B$1,[2]quests!$1:$1,0)+1),MATCH(C$1,[2]quests!$1:$1,0)-MATCH($B$1,[2]quests!$1:$1,0)+1,FALSE)</f>
        <v>毒絶神の願い</v>
      </c>
      <c r="D53" s="78" t="str">
        <f ca="1">VLOOKUP($B53,OFFSET([2]quests!$A$1,0,0,COUNTA([2]quests!$A:$A),MATCH(D$1,[2]quests!$1:$1,0)-MATCH($B$1,[2]quests!$1:$1,0)+1),MATCH(D$1,[2]quests!$1:$1,0)-MATCH($B$1,[2]quests!$1:$1,0)+1,FALSE)</f>
        <v>エジプト神話シリーズ超級</v>
      </c>
      <c r="E53" s="82">
        <v>2</v>
      </c>
      <c r="F53" s="78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【上級】毒絶神の願い</v>
      </c>
      <c r="G53" s="78" t="str">
        <f ca="1">VLOOKUP($B53&amp;"_"&amp;$E53,OFFSET([2]stages!$A$1,0,0,COUNTA([2]stages!$A:$A),MATCH(G$1,[2]stages!$2:$2,0)-MATCH("temp_stage",[2]stages!$2:$2,0)+1),MATCH(G$1,[2]stages!$2:$2,0)-MATCH("temp_stage",[2]stages!$2:$2,0)+1,FALSE)</f>
        <v>エジプト神話シリーズ超級</v>
      </c>
      <c r="H53" s="80">
        <v>0</v>
      </c>
      <c r="I53" s="91">
        <v>24</v>
      </c>
      <c r="J53" s="79" t="s">
        <v>199</v>
      </c>
      <c r="K53" s="88" t="str">
        <f>VLOOKUP(I53,[7]stage_hints!$A:$C,3,FALSE)</f>
        <v>果実を使って限界突破</v>
      </c>
      <c r="L53" s="89" t="str">
        <f>VLOOKUP(I53,[7]stage_hints!$A:$D,4,FALSE)</f>
        <v>攻めの果実 癒しの果実_x000D_生命の果実をユニット強化に使うと_x000D_ステータスが限界突破します（計99個迄）</v>
      </c>
      <c r="M53" s="54" t="s">
        <v>212</v>
      </c>
    </row>
    <row r="54" spans="1:13" x14ac:dyDescent="0.15">
      <c r="A54" s="76" t="s">
        <v>202</v>
      </c>
      <c r="B54" s="77">
        <f>floors!$C$2</f>
        <v>30038</v>
      </c>
      <c r="C54" s="78" t="str">
        <f ca="1">VLOOKUP($B54,OFFSET([2]quests!$A$1,0,0,COUNTA([2]quests!$A:$A),MATCH(C$1,[2]quests!$1:$1,0)-MATCH($B$1,[2]quests!$1:$1,0)+1),MATCH(C$1,[2]quests!$1:$1,0)-MATCH($B$1,[2]quests!$1:$1,0)+1,FALSE)</f>
        <v>毒絶神の願い</v>
      </c>
      <c r="D54" s="78" t="str">
        <f ca="1">VLOOKUP($B54,OFFSET([2]quests!$A$1,0,0,COUNTA([2]quests!$A:$A),MATCH(D$1,[2]quests!$1:$1,0)-MATCH($B$1,[2]quests!$1:$1,0)+1),MATCH(D$1,[2]quests!$1:$1,0)-MATCH($B$1,[2]quests!$1:$1,0)+1,FALSE)</f>
        <v>エジプト神話シリーズ超級</v>
      </c>
      <c r="E54" s="82">
        <v>2</v>
      </c>
      <c r="F54" s="78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【上級】毒絶神の願い</v>
      </c>
      <c r="G54" s="78" t="str">
        <f ca="1">VLOOKUP($B54&amp;"_"&amp;$E54,OFFSET([2]stages!$A$1,0,0,COUNTA([2]stages!$A:$A),MATCH(G$1,[2]stages!$2:$2,0)-MATCH("temp_stage",[2]stages!$2:$2,0)+1),MATCH(G$1,[2]stages!$2:$2,0)-MATCH("temp_stage",[2]stages!$2:$2,0)+1,FALSE)</f>
        <v>エジプト神話シリーズ超級</v>
      </c>
      <c r="H54" s="80">
        <v>0</v>
      </c>
      <c r="I54" s="91">
        <v>25</v>
      </c>
      <c r="J54" s="79" t="s">
        <v>199</v>
      </c>
      <c r="K54" s="88" t="str">
        <f>VLOOKUP(I54,[7]stage_hints!$A:$C,3,FALSE)</f>
        <v>スキルレベルアップ</v>
      </c>
      <c r="L54" s="89" t="str">
        <f>VLOOKUP(I54,[7]stage_hints!$A:$D,4,FALSE)</f>
        <v>「秘術の果実」を強化に使うと_x000D_スキルレベルを上げることができます</v>
      </c>
      <c r="M54" s="54" t="s">
        <v>212</v>
      </c>
    </row>
    <row r="55" spans="1:13" x14ac:dyDescent="0.15">
      <c r="A55" s="76" t="s">
        <v>202</v>
      </c>
      <c r="B55" s="77">
        <f>floors!$C$2</f>
        <v>30038</v>
      </c>
      <c r="C55" s="78" t="str">
        <f ca="1">VLOOKUP($B55,OFFSET([2]quests!$A$1,0,0,COUNTA([2]quests!$A:$A),MATCH(C$1,[2]quests!$1:$1,0)-MATCH($B$1,[2]quests!$1:$1,0)+1),MATCH(C$1,[2]quests!$1:$1,0)-MATCH($B$1,[2]quests!$1:$1,0)+1,FALSE)</f>
        <v>毒絶神の願い</v>
      </c>
      <c r="D55" s="78" t="str">
        <f ca="1">VLOOKUP($B55,OFFSET([2]quests!$A$1,0,0,COUNTA([2]quests!$A:$A),MATCH(D$1,[2]quests!$1:$1,0)-MATCH($B$1,[2]quests!$1:$1,0)+1),MATCH(D$1,[2]quests!$1:$1,0)-MATCH($B$1,[2]quests!$1:$1,0)+1,FALSE)</f>
        <v>エジプト神話シリーズ超級</v>
      </c>
      <c r="E55" s="82">
        <v>2</v>
      </c>
      <c r="F55" s="78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【上級】毒絶神の願い</v>
      </c>
      <c r="G55" s="78" t="str">
        <f ca="1">VLOOKUP($B55&amp;"_"&amp;$E55,OFFSET([2]stages!$A$1,0,0,COUNTA([2]stages!$A:$A),MATCH(G$1,[2]stages!$2:$2,0)-MATCH("temp_stage",[2]stages!$2:$2,0)+1),MATCH(G$1,[2]stages!$2:$2,0)-MATCH("temp_stage",[2]stages!$2:$2,0)+1,FALSE)</f>
        <v>エジプト神話シリーズ超級</v>
      </c>
      <c r="H55" s="80">
        <v>0</v>
      </c>
      <c r="I55" s="91">
        <v>26</v>
      </c>
      <c r="J55" s="79" t="s">
        <v>199</v>
      </c>
      <c r="K55" s="88" t="str">
        <f>VLOOKUP(I55,[7]stage_hints!$A:$C,3,FALSE)</f>
        <v>スキルレベルの効果</v>
      </c>
      <c r="L55" s="89" t="str">
        <f>VLOOKUP(I55,[7]stage_hints!$A:$D,4,FALSE)</f>
        <v>スキルレベルが上がると_x000D_短いターンでスキルを使うことができます</v>
      </c>
      <c r="M55" s="54" t="s">
        <v>212</v>
      </c>
    </row>
    <row r="56" spans="1:13" x14ac:dyDescent="0.15">
      <c r="A56" s="76" t="s">
        <v>202</v>
      </c>
      <c r="B56" s="77">
        <f>floors!$C$2</f>
        <v>30038</v>
      </c>
      <c r="C56" s="78" t="str">
        <f ca="1">VLOOKUP($B56,OFFSET([2]quests!$A$1,0,0,COUNTA([2]quests!$A:$A),MATCH(C$1,[2]quests!$1:$1,0)-MATCH($B$1,[2]quests!$1:$1,0)+1),MATCH(C$1,[2]quests!$1:$1,0)-MATCH($B$1,[2]quests!$1:$1,0)+1,FALSE)</f>
        <v>毒絶神の願い</v>
      </c>
      <c r="D56" s="78" t="str">
        <f ca="1">VLOOKUP($B56,OFFSET([2]quests!$A$1,0,0,COUNTA([2]quests!$A:$A),MATCH(D$1,[2]quests!$1:$1,0)-MATCH($B$1,[2]quests!$1:$1,0)+1),MATCH(D$1,[2]quests!$1:$1,0)-MATCH($B$1,[2]quests!$1:$1,0)+1,FALSE)</f>
        <v>エジプト神話シリーズ超級</v>
      </c>
      <c r="E56" s="82">
        <v>2</v>
      </c>
      <c r="F56" s="78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【上級】毒絶神の願い</v>
      </c>
      <c r="G56" s="78" t="str">
        <f ca="1">VLOOKUP($B56&amp;"_"&amp;$E56,OFFSET([2]stages!$A$1,0,0,COUNTA([2]stages!$A:$A),MATCH(G$1,[2]stages!$2:$2,0)-MATCH("temp_stage",[2]stages!$2:$2,0)+1),MATCH(G$1,[2]stages!$2:$2,0)-MATCH("temp_stage",[2]stages!$2:$2,0)+1,FALSE)</f>
        <v>エジプト神話シリーズ超級</v>
      </c>
      <c r="H56" s="80">
        <v>0</v>
      </c>
      <c r="I56" s="91">
        <v>27</v>
      </c>
      <c r="J56" s="79" t="s">
        <v>199</v>
      </c>
      <c r="K56" s="88" t="str">
        <f>VLOOKUP(I56,[7]stage_hints!$A:$C,3,FALSE)</f>
        <v>ホーム画面からデッキを編成</v>
      </c>
      <c r="L56" s="89" t="str">
        <f>VLOOKUP(I56,[7]stage_hints!$A:$D,4,FALSE)</f>
        <v>ホーム画面でユニットを長押しすると_x000D_すぐにパーティ編成に移動できます</v>
      </c>
      <c r="M56" s="54" t="s">
        <v>212</v>
      </c>
    </row>
    <row r="57" spans="1:13" x14ac:dyDescent="0.15">
      <c r="A57" s="76" t="s">
        <v>202</v>
      </c>
      <c r="B57" s="77">
        <f>floors!$C$2</f>
        <v>30038</v>
      </c>
      <c r="C57" s="78" t="str">
        <f ca="1">VLOOKUP($B57,OFFSET([2]quests!$A$1,0,0,COUNTA([2]quests!$A:$A),MATCH(C$1,[2]quests!$1:$1,0)-MATCH($B$1,[2]quests!$1:$1,0)+1),MATCH(C$1,[2]quests!$1:$1,0)-MATCH($B$1,[2]quests!$1:$1,0)+1,FALSE)</f>
        <v>毒絶神の願い</v>
      </c>
      <c r="D57" s="78" t="str">
        <f ca="1">VLOOKUP($B57,OFFSET([2]quests!$A$1,0,0,COUNTA([2]quests!$A:$A),MATCH(D$1,[2]quests!$1:$1,0)-MATCH($B$1,[2]quests!$1:$1,0)+1),MATCH(D$1,[2]quests!$1:$1,0)-MATCH($B$1,[2]quests!$1:$1,0)+1,FALSE)</f>
        <v>エジプト神話シリーズ超級</v>
      </c>
      <c r="E57" s="82">
        <v>2</v>
      </c>
      <c r="F57" s="78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【上級】毒絶神の願い</v>
      </c>
      <c r="G57" s="78" t="str">
        <f ca="1">VLOOKUP($B57&amp;"_"&amp;$E57,OFFSET([2]stages!$A$1,0,0,COUNTA([2]stages!$A:$A),MATCH(G$1,[2]stages!$2:$2,0)-MATCH("temp_stage",[2]stages!$2:$2,0)+1),MATCH(G$1,[2]stages!$2:$2,0)-MATCH("temp_stage",[2]stages!$2:$2,0)+1,FALSE)</f>
        <v>エジプト神話シリーズ超級</v>
      </c>
      <c r="H57" s="80">
        <v>0</v>
      </c>
      <c r="I57" s="91">
        <v>28</v>
      </c>
      <c r="J57" s="79" t="s">
        <v>199</v>
      </c>
      <c r="K57" s="88" t="str">
        <f>VLOOKUP(I57,[7]stage_hints!$A:$C,3,FALSE)</f>
        <v>ステータス情報は長押しで</v>
      </c>
      <c r="L57" s="89" t="str">
        <f>VLOOKUP(I57,[7]stage_hints!$A:$D,4,FALSE)</f>
        <v>ユニットのアイコンを長押しすると_x000D_ステータス情報を確認することができます</v>
      </c>
      <c r="M57" s="54" t="s">
        <v>212</v>
      </c>
    </row>
    <row r="58" spans="1:13" x14ac:dyDescent="0.15">
      <c r="A58" s="76" t="s">
        <v>202</v>
      </c>
      <c r="B58" s="77">
        <f>floors!$C$2</f>
        <v>30038</v>
      </c>
      <c r="C58" s="78" t="str">
        <f ca="1">VLOOKUP($B58,OFFSET([2]quests!$A$1,0,0,COUNTA([2]quests!$A:$A),MATCH(C$1,[2]quests!$1:$1,0)-MATCH($B$1,[2]quests!$1:$1,0)+1),MATCH(C$1,[2]quests!$1:$1,0)-MATCH($B$1,[2]quests!$1:$1,0)+1,FALSE)</f>
        <v>毒絶神の願い</v>
      </c>
      <c r="D58" s="78" t="str">
        <f ca="1">VLOOKUP($B58,OFFSET([2]quests!$A$1,0,0,COUNTA([2]quests!$A:$A),MATCH(D$1,[2]quests!$1:$1,0)-MATCH($B$1,[2]quests!$1:$1,0)+1),MATCH(D$1,[2]quests!$1:$1,0)-MATCH($B$1,[2]quests!$1:$1,0)+1,FALSE)</f>
        <v>エジプト神話シリーズ超級</v>
      </c>
      <c r="E58" s="82">
        <v>2</v>
      </c>
      <c r="F58" s="78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【上級】毒絶神の願い</v>
      </c>
      <c r="G58" s="78" t="str">
        <f ca="1">VLOOKUP($B58&amp;"_"&amp;$E58,OFFSET([2]stages!$A$1,0,0,COUNTA([2]stages!$A:$A),MATCH(G$1,[2]stages!$2:$2,0)-MATCH("temp_stage",[2]stages!$2:$2,0)+1),MATCH(G$1,[2]stages!$2:$2,0)-MATCH("temp_stage",[2]stages!$2:$2,0)+1,FALSE)</f>
        <v>エジプト神話シリーズ超級</v>
      </c>
      <c r="H58" s="80">
        <v>0</v>
      </c>
      <c r="I58" s="91">
        <v>29</v>
      </c>
      <c r="J58" s="79" t="s">
        <v>199</v>
      </c>
      <c r="K58" s="88" t="str">
        <f>VLOOKUP(I58,[7]stage_hints!$A:$C,3,FALSE)</f>
        <v>「バグ」のメリット</v>
      </c>
      <c r="L58" s="89" t="str">
        <f>VLOOKUP(I58,[7]stage_hints!$A:$D,4,FALSE)</f>
        <v>ユニットの「バグ」を増やすと_x000D_報酬をもらえる確率がアップします</v>
      </c>
      <c r="M58" s="54" t="s">
        <v>212</v>
      </c>
    </row>
    <row r="59" spans="1:13" x14ac:dyDescent="0.15">
      <c r="A59" s="76" t="s">
        <v>202</v>
      </c>
      <c r="B59" s="77">
        <f>floors!$C$2</f>
        <v>30038</v>
      </c>
      <c r="C59" s="78" t="str">
        <f ca="1">VLOOKUP($B59,OFFSET([2]quests!$A$1,0,0,COUNTA([2]quests!$A:$A),MATCH(C$1,[2]quests!$1:$1,0)-MATCH($B$1,[2]quests!$1:$1,0)+1),MATCH(C$1,[2]quests!$1:$1,0)-MATCH($B$1,[2]quests!$1:$1,0)+1,FALSE)</f>
        <v>毒絶神の願い</v>
      </c>
      <c r="D59" s="78" t="str">
        <f ca="1">VLOOKUP($B59,OFFSET([2]quests!$A$1,0,0,COUNTA([2]quests!$A:$A),MATCH(D$1,[2]quests!$1:$1,0)-MATCH($B$1,[2]quests!$1:$1,0)+1),MATCH(D$1,[2]quests!$1:$1,0)-MATCH($B$1,[2]quests!$1:$1,0)+1,FALSE)</f>
        <v>エジプト神話シリーズ超級</v>
      </c>
      <c r="E59" s="82">
        <v>2</v>
      </c>
      <c r="F59" s="78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【上級】毒絶神の願い</v>
      </c>
      <c r="G59" s="78" t="str">
        <f ca="1">VLOOKUP($B59&amp;"_"&amp;$E59,OFFSET([2]stages!$A$1,0,0,COUNTA([2]stages!$A:$A),MATCH(G$1,[2]stages!$2:$2,0)-MATCH("temp_stage",[2]stages!$2:$2,0)+1),MATCH(G$1,[2]stages!$2:$2,0)-MATCH("temp_stage",[2]stages!$2:$2,0)+1,FALSE)</f>
        <v>エジプト神話シリーズ超級</v>
      </c>
      <c r="H59" s="80">
        <v>0</v>
      </c>
      <c r="I59" s="91">
        <v>30</v>
      </c>
      <c r="J59" s="79" t="s">
        <v>199</v>
      </c>
      <c r="K59" s="88" t="str">
        <f>VLOOKUP(I59,[7]stage_hints!$A:$C,3,FALSE)</f>
        <v>「バグ」の増やし方</v>
      </c>
      <c r="L59" s="89" t="str">
        <f>VLOOKUP(I59,[7]stage_hints!$A:$D,4,FALSE)</f>
        <v>同じユニット同士を強化で合成すると_x000D_「バグ」を増やすことができます</v>
      </c>
      <c r="M59" s="54" t="s">
        <v>212</v>
      </c>
    </row>
    <row r="60" spans="1:13" x14ac:dyDescent="0.15">
      <c r="A60" s="76" t="s">
        <v>202</v>
      </c>
      <c r="B60" s="77">
        <f>floors!$C$2</f>
        <v>30038</v>
      </c>
      <c r="C60" s="78" t="str">
        <f ca="1">VLOOKUP($B60,OFFSET([2]quests!$A$1,0,0,COUNTA([2]quests!$A:$A),MATCH(C$1,[2]quests!$1:$1,0)-MATCH($B$1,[2]quests!$1:$1,0)+1),MATCH(C$1,[2]quests!$1:$1,0)-MATCH($B$1,[2]quests!$1:$1,0)+1,FALSE)</f>
        <v>毒絶神の願い</v>
      </c>
      <c r="D60" s="78" t="str">
        <f ca="1">VLOOKUP($B60,OFFSET([2]quests!$A$1,0,0,COUNTA([2]quests!$A:$A),MATCH(D$1,[2]quests!$1:$1,0)-MATCH($B$1,[2]quests!$1:$1,0)+1),MATCH(D$1,[2]quests!$1:$1,0)-MATCH($B$1,[2]quests!$1:$1,0)+1,FALSE)</f>
        <v>エジプト神話シリーズ超級</v>
      </c>
      <c r="E60" s="82">
        <v>2</v>
      </c>
      <c r="F60" s="78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【上級】毒絶神の願い</v>
      </c>
      <c r="G60" s="78" t="str">
        <f ca="1">VLOOKUP($B60&amp;"_"&amp;$E60,OFFSET([2]stages!$A$1,0,0,COUNTA([2]stages!$A:$A),MATCH(G$1,[2]stages!$2:$2,0)-MATCH("temp_stage",[2]stages!$2:$2,0)+1),MATCH(G$1,[2]stages!$2:$2,0)-MATCH("temp_stage",[2]stages!$2:$2,0)+1,FALSE)</f>
        <v>エジプト神話シリーズ超級</v>
      </c>
      <c r="H60" s="80">
        <v>0</v>
      </c>
      <c r="I60" s="91">
        <v>31</v>
      </c>
      <c r="J60" s="79" t="s">
        <v>199</v>
      </c>
      <c r="K60" s="88" t="str">
        <f>VLOOKUP(I60,[7]stage_hints!$A:$C,3,FALSE)</f>
        <v>イベントはお知らせでチェック</v>
      </c>
      <c r="L60" s="89" t="str">
        <f>VLOOKUP(I60,[7]stage_hints!$A:$D,4,FALSE)</f>
        <v>イベント限定ユニットを取り忘れないように_x000D_お知らせをこまめにチェックしましょう</v>
      </c>
      <c r="M60" s="54" t="s">
        <v>212</v>
      </c>
    </row>
    <row r="61" spans="1:13" x14ac:dyDescent="0.15">
      <c r="A61" s="76" t="s">
        <v>202</v>
      </c>
      <c r="B61" s="77">
        <f>floors!$C$2</f>
        <v>30038</v>
      </c>
      <c r="C61" s="78" t="str">
        <f ca="1">VLOOKUP($B61,OFFSET([2]quests!$A$1,0,0,COUNTA([2]quests!$A:$A),MATCH(C$1,[2]quests!$1:$1,0)-MATCH($B$1,[2]quests!$1:$1,0)+1),MATCH(C$1,[2]quests!$1:$1,0)-MATCH($B$1,[2]quests!$1:$1,0)+1,FALSE)</f>
        <v>毒絶神の願い</v>
      </c>
      <c r="D61" s="78" t="str">
        <f ca="1">VLOOKUP($B61,OFFSET([2]quests!$A$1,0,0,COUNTA([2]quests!$A:$A),MATCH(D$1,[2]quests!$1:$1,0)-MATCH($B$1,[2]quests!$1:$1,0)+1),MATCH(D$1,[2]quests!$1:$1,0)-MATCH($B$1,[2]quests!$1:$1,0)+1,FALSE)</f>
        <v>エジプト神話シリーズ超級</v>
      </c>
      <c r="E61" s="82">
        <v>2</v>
      </c>
      <c r="F61" s="78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【上級】毒絶神の願い</v>
      </c>
      <c r="G61" s="78" t="str">
        <f ca="1">VLOOKUP($B61&amp;"_"&amp;$E61,OFFSET([2]stages!$A$1,0,0,COUNTA([2]stages!$A:$A),MATCH(G$1,[2]stages!$2:$2,0)-MATCH("temp_stage",[2]stages!$2:$2,0)+1),MATCH(G$1,[2]stages!$2:$2,0)-MATCH("temp_stage",[2]stages!$2:$2,0)+1,FALSE)</f>
        <v>エジプト神話シリーズ超級</v>
      </c>
      <c r="H61" s="80">
        <v>0</v>
      </c>
      <c r="I61" s="91">
        <v>32</v>
      </c>
      <c r="J61" s="79" t="s">
        <v>199</v>
      </c>
      <c r="K61" s="88" t="str">
        <f>VLOOKUP(I61,[7]stage_hints!$A:$C,3,FALSE)</f>
        <v>敵の連続攻撃には</v>
      </c>
      <c r="L61" s="89" t="str">
        <f>VLOOKUP(I61,[7]stage_hints!$A:$D,4,FALSE)</f>
        <v>カウンタースキルを持つユニットがいれば_x000D_ダメージ回数分の反撃ができます</v>
      </c>
      <c r="M61" s="54" t="s">
        <v>212</v>
      </c>
    </row>
    <row r="62" spans="1:13" x14ac:dyDescent="0.15">
      <c r="A62" s="76" t="s">
        <v>202</v>
      </c>
      <c r="B62" s="77">
        <f>floors!$C$2</f>
        <v>30038</v>
      </c>
      <c r="C62" s="78" t="str">
        <f ca="1">VLOOKUP($B62,OFFSET([2]quests!$A$1,0,0,COUNTA([2]quests!$A:$A),MATCH(C$1,[2]quests!$1:$1,0)-MATCH($B$1,[2]quests!$1:$1,0)+1),MATCH(C$1,[2]quests!$1:$1,0)-MATCH($B$1,[2]quests!$1:$1,0)+1,FALSE)</f>
        <v>毒絶神の願い</v>
      </c>
      <c r="D62" s="78" t="str">
        <f ca="1">VLOOKUP($B62,OFFSET([2]quests!$A$1,0,0,COUNTA([2]quests!$A:$A),MATCH(D$1,[2]quests!$1:$1,0)-MATCH($B$1,[2]quests!$1:$1,0)+1),MATCH(D$1,[2]quests!$1:$1,0)-MATCH($B$1,[2]quests!$1:$1,0)+1,FALSE)</f>
        <v>エジプト神話シリーズ超級</v>
      </c>
      <c r="E62" s="82">
        <v>2</v>
      </c>
      <c r="F62" s="78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【上級】毒絶神の願い</v>
      </c>
      <c r="G62" s="78" t="str">
        <f ca="1">VLOOKUP($B62&amp;"_"&amp;$E62,OFFSET([2]stages!$A$1,0,0,COUNTA([2]stages!$A:$A),MATCH(G$1,[2]stages!$2:$2,0)-MATCH("temp_stage",[2]stages!$2:$2,0)+1),MATCH(G$1,[2]stages!$2:$2,0)-MATCH("temp_stage",[2]stages!$2:$2,0)+1,FALSE)</f>
        <v>エジプト神話シリーズ超級</v>
      </c>
      <c r="H62" s="80">
        <v>0</v>
      </c>
      <c r="I62" s="91">
        <v>33</v>
      </c>
      <c r="J62" s="79" t="s">
        <v>199</v>
      </c>
      <c r="K62" s="88" t="str">
        <f>VLOOKUP(I62,[7]stage_hints!$A:$C,3,FALSE)</f>
        <v>敵のカウンター攻撃には</v>
      </c>
      <c r="L62" s="89" t="str">
        <f>VLOOKUP(I62,[7]stage_hints!$A:$D,4,FALSE)</f>
        <v>カウンターブレイクスキルを持っていれば_x000D_敵のカウンターを解除して攻撃ができます</v>
      </c>
      <c r="M62" s="54" t="s">
        <v>212</v>
      </c>
    </row>
    <row r="63" spans="1:13" x14ac:dyDescent="0.15">
      <c r="A63" s="76" t="s">
        <v>202</v>
      </c>
      <c r="B63" s="77">
        <f>floors!$C$2</f>
        <v>30038</v>
      </c>
      <c r="C63" s="78" t="str">
        <f ca="1">VLOOKUP($B63,OFFSET([2]quests!$A$1,0,0,COUNTA([2]quests!$A:$A),MATCH(C$1,[2]quests!$1:$1,0)-MATCH($B$1,[2]quests!$1:$1,0)+1),MATCH(C$1,[2]quests!$1:$1,0)-MATCH($B$1,[2]quests!$1:$1,0)+1,FALSE)</f>
        <v>毒絶神の願い</v>
      </c>
      <c r="D63" s="78" t="str">
        <f ca="1">VLOOKUP($B63,OFFSET([2]quests!$A$1,0,0,COUNTA([2]quests!$A:$A),MATCH(D$1,[2]quests!$1:$1,0)-MATCH($B$1,[2]quests!$1:$1,0)+1),MATCH(D$1,[2]quests!$1:$1,0)-MATCH($B$1,[2]quests!$1:$1,0)+1,FALSE)</f>
        <v>エジプト神話シリーズ超級</v>
      </c>
      <c r="E63" s="82">
        <v>2</v>
      </c>
      <c r="F63" s="78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【上級】毒絶神の願い</v>
      </c>
      <c r="G63" s="78" t="str">
        <f ca="1">VLOOKUP($B63&amp;"_"&amp;$E63,OFFSET([2]stages!$A$1,0,0,COUNTA([2]stages!$A:$A),MATCH(G$1,[2]stages!$2:$2,0)-MATCH("temp_stage",[2]stages!$2:$2,0)+1),MATCH(G$1,[2]stages!$2:$2,0)-MATCH("temp_stage",[2]stages!$2:$2,0)+1,FALSE)</f>
        <v>エジプト神話シリーズ超級</v>
      </c>
      <c r="H63" s="80">
        <v>0</v>
      </c>
      <c r="I63" s="91">
        <v>34</v>
      </c>
      <c r="J63" s="79" t="s">
        <v>199</v>
      </c>
      <c r="K63" s="88" t="str">
        <f>VLOOKUP(I63,[7]stage_hints!$A:$C,3,FALSE)</f>
        <v>ステータスをスキルで下げられたら</v>
      </c>
      <c r="L63" s="89" t="str">
        <f>VLOOKUP(I63,[7]stage_hints!$A:$D,4,FALSE)</f>
        <v>ステータスダウンのスキルを受けたら_x000D_ステータスアップスキルで上書きしましょう</v>
      </c>
      <c r="M63" s="54" t="s">
        <v>212</v>
      </c>
    </row>
    <row r="64" spans="1:13" x14ac:dyDescent="0.15">
      <c r="A64" s="76" t="s">
        <v>202</v>
      </c>
      <c r="B64" s="77">
        <f>floors!$C$2</f>
        <v>30038</v>
      </c>
      <c r="C64" s="78" t="str">
        <f ca="1">VLOOKUP($B64,OFFSET([2]quests!$A$1,0,0,COUNTA([2]quests!$A:$A),MATCH(C$1,[2]quests!$1:$1,0)-MATCH($B$1,[2]quests!$1:$1,0)+1),MATCH(C$1,[2]quests!$1:$1,0)-MATCH($B$1,[2]quests!$1:$1,0)+1,FALSE)</f>
        <v>毒絶神の願い</v>
      </c>
      <c r="D64" s="78" t="str">
        <f ca="1">VLOOKUP($B64,OFFSET([2]quests!$A$1,0,0,COUNTA([2]quests!$A:$A),MATCH(D$1,[2]quests!$1:$1,0)-MATCH($B$1,[2]quests!$1:$1,0)+1),MATCH(D$1,[2]quests!$1:$1,0)-MATCH($B$1,[2]quests!$1:$1,0)+1,FALSE)</f>
        <v>エジプト神話シリーズ超級</v>
      </c>
      <c r="E64" s="82">
        <v>2</v>
      </c>
      <c r="F64" s="78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【上級】毒絶神の願い</v>
      </c>
      <c r="G64" s="78" t="str">
        <f ca="1">VLOOKUP($B64&amp;"_"&amp;$E64,OFFSET([2]stages!$A$1,0,0,COUNTA([2]stages!$A:$A),MATCH(G$1,[2]stages!$2:$2,0)-MATCH("temp_stage",[2]stages!$2:$2,0)+1),MATCH(G$1,[2]stages!$2:$2,0)-MATCH("temp_stage",[2]stages!$2:$2,0)+1,FALSE)</f>
        <v>エジプト神話シリーズ超級</v>
      </c>
      <c r="H64" s="80">
        <v>0</v>
      </c>
      <c r="I64" s="91">
        <v>35</v>
      </c>
      <c r="J64" s="79" t="s">
        <v>199</v>
      </c>
      <c r="K64" s="88" t="str">
        <f>VLOOKUP(I64,[7]stage_hints!$A:$C,3,FALSE)</f>
        <v>敵のステータスがスキルで上がったら</v>
      </c>
      <c r="L64" s="89" t="str">
        <f>VLOOKUP(I64,[7]stage_hints!$A:$D,4,FALSE)</f>
        <v>敵のステータスがスキルでアップしたときは_x000D_ステータスダウンスキルで上書きしましょう</v>
      </c>
      <c r="M64" s="54" t="s">
        <v>212</v>
      </c>
    </row>
    <row r="65" spans="1:13" x14ac:dyDescent="0.15">
      <c r="A65" s="76" t="s">
        <v>202</v>
      </c>
      <c r="B65" s="77">
        <f>floors!$C$2</f>
        <v>30038</v>
      </c>
      <c r="C65" s="78" t="str">
        <f ca="1">VLOOKUP($B65,OFFSET([2]quests!$A$1,0,0,COUNTA([2]quests!$A:$A),MATCH(C$1,[2]quests!$1:$1,0)-MATCH($B$1,[2]quests!$1:$1,0)+1),MATCH(C$1,[2]quests!$1:$1,0)-MATCH($B$1,[2]quests!$1:$1,0)+1,FALSE)</f>
        <v>毒絶神の願い</v>
      </c>
      <c r="D65" s="78" t="str">
        <f ca="1">VLOOKUP($B65,OFFSET([2]quests!$A$1,0,0,COUNTA([2]quests!$A:$A),MATCH(D$1,[2]quests!$1:$1,0)-MATCH($B$1,[2]quests!$1:$1,0)+1),MATCH(D$1,[2]quests!$1:$1,0)-MATCH($B$1,[2]quests!$1:$1,0)+1,FALSE)</f>
        <v>エジプト神話シリーズ超級</v>
      </c>
      <c r="E65" s="82">
        <v>2</v>
      </c>
      <c r="F65" s="78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【上級】毒絶神の願い</v>
      </c>
      <c r="G65" s="78" t="str">
        <f ca="1">VLOOKUP($B65&amp;"_"&amp;$E65,OFFSET([2]stages!$A$1,0,0,COUNTA([2]stages!$A:$A),MATCH(G$1,[2]stages!$2:$2,0)-MATCH("temp_stage",[2]stages!$2:$2,0)+1),MATCH(G$1,[2]stages!$2:$2,0)-MATCH("temp_stage",[2]stages!$2:$2,0)+1,FALSE)</f>
        <v>エジプト神話シリーズ超級</v>
      </c>
      <c r="H65" s="80">
        <v>0</v>
      </c>
      <c r="I65" s="91">
        <v>36</v>
      </c>
      <c r="J65" s="79" t="s">
        <v>199</v>
      </c>
      <c r="K65" s="88" t="str">
        <f>VLOOKUP(I65,[7]stage_hints!$A:$C,3,FALSE)</f>
        <v>タワーオブザクイーンのボス</v>
      </c>
      <c r="L65" s="89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4" t="s">
        <v>212</v>
      </c>
    </row>
    <row r="66" spans="1:13" x14ac:dyDescent="0.15">
      <c r="A66" s="76" t="s">
        <v>202</v>
      </c>
      <c r="B66" s="77">
        <f>floors!$C$2</f>
        <v>30038</v>
      </c>
      <c r="C66" s="78" t="str">
        <f ca="1">VLOOKUP($B66,OFFSET([2]quests!$A$1,0,0,COUNTA([2]quests!$A:$A),MATCH(C$1,[2]quests!$1:$1,0)-MATCH($B$1,[2]quests!$1:$1,0)+1),MATCH(C$1,[2]quests!$1:$1,0)-MATCH($B$1,[2]quests!$1:$1,0)+1,FALSE)</f>
        <v>毒絶神の願い</v>
      </c>
      <c r="D66" s="78" t="str">
        <f ca="1">VLOOKUP($B66,OFFSET([2]quests!$A$1,0,0,COUNTA([2]quests!$A:$A),MATCH(D$1,[2]quests!$1:$1,0)-MATCH($B$1,[2]quests!$1:$1,0)+1),MATCH(D$1,[2]quests!$1:$1,0)-MATCH($B$1,[2]quests!$1:$1,0)+1,FALSE)</f>
        <v>エジプト神話シリーズ超級</v>
      </c>
      <c r="E66" s="82">
        <v>2</v>
      </c>
      <c r="F66" s="78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【上級】毒絶神の願い</v>
      </c>
      <c r="G66" s="78" t="str">
        <f ca="1">VLOOKUP($B66&amp;"_"&amp;$E66,OFFSET([2]stages!$A$1,0,0,COUNTA([2]stages!$A:$A),MATCH(G$1,[2]stages!$2:$2,0)-MATCH("temp_stage",[2]stages!$2:$2,0)+1),MATCH(G$1,[2]stages!$2:$2,0)-MATCH("temp_stage",[2]stages!$2:$2,0)+1,FALSE)</f>
        <v>エジプト神話シリーズ超級</v>
      </c>
      <c r="H66" s="80">
        <v>0</v>
      </c>
      <c r="I66" s="91">
        <v>37</v>
      </c>
      <c r="J66" s="79" t="s">
        <v>199</v>
      </c>
      <c r="K66" s="88" t="str">
        <f>VLOOKUP(I66,[7]stage_hints!$A:$C,3,FALSE)</f>
        <v>限界突破値の引き継ぎ</v>
      </c>
      <c r="L66" s="89" t="str">
        <f>VLOOKUP(I66,[7]stage_hints!$A:$D,4,FALSE)</f>
        <v>同じユニットを強化で合成すると_x000D_限界突破値を引き継げます（覚醒前後も可）</v>
      </c>
      <c r="M66" s="54" t="s">
        <v>212</v>
      </c>
    </row>
    <row r="67" spans="1:13" x14ac:dyDescent="0.15">
      <c r="A67" s="76" t="s">
        <v>202</v>
      </c>
      <c r="B67" s="77">
        <f>floors!$C$2</f>
        <v>30038</v>
      </c>
      <c r="C67" s="78" t="str">
        <f ca="1">VLOOKUP($B67,OFFSET([2]quests!$A$1,0,0,COUNTA([2]quests!$A:$A),MATCH(C$1,[2]quests!$1:$1,0)-MATCH($B$1,[2]quests!$1:$1,0)+1),MATCH(C$1,[2]quests!$1:$1,0)-MATCH($B$1,[2]quests!$1:$1,0)+1,FALSE)</f>
        <v>毒絶神の願い</v>
      </c>
      <c r="D67" s="78" t="str">
        <f ca="1">VLOOKUP($B67,OFFSET([2]quests!$A$1,0,0,COUNTA([2]quests!$A:$A),MATCH(D$1,[2]quests!$1:$1,0)-MATCH($B$1,[2]quests!$1:$1,0)+1),MATCH(D$1,[2]quests!$1:$1,0)-MATCH($B$1,[2]quests!$1:$1,0)+1,FALSE)</f>
        <v>エジプト神話シリーズ超級</v>
      </c>
      <c r="E67" s="82">
        <v>2</v>
      </c>
      <c r="F67" s="78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【上級】毒絶神の願い</v>
      </c>
      <c r="G67" s="78" t="str">
        <f ca="1">VLOOKUP($B67&amp;"_"&amp;$E67,OFFSET([2]stages!$A$1,0,0,COUNTA([2]stages!$A:$A),MATCH(G$1,[2]stages!$2:$2,0)-MATCH("temp_stage",[2]stages!$2:$2,0)+1),MATCH(G$1,[2]stages!$2:$2,0)-MATCH("temp_stage",[2]stages!$2:$2,0)+1,FALSE)</f>
        <v>エジプト神話シリーズ超級</v>
      </c>
      <c r="H67" s="80">
        <v>0</v>
      </c>
      <c r="I67" s="91">
        <v>39</v>
      </c>
      <c r="J67" s="79" t="s">
        <v>199</v>
      </c>
      <c r="K67" s="88" t="str">
        <f>VLOOKUP(I67,[7]stage_hints!$A:$C,3,FALSE)</f>
        <v>システム適合者を確認</v>
      </c>
      <c r="L67" s="89" t="str">
        <f>VLOOKUP(I67,[7]stage_hints!$A:$D,4,FALSE)</f>
        <v>ALICEが 「アナタ」を呼んでいます</v>
      </c>
      <c r="M67" s="54" t="s">
        <v>212</v>
      </c>
    </row>
    <row r="68" spans="1:13" x14ac:dyDescent="0.15">
      <c r="A68" s="76" t="s">
        <v>202</v>
      </c>
      <c r="B68" s="77">
        <f>floors!$C$2</f>
        <v>30038</v>
      </c>
      <c r="C68" s="78" t="str">
        <f ca="1">VLOOKUP($B68,OFFSET([2]quests!$A$1,0,0,COUNTA([2]quests!$A:$A),MATCH(C$1,[2]quests!$1:$1,0)-MATCH($B$1,[2]quests!$1:$1,0)+1),MATCH(C$1,[2]quests!$1:$1,0)-MATCH($B$1,[2]quests!$1:$1,0)+1,FALSE)</f>
        <v>毒絶神の願い</v>
      </c>
      <c r="D68" s="78" t="str">
        <f ca="1">VLOOKUP($B68,OFFSET([2]quests!$A$1,0,0,COUNTA([2]quests!$A:$A),MATCH(D$1,[2]quests!$1:$1,0)-MATCH($B$1,[2]quests!$1:$1,0)+1),MATCH(D$1,[2]quests!$1:$1,0)-MATCH($B$1,[2]quests!$1:$1,0)+1,FALSE)</f>
        <v>エジプト神話シリーズ超級</v>
      </c>
      <c r="E68" s="82">
        <v>3</v>
      </c>
      <c r="F68" s="78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【超級】毒絶神の願い</v>
      </c>
      <c r="G68" s="78" t="str">
        <f ca="1">VLOOKUP($B68&amp;"_"&amp;$E68,OFFSET([2]stages!$A$1,0,0,COUNTA([2]stages!$A:$A),MATCH(G$1,[2]stages!$2:$2,0)-MATCH("temp_stage",[2]stages!$2:$2,0)+1),MATCH(G$1,[2]stages!$2:$2,0)-MATCH("temp_stage",[2]stages!$2:$2,0)+1,FALSE)</f>
        <v>エジプト神話シリーズ超級</v>
      </c>
      <c r="H68" s="80">
        <v>0</v>
      </c>
      <c r="I68">
        <v>12</v>
      </c>
      <c r="J68" s="79" t="s">
        <v>199</v>
      </c>
      <c r="K68" s="88" t="str">
        <f>VLOOKUP(I68,[7]stage_hints!$A:$C,3,FALSE)</f>
        <v>ユニットのお気に入り登録</v>
      </c>
      <c r="L68" s="89" t="str">
        <f>VLOOKUP(I68,[7]stage_hints!$A:$D,4,FALSE)</f>
        <v>大事なユニットを誤って消さないように_x000D_フォルダから「お気に入り登録」しましょう</v>
      </c>
      <c r="M68" s="54" t="s">
        <v>212</v>
      </c>
    </row>
    <row r="69" spans="1:13" x14ac:dyDescent="0.15">
      <c r="A69" s="76" t="s">
        <v>202</v>
      </c>
      <c r="B69" s="77">
        <f>floors!$C$2</f>
        <v>30038</v>
      </c>
      <c r="C69" s="78" t="str">
        <f ca="1">VLOOKUP($B69,OFFSET([2]quests!$A$1,0,0,COUNTA([2]quests!$A:$A),MATCH(C$1,[2]quests!$1:$1,0)-MATCH($B$1,[2]quests!$1:$1,0)+1),MATCH(C$1,[2]quests!$1:$1,0)-MATCH($B$1,[2]quests!$1:$1,0)+1,FALSE)</f>
        <v>毒絶神の願い</v>
      </c>
      <c r="D69" s="78" t="str">
        <f ca="1">VLOOKUP($B69,OFFSET([2]quests!$A$1,0,0,COUNTA([2]quests!$A:$A),MATCH(D$1,[2]quests!$1:$1,0)-MATCH($B$1,[2]quests!$1:$1,0)+1),MATCH(D$1,[2]quests!$1:$1,0)-MATCH($B$1,[2]quests!$1:$1,0)+1,FALSE)</f>
        <v>エジプト神話シリーズ超級</v>
      </c>
      <c r="E69" s="82">
        <v>3</v>
      </c>
      <c r="F69" s="78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【超級】毒絶神の願い</v>
      </c>
      <c r="G69" s="78" t="str">
        <f ca="1">VLOOKUP($B69&amp;"_"&amp;$E69,OFFSET([2]stages!$A$1,0,0,COUNTA([2]stages!$A:$A),MATCH(G$1,[2]stages!$2:$2,0)-MATCH("temp_stage",[2]stages!$2:$2,0)+1),MATCH(G$1,[2]stages!$2:$2,0)-MATCH("temp_stage",[2]stages!$2:$2,0)+1,FALSE)</f>
        <v>エジプト神話シリーズ超級</v>
      </c>
      <c r="H69" s="80">
        <v>0</v>
      </c>
      <c r="I69">
        <v>17</v>
      </c>
      <c r="J69" s="79" t="s">
        <v>199</v>
      </c>
      <c r="K69" s="88" t="str">
        <f>VLOOKUP(I69,[7]stage_hints!$A:$C,3,FALSE)</f>
        <v>リンクガチャ</v>
      </c>
      <c r="L69" s="89" t="str">
        <f>VLOOKUP(I69,[7]stage_hints!$A:$D,4,FALSE)</f>
        <v>無料のリンクガチャを回して_x000D_経験値素材や売却素材を獲得しましょう</v>
      </c>
      <c r="M69" s="54" t="s">
        <v>212</v>
      </c>
    </row>
    <row r="70" spans="1:13" x14ac:dyDescent="0.15">
      <c r="A70" s="76" t="s">
        <v>202</v>
      </c>
      <c r="B70" s="77">
        <f>floors!$C$2</f>
        <v>30038</v>
      </c>
      <c r="C70" s="78" t="str">
        <f ca="1">VLOOKUP($B70,OFFSET([2]quests!$A$1,0,0,COUNTA([2]quests!$A:$A),MATCH(C$1,[2]quests!$1:$1,0)-MATCH($B$1,[2]quests!$1:$1,0)+1),MATCH(C$1,[2]quests!$1:$1,0)-MATCH($B$1,[2]quests!$1:$1,0)+1,FALSE)</f>
        <v>毒絶神の願い</v>
      </c>
      <c r="D70" s="78" t="str">
        <f ca="1">VLOOKUP($B70,OFFSET([2]quests!$A$1,0,0,COUNTA([2]quests!$A:$A),MATCH(D$1,[2]quests!$1:$1,0)-MATCH($B$1,[2]quests!$1:$1,0)+1),MATCH(D$1,[2]quests!$1:$1,0)-MATCH($B$1,[2]quests!$1:$1,0)+1,FALSE)</f>
        <v>エジプト神話シリーズ超級</v>
      </c>
      <c r="E70" s="82">
        <v>3</v>
      </c>
      <c r="F70" s="78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【超級】毒絶神の願い</v>
      </c>
      <c r="G70" s="78" t="str">
        <f ca="1">VLOOKUP($B70&amp;"_"&amp;$E70,OFFSET([2]stages!$A$1,0,0,COUNTA([2]stages!$A:$A),MATCH(G$1,[2]stages!$2:$2,0)-MATCH("temp_stage",[2]stages!$2:$2,0)+1),MATCH(G$1,[2]stages!$2:$2,0)-MATCH("temp_stage",[2]stages!$2:$2,0)+1,FALSE)</f>
        <v>エジプト神話シリーズ超級</v>
      </c>
      <c r="H70" s="80">
        <v>0</v>
      </c>
      <c r="I70">
        <v>19</v>
      </c>
      <c r="J70" s="79" t="s">
        <v>199</v>
      </c>
      <c r="K70" s="88" t="str">
        <f>VLOOKUP(I70,[7]stage_hints!$A:$C,3,FALSE)</f>
        <v>ソロ専用タワーオブザクイーン</v>
      </c>
      <c r="L70" s="89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4" t="s">
        <v>212</v>
      </c>
    </row>
    <row r="71" spans="1:13" x14ac:dyDescent="0.15">
      <c r="A71" s="76" t="s">
        <v>202</v>
      </c>
      <c r="B71" s="77">
        <f>floors!$C$2</f>
        <v>30038</v>
      </c>
      <c r="C71" s="78" t="str">
        <f ca="1">VLOOKUP($B71,OFFSET([2]quests!$A$1,0,0,COUNTA([2]quests!$A:$A),MATCH(C$1,[2]quests!$1:$1,0)-MATCH($B$1,[2]quests!$1:$1,0)+1),MATCH(C$1,[2]quests!$1:$1,0)-MATCH($B$1,[2]quests!$1:$1,0)+1,FALSE)</f>
        <v>毒絶神の願い</v>
      </c>
      <c r="D71" s="78" t="str">
        <f ca="1">VLOOKUP($B71,OFFSET([2]quests!$A$1,0,0,COUNTA([2]quests!$A:$A),MATCH(D$1,[2]quests!$1:$1,0)-MATCH($B$1,[2]quests!$1:$1,0)+1),MATCH(D$1,[2]quests!$1:$1,0)-MATCH($B$1,[2]quests!$1:$1,0)+1,FALSE)</f>
        <v>エジプト神話シリーズ超級</v>
      </c>
      <c r="E71" s="82">
        <v>3</v>
      </c>
      <c r="F71" s="78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【超級】毒絶神の願い</v>
      </c>
      <c r="G71" s="78" t="str">
        <f ca="1">VLOOKUP($B71&amp;"_"&amp;$E71,OFFSET([2]stages!$A$1,0,0,COUNTA([2]stages!$A:$A),MATCH(G$1,[2]stages!$2:$2,0)-MATCH("temp_stage",[2]stages!$2:$2,0)+1),MATCH(G$1,[2]stages!$2:$2,0)-MATCH("temp_stage",[2]stages!$2:$2,0)+1,FALSE)</f>
        <v>エジプト神話シリーズ超級</v>
      </c>
      <c r="H71" s="80">
        <v>0</v>
      </c>
      <c r="I71">
        <v>21</v>
      </c>
      <c r="J71" s="79" t="s">
        <v>199</v>
      </c>
      <c r="K71" s="88" t="str">
        <f>VLOOKUP(I71,[7]stage_hints!$A:$C,3,FALSE)</f>
        <v>スキルを有効に</v>
      </c>
      <c r="L71" s="89" t="str">
        <f>VLOOKUP(I71,[7]stage_hints!$A:$D,4,FALSE)</f>
        <v>ターン経過でユニットのスキルが使えます_x000D_強力スキルでバトルを有利に進めましょう</v>
      </c>
      <c r="M71" s="54" t="s">
        <v>212</v>
      </c>
    </row>
    <row r="72" spans="1:13" x14ac:dyDescent="0.15">
      <c r="A72" s="76" t="s">
        <v>202</v>
      </c>
      <c r="B72" s="77">
        <f>floors!$C$2</f>
        <v>30038</v>
      </c>
      <c r="C72" s="78" t="str">
        <f ca="1">VLOOKUP($B72,OFFSET([2]quests!$A$1,0,0,COUNTA([2]quests!$A:$A),MATCH(C$1,[2]quests!$1:$1,0)-MATCH($B$1,[2]quests!$1:$1,0)+1),MATCH(C$1,[2]quests!$1:$1,0)-MATCH($B$1,[2]quests!$1:$1,0)+1,FALSE)</f>
        <v>毒絶神の願い</v>
      </c>
      <c r="D72" s="78" t="str">
        <f ca="1">VLOOKUP($B72,OFFSET([2]quests!$A$1,0,0,COUNTA([2]quests!$A:$A),MATCH(D$1,[2]quests!$1:$1,0)-MATCH($B$1,[2]quests!$1:$1,0)+1),MATCH(D$1,[2]quests!$1:$1,0)-MATCH($B$1,[2]quests!$1:$1,0)+1,FALSE)</f>
        <v>エジプト神話シリーズ超級</v>
      </c>
      <c r="E72" s="82">
        <v>3</v>
      </c>
      <c r="F72" s="78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【超級】毒絶神の願い</v>
      </c>
      <c r="G72" s="78" t="str">
        <f ca="1">VLOOKUP($B72&amp;"_"&amp;$E72,OFFSET([2]stages!$A$1,0,0,COUNTA([2]stages!$A:$A),MATCH(G$1,[2]stages!$2:$2,0)-MATCH("temp_stage",[2]stages!$2:$2,0)+1),MATCH(G$1,[2]stages!$2:$2,0)-MATCH("temp_stage",[2]stages!$2:$2,0)+1,FALSE)</f>
        <v>エジプト神話シリーズ超級</v>
      </c>
      <c r="H72" s="80">
        <v>0</v>
      </c>
      <c r="I72">
        <v>27</v>
      </c>
      <c r="J72" s="79" t="s">
        <v>199</v>
      </c>
      <c r="K72" s="88" t="str">
        <f>VLOOKUP(I72,[7]stage_hints!$A:$C,3,FALSE)</f>
        <v>ホーム画面からデッキを編成</v>
      </c>
      <c r="L72" s="89" t="str">
        <f>VLOOKUP(I72,[7]stage_hints!$A:$D,4,FALSE)</f>
        <v>ホーム画面でユニットを長押しすると_x000D_すぐにパーティ編成に移動できます</v>
      </c>
      <c r="M72" s="54" t="s">
        <v>212</v>
      </c>
    </row>
    <row r="73" spans="1:13" x14ac:dyDescent="0.15">
      <c r="A73" s="76" t="s">
        <v>202</v>
      </c>
      <c r="B73" s="77">
        <f>floors!$C$2</f>
        <v>30038</v>
      </c>
      <c r="C73" s="78" t="str">
        <f ca="1">VLOOKUP($B73,OFFSET([2]quests!$A$1,0,0,COUNTA([2]quests!$A:$A),MATCH(C$1,[2]quests!$1:$1,0)-MATCH($B$1,[2]quests!$1:$1,0)+1),MATCH(C$1,[2]quests!$1:$1,0)-MATCH($B$1,[2]quests!$1:$1,0)+1,FALSE)</f>
        <v>毒絶神の願い</v>
      </c>
      <c r="D73" s="78" t="str">
        <f ca="1">VLOOKUP($B73,OFFSET([2]quests!$A$1,0,0,COUNTA([2]quests!$A:$A),MATCH(D$1,[2]quests!$1:$1,0)-MATCH($B$1,[2]quests!$1:$1,0)+1),MATCH(D$1,[2]quests!$1:$1,0)-MATCH($B$1,[2]quests!$1:$1,0)+1,FALSE)</f>
        <v>エジプト神話シリーズ超級</v>
      </c>
      <c r="E73" s="82">
        <v>3</v>
      </c>
      <c r="F73" s="78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【超級】毒絶神の願い</v>
      </c>
      <c r="G73" s="78" t="str">
        <f ca="1">VLOOKUP($B73&amp;"_"&amp;$E73,OFFSET([2]stages!$A$1,0,0,COUNTA([2]stages!$A:$A),MATCH(G$1,[2]stages!$2:$2,0)-MATCH("temp_stage",[2]stages!$2:$2,0)+1),MATCH(G$1,[2]stages!$2:$2,0)-MATCH("temp_stage",[2]stages!$2:$2,0)+1,FALSE)</f>
        <v>エジプト神話シリーズ超級</v>
      </c>
      <c r="H73" s="80">
        <v>0</v>
      </c>
      <c r="I73">
        <v>28</v>
      </c>
      <c r="J73" s="79" t="s">
        <v>199</v>
      </c>
      <c r="K73" s="88" t="str">
        <f>VLOOKUP(I73,[7]stage_hints!$A:$C,3,FALSE)</f>
        <v>ステータス情報は長押しで</v>
      </c>
      <c r="L73" s="89" t="str">
        <f>VLOOKUP(I73,[7]stage_hints!$A:$D,4,FALSE)</f>
        <v>ユニットのアイコンを長押しすると_x000D_ステータス情報を確認することができます</v>
      </c>
      <c r="M73" s="54" t="s">
        <v>212</v>
      </c>
    </row>
    <row r="74" spans="1:13" x14ac:dyDescent="0.15">
      <c r="A74" s="76" t="s">
        <v>202</v>
      </c>
      <c r="B74" s="77">
        <f>floors!$C$2</f>
        <v>30038</v>
      </c>
      <c r="C74" s="78" t="str">
        <f ca="1">VLOOKUP($B74,OFFSET([2]quests!$A$1,0,0,COUNTA([2]quests!$A:$A),MATCH(C$1,[2]quests!$1:$1,0)-MATCH($B$1,[2]quests!$1:$1,0)+1),MATCH(C$1,[2]quests!$1:$1,0)-MATCH($B$1,[2]quests!$1:$1,0)+1,FALSE)</f>
        <v>毒絶神の願い</v>
      </c>
      <c r="D74" s="78" t="str">
        <f ca="1">VLOOKUP($B74,OFFSET([2]quests!$A$1,0,0,COUNTA([2]quests!$A:$A),MATCH(D$1,[2]quests!$1:$1,0)-MATCH($B$1,[2]quests!$1:$1,0)+1),MATCH(D$1,[2]quests!$1:$1,0)-MATCH($B$1,[2]quests!$1:$1,0)+1,FALSE)</f>
        <v>エジプト神話シリーズ超級</v>
      </c>
      <c r="E74" s="82">
        <v>3</v>
      </c>
      <c r="F74" s="78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【超級】毒絶神の願い</v>
      </c>
      <c r="G74" s="78" t="str">
        <f ca="1">VLOOKUP($B74&amp;"_"&amp;$E74,OFFSET([2]stages!$A$1,0,0,COUNTA([2]stages!$A:$A),MATCH(G$1,[2]stages!$2:$2,0)-MATCH("temp_stage",[2]stages!$2:$2,0)+1),MATCH(G$1,[2]stages!$2:$2,0)-MATCH("temp_stage",[2]stages!$2:$2,0)+1,FALSE)</f>
        <v>エジプト神話シリーズ超級</v>
      </c>
      <c r="H74" s="80">
        <v>0</v>
      </c>
      <c r="I74">
        <v>29</v>
      </c>
      <c r="J74" s="79" t="s">
        <v>199</v>
      </c>
      <c r="K74" s="88" t="str">
        <f>VLOOKUP(I74,[7]stage_hints!$A:$C,3,FALSE)</f>
        <v>「バグ」のメリット</v>
      </c>
      <c r="L74" s="89" t="str">
        <f>VLOOKUP(I74,[7]stage_hints!$A:$D,4,FALSE)</f>
        <v>ユニットの「バグ」を増やすと_x000D_報酬をもらえる確率がアップします</v>
      </c>
      <c r="M74" s="54" t="s">
        <v>212</v>
      </c>
    </row>
    <row r="75" spans="1:13" x14ac:dyDescent="0.15">
      <c r="A75" s="76" t="s">
        <v>202</v>
      </c>
      <c r="B75" s="77">
        <f>floors!$C$2</f>
        <v>30038</v>
      </c>
      <c r="C75" s="78" t="str">
        <f ca="1">VLOOKUP($B75,OFFSET([2]quests!$A$1,0,0,COUNTA([2]quests!$A:$A),MATCH(C$1,[2]quests!$1:$1,0)-MATCH($B$1,[2]quests!$1:$1,0)+1),MATCH(C$1,[2]quests!$1:$1,0)-MATCH($B$1,[2]quests!$1:$1,0)+1,FALSE)</f>
        <v>毒絶神の願い</v>
      </c>
      <c r="D75" s="78" t="str">
        <f ca="1">VLOOKUP($B75,OFFSET([2]quests!$A$1,0,0,COUNTA([2]quests!$A:$A),MATCH(D$1,[2]quests!$1:$1,0)-MATCH($B$1,[2]quests!$1:$1,0)+1),MATCH(D$1,[2]quests!$1:$1,0)-MATCH($B$1,[2]quests!$1:$1,0)+1,FALSE)</f>
        <v>エジプト神話シリーズ超級</v>
      </c>
      <c r="E75" s="82">
        <v>3</v>
      </c>
      <c r="F75" s="78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【超級】毒絶神の願い</v>
      </c>
      <c r="G75" s="78" t="str">
        <f ca="1">VLOOKUP($B75&amp;"_"&amp;$E75,OFFSET([2]stages!$A$1,0,0,COUNTA([2]stages!$A:$A),MATCH(G$1,[2]stages!$2:$2,0)-MATCH("temp_stage",[2]stages!$2:$2,0)+1),MATCH(G$1,[2]stages!$2:$2,0)-MATCH("temp_stage",[2]stages!$2:$2,0)+1,FALSE)</f>
        <v>エジプト神話シリーズ超級</v>
      </c>
      <c r="H75" s="80">
        <v>0</v>
      </c>
      <c r="I75">
        <v>30</v>
      </c>
      <c r="J75" s="79" t="s">
        <v>199</v>
      </c>
      <c r="K75" s="88" t="str">
        <f>VLOOKUP(I75,[7]stage_hints!$A:$C,3,FALSE)</f>
        <v>「バグ」の増やし方</v>
      </c>
      <c r="L75" s="89" t="str">
        <f>VLOOKUP(I75,[7]stage_hints!$A:$D,4,FALSE)</f>
        <v>同じユニット同士を強化で合成すると_x000D_「バグ」を増やすことができます</v>
      </c>
      <c r="M75" s="54" t="s">
        <v>212</v>
      </c>
    </row>
    <row r="76" spans="1:13" x14ac:dyDescent="0.15">
      <c r="A76" s="76" t="s">
        <v>202</v>
      </c>
      <c r="B76" s="77">
        <f>floors!$C$2</f>
        <v>30038</v>
      </c>
      <c r="C76" s="78" t="str">
        <f ca="1">VLOOKUP($B76,OFFSET([2]quests!$A$1,0,0,COUNTA([2]quests!$A:$A),MATCH(C$1,[2]quests!$1:$1,0)-MATCH($B$1,[2]quests!$1:$1,0)+1),MATCH(C$1,[2]quests!$1:$1,0)-MATCH($B$1,[2]quests!$1:$1,0)+1,FALSE)</f>
        <v>毒絶神の願い</v>
      </c>
      <c r="D76" s="78" t="str">
        <f ca="1">VLOOKUP($B76,OFFSET([2]quests!$A$1,0,0,COUNTA([2]quests!$A:$A),MATCH(D$1,[2]quests!$1:$1,0)-MATCH($B$1,[2]quests!$1:$1,0)+1),MATCH(D$1,[2]quests!$1:$1,0)-MATCH($B$1,[2]quests!$1:$1,0)+1,FALSE)</f>
        <v>エジプト神話シリーズ超級</v>
      </c>
      <c r="E76" s="82">
        <v>3</v>
      </c>
      <c r="F76" s="78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【超級】毒絶神の願い</v>
      </c>
      <c r="G76" s="78" t="str">
        <f ca="1">VLOOKUP($B76&amp;"_"&amp;$E76,OFFSET([2]stages!$A$1,0,0,COUNTA([2]stages!$A:$A),MATCH(G$1,[2]stages!$2:$2,0)-MATCH("temp_stage",[2]stages!$2:$2,0)+1),MATCH(G$1,[2]stages!$2:$2,0)-MATCH("temp_stage",[2]stages!$2:$2,0)+1,FALSE)</f>
        <v>エジプト神話シリーズ超級</v>
      </c>
      <c r="H76" s="80">
        <v>0</v>
      </c>
      <c r="I76">
        <v>32</v>
      </c>
      <c r="J76" s="79" t="s">
        <v>199</v>
      </c>
      <c r="K76" s="88" t="str">
        <f>VLOOKUP(I76,[7]stage_hints!$A:$C,3,FALSE)</f>
        <v>敵の連続攻撃には</v>
      </c>
      <c r="L76" s="89" t="str">
        <f>VLOOKUP(I76,[7]stage_hints!$A:$D,4,FALSE)</f>
        <v>カウンタースキルを持つユニットがいれば_x000D_ダメージ回数分の反撃ができます</v>
      </c>
      <c r="M76" s="54" t="s">
        <v>212</v>
      </c>
    </row>
    <row r="77" spans="1:13" x14ac:dyDescent="0.15">
      <c r="A77" s="76" t="s">
        <v>202</v>
      </c>
      <c r="B77" s="77">
        <f>floors!$C$2</f>
        <v>30038</v>
      </c>
      <c r="C77" s="78" t="str">
        <f ca="1">VLOOKUP($B77,OFFSET([2]quests!$A$1,0,0,COUNTA([2]quests!$A:$A),MATCH(C$1,[2]quests!$1:$1,0)-MATCH($B$1,[2]quests!$1:$1,0)+1),MATCH(C$1,[2]quests!$1:$1,0)-MATCH($B$1,[2]quests!$1:$1,0)+1,FALSE)</f>
        <v>毒絶神の願い</v>
      </c>
      <c r="D77" s="78" t="str">
        <f ca="1">VLOOKUP($B77,OFFSET([2]quests!$A$1,0,0,COUNTA([2]quests!$A:$A),MATCH(D$1,[2]quests!$1:$1,0)-MATCH($B$1,[2]quests!$1:$1,0)+1),MATCH(D$1,[2]quests!$1:$1,0)-MATCH($B$1,[2]quests!$1:$1,0)+1,FALSE)</f>
        <v>エジプト神話シリーズ超級</v>
      </c>
      <c r="E77" s="82">
        <v>3</v>
      </c>
      <c r="F77" s="78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【超級】毒絶神の願い</v>
      </c>
      <c r="G77" s="78" t="str">
        <f ca="1">VLOOKUP($B77&amp;"_"&amp;$E77,OFFSET([2]stages!$A$1,0,0,COUNTA([2]stages!$A:$A),MATCH(G$1,[2]stages!$2:$2,0)-MATCH("temp_stage",[2]stages!$2:$2,0)+1),MATCH(G$1,[2]stages!$2:$2,0)-MATCH("temp_stage",[2]stages!$2:$2,0)+1,FALSE)</f>
        <v>エジプト神話シリーズ超級</v>
      </c>
      <c r="H77" s="80">
        <v>0</v>
      </c>
      <c r="I77">
        <v>33</v>
      </c>
      <c r="J77" s="79" t="s">
        <v>199</v>
      </c>
      <c r="K77" s="88" t="str">
        <f>VLOOKUP(I77,[7]stage_hints!$A:$C,3,FALSE)</f>
        <v>敵のカウンター攻撃には</v>
      </c>
      <c r="L77" s="89" t="str">
        <f>VLOOKUP(I77,[7]stage_hints!$A:$D,4,FALSE)</f>
        <v>カウンターブレイクスキルを持っていれば_x000D_敵のカウンターを解除して攻撃ができます</v>
      </c>
      <c r="M77" s="54" t="s">
        <v>212</v>
      </c>
    </row>
    <row r="78" spans="1:13" x14ac:dyDescent="0.15">
      <c r="A78" s="76" t="s">
        <v>202</v>
      </c>
      <c r="B78" s="77">
        <f>floors!$C$2</f>
        <v>30038</v>
      </c>
      <c r="C78" s="78" t="str">
        <f ca="1">VLOOKUP($B78,OFFSET([2]quests!$A$1,0,0,COUNTA([2]quests!$A:$A),MATCH(C$1,[2]quests!$1:$1,0)-MATCH($B$1,[2]quests!$1:$1,0)+1),MATCH(C$1,[2]quests!$1:$1,0)-MATCH($B$1,[2]quests!$1:$1,0)+1,FALSE)</f>
        <v>毒絶神の願い</v>
      </c>
      <c r="D78" s="78" t="str">
        <f ca="1">VLOOKUP($B78,OFFSET([2]quests!$A$1,0,0,COUNTA([2]quests!$A:$A),MATCH(D$1,[2]quests!$1:$1,0)-MATCH($B$1,[2]quests!$1:$1,0)+1),MATCH(D$1,[2]quests!$1:$1,0)-MATCH($B$1,[2]quests!$1:$1,0)+1,FALSE)</f>
        <v>エジプト神話シリーズ超級</v>
      </c>
      <c r="E78" s="82">
        <v>3</v>
      </c>
      <c r="F78" s="78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【超級】毒絶神の願い</v>
      </c>
      <c r="G78" s="78" t="str">
        <f ca="1">VLOOKUP($B78&amp;"_"&amp;$E78,OFFSET([2]stages!$A$1,0,0,COUNTA([2]stages!$A:$A),MATCH(G$1,[2]stages!$2:$2,0)-MATCH("temp_stage",[2]stages!$2:$2,0)+1),MATCH(G$1,[2]stages!$2:$2,0)-MATCH("temp_stage",[2]stages!$2:$2,0)+1,FALSE)</f>
        <v>エジプト神話シリーズ超級</v>
      </c>
      <c r="H78" s="80">
        <v>0</v>
      </c>
      <c r="I78">
        <v>34</v>
      </c>
      <c r="J78" s="79" t="s">
        <v>199</v>
      </c>
      <c r="K78" s="88" t="str">
        <f>VLOOKUP(I78,[7]stage_hints!$A:$C,3,FALSE)</f>
        <v>ステータスをスキルで下げられたら</v>
      </c>
      <c r="L78" s="89" t="str">
        <f>VLOOKUP(I78,[7]stage_hints!$A:$D,4,FALSE)</f>
        <v>ステータスダウンのスキルを受けたら_x000D_ステータスアップスキルで上書きしましょう</v>
      </c>
      <c r="M78" s="54" t="s">
        <v>212</v>
      </c>
    </row>
    <row r="79" spans="1:13" x14ac:dyDescent="0.15">
      <c r="A79" s="76" t="s">
        <v>202</v>
      </c>
      <c r="B79" s="77">
        <f>floors!$C$2</f>
        <v>30038</v>
      </c>
      <c r="C79" s="78" t="str">
        <f ca="1">VLOOKUP($B79,OFFSET([2]quests!$A$1,0,0,COUNTA([2]quests!$A:$A),MATCH(C$1,[2]quests!$1:$1,0)-MATCH($B$1,[2]quests!$1:$1,0)+1),MATCH(C$1,[2]quests!$1:$1,0)-MATCH($B$1,[2]quests!$1:$1,0)+1,FALSE)</f>
        <v>毒絶神の願い</v>
      </c>
      <c r="D79" s="78" t="str">
        <f ca="1">VLOOKUP($B79,OFFSET([2]quests!$A$1,0,0,COUNTA([2]quests!$A:$A),MATCH(D$1,[2]quests!$1:$1,0)-MATCH($B$1,[2]quests!$1:$1,0)+1),MATCH(D$1,[2]quests!$1:$1,0)-MATCH($B$1,[2]quests!$1:$1,0)+1,FALSE)</f>
        <v>エジプト神話シリーズ超級</v>
      </c>
      <c r="E79" s="82">
        <v>3</v>
      </c>
      <c r="F79" s="78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【超級】毒絶神の願い</v>
      </c>
      <c r="G79" s="78" t="str">
        <f ca="1">VLOOKUP($B79&amp;"_"&amp;$E79,OFFSET([2]stages!$A$1,0,0,COUNTA([2]stages!$A:$A),MATCH(G$1,[2]stages!$2:$2,0)-MATCH("temp_stage",[2]stages!$2:$2,0)+1),MATCH(G$1,[2]stages!$2:$2,0)-MATCH("temp_stage",[2]stages!$2:$2,0)+1,FALSE)</f>
        <v>エジプト神話シリーズ超級</v>
      </c>
      <c r="H79" s="80">
        <v>0</v>
      </c>
      <c r="I79">
        <v>35</v>
      </c>
      <c r="J79" s="79" t="s">
        <v>199</v>
      </c>
      <c r="K79" s="88" t="str">
        <f>VLOOKUP(I79,[7]stage_hints!$A:$C,3,FALSE)</f>
        <v>敵のステータスがスキルで上がったら</v>
      </c>
      <c r="L79" s="89" t="str">
        <f>VLOOKUP(I79,[7]stage_hints!$A:$D,4,FALSE)</f>
        <v>敵のステータスがスキルでアップしたときは_x000D_ステータスダウンスキルで上書きしましょう</v>
      </c>
      <c r="M79" s="54" t="s">
        <v>212</v>
      </c>
    </row>
    <row r="80" spans="1:13" x14ac:dyDescent="0.15">
      <c r="A80" s="76" t="s">
        <v>202</v>
      </c>
      <c r="B80" s="77">
        <f>floors!$C$2</f>
        <v>30038</v>
      </c>
      <c r="C80" s="78" t="str">
        <f ca="1">VLOOKUP($B80,OFFSET([2]quests!$A$1,0,0,COUNTA([2]quests!$A:$A),MATCH(C$1,[2]quests!$1:$1,0)-MATCH($B$1,[2]quests!$1:$1,0)+1),MATCH(C$1,[2]quests!$1:$1,0)-MATCH($B$1,[2]quests!$1:$1,0)+1,FALSE)</f>
        <v>毒絶神の願い</v>
      </c>
      <c r="D80" s="78" t="str">
        <f ca="1">VLOOKUP($B80,OFFSET([2]quests!$A$1,0,0,COUNTA([2]quests!$A:$A),MATCH(D$1,[2]quests!$1:$1,0)-MATCH($B$1,[2]quests!$1:$1,0)+1),MATCH(D$1,[2]quests!$1:$1,0)-MATCH($B$1,[2]quests!$1:$1,0)+1,FALSE)</f>
        <v>エジプト神話シリーズ超級</v>
      </c>
      <c r="E80" s="82">
        <v>3</v>
      </c>
      <c r="F80" s="78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【超級】毒絶神の願い</v>
      </c>
      <c r="G80" s="78" t="str">
        <f ca="1">VLOOKUP($B80&amp;"_"&amp;$E80,OFFSET([2]stages!$A$1,0,0,COUNTA([2]stages!$A:$A),MATCH(G$1,[2]stages!$2:$2,0)-MATCH("temp_stage",[2]stages!$2:$2,0)+1),MATCH(G$1,[2]stages!$2:$2,0)-MATCH("temp_stage",[2]stages!$2:$2,0)+1,FALSE)</f>
        <v>エジプト神話シリーズ超級</v>
      </c>
      <c r="H80" s="80">
        <v>0</v>
      </c>
      <c r="I80">
        <v>36</v>
      </c>
      <c r="J80" s="79" t="s">
        <v>199</v>
      </c>
      <c r="K80" s="88" t="str">
        <f>VLOOKUP(I80,[7]stage_hints!$A:$C,3,FALSE)</f>
        <v>タワーオブザクイーンのボス</v>
      </c>
      <c r="L80" s="89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4" t="s">
        <v>212</v>
      </c>
    </row>
    <row r="81" spans="1:13" x14ac:dyDescent="0.15">
      <c r="A81" s="76" t="s">
        <v>202</v>
      </c>
      <c r="B81" s="77">
        <f>floors!$C$2</f>
        <v>30038</v>
      </c>
      <c r="C81" s="78" t="str">
        <f ca="1">VLOOKUP($B81,OFFSET([2]quests!$A$1,0,0,COUNTA([2]quests!$A:$A),MATCH(C$1,[2]quests!$1:$1,0)-MATCH($B$1,[2]quests!$1:$1,0)+1),MATCH(C$1,[2]quests!$1:$1,0)-MATCH($B$1,[2]quests!$1:$1,0)+1,FALSE)</f>
        <v>毒絶神の願い</v>
      </c>
      <c r="D81" s="78" t="str">
        <f ca="1">VLOOKUP($B81,OFFSET([2]quests!$A$1,0,0,COUNTA([2]quests!$A:$A),MATCH(D$1,[2]quests!$1:$1,0)-MATCH($B$1,[2]quests!$1:$1,0)+1),MATCH(D$1,[2]quests!$1:$1,0)-MATCH($B$1,[2]quests!$1:$1,0)+1,FALSE)</f>
        <v>エジプト神話シリーズ超級</v>
      </c>
      <c r="E81" s="82">
        <v>3</v>
      </c>
      <c r="F81" s="78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【超級】毒絶神の願い</v>
      </c>
      <c r="G81" s="78" t="str">
        <f ca="1">VLOOKUP($B81&amp;"_"&amp;$E81,OFFSET([2]stages!$A$1,0,0,COUNTA([2]stages!$A:$A),MATCH(G$1,[2]stages!$2:$2,0)-MATCH("temp_stage",[2]stages!$2:$2,0)+1),MATCH(G$1,[2]stages!$2:$2,0)-MATCH("temp_stage",[2]stages!$2:$2,0)+1,FALSE)</f>
        <v>エジプト神話シリーズ超級</v>
      </c>
      <c r="H81" s="80">
        <v>0</v>
      </c>
      <c r="I81">
        <v>37</v>
      </c>
      <c r="J81" s="79" t="s">
        <v>199</v>
      </c>
      <c r="K81" s="88" t="str">
        <f>VLOOKUP(I81,[7]stage_hints!$A:$C,3,FALSE)</f>
        <v>限界突破値の引き継ぎ</v>
      </c>
      <c r="L81" s="89" t="str">
        <f>VLOOKUP(I81,[7]stage_hints!$A:$D,4,FALSE)</f>
        <v>同じユニットを強化で合成すると_x000D_限界突破値を引き継げます（覚醒前後も可）</v>
      </c>
      <c r="M81" s="54" t="s">
        <v>212</v>
      </c>
    </row>
    <row r="82" spans="1:13" x14ac:dyDescent="0.15">
      <c r="A82" s="76" t="s">
        <v>202</v>
      </c>
      <c r="B82" s="77">
        <f>floors!$C$2</f>
        <v>30038</v>
      </c>
      <c r="C82" s="78" t="str">
        <f ca="1">VLOOKUP($B82,OFFSET([2]quests!$A$1,0,0,COUNTA([2]quests!$A:$A),MATCH(C$1,[2]quests!$1:$1,0)-MATCH($B$1,[2]quests!$1:$1,0)+1),MATCH(C$1,[2]quests!$1:$1,0)-MATCH($B$1,[2]quests!$1:$1,0)+1,FALSE)</f>
        <v>毒絶神の願い</v>
      </c>
      <c r="D82" s="78" t="str">
        <f ca="1">VLOOKUP($B82,OFFSET([2]quests!$A$1,0,0,COUNTA([2]quests!$A:$A),MATCH(D$1,[2]quests!$1:$1,0)-MATCH($B$1,[2]quests!$1:$1,0)+1),MATCH(D$1,[2]quests!$1:$1,0)-MATCH($B$1,[2]quests!$1:$1,0)+1,FALSE)</f>
        <v>エジプト神話シリーズ超級</v>
      </c>
      <c r="E82" s="82">
        <v>3</v>
      </c>
      <c r="F82" s="78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【超級】毒絶神の願い</v>
      </c>
      <c r="G82" s="78" t="str">
        <f ca="1">VLOOKUP($B82&amp;"_"&amp;$E82,OFFSET([2]stages!$A$1,0,0,COUNTA([2]stages!$A:$A),MATCH(G$1,[2]stages!$2:$2,0)-MATCH("temp_stage",[2]stages!$2:$2,0)+1),MATCH(G$1,[2]stages!$2:$2,0)-MATCH("temp_stage",[2]stages!$2:$2,0)+1,FALSE)</f>
        <v>エジプト神話シリーズ超級</v>
      </c>
      <c r="H82" s="80">
        <v>0</v>
      </c>
      <c r="I82">
        <v>39</v>
      </c>
      <c r="J82" s="79" t="s">
        <v>199</v>
      </c>
      <c r="K82" s="88" t="str">
        <f>VLOOKUP(I82,[7]stage_hints!$A:$C,3,FALSE)</f>
        <v>システム適合者を確認</v>
      </c>
      <c r="L82" s="89" t="str">
        <f>VLOOKUP(I82,[7]stage_hints!$A:$D,4,FALSE)</f>
        <v>ALICEが 「アナタ」を呼んでいます</v>
      </c>
      <c r="M82" s="54" t="s">
        <v>212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M3" sqref="M3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1" t="s">
        <v>189</v>
      </c>
      <c r="B1" s="68" t="s">
        <v>151</v>
      </c>
      <c r="C1" s="72" t="s">
        <v>191</v>
      </c>
      <c r="D1" s="72" t="s">
        <v>33</v>
      </c>
      <c r="E1" s="68" t="s">
        <v>192</v>
      </c>
      <c r="F1" s="72" t="s">
        <v>18</v>
      </c>
      <c r="G1" s="72" t="s">
        <v>33</v>
      </c>
      <c r="H1" s="68" t="s">
        <v>194</v>
      </c>
      <c r="I1" s="84" t="s">
        <v>195</v>
      </c>
      <c r="J1" s="86" t="s">
        <v>196</v>
      </c>
      <c r="K1" s="74" t="s">
        <v>127</v>
      </c>
      <c r="L1" s="73" t="s">
        <v>188</v>
      </c>
      <c r="M1" s="87" t="s">
        <v>187</v>
      </c>
      <c r="N1" s="75" t="s">
        <v>197</v>
      </c>
    </row>
    <row r="2" spans="1:14" ht="42" x14ac:dyDescent="0.15">
      <c r="A2" s="76" t="s">
        <v>198</v>
      </c>
      <c r="B2" s="77">
        <f>floors!$C$2</f>
        <v>30038</v>
      </c>
      <c r="C2" s="78" t="str">
        <f ca="1">VLOOKUP($B2,OFFSET([2]quests!$A$1,0,0,COUNTA([2]quests!$A:$A),MATCH(C$1,[2]quests!$1:$1,0)-MATCH($B$1,[2]quests!$1:$1,0)+1),MATCH(C$1,[2]quests!$1:$1,0)-MATCH($B$1,[2]quests!$1:$1,0)+1,FALSE)</f>
        <v>毒絶神の願い</v>
      </c>
      <c r="D2" s="78" t="str">
        <f ca="1">VLOOKUP($B2,OFFSET([2]quests!$A$1,0,0,COUNTA([2]quests!$A:$A),MATCH(D$1,[2]quests!$1:$1,0)-MATCH($B$1,[2]quests!$1:$1,0)+1),MATCH(D$1,[2]quests!$1:$1,0)-MATCH($B$1,[2]quests!$1:$1,0)+1,FALSE)</f>
        <v>エジプト神話シリーズ超級</v>
      </c>
      <c r="E2" s="79">
        <v>1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【中級】毒絶神の願い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エジプト神話シリーズ超級</v>
      </c>
      <c r="H2" s="80">
        <v>1</v>
      </c>
      <c r="I2" s="85">
        <f>ROW()-1</f>
        <v>1</v>
      </c>
      <c r="J2" s="81" t="str">
        <f>B2&amp;TEXT(I2,"00")</f>
        <v>3003801</v>
      </c>
      <c r="K2" s="79" t="s">
        <v>199</v>
      </c>
      <c r="L2" s="82" t="s">
        <v>200</v>
      </c>
      <c r="M2" s="135" t="s">
        <v>303</v>
      </c>
      <c r="N2" s="54" t="s">
        <v>201</v>
      </c>
    </row>
    <row r="3" spans="1:14" ht="42" x14ac:dyDescent="0.15">
      <c r="A3" s="76" t="s">
        <v>198</v>
      </c>
      <c r="B3" s="77">
        <f>floors!$C$2</f>
        <v>30038</v>
      </c>
      <c r="C3" s="78" t="str">
        <f ca="1">VLOOKUP($B3,OFFSET([2]quests!$A$1,0,0,COUNTA([2]quests!$A:$A),MATCH(C$1,[2]quests!$1:$1,0)-MATCH($B$1,[2]quests!$1:$1,0)+1),MATCH(C$1,[2]quests!$1:$1,0)-MATCH($B$1,[2]quests!$1:$1,0)+1,FALSE)</f>
        <v>毒絶神の願い</v>
      </c>
      <c r="D3" s="78" t="str">
        <f ca="1">VLOOKUP($B3,OFFSET([2]quests!$A$1,0,0,COUNTA([2]quests!$A:$A),MATCH(D$1,[2]quests!$1:$1,0)-MATCH($B$1,[2]quests!$1:$1,0)+1),MATCH(D$1,[2]quests!$1:$1,0)-MATCH($B$1,[2]quests!$1:$1,0)+1,FALSE)</f>
        <v>エジプト神話シリーズ超級</v>
      </c>
      <c r="E3" s="79">
        <v>1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【中級】毒絶神の願い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エジプト神話シリーズ超級</v>
      </c>
      <c r="H3" s="80">
        <v>2</v>
      </c>
      <c r="I3" s="85">
        <f t="shared" ref="I3:I13" si="0">ROW()-1</f>
        <v>2</v>
      </c>
      <c r="J3" s="81" t="str">
        <f t="shared" ref="J3:J13" si="1">B3&amp;TEXT(I3,"00")</f>
        <v>3003802</v>
      </c>
      <c r="K3" s="79" t="s">
        <v>199</v>
      </c>
      <c r="L3" s="82" t="s">
        <v>200</v>
      </c>
      <c r="M3" s="135" t="s">
        <v>459</v>
      </c>
      <c r="N3" s="54" t="s">
        <v>201</v>
      </c>
    </row>
    <row r="4" spans="1:14" ht="42" x14ac:dyDescent="0.15">
      <c r="A4" s="76" t="s">
        <v>198</v>
      </c>
      <c r="B4" s="77">
        <f>floors!$C$2</f>
        <v>30038</v>
      </c>
      <c r="C4" s="78" t="str">
        <f ca="1">VLOOKUP($B4,OFFSET([2]quests!$A$1,0,0,COUNTA([2]quests!$A:$A),MATCH(C$1,[2]quests!$1:$1,0)-MATCH($B$1,[2]quests!$1:$1,0)+1),MATCH(C$1,[2]quests!$1:$1,0)-MATCH($B$1,[2]quests!$1:$1,0)+1,FALSE)</f>
        <v>毒絶神の願い</v>
      </c>
      <c r="D4" s="78" t="str">
        <f ca="1">VLOOKUP($B4,OFFSET([2]quests!$A$1,0,0,COUNTA([2]quests!$A:$A),MATCH(D$1,[2]quests!$1:$1,0)-MATCH($B$1,[2]quests!$1:$1,0)+1),MATCH(D$1,[2]quests!$1:$1,0)-MATCH($B$1,[2]quests!$1:$1,0)+1,FALSE)</f>
        <v>エジプト神話シリーズ超級</v>
      </c>
      <c r="E4" s="79">
        <v>1</v>
      </c>
      <c r="F4" s="78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【中級】毒絶神の願い</v>
      </c>
      <c r="G4" s="78" t="str">
        <f ca="1">VLOOKUP($B4&amp;"_"&amp;$E4,OFFSET([2]stages!$A$1,0,0,COUNTA([2]stages!$A:$A),MATCH(G$1,[2]stages!$2:$2,0)-MATCH("temp_stage",[2]stages!$2:$2,0)+1),MATCH(G$1,[2]stages!$2:$2,0)-MATCH("temp_stage",[2]stages!$2:$2,0)+1,FALSE)</f>
        <v>エジプト神話シリーズ超級</v>
      </c>
      <c r="H4" s="80">
        <v>3</v>
      </c>
      <c r="I4" s="85">
        <f t="shared" si="0"/>
        <v>3</v>
      </c>
      <c r="J4" s="81" t="str">
        <f t="shared" si="1"/>
        <v>3003803</v>
      </c>
      <c r="K4" s="79" t="s">
        <v>199</v>
      </c>
      <c r="L4" s="82" t="s">
        <v>200</v>
      </c>
      <c r="M4" s="135" t="s">
        <v>418</v>
      </c>
      <c r="N4" s="54" t="s">
        <v>201</v>
      </c>
    </row>
    <row r="5" spans="1:14" ht="42" x14ac:dyDescent="0.15">
      <c r="A5" s="76" t="s">
        <v>198</v>
      </c>
      <c r="B5" s="77">
        <f>floors!$C$2</f>
        <v>30038</v>
      </c>
      <c r="C5" s="78" t="str">
        <f ca="1">VLOOKUP($B5,OFFSET([2]quests!$A$1,0,0,COUNTA([2]quests!$A:$A),MATCH(C$1,[2]quests!$1:$1,0)-MATCH($B$1,[2]quests!$1:$1,0)+1),MATCH(C$1,[2]quests!$1:$1,0)-MATCH($B$1,[2]quests!$1:$1,0)+1,FALSE)</f>
        <v>毒絶神の願い</v>
      </c>
      <c r="D5" s="78" t="str">
        <f ca="1">VLOOKUP($B5,OFFSET([2]quests!$A$1,0,0,COUNTA([2]quests!$A:$A),MATCH(D$1,[2]quests!$1:$1,0)-MATCH($B$1,[2]quests!$1:$1,0)+1),MATCH(D$1,[2]quests!$1:$1,0)-MATCH($B$1,[2]quests!$1:$1,0)+1,FALSE)</f>
        <v>エジプト神話シリーズ超級</v>
      </c>
      <c r="E5" s="79">
        <v>1</v>
      </c>
      <c r="F5" s="78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【中級】毒絶神の願い</v>
      </c>
      <c r="G5" s="78" t="str">
        <f ca="1">VLOOKUP($B5&amp;"_"&amp;$E5,OFFSET([2]stages!$A$1,0,0,COUNTA([2]stages!$A:$A),MATCH(G$1,[2]stages!$2:$2,0)-MATCH("temp_stage",[2]stages!$2:$2,0)+1),MATCH(G$1,[2]stages!$2:$2,0)-MATCH("temp_stage",[2]stages!$2:$2,0)+1,FALSE)</f>
        <v>エジプト神話シリーズ超級</v>
      </c>
      <c r="H5" s="80">
        <v>4</v>
      </c>
      <c r="I5" s="85">
        <f t="shared" si="0"/>
        <v>4</v>
      </c>
      <c r="J5" s="81" t="str">
        <f t="shared" si="1"/>
        <v>3003804</v>
      </c>
      <c r="K5" s="79" t="s">
        <v>199</v>
      </c>
      <c r="L5" s="82" t="s">
        <v>200</v>
      </c>
      <c r="M5" s="135" t="s">
        <v>322</v>
      </c>
      <c r="N5" s="54" t="s">
        <v>201</v>
      </c>
    </row>
    <row r="6" spans="1:14" ht="42" x14ac:dyDescent="0.15">
      <c r="A6" s="76" t="s">
        <v>198</v>
      </c>
      <c r="B6" s="77">
        <f>floors!$C$2</f>
        <v>30038</v>
      </c>
      <c r="C6" s="78" t="str">
        <f ca="1">VLOOKUP($B6,OFFSET([2]quests!$A$1,0,0,COUNTA([2]quests!$A:$A),MATCH(C$1,[2]quests!$1:$1,0)-MATCH($B$1,[2]quests!$1:$1,0)+1),MATCH(C$1,[2]quests!$1:$1,0)-MATCH($B$1,[2]quests!$1:$1,0)+1,FALSE)</f>
        <v>毒絶神の願い</v>
      </c>
      <c r="D6" s="78" t="str">
        <f ca="1">VLOOKUP($B6,OFFSET([2]quests!$A$1,0,0,COUNTA([2]quests!$A:$A),MATCH(D$1,[2]quests!$1:$1,0)-MATCH($B$1,[2]quests!$1:$1,0)+1),MATCH(D$1,[2]quests!$1:$1,0)-MATCH($B$1,[2]quests!$1:$1,0)+1,FALSE)</f>
        <v>エジプト神話シリーズ超級</v>
      </c>
      <c r="E6" s="79">
        <v>2</v>
      </c>
      <c r="F6" s="78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【上級】毒絶神の願い</v>
      </c>
      <c r="G6" s="78" t="str">
        <f ca="1">VLOOKUP($B6&amp;"_"&amp;$E6,OFFSET([2]stages!$A$1,0,0,COUNTA([2]stages!$A:$A),MATCH(G$1,[2]stages!$2:$2,0)-MATCH("temp_stage",[2]stages!$2:$2,0)+1),MATCH(G$1,[2]stages!$2:$2,0)-MATCH("temp_stage",[2]stages!$2:$2,0)+1,FALSE)</f>
        <v>エジプト神話シリーズ超級</v>
      </c>
      <c r="H6" s="80">
        <v>1</v>
      </c>
      <c r="I6" s="85">
        <f t="shared" si="0"/>
        <v>5</v>
      </c>
      <c r="J6" s="81" t="str">
        <f t="shared" si="1"/>
        <v>3003805</v>
      </c>
      <c r="K6" s="79" t="s">
        <v>199</v>
      </c>
      <c r="L6" s="82" t="s">
        <v>200</v>
      </c>
      <c r="M6" s="135" t="s">
        <v>303</v>
      </c>
      <c r="N6" s="54" t="s">
        <v>201</v>
      </c>
    </row>
    <row r="7" spans="1:14" ht="42" x14ac:dyDescent="0.15">
      <c r="A7" s="76" t="s">
        <v>198</v>
      </c>
      <c r="B7" s="77">
        <f>floors!$C$2</f>
        <v>30038</v>
      </c>
      <c r="C7" s="78" t="str">
        <f ca="1">VLOOKUP($B7,OFFSET([2]quests!$A$1,0,0,COUNTA([2]quests!$A:$A),MATCH(C$1,[2]quests!$1:$1,0)-MATCH($B$1,[2]quests!$1:$1,0)+1),MATCH(C$1,[2]quests!$1:$1,0)-MATCH($B$1,[2]quests!$1:$1,0)+1,FALSE)</f>
        <v>毒絶神の願い</v>
      </c>
      <c r="D7" s="78" t="str">
        <f ca="1">VLOOKUP($B7,OFFSET([2]quests!$A$1,0,0,COUNTA([2]quests!$A:$A),MATCH(D$1,[2]quests!$1:$1,0)-MATCH($B$1,[2]quests!$1:$1,0)+1),MATCH(D$1,[2]quests!$1:$1,0)-MATCH($B$1,[2]quests!$1:$1,0)+1,FALSE)</f>
        <v>エジプト神話シリーズ超級</v>
      </c>
      <c r="E7" s="79">
        <v>2</v>
      </c>
      <c r="F7" s="78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【上級】毒絶神の願い</v>
      </c>
      <c r="G7" s="78" t="str">
        <f ca="1">VLOOKUP($B7&amp;"_"&amp;$E7,OFFSET([2]stages!$A$1,0,0,COUNTA([2]stages!$A:$A),MATCH(G$1,[2]stages!$2:$2,0)-MATCH("temp_stage",[2]stages!$2:$2,0)+1),MATCH(G$1,[2]stages!$2:$2,0)-MATCH("temp_stage",[2]stages!$2:$2,0)+1,FALSE)</f>
        <v>エジプト神話シリーズ超級</v>
      </c>
      <c r="H7" s="80">
        <v>2</v>
      </c>
      <c r="I7" s="85">
        <f t="shared" si="0"/>
        <v>6</v>
      </c>
      <c r="J7" s="81" t="str">
        <f t="shared" si="1"/>
        <v>3003806</v>
      </c>
      <c r="K7" s="79" t="s">
        <v>199</v>
      </c>
      <c r="L7" s="82" t="s">
        <v>200</v>
      </c>
      <c r="M7" s="135" t="s">
        <v>459</v>
      </c>
      <c r="N7" s="54" t="s">
        <v>201</v>
      </c>
    </row>
    <row r="8" spans="1:14" ht="42" x14ac:dyDescent="0.15">
      <c r="A8" s="76" t="s">
        <v>198</v>
      </c>
      <c r="B8" s="77">
        <f>floors!$C$2</f>
        <v>30038</v>
      </c>
      <c r="C8" s="78" t="str">
        <f ca="1">VLOOKUP($B8,OFFSET([2]quests!$A$1,0,0,COUNTA([2]quests!$A:$A),MATCH(C$1,[2]quests!$1:$1,0)-MATCH($B$1,[2]quests!$1:$1,0)+1),MATCH(C$1,[2]quests!$1:$1,0)-MATCH($B$1,[2]quests!$1:$1,0)+1,FALSE)</f>
        <v>毒絶神の願い</v>
      </c>
      <c r="D8" s="78" t="str">
        <f ca="1">VLOOKUP($B8,OFFSET([2]quests!$A$1,0,0,COUNTA([2]quests!$A:$A),MATCH(D$1,[2]quests!$1:$1,0)-MATCH($B$1,[2]quests!$1:$1,0)+1),MATCH(D$1,[2]quests!$1:$1,0)-MATCH($B$1,[2]quests!$1:$1,0)+1,FALSE)</f>
        <v>エジプト神話シリーズ超級</v>
      </c>
      <c r="E8" s="79">
        <v>2</v>
      </c>
      <c r="F8" s="78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【上級】毒絶神の願い</v>
      </c>
      <c r="G8" s="78" t="str">
        <f ca="1">VLOOKUP($B8&amp;"_"&amp;$E8,OFFSET([2]stages!$A$1,0,0,COUNTA([2]stages!$A:$A),MATCH(G$1,[2]stages!$2:$2,0)-MATCH("temp_stage",[2]stages!$2:$2,0)+1),MATCH(G$1,[2]stages!$2:$2,0)-MATCH("temp_stage",[2]stages!$2:$2,0)+1,FALSE)</f>
        <v>エジプト神話シリーズ超級</v>
      </c>
      <c r="H8" s="80">
        <v>3</v>
      </c>
      <c r="I8" s="85">
        <f t="shared" si="0"/>
        <v>7</v>
      </c>
      <c r="J8" s="81" t="str">
        <f t="shared" si="1"/>
        <v>3003807</v>
      </c>
      <c r="K8" s="79" t="s">
        <v>199</v>
      </c>
      <c r="L8" s="82" t="s">
        <v>200</v>
      </c>
      <c r="M8" s="135" t="s">
        <v>418</v>
      </c>
      <c r="N8" s="54" t="s">
        <v>201</v>
      </c>
    </row>
    <row r="9" spans="1:14" ht="42" x14ac:dyDescent="0.15">
      <c r="A9" s="76" t="s">
        <v>198</v>
      </c>
      <c r="B9" s="77">
        <f>floors!$C$2</f>
        <v>30038</v>
      </c>
      <c r="C9" s="78" t="str">
        <f ca="1">VLOOKUP($B9,OFFSET([2]quests!$A$1,0,0,COUNTA([2]quests!$A:$A),MATCH(C$1,[2]quests!$1:$1,0)-MATCH($B$1,[2]quests!$1:$1,0)+1),MATCH(C$1,[2]quests!$1:$1,0)-MATCH($B$1,[2]quests!$1:$1,0)+1,FALSE)</f>
        <v>毒絶神の願い</v>
      </c>
      <c r="D9" s="78" t="str">
        <f ca="1">VLOOKUP($B9,OFFSET([2]quests!$A$1,0,0,COUNTA([2]quests!$A:$A),MATCH(D$1,[2]quests!$1:$1,0)-MATCH($B$1,[2]quests!$1:$1,0)+1),MATCH(D$1,[2]quests!$1:$1,0)-MATCH($B$1,[2]quests!$1:$1,0)+1,FALSE)</f>
        <v>エジプト神話シリーズ超級</v>
      </c>
      <c r="E9" s="79">
        <v>2</v>
      </c>
      <c r="F9" s="78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【上級】毒絶神の願い</v>
      </c>
      <c r="G9" s="78" t="str">
        <f ca="1">VLOOKUP($B9&amp;"_"&amp;$E9,OFFSET([2]stages!$A$1,0,0,COUNTA([2]stages!$A:$A),MATCH(G$1,[2]stages!$2:$2,0)-MATCH("temp_stage",[2]stages!$2:$2,0)+1),MATCH(G$1,[2]stages!$2:$2,0)-MATCH("temp_stage",[2]stages!$2:$2,0)+1,FALSE)</f>
        <v>エジプト神話シリーズ超級</v>
      </c>
      <c r="H9" s="80">
        <v>4</v>
      </c>
      <c r="I9" s="85">
        <f t="shared" si="0"/>
        <v>8</v>
      </c>
      <c r="J9" s="81" t="str">
        <f t="shared" si="1"/>
        <v>3003808</v>
      </c>
      <c r="K9" s="79" t="s">
        <v>199</v>
      </c>
      <c r="L9" s="82" t="s">
        <v>200</v>
      </c>
      <c r="M9" s="135" t="s">
        <v>322</v>
      </c>
      <c r="N9" s="54" t="s">
        <v>201</v>
      </c>
    </row>
    <row r="10" spans="1:14" ht="42" x14ac:dyDescent="0.15">
      <c r="A10" s="76" t="s">
        <v>198</v>
      </c>
      <c r="B10" s="77">
        <f>floors!$C$2</f>
        <v>30038</v>
      </c>
      <c r="C10" s="78" t="str">
        <f ca="1">VLOOKUP($B10,OFFSET([2]quests!$A$1,0,0,COUNTA([2]quests!$A:$A),MATCH(C$1,[2]quests!$1:$1,0)-MATCH($B$1,[2]quests!$1:$1,0)+1),MATCH(C$1,[2]quests!$1:$1,0)-MATCH($B$1,[2]quests!$1:$1,0)+1,FALSE)</f>
        <v>毒絶神の願い</v>
      </c>
      <c r="D10" s="78" t="str">
        <f ca="1">VLOOKUP($B10,OFFSET([2]quests!$A$1,0,0,COUNTA([2]quests!$A:$A),MATCH(D$1,[2]quests!$1:$1,0)-MATCH($B$1,[2]quests!$1:$1,0)+1),MATCH(D$1,[2]quests!$1:$1,0)-MATCH($B$1,[2]quests!$1:$1,0)+1,FALSE)</f>
        <v>エジプト神話シリーズ超級</v>
      </c>
      <c r="E10" s="79">
        <v>3</v>
      </c>
      <c r="F10" s="78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【超級】毒絶神の願い</v>
      </c>
      <c r="G10" s="78" t="str">
        <f ca="1">VLOOKUP($B10&amp;"_"&amp;$E10,OFFSET([2]stages!$A$1,0,0,COUNTA([2]stages!$A:$A),MATCH(G$1,[2]stages!$2:$2,0)-MATCH("temp_stage",[2]stages!$2:$2,0)+1),MATCH(G$1,[2]stages!$2:$2,0)-MATCH("temp_stage",[2]stages!$2:$2,0)+1,FALSE)</f>
        <v>エジプト神話シリーズ超級</v>
      </c>
      <c r="H10" s="80">
        <v>1</v>
      </c>
      <c r="I10" s="85">
        <f t="shared" si="0"/>
        <v>9</v>
      </c>
      <c r="J10" s="81" t="str">
        <f t="shared" si="1"/>
        <v>3003809</v>
      </c>
      <c r="K10" s="79" t="s">
        <v>199</v>
      </c>
      <c r="L10" s="82" t="s">
        <v>200</v>
      </c>
      <c r="M10" s="135" t="s">
        <v>303</v>
      </c>
      <c r="N10" s="54" t="s">
        <v>201</v>
      </c>
    </row>
    <row r="11" spans="1:14" ht="42" x14ac:dyDescent="0.15">
      <c r="A11" s="76" t="s">
        <v>198</v>
      </c>
      <c r="B11" s="77">
        <f>floors!$C$2</f>
        <v>30038</v>
      </c>
      <c r="C11" s="78" t="str">
        <f ca="1">VLOOKUP($B11,OFFSET([2]quests!$A$1,0,0,COUNTA([2]quests!$A:$A),MATCH(C$1,[2]quests!$1:$1,0)-MATCH($B$1,[2]quests!$1:$1,0)+1),MATCH(C$1,[2]quests!$1:$1,0)-MATCH($B$1,[2]quests!$1:$1,0)+1,FALSE)</f>
        <v>毒絶神の願い</v>
      </c>
      <c r="D11" s="78" t="str">
        <f ca="1">VLOOKUP($B11,OFFSET([2]quests!$A$1,0,0,COUNTA([2]quests!$A:$A),MATCH(D$1,[2]quests!$1:$1,0)-MATCH($B$1,[2]quests!$1:$1,0)+1),MATCH(D$1,[2]quests!$1:$1,0)-MATCH($B$1,[2]quests!$1:$1,0)+1,FALSE)</f>
        <v>エジプト神話シリーズ超級</v>
      </c>
      <c r="E11" s="79">
        <v>3</v>
      </c>
      <c r="F11" s="78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【超級】毒絶神の願い</v>
      </c>
      <c r="G11" s="78" t="str">
        <f ca="1">VLOOKUP($B11&amp;"_"&amp;$E11,OFFSET([2]stages!$A$1,0,0,COUNTA([2]stages!$A:$A),MATCH(G$1,[2]stages!$2:$2,0)-MATCH("temp_stage",[2]stages!$2:$2,0)+1),MATCH(G$1,[2]stages!$2:$2,0)-MATCH("temp_stage",[2]stages!$2:$2,0)+1,FALSE)</f>
        <v>エジプト神話シリーズ超級</v>
      </c>
      <c r="H11" s="80">
        <v>2</v>
      </c>
      <c r="I11" s="85">
        <f t="shared" si="0"/>
        <v>10</v>
      </c>
      <c r="J11" s="81" t="str">
        <f t="shared" si="1"/>
        <v>3003810</v>
      </c>
      <c r="K11" s="79" t="s">
        <v>199</v>
      </c>
      <c r="L11" s="82" t="s">
        <v>200</v>
      </c>
      <c r="M11" s="135" t="s">
        <v>459</v>
      </c>
      <c r="N11" s="54" t="s">
        <v>201</v>
      </c>
    </row>
    <row r="12" spans="1:14" ht="42" x14ac:dyDescent="0.15">
      <c r="A12" s="76" t="s">
        <v>198</v>
      </c>
      <c r="B12" s="77">
        <f>floors!$C$2</f>
        <v>30038</v>
      </c>
      <c r="C12" s="78" t="str">
        <f ca="1">VLOOKUP($B12,OFFSET([2]quests!$A$1,0,0,COUNTA([2]quests!$A:$A),MATCH(C$1,[2]quests!$1:$1,0)-MATCH($B$1,[2]quests!$1:$1,0)+1),MATCH(C$1,[2]quests!$1:$1,0)-MATCH($B$1,[2]quests!$1:$1,0)+1,FALSE)</f>
        <v>毒絶神の願い</v>
      </c>
      <c r="D12" s="78" t="str">
        <f ca="1">VLOOKUP($B12,OFFSET([2]quests!$A$1,0,0,COUNTA([2]quests!$A:$A),MATCH(D$1,[2]quests!$1:$1,0)-MATCH($B$1,[2]quests!$1:$1,0)+1),MATCH(D$1,[2]quests!$1:$1,0)-MATCH($B$1,[2]quests!$1:$1,0)+1,FALSE)</f>
        <v>エジプト神話シリーズ超級</v>
      </c>
      <c r="E12" s="79">
        <v>3</v>
      </c>
      <c r="F12" s="78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【超級】毒絶神の願い</v>
      </c>
      <c r="G12" s="78" t="str">
        <f ca="1">VLOOKUP($B12&amp;"_"&amp;$E12,OFFSET([2]stages!$A$1,0,0,COUNTA([2]stages!$A:$A),MATCH(G$1,[2]stages!$2:$2,0)-MATCH("temp_stage",[2]stages!$2:$2,0)+1),MATCH(G$1,[2]stages!$2:$2,0)-MATCH("temp_stage",[2]stages!$2:$2,0)+1,FALSE)</f>
        <v>エジプト神話シリーズ超級</v>
      </c>
      <c r="H12" s="80">
        <v>3</v>
      </c>
      <c r="I12" s="85">
        <f t="shared" si="0"/>
        <v>11</v>
      </c>
      <c r="J12" s="81" t="str">
        <f t="shared" si="1"/>
        <v>3003811</v>
      </c>
      <c r="K12" s="79" t="s">
        <v>199</v>
      </c>
      <c r="L12" s="82" t="s">
        <v>200</v>
      </c>
      <c r="M12" s="135" t="s">
        <v>418</v>
      </c>
      <c r="N12" s="54" t="s">
        <v>201</v>
      </c>
    </row>
    <row r="13" spans="1:14" ht="42" x14ac:dyDescent="0.15">
      <c r="A13" s="76" t="s">
        <v>198</v>
      </c>
      <c r="B13" s="77">
        <f>floors!$C$2</f>
        <v>30038</v>
      </c>
      <c r="C13" s="78" t="str">
        <f ca="1">VLOOKUP($B13,OFFSET([2]quests!$A$1,0,0,COUNTA([2]quests!$A:$A),MATCH(C$1,[2]quests!$1:$1,0)-MATCH($B$1,[2]quests!$1:$1,0)+1),MATCH(C$1,[2]quests!$1:$1,0)-MATCH($B$1,[2]quests!$1:$1,0)+1,FALSE)</f>
        <v>毒絶神の願い</v>
      </c>
      <c r="D13" s="78" t="str">
        <f ca="1">VLOOKUP($B13,OFFSET([2]quests!$A$1,0,0,COUNTA([2]quests!$A:$A),MATCH(D$1,[2]quests!$1:$1,0)-MATCH($B$1,[2]quests!$1:$1,0)+1),MATCH(D$1,[2]quests!$1:$1,0)-MATCH($B$1,[2]quests!$1:$1,0)+1,FALSE)</f>
        <v>エジプト神話シリーズ超級</v>
      </c>
      <c r="E13" s="79">
        <v>3</v>
      </c>
      <c r="F13" s="78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【超級】毒絶神の願い</v>
      </c>
      <c r="G13" s="78" t="str">
        <f ca="1">VLOOKUP($B13&amp;"_"&amp;$E13,OFFSET([2]stages!$A$1,0,0,COUNTA([2]stages!$A:$A),MATCH(G$1,[2]stages!$2:$2,0)-MATCH("temp_stage",[2]stages!$2:$2,0)+1),MATCH(G$1,[2]stages!$2:$2,0)-MATCH("temp_stage",[2]stages!$2:$2,0)+1,FALSE)</f>
        <v>エジプト神話シリーズ超級</v>
      </c>
      <c r="H13" s="80">
        <v>4</v>
      </c>
      <c r="I13" s="85">
        <f t="shared" si="0"/>
        <v>12</v>
      </c>
      <c r="J13" s="81" t="str">
        <f t="shared" si="1"/>
        <v>3003812</v>
      </c>
      <c r="K13" s="79" t="s">
        <v>199</v>
      </c>
      <c r="L13" s="82" t="s">
        <v>200</v>
      </c>
      <c r="M13" s="135" t="s">
        <v>322</v>
      </c>
      <c r="N13" s="54" t="s">
        <v>201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C12" sqref="C1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215</v>
      </c>
      <c r="B1" s="93" t="s">
        <v>216</v>
      </c>
      <c r="C1" s="72" t="s">
        <v>217</v>
      </c>
      <c r="D1" s="72" t="s">
        <v>33</v>
      </c>
      <c r="E1" s="93" t="s">
        <v>218</v>
      </c>
      <c r="F1" s="72" t="s">
        <v>219</v>
      </c>
      <c r="G1" s="72" t="s">
        <v>33</v>
      </c>
      <c r="H1" s="93" t="s">
        <v>220</v>
      </c>
      <c r="I1" s="93" t="s">
        <v>221</v>
      </c>
      <c r="J1" s="93" t="s">
        <v>222</v>
      </c>
      <c r="K1" s="68" t="s">
        <v>223</v>
      </c>
      <c r="L1" s="68" t="s">
        <v>224</v>
      </c>
      <c r="M1" s="68" t="s">
        <v>157</v>
      </c>
      <c r="N1" s="72" t="s">
        <v>16</v>
      </c>
      <c r="O1" s="68" t="s">
        <v>225</v>
      </c>
      <c r="P1" s="68" t="s">
        <v>57</v>
      </c>
      <c r="Q1" s="68" t="s">
        <v>226</v>
      </c>
      <c r="R1" s="68" t="s">
        <v>38</v>
      </c>
      <c r="S1" s="68" t="s">
        <v>40</v>
      </c>
      <c r="T1" s="68" t="s">
        <v>42</v>
      </c>
      <c r="U1" s="68" t="s">
        <v>44</v>
      </c>
      <c r="V1" s="68" t="s">
        <v>46</v>
      </c>
      <c r="W1" s="68" t="s">
        <v>227</v>
      </c>
      <c r="X1" s="68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2017-03-08T06:40:02Z</dcterms:modified>
</cp:coreProperties>
</file>