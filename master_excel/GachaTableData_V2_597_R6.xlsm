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597100" sheetId="157" r:id="rId4"/>
    <sheet name="tables_597100" sheetId="158" r:id="rId5"/>
    <sheet name="tables_settle_597101" sheetId="162" r:id="rId6"/>
    <sheet name="tables_settle_597103" sheetId="164" r:id="rId7"/>
    <sheet name="gacha_bonus_tables" sheetId="163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tables_597100!$A$1:$V$355</definedName>
    <definedName name="_xlnm._FilterDatabase" localSheetId="5" hidden="1">tables_settle_597101!$A$1:$V$66</definedName>
    <definedName name="_xlnm._FilterDatabase" localSheetId="6" hidden="1">tables_settle_597103!$A$1:$V$11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1" i="164" l="1"/>
  <c r="N11" i="164"/>
  <c r="M11" i="164"/>
  <c r="L11" i="164"/>
  <c r="K11" i="164"/>
  <c r="J11" i="164"/>
  <c r="I11" i="164"/>
  <c r="H11" i="164"/>
  <c r="F11" i="164"/>
  <c r="E11" i="164"/>
  <c r="D11" i="164"/>
  <c r="C11" i="164"/>
  <c r="P10" i="164"/>
  <c r="N10" i="164"/>
  <c r="M10" i="164"/>
  <c r="L10" i="164"/>
  <c r="K10" i="164"/>
  <c r="J10" i="164"/>
  <c r="I10" i="164"/>
  <c r="H10" i="164"/>
  <c r="F10" i="164"/>
  <c r="E10" i="164"/>
  <c r="D10" i="164"/>
  <c r="C10" i="164"/>
  <c r="P9" i="164"/>
  <c r="N9" i="164"/>
  <c r="M9" i="164"/>
  <c r="L9" i="164"/>
  <c r="K9" i="164"/>
  <c r="J9" i="164"/>
  <c r="I9" i="164"/>
  <c r="H9" i="164"/>
  <c r="F9" i="164"/>
  <c r="E9" i="164"/>
  <c r="D9" i="164"/>
  <c r="C9" i="164"/>
  <c r="P8" i="164"/>
  <c r="N8" i="164"/>
  <c r="M8" i="164"/>
  <c r="L8" i="164"/>
  <c r="K8" i="164"/>
  <c r="J8" i="164"/>
  <c r="I8" i="164"/>
  <c r="H8" i="164"/>
  <c r="F8" i="164"/>
  <c r="E8" i="164"/>
  <c r="D8" i="164"/>
  <c r="C8" i="164"/>
  <c r="P7" i="164"/>
  <c r="N7" i="164"/>
  <c r="M7" i="164"/>
  <c r="L7" i="164"/>
  <c r="K7" i="164"/>
  <c r="J7" i="164"/>
  <c r="I7" i="164"/>
  <c r="H7" i="164"/>
  <c r="F7" i="164"/>
  <c r="E7" i="164"/>
  <c r="D7" i="164"/>
  <c r="C7" i="164"/>
  <c r="P6" i="164"/>
  <c r="N6" i="164"/>
  <c r="M6" i="164"/>
  <c r="L6" i="164"/>
  <c r="K6" i="164"/>
  <c r="J6" i="164"/>
  <c r="I6" i="164"/>
  <c r="H6" i="164"/>
  <c r="F6" i="164"/>
  <c r="E6" i="164"/>
  <c r="D6" i="164"/>
  <c r="C6" i="164"/>
  <c r="P5" i="164"/>
  <c r="N5" i="164"/>
  <c r="M5" i="164"/>
  <c r="L5" i="164"/>
  <c r="K5" i="164"/>
  <c r="J5" i="164"/>
  <c r="I5" i="164"/>
  <c r="H5" i="164"/>
  <c r="F5" i="164"/>
  <c r="E5" i="164"/>
  <c r="D5" i="164"/>
  <c r="C5" i="164"/>
  <c r="P4" i="164"/>
  <c r="N4" i="164"/>
  <c r="M4" i="164"/>
  <c r="L4" i="164"/>
  <c r="K4" i="164"/>
  <c r="J4" i="164"/>
  <c r="I4" i="164"/>
  <c r="H4" i="164"/>
  <c r="F4" i="164"/>
  <c r="E4" i="164"/>
  <c r="D4" i="164"/>
  <c r="C4" i="164"/>
  <c r="P3" i="164"/>
  <c r="N3" i="164"/>
  <c r="M3" i="164"/>
  <c r="L3" i="164"/>
  <c r="K3" i="164"/>
  <c r="J3" i="164"/>
  <c r="I3" i="164"/>
  <c r="H3" i="164"/>
  <c r="F3" i="164"/>
  <c r="E3" i="164"/>
  <c r="D3" i="164"/>
  <c r="C3" i="164"/>
  <c r="P2" i="164"/>
  <c r="N2" i="164"/>
  <c r="M2" i="164"/>
  <c r="L2" i="164"/>
  <c r="K2" i="164"/>
  <c r="J2" i="164"/>
  <c r="I2" i="164"/>
  <c r="H2" i="164"/>
  <c r="F2" i="164"/>
  <c r="E2" i="164"/>
  <c r="D2" i="164"/>
  <c r="C2" i="164"/>
  <c r="I15" i="162"/>
  <c r="D15" i="162"/>
  <c r="J15" i="162"/>
  <c r="E15" i="162"/>
  <c r="F15" i="162"/>
  <c r="C15" i="162"/>
  <c r="H15" i="162"/>
  <c r="K15" i="162"/>
  <c r="L15" i="162"/>
  <c r="M15" i="162"/>
  <c r="N15" i="162"/>
  <c r="P15" i="162"/>
  <c r="I16" i="162"/>
  <c r="D16" i="162"/>
  <c r="J16" i="162"/>
  <c r="E16" i="162"/>
  <c r="F16" i="162"/>
  <c r="C16" i="162"/>
  <c r="H16" i="162"/>
  <c r="K16" i="162"/>
  <c r="L16" i="162"/>
  <c r="M16" i="162"/>
  <c r="N16" i="162"/>
  <c r="P16" i="162"/>
  <c r="I17" i="162"/>
  <c r="D17" i="162"/>
  <c r="J17" i="162"/>
  <c r="E17" i="162"/>
  <c r="F17" i="162"/>
  <c r="C17" i="162"/>
  <c r="H17" i="162"/>
  <c r="K17" i="162"/>
  <c r="L17" i="162"/>
  <c r="M17" i="162"/>
  <c r="N17" i="162"/>
  <c r="P17" i="162"/>
  <c r="I18" i="162"/>
  <c r="D18" i="162"/>
  <c r="J18" i="162"/>
  <c r="E18" i="162"/>
  <c r="F18" i="162"/>
  <c r="C18" i="162"/>
  <c r="H18" i="162"/>
  <c r="K18" i="162"/>
  <c r="L18" i="162"/>
  <c r="M18" i="162"/>
  <c r="N18" i="162"/>
  <c r="P18" i="162"/>
  <c r="I19" i="162"/>
  <c r="D19" i="162"/>
  <c r="J19" i="162"/>
  <c r="E19" i="162"/>
  <c r="F19" i="162"/>
  <c r="C19" i="162"/>
  <c r="H19" i="162"/>
  <c r="K19" i="162"/>
  <c r="L19" i="162"/>
  <c r="M19" i="162"/>
  <c r="N19" i="162"/>
  <c r="P19" i="162"/>
  <c r="I20" i="162"/>
  <c r="D20" i="162"/>
  <c r="J20" i="162"/>
  <c r="E20" i="162"/>
  <c r="F20" i="162"/>
  <c r="C20" i="162"/>
  <c r="H20" i="162"/>
  <c r="K20" i="162"/>
  <c r="L20" i="162"/>
  <c r="M20" i="162"/>
  <c r="N20" i="162"/>
  <c r="P20" i="162"/>
  <c r="I21" i="162"/>
  <c r="D21" i="162"/>
  <c r="J21" i="162"/>
  <c r="E21" i="162"/>
  <c r="F21" i="162"/>
  <c r="C21" i="162"/>
  <c r="H21" i="162"/>
  <c r="K21" i="162"/>
  <c r="L21" i="162"/>
  <c r="M21" i="162"/>
  <c r="N21" i="162"/>
  <c r="P21" i="162"/>
  <c r="I22" i="162"/>
  <c r="D22" i="162"/>
  <c r="J22" i="162"/>
  <c r="E22" i="162"/>
  <c r="F22" i="162"/>
  <c r="C22" i="162"/>
  <c r="H22" i="162"/>
  <c r="K22" i="162"/>
  <c r="L22" i="162"/>
  <c r="M22" i="162"/>
  <c r="N22" i="162"/>
  <c r="P22" i="162"/>
  <c r="I23" i="162"/>
  <c r="D23" i="162"/>
  <c r="J23" i="162"/>
  <c r="E23" i="162"/>
  <c r="F23" i="162"/>
  <c r="C23" i="162"/>
  <c r="H23" i="162"/>
  <c r="K23" i="162"/>
  <c r="L23" i="162"/>
  <c r="M23" i="162"/>
  <c r="N23" i="162"/>
  <c r="P23" i="162"/>
  <c r="I24" i="162"/>
  <c r="D24" i="162"/>
  <c r="J24" i="162"/>
  <c r="E24" i="162"/>
  <c r="F24" i="162"/>
  <c r="C24" i="162"/>
  <c r="H24" i="162"/>
  <c r="K24" i="162"/>
  <c r="L24" i="162"/>
  <c r="M24" i="162"/>
  <c r="N24" i="162"/>
  <c r="P24" i="162"/>
  <c r="I25" i="162"/>
  <c r="D25" i="162"/>
  <c r="J25" i="162"/>
  <c r="E25" i="162"/>
  <c r="F25" i="162"/>
  <c r="C25" i="162"/>
  <c r="H25" i="162"/>
  <c r="K25" i="162"/>
  <c r="L25" i="162"/>
  <c r="M25" i="162"/>
  <c r="N25" i="162"/>
  <c r="P25" i="162"/>
  <c r="I26" i="162"/>
  <c r="D26" i="162"/>
  <c r="J26" i="162"/>
  <c r="E26" i="162"/>
  <c r="F26" i="162"/>
  <c r="C26" i="162"/>
  <c r="H26" i="162"/>
  <c r="K26" i="162"/>
  <c r="L26" i="162"/>
  <c r="M26" i="162"/>
  <c r="N26" i="162"/>
  <c r="P26" i="162"/>
  <c r="I27" i="162"/>
  <c r="D27" i="162"/>
  <c r="J27" i="162"/>
  <c r="E27" i="162"/>
  <c r="F27" i="162"/>
  <c r="C27" i="162"/>
  <c r="H27" i="162"/>
  <c r="K27" i="162"/>
  <c r="L27" i="162"/>
  <c r="M27" i="162"/>
  <c r="N27" i="162"/>
  <c r="P27" i="162"/>
  <c r="I28" i="162"/>
  <c r="D28" i="162"/>
  <c r="J28" i="162"/>
  <c r="E28" i="162"/>
  <c r="F28" i="162"/>
  <c r="C28" i="162"/>
  <c r="H28" i="162"/>
  <c r="K28" i="162"/>
  <c r="L28" i="162"/>
  <c r="M28" i="162"/>
  <c r="N28" i="162"/>
  <c r="P28" i="162"/>
  <c r="I29" i="162"/>
  <c r="D29" i="162"/>
  <c r="J29" i="162"/>
  <c r="E29" i="162"/>
  <c r="F29" i="162"/>
  <c r="C29" i="162"/>
  <c r="H29" i="162"/>
  <c r="K29" i="162"/>
  <c r="L29" i="162"/>
  <c r="M29" i="162"/>
  <c r="N29" i="162"/>
  <c r="P29" i="162"/>
  <c r="I30" i="162"/>
  <c r="D30" i="162"/>
  <c r="J30" i="162"/>
  <c r="E30" i="162"/>
  <c r="F30" i="162"/>
  <c r="C30" i="162"/>
  <c r="H30" i="162"/>
  <c r="K30" i="162"/>
  <c r="L30" i="162"/>
  <c r="M30" i="162"/>
  <c r="N30" i="162"/>
  <c r="P30" i="162"/>
  <c r="I31" i="162"/>
  <c r="D31" i="162"/>
  <c r="J31" i="162"/>
  <c r="E31" i="162"/>
  <c r="F31" i="162"/>
  <c r="C31" i="162"/>
  <c r="H31" i="162"/>
  <c r="K31" i="162"/>
  <c r="L31" i="162"/>
  <c r="M31" i="162"/>
  <c r="N31" i="162"/>
  <c r="P31" i="162"/>
  <c r="I32" i="162"/>
  <c r="D32" i="162"/>
  <c r="J32" i="162"/>
  <c r="E32" i="162"/>
  <c r="F32" i="162"/>
  <c r="C32" i="162"/>
  <c r="H32" i="162"/>
  <c r="K32" i="162"/>
  <c r="L32" i="162"/>
  <c r="M32" i="162"/>
  <c r="N32" i="162"/>
  <c r="P32" i="162"/>
  <c r="I33" i="162"/>
  <c r="D33" i="162"/>
  <c r="J33" i="162"/>
  <c r="E33" i="162"/>
  <c r="F33" i="162"/>
  <c r="C33" i="162"/>
  <c r="H33" i="162"/>
  <c r="K33" i="162"/>
  <c r="L33" i="162"/>
  <c r="M33" i="162"/>
  <c r="N33" i="162"/>
  <c r="P33" i="162"/>
  <c r="I34" i="162"/>
  <c r="D34" i="162"/>
  <c r="J34" i="162"/>
  <c r="E34" i="162"/>
  <c r="F34" i="162"/>
  <c r="C34" i="162"/>
  <c r="H34" i="162"/>
  <c r="K34" i="162"/>
  <c r="L34" i="162"/>
  <c r="M34" i="162"/>
  <c r="N34" i="162"/>
  <c r="P34" i="162"/>
  <c r="I35" i="162"/>
  <c r="D35" i="162"/>
  <c r="J35" i="162"/>
  <c r="E35" i="162"/>
  <c r="F35" i="162"/>
  <c r="C35" i="162"/>
  <c r="H35" i="162"/>
  <c r="K35" i="162"/>
  <c r="L35" i="162"/>
  <c r="M35" i="162"/>
  <c r="N35" i="162"/>
  <c r="P35" i="162"/>
  <c r="I36" i="162"/>
  <c r="D36" i="162"/>
  <c r="J36" i="162"/>
  <c r="E36" i="162"/>
  <c r="F36" i="162"/>
  <c r="C36" i="162"/>
  <c r="H36" i="162"/>
  <c r="K36" i="162"/>
  <c r="L36" i="162"/>
  <c r="M36" i="162"/>
  <c r="N36" i="162"/>
  <c r="P36" i="162"/>
  <c r="I37" i="162"/>
  <c r="D37" i="162"/>
  <c r="J37" i="162"/>
  <c r="E37" i="162"/>
  <c r="F37" i="162"/>
  <c r="C37" i="162"/>
  <c r="H37" i="162"/>
  <c r="K37" i="162"/>
  <c r="L37" i="162"/>
  <c r="M37" i="162"/>
  <c r="N37" i="162"/>
  <c r="P37" i="162"/>
  <c r="I38" i="162"/>
  <c r="D38" i="162"/>
  <c r="J38" i="162"/>
  <c r="E38" i="162"/>
  <c r="F38" i="162"/>
  <c r="C38" i="162"/>
  <c r="H38" i="162"/>
  <c r="K38" i="162"/>
  <c r="L38" i="162"/>
  <c r="M38" i="162"/>
  <c r="N38" i="162"/>
  <c r="P38" i="162"/>
  <c r="I39" i="162"/>
  <c r="D39" i="162"/>
  <c r="J39" i="162"/>
  <c r="E39" i="162"/>
  <c r="F39" i="162"/>
  <c r="C39" i="162"/>
  <c r="H39" i="162"/>
  <c r="K39" i="162"/>
  <c r="L39" i="162"/>
  <c r="M39" i="162"/>
  <c r="N39" i="162"/>
  <c r="P39" i="162"/>
  <c r="I40" i="162"/>
  <c r="D40" i="162"/>
  <c r="J40" i="162"/>
  <c r="E40" i="162"/>
  <c r="F40" i="162"/>
  <c r="C40" i="162"/>
  <c r="H40" i="162"/>
  <c r="K40" i="162"/>
  <c r="L40" i="162"/>
  <c r="M40" i="162"/>
  <c r="N40" i="162"/>
  <c r="P40" i="162"/>
  <c r="I41" i="162"/>
  <c r="D41" i="162"/>
  <c r="J41" i="162"/>
  <c r="E41" i="162"/>
  <c r="F41" i="162"/>
  <c r="C41" i="162"/>
  <c r="H41" i="162"/>
  <c r="K41" i="162"/>
  <c r="L41" i="162"/>
  <c r="M41" i="162"/>
  <c r="N41" i="162"/>
  <c r="P41" i="162"/>
  <c r="I42" i="162"/>
  <c r="D42" i="162"/>
  <c r="J42" i="162"/>
  <c r="E42" i="162"/>
  <c r="F42" i="162"/>
  <c r="C42" i="162"/>
  <c r="H42" i="162"/>
  <c r="K42" i="162"/>
  <c r="L42" i="162"/>
  <c r="M42" i="162"/>
  <c r="N42" i="162"/>
  <c r="P42" i="162"/>
  <c r="I43" i="162"/>
  <c r="D43" i="162"/>
  <c r="J43" i="162"/>
  <c r="E43" i="162"/>
  <c r="F43" i="162"/>
  <c r="C43" i="162"/>
  <c r="H43" i="162"/>
  <c r="K43" i="162"/>
  <c r="L43" i="162"/>
  <c r="M43" i="162"/>
  <c r="N43" i="162"/>
  <c r="P43" i="162"/>
  <c r="I44" i="162"/>
  <c r="D44" i="162"/>
  <c r="J44" i="162"/>
  <c r="E44" i="162"/>
  <c r="F44" i="162"/>
  <c r="C44" i="162"/>
  <c r="H44" i="162"/>
  <c r="K44" i="162"/>
  <c r="L44" i="162"/>
  <c r="M44" i="162"/>
  <c r="N44" i="162"/>
  <c r="P44" i="162"/>
  <c r="I45" i="162"/>
  <c r="D45" i="162"/>
  <c r="J45" i="162"/>
  <c r="E45" i="162"/>
  <c r="F45" i="162"/>
  <c r="C45" i="162"/>
  <c r="H45" i="162"/>
  <c r="K45" i="162"/>
  <c r="L45" i="162"/>
  <c r="M45" i="162"/>
  <c r="N45" i="162"/>
  <c r="P45" i="162"/>
  <c r="I46" i="162"/>
  <c r="D46" i="162"/>
  <c r="J46" i="162"/>
  <c r="E46" i="162"/>
  <c r="F46" i="162"/>
  <c r="C46" i="162"/>
  <c r="H46" i="162"/>
  <c r="K46" i="162"/>
  <c r="L46" i="162"/>
  <c r="M46" i="162"/>
  <c r="N46" i="162"/>
  <c r="P46" i="162"/>
  <c r="I47" i="162"/>
  <c r="D47" i="162"/>
  <c r="J47" i="162"/>
  <c r="E47" i="162"/>
  <c r="F47" i="162"/>
  <c r="C47" i="162"/>
  <c r="H47" i="162"/>
  <c r="K47" i="162"/>
  <c r="L47" i="162"/>
  <c r="M47" i="162"/>
  <c r="N47" i="162"/>
  <c r="P47" i="162"/>
  <c r="I48" i="162"/>
  <c r="D48" i="162"/>
  <c r="J48" i="162"/>
  <c r="E48" i="162"/>
  <c r="F48" i="162"/>
  <c r="C48" i="162"/>
  <c r="H48" i="162"/>
  <c r="K48" i="162"/>
  <c r="L48" i="162"/>
  <c r="M48" i="162"/>
  <c r="N48" i="162"/>
  <c r="P48" i="162"/>
  <c r="I49" i="162"/>
  <c r="D49" i="162"/>
  <c r="J49" i="162"/>
  <c r="E49" i="162"/>
  <c r="F49" i="162"/>
  <c r="C49" i="162"/>
  <c r="H49" i="162"/>
  <c r="K49" i="162"/>
  <c r="L49" i="162"/>
  <c r="M49" i="162"/>
  <c r="N49" i="162"/>
  <c r="P49" i="162"/>
  <c r="I50" i="162"/>
  <c r="D50" i="162"/>
  <c r="J50" i="162"/>
  <c r="E50" i="162"/>
  <c r="F50" i="162"/>
  <c r="C50" i="162"/>
  <c r="H50" i="162"/>
  <c r="K50" i="162"/>
  <c r="L50" i="162"/>
  <c r="M50" i="162"/>
  <c r="N50" i="162"/>
  <c r="P50" i="162"/>
  <c r="I51" i="162"/>
  <c r="D51" i="162"/>
  <c r="J51" i="162"/>
  <c r="E51" i="162"/>
  <c r="F51" i="162"/>
  <c r="C51" i="162"/>
  <c r="H51" i="162"/>
  <c r="K51" i="162"/>
  <c r="L51" i="162"/>
  <c r="M51" i="162"/>
  <c r="N51" i="162"/>
  <c r="P51" i="162"/>
  <c r="I52" i="162"/>
  <c r="D52" i="162"/>
  <c r="J52" i="162"/>
  <c r="E52" i="162"/>
  <c r="F52" i="162"/>
  <c r="C52" i="162"/>
  <c r="H52" i="162"/>
  <c r="K52" i="162"/>
  <c r="L52" i="162"/>
  <c r="M52" i="162"/>
  <c r="N52" i="162"/>
  <c r="P52" i="162"/>
  <c r="I53" i="162"/>
  <c r="D53" i="162"/>
  <c r="J53" i="162"/>
  <c r="E53" i="162"/>
  <c r="F53" i="162"/>
  <c r="C53" i="162"/>
  <c r="H53" i="162"/>
  <c r="K53" i="162"/>
  <c r="L53" i="162"/>
  <c r="M53" i="162"/>
  <c r="N53" i="162"/>
  <c r="P53" i="162"/>
  <c r="I54" i="162"/>
  <c r="D54" i="162"/>
  <c r="J54" i="162"/>
  <c r="E54" i="162"/>
  <c r="F54" i="162"/>
  <c r="C54" i="162"/>
  <c r="H54" i="162"/>
  <c r="K54" i="162"/>
  <c r="L54" i="162"/>
  <c r="M54" i="162"/>
  <c r="N54" i="162"/>
  <c r="P54" i="162"/>
  <c r="I55" i="162"/>
  <c r="D55" i="162"/>
  <c r="J55" i="162"/>
  <c r="E55" i="162"/>
  <c r="F55" i="162"/>
  <c r="C55" i="162"/>
  <c r="H55" i="162"/>
  <c r="K55" i="162"/>
  <c r="L55" i="162"/>
  <c r="M55" i="162"/>
  <c r="N55" i="162"/>
  <c r="P55" i="162"/>
  <c r="I56" i="162"/>
  <c r="D56" i="162"/>
  <c r="J56" i="162"/>
  <c r="E56" i="162"/>
  <c r="F56" i="162"/>
  <c r="C56" i="162"/>
  <c r="H56" i="162"/>
  <c r="K56" i="162"/>
  <c r="L56" i="162"/>
  <c r="M56" i="162"/>
  <c r="N56" i="162"/>
  <c r="P56" i="162"/>
  <c r="I57" i="162"/>
  <c r="D57" i="162"/>
  <c r="J57" i="162"/>
  <c r="E57" i="162"/>
  <c r="F57" i="162"/>
  <c r="C57" i="162"/>
  <c r="H57" i="162"/>
  <c r="K57" i="162"/>
  <c r="L57" i="162"/>
  <c r="M57" i="162"/>
  <c r="N57" i="162"/>
  <c r="P57" i="162"/>
  <c r="I58" i="162"/>
  <c r="D58" i="162"/>
  <c r="J58" i="162"/>
  <c r="E58" i="162"/>
  <c r="F58" i="162"/>
  <c r="C58" i="162"/>
  <c r="H58" i="162"/>
  <c r="K58" i="162"/>
  <c r="L58" i="162"/>
  <c r="M58" i="162"/>
  <c r="N58" i="162"/>
  <c r="P58" i="162"/>
  <c r="I59" i="162"/>
  <c r="D59" i="162"/>
  <c r="J59" i="162"/>
  <c r="E59" i="162"/>
  <c r="F59" i="162"/>
  <c r="C59" i="162"/>
  <c r="H59" i="162"/>
  <c r="K59" i="162"/>
  <c r="L59" i="162"/>
  <c r="M59" i="162"/>
  <c r="N59" i="162"/>
  <c r="P59" i="162"/>
  <c r="I60" i="162"/>
  <c r="D60" i="162"/>
  <c r="J60" i="162"/>
  <c r="E60" i="162"/>
  <c r="F60" i="162"/>
  <c r="C60" i="162"/>
  <c r="H60" i="162"/>
  <c r="K60" i="162"/>
  <c r="L60" i="162"/>
  <c r="M60" i="162"/>
  <c r="N60" i="162"/>
  <c r="P60" i="162"/>
  <c r="I61" i="162"/>
  <c r="D61" i="162"/>
  <c r="J61" i="162"/>
  <c r="E61" i="162"/>
  <c r="F61" i="162"/>
  <c r="C61" i="162"/>
  <c r="H61" i="162"/>
  <c r="K61" i="162"/>
  <c r="L61" i="162"/>
  <c r="M61" i="162"/>
  <c r="N61" i="162"/>
  <c r="P61" i="162"/>
  <c r="I62" i="162"/>
  <c r="D62" i="162"/>
  <c r="J62" i="162"/>
  <c r="E62" i="162"/>
  <c r="F62" i="162"/>
  <c r="C62" i="162"/>
  <c r="H62" i="162"/>
  <c r="K62" i="162"/>
  <c r="L62" i="162"/>
  <c r="M62" i="162"/>
  <c r="N62" i="162"/>
  <c r="P62" i="162"/>
  <c r="I63" i="162"/>
  <c r="D63" i="162"/>
  <c r="J63" i="162"/>
  <c r="E63" i="162"/>
  <c r="F63" i="162"/>
  <c r="C63" i="162"/>
  <c r="H63" i="162"/>
  <c r="K63" i="162"/>
  <c r="L63" i="162"/>
  <c r="M63" i="162"/>
  <c r="N63" i="162"/>
  <c r="P63" i="162"/>
  <c r="I64" i="162"/>
  <c r="D64" i="162"/>
  <c r="J64" i="162"/>
  <c r="E64" i="162"/>
  <c r="F64" i="162"/>
  <c r="C64" i="162"/>
  <c r="H64" i="162"/>
  <c r="K64" i="162"/>
  <c r="L64" i="162"/>
  <c r="M64" i="162"/>
  <c r="N64" i="162"/>
  <c r="P64" i="162"/>
  <c r="I65" i="162"/>
  <c r="D65" i="162"/>
  <c r="J65" i="162"/>
  <c r="E65" i="162"/>
  <c r="F65" i="162"/>
  <c r="C65" i="162"/>
  <c r="H65" i="162"/>
  <c r="K65" i="162"/>
  <c r="L65" i="162"/>
  <c r="M65" i="162"/>
  <c r="N65" i="162"/>
  <c r="P65" i="162"/>
  <c r="I66" i="162"/>
  <c r="D66" i="162"/>
  <c r="J66" i="162"/>
  <c r="E66" i="162"/>
  <c r="F66" i="162"/>
  <c r="C66" i="162"/>
  <c r="H66" i="162"/>
  <c r="K66" i="162"/>
  <c r="L66" i="162"/>
  <c r="M66" i="162"/>
  <c r="N66" i="162"/>
  <c r="P66" i="162"/>
  <c r="I14" i="162"/>
  <c r="D14" i="162"/>
  <c r="J14" i="162"/>
  <c r="E14" i="162"/>
  <c r="F14" i="162"/>
  <c r="C14" i="162"/>
  <c r="H14" i="162"/>
  <c r="K14" i="162"/>
  <c r="L14" i="162"/>
  <c r="M14" i="162"/>
  <c r="N14" i="162"/>
  <c r="P14" i="162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57" i="158"/>
  <c r="D357" i="158"/>
  <c r="J357" i="158"/>
  <c r="E357" i="158"/>
  <c r="C357" i="158"/>
  <c r="I358" i="158"/>
  <c r="D358" i="158"/>
  <c r="J358" i="158"/>
  <c r="E358" i="158"/>
  <c r="C358" i="158"/>
  <c r="I359" i="158"/>
  <c r="D359" i="158"/>
  <c r="J359" i="158"/>
  <c r="E359" i="158"/>
  <c r="C359" i="158"/>
  <c r="I360" i="158"/>
  <c r="D360" i="158"/>
  <c r="J360" i="158"/>
  <c r="E360" i="158"/>
  <c r="C360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5" i="157"/>
  <c r="E5" i="157"/>
  <c r="E30" i="157"/>
  <c r="B30" i="157"/>
  <c r="E29" i="157"/>
  <c r="B29" i="157"/>
  <c r="E28" i="157"/>
  <c r="B28" i="157"/>
  <c r="E27" i="157"/>
  <c r="B27" i="157"/>
  <c r="F357" i="158"/>
  <c r="H357" i="158"/>
  <c r="K357" i="158"/>
  <c r="L357" i="158"/>
  <c r="M357" i="158"/>
  <c r="N357" i="158"/>
  <c r="A2" i="157"/>
  <c r="F358" i="158"/>
  <c r="F359" i="158"/>
  <c r="F360" i="158"/>
  <c r="F6" i="157"/>
  <c r="A39" i="157"/>
  <c r="E23" i="157"/>
  <c r="E6" i="157"/>
  <c r="B23" i="157"/>
  <c r="G23" i="157"/>
  <c r="H23" i="157"/>
  <c r="O357" i="158"/>
  <c r="E17" i="157"/>
  <c r="E18" i="157"/>
  <c r="B18" i="157"/>
  <c r="B17" i="157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5" i="157"/>
  <c r="B24" i="157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B21" i="157"/>
  <c r="B20" i="157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F356" i="158"/>
  <c r="H356" i="158"/>
  <c r="K356" i="158"/>
  <c r="L356" i="158"/>
  <c r="M356" i="158"/>
  <c r="N356" i="158"/>
  <c r="P356" i="158"/>
  <c r="A357" i="158"/>
  <c r="A358" i="158"/>
  <c r="A359" i="158"/>
  <c r="A360" i="158"/>
  <c r="A356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B4" i="163"/>
  <c r="B3" i="163"/>
  <c r="B2" i="163"/>
  <c r="P13" i="162"/>
  <c r="N13" i="162"/>
  <c r="M13" i="162"/>
  <c r="L13" i="162"/>
  <c r="K13" i="162"/>
  <c r="J13" i="162"/>
  <c r="I13" i="162"/>
  <c r="H13" i="162"/>
  <c r="F13" i="162"/>
  <c r="E13" i="162"/>
  <c r="D13" i="162"/>
  <c r="C13" i="162"/>
  <c r="P12" i="162"/>
  <c r="N12" i="162"/>
  <c r="M12" i="162"/>
  <c r="L12" i="162"/>
  <c r="K12" i="162"/>
  <c r="J12" i="162"/>
  <c r="I12" i="162"/>
  <c r="H12" i="162"/>
  <c r="F12" i="162"/>
  <c r="E12" i="162"/>
  <c r="D12" i="162"/>
  <c r="C12" i="162"/>
  <c r="P11" i="162"/>
  <c r="N11" i="162"/>
  <c r="M11" i="162"/>
  <c r="L11" i="162"/>
  <c r="K11" i="162"/>
  <c r="J11" i="162"/>
  <c r="I11" i="162"/>
  <c r="H11" i="162"/>
  <c r="F11" i="162"/>
  <c r="E11" i="162"/>
  <c r="D11" i="162"/>
  <c r="C11" i="162"/>
  <c r="P10" i="162"/>
  <c r="N10" i="162"/>
  <c r="M10" i="162"/>
  <c r="L10" i="162"/>
  <c r="K10" i="162"/>
  <c r="J10" i="162"/>
  <c r="I10" i="162"/>
  <c r="H10" i="162"/>
  <c r="F10" i="162"/>
  <c r="E10" i="162"/>
  <c r="D10" i="162"/>
  <c r="C10" i="162"/>
  <c r="P9" i="162"/>
  <c r="N9" i="162"/>
  <c r="M9" i="162"/>
  <c r="L9" i="162"/>
  <c r="K9" i="162"/>
  <c r="J9" i="162"/>
  <c r="I9" i="162"/>
  <c r="H9" i="162"/>
  <c r="F9" i="162"/>
  <c r="E9" i="162"/>
  <c r="D9" i="162"/>
  <c r="C9" i="162"/>
  <c r="P8" i="162"/>
  <c r="N8" i="162"/>
  <c r="M8" i="162"/>
  <c r="L8" i="162"/>
  <c r="K8" i="162"/>
  <c r="J8" i="162"/>
  <c r="I8" i="162"/>
  <c r="H8" i="162"/>
  <c r="F8" i="162"/>
  <c r="E8" i="162"/>
  <c r="D8" i="162"/>
  <c r="C8" i="162"/>
  <c r="P7" i="162"/>
  <c r="N7" i="162"/>
  <c r="M7" i="162"/>
  <c r="L7" i="162"/>
  <c r="K7" i="162"/>
  <c r="J7" i="162"/>
  <c r="I7" i="162"/>
  <c r="H7" i="162"/>
  <c r="F7" i="162"/>
  <c r="E7" i="162"/>
  <c r="D7" i="162"/>
  <c r="C7" i="162"/>
  <c r="P6" i="162"/>
  <c r="N6" i="162"/>
  <c r="M6" i="162"/>
  <c r="L6" i="162"/>
  <c r="K6" i="162"/>
  <c r="J6" i="162"/>
  <c r="I6" i="162"/>
  <c r="H6" i="162"/>
  <c r="F6" i="162"/>
  <c r="E6" i="162"/>
  <c r="D6" i="162"/>
  <c r="C6" i="162"/>
  <c r="P5" i="162"/>
  <c r="N5" i="162"/>
  <c r="M5" i="162"/>
  <c r="L5" i="162"/>
  <c r="K5" i="162"/>
  <c r="J5" i="162"/>
  <c r="I5" i="162"/>
  <c r="H5" i="162"/>
  <c r="F5" i="162"/>
  <c r="E5" i="162"/>
  <c r="D5" i="162"/>
  <c r="C5" i="162"/>
  <c r="R8" i="157"/>
  <c r="E31" i="157"/>
  <c r="B31" i="157"/>
  <c r="G31" i="157"/>
  <c r="H31" i="157"/>
  <c r="B10" i="157"/>
  <c r="R3" i="157"/>
  <c r="R4" i="157"/>
  <c r="R5" i="157"/>
  <c r="R6" i="157"/>
  <c r="R7" i="157"/>
  <c r="P2" i="162"/>
  <c r="N2" i="162"/>
  <c r="M2" i="162"/>
  <c r="L2" i="162"/>
  <c r="K2" i="162"/>
  <c r="J2" i="162"/>
  <c r="I2" i="162"/>
  <c r="H2" i="162"/>
  <c r="F2" i="162"/>
  <c r="E2" i="162"/>
  <c r="D2" i="162"/>
  <c r="C2" i="162"/>
  <c r="I31" i="157"/>
  <c r="J31" i="157"/>
  <c r="F31" i="157"/>
  <c r="C31" i="157"/>
  <c r="J45" i="157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E33" i="157"/>
  <c r="C29" i="157"/>
  <c r="C30" i="157"/>
  <c r="E34" i="157"/>
  <c r="C17" i="157"/>
  <c r="C18" i="157"/>
  <c r="C19" i="157"/>
  <c r="C20" i="157"/>
  <c r="E32" i="157"/>
  <c r="C21" i="157"/>
  <c r="C22" i="157"/>
  <c r="C23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C35" i="157"/>
  <c r="C4" i="103"/>
  <c r="E4" i="103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6" i="103"/>
  <c r="E6" i="103"/>
  <c r="C7" i="103"/>
  <c r="E7" i="103"/>
  <c r="E2" i="10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R11" i="157"/>
  <c r="R12" i="157"/>
  <c r="R13" i="157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B32" i="157"/>
  <c r="D32" i="157"/>
  <c r="B33" i="157"/>
  <c r="D33" i="157"/>
  <c r="F33" i="157"/>
  <c r="G33" i="157"/>
  <c r="H33" i="157"/>
  <c r="I33" i="157"/>
  <c r="J33" i="157"/>
  <c r="B34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R10" i="157"/>
  <c r="R9" i="157"/>
  <c r="F44" i="157"/>
  <c r="G44" i="157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F51" i="157"/>
  <c r="F52" i="157"/>
  <c r="F45" i="157"/>
  <c r="G45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<sst xmlns="http://schemas.openxmlformats.org/spreadsheetml/2006/main" count="474" uniqueCount="260">
  <si>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</si>
  <si>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</si>
  <si>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</si>
  <si>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</si>
  <si>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</si>
  <si>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</si>
  <si>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</si>
  <si>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</si>
  <si>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</si>
  <si>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</si>
  <si>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</si>
  <si>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</si>
  <si>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</si>
  <si>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</si>
  <si>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</si>
  <si>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</si>
  <si>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</si>
  <si>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</si>
  <si>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</si>
  <si>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</si>
  <si>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</si>
  <si>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</si>
  <si>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</si>
  <si>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</si>
  <si>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</si>
  <si>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</si>
  <si>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</si>
  <si>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</si>
  <si>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</si>
  <si>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</si>
  <si>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</si>
  <si>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</si>
  <si>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</si>
  <si>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</si>
  <si>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</si>
  <si>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</si>
  <si>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</si>
  <si>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</si>
  <si>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</si>
  <si>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</si>
  <si>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</si>
  <si>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</si>
  <si>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</si>
  <si>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</si>
  <si>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</si>
  <si>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</si>
  <si>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</si>
  <si>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</si>
  <si>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</si>
  <si>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</si>
  <si>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</si>
  <si>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</si>
  <si>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</si>
  <si>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</si>
  <si>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</si>
  <si>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</si>
  <si>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</si>
  <si>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</si>
  <si>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</si>
  <si>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</si>
  <si>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</si>
  <si>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</si>
  <si>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</si>
  <si>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</si>
  <si>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</si>
  <si>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</si>
  <si>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</si>
  <si>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</si>
  <si>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</si>
  <si>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</si>
  <si>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</si>
  <si>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</si>
  <si>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</si>
  <si>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</si>
  <si>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</si>
  <si>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</si>
  <si>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</si>
  <si>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</si>
  <si>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</si>
  <si>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</si>
  <si>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</si>
  <si>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</si>
  <si>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</si>
  <si>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</si>
  <si>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</si>
  <si>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</si>
  <si>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</si>
  <si>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</si>
  <si>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</si>
  <si>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</si>
  <si>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</si>
  <si>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</si>
  <si>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</si>
  <si>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</si>
  <si>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</si>
  <si>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</si>
  <si>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</si>
  <si>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</si>
  <si>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</si>
  <si>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</si>
  <si>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</si>
  <si>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</si>
  <si>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</si>
  <si>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</si>
  <si>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</si>
  <si>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</si>
  <si>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</si>
  <si>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</si>
  <si>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</si>
  <si>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</si>
  <si>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</si>
  <si>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</si>
  <si>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</si>
  <si>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</si>
  <si>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</si>
  <si>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</si>
  <si>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</si>
  <si>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</si>
  <si>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</si>
  <si>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</si>
  <si>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</si>
  <si>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</si>
  <si>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</si>
  <si>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</si>
  <si>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</si>
  <si>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</si>
  <si>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</si>
  <si>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</si>
  <si>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</si>
  <si>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</si>
  <si>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</si>
  <si>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</si>
  <si>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</si>
  <si>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</si>
  <si>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</si>
  <si>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</si>
  <si>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</si>
  <si>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</si>
  <si>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</si>
  <si>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</si>
  <si>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</si>
  <si>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</si>
  <si>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</si>
  <si>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</si>
  <si>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</si>
  <si>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</si>
  <si>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</si>
  <si>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</si>
  <si>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</si>
  <si>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</si>
  <si>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</si>
  <si>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</si>
  <si>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</si>
  <si>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</si>
  <si>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</si>
  <si>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</si>
  <si>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</si>
  <si>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</si>
  <si>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</si>
  <si>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</si>
  <si>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</si>
  <si>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</si>
  <si>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</si>
  <si>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</si>
  <si>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</si>
  <si>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</si>
  <si>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</si>
  <si>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</si>
  <si>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</si>
  <si>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</si>
  <si>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</si>
  <si>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</si>
  <si>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</si>
  <si>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</si>
  <si>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</si>
  <si>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</si>
  <si>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</si>
  <si>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</si>
  <si>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</si>
  <si>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</si>
  <si>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</si>
  <si>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</si>
  <si>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</si>
  <si>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</si>
  <si>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</si>
  <si>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</si>
  <si>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</si>
  <si>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</si>
  <si>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</si>
  <si>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</si>
  <si>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</si>
  <si>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</si>
  <si>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</si>
  <si>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</si>
  <si>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</si>
  <si>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</si>
  <si>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</si>
  <si>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</si>
  <si>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</si>
  <si>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</si>
  <si>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</si>
  <si>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</si>
  <si>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</si>
  <si>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</si>
  <si>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</si>
  <si>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</si>
  <si>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</si>
  <si>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</si>
  <si>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</si>
  <si>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</si>
  <si>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</si>
  <si>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</si>
  <si>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</si>
  <si>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</si>
  <si>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</si>
  <si>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</si>
  <si>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</si>
  <si>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</si>
  <si>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</si>
  <si>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</si>
  <si>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</si>
  <si>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</si>
  <si>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</si>
  <si>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</si>
  <si>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</si>
  <si>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</si>
  <si>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</si>
  <si>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</si>
  <si>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</si>
  <si>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</si>
  <si>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</si>
  <si>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</si>
  <si>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</si>
  <si>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PremiumSSw</t>
    <phoneticPr fontId="23"/>
  </si>
  <si>
    <t>通常確率</t>
    <rPh sb="0" eb="4">
      <t>ツウジョ</t>
    </rPh>
    <phoneticPr fontId="23"/>
  </si>
  <si>
    <t>PremiumSSS6R3less</t>
    <phoneticPr fontId="23"/>
  </si>
  <si>
    <t>PremiumSS6R5only</t>
    <phoneticPr fontId="23"/>
  </si>
  <si>
    <t>tables_settle_544105</t>
    <phoneticPr fontId="23"/>
  </si>
  <si>
    <t>PremiumSS4R5only</t>
    <phoneticPr fontId="23"/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</si>
  <si>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</si>
  <si>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</si>
  <si>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</si>
  <si>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</si>
  <si>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</si>
  <si>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</si>
  <si>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</si>
  <si>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detail</t>
    <phoneticPr fontId="23"/>
  </si>
  <si>
    <t>ja</t>
    <phoneticPr fontId="23"/>
  </si>
  <si>
    <t>old</t>
    <phoneticPr fontId="23"/>
  </si>
  <si>
    <t>tables_597100</t>
    <phoneticPr fontId="23"/>
  </si>
  <si>
    <t>tables_settle_597101</t>
    <phoneticPr fontId="23"/>
  </si>
  <si>
    <t>tables_settle_597103</t>
    <phoneticPr fontId="23"/>
  </si>
  <si>
    <t>unit</t>
    <phoneticPr fontId="23"/>
  </si>
  <si>
    <t>★6確定ガチャ特典</t>
    <rPh sb="2" eb="4">
      <t>カクテ</t>
    </rPh>
    <phoneticPr fontId="23"/>
  </si>
  <si>
    <t>ギガ癒しの果実 × 10</t>
    <phoneticPr fontId="23"/>
  </si>
  <si>
    <t>ギガ生命の果実 × 10</t>
    <phoneticPr fontId="23"/>
  </si>
  <si>
    <t>ギガ攻めの果実 × 10</t>
    <rPh sb="2" eb="3">
      <t>セｍ</t>
    </rPh>
    <phoneticPr fontId="23"/>
  </si>
  <si>
    <t>1回目の特典として
「ギガ癒しの果実」 を10体プレゼント！</t>
    <rPh sb="1" eb="3">
      <t>カ</t>
    </rPh>
    <rPh sb="23" eb="24">
      <t>タイ</t>
    </rPh>
    <phoneticPr fontId="23"/>
  </si>
  <si>
    <t>2回目の特典として
「ギガ攻めの果実」 を10体プレゼント！</t>
    <rPh sb="1" eb="3">
      <t>カ</t>
    </rPh>
    <rPh sb="13" eb="14">
      <t>セｍ</t>
    </rPh>
    <rPh sb="23" eb="24">
      <t>タイ</t>
    </rPh>
    <phoneticPr fontId="23"/>
  </si>
  <si>
    <t>3回目の特典として
「ギガ生命の果実」 を10体プレゼント！</t>
    <rPh sb="1" eb="3">
      <t>カ</t>
    </rPh>
    <rPh sb="13" eb="15">
      <t>セイメ</t>
    </rPh>
    <rPh sb="23" eb="24">
      <t>タイ</t>
    </rPh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</si>
</sst>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.00000"/>
    <numFmt numFmtId="185" formatCode="0.000000000%"/>
    <numFmt numFmtId="186" formatCode="0_);[Red]\(0\)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2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38" fontId="58" fillId="0" borderId="0" applyFont="0" applyFill="0" applyBorder="0" applyAlignment="0" applyProtection="0"/>
    <xf numFmtId="0" fontId="4" fillId="0" borderId="0"/>
    <xf numFmtId="0" fontId="4" fillId="0" borderId="0"/>
  </cellStyleXfs>
  <cellXfs count="110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1" borderId="1" xfId="2978" applyFont="1" applyFill="1" applyBorder="1"/>
    <xf numFmtId="0" fontId="16" fillId="21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1" borderId="1" xfId="0" applyFont="1" applyFill="1" applyBorder="1"/>
    <xf numFmtId="0" fontId="55" fillId="22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4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29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0" borderId="1" xfId="0" applyNumberFormat="1" applyFont="1" applyFill="1" applyBorder="1"/>
    <xf numFmtId="0" fontId="28" fillId="24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8" fillId="0" borderId="1" xfId="3036" applyFont="1" applyBorder="1"/>
    <xf numFmtId="0" fontId="27" fillId="24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7" fillId="0" borderId="1" xfId="3036" applyFont="1" applyBorder="1"/>
    <xf numFmtId="0" fontId="29" fillId="24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6" fillId="0" borderId="1" xfId="2978" applyFont="1" applyBorder="1"/>
    <xf numFmtId="0" fontId="6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28" fillId="0" borderId="0" xfId="2" applyFont="1" applyBorder="1" applyAlignment="1">
      <alignment vertical="center"/>
    </xf>
    <xf numFmtId="0" fontId="5" fillId="4" borderId="1" xfId="2978" applyFont="1" applyFill="1" applyBorder="1"/>
    <xf numFmtId="0" fontId="28" fillId="0" borderId="0" xfId="2" applyFont="1" applyFill="1" applyAlignment="1">
      <alignment vertical="center"/>
    </xf>
    <xf numFmtId="184" fontId="0" fillId="0" borderId="0" xfId="0" applyNumberFormat="1"/>
    <xf numFmtId="185" fontId="0" fillId="27" borderId="1" xfId="0" applyNumberFormat="1" applyFill="1" applyBorder="1"/>
    <xf numFmtId="185" fontId="0" fillId="27" borderId="1" xfId="3575" applyNumberFormat="1" applyFont="1" applyFill="1" applyBorder="1"/>
    <xf numFmtId="0" fontId="28" fillId="2" borderId="1" xfId="3670" applyFont="1" applyFill="1" applyBorder="1" applyAlignment="1">
      <alignment horizontal="left" vertical="center"/>
    </xf>
    <xf numFmtId="0" fontId="4" fillId="2" borderId="1" xfId="3671" applyFont="1" applyFill="1" applyBorder="1"/>
    <xf numFmtId="0" fontId="55" fillId="31" borderId="1" xfId="0" applyFont="1" applyFill="1" applyBorder="1" applyAlignment="1">
      <alignment horizontal="left" vertical="center"/>
    </xf>
    <xf numFmtId="0" fontId="55" fillId="32" borderId="1" xfId="0" applyFont="1" applyFill="1" applyBorder="1" applyAlignment="1">
      <alignment horizontal="left" vertical="center"/>
    </xf>
    <xf numFmtId="0" fontId="28" fillId="24" borderId="1" xfId="3670" applyFont="1" applyFill="1" applyBorder="1" applyAlignment="1">
      <alignment horizontal="left" vertical="center"/>
    </xf>
    <xf numFmtId="0" fontId="28" fillId="0" borderId="0" xfId="3670" applyFont="1" applyAlignment="1">
      <alignment vertical="center"/>
    </xf>
    <xf numFmtId="0" fontId="28" fillId="4" borderId="1" xfId="3669" quotePrefix="1" applyNumberFormat="1" applyFont="1" applyFill="1" applyBorder="1" applyAlignment="1">
      <alignment vertical="center"/>
    </xf>
    <xf numFmtId="186" fontId="28" fillId="4" borderId="1" xfId="3669" quotePrefix="1" applyNumberFormat="1" applyFont="1" applyFill="1" applyBorder="1" applyAlignment="1">
      <alignment vertical="center"/>
    </xf>
    <xf numFmtId="0" fontId="55" fillId="0" borderId="1" xfId="0" applyFont="1" applyBorder="1" applyAlignment="1">
      <alignment vertical="center"/>
    </xf>
    <xf numFmtId="0" fontId="28" fillId="0" borderId="1" xfId="367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4" fillId="0" borderId="1" xfId="3036" applyFont="1" applyBorder="1"/>
    <xf numFmtId="0" fontId="3" fillId="0" borderId="1" xfId="3036" applyFont="1" applyBorder="1"/>
    <xf numFmtId="0" fontId="27" fillId="0" borderId="1" xfId="0" applyFont="1" applyFill="1" applyBorder="1" applyAlignment="1">
      <alignment horizontal="right" vertical="center"/>
    </xf>
    <xf numFmtId="0" fontId="28" fillId="0" borderId="1" xfId="2" applyFont="1" applyFill="1" applyBorder="1" applyAlignment="1">
      <alignment vertical="center"/>
    </xf>
    <xf numFmtId="0" fontId="2" fillId="4" borderId="1" xfId="2978" applyFont="1" applyFill="1" applyBorder="1"/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桁区切り [0]" xfId="3669" builtinId="6"/>
    <cellStyle name="標準" xfId="0" builtinId="0"/>
    <cellStyle name="標準 2" xfId="2"/>
    <cellStyle name="標準 2 2" xfId="2979"/>
    <cellStyle name="標準 2 3" xfId="3670"/>
    <cellStyle name="標準 3" xfId="19"/>
    <cellStyle name="標準 3 2" xfId="3671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ヘルレイザーR5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ヘルレイザーR6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セルシウスR5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セルシウスR6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1687</v>
          </cell>
          <cell r="B1564" t="str">
            <v>ja</v>
          </cell>
          <cell r="C1564" t="str">
            <v>ファルネーゼ</v>
          </cell>
          <cell r="H1564" t="str">
            <v>green</v>
          </cell>
          <cell r="I1564">
            <v>5</v>
          </cell>
          <cell r="J1564" t="str">
            <v>DropWizS</v>
          </cell>
          <cell r="K1564" t="str">
            <v>technical</v>
          </cell>
          <cell r="L1564" t="str">
            <v>テクニカルタイプ</v>
          </cell>
          <cell r="M1564" t="str">
            <v>unknown</v>
          </cell>
        </row>
        <row r="1565">
          <cell r="A1565">
            <v>1688</v>
          </cell>
          <cell r="B1565" t="str">
            <v>ja</v>
          </cell>
          <cell r="C1565" t="str">
            <v>ファルネーゼ・ロッソ</v>
          </cell>
          <cell r="H1565" t="str">
            <v>red</v>
          </cell>
          <cell r="I1565">
            <v>6</v>
          </cell>
          <cell r="J1565" t="str">
            <v>DropWizS</v>
          </cell>
          <cell r="K1565" t="str">
            <v>technical</v>
          </cell>
          <cell r="L1565" t="str">
            <v>テクニカルタイプ</v>
          </cell>
          <cell r="M1565" t="str">
            <v>unknown</v>
          </cell>
        </row>
        <row r="1566">
          <cell r="A1566">
            <v>1689</v>
          </cell>
          <cell r="B1566" t="str">
            <v>ja</v>
          </cell>
          <cell r="C1566" t="str">
            <v>ファルネーゼ・ヴェルデ</v>
          </cell>
          <cell r="H1566" t="str">
            <v>green</v>
          </cell>
          <cell r="I1566">
            <v>6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unknown</v>
          </cell>
        </row>
        <row r="1567">
          <cell r="A1567">
            <v>1690</v>
          </cell>
          <cell r="B1567" t="str">
            <v>ja</v>
          </cell>
          <cell r="C1567" t="str">
            <v>ファルネーゼ・アズロ</v>
          </cell>
          <cell r="H1567" t="str">
            <v>blue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unknown</v>
          </cell>
        </row>
        <row r="1568">
          <cell r="A1568">
            <v>1691</v>
          </cell>
          <cell r="B1568" t="str">
            <v>ja</v>
          </cell>
          <cell r="C1568" t="str">
            <v>ファルネーゼ・ジャロ</v>
          </cell>
          <cell r="H1568" t="str">
            <v>yellow</v>
          </cell>
          <cell r="I1568">
            <v>6</v>
          </cell>
          <cell r="J1568" t="str">
            <v>DropWizS</v>
          </cell>
          <cell r="K1568" t="str">
            <v>technical</v>
          </cell>
          <cell r="L1568" t="str">
            <v>テクニカルタイプ</v>
          </cell>
          <cell r="M1568" t="str">
            <v>unknown</v>
          </cell>
        </row>
        <row r="1569">
          <cell r="A1569">
            <v>1692</v>
          </cell>
          <cell r="B1569" t="str">
            <v>ja</v>
          </cell>
          <cell r="C1569" t="str">
            <v>ロッソ・ハート</v>
          </cell>
          <cell r="H1569" t="str">
            <v>red</v>
          </cell>
          <cell r="I1569">
            <v>6</v>
          </cell>
          <cell r="J1569" t="str">
            <v>Material</v>
          </cell>
          <cell r="K1569" t="str">
            <v>evolution</v>
          </cell>
          <cell r="L1569" t="str">
            <v>覚醒素材タイプ</v>
          </cell>
          <cell r="M1569" t="str">
            <v>unknown</v>
          </cell>
        </row>
        <row r="1570">
          <cell r="A1570">
            <v>1693</v>
          </cell>
          <cell r="B1570" t="str">
            <v>ja</v>
          </cell>
          <cell r="C1570" t="str">
            <v>ヴェルデ・ハート</v>
          </cell>
          <cell r="H1570" t="str">
            <v>green</v>
          </cell>
          <cell r="I1570">
            <v>6</v>
          </cell>
          <cell r="J1570" t="str">
            <v>Material</v>
          </cell>
          <cell r="K1570" t="str">
            <v>evolution</v>
          </cell>
          <cell r="L1570" t="str">
            <v>覚醒素材タイプ</v>
          </cell>
          <cell r="M1570" t="str">
            <v>unknown</v>
          </cell>
        </row>
        <row r="1571">
          <cell r="A1571">
            <v>1694</v>
          </cell>
          <cell r="B1571" t="str">
            <v>ja</v>
          </cell>
          <cell r="C1571" t="str">
            <v>アズロ・ハート</v>
          </cell>
          <cell r="H1571" t="str">
            <v>blue</v>
          </cell>
          <cell r="I1571">
            <v>6</v>
          </cell>
          <cell r="J1571" t="str">
            <v>Material</v>
          </cell>
          <cell r="K1571" t="str">
            <v>evolution</v>
          </cell>
          <cell r="L1571" t="str">
            <v>覚醒素材タイプ</v>
          </cell>
          <cell r="M1571" t="str">
            <v>unknown</v>
          </cell>
        </row>
        <row r="1572">
          <cell r="A1572">
            <v>1695</v>
          </cell>
          <cell r="B1572" t="str">
            <v>ja</v>
          </cell>
          <cell r="C1572" t="str">
            <v>ジャロ・ハート</v>
          </cell>
          <cell r="H1572" t="str">
            <v>yellow</v>
          </cell>
          <cell r="I1572">
            <v>6</v>
          </cell>
          <cell r="J1572" t="str">
            <v>Material</v>
          </cell>
          <cell r="K1572" t="str">
            <v>evolution</v>
          </cell>
          <cell r="L1572" t="str">
            <v>覚醒素材タイプ</v>
          </cell>
          <cell r="M1572" t="str">
            <v>unknown</v>
          </cell>
        </row>
        <row r="1573">
          <cell r="A1573">
            <v>1696</v>
          </cell>
          <cell r="B1573" t="str">
            <v>ja</v>
          </cell>
          <cell r="C1573" t="str">
            <v>ファルネーゼ・コア</v>
          </cell>
          <cell r="H1573" t="str">
            <v>blue</v>
          </cell>
          <cell r="I1573">
            <v>4</v>
          </cell>
          <cell r="J1573" t="str">
            <v>Material</v>
          </cell>
          <cell r="K1573" t="str">
            <v>evolution</v>
          </cell>
          <cell r="L1573" t="str">
            <v>覚醒素材タイプ</v>
          </cell>
          <cell r="M1573" t="str">
            <v>unknown</v>
          </cell>
        </row>
        <row r="1574">
          <cell r="A1574">
            <v>5001</v>
          </cell>
          <cell r="B1574" t="str">
            <v>ja</v>
          </cell>
          <cell r="C1574" t="str">
            <v>ガルーダ</v>
          </cell>
          <cell r="D1574" t="str">
            <v>ノーマルクエスト</v>
          </cell>
          <cell r="E1574" t="str">
            <v>QoH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PremiumSSw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5002</v>
          </cell>
          <cell r="B1575" t="str">
            <v>ja</v>
          </cell>
          <cell r="C1575" t="str">
            <v>光輝する美翼聖鳥 ガルーダ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男性</v>
          </cell>
          <cell r="H1575" t="str">
            <v>red</v>
          </cell>
          <cell r="I1575">
            <v>6</v>
          </cell>
          <cell r="J1575" t="str">
            <v>PremiumSSw</v>
          </cell>
          <cell r="K1575" t="str">
            <v>attack</v>
          </cell>
          <cell r="L1575" t="str">
            <v>攻撃タイプ</v>
          </cell>
          <cell r="M1575" t="str">
            <v>god</v>
          </cell>
        </row>
        <row r="1576">
          <cell r="A1576">
            <v>5003</v>
          </cell>
          <cell r="B1576" t="str">
            <v>ja</v>
          </cell>
          <cell r="C1576" t="str">
            <v>ナーガ</v>
          </cell>
          <cell r="D1576" t="str">
            <v>リンクガチャ:4神</v>
          </cell>
          <cell r="E1576" t="str">
            <v>守護神</v>
          </cell>
          <cell r="F1576" t="str">
            <v>格好いい</v>
          </cell>
          <cell r="G1576" t="str">
            <v>不明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animal</v>
          </cell>
        </row>
        <row r="1577">
          <cell r="A1577">
            <v>5004</v>
          </cell>
          <cell r="B1577" t="str">
            <v>ja</v>
          </cell>
          <cell r="C1577" t="str">
            <v>深淵翠緑 ナーガ</v>
          </cell>
          <cell r="D1577" t="str">
            <v>ノーマルクエスト</v>
          </cell>
          <cell r="E1577" t="str">
            <v>アバター</v>
          </cell>
          <cell r="F1577" t="str">
            <v>世界観</v>
          </cell>
          <cell r="G1577" t="str">
            <v>不明</v>
          </cell>
          <cell r="H1577" t="str">
            <v>green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animal</v>
          </cell>
        </row>
        <row r="1578">
          <cell r="A1578">
            <v>5005</v>
          </cell>
          <cell r="B1578" t="str">
            <v>ja</v>
          </cell>
          <cell r="C1578" t="str">
            <v>カーミラ</v>
          </cell>
          <cell r="D1578" t="str">
            <v>ノーマルクエスト</v>
          </cell>
          <cell r="E1578" t="str">
            <v>QoH</v>
          </cell>
          <cell r="F1578" t="str">
            <v>世界観</v>
          </cell>
          <cell r="G1578" t="str">
            <v>不明</v>
          </cell>
          <cell r="H1578" t="str">
            <v>green</v>
          </cell>
          <cell r="I1578">
            <v>5</v>
          </cell>
          <cell r="J1578" t="str">
            <v>PremiumSSw</v>
          </cell>
          <cell r="K1578" t="str">
            <v>balance</v>
          </cell>
          <cell r="L1578" t="str">
            <v>バランスタイプ</v>
          </cell>
          <cell r="M1578" t="str">
            <v>demon</v>
          </cell>
        </row>
        <row r="1579">
          <cell r="A1579">
            <v>5006</v>
          </cell>
          <cell r="B1579" t="str">
            <v>ja</v>
          </cell>
          <cell r="C1579" t="str">
            <v>カーミラ★６</v>
          </cell>
          <cell r="D1579" t="str">
            <v>ノーマルクエスト</v>
          </cell>
          <cell r="E1579" t="str">
            <v>アバター</v>
          </cell>
          <cell r="F1579" t="str">
            <v>世界観</v>
          </cell>
          <cell r="G1579" t="str">
            <v>男性</v>
          </cell>
          <cell r="H1579" t="str">
            <v>green</v>
          </cell>
          <cell r="I1579">
            <v>6</v>
          </cell>
          <cell r="J1579" t="str">
            <v>PremiumSSw</v>
          </cell>
          <cell r="K1579" t="str">
            <v>balance</v>
          </cell>
          <cell r="L1579" t="str">
            <v>バランスタイプ</v>
          </cell>
          <cell r="M1579" t="str">
            <v>demon</v>
          </cell>
        </row>
        <row r="1580">
          <cell r="A1580">
            <v>5007</v>
          </cell>
          <cell r="B1580" t="str">
            <v>ja</v>
          </cell>
          <cell r="C1580" t="str">
            <v>ヘルシング</v>
          </cell>
          <cell r="D1580" t="str">
            <v>リンクガチャ:4神</v>
          </cell>
          <cell r="E1580" t="str">
            <v>守護神</v>
          </cell>
          <cell r="F1580" t="str">
            <v>格好いい</v>
          </cell>
          <cell r="G1580" t="str">
            <v>不明</v>
          </cell>
          <cell r="H1580" t="str">
            <v>yellow</v>
          </cell>
          <cell r="I1580">
            <v>5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human</v>
          </cell>
        </row>
        <row r="1581">
          <cell r="A1581">
            <v>5008</v>
          </cell>
          <cell r="B1581" t="str">
            <v>ja</v>
          </cell>
          <cell r="C1581" t="str">
            <v>ヘルシング★６</v>
          </cell>
          <cell r="D1581" t="str">
            <v>ノーマルクエスト</v>
          </cell>
          <cell r="E1581" t="str">
            <v>アバター</v>
          </cell>
          <cell r="F1581" t="str">
            <v>世界観</v>
          </cell>
          <cell r="G1581" t="str">
            <v>不明</v>
          </cell>
          <cell r="H1581" t="str">
            <v>yellow</v>
          </cell>
          <cell r="I1581">
            <v>6</v>
          </cell>
          <cell r="J1581" t="str">
            <v>DropWizS</v>
          </cell>
          <cell r="K1581" t="str">
            <v>technical</v>
          </cell>
          <cell r="L1581" t="str">
            <v>テクニカルタイプ</v>
          </cell>
          <cell r="M1581" t="str">
            <v>human</v>
          </cell>
        </row>
        <row r="1582">
          <cell r="A1582">
            <v>6001</v>
          </cell>
          <cell r="B1582" t="str">
            <v>ja</v>
          </cell>
          <cell r="C1582" t="str">
            <v>ジェリー</v>
          </cell>
          <cell r="D1582" t="str">
            <v>ノーマルクエスト</v>
          </cell>
          <cell r="E1582" t="str">
            <v>QoH</v>
          </cell>
          <cell r="F1582" t="str">
            <v>世界観</v>
          </cell>
          <cell r="G1582" t="str">
            <v>不明</v>
          </cell>
          <cell r="H1582" t="str">
            <v>red</v>
          </cell>
          <cell r="I1582">
            <v>1</v>
          </cell>
          <cell r="J1582" t="str">
            <v>Drop1T</v>
          </cell>
          <cell r="K1582" t="str">
            <v>ra</v>
          </cell>
          <cell r="L1582" t="str">
            <v>ラグランジュチャレンジ</v>
          </cell>
          <cell r="M1582" t="str">
            <v>unknown</v>
          </cell>
        </row>
        <row r="1583">
          <cell r="A1583">
            <v>6002</v>
          </cell>
          <cell r="B1583" t="str">
            <v>ja</v>
          </cell>
          <cell r="C1583" t="str">
            <v>ヨシタカ</v>
          </cell>
          <cell r="D1583" t="str">
            <v>ノーマルクエスト</v>
          </cell>
          <cell r="E1583" t="str">
            <v>アバター</v>
          </cell>
          <cell r="F1583" t="str">
            <v>世界観</v>
          </cell>
          <cell r="G1583" t="str">
            <v>男性</v>
          </cell>
          <cell r="H1583" t="str">
            <v>red</v>
          </cell>
          <cell r="I1583">
            <v>2</v>
          </cell>
          <cell r="J1583" t="str">
            <v>Drop1N</v>
          </cell>
          <cell r="K1583" t="str">
            <v>ra</v>
          </cell>
          <cell r="L1583" t="str">
            <v>ラグランジュチャレンジ</v>
          </cell>
          <cell r="M1583" t="str">
            <v>human</v>
          </cell>
        </row>
        <row r="1584">
          <cell r="A1584">
            <v>6003</v>
          </cell>
          <cell r="B1584" t="str">
            <v>ja</v>
          </cell>
          <cell r="C1584" t="str">
            <v>朱雀</v>
          </cell>
          <cell r="D1584" t="str">
            <v>リンクガチャ:4神</v>
          </cell>
          <cell r="E1584" t="str">
            <v>守護神</v>
          </cell>
          <cell r="F1584" t="str">
            <v>格好いい</v>
          </cell>
          <cell r="G1584" t="str">
            <v>不明</v>
          </cell>
          <cell r="H1584" t="str">
            <v>red</v>
          </cell>
          <cell r="I1584">
            <v>3</v>
          </cell>
          <cell r="J1584" t="str">
            <v>Drop2N</v>
          </cell>
          <cell r="K1584" t="str">
            <v>ra</v>
          </cell>
          <cell r="L1584" t="str">
            <v>ラグランジュチャレンジ</v>
          </cell>
          <cell r="M1584" t="str">
            <v>animal</v>
          </cell>
        </row>
        <row r="1585">
          <cell r="A1585">
            <v>6004</v>
          </cell>
          <cell r="B1585" t="str">
            <v>ja</v>
          </cell>
          <cell r="C1585" t="str">
            <v>ブレット</v>
          </cell>
          <cell r="D1585" t="str">
            <v>ノーマルクエスト</v>
          </cell>
          <cell r="E1585" t="str">
            <v>アバター</v>
          </cell>
          <cell r="F1585" t="str">
            <v>世界観</v>
          </cell>
          <cell r="G1585" t="str">
            <v>不明</v>
          </cell>
          <cell r="H1585" t="str">
            <v>red</v>
          </cell>
          <cell r="I1585">
            <v>1</v>
          </cell>
          <cell r="J1585" t="str">
            <v>Drop1W</v>
          </cell>
          <cell r="K1585" t="str">
            <v>ra</v>
          </cell>
          <cell r="L1585" t="str">
            <v>ラグランジュチャレンジ</v>
          </cell>
          <cell r="M1585" t="str">
            <v>animal</v>
          </cell>
        </row>
        <row r="1586">
          <cell r="A1586">
            <v>6005</v>
          </cell>
          <cell r="B1586" t="str">
            <v>ja</v>
          </cell>
          <cell r="C1586" t="str">
            <v>孤神 テティス</v>
          </cell>
          <cell r="D1586" t="str">
            <v>初期ガチャ</v>
          </cell>
          <cell r="E1586" t="str">
            <v>管理者</v>
          </cell>
          <cell r="F1586" t="str">
            <v>美しい</v>
          </cell>
          <cell r="G1586" t="str">
            <v>女性</v>
          </cell>
          <cell r="H1586" t="str">
            <v>blue</v>
          </cell>
          <cell r="I1586">
            <v>4</v>
          </cell>
          <cell r="J1586" t="str">
            <v>PremiumN</v>
          </cell>
          <cell r="K1586" t="str">
            <v>ra</v>
          </cell>
          <cell r="L1586" t="str">
            <v>ラグランジュチャレンジ</v>
          </cell>
          <cell r="M1586" t="str">
            <v>god</v>
          </cell>
        </row>
        <row r="1587">
          <cell r="A1587">
            <v>6006</v>
          </cell>
          <cell r="B1587" t="str">
            <v>ja</v>
          </cell>
          <cell r="C1587" t="str">
            <v>海底の孤高神 テティス</v>
          </cell>
          <cell r="D1587" t="str">
            <v>初期ガチャ</v>
          </cell>
          <cell r="E1587" t="str">
            <v>管理者</v>
          </cell>
          <cell r="F1587" t="str">
            <v>美しい</v>
          </cell>
          <cell r="G1587" t="str">
            <v>女性</v>
          </cell>
          <cell r="H1587" t="str">
            <v>blue</v>
          </cell>
          <cell r="I1587">
            <v>5</v>
          </cell>
          <cell r="J1587" t="str">
            <v>PremiumN</v>
          </cell>
          <cell r="K1587" t="str">
            <v>ra</v>
          </cell>
          <cell r="L1587" t="str">
            <v>ラグランジュチャレンジ</v>
          </cell>
          <cell r="M1587" t="str">
            <v>god</v>
          </cell>
        </row>
        <row r="1588">
          <cell r="A1588">
            <v>6007</v>
          </cell>
          <cell r="B1588" t="str">
            <v>ja</v>
          </cell>
          <cell r="C1588" t="str">
            <v>番犬 ケルベロス</v>
          </cell>
          <cell r="D1588" t="str">
            <v>初期ガチャ</v>
          </cell>
          <cell r="E1588" t="str">
            <v>破界者</v>
          </cell>
          <cell r="F1588" t="str">
            <v>可愛い</v>
          </cell>
          <cell r="G1588" t="str">
            <v>女性</v>
          </cell>
          <cell r="H1588" t="str">
            <v>red</v>
          </cell>
          <cell r="I1588">
            <v>4</v>
          </cell>
          <cell r="J1588" t="str">
            <v>PremiumN</v>
          </cell>
          <cell r="K1588" t="str">
            <v>ra</v>
          </cell>
          <cell r="L1588" t="str">
            <v>ラグランジュチャレンジ</v>
          </cell>
          <cell r="M1588" t="str">
            <v>animal</v>
          </cell>
        </row>
        <row r="1589">
          <cell r="A1589">
            <v>6008</v>
          </cell>
          <cell r="B1589" t="str">
            <v>ja</v>
          </cell>
          <cell r="C1589" t="str">
            <v>焔神 プロメテウス</v>
          </cell>
          <cell r="D1589" t="str">
            <v>初期ガチャ</v>
          </cell>
          <cell r="E1589" t="str">
            <v>管理者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PremiumN</v>
          </cell>
          <cell r="K1589" t="str">
            <v>ra</v>
          </cell>
          <cell r="L1589" t="str">
            <v>ラグランジュチャレンジ</v>
          </cell>
          <cell r="M1589" t="str">
            <v>god</v>
          </cell>
        </row>
        <row r="1590">
          <cell r="A1590">
            <v>6009</v>
          </cell>
          <cell r="B1590" t="str">
            <v>ja</v>
          </cell>
          <cell r="C1590" t="str">
            <v>超越自我 ラグランジュ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PremiumSSS</v>
          </cell>
          <cell r="K1590" t="str">
            <v>ra</v>
          </cell>
          <cell r="L1590" t="str">
            <v>ラグランジュチャレンジ</v>
          </cell>
          <cell r="M1590" t="str">
            <v>human</v>
          </cell>
        </row>
        <row r="1591">
          <cell r="A1591">
            <v>6010</v>
          </cell>
          <cell r="B1591" t="str">
            <v>ja</v>
          </cell>
          <cell r="C1591" t="str">
            <v>超越凌駕 ラグランジュ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PremiumSSS</v>
          </cell>
          <cell r="K1591" t="str">
            <v>ra</v>
          </cell>
          <cell r="L1591" t="str">
            <v>ラグランジュチャレンジ</v>
          </cell>
          <cell r="M1591" t="str">
            <v>human</v>
          </cell>
        </row>
        <row r="1592">
          <cell r="A1592">
            <v>6011</v>
          </cell>
          <cell r="B1592" t="str">
            <v>ja</v>
          </cell>
          <cell r="C1592" t="str">
            <v>パトドッグリーダー ポチ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blue</v>
          </cell>
          <cell r="I1592">
            <v>2</v>
          </cell>
          <cell r="J1592" t="str">
            <v>Drop1T</v>
          </cell>
          <cell r="K1592" t="str">
            <v>ra002</v>
          </cell>
          <cell r="L1592" t="str">
            <v>ユークリッドチャレンジ</v>
          </cell>
          <cell r="M1592" t="str">
            <v>unknown</v>
          </cell>
        </row>
        <row r="1593">
          <cell r="A1593">
            <v>6012</v>
          </cell>
          <cell r="B1593" t="str">
            <v>ja</v>
          </cell>
          <cell r="C1593" t="str">
            <v>ミミ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yellow</v>
          </cell>
          <cell r="I1593">
            <v>1</v>
          </cell>
          <cell r="J1593" t="str">
            <v>Drop1W</v>
          </cell>
          <cell r="K1593" t="str">
            <v>ra002</v>
          </cell>
          <cell r="L1593" t="str">
            <v>ユークリッドチャレンジ</v>
          </cell>
          <cell r="M1593" t="str">
            <v>animal</v>
          </cell>
        </row>
        <row r="1594">
          <cell r="A1594">
            <v>6013</v>
          </cell>
          <cell r="B1594" t="str">
            <v>ja</v>
          </cell>
          <cell r="C1594" t="str">
            <v>護衛機人 スケアクロウ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blue</v>
          </cell>
          <cell r="I1594">
            <v>2</v>
          </cell>
          <cell r="J1594" t="str">
            <v>Drop1N</v>
          </cell>
          <cell r="K1594" t="str">
            <v>ra002</v>
          </cell>
          <cell r="L1594" t="str">
            <v>ユークリッドチャレンジ</v>
          </cell>
          <cell r="M1594" t="str">
            <v>machine</v>
          </cell>
        </row>
        <row r="1595">
          <cell r="A1595">
            <v>6014</v>
          </cell>
          <cell r="B1595" t="str">
            <v>ja</v>
          </cell>
          <cell r="C1595" t="str">
            <v>月下の人狼 ローレンス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blue</v>
          </cell>
          <cell r="I1595">
            <v>4</v>
          </cell>
          <cell r="J1595" t="str">
            <v>PremiumW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6015</v>
          </cell>
          <cell r="B1596" t="str">
            <v>ja</v>
          </cell>
          <cell r="C1596" t="str">
            <v>フレイヤ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4</v>
          </cell>
          <cell r="J1596" t="str">
            <v>PremiumSS</v>
          </cell>
          <cell r="K1596" t="str">
            <v>ra002</v>
          </cell>
          <cell r="L1596" t="str">
            <v>ユークリッドチャレンジ</v>
          </cell>
          <cell r="M1596" t="str">
            <v>animal</v>
          </cell>
        </row>
        <row r="1597">
          <cell r="A1597">
            <v>6016</v>
          </cell>
          <cell r="B1597" t="str">
            <v>ja</v>
          </cell>
          <cell r="C1597" t="str">
            <v>根原論理 ユークリッド</v>
          </cell>
          <cell r="D1597" t="str">
            <v>ガチャ:フィーバーフェス02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blue</v>
          </cell>
          <cell r="I1597">
            <v>5</v>
          </cell>
          <cell r="J1597" t="str">
            <v>PremiumSSS</v>
          </cell>
          <cell r="K1597" t="str">
            <v>ra002</v>
          </cell>
          <cell r="L1597" t="str">
            <v>ユークリッドチャレンジ</v>
          </cell>
          <cell r="M1597" t="str">
            <v>human</v>
          </cell>
        </row>
        <row r="1598">
          <cell r="A1598">
            <v>6017</v>
          </cell>
          <cell r="B1598" t="str">
            <v>ja</v>
          </cell>
          <cell r="C1598" t="str">
            <v>不朽の極論 ユークリッド</v>
          </cell>
          <cell r="D1598" t="str">
            <v>ガチャ:フィーバーフェス02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blue</v>
          </cell>
          <cell r="I1598">
            <v>6</v>
          </cell>
          <cell r="J1598" t="str">
            <v>PremiumSSS</v>
          </cell>
          <cell r="K1598" t="str">
            <v>ra002</v>
          </cell>
          <cell r="L1598" t="str">
            <v>ユークリッドチャレンジ</v>
          </cell>
          <cell r="M1598" t="str">
            <v>human</v>
          </cell>
        </row>
        <row r="1599">
          <cell r="A1599">
            <v>6018</v>
          </cell>
          <cell r="B1599" t="str">
            <v>ja</v>
          </cell>
          <cell r="C1599" t="str">
            <v>ハヅル</v>
          </cell>
          <cell r="D1599" t="str">
            <v>ガチャ:フィーバーフェス02</v>
          </cell>
          <cell r="E1599" t="str">
            <v>執行者</v>
          </cell>
          <cell r="F1599" t="str">
            <v>格好いい</v>
          </cell>
          <cell r="G1599" t="str">
            <v>男性</v>
          </cell>
          <cell r="H1599" t="str">
            <v>red</v>
          </cell>
          <cell r="I1599">
            <v>4</v>
          </cell>
          <cell r="J1599" t="str">
            <v>PremiumSS</v>
          </cell>
          <cell r="K1599" t="str">
            <v>ra002</v>
          </cell>
          <cell r="L1599" t="str">
            <v>ユークリッドチャレンジ</v>
          </cell>
          <cell r="M1599" t="str">
            <v>animal</v>
          </cell>
        </row>
        <row r="1600">
          <cell r="A1600">
            <v>6019</v>
          </cell>
          <cell r="B1600" t="str">
            <v>ja</v>
          </cell>
          <cell r="C1600" t="str">
            <v>天織羽鶴 ハヅル</v>
          </cell>
          <cell r="D1600" t="str">
            <v>ガチャ:フィーバーフェス02</v>
          </cell>
          <cell r="E1600" t="str">
            <v>執行者</v>
          </cell>
          <cell r="F1600" t="str">
            <v>格好いい</v>
          </cell>
          <cell r="G1600" t="str">
            <v>男性</v>
          </cell>
          <cell r="H1600" t="str">
            <v>red</v>
          </cell>
          <cell r="I1600">
            <v>5</v>
          </cell>
          <cell r="J1600" t="str">
            <v>PremiumSS</v>
          </cell>
          <cell r="K1600" t="str">
            <v>ra002</v>
          </cell>
          <cell r="L1600" t="str">
            <v>ユークリッドチャレンジ</v>
          </cell>
          <cell r="M1600" t="str">
            <v>animal</v>
          </cell>
        </row>
        <row r="1601">
          <cell r="A1601">
            <v>6020</v>
          </cell>
          <cell r="B1601" t="str">
            <v>ja</v>
          </cell>
          <cell r="C1601" t="str">
            <v>ミズチ</v>
          </cell>
          <cell r="D1601" t="str">
            <v>ガチャ:フィーバーフェス02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blue</v>
          </cell>
          <cell r="I1601">
            <v>4</v>
          </cell>
          <cell r="J1601" t="str">
            <v>PremiumS</v>
          </cell>
          <cell r="K1601" t="str">
            <v>ra002</v>
          </cell>
          <cell r="L1601" t="str">
            <v>ユークリッドチャレンジ</v>
          </cell>
          <cell r="M1601" t="str">
            <v>dragon</v>
          </cell>
        </row>
        <row r="1602">
          <cell r="A1602">
            <v>8001</v>
          </cell>
          <cell r="B1602" t="str">
            <v>ja</v>
          </cell>
          <cell r="C1602" t="str">
            <v>媽祖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PremiumSS</v>
          </cell>
          <cell r="K1602" t="str">
            <v>attack</v>
          </cell>
          <cell r="L1602" t="str">
            <v>攻撃タイプ</v>
          </cell>
          <cell r="M1602" t="str">
            <v>god</v>
          </cell>
        </row>
        <row r="1603">
          <cell r="A1603">
            <v>8002</v>
          </cell>
          <cell r="B1603" t="str">
            <v>ja</v>
          </cell>
          <cell r="C1603" t="str">
            <v>宣導する天海妃 媽祖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PremiumSS</v>
          </cell>
          <cell r="K1603" t="str">
            <v>attack</v>
          </cell>
          <cell r="L1603" t="str">
            <v>攻撃タイプ</v>
          </cell>
          <cell r="M1603" t="str">
            <v>god</v>
          </cell>
        </row>
        <row r="1604">
          <cell r="A1604">
            <v>8003</v>
          </cell>
          <cell r="B1604" t="str">
            <v>ja</v>
          </cell>
          <cell r="C1604" t="str">
            <v>蛟龍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不明</v>
          </cell>
          <cell r="H1604" t="str">
            <v>blue</v>
          </cell>
          <cell r="I1604">
            <v>5</v>
          </cell>
          <cell r="J1604" t="str">
            <v>DropWizS</v>
          </cell>
          <cell r="K1604" t="str">
            <v>hp</v>
          </cell>
          <cell r="L1604" t="str">
            <v>体力タイプ</v>
          </cell>
          <cell r="M1604" t="str">
            <v>dragon</v>
          </cell>
        </row>
        <row r="1605">
          <cell r="A1605">
            <v>8004</v>
          </cell>
          <cell r="B1605" t="str">
            <v>ja</v>
          </cell>
          <cell r="C1605" t="str">
            <v>呼嵐の蒼棲龍 蛟龍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不明</v>
          </cell>
          <cell r="H1605" t="str">
            <v>blue</v>
          </cell>
          <cell r="I1605">
            <v>6</v>
          </cell>
          <cell r="J1605" t="str">
            <v>DropWizS</v>
          </cell>
          <cell r="K1605" t="str">
            <v>hp</v>
          </cell>
          <cell r="L1605" t="str">
            <v>体力タイプ</v>
          </cell>
          <cell r="M1605" t="str">
            <v>dragon</v>
          </cell>
        </row>
        <row r="1606">
          <cell r="A1606">
            <v>8005</v>
          </cell>
          <cell r="B1606" t="str">
            <v>ja</v>
          </cell>
          <cell r="C1606" t="str">
            <v>三蔵法師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blue</v>
          </cell>
          <cell r="I1606">
            <v>5</v>
          </cell>
          <cell r="J1606" t="str">
            <v>PremiumSS</v>
          </cell>
          <cell r="K1606" t="str">
            <v>balance</v>
          </cell>
          <cell r="L1606" t="str">
            <v>バランスタイプ</v>
          </cell>
          <cell r="M1606" t="str">
            <v>human</v>
          </cell>
        </row>
        <row r="1607">
          <cell r="A1607">
            <v>8006</v>
          </cell>
          <cell r="B1607" t="str">
            <v>ja</v>
          </cell>
          <cell r="C1607" t="str">
            <v>慈戒の呪封使 三蔵法師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不明</v>
          </cell>
          <cell r="H1607" t="str">
            <v>blue</v>
          </cell>
          <cell r="I1607">
            <v>6</v>
          </cell>
          <cell r="J1607" t="str">
            <v>PremiumSS</v>
          </cell>
          <cell r="K1607" t="str">
            <v>balance</v>
          </cell>
          <cell r="L1607" t="str">
            <v>バランスタイプ</v>
          </cell>
          <cell r="M1607" t="str">
            <v>human</v>
          </cell>
        </row>
        <row r="1608">
          <cell r="A1608">
            <v>8007</v>
          </cell>
          <cell r="B1608" t="str">
            <v>ja</v>
          </cell>
          <cell r="C1608" t="str">
            <v>孫悟空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不明</v>
          </cell>
          <cell r="H1608" t="str">
            <v>red</v>
          </cell>
          <cell r="I1608">
            <v>5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animal</v>
          </cell>
        </row>
        <row r="1609">
          <cell r="A1609">
            <v>8008</v>
          </cell>
          <cell r="B1609" t="str">
            <v>ja</v>
          </cell>
          <cell r="C1609" t="str">
            <v>花果の天猿仙人 孫悟空</v>
          </cell>
          <cell r="D1609" t="str">
            <v>イベント:ミクコラボ01</v>
          </cell>
          <cell r="E1609" t="str">
            <v>執行者</v>
          </cell>
          <cell r="F1609" t="str">
            <v>格好いい</v>
          </cell>
          <cell r="G1609" t="str">
            <v>不明</v>
          </cell>
          <cell r="H1609" t="str">
            <v>red</v>
          </cell>
          <cell r="I1609">
            <v>6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animal</v>
          </cell>
        </row>
        <row r="1610">
          <cell r="A1610">
            <v>8009</v>
          </cell>
          <cell r="B1610" t="str">
            <v>ja</v>
          </cell>
          <cell r="C1610" t="str">
            <v>西王娘娘</v>
          </cell>
          <cell r="D1610" t="str">
            <v>イベント:ミクコラボ01</v>
          </cell>
          <cell r="E1610" t="str">
            <v>執行者</v>
          </cell>
          <cell r="F1610" t="str">
            <v>格好いい</v>
          </cell>
          <cell r="G1610" t="str">
            <v>不明</v>
          </cell>
          <cell r="H1610" t="str">
            <v>green</v>
          </cell>
          <cell r="I1610">
            <v>5</v>
          </cell>
          <cell r="J1610" t="str">
            <v>PremiumSS</v>
          </cell>
          <cell r="K1610" t="str">
            <v>attack</v>
          </cell>
          <cell r="L1610" t="str">
            <v>攻撃タイプ</v>
          </cell>
          <cell r="M1610" t="str">
            <v>god</v>
          </cell>
        </row>
        <row r="1611">
          <cell r="A1611">
            <v>8010</v>
          </cell>
          <cell r="B1611" t="str">
            <v>ja</v>
          </cell>
          <cell r="C1611" t="str">
            <v>極楽瑶池の聖母 西王娘娘</v>
          </cell>
          <cell r="D1611" t="str">
            <v>イベント:ミクコラボ01</v>
          </cell>
          <cell r="E1611" t="str">
            <v>執行者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6</v>
          </cell>
          <cell r="J1611" t="str">
            <v>PremiumSS</v>
          </cell>
          <cell r="K1611" t="str">
            <v>attack</v>
          </cell>
          <cell r="L1611" t="str">
            <v>攻撃タイプ</v>
          </cell>
          <cell r="M1611" t="str">
            <v>god</v>
          </cell>
        </row>
        <row r="1612">
          <cell r="A1612">
            <v>8011</v>
          </cell>
          <cell r="B1612" t="str">
            <v>ja</v>
          </cell>
          <cell r="C1612" t="str">
            <v>月下老人</v>
          </cell>
          <cell r="D1612" t="str">
            <v>イベント:ミクコラボ01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5</v>
          </cell>
          <cell r="J1612" t="str">
            <v>DropWizS</v>
          </cell>
          <cell r="K1612" t="str">
            <v>balance</v>
          </cell>
          <cell r="L1612" t="str">
            <v>バランスタイプ</v>
          </cell>
          <cell r="M1612" t="str">
            <v>god</v>
          </cell>
        </row>
        <row r="1613">
          <cell r="A1613">
            <v>8012</v>
          </cell>
          <cell r="B1613" t="str">
            <v>ja</v>
          </cell>
          <cell r="C1613" t="str">
            <v>破戀斬る縁剣 月下老人</v>
          </cell>
          <cell r="D1613" t="str">
            <v>イベント:ミクコラボ01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6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8013</v>
          </cell>
          <cell r="B1614" t="str">
            <v>ja</v>
          </cell>
          <cell r="C1614" t="str">
            <v>初音ミクV3</v>
          </cell>
          <cell r="D1614" t="str">
            <v>初音ミクV3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4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unknown</v>
          </cell>
        </row>
        <row r="1615">
          <cell r="A1615">
            <v>8014</v>
          </cell>
          <cell r="B1615" t="str">
            <v>ja</v>
          </cell>
          <cell r="C1615" t="str">
            <v>初音ミクV3</v>
          </cell>
          <cell r="D1615" t="str">
            <v>初音ミクV3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balance</v>
          </cell>
          <cell r="L1615" t="str">
            <v>バランスタイプ</v>
          </cell>
          <cell r="M1615" t="str">
            <v>unknown</v>
          </cell>
        </row>
        <row r="1616">
          <cell r="A1616">
            <v>8015</v>
          </cell>
          <cell r="B1616" t="str">
            <v>ja</v>
          </cell>
          <cell r="C1616" t="str">
            <v>初音ミク・アペンド</v>
          </cell>
          <cell r="D1616" t="str">
            <v>初音ミク・アペンド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4</v>
          </cell>
          <cell r="J1616" t="str">
            <v>PremiumSSS</v>
          </cell>
          <cell r="K1616" t="str">
            <v>technical</v>
          </cell>
          <cell r="L1616" t="str">
            <v>テクニカルタイプ</v>
          </cell>
          <cell r="M1616" t="str">
            <v>unknown</v>
          </cell>
        </row>
        <row r="1617">
          <cell r="A1617">
            <v>8016</v>
          </cell>
          <cell r="B1617" t="str">
            <v>ja</v>
          </cell>
          <cell r="C1617" t="str">
            <v>初音ミク・アペンド</v>
          </cell>
          <cell r="D1617" t="str">
            <v>初音ミク・アペンド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green</v>
          </cell>
          <cell r="I1617">
            <v>5</v>
          </cell>
          <cell r="J1617" t="str">
            <v>PremiumSSS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</row>
        <row r="1618">
          <cell r="A1618">
            <v>8017</v>
          </cell>
          <cell r="B1618" t="str">
            <v>ja</v>
          </cell>
          <cell r="C1618" t="str">
            <v>初音ミク</v>
          </cell>
          <cell r="D1618" t="str">
            <v>初音ミク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4</v>
          </cell>
          <cell r="J1618" t="str">
            <v>PremiumSSS</v>
          </cell>
          <cell r="K1618" t="str">
            <v>balance</v>
          </cell>
          <cell r="L1618" t="str">
            <v>バランスタイプ</v>
          </cell>
          <cell r="M1618" t="str">
            <v>unknown</v>
          </cell>
        </row>
        <row r="1619">
          <cell r="A1619">
            <v>8018</v>
          </cell>
          <cell r="B1619" t="str">
            <v>ja</v>
          </cell>
          <cell r="C1619" t="str">
            <v>初音ミク</v>
          </cell>
          <cell r="D1619" t="str">
            <v>初音ミク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green</v>
          </cell>
          <cell r="I1619">
            <v>5</v>
          </cell>
          <cell r="J1619" t="str">
            <v>PremiumSSS</v>
          </cell>
          <cell r="K1619" t="str">
            <v>balance</v>
          </cell>
          <cell r="L1619" t="str">
            <v>バランスタイプ</v>
          </cell>
          <cell r="M1619" t="str">
            <v>unknown</v>
          </cell>
        </row>
        <row r="1620">
          <cell r="A1620">
            <v>8019</v>
          </cell>
          <cell r="B1620" t="str">
            <v>ja</v>
          </cell>
          <cell r="C1620" t="str">
            <v>鏡音リン</v>
          </cell>
          <cell r="D1620" t="str">
            <v>鏡音リン</v>
          </cell>
          <cell r="E1620" t="str">
            <v>執行者</v>
          </cell>
          <cell r="F1620" t="str">
            <v>格好いい</v>
          </cell>
          <cell r="G1620" t="str">
            <v>男性</v>
          </cell>
          <cell r="H1620" t="str">
            <v>yellow</v>
          </cell>
          <cell r="I1620">
            <v>4</v>
          </cell>
          <cell r="J1620" t="str">
            <v>PremiumSS</v>
          </cell>
          <cell r="K1620" t="str">
            <v>balance</v>
          </cell>
          <cell r="L1620" t="str">
            <v>バランスタイプ</v>
          </cell>
          <cell r="M1620" t="str">
            <v>unknown</v>
          </cell>
        </row>
        <row r="1621">
          <cell r="A1621">
            <v>8020</v>
          </cell>
          <cell r="B1621" t="str">
            <v>ja</v>
          </cell>
          <cell r="C1621" t="str">
            <v>鏡音リン</v>
          </cell>
          <cell r="D1621" t="str">
            <v>鏡音リン</v>
          </cell>
          <cell r="E1621" t="str">
            <v>執行者</v>
          </cell>
          <cell r="F1621" t="str">
            <v>格好いい</v>
          </cell>
          <cell r="G1621" t="str">
            <v>男性</v>
          </cell>
          <cell r="H1621" t="str">
            <v>yellow</v>
          </cell>
          <cell r="I1621">
            <v>5</v>
          </cell>
          <cell r="J1621" t="str">
            <v>PremiumSS</v>
          </cell>
          <cell r="K1621" t="str">
            <v>balance</v>
          </cell>
          <cell r="L1621" t="str">
            <v>バランスタイプ</v>
          </cell>
          <cell r="M1621" t="str">
            <v>unknown</v>
          </cell>
        </row>
        <row r="1622">
          <cell r="A1622">
            <v>8021</v>
          </cell>
          <cell r="B1622" t="str">
            <v>ja</v>
          </cell>
          <cell r="C1622" t="str">
            <v>鏡音レン</v>
          </cell>
          <cell r="D1622" t="str">
            <v>鏡音レン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yellow</v>
          </cell>
          <cell r="I1622">
            <v>4</v>
          </cell>
          <cell r="J1622" t="str">
            <v>PremiumSS</v>
          </cell>
          <cell r="K1622" t="str">
            <v>heal</v>
          </cell>
          <cell r="L1622" t="str">
            <v>回復タイプ</v>
          </cell>
          <cell r="M1622" t="str">
            <v>unknown</v>
          </cell>
        </row>
        <row r="1623">
          <cell r="A1623">
            <v>8022</v>
          </cell>
          <cell r="B1623" t="str">
            <v>ja</v>
          </cell>
          <cell r="C1623" t="str">
            <v>鏡音レン</v>
          </cell>
          <cell r="D1623" t="str">
            <v>鏡音レン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yellow</v>
          </cell>
          <cell r="I1623">
            <v>5</v>
          </cell>
          <cell r="J1623" t="str">
            <v>PremiumSS</v>
          </cell>
          <cell r="K1623" t="str">
            <v>heal</v>
          </cell>
          <cell r="L1623" t="str">
            <v>回復タイプ</v>
          </cell>
          <cell r="M1623" t="str">
            <v>unknown</v>
          </cell>
        </row>
        <row r="1624">
          <cell r="A1624">
            <v>8023</v>
          </cell>
          <cell r="B1624" t="str">
            <v>ja</v>
          </cell>
          <cell r="C1624" t="str">
            <v>巡音ルカ</v>
          </cell>
          <cell r="D1624" t="str">
            <v>巡音ルカ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3</v>
          </cell>
          <cell r="J1624" t="str">
            <v>PremiumS</v>
          </cell>
          <cell r="K1624" t="str">
            <v>attack</v>
          </cell>
          <cell r="L1624" t="str">
            <v>攻撃タイプ</v>
          </cell>
          <cell r="M1624" t="str">
            <v>unknown</v>
          </cell>
        </row>
        <row r="1625">
          <cell r="A1625">
            <v>8024</v>
          </cell>
          <cell r="B1625" t="str">
            <v>ja</v>
          </cell>
          <cell r="C1625" t="str">
            <v>巡音ルカ</v>
          </cell>
          <cell r="D1625" t="str">
            <v>巡音ルカ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4</v>
          </cell>
          <cell r="J1625" t="str">
            <v>PremiumS</v>
          </cell>
          <cell r="K1625" t="str">
            <v>attack</v>
          </cell>
          <cell r="L1625" t="str">
            <v>攻撃タイプ</v>
          </cell>
          <cell r="M1625" t="str">
            <v>unknown</v>
          </cell>
        </row>
        <row r="1626">
          <cell r="A1626">
            <v>8025</v>
          </cell>
          <cell r="B1626" t="str">
            <v>ja</v>
          </cell>
          <cell r="C1626" t="str">
            <v>MEIKO</v>
          </cell>
          <cell r="D1626" t="str">
            <v>MEIKO</v>
          </cell>
          <cell r="E1626" t="str">
            <v>執行者</v>
          </cell>
          <cell r="F1626" t="str">
            <v>格好いい</v>
          </cell>
          <cell r="G1626" t="str">
            <v>男性</v>
          </cell>
          <cell r="H1626" t="str">
            <v>red</v>
          </cell>
          <cell r="I1626">
            <v>3</v>
          </cell>
          <cell r="J1626" t="str">
            <v>PremiumS</v>
          </cell>
          <cell r="K1626" t="str">
            <v>hp</v>
          </cell>
          <cell r="L1626" t="str">
            <v>体力タイプ</v>
          </cell>
          <cell r="M1626" t="str">
            <v>unknown</v>
          </cell>
        </row>
        <row r="1627">
          <cell r="A1627">
            <v>8026</v>
          </cell>
          <cell r="B1627" t="str">
            <v>ja</v>
          </cell>
          <cell r="C1627" t="str">
            <v>MEIKO</v>
          </cell>
          <cell r="D1627" t="str">
            <v>MEIKO</v>
          </cell>
          <cell r="E1627" t="str">
            <v>執行者</v>
          </cell>
          <cell r="F1627" t="str">
            <v>格好いい</v>
          </cell>
          <cell r="G1627" t="str">
            <v>男性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hp</v>
          </cell>
          <cell r="L1627" t="str">
            <v>体力タイプ</v>
          </cell>
          <cell r="M1627" t="str">
            <v>unknown</v>
          </cell>
        </row>
        <row r="1628">
          <cell r="A1628">
            <v>8027</v>
          </cell>
          <cell r="B1628" t="str">
            <v>ja</v>
          </cell>
          <cell r="C1628" t="str">
            <v>KAITO</v>
          </cell>
          <cell r="D1628" t="str">
            <v>KAITO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blue</v>
          </cell>
          <cell r="I1628">
            <v>3</v>
          </cell>
          <cell r="J1628" t="str">
            <v>PremiumS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8028</v>
          </cell>
          <cell r="B1629" t="str">
            <v>ja</v>
          </cell>
          <cell r="C1629" t="str">
            <v>KAITO</v>
          </cell>
          <cell r="D1629" t="str">
            <v>KAITO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blue</v>
          </cell>
          <cell r="I1629">
            <v>4</v>
          </cell>
          <cell r="J1629" t="str">
            <v>PremiumS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8029</v>
          </cell>
          <cell r="B1630" t="str">
            <v>ja</v>
          </cell>
          <cell r="C1630" t="str">
            <v>Expoミク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4</v>
          </cell>
          <cell r="J1630" t="str">
            <v>Drop2N</v>
          </cell>
          <cell r="K1630" t="str">
            <v>heal</v>
          </cell>
          <cell r="L1630" t="str">
            <v>回復タイプ</v>
          </cell>
          <cell r="M1630" t="str">
            <v>unknown</v>
          </cell>
        </row>
        <row r="1631">
          <cell r="A1631">
            <v>8030</v>
          </cell>
          <cell r="B1631" t="str">
            <v>ja</v>
          </cell>
          <cell r="C1631" t="str">
            <v>Expoミク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Drop2N</v>
          </cell>
          <cell r="K1631" t="str">
            <v>heal</v>
          </cell>
          <cell r="L1631" t="str">
            <v>回復タイプ</v>
          </cell>
          <cell r="M1631" t="str">
            <v>unknown</v>
          </cell>
        </row>
        <row r="1632">
          <cell r="A1632">
            <v>8031</v>
          </cell>
          <cell r="B1632" t="str">
            <v>ja</v>
          </cell>
          <cell r="C1632" t="str">
            <v>閻羅王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red</v>
          </cell>
          <cell r="I1632">
            <v>5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8032</v>
          </cell>
          <cell r="B1633" t="str">
            <v>ja</v>
          </cell>
          <cell r="C1633" t="str">
            <v>六道輪廻の絶獄 閻羅王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8033</v>
          </cell>
          <cell r="B1634" t="str">
            <v>ja</v>
          </cell>
          <cell r="C1634" t="str">
            <v>牛頭馬面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attack</v>
          </cell>
          <cell r="L1634" t="str">
            <v>攻撃タイプ</v>
          </cell>
          <cell r="M1634" t="str">
            <v>god</v>
          </cell>
        </row>
        <row r="1635">
          <cell r="A1635">
            <v>8034</v>
          </cell>
          <cell r="B1635" t="str">
            <v>ja</v>
          </cell>
          <cell r="C1635" t="str">
            <v>冥府狩る魂使 牛頭馬面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attack</v>
          </cell>
          <cell r="L1635" t="str">
            <v>攻撃タイプ</v>
          </cell>
          <cell r="M1635" t="str">
            <v>god</v>
          </cell>
        </row>
        <row r="1636">
          <cell r="A1636">
            <v>8035</v>
          </cell>
          <cell r="B1636" t="str">
            <v>ja</v>
          </cell>
          <cell r="C1636" t="str">
            <v>飛衛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5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human</v>
          </cell>
        </row>
        <row r="1637">
          <cell r="A1637">
            <v>8036</v>
          </cell>
          <cell r="B1637" t="str">
            <v>ja</v>
          </cell>
          <cell r="C1637" t="str">
            <v>レア６飛衛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6</v>
          </cell>
          <cell r="J1637" t="str">
            <v>PremiumSS</v>
          </cell>
          <cell r="K1637" t="str">
            <v>heal</v>
          </cell>
          <cell r="L1637" t="str">
            <v>回復タイプ</v>
          </cell>
          <cell r="M1637" t="str">
            <v>human</v>
          </cell>
        </row>
        <row r="1638">
          <cell r="A1638">
            <v>8037</v>
          </cell>
          <cell r="B1638" t="str">
            <v>ja</v>
          </cell>
          <cell r="C1638" t="str">
            <v>紀昌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5</v>
          </cell>
          <cell r="J1638" t="str">
            <v>DropWizS</v>
          </cell>
          <cell r="K1638" t="str">
            <v>attack</v>
          </cell>
          <cell r="L1638" t="str">
            <v>攻撃タイプ</v>
          </cell>
          <cell r="M1638" t="str">
            <v>human</v>
          </cell>
        </row>
        <row r="1639">
          <cell r="A1639">
            <v>8038</v>
          </cell>
          <cell r="B1639" t="str">
            <v>ja</v>
          </cell>
          <cell r="C1639" t="str">
            <v>レア６紀昌</v>
          </cell>
          <cell r="D1639" t="str">
            <v>Expoミク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6</v>
          </cell>
          <cell r="J1639" t="str">
            <v>DropWizS</v>
          </cell>
          <cell r="K1639" t="str">
            <v>attack</v>
          </cell>
          <cell r="L1639" t="str">
            <v>攻撃タイプ</v>
          </cell>
          <cell r="M1639" t="str">
            <v>human</v>
          </cell>
        </row>
        <row r="1640">
          <cell r="A1640">
            <v>8039</v>
          </cell>
          <cell r="B1640" t="str">
            <v>ja</v>
          </cell>
          <cell r="C1640" t="str">
            <v>何仙姑</v>
          </cell>
          <cell r="D1640" t="str">
            <v>Expoミク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yellow</v>
          </cell>
          <cell r="I1640">
            <v>5</v>
          </cell>
          <cell r="J1640" t="str">
            <v>PremiumSSw</v>
          </cell>
          <cell r="K1640" t="str">
            <v>hp</v>
          </cell>
          <cell r="L1640" t="str">
            <v>体力タイプ</v>
          </cell>
          <cell r="M1640" t="str">
            <v>god</v>
          </cell>
        </row>
        <row r="1641">
          <cell r="A1641">
            <v>8040</v>
          </cell>
          <cell r="B1641" t="str">
            <v>ja</v>
          </cell>
          <cell r="C1641" t="str">
            <v>荷咲く九天 何仙姑</v>
          </cell>
          <cell r="D1641" t="str">
            <v>Expoミク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6</v>
          </cell>
          <cell r="J1641" t="str">
            <v>PremiumSSw</v>
          </cell>
          <cell r="K1641" t="str">
            <v>hp</v>
          </cell>
          <cell r="L1641" t="str">
            <v>体力タイプ</v>
          </cell>
          <cell r="M1641" t="str">
            <v>god</v>
          </cell>
        </row>
        <row r="1642">
          <cell r="A1642">
            <v>8041</v>
          </cell>
          <cell r="B1642" t="str">
            <v>ja</v>
          </cell>
          <cell r="C1642" t="str">
            <v>藍采和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5</v>
          </cell>
          <cell r="J1642" t="str">
            <v>DropWizS</v>
          </cell>
          <cell r="K1642" t="str">
            <v>balance</v>
          </cell>
          <cell r="L1642" t="str">
            <v>バランスタイプ</v>
          </cell>
          <cell r="M1642" t="str">
            <v>god</v>
          </cell>
        </row>
        <row r="1643">
          <cell r="A1643">
            <v>8042</v>
          </cell>
          <cell r="B1643" t="str">
            <v>ja</v>
          </cell>
          <cell r="C1643" t="str">
            <v>天真浪漫 藍采和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6</v>
          </cell>
          <cell r="J1643" t="str">
            <v>DropWizS</v>
          </cell>
          <cell r="K1643" t="str">
            <v>balance</v>
          </cell>
          <cell r="L1643" t="str">
            <v>バランスタイプ</v>
          </cell>
          <cell r="M1643" t="str">
            <v>god</v>
          </cell>
        </row>
        <row r="1644">
          <cell r="A1644">
            <v>8043</v>
          </cell>
          <cell r="B1644" t="str">
            <v>ja</v>
          </cell>
          <cell r="C1644" t="str">
            <v>サンリオキャラ大集合+アザゼル</v>
          </cell>
          <cell r="D1644" t="str">
            <v>サンリオキャラ大集合+アザゼル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green</v>
          </cell>
          <cell r="I1644">
            <v>5</v>
          </cell>
          <cell r="J1644" t="str">
            <v>DropWizS</v>
          </cell>
          <cell r="K1644" t="str">
            <v>technical</v>
          </cell>
          <cell r="L1644" t="str">
            <v>テクニカルタイプ</v>
          </cell>
          <cell r="M1644" t="str">
            <v>ss</v>
          </cell>
        </row>
        <row r="1645">
          <cell r="A1645">
            <v>8044</v>
          </cell>
          <cell r="B1645" t="str">
            <v>ja</v>
          </cell>
          <cell r="C1645" t="str">
            <v>サンリオキャラ大集合+アザゼル</v>
          </cell>
          <cell r="D1645" t="str">
            <v>サンリオキャラ大集合+アザゼル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green</v>
          </cell>
          <cell r="I1645">
            <v>6</v>
          </cell>
          <cell r="J1645" t="str">
            <v>DropWizS</v>
          </cell>
          <cell r="K1645" t="str">
            <v>technical</v>
          </cell>
          <cell r="L1645" t="str">
            <v>テクニカルタイプ</v>
          </cell>
          <cell r="M1645" t="str">
            <v>ss</v>
          </cell>
        </row>
        <row r="1646">
          <cell r="A1646">
            <v>8045</v>
          </cell>
          <cell r="B1646" t="str">
            <v>ja</v>
          </cell>
          <cell r="C1646" t="str">
            <v>ニムダ_サンリオキャラ混じり</v>
          </cell>
          <cell r="D1646" t="str">
            <v>ニムダ_サンリオキャラ混じり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yellow</v>
          </cell>
          <cell r="I1646">
            <v>4</v>
          </cell>
          <cell r="J1646" t="str">
            <v>Drop2N</v>
          </cell>
          <cell r="K1646" t="str">
            <v>technical</v>
          </cell>
          <cell r="L1646" t="str">
            <v>テクニカルタイプ</v>
          </cell>
          <cell r="M1646" t="str">
            <v>ss</v>
          </cell>
        </row>
        <row r="1647">
          <cell r="A1647">
            <v>8046</v>
          </cell>
          <cell r="B1647" t="str">
            <v>ja</v>
          </cell>
          <cell r="C1647" t="str">
            <v>ニムダ_サンリオキャラ混じり</v>
          </cell>
          <cell r="D1647" t="str">
            <v>ニムダ_サンリオキャラ混じり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yellow</v>
          </cell>
          <cell r="I1647">
            <v>5</v>
          </cell>
          <cell r="J1647" t="str">
            <v>Drop2N</v>
          </cell>
          <cell r="K1647" t="str">
            <v>technical</v>
          </cell>
          <cell r="L1647" t="str">
            <v>テクニカルタイプ</v>
          </cell>
          <cell r="M1647" t="str">
            <v>ss</v>
          </cell>
        </row>
        <row r="1648">
          <cell r="A1648">
            <v>8047</v>
          </cell>
          <cell r="B1648" t="str">
            <v>ja</v>
          </cell>
          <cell r="C1648" t="str">
            <v>ハローキティ</v>
          </cell>
          <cell r="D1648" t="str">
            <v>ハローキティ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4</v>
          </cell>
          <cell r="J1648" t="str">
            <v>Drop2N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8048</v>
          </cell>
          <cell r="B1649" t="str">
            <v>ja</v>
          </cell>
          <cell r="C1649" t="str">
            <v>ハローキティ</v>
          </cell>
          <cell r="D1649" t="str">
            <v>ハローキティ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red</v>
          </cell>
          <cell r="I1649">
            <v>5</v>
          </cell>
          <cell r="J1649" t="str">
            <v>Drop2N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8049</v>
          </cell>
          <cell r="B1650" t="str">
            <v>ja</v>
          </cell>
          <cell r="C1650" t="str">
            <v>KIRIMIちゃん</v>
          </cell>
          <cell r="D1650" t="str">
            <v>KIRIMIちゃん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4</v>
          </cell>
          <cell r="J1650" t="str">
            <v>Drop2N</v>
          </cell>
          <cell r="K1650" t="str">
            <v>hp</v>
          </cell>
          <cell r="L1650" t="str">
            <v>体力タイプ</v>
          </cell>
          <cell r="M1650" t="str">
            <v>ss</v>
          </cell>
        </row>
        <row r="1651">
          <cell r="A1651">
            <v>8050</v>
          </cell>
          <cell r="B1651" t="str">
            <v>ja</v>
          </cell>
          <cell r="C1651" t="str">
            <v>KIRIMIちゃん</v>
          </cell>
          <cell r="D1651" t="str">
            <v>KIRIMIちゃん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Drop2N</v>
          </cell>
          <cell r="K1651" t="str">
            <v>hp</v>
          </cell>
          <cell r="L1651" t="str">
            <v>体力タイプ</v>
          </cell>
          <cell r="M1651" t="str">
            <v>ss</v>
          </cell>
        </row>
        <row r="1652">
          <cell r="A1652">
            <v>8051</v>
          </cell>
          <cell r="B1652" t="str">
            <v>ja</v>
          </cell>
          <cell r="C1652" t="str">
            <v>ハローキティのリボン</v>
          </cell>
          <cell r="D1652" t="str">
            <v>ハローキティのリボン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Drop2N</v>
          </cell>
          <cell r="K1652" t="str">
            <v>evolution</v>
          </cell>
          <cell r="L1652" t="str">
            <v>覚醒素材タイプ</v>
          </cell>
          <cell r="M1652" t="str">
            <v>ss</v>
          </cell>
        </row>
        <row r="1653">
          <cell r="A1653">
            <v>8052</v>
          </cell>
          <cell r="B1653" t="str">
            <v>ja</v>
          </cell>
          <cell r="C1653" t="str">
            <v>ママの作ったアップルパイ</v>
          </cell>
          <cell r="D1653" t="str">
            <v>ママの作ったアップルパイ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red</v>
          </cell>
          <cell r="I1653">
            <v>4</v>
          </cell>
          <cell r="J1653" t="str">
            <v>Drop2N</v>
          </cell>
          <cell r="K1653" t="str">
            <v>evolution</v>
          </cell>
          <cell r="L1653" t="str">
            <v>覚醒素材タイプ</v>
          </cell>
          <cell r="M1653" t="str">
            <v>ss</v>
          </cell>
        </row>
        <row r="1654">
          <cell r="A1654">
            <v>8053</v>
          </cell>
          <cell r="B1654" t="str">
            <v>ja</v>
          </cell>
          <cell r="C1654" t="str">
            <v>D.R.T.H__キティコスプレ</v>
          </cell>
          <cell r="D1654" t="str">
            <v>D.R.T.H__キティコスプレ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red</v>
          </cell>
          <cell r="I1654">
            <v>5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ss</v>
          </cell>
        </row>
        <row r="1655">
          <cell r="A1655">
            <v>8054</v>
          </cell>
          <cell r="B1655" t="str">
            <v>ja</v>
          </cell>
          <cell r="C1655" t="str">
            <v>D.R.T.H__キティコスプレ</v>
          </cell>
          <cell r="D1655" t="str">
            <v>D.R.T.H__キティコスプレ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red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ss</v>
          </cell>
        </row>
        <row r="1656">
          <cell r="A1656">
            <v>8055</v>
          </cell>
          <cell r="B1656" t="str">
            <v>ja</v>
          </cell>
          <cell r="C1656" t="str">
            <v>マイメロディ</v>
          </cell>
          <cell r="D1656" t="str">
            <v>マイメロディ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red</v>
          </cell>
          <cell r="I1656">
            <v>4</v>
          </cell>
          <cell r="J1656" t="str">
            <v>PremiumS</v>
          </cell>
          <cell r="K1656" t="str">
            <v>attack</v>
          </cell>
          <cell r="L1656" t="str">
            <v>攻撃タイプ</v>
          </cell>
          <cell r="M1656" t="str">
            <v>ss</v>
          </cell>
        </row>
        <row r="1657">
          <cell r="A1657">
            <v>8056</v>
          </cell>
          <cell r="B1657" t="str">
            <v>ja</v>
          </cell>
          <cell r="C1657" t="str">
            <v>マイメロディ</v>
          </cell>
          <cell r="D1657" t="str">
            <v>マイメロディ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red</v>
          </cell>
          <cell r="I1657">
            <v>5</v>
          </cell>
          <cell r="J1657" t="str">
            <v>PremiumS</v>
          </cell>
          <cell r="K1657" t="str">
            <v>attack</v>
          </cell>
          <cell r="L1657" t="str">
            <v>攻撃タイプ</v>
          </cell>
          <cell r="M1657" t="str">
            <v>ss</v>
          </cell>
        </row>
        <row r="1658">
          <cell r="A1658">
            <v>8057</v>
          </cell>
          <cell r="B1658" t="str">
            <v>ja</v>
          </cell>
          <cell r="C1658" t="str">
            <v>ニーベルゲン_シナモロールコスプレ</v>
          </cell>
          <cell r="D1658" t="str">
            <v>ニーベルゲン_シナモロールコスプレ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4</v>
          </cell>
          <cell r="J1658" t="str">
            <v>PremiumS</v>
          </cell>
          <cell r="K1658" t="str">
            <v>balance</v>
          </cell>
          <cell r="L1658" t="str">
            <v>バランスタイプ</v>
          </cell>
          <cell r="M1658" t="str">
            <v>ss</v>
          </cell>
        </row>
        <row r="1659">
          <cell r="A1659">
            <v>8058</v>
          </cell>
          <cell r="B1659" t="str">
            <v>ja</v>
          </cell>
          <cell r="C1659" t="str">
            <v>ニーベルゲン_シナモロールコスプレ</v>
          </cell>
          <cell r="D1659" t="str">
            <v>ニーベルゲン_シナモロールコスプレ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green</v>
          </cell>
          <cell r="I1659">
            <v>5</v>
          </cell>
          <cell r="J1659" t="str">
            <v>PremiumS</v>
          </cell>
          <cell r="K1659" t="str">
            <v>balance</v>
          </cell>
          <cell r="L1659" t="str">
            <v>バランスタイプ</v>
          </cell>
          <cell r="M1659" t="str">
            <v>ss</v>
          </cell>
        </row>
        <row r="1660">
          <cell r="A1660">
            <v>8059</v>
          </cell>
          <cell r="B1660" t="str">
            <v>ja</v>
          </cell>
          <cell r="C1660" t="str">
            <v>カカシ_マイメロディコスプレ</v>
          </cell>
          <cell r="D1660" t="str">
            <v>カカシ_マイメロディコスプレ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green</v>
          </cell>
          <cell r="I1660">
            <v>4</v>
          </cell>
          <cell r="J1660" t="str">
            <v>PremiumS</v>
          </cell>
          <cell r="K1660" t="str">
            <v>technical</v>
          </cell>
          <cell r="L1660" t="str">
            <v>テクニカルタイプ</v>
          </cell>
          <cell r="M1660" t="str">
            <v>ss</v>
          </cell>
        </row>
        <row r="1661">
          <cell r="A1661">
            <v>8060</v>
          </cell>
          <cell r="B1661" t="str">
            <v>ja</v>
          </cell>
          <cell r="C1661" t="str">
            <v>カカシ_マイメロディコスプレ</v>
          </cell>
          <cell r="D1661" t="str">
            <v>カカシ_マイメロディコスプレ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green</v>
          </cell>
          <cell r="I1661">
            <v>5</v>
          </cell>
          <cell r="J1661" t="str">
            <v>PremiumS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</row>
        <row r="1662">
          <cell r="A1662">
            <v>8061</v>
          </cell>
          <cell r="B1662" t="str">
            <v>ja</v>
          </cell>
          <cell r="C1662" t="str">
            <v>ケロケロけろっぴ</v>
          </cell>
          <cell r="D1662" t="str">
            <v>ケロケロけろっぴ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green</v>
          </cell>
          <cell r="I1662">
            <v>3</v>
          </cell>
          <cell r="J1662" t="str">
            <v>PremiumS</v>
          </cell>
          <cell r="K1662" t="str">
            <v>balance</v>
          </cell>
          <cell r="L1662" t="str">
            <v>バランスタイプ</v>
          </cell>
          <cell r="M1662" t="str">
            <v>ss</v>
          </cell>
        </row>
        <row r="1663">
          <cell r="A1663">
            <v>8062</v>
          </cell>
          <cell r="B1663" t="str">
            <v>ja</v>
          </cell>
          <cell r="C1663" t="str">
            <v>ケロケロけろっぴ</v>
          </cell>
          <cell r="D1663" t="str">
            <v>ケロケロけろっぴ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green</v>
          </cell>
          <cell r="I1663">
            <v>4</v>
          </cell>
          <cell r="J1663" t="str">
            <v>PremiumS</v>
          </cell>
          <cell r="K1663" t="str">
            <v>balance</v>
          </cell>
          <cell r="L1663" t="str">
            <v>バランスタイプ</v>
          </cell>
          <cell r="M1663" t="str">
            <v>ss</v>
          </cell>
        </row>
        <row r="1664">
          <cell r="A1664">
            <v>8063</v>
          </cell>
          <cell r="B1664" t="str">
            <v>ja</v>
          </cell>
          <cell r="C1664" t="str">
            <v>モルドレッド_ポムポムプリンコスプレ</v>
          </cell>
          <cell r="D1664" t="str">
            <v>モルドレッド_ポムポムプリンコスプレ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blue</v>
          </cell>
          <cell r="I1664">
            <v>5</v>
          </cell>
          <cell r="J1664" t="str">
            <v>PremiumSS</v>
          </cell>
          <cell r="K1664" t="str">
            <v>heal</v>
          </cell>
          <cell r="L1664" t="str">
            <v>回復タイプ</v>
          </cell>
          <cell r="M1664" t="str">
            <v>ss</v>
          </cell>
        </row>
        <row r="1665">
          <cell r="A1665">
            <v>8064</v>
          </cell>
          <cell r="B1665" t="str">
            <v>ja</v>
          </cell>
          <cell r="C1665" t="str">
            <v>モルドレッド_ポムポムプリンコスプレ</v>
          </cell>
          <cell r="D1665" t="str">
            <v>モルドレッド_ポムポムプリンコスプレ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PremiumSS</v>
          </cell>
          <cell r="K1665" t="str">
            <v>heal</v>
          </cell>
          <cell r="L1665" t="str">
            <v>回復タイプ</v>
          </cell>
          <cell r="M1665" t="str">
            <v>ss</v>
          </cell>
        </row>
        <row r="1666">
          <cell r="A1666">
            <v>8065</v>
          </cell>
          <cell r="B1666" t="str">
            <v>ja</v>
          </cell>
          <cell r="C1666" t="str">
            <v>クロミ</v>
          </cell>
          <cell r="D1666" t="str">
            <v>クロミ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3</v>
          </cell>
          <cell r="J1666" t="str">
            <v>PremiumS</v>
          </cell>
          <cell r="K1666" t="str">
            <v>technical</v>
          </cell>
          <cell r="L1666" t="str">
            <v>テクニカルタイプ</v>
          </cell>
          <cell r="M1666" t="str">
            <v>ss</v>
          </cell>
        </row>
        <row r="1667">
          <cell r="A1667">
            <v>8066</v>
          </cell>
          <cell r="B1667" t="str">
            <v>ja</v>
          </cell>
          <cell r="C1667" t="str">
            <v>クロミ</v>
          </cell>
          <cell r="D1667" t="str">
            <v>クロミ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4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ss</v>
          </cell>
        </row>
        <row r="1668">
          <cell r="A1668">
            <v>8067</v>
          </cell>
          <cell r="B1668" t="str">
            <v>ja</v>
          </cell>
          <cell r="C1668" t="str">
            <v>バッドばつ丸</v>
          </cell>
          <cell r="D1668" t="str">
            <v>バッドばつ丸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3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8068</v>
          </cell>
          <cell r="B1669" t="str">
            <v>ja</v>
          </cell>
          <cell r="C1669" t="str">
            <v>バッドばつ丸</v>
          </cell>
          <cell r="D1669" t="str">
            <v>バッドばつ丸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8069</v>
          </cell>
          <cell r="B1670" t="str">
            <v>ja</v>
          </cell>
          <cell r="C1670" t="str">
            <v>シナモロール</v>
          </cell>
          <cell r="D1670" t="str">
            <v>シナモロール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yellow</v>
          </cell>
          <cell r="I1670">
            <v>4</v>
          </cell>
          <cell r="J1670" t="str">
            <v>PremiumS</v>
          </cell>
          <cell r="K1670" t="str">
            <v>heal</v>
          </cell>
          <cell r="L1670" t="str">
            <v>回復タイプ</v>
          </cell>
          <cell r="M1670" t="str">
            <v>ss</v>
          </cell>
        </row>
        <row r="1671">
          <cell r="A1671">
            <v>8070</v>
          </cell>
          <cell r="B1671" t="str">
            <v>ja</v>
          </cell>
          <cell r="C1671" t="str">
            <v>シナモロール</v>
          </cell>
          <cell r="D1671" t="str">
            <v>シナモロール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yellow</v>
          </cell>
          <cell r="I1671">
            <v>5</v>
          </cell>
          <cell r="J1671" t="str">
            <v>PremiumS</v>
          </cell>
          <cell r="K1671" t="str">
            <v>heal</v>
          </cell>
          <cell r="L1671" t="str">
            <v>回復タイプ</v>
          </cell>
          <cell r="M1671" t="str">
            <v>ss</v>
          </cell>
        </row>
        <row r="1672">
          <cell r="A1672">
            <v>8071</v>
          </cell>
          <cell r="B1672" t="str">
            <v>ja</v>
          </cell>
          <cell r="C1672" t="str">
            <v>ポムポムプリン</v>
          </cell>
          <cell r="D1672" t="str">
            <v>ポムポムプリン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yellow</v>
          </cell>
          <cell r="I1672">
            <v>3</v>
          </cell>
          <cell r="J1672" t="str">
            <v>PremiumS</v>
          </cell>
          <cell r="K1672" t="str">
            <v>hp</v>
          </cell>
          <cell r="L1672" t="str">
            <v>体力タイプ</v>
          </cell>
          <cell r="M1672" t="str">
            <v>ss</v>
          </cell>
        </row>
        <row r="1673">
          <cell r="A1673">
            <v>8072</v>
          </cell>
          <cell r="B1673" t="str">
            <v>ja</v>
          </cell>
          <cell r="C1673" t="str">
            <v>ポムポムプリン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yellow</v>
          </cell>
          <cell r="I1673">
            <v>4</v>
          </cell>
          <cell r="J1673" t="str">
            <v>PremiumS</v>
          </cell>
          <cell r="K1673" t="str">
            <v>hp</v>
          </cell>
          <cell r="L1673" t="str">
            <v>体力タイプ</v>
          </cell>
          <cell r="M1673" t="str">
            <v>ss</v>
          </cell>
        </row>
        <row r="1674">
          <cell r="A1674">
            <v>8073</v>
          </cell>
          <cell r="B1674" t="str">
            <v>ja</v>
          </cell>
          <cell r="C1674" t="str">
            <v>星海祈る天光妃 媽祖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yellow</v>
          </cell>
          <cell r="I1674">
            <v>6</v>
          </cell>
          <cell r="J1674" t="str">
            <v>PremiumSS</v>
          </cell>
          <cell r="K1674" t="str">
            <v>attack</v>
          </cell>
          <cell r="L1674" t="str">
            <v>攻撃タイプ</v>
          </cell>
          <cell r="M1674" t="str">
            <v>human</v>
          </cell>
        </row>
        <row r="1675">
          <cell r="A1675">
            <v>8074</v>
          </cell>
          <cell r="B1675" t="str">
            <v>ja</v>
          </cell>
          <cell r="C1675" t="str">
            <v>海戀の絶龍姫 蛟龍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6</v>
          </cell>
          <cell r="J1675" t="str">
            <v>DropWizS</v>
          </cell>
          <cell r="K1675" t="str">
            <v>hp</v>
          </cell>
          <cell r="L1675" t="str">
            <v>体力タイプ</v>
          </cell>
          <cell r="M1675" t="str">
            <v>dragon</v>
          </cell>
        </row>
        <row r="1676">
          <cell r="A1676">
            <v>8075</v>
          </cell>
          <cell r="B1676" t="str">
            <v>ja</v>
          </cell>
          <cell r="C1676" t="str">
            <v>解脱天の知徳 三蔵法師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god</v>
          </cell>
        </row>
        <row r="1677">
          <cell r="A1677">
            <v>8076</v>
          </cell>
          <cell r="B1677" t="str">
            <v>ja</v>
          </cell>
          <cell r="C1677" t="str">
            <v>天暴の斉天大聖 孫悟空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unknown</v>
          </cell>
        </row>
        <row r="1678">
          <cell r="A1678">
            <v>8077</v>
          </cell>
          <cell r="B1678" t="str">
            <v>ja</v>
          </cell>
          <cell r="C1678" t="str">
            <v>鄭成功</v>
          </cell>
          <cell r="D1678" t="str">
            <v>ポムポムプリン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5</v>
          </cell>
          <cell r="J1678" t="str">
            <v>PremiumSS</v>
          </cell>
          <cell r="K1678" t="str">
            <v>attack</v>
          </cell>
          <cell r="L1678" t="str">
            <v>攻撃タイプ</v>
          </cell>
          <cell r="M1678" t="str">
            <v>human</v>
          </cell>
        </row>
        <row r="1679">
          <cell r="A1679">
            <v>8078</v>
          </cell>
          <cell r="B1679" t="str">
            <v>ja</v>
          </cell>
          <cell r="C1679" t="str">
            <v>レア６鄭成功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6</v>
          </cell>
          <cell r="J1679" t="str">
            <v>PremiumSS</v>
          </cell>
          <cell r="K1679" t="str">
            <v>attack</v>
          </cell>
          <cell r="L1679" t="str">
            <v>攻撃タイプ</v>
          </cell>
          <cell r="M1679" t="str">
            <v>human</v>
          </cell>
        </row>
        <row r="1680">
          <cell r="A1680">
            <v>8079</v>
          </cell>
          <cell r="B1680" t="str">
            <v>ja</v>
          </cell>
          <cell r="C1680" t="str">
            <v>赤鬼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red</v>
          </cell>
          <cell r="I1680">
            <v>5</v>
          </cell>
          <cell r="J1680" t="str">
            <v>DropWizS</v>
          </cell>
          <cell r="K1680" t="str">
            <v>hp</v>
          </cell>
          <cell r="L1680" t="str">
            <v>体力タイプ</v>
          </cell>
          <cell r="M1680" t="str">
            <v>dragon</v>
          </cell>
        </row>
        <row r="1681">
          <cell r="A1681">
            <v>8080</v>
          </cell>
          <cell r="B1681" t="str">
            <v>ja</v>
          </cell>
          <cell r="C1681" t="str">
            <v>レア６赤鬼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6</v>
          </cell>
          <cell r="J1681" t="str">
            <v>DropWizS</v>
          </cell>
          <cell r="K1681" t="str">
            <v>hp</v>
          </cell>
          <cell r="L1681" t="str">
            <v>体力タイプ</v>
          </cell>
          <cell r="M1681" t="str">
            <v>dragon</v>
          </cell>
        </row>
        <row r="1682">
          <cell r="A1682">
            <v>8081</v>
          </cell>
          <cell r="B1682" t="str">
            <v>ja</v>
          </cell>
          <cell r="C1682" t="str">
            <v>関羽</v>
          </cell>
          <cell r="H1682" t="str">
            <v>green</v>
          </cell>
          <cell r="I1682">
            <v>5</v>
          </cell>
          <cell r="J1682" t="str">
            <v>PremiumSSS</v>
          </cell>
          <cell r="K1682" t="str">
            <v>balance</v>
          </cell>
          <cell r="L1682" t="str">
            <v>バランスタイプ</v>
          </cell>
          <cell r="M1682" t="str">
            <v>samurai</v>
          </cell>
        </row>
        <row r="1683">
          <cell r="A1683">
            <v>8082</v>
          </cell>
          <cell r="B1683" t="str">
            <v>ja</v>
          </cell>
          <cell r="C1683" t="str">
            <v>★６関羽</v>
          </cell>
          <cell r="H1683" t="str">
            <v>green</v>
          </cell>
          <cell r="I1683">
            <v>6</v>
          </cell>
          <cell r="J1683" t="str">
            <v>PremiumSSS</v>
          </cell>
          <cell r="K1683" t="str">
            <v>balance</v>
          </cell>
          <cell r="L1683" t="str">
            <v>バランスタイプ</v>
          </cell>
          <cell r="M1683" t="str">
            <v>samurai</v>
          </cell>
        </row>
        <row r="1684">
          <cell r="A1684">
            <v>8083</v>
          </cell>
          <cell r="B1684" t="str">
            <v>ja</v>
          </cell>
          <cell r="C1684" t="str">
            <v>曹操</v>
          </cell>
          <cell r="H1684" t="str">
            <v>yellow</v>
          </cell>
          <cell r="I1684">
            <v>5</v>
          </cell>
          <cell r="J1684" t="str">
            <v>DropWizSS</v>
          </cell>
          <cell r="K1684" t="str">
            <v>technical</v>
          </cell>
          <cell r="L1684" t="str">
            <v>テクニカルタイプ</v>
          </cell>
          <cell r="M1684" t="str">
            <v>samurai</v>
          </cell>
        </row>
        <row r="1685">
          <cell r="A1685">
            <v>8084</v>
          </cell>
          <cell r="B1685" t="str">
            <v>ja</v>
          </cell>
          <cell r="C1685" t="str">
            <v>★６曹操</v>
          </cell>
          <cell r="H1685" t="str">
            <v>yellow</v>
          </cell>
          <cell r="I1685">
            <v>6</v>
          </cell>
          <cell r="J1685" t="str">
            <v>DropWizSS</v>
          </cell>
          <cell r="K1685" t="str">
            <v>technical</v>
          </cell>
          <cell r="L1685" t="str">
            <v>テクニカルタイプ</v>
          </cell>
          <cell r="M1685" t="str">
            <v>samurai</v>
          </cell>
        </row>
        <row r="1686">
          <cell r="A1686">
            <v>8085</v>
          </cell>
          <cell r="B1686" t="str">
            <v>ja</v>
          </cell>
          <cell r="C1686" t="str">
            <v>九霊無上の聖母 西王娘娘</v>
          </cell>
          <cell r="H1686" t="str">
            <v>green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god</v>
          </cell>
        </row>
        <row r="1687">
          <cell r="A1687">
            <v>8086</v>
          </cell>
          <cell r="B1687" t="str">
            <v>ja</v>
          </cell>
          <cell r="C1687" t="str">
            <v>砕縁の情滅剣 月下老人</v>
          </cell>
          <cell r="H1687" t="str">
            <v>yellow</v>
          </cell>
          <cell r="I1687">
            <v>6</v>
          </cell>
          <cell r="J1687" t="str">
            <v>DropWizS</v>
          </cell>
          <cell r="K1687" t="str">
            <v>attack</v>
          </cell>
          <cell r="L1687" t="str">
            <v>攻撃タイプ</v>
          </cell>
          <cell r="M1687" t="str">
            <v>god</v>
          </cell>
        </row>
        <row r="1688">
          <cell r="A1688">
            <v>8087</v>
          </cell>
          <cell r="B1688" t="str">
            <v>ja</v>
          </cell>
          <cell r="C1688" t="str">
            <v>財神</v>
          </cell>
          <cell r="H1688" t="str">
            <v>red</v>
          </cell>
          <cell r="I1688">
            <v>5</v>
          </cell>
          <cell r="J1688" t="str">
            <v>PremiumSSS</v>
          </cell>
          <cell r="K1688" t="str">
            <v>technical</v>
          </cell>
          <cell r="L1688" t="str">
            <v>テクニカルタイプ</v>
          </cell>
          <cell r="M1688" t="str">
            <v>god</v>
          </cell>
        </row>
        <row r="1689">
          <cell r="A1689">
            <v>8088</v>
          </cell>
          <cell r="B1689" t="str">
            <v>ja</v>
          </cell>
          <cell r="C1689" t="str">
            <v>★６財神</v>
          </cell>
          <cell r="H1689" t="str">
            <v>red</v>
          </cell>
          <cell r="I1689">
            <v>6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god</v>
          </cell>
        </row>
        <row r="1690">
          <cell r="A1690">
            <v>8089</v>
          </cell>
          <cell r="B1690" t="str">
            <v>ja</v>
          </cell>
          <cell r="C1690" t="str">
            <v>年獣</v>
          </cell>
          <cell r="H1690" t="str">
            <v>green</v>
          </cell>
          <cell r="I1690">
            <v>5</v>
          </cell>
          <cell r="J1690" t="str">
            <v>DropWizS</v>
          </cell>
          <cell r="K1690" t="str">
            <v>attack</v>
          </cell>
          <cell r="L1690" t="str">
            <v>攻撃タイプ</v>
          </cell>
          <cell r="M1690" t="str">
            <v>animal</v>
          </cell>
        </row>
        <row r="1691">
          <cell r="A1691">
            <v>8090</v>
          </cell>
          <cell r="B1691" t="str">
            <v>ja</v>
          </cell>
          <cell r="C1691" t="str">
            <v>★６年獣</v>
          </cell>
          <cell r="H1691" t="str">
            <v>green</v>
          </cell>
          <cell r="I1691">
            <v>6</v>
          </cell>
          <cell r="J1691" t="str">
            <v>DropWizS</v>
          </cell>
          <cell r="K1691" t="str">
            <v>attack</v>
          </cell>
          <cell r="L1691" t="str">
            <v>攻撃タイプ</v>
          </cell>
          <cell r="M1691" t="str">
            <v>animal</v>
          </cell>
        </row>
        <row r="1692">
          <cell r="A1692">
            <v>8095</v>
          </cell>
          <cell r="B1692" t="str">
            <v>ja</v>
          </cell>
          <cell r="C1692" t="str">
            <v>バハムートダック赤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6</v>
          </cell>
          <cell r="J1692" t="str">
            <v>Material</v>
          </cell>
          <cell r="K1692" t="str">
            <v>exp</v>
          </cell>
          <cell r="L1692" t="str">
            <v>強化素材タイプ</v>
          </cell>
          <cell r="M1692" t="str">
            <v>unknown</v>
          </cell>
        </row>
        <row r="1693">
          <cell r="A1693">
            <v>8096</v>
          </cell>
          <cell r="B1693" t="str">
            <v>ja</v>
          </cell>
          <cell r="C1693" t="str">
            <v>バハムートダック緑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green</v>
          </cell>
          <cell r="I1693">
            <v>6</v>
          </cell>
          <cell r="J1693" t="str">
            <v>Material</v>
          </cell>
          <cell r="K1693" t="str">
            <v>exp</v>
          </cell>
          <cell r="L1693" t="str">
            <v>強化素材タイプ</v>
          </cell>
          <cell r="M1693" t="str">
            <v>unknown</v>
          </cell>
        </row>
        <row r="1694">
          <cell r="A1694">
            <v>8097</v>
          </cell>
          <cell r="B1694" t="str">
            <v>ja</v>
          </cell>
          <cell r="C1694" t="str">
            <v>バハムートダック青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blue</v>
          </cell>
          <cell r="I1694">
            <v>6</v>
          </cell>
          <cell r="J1694" t="str">
            <v>Material</v>
          </cell>
          <cell r="K1694" t="str">
            <v>exp</v>
          </cell>
          <cell r="L1694" t="str">
            <v>強化素材タイプ</v>
          </cell>
          <cell r="M1694" t="str">
            <v>unknown</v>
          </cell>
        </row>
        <row r="1695">
          <cell r="A1695">
            <v>8098</v>
          </cell>
          <cell r="B1695" t="str">
            <v>ja</v>
          </cell>
          <cell r="C1695" t="str">
            <v>バハムートダック黄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yellow</v>
          </cell>
          <cell r="I1695">
            <v>6</v>
          </cell>
          <cell r="J1695" t="str">
            <v>Material</v>
          </cell>
          <cell r="K1695" t="str">
            <v>exp</v>
          </cell>
          <cell r="L1695" t="str">
            <v>強化素材タイプ</v>
          </cell>
          <cell r="M1695" t="str">
            <v>unknown</v>
          </cell>
        </row>
        <row r="1696">
          <cell r="A1696">
            <v>8099</v>
          </cell>
          <cell r="B1696" t="str">
            <v>ja</v>
          </cell>
          <cell r="C1696" t="str">
            <v>韓湘子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PremiumSSw</v>
          </cell>
          <cell r="K1696" t="str">
            <v>balance</v>
          </cell>
          <cell r="L1696" t="str">
            <v>バランスタイプ</v>
          </cell>
          <cell r="M1696" t="str">
            <v>god</v>
          </cell>
        </row>
        <row r="1697">
          <cell r="A1697">
            <v>8100</v>
          </cell>
          <cell r="B1697" t="str">
            <v>ja</v>
          </cell>
          <cell r="C1697" t="str">
            <v>韓湘子★６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6</v>
          </cell>
          <cell r="J1697" t="str">
            <v>PremiumSSw</v>
          </cell>
          <cell r="K1697" t="str">
            <v>balance</v>
          </cell>
          <cell r="L1697" t="str">
            <v>バランスタイプ</v>
          </cell>
          <cell r="M1697" t="str">
            <v>god</v>
          </cell>
        </row>
        <row r="1698">
          <cell r="A1698">
            <v>8101</v>
          </cell>
          <cell r="B1698" t="str">
            <v>ja</v>
          </cell>
          <cell r="C1698" t="str">
            <v>張果老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yellow</v>
          </cell>
          <cell r="I1698">
            <v>5</v>
          </cell>
          <cell r="J1698" t="str">
            <v>DropWizS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8102</v>
          </cell>
          <cell r="B1699" t="str">
            <v>ja</v>
          </cell>
          <cell r="C1699" t="str">
            <v>張果老★６</v>
          </cell>
          <cell r="D1699" t="str">
            <v>各属性相性良3・黄・R455</v>
          </cell>
          <cell r="E1699" t="str">
            <v>執行者</v>
          </cell>
          <cell r="F1699" t="str">
            <v>格好いい</v>
          </cell>
          <cell r="G1699" t="str">
            <v>男性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8103</v>
          </cell>
          <cell r="B1700" t="str">
            <v>ja</v>
          </cell>
          <cell r="C1700" t="str">
            <v>李鐵拐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PremiumSSw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8104</v>
          </cell>
          <cell r="B1701" t="str">
            <v>ja</v>
          </cell>
          <cell r="C1701" t="str">
            <v>李鐵拐★６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PremiumSSw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8105</v>
          </cell>
          <cell r="B1702" t="str">
            <v>ja</v>
          </cell>
          <cell r="C1702" t="str">
            <v>曹國舅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hp</v>
          </cell>
          <cell r="L1702" t="str">
            <v>体力タイプ</v>
          </cell>
          <cell r="M1702" t="str">
            <v>god</v>
          </cell>
        </row>
        <row r="1703">
          <cell r="A1703">
            <v>8106</v>
          </cell>
          <cell r="B1703" t="str">
            <v>ja</v>
          </cell>
          <cell r="C1703" t="str">
            <v>曹國舅★６</v>
          </cell>
          <cell r="D1703" t="str">
            <v>各属性相性良3・黄・R455</v>
          </cell>
          <cell r="E1703" t="str">
            <v>執行者</v>
          </cell>
          <cell r="F1703" t="str">
            <v>格好いい</v>
          </cell>
          <cell r="G1703" t="str">
            <v>男性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hp</v>
          </cell>
          <cell r="L1703" t="str">
            <v>体力タイプ</v>
          </cell>
          <cell r="M1703" t="str">
            <v>god</v>
          </cell>
        </row>
        <row r="1704">
          <cell r="A1704">
            <v>8111</v>
          </cell>
          <cell r="B1704" t="str">
            <v>ja</v>
          </cell>
          <cell r="C1704" t="str">
            <v>福德正神</v>
          </cell>
          <cell r="H1704" t="str">
            <v>blue</v>
          </cell>
          <cell r="I1704">
            <v>5</v>
          </cell>
          <cell r="J1704" t="str">
            <v>Drop2N</v>
          </cell>
          <cell r="K1704" t="str">
            <v>heal</v>
          </cell>
          <cell r="L1704" t="str">
            <v>回復タイプ</v>
          </cell>
          <cell r="M1704" t="str">
            <v>god</v>
          </cell>
        </row>
        <row r="1705">
          <cell r="A1705">
            <v>8112</v>
          </cell>
          <cell r="B1705" t="str">
            <v>ja</v>
          </cell>
          <cell r="C1705" t="str">
            <v>福德正神★６</v>
          </cell>
          <cell r="H1705" t="str">
            <v>blue</v>
          </cell>
          <cell r="I1705">
            <v>6</v>
          </cell>
          <cell r="J1705" t="str">
            <v>Drop2N</v>
          </cell>
          <cell r="K1705" t="str">
            <v>heal</v>
          </cell>
          <cell r="L1705" t="str">
            <v>回復タイプ</v>
          </cell>
          <cell r="M1705" t="str">
            <v>god</v>
          </cell>
        </row>
        <row r="1706">
          <cell r="A1706">
            <v>8113</v>
          </cell>
          <cell r="B1706" t="str">
            <v>ja</v>
          </cell>
          <cell r="C1706" t="str">
            <v>孔子</v>
          </cell>
          <cell r="H1706" t="str">
            <v>yellow</v>
          </cell>
          <cell r="I1706">
            <v>5</v>
          </cell>
          <cell r="J1706" t="str">
            <v>PremiumSSS</v>
          </cell>
          <cell r="K1706" t="str">
            <v>attack</v>
          </cell>
          <cell r="L1706" t="str">
            <v>攻撃タイプ</v>
          </cell>
          <cell r="M1706" t="str">
            <v>academia</v>
          </cell>
        </row>
        <row r="1707">
          <cell r="A1707">
            <v>8114</v>
          </cell>
          <cell r="B1707" t="str">
            <v>ja</v>
          </cell>
          <cell r="C1707" t="str">
            <v>孔子★６</v>
          </cell>
          <cell r="H1707" t="str">
            <v>yellow</v>
          </cell>
          <cell r="I1707">
            <v>6</v>
          </cell>
          <cell r="J1707" t="str">
            <v>PremiumSSS</v>
          </cell>
          <cell r="K1707" t="str">
            <v>attack</v>
          </cell>
          <cell r="L1707" t="str">
            <v>攻撃タイプ</v>
          </cell>
          <cell r="M1707" t="str">
            <v>academia</v>
          </cell>
        </row>
        <row r="1708">
          <cell r="A1708">
            <v>8115</v>
          </cell>
          <cell r="B1708" t="str">
            <v>ja</v>
          </cell>
          <cell r="C1708" t="str">
            <v>贏政</v>
          </cell>
          <cell r="H1708" t="str">
            <v>blue</v>
          </cell>
          <cell r="I1708">
            <v>5</v>
          </cell>
          <cell r="J1708" t="str">
            <v>DropWizSS</v>
          </cell>
          <cell r="K1708" t="str">
            <v>attack</v>
          </cell>
          <cell r="L1708" t="str">
            <v>攻撃タイプ</v>
          </cell>
          <cell r="M1708" t="str">
            <v>human</v>
          </cell>
        </row>
        <row r="1709">
          <cell r="A1709">
            <v>8116</v>
          </cell>
          <cell r="B1709" t="str">
            <v>ja</v>
          </cell>
          <cell r="C1709" t="str">
            <v>贏政★６</v>
          </cell>
          <cell r="H1709" t="str">
            <v>blue</v>
          </cell>
          <cell r="I1709">
            <v>6</v>
          </cell>
          <cell r="J1709" t="str">
            <v>DropWizSS</v>
          </cell>
          <cell r="K1709" t="str">
            <v>attack</v>
          </cell>
          <cell r="L1709" t="str">
            <v>攻撃タイプ</v>
          </cell>
          <cell r="M1709" t="str">
            <v>human</v>
          </cell>
        </row>
        <row r="1710">
          <cell r="A1710">
            <v>8117</v>
          </cell>
          <cell r="B1710" t="str">
            <v>ja</v>
          </cell>
          <cell r="C1710" t="str">
            <v>白娘子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green</v>
          </cell>
          <cell r="I1710">
            <v>5</v>
          </cell>
          <cell r="J1710" t="str">
            <v>PremiumSSw</v>
          </cell>
          <cell r="K1710" t="str">
            <v>heal</v>
          </cell>
          <cell r="L1710" t="str">
            <v>回復タイプ</v>
          </cell>
          <cell r="M1710" t="str">
            <v>dragon</v>
          </cell>
        </row>
        <row r="1711">
          <cell r="A1711">
            <v>8118</v>
          </cell>
          <cell r="B1711" t="str">
            <v>ja</v>
          </cell>
          <cell r="C1711" t="str">
            <v>白娘子★６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green</v>
          </cell>
          <cell r="I1711">
            <v>6</v>
          </cell>
          <cell r="J1711" t="str">
            <v>PremiumSSw</v>
          </cell>
          <cell r="K1711" t="str">
            <v>heal</v>
          </cell>
          <cell r="L1711" t="str">
            <v>回復タイプ</v>
          </cell>
          <cell r="M1711" t="str">
            <v>dragon</v>
          </cell>
        </row>
        <row r="1712">
          <cell r="A1712">
            <v>8119</v>
          </cell>
          <cell r="B1712" t="str">
            <v>ja</v>
          </cell>
          <cell r="C1712" t="str">
            <v>小青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green</v>
          </cell>
          <cell r="I1712">
            <v>5</v>
          </cell>
          <cell r="J1712" t="str">
            <v>PremiumSSw</v>
          </cell>
          <cell r="K1712" t="str">
            <v>attack</v>
          </cell>
          <cell r="L1712" t="str">
            <v>攻撃タイプ</v>
          </cell>
          <cell r="M1712" t="str">
            <v>dragon</v>
          </cell>
        </row>
        <row r="1713">
          <cell r="A1713">
            <v>8120</v>
          </cell>
          <cell r="B1713" t="str">
            <v>ja</v>
          </cell>
          <cell r="C1713" t="str">
            <v>小青★６</v>
          </cell>
          <cell r="D1713" t="str">
            <v>ポムポムプリン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green</v>
          </cell>
          <cell r="I1713">
            <v>6</v>
          </cell>
          <cell r="J1713" t="str">
            <v>PremiumSSw</v>
          </cell>
          <cell r="K1713" t="str">
            <v>attack</v>
          </cell>
          <cell r="L1713" t="str">
            <v>攻撃タイプ</v>
          </cell>
          <cell r="M1713" t="str">
            <v>dragon</v>
          </cell>
        </row>
        <row r="1714">
          <cell r="A1714">
            <v>8121</v>
          </cell>
          <cell r="B1714" t="str">
            <v>ja</v>
          </cell>
          <cell r="C1714" t="str">
            <v>法海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yellow</v>
          </cell>
          <cell r="I1714">
            <v>5</v>
          </cell>
          <cell r="J1714" t="str">
            <v>DropWizS</v>
          </cell>
          <cell r="K1714" t="str">
            <v>attack</v>
          </cell>
          <cell r="L1714" t="str">
            <v>攻撃タイプ</v>
          </cell>
          <cell r="M1714" t="str">
            <v>human</v>
          </cell>
        </row>
        <row r="1715">
          <cell r="A1715">
            <v>8122</v>
          </cell>
          <cell r="B1715" t="str">
            <v>ja</v>
          </cell>
          <cell r="C1715" t="str">
            <v>法海★６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yellow</v>
          </cell>
          <cell r="I1715">
            <v>6</v>
          </cell>
          <cell r="J1715" t="str">
            <v>DropWizS</v>
          </cell>
          <cell r="K1715" t="str">
            <v>attack</v>
          </cell>
          <cell r="L1715" t="str">
            <v>攻撃タイプ</v>
          </cell>
          <cell r="M1715" t="str">
            <v>human</v>
          </cell>
        </row>
        <row r="1716">
          <cell r="A1716">
            <v>8123</v>
          </cell>
          <cell r="B1716" t="str">
            <v>ja</v>
          </cell>
          <cell r="C1716" t="str">
            <v>哪吒</v>
          </cell>
          <cell r="D1716" t="str">
            <v>各属性相性良3・黄・R455</v>
          </cell>
          <cell r="E1716" t="str">
            <v>執行者</v>
          </cell>
          <cell r="F1716" t="str">
            <v>格好いい</v>
          </cell>
          <cell r="G1716" t="str">
            <v>男性</v>
          </cell>
          <cell r="H1716" t="str">
            <v>yellow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human</v>
          </cell>
        </row>
        <row r="1717">
          <cell r="A1717">
            <v>8124</v>
          </cell>
          <cell r="B1717" t="str">
            <v>ja</v>
          </cell>
          <cell r="C1717" t="str">
            <v>★6哪吒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yellow</v>
          </cell>
          <cell r="I1717">
            <v>6</v>
          </cell>
          <cell r="J1717" t="str">
            <v>DropWizS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8125</v>
          </cell>
          <cell r="B1718" t="str">
            <v>ja</v>
          </cell>
          <cell r="C1718" t="str">
            <v>東海龍王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yellow</v>
          </cell>
          <cell r="I1718">
            <v>6</v>
          </cell>
          <cell r="J1718" t="str">
            <v>DropWizS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8126</v>
          </cell>
          <cell r="B1719" t="str">
            <v>ja</v>
          </cell>
          <cell r="C1719" t="str">
            <v>★6東海龍王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yellow</v>
          </cell>
          <cell r="I1719">
            <v>6</v>
          </cell>
          <cell r="J1719" t="str">
            <v>DropWizS</v>
          </cell>
          <cell r="K1719" t="str">
            <v>attack</v>
          </cell>
          <cell r="L1719" t="str">
            <v>攻撃タイプ</v>
          </cell>
          <cell r="M1719" t="str">
            <v>human</v>
          </cell>
        </row>
        <row r="1720">
          <cell r="A1720">
            <v>8127</v>
          </cell>
          <cell r="B1720" t="str">
            <v>ja</v>
          </cell>
          <cell r="C1720" t="str">
            <v>鐵扇公主 ‧ 羅剎女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green</v>
          </cell>
          <cell r="I1720">
            <v>6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demon</v>
          </cell>
        </row>
        <row r="1721">
          <cell r="A1721">
            <v>8128</v>
          </cell>
          <cell r="B1721" t="str">
            <v>ja</v>
          </cell>
          <cell r="C1721" t="str">
            <v>聖賢哲者 ‧ 唐三藏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green</v>
          </cell>
          <cell r="I1721">
            <v>6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god</v>
          </cell>
        </row>
        <row r="1722">
          <cell r="A1722">
            <v>8129</v>
          </cell>
          <cell r="B1722" t="str">
            <v>ja</v>
          </cell>
          <cell r="C1722" t="str">
            <v>放任孽魔 ‧ 撒旦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blue</v>
          </cell>
          <cell r="I1722">
            <v>6</v>
          </cell>
          <cell r="J1722" t="str">
            <v>PremiumSS</v>
          </cell>
          <cell r="K1722" t="str">
            <v>technical</v>
          </cell>
          <cell r="L1722" t="str">
            <v>テクニカルタイプ</v>
          </cell>
          <cell r="M1722" t="str">
            <v>demon</v>
          </cell>
        </row>
        <row r="1723">
          <cell r="A1723">
            <v>8130</v>
          </cell>
          <cell r="B1723" t="str">
            <v>ja</v>
          </cell>
          <cell r="C1723" t="str">
            <v>變臉火術 ‧ 切西亞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god</v>
          </cell>
        </row>
        <row r="1724">
          <cell r="A1724">
            <v>8131</v>
          </cell>
          <cell r="B1724" t="str">
            <v>ja</v>
          </cell>
          <cell r="C1724" t="str">
            <v>預知者之歷劫 ‧ 卡珊德拉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heal</v>
          </cell>
          <cell r="L1724" t="str">
            <v>回復タイプ</v>
          </cell>
          <cell r="M1724" t="str">
            <v>human</v>
          </cell>
        </row>
        <row r="1725">
          <cell r="A1725">
            <v>8132</v>
          </cell>
          <cell r="B1725" t="str">
            <v>ja</v>
          </cell>
          <cell r="C1725" t="str">
            <v>罪與責之承諾 ‧ 美狄亞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red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human</v>
          </cell>
        </row>
        <row r="1726">
          <cell r="A1726">
            <v>8133</v>
          </cell>
          <cell r="B1726" t="str">
            <v>ja</v>
          </cell>
          <cell r="C1726" t="str">
            <v>大魔導士 ‧ 莫莉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blue</v>
          </cell>
          <cell r="I1726">
            <v>5</v>
          </cell>
          <cell r="J1726" t="str">
            <v>PremiumS</v>
          </cell>
          <cell r="K1726" t="str">
            <v>heal</v>
          </cell>
          <cell r="L1726" t="str">
            <v>回復タイプ</v>
          </cell>
          <cell r="M1726" t="str">
            <v>human</v>
          </cell>
        </row>
        <row r="1727">
          <cell r="A1727">
            <v>8134</v>
          </cell>
          <cell r="B1727" t="str">
            <v>ja</v>
          </cell>
          <cell r="C1727" t="str">
            <v>龍焰騎士 ‧ 肖恩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red</v>
          </cell>
          <cell r="I1727">
            <v>5</v>
          </cell>
          <cell r="J1727" t="str">
            <v>PremiumS</v>
          </cell>
          <cell r="K1727" t="str">
            <v>balance</v>
          </cell>
          <cell r="L1727" t="str">
            <v>バランスタイプ</v>
          </cell>
          <cell r="M1727" t="str">
            <v>human</v>
          </cell>
        </row>
        <row r="1728">
          <cell r="A1728">
            <v>8135</v>
          </cell>
          <cell r="B1728" t="str">
            <v>ja</v>
          </cell>
          <cell r="C1728" t="str">
            <v>混沌之翼 ‧ 路西法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5</v>
          </cell>
          <cell r="J1728" t="str">
            <v>DropWizSS</v>
          </cell>
          <cell r="K1728" t="str">
            <v>attack</v>
          </cell>
          <cell r="L1728" t="str">
            <v>攻撃タイプ</v>
          </cell>
          <cell r="M1728" t="str">
            <v>god</v>
          </cell>
        </row>
        <row r="1729">
          <cell r="A1729">
            <v>8136</v>
          </cell>
          <cell r="B1729" t="str">
            <v>ja</v>
          </cell>
          <cell r="C1729" t="str">
            <v>混沌之翼 ‧ 路西法★6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DropWizSS</v>
          </cell>
          <cell r="K1729" t="str">
            <v>attack</v>
          </cell>
          <cell r="L1729" t="str">
            <v>攻撃タイプ</v>
          </cell>
          <cell r="M1729" t="str">
            <v>god</v>
          </cell>
        </row>
        <row r="1730">
          <cell r="A1730">
            <v>8137</v>
          </cell>
          <cell r="B1730" t="str">
            <v>ja</v>
          </cell>
          <cell r="C1730" t="str">
            <v>黑巫術之疚惡 ‧ 喀耳刻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balance</v>
          </cell>
          <cell r="L1730" t="str">
            <v>バランスタイプ</v>
          </cell>
          <cell r="M1730" t="str">
            <v>human</v>
          </cell>
        </row>
        <row r="1731">
          <cell r="A1731">
            <v>8138</v>
          </cell>
          <cell r="B1731" t="str">
            <v>ja</v>
          </cell>
          <cell r="C1731" t="str">
            <v>死靈魔導 ‧ 安多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red</v>
          </cell>
          <cell r="I1731">
            <v>5</v>
          </cell>
          <cell r="J1731" t="str">
            <v>Drop2N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9001</v>
          </cell>
          <cell r="B1732" t="str">
            <v>ja</v>
          </cell>
          <cell r="C1732" t="str">
            <v>春香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red</v>
          </cell>
          <cell r="I1732">
            <v>5</v>
          </cell>
          <cell r="J1732" t="str">
            <v>PremiumSSw</v>
          </cell>
          <cell r="K1732" t="str">
            <v>attack</v>
          </cell>
          <cell r="L1732" t="str">
            <v>攻撃タイプ</v>
          </cell>
          <cell r="M1732" t="str">
            <v>human</v>
          </cell>
        </row>
        <row r="1733">
          <cell r="A1733">
            <v>9002</v>
          </cell>
          <cell r="B1733" t="str">
            <v>ja</v>
          </cell>
          <cell r="C1733" t="str">
            <v>春香★６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red</v>
          </cell>
          <cell r="I1733">
            <v>6</v>
          </cell>
          <cell r="J1733" t="str">
            <v>PremiumSSw</v>
          </cell>
          <cell r="K1733" t="str">
            <v>attack</v>
          </cell>
          <cell r="L1733" t="str">
            <v>攻撃タイプ</v>
          </cell>
          <cell r="M1733" t="str">
            <v>human</v>
          </cell>
        </row>
        <row r="1734">
          <cell r="A1734">
            <v>9003</v>
          </cell>
          <cell r="B1734" t="str">
            <v>ja</v>
          </cell>
          <cell r="C1734" t="str">
            <v>夢龍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green</v>
          </cell>
          <cell r="I1734">
            <v>5</v>
          </cell>
          <cell r="J1734" t="str">
            <v>DropWizS</v>
          </cell>
          <cell r="K1734" t="str">
            <v>heal</v>
          </cell>
          <cell r="L1734" t="str">
            <v>回復タイプ</v>
          </cell>
          <cell r="M1734" t="str">
            <v>dragon</v>
          </cell>
        </row>
        <row r="1735">
          <cell r="A1735">
            <v>9004</v>
          </cell>
          <cell r="B1735" t="str">
            <v>ja</v>
          </cell>
          <cell r="C1735" t="str">
            <v>夢龍★６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green</v>
          </cell>
          <cell r="I1735">
            <v>6</v>
          </cell>
          <cell r="J1735" t="str">
            <v>DropWizS</v>
          </cell>
          <cell r="K1735" t="str">
            <v>heal</v>
          </cell>
          <cell r="L1735" t="str">
            <v>回復タイプ</v>
          </cell>
          <cell r="M1735" t="str">
            <v>dragon</v>
          </cell>
        </row>
        <row r="1736">
          <cell r="A1736">
            <v>9005</v>
          </cell>
          <cell r="B1736" t="str">
            <v>ja</v>
          </cell>
          <cell r="C1736" t="str">
            <v>降臨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blue</v>
          </cell>
          <cell r="I1736">
            <v>5</v>
          </cell>
          <cell r="J1736" t="str">
            <v>PremiumSSw</v>
          </cell>
          <cell r="K1736" t="str">
            <v>hp</v>
          </cell>
          <cell r="L1736" t="str">
            <v>体力タイプ</v>
          </cell>
          <cell r="M1736" t="str">
            <v>demon</v>
          </cell>
        </row>
        <row r="1737">
          <cell r="A1737">
            <v>9006</v>
          </cell>
          <cell r="B1737" t="str">
            <v>ja</v>
          </cell>
          <cell r="C1737" t="str">
            <v>降臨★６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blue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demon</v>
          </cell>
        </row>
        <row r="1738">
          <cell r="A1738">
            <v>9007</v>
          </cell>
          <cell r="B1738" t="str">
            <v>ja</v>
          </cell>
          <cell r="C1738" t="str">
            <v>田禹治</v>
          </cell>
          <cell r="D1738" t="str">
            <v>ポムポムプリン</v>
          </cell>
          <cell r="E1738" t="str">
            <v>執行者</v>
          </cell>
          <cell r="F1738" t="str">
            <v>格好いい</v>
          </cell>
          <cell r="G1738" t="str">
            <v>女性</v>
          </cell>
          <cell r="H1738" t="str">
            <v>red</v>
          </cell>
          <cell r="I1738">
            <v>5</v>
          </cell>
          <cell r="J1738" t="str">
            <v>DropWizS</v>
          </cell>
          <cell r="K1738" t="str">
            <v>technical</v>
          </cell>
          <cell r="L1738" t="str">
            <v>テクニカルタイプ</v>
          </cell>
          <cell r="M1738" t="str">
            <v>hero</v>
          </cell>
        </row>
        <row r="1739">
          <cell r="A1739">
            <v>9008</v>
          </cell>
          <cell r="B1739" t="str">
            <v>ja</v>
          </cell>
          <cell r="C1739" t="str">
            <v>田禹治★６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6</v>
          </cell>
          <cell r="J1739" t="str">
            <v>DropWizS</v>
          </cell>
          <cell r="K1739" t="str">
            <v>technical</v>
          </cell>
          <cell r="L1739" t="str">
            <v>テクニカルタイプ</v>
          </cell>
          <cell r="M1739" t="str">
            <v>hero</v>
          </cell>
        </row>
        <row r="1740">
          <cell r="A1740">
            <v>10001</v>
          </cell>
          <cell r="B1740" t="str">
            <v>ja</v>
          </cell>
          <cell r="C1740" t="str">
            <v>テストユニット01</v>
          </cell>
          <cell r="H1740" t="str">
            <v>yellow</v>
          </cell>
          <cell r="I1740">
            <v>6</v>
          </cell>
          <cell r="J1740" t="str">
            <v>DropWizS</v>
          </cell>
          <cell r="K1740" t="str">
            <v>heal</v>
          </cell>
          <cell r="L1740" t="str">
            <v>回復タイプ</v>
          </cell>
          <cell r="M1740" t="str">
            <v>human</v>
          </cell>
        </row>
        <row r="1741">
          <cell r="A1741">
            <v>10002</v>
          </cell>
          <cell r="B1741" t="str">
            <v>ja</v>
          </cell>
          <cell r="C1741" t="str">
            <v>テストユニット02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technical</v>
          </cell>
          <cell r="L1741" t="str">
            <v>テクニカルタイプ</v>
          </cell>
          <cell r="M1741" t="str">
            <v>animal</v>
          </cell>
        </row>
        <row r="1742">
          <cell r="A1742">
            <v>10003</v>
          </cell>
          <cell r="B1742" t="str">
            <v>ja</v>
          </cell>
          <cell r="C1742" t="str">
            <v>テストユニット03</v>
          </cell>
          <cell r="H1742" t="str">
            <v>red</v>
          </cell>
          <cell r="I1742">
            <v>5</v>
          </cell>
          <cell r="J1742" t="str">
            <v>PremiumSSS</v>
          </cell>
          <cell r="K1742" t="str">
            <v>technical</v>
          </cell>
          <cell r="L1742" t="str">
            <v>テクニカルタイプ</v>
          </cell>
          <cell r="M1742" t="str">
            <v>academia</v>
          </cell>
        </row>
        <row r="1743">
          <cell r="A1743">
            <v>10004</v>
          </cell>
          <cell r="B1743" t="str">
            <v>ja</v>
          </cell>
          <cell r="C1743" t="str">
            <v>テストユニット04</v>
          </cell>
          <cell r="H1743" t="str">
            <v>red</v>
          </cell>
          <cell r="I1743">
            <v>6</v>
          </cell>
          <cell r="J1743" t="str">
            <v>PremiumSSS</v>
          </cell>
          <cell r="K1743" t="str">
            <v>technical</v>
          </cell>
          <cell r="L1743" t="str">
            <v>テクニカルタイプ</v>
          </cell>
          <cell r="M1743" t="str">
            <v>academia</v>
          </cell>
        </row>
        <row r="1744">
          <cell r="A1744">
            <v>10005</v>
          </cell>
          <cell r="B1744" t="str">
            <v>ja</v>
          </cell>
          <cell r="C1744" t="str">
            <v>テストユニット05</v>
          </cell>
          <cell r="H1744" t="str">
            <v>yellow</v>
          </cell>
          <cell r="I1744">
            <v>6</v>
          </cell>
          <cell r="J1744" t="str">
            <v>PremiumSS</v>
          </cell>
          <cell r="K1744" t="str">
            <v>technical</v>
          </cell>
          <cell r="L1744" t="str">
            <v>テクニカルタイプ</v>
          </cell>
          <cell r="M1744" t="str">
            <v>human</v>
          </cell>
        </row>
        <row r="1745">
          <cell r="A1745">
            <v>10006</v>
          </cell>
          <cell r="B1745" t="str">
            <v>ja</v>
          </cell>
          <cell r="C1745" t="str">
            <v>テストユニット06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attack</v>
          </cell>
          <cell r="L1745" t="str">
            <v>攻撃タイプ</v>
          </cell>
          <cell r="M1745" t="str">
            <v>animal</v>
          </cell>
        </row>
        <row r="1746">
          <cell r="A1746">
            <v>10007</v>
          </cell>
          <cell r="B1746" t="str">
            <v>ja</v>
          </cell>
          <cell r="C1746" t="str">
            <v>テストユニット07</v>
          </cell>
          <cell r="H1746" t="str">
            <v>yellow</v>
          </cell>
          <cell r="I1746">
            <v>5</v>
          </cell>
          <cell r="J1746" t="str">
            <v>PremiumSSS</v>
          </cell>
          <cell r="K1746" t="str">
            <v>technical</v>
          </cell>
          <cell r="L1746" t="str">
            <v>テクニカルタイプ</v>
          </cell>
          <cell r="M1746" t="str">
            <v>machine</v>
          </cell>
        </row>
        <row r="1747">
          <cell r="A1747">
            <v>10008</v>
          </cell>
          <cell r="B1747" t="str">
            <v>ja</v>
          </cell>
          <cell r="C1747" t="str">
            <v>テストユニット08</v>
          </cell>
          <cell r="H1747" t="str">
            <v>yellow</v>
          </cell>
          <cell r="I1747">
            <v>6</v>
          </cell>
          <cell r="J1747" t="str">
            <v>PremiumSSS</v>
          </cell>
          <cell r="K1747" t="str">
            <v>technical</v>
          </cell>
          <cell r="L1747" t="str">
            <v>テクニカルタイプ</v>
          </cell>
          <cell r="M1747" t="str">
            <v>machine</v>
          </cell>
        </row>
        <row r="1748">
          <cell r="A1748">
            <v>10009</v>
          </cell>
          <cell r="B1748" t="str">
            <v>ja</v>
          </cell>
          <cell r="C1748" t="str">
            <v>青テスト01</v>
          </cell>
          <cell r="H1748" t="str">
            <v>blue</v>
          </cell>
          <cell r="I1748">
            <v>6</v>
          </cell>
          <cell r="J1748" t="str">
            <v>DropWizS</v>
          </cell>
          <cell r="K1748" t="str">
            <v>heal</v>
          </cell>
          <cell r="L1748" t="str">
            <v>回復タイプ</v>
          </cell>
          <cell r="M1748" t="str">
            <v>human</v>
          </cell>
        </row>
        <row r="1749">
          <cell r="A1749">
            <v>10010</v>
          </cell>
          <cell r="B1749" t="str">
            <v>ja</v>
          </cell>
          <cell r="C1749" t="str">
            <v>赤テスト01</v>
          </cell>
          <cell r="H1749" t="str">
            <v>red</v>
          </cell>
          <cell r="I1749">
            <v>6</v>
          </cell>
          <cell r="J1749" t="str">
            <v>PremiumSSS</v>
          </cell>
          <cell r="K1749" t="str">
            <v>technical</v>
          </cell>
          <cell r="L1749" t="str">
            <v>テクニカルタイプ</v>
          </cell>
          <cell r="M1749" t="str">
            <v>human</v>
          </cell>
        </row>
        <row r="1750">
          <cell r="A1750">
            <v>10011</v>
          </cell>
          <cell r="B1750" t="str">
            <v>ja</v>
          </cell>
          <cell r="C1750" t="str">
            <v>テストユニット11</v>
          </cell>
          <cell r="H1750" t="str">
            <v>yellow</v>
          </cell>
          <cell r="I1750">
            <v>5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human</v>
          </cell>
        </row>
        <row r="1751">
          <cell r="A1751">
            <v>10012</v>
          </cell>
          <cell r="B1751" t="str">
            <v>ja</v>
          </cell>
          <cell r="C1751" t="str">
            <v>テストユニット12</v>
          </cell>
          <cell r="H1751" t="str">
            <v>blue</v>
          </cell>
          <cell r="I1751">
            <v>6</v>
          </cell>
          <cell r="J1751" t="str">
            <v>PremiumS</v>
          </cell>
          <cell r="K1751" t="str">
            <v>balance</v>
          </cell>
          <cell r="L1751" t="str">
            <v>バランスタイプ</v>
          </cell>
          <cell r="M1751" t="str">
            <v>human</v>
          </cell>
        </row>
        <row r="1752">
          <cell r="A1752">
            <v>10013</v>
          </cell>
          <cell r="B1752" t="str">
            <v>ja</v>
          </cell>
          <cell r="C1752" t="str">
            <v>テストユニット13</v>
          </cell>
          <cell r="H1752" t="str">
            <v>yellow</v>
          </cell>
          <cell r="I1752">
            <v>5</v>
          </cell>
          <cell r="J1752" t="str">
            <v>PremiumSSw</v>
          </cell>
          <cell r="K1752" t="str">
            <v>hp</v>
          </cell>
          <cell r="L1752" t="str">
            <v>体力タイプ</v>
          </cell>
          <cell r="M1752" t="str">
            <v>dragon</v>
          </cell>
        </row>
        <row r="1753">
          <cell r="A1753">
            <v>10014</v>
          </cell>
          <cell r="B1753" t="str">
            <v>ja</v>
          </cell>
          <cell r="C1753" t="str">
            <v>テストユニット14</v>
          </cell>
          <cell r="H1753" t="str">
            <v>yellow</v>
          </cell>
          <cell r="I1753">
            <v>6</v>
          </cell>
          <cell r="J1753" t="str">
            <v>PremiumSSw</v>
          </cell>
          <cell r="K1753" t="str">
            <v>hp</v>
          </cell>
          <cell r="L1753" t="str">
            <v>体力タイプ</v>
          </cell>
          <cell r="M1753" t="str">
            <v>dragon</v>
          </cell>
        </row>
        <row r="1754">
          <cell r="A1754">
            <v>10015</v>
          </cell>
          <cell r="B1754" t="str">
            <v>ja</v>
          </cell>
          <cell r="C1754" t="str">
            <v>テストユニット15</v>
          </cell>
          <cell r="H1754" t="str">
            <v>green</v>
          </cell>
          <cell r="I1754">
            <v>5</v>
          </cell>
          <cell r="J1754" t="str">
            <v>DropWizS</v>
          </cell>
          <cell r="K1754" t="str">
            <v>heal</v>
          </cell>
          <cell r="L1754" t="str">
            <v>回復タイプ</v>
          </cell>
          <cell r="M1754" t="str">
            <v>human</v>
          </cell>
        </row>
        <row r="1755">
          <cell r="A1755">
            <v>10016</v>
          </cell>
          <cell r="B1755" t="str">
            <v>ja</v>
          </cell>
          <cell r="C1755" t="str">
            <v>テストユニット16</v>
          </cell>
          <cell r="H1755" t="str">
            <v>green</v>
          </cell>
          <cell r="I1755">
            <v>6</v>
          </cell>
          <cell r="J1755" t="str">
            <v>DropWizS</v>
          </cell>
          <cell r="K1755" t="str">
            <v>heal</v>
          </cell>
          <cell r="L1755" t="str">
            <v>回復タイプ</v>
          </cell>
          <cell r="M1755" t="str">
            <v>human</v>
          </cell>
        </row>
        <row r="1756">
          <cell r="A1756">
            <v>10017</v>
          </cell>
          <cell r="B1756" t="str">
            <v>ja</v>
          </cell>
          <cell r="C1756" t="str">
            <v>テストユニット17</v>
          </cell>
          <cell r="H1756" t="str">
            <v>red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10018</v>
          </cell>
          <cell r="B1757" t="str">
            <v>ja</v>
          </cell>
          <cell r="C1757" t="str">
            <v>テストユニット18</v>
          </cell>
          <cell r="H1757" t="str">
            <v>blue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10019</v>
          </cell>
          <cell r="B1758" t="str">
            <v>ja</v>
          </cell>
          <cell r="C1758" t="str">
            <v>テストユニット19</v>
          </cell>
          <cell r="H1758" t="str">
            <v>green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10020</v>
          </cell>
          <cell r="B1759" t="str">
            <v>ja</v>
          </cell>
          <cell r="C1759" t="str">
            <v>テストユニット20</v>
          </cell>
          <cell r="H1759" t="str">
            <v>yellow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10021</v>
          </cell>
          <cell r="B1760" t="str">
            <v>ja</v>
          </cell>
          <cell r="C1760" t="str">
            <v>テストユニット21</v>
          </cell>
          <cell r="H1760" t="str">
            <v>blue</v>
          </cell>
          <cell r="I1760">
            <v>5</v>
          </cell>
          <cell r="J1760" t="str">
            <v>PremiumSSw</v>
          </cell>
          <cell r="K1760" t="str">
            <v>hp</v>
          </cell>
          <cell r="L1760" t="str">
            <v>体力タイプ</v>
          </cell>
          <cell r="M1760" t="str">
            <v>demon</v>
          </cell>
        </row>
        <row r="1761">
          <cell r="A1761">
            <v>10022</v>
          </cell>
          <cell r="B1761" t="str">
            <v>ja</v>
          </cell>
          <cell r="C1761" t="str">
            <v>テストユニット22</v>
          </cell>
          <cell r="H1761" t="str">
            <v>blue</v>
          </cell>
          <cell r="I1761">
            <v>6</v>
          </cell>
          <cell r="J1761" t="str">
            <v>PremiumSSw</v>
          </cell>
          <cell r="K1761" t="str">
            <v>hp</v>
          </cell>
          <cell r="L1761" t="str">
            <v>体力タイプ</v>
          </cell>
          <cell r="M1761" t="str">
            <v>demon</v>
          </cell>
        </row>
        <row r="1762">
          <cell r="A1762">
            <v>10023</v>
          </cell>
          <cell r="B1762" t="str">
            <v>ja</v>
          </cell>
          <cell r="C1762" t="str">
            <v>テストユニット23</v>
          </cell>
          <cell r="H1762" t="str">
            <v>green</v>
          </cell>
          <cell r="I1762">
            <v>5</v>
          </cell>
          <cell r="J1762" t="str">
            <v>PremiumSSw</v>
          </cell>
          <cell r="K1762" t="str">
            <v>heal</v>
          </cell>
          <cell r="L1762" t="str">
            <v>回復タイプ</v>
          </cell>
          <cell r="M1762" t="str">
            <v>dragon</v>
          </cell>
        </row>
        <row r="1763">
          <cell r="A1763">
            <v>10024</v>
          </cell>
          <cell r="B1763" t="str">
            <v>ja</v>
          </cell>
          <cell r="C1763" t="str">
            <v>テストユニット24</v>
          </cell>
          <cell r="H1763" t="str">
            <v>green</v>
          </cell>
          <cell r="I1763">
            <v>6</v>
          </cell>
          <cell r="J1763" t="str">
            <v>PremiumSSw</v>
          </cell>
          <cell r="K1763" t="str">
            <v>hp</v>
          </cell>
          <cell r="L1763" t="str">
            <v>体力タイプ</v>
          </cell>
          <cell r="M1763" t="str">
            <v>dragon</v>
          </cell>
        </row>
        <row r="1764">
          <cell r="A1764">
            <v>10025</v>
          </cell>
          <cell r="B1764" t="str">
            <v>ja</v>
          </cell>
          <cell r="C1764" t="str">
            <v>テストユニット25</v>
          </cell>
          <cell r="H1764" t="str">
            <v>red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10026</v>
          </cell>
          <cell r="B1765" t="str">
            <v>ja</v>
          </cell>
          <cell r="C1765" t="str">
            <v>テストユニット26</v>
          </cell>
          <cell r="H1765" t="str">
            <v>red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10027</v>
          </cell>
          <cell r="B1766" t="str">
            <v>ja</v>
          </cell>
          <cell r="C1766" t="str">
            <v>テストユニット27</v>
          </cell>
          <cell r="H1766" t="str">
            <v>green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10028</v>
          </cell>
          <cell r="B1767" t="str">
            <v>ja</v>
          </cell>
          <cell r="C1767" t="str">
            <v>テストユニット28</v>
          </cell>
          <cell r="H1767" t="str">
            <v>yellow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10029</v>
          </cell>
          <cell r="B1768" t="str">
            <v>ja</v>
          </cell>
          <cell r="C1768" t="str">
            <v>テストユニット29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10030</v>
          </cell>
          <cell r="B1769" t="str">
            <v>ja</v>
          </cell>
          <cell r="C1769" t="str">
            <v>テストユニット30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10031</v>
          </cell>
          <cell r="B1770" t="str">
            <v>ja</v>
          </cell>
          <cell r="C1770" t="str">
            <v>テストユニット31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10032</v>
          </cell>
          <cell r="B1771" t="str">
            <v>ja</v>
          </cell>
          <cell r="C1771" t="str">
            <v>テストユニット32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10033</v>
          </cell>
          <cell r="B1772" t="str">
            <v>ja</v>
          </cell>
          <cell r="C1772" t="str">
            <v>テストユニット33</v>
          </cell>
          <cell r="H1772" t="str">
            <v>red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10034</v>
          </cell>
          <cell r="B1773" t="str">
            <v>ja</v>
          </cell>
          <cell r="C1773" t="str">
            <v>テストユニット34</v>
          </cell>
          <cell r="H1773" t="str">
            <v>blue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10035</v>
          </cell>
          <cell r="B1774" t="str">
            <v>ja</v>
          </cell>
          <cell r="C1774" t="str">
            <v>テストユニット35</v>
          </cell>
          <cell r="H1774" t="str">
            <v>green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10036</v>
          </cell>
          <cell r="B1775" t="str">
            <v>ja</v>
          </cell>
          <cell r="C1775" t="str">
            <v>テストユニット36</v>
          </cell>
          <cell r="H1775" t="str">
            <v>yellow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10037</v>
          </cell>
          <cell r="B1776" t="str">
            <v>ja</v>
          </cell>
          <cell r="C1776" t="str">
            <v>テストユニット37</v>
          </cell>
          <cell r="H1776" t="str">
            <v>red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10038</v>
          </cell>
          <cell r="B1777" t="str">
            <v>ja</v>
          </cell>
          <cell r="C1777" t="str">
            <v>テストユニット38</v>
          </cell>
          <cell r="H1777" t="str">
            <v>blue</v>
          </cell>
          <cell r="I1777">
            <v>6</v>
          </cell>
          <cell r="J1777" t="str">
            <v>DropWizS</v>
          </cell>
          <cell r="K1777" t="str">
            <v>balance</v>
          </cell>
          <cell r="L1777" t="str">
            <v>バランスタイプ</v>
          </cell>
          <cell r="M1777" t="str">
            <v>god</v>
          </cell>
        </row>
        <row r="1778">
          <cell r="A1778">
            <v>10039</v>
          </cell>
          <cell r="B1778" t="str">
            <v>ja</v>
          </cell>
          <cell r="C1778" t="str">
            <v>テストユニット39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10040</v>
          </cell>
          <cell r="B1779" t="str">
            <v>ja</v>
          </cell>
          <cell r="C1779" t="str">
            <v>テストユニット40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10041</v>
          </cell>
          <cell r="B1780" t="str">
            <v>ja</v>
          </cell>
          <cell r="C1780" t="str">
            <v>テストユニット41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10042</v>
          </cell>
          <cell r="B1781" t="str">
            <v>ja</v>
          </cell>
          <cell r="C1781" t="str">
            <v>テストユニット42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10043</v>
          </cell>
          <cell r="B1782" t="str">
            <v>ja</v>
          </cell>
          <cell r="C1782" t="str">
            <v>テストユニット43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10044</v>
          </cell>
          <cell r="B1783" t="str">
            <v>ja</v>
          </cell>
          <cell r="C1783" t="str">
            <v>テストユニット44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10045</v>
          </cell>
          <cell r="B1784" t="str">
            <v>ja</v>
          </cell>
          <cell r="C1784" t="str">
            <v>テストユニット45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10046</v>
          </cell>
          <cell r="B1785" t="str">
            <v>ja</v>
          </cell>
          <cell r="C1785" t="str">
            <v>テストユニット46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10047</v>
          </cell>
          <cell r="B1786" t="str">
            <v>ja</v>
          </cell>
          <cell r="C1786" t="str">
            <v>テストユニット47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10048</v>
          </cell>
          <cell r="B1787" t="str">
            <v>ja</v>
          </cell>
          <cell r="C1787" t="str">
            <v>テストユニット48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10049</v>
          </cell>
          <cell r="B1788" t="str">
            <v>ja</v>
          </cell>
          <cell r="C1788" t="str">
            <v>テストユニット49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10050</v>
          </cell>
          <cell r="B1789" t="str">
            <v>ja</v>
          </cell>
          <cell r="C1789" t="str">
            <v>テストユニット50</v>
          </cell>
          <cell r="H1789" t="str">
            <v>blue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10051</v>
          </cell>
          <cell r="B1790" t="str">
            <v>ja</v>
          </cell>
          <cell r="C1790" t="str">
            <v>テストユニット51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10052</v>
          </cell>
          <cell r="B1791" t="str">
            <v>ja</v>
          </cell>
          <cell r="C1791" t="str">
            <v>テストユニット52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10053</v>
          </cell>
          <cell r="B1792" t="str">
            <v>ja</v>
          </cell>
          <cell r="C1792" t="str">
            <v>テストユニット53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10054</v>
          </cell>
          <cell r="B1793" t="str">
            <v>ja</v>
          </cell>
          <cell r="C1793" t="str">
            <v>テストユニット54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10055</v>
          </cell>
          <cell r="B1794" t="str">
            <v>ja</v>
          </cell>
          <cell r="C1794" t="str">
            <v>テストユニット55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10056</v>
          </cell>
          <cell r="B1795" t="str">
            <v>ja</v>
          </cell>
          <cell r="C1795" t="str">
            <v>テストユニット56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10057</v>
          </cell>
          <cell r="B1796" t="str">
            <v>ja</v>
          </cell>
          <cell r="C1796" t="str">
            <v>テストユニット57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10058</v>
          </cell>
          <cell r="B1797" t="str">
            <v>ja</v>
          </cell>
          <cell r="C1797" t="str">
            <v>テストユニット58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10059</v>
          </cell>
          <cell r="B1798" t="str">
            <v>ja</v>
          </cell>
          <cell r="C1798" t="str">
            <v>テストユニット59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10060</v>
          </cell>
          <cell r="B1799" t="str">
            <v>ja</v>
          </cell>
          <cell r="C1799" t="str">
            <v>テストユニット60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10061</v>
          </cell>
          <cell r="B1800" t="str">
            <v>ja</v>
          </cell>
          <cell r="C1800" t="str">
            <v>テストユニット61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10062</v>
          </cell>
          <cell r="B1801" t="str">
            <v>ja</v>
          </cell>
          <cell r="C1801" t="str">
            <v>テストユニット62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10063</v>
          </cell>
          <cell r="B1802" t="str">
            <v>ja</v>
          </cell>
          <cell r="C1802" t="str">
            <v>テストユニット63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10064</v>
          </cell>
          <cell r="B1803" t="str">
            <v>ja</v>
          </cell>
          <cell r="C1803" t="str">
            <v>テストユニット64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10065</v>
          </cell>
          <cell r="B1804" t="str">
            <v>ja</v>
          </cell>
          <cell r="C1804" t="str">
            <v>テストユニット65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10066</v>
          </cell>
          <cell r="B1805" t="str">
            <v>ja</v>
          </cell>
          <cell r="C1805" t="str">
            <v>テストユニット66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10067</v>
          </cell>
          <cell r="B1806" t="str">
            <v>ja</v>
          </cell>
          <cell r="C1806" t="str">
            <v>テストユニット67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10068</v>
          </cell>
          <cell r="B1807" t="str">
            <v>ja</v>
          </cell>
          <cell r="C1807" t="str">
            <v>テストユニット68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10069</v>
          </cell>
          <cell r="B1808" t="str">
            <v>ja</v>
          </cell>
          <cell r="C1808" t="str">
            <v>テストユニット69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10070</v>
          </cell>
          <cell r="B1809" t="str">
            <v>ja</v>
          </cell>
          <cell r="C1809" t="str">
            <v>テストユニット70</v>
          </cell>
          <cell r="H1809" t="str">
            <v>blue</v>
          </cell>
          <cell r="I1809">
            <v>6</v>
          </cell>
          <cell r="J1809" t="str">
            <v>PremiumSSS</v>
          </cell>
          <cell r="K1809" t="str">
            <v>heal</v>
          </cell>
          <cell r="L1809" t="str">
            <v>回復タイプ</v>
          </cell>
          <cell r="M1809" t="str">
            <v>academia</v>
          </cell>
        </row>
        <row r="1810">
          <cell r="A1810">
            <v>10071</v>
          </cell>
          <cell r="B1810" t="str">
            <v>ja</v>
          </cell>
          <cell r="C1810" t="str">
            <v>テストユニット71</v>
          </cell>
          <cell r="H1810" t="str">
            <v>red</v>
          </cell>
          <cell r="I1810">
            <v>6</v>
          </cell>
          <cell r="J1810" t="str">
            <v>PremiumSSS</v>
          </cell>
          <cell r="K1810" t="str">
            <v>hp</v>
          </cell>
          <cell r="L1810" t="str">
            <v>体力タイプ</v>
          </cell>
          <cell r="M1810" t="str">
            <v>demon</v>
          </cell>
        </row>
        <row r="1811">
          <cell r="A1811">
            <v>10072</v>
          </cell>
          <cell r="B1811" t="str">
            <v>ja</v>
          </cell>
          <cell r="C1811" t="str">
            <v>テストユニット72</v>
          </cell>
          <cell r="H1811" t="str">
            <v>green</v>
          </cell>
          <cell r="I1811">
            <v>6</v>
          </cell>
          <cell r="J1811" t="str">
            <v>PremiumSSS</v>
          </cell>
          <cell r="K1811" t="str">
            <v>heal</v>
          </cell>
          <cell r="L1811" t="str">
            <v>回復タイプ</v>
          </cell>
          <cell r="M1811" t="str">
            <v>unknown</v>
          </cell>
        </row>
        <row r="1812">
          <cell r="A1812">
            <v>10073</v>
          </cell>
          <cell r="B1812" t="str">
            <v>ja</v>
          </cell>
          <cell r="C1812" t="str">
            <v>テストユニット73</v>
          </cell>
          <cell r="H1812" t="str">
            <v>green</v>
          </cell>
          <cell r="I1812">
            <v>6</v>
          </cell>
          <cell r="J1812" t="str">
            <v>PremiumSSS</v>
          </cell>
          <cell r="K1812" t="str">
            <v>attack</v>
          </cell>
          <cell r="L1812" t="str">
            <v>攻撃タイプ</v>
          </cell>
          <cell r="M1812" t="str">
            <v>samurai</v>
          </cell>
        </row>
        <row r="1813">
          <cell r="A1813">
            <v>10074</v>
          </cell>
          <cell r="B1813" t="str">
            <v>ja</v>
          </cell>
          <cell r="C1813" t="str">
            <v>テストユニット74</v>
          </cell>
          <cell r="H1813" t="str">
            <v>blue</v>
          </cell>
          <cell r="I1813">
            <v>6</v>
          </cell>
          <cell r="J1813" t="str">
            <v>PremiumSSS</v>
          </cell>
          <cell r="K1813" t="str">
            <v>balance</v>
          </cell>
          <cell r="L1813" t="str">
            <v>バランスタイプ</v>
          </cell>
          <cell r="M1813" t="str">
            <v>fantasy</v>
          </cell>
        </row>
        <row r="1814">
          <cell r="A1814">
            <v>10075</v>
          </cell>
          <cell r="B1814" t="str">
            <v>ja</v>
          </cell>
          <cell r="C1814" t="str">
            <v>テストユニット75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10076</v>
          </cell>
          <cell r="B1815" t="str">
            <v>ja</v>
          </cell>
          <cell r="C1815" t="str">
            <v>テストユニット76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10077</v>
          </cell>
          <cell r="B1816" t="str">
            <v>ja</v>
          </cell>
          <cell r="C1816" t="str">
            <v>テストユニット77</v>
          </cell>
          <cell r="H1816" t="str">
            <v>yellow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10078</v>
          </cell>
          <cell r="B1817" t="str">
            <v>ja</v>
          </cell>
          <cell r="C1817" t="str">
            <v>テストユニット78</v>
          </cell>
          <cell r="H1817" t="str">
            <v>red</v>
          </cell>
          <cell r="I1817">
            <v>6</v>
          </cell>
          <cell r="J1817" t="str">
            <v>PremiumSSS</v>
          </cell>
          <cell r="K1817" t="str">
            <v>attack</v>
          </cell>
          <cell r="L1817" t="str">
            <v>攻撃タイプ</v>
          </cell>
          <cell r="M1817" t="str">
            <v>human</v>
          </cell>
        </row>
        <row r="1818">
          <cell r="A1818">
            <v>10079</v>
          </cell>
          <cell r="B1818" t="str">
            <v>ja</v>
          </cell>
          <cell r="C1818" t="str">
            <v>テストユニット79</v>
          </cell>
          <cell r="H1818" t="str">
            <v>red</v>
          </cell>
          <cell r="I1818">
            <v>6</v>
          </cell>
          <cell r="J1818" t="str">
            <v>DropWizSS</v>
          </cell>
          <cell r="K1818" t="str">
            <v>hp</v>
          </cell>
          <cell r="L1818" t="str">
            <v>体力タイプ</v>
          </cell>
          <cell r="M1818" t="str">
            <v>hero</v>
          </cell>
        </row>
        <row r="1819">
          <cell r="A1819">
            <v>10080</v>
          </cell>
          <cell r="B1819" t="str">
            <v>ja</v>
          </cell>
          <cell r="C1819" t="str">
            <v>テストユニット80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10081</v>
          </cell>
          <cell r="B1820" t="str">
            <v>ja</v>
          </cell>
          <cell r="C1820" t="str">
            <v>テストユニット81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10082</v>
          </cell>
          <cell r="B1821" t="str">
            <v>ja</v>
          </cell>
          <cell r="C1821" t="str">
            <v>テストユニット82</v>
          </cell>
          <cell r="H1821" t="str">
            <v>blue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10083</v>
          </cell>
          <cell r="B1822" t="str">
            <v>ja</v>
          </cell>
          <cell r="C1822" t="str">
            <v>テストユニット83</v>
          </cell>
          <cell r="H1822" t="str">
            <v>green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10084</v>
          </cell>
          <cell r="B1823" t="str">
            <v>ja</v>
          </cell>
          <cell r="C1823" t="str">
            <v>テストユニット84</v>
          </cell>
          <cell r="H1823" t="str">
            <v>yellow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10085</v>
          </cell>
          <cell r="B1824" t="str">
            <v>ja</v>
          </cell>
          <cell r="C1824" t="str">
            <v>テストユニット85</v>
          </cell>
          <cell r="H1824" t="str">
            <v>red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10086</v>
          </cell>
          <cell r="B1825" t="str">
            <v>ja</v>
          </cell>
          <cell r="C1825" t="str">
            <v>テストユニット86</v>
          </cell>
          <cell r="H1825" t="str">
            <v>blue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10087</v>
          </cell>
          <cell r="B1826" t="str">
            <v>ja</v>
          </cell>
          <cell r="C1826" t="str">
            <v>テストユニット87</v>
          </cell>
          <cell r="H1826" t="str">
            <v>green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10088</v>
          </cell>
          <cell r="B1827" t="str">
            <v>ja</v>
          </cell>
          <cell r="C1827" t="str">
            <v>テストユニット88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10089</v>
          </cell>
          <cell r="B1828" t="str">
            <v>ja</v>
          </cell>
          <cell r="C1828" t="str">
            <v>テストユニット89</v>
          </cell>
          <cell r="H1828" t="str">
            <v>red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10090</v>
          </cell>
          <cell r="B1829" t="str">
            <v>ja</v>
          </cell>
          <cell r="C1829" t="str">
            <v>テストユニット90</v>
          </cell>
          <cell r="H1829" t="str">
            <v>blue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10101</v>
          </cell>
          <cell r="B1830" t="str">
            <v>ja</v>
          </cell>
          <cell r="C1830" t="str">
            <v>Usagi-kun</v>
          </cell>
          <cell r="H1830" t="str">
            <v>blue</v>
          </cell>
          <cell r="I1830">
            <v>6</v>
          </cell>
          <cell r="J1830" t="str">
            <v>DropWizS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10102</v>
          </cell>
          <cell r="B1831" t="str">
            <v>ja</v>
          </cell>
          <cell r="C1831" t="str">
            <v>ローズ</v>
          </cell>
          <cell r="D1831" t="str">
            <v>未定</v>
          </cell>
          <cell r="E1831" t="str">
            <v>執行者</v>
          </cell>
          <cell r="F1831" t="str">
            <v>格好いい</v>
          </cell>
          <cell r="G1831" t="str">
            <v>不明</v>
          </cell>
          <cell r="H1831" t="str">
            <v>red</v>
          </cell>
          <cell r="I1831">
            <v>3</v>
          </cell>
          <cell r="J1831" t="str">
            <v>DropWizSSS</v>
          </cell>
          <cell r="K1831" t="str">
            <v>attack</v>
          </cell>
          <cell r="L1831" t="str">
            <v>攻撃タイプ</v>
          </cell>
          <cell r="M1831" t="str">
            <v>queen</v>
          </cell>
        </row>
        <row r="1832">
          <cell r="A1832">
            <v>10103</v>
          </cell>
          <cell r="B1832" t="str">
            <v>ja</v>
          </cell>
          <cell r="C1832" t="str">
            <v>ローズ</v>
          </cell>
          <cell r="D1832" t="str">
            <v>未定</v>
          </cell>
          <cell r="E1832" t="str">
            <v>執行者</v>
          </cell>
          <cell r="F1832" t="str">
            <v>格好いい</v>
          </cell>
          <cell r="G1832" t="str">
            <v>不明</v>
          </cell>
          <cell r="H1832" t="str">
            <v>red</v>
          </cell>
          <cell r="I1832">
            <v>4</v>
          </cell>
          <cell r="J1832" t="str">
            <v>DropWizSSS</v>
          </cell>
          <cell r="K1832" t="str">
            <v>attack</v>
          </cell>
          <cell r="L1832" t="str">
            <v>攻撃タイプ</v>
          </cell>
          <cell r="M1832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96</v>
      </c>
      <c r="B1" s="59" t="s">
        <v>97</v>
      </c>
    </row>
    <row r="2" spans="1:13" x14ac:dyDescent="0.15">
      <c r="A2" s="59" t="s">
        <v>98</v>
      </c>
      <c r="B2" s="59" t="s">
        <v>99</v>
      </c>
      <c r="C2" s="59" t="s">
        <v>100</v>
      </c>
      <c r="D2" s="59" t="s">
        <v>101</v>
      </c>
      <c r="E2" s="59" t="s">
        <v>102</v>
      </c>
      <c r="F2" s="59" t="s">
        <v>103</v>
      </c>
      <c r="G2" s="59" t="s">
        <v>104</v>
      </c>
      <c r="H2" s="59" t="s">
        <v>105</v>
      </c>
    </row>
    <row r="3" spans="1:13" x14ac:dyDescent="0.15">
      <c r="A3" s="59">
        <v>3</v>
      </c>
      <c r="B3" s="60" t="s">
        <v>106</v>
      </c>
      <c r="C3" s="60" t="s">
        <v>107</v>
      </c>
      <c r="D3" s="59">
        <v>0</v>
      </c>
      <c r="E3" s="60" t="s">
        <v>108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109</v>
      </c>
      <c r="C4" s="60" t="s">
        <v>110</v>
      </c>
      <c r="D4" s="60" t="s">
        <v>111</v>
      </c>
      <c r="E4" s="60" t="s">
        <v>112</v>
      </c>
      <c r="F4" s="60" t="s">
        <v>113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114</v>
      </c>
      <c r="D5" s="60" t="s">
        <v>115</v>
      </c>
      <c r="E5" s="60" t="s">
        <v>116</v>
      </c>
      <c r="F5" s="60" t="s">
        <v>117</v>
      </c>
      <c r="G5" s="60" t="s">
        <v>118</v>
      </c>
      <c r="H5" s="61">
        <v>0.05</v>
      </c>
    </row>
    <row r="6" spans="1:13" x14ac:dyDescent="0.15">
      <c r="B6" s="61" t="s">
        <v>119</v>
      </c>
      <c r="C6" s="61" t="s">
        <v>119</v>
      </c>
      <c r="D6" s="61" t="s">
        <v>120</v>
      </c>
      <c r="E6" s="61" t="s">
        <v>119</v>
      </c>
      <c r="F6" s="61" t="s">
        <v>119</v>
      </c>
      <c r="G6" s="63" t="s">
        <v>121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122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123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124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125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118</v>
      </c>
      <c r="B12" s="61" t="s">
        <v>126</v>
      </c>
      <c r="C12" s="61" t="s">
        <v>127</v>
      </c>
      <c r="D12" s="61"/>
      <c r="E12" s="61"/>
      <c r="F12" s="61"/>
      <c r="G12" s="63"/>
      <c r="H12" s="61"/>
    </row>
    <row r="13" spans="1:13" x14ac:dyDescent="0.15">
      <c r="A13" s="59" t="s">
        <v>128</v>
      </c>
      <c r="B13" s="59" t="s">
        <v>129</v>
      </c>
      <c r="C13" s="59" t="s">
        <v>130</v>
      </c>
    </row>
    <row r="14" spans="1:13" x14ac:dyDescent="0.15">
      <c r="A14" s="59" t="s">
        <v>131</v>
      </c>
      <c r="B14" s="59" t="s">
        <v>126</v>
      </c>
      <c r="C14" s="62" t="s">
        <v>132</v>
      </c>
      <c r="E14" s="62"/>
      <c r="F14" s="62"/>
      <c r="M14" s="61"/>
    </row>
    <row r="15" spans="1:13" x14ac:dyDescent="0.15">
      <c r="A15" s="59" t="s">
        <v>108</v>
      </c>
      <c r="B15" s="61" t="s">
        <v>126</v>
      </c>
      <c r="C15" s="61" t="s">
        <v>133</v>
      </c>
      <c r="H15" s="64"/>
      <c r="M15" s="61"/>
    </row>
    <row r="16" spans="1:13" x14ac:dyDescent="0.15">
      <c r="A16" s="59" t="s">
        <v>112</v>
      </c>
      <c r="B16" s="61" t="s">
        <v>126</v>
      </c>
      <c r="C16" s="61" t="s">
        <v>134</v>
      </c>
      <c r="M16" s="61"/>
    </row>
    <row r="17" spans="1:13" x14ac:dyDescent="0.15">
      <c r="A17" s="59" t="s">
        <v>135</v>
      </c>
      <c r="B17" s="61" t="s">
        <v>126</v>
      </c>
      <c r="C17" s="61" t="s">
        <v>136</v>
      </c>
      <c r="M17" s="61"/>
    </row>
    <row r="18" spans="1:13" x14ac:dyDescent="0.15">
      <c r="B18" s="61"/>
      <c r="C18" s="61"/>
    </row>
    <row r="19" spans="1:13" x14ac:dyDescent="0.15">
      <c r="A19" s="59" t="s">
        <v>137</v>
      </c>
    </row>
    <row r="20" spans="1:13" x14ac:dyDescent="0.15">
      <c r="A20" s="59" t="s">
        <v>138</v>
      </c>
      <c r="B20" s="61"/>
      <c r="C20" s="61"/>
    </row>
    <row r="21" spans="1:13" x14ac:dyDescent="0.15">
      <c r="A21" s="59" t="s">
        <v>139</v>
      </c>
      <c r="B21" s="61" t="s">
        <v>140</v>
      </c>
      <c r="C21" s="61" t="s">
        <v>141</v>
      </c>
      <c r="D21" s="59" t="s">
        <v>142</v>
      </c>
    </row>
    <row r="22" spans="1:13" x14ac:dyDescent="0.15">
      <c r="A22" s="59" t="s">
        <v>143</v>
      </c>
      <c r="B22" s="61" t="s">
        <v>126</v>
      </c>
      <c r="C22" s="61" t="s">
        <v>144</v>
      </c>
      <c r="D22" s="59" t="s">
        <v>145</v>
      </c>
    </row>
    <row r="23" spans="1:13" x14ac:dyDescent="0.15">
      <c r="A23" s="59" t="s">
        <v>146</v>
      </c>
      <c r="B23" s="61" t="s">
        <v>126</v>
      </c>
      <c r="C23" s="59" t="s">
        <v>147</v>
      </c>
      <c r="D23" s="59" t="s">
        <v>148</v>
      </c>
    </row>
    <row r="24" spans="1:13" x14ac:dyDescent="0.15">
      <c r="A24" s="59" t="s">
        <v>149</v>
      </c>
      <c r="B24" s="61" t="s">
        <v>126</v>
      </c>
      <c r="C24" s="61" t="s">
        <v>150</v>
      </c>
      <c r="D24" s="59" t="s">
        <v>151</v>
      </c>
    </row>
    <row r="25" spans="1:13" x14ac:dyDescent="0.15">
      <c r="A25" s="59" t="s">
        <v>152</v>
      </c>
      <c r="B25" s="61" t="s">
        <v>126</v>
      </c>
      <c r="C25" s="61" t="s">
        <v>153</v>
      </c>
      <c r="D25" s="59" t="s">
        <v>154</v>
      </c>
    </row>
    <row r="26" spans="1:13" x14ac:dyDescent="0.15">
      <c r="A26" s="59" t="s">
        <v>155</v>
      </c>
      <c r="B26" s="61" t="s">
        <v>126</v>
      </c>
      <c r="C26" s="61" t="s">
        <v>156</v>
      </c>
      <c r="D26" s="59" t="s">
        <v>157</v>
      </c>
    </row>
    <row r="27" spans="1:13" x14ac:dyDescent="0.15">
      <c r="A27" s="59" t="s">
        <v>158</v>
      </c>
      <c r="B27" s="61" t="s">
        <v>126</v>
      </c>
      <c r="C27" s="61" t="s">
        <v>120</v>
      </c>
      <c r="D27" s="59" t="s">
        <v>159</v>
      </c>
      <c r="E27" s="59" t="s">
        <v>160</v>
      </c>
    </row>
    <row r="28" spans="1:13" x14ac:dyDescent="0.15">
      <c r="A28" s="59" t="s">
        <v>107</v>
      </c>
      <c r="B28" s="61" t="s">
        <v>126</v>
      </c>
      <c r="C28" s="61" t="s">
        <v>161</v>
      </c>
      <c r="E28" s="59" t="s">
        <v>162</v>
      </c>
    </row>
    <row r="29" spans="1:13" x14ac:dyDescent="0.15">
      <c r="A29" s="59" t="s">
        <v>110</v>
      </c>
      <c r="B29" s="61" t="s">
        <v>126</v>
      </c>
      <c r="C29" s="61" t="s">
        <v>163</v>
      </c>
    </row>
    <row r="30" spans="1:13" x14ac:dyDescent="0.15">
      <c r="B30" s="61"/>
    </row>
    <row r="31" spans="1:13" x14ac:dyDescent="0.15">
      <c r="A31" s="59" t="s">
        <v>164</v>
      </c>
    </row>
    <row r="32" spans="1:13" x14ac:dyDescent="0.15">
      <c r="A32" s="59" t="s">
        <v>165</v>
      </c>
      <c r="B32" s="61" t="s">
        <v>126</v>
      </c>
      <c r="C32" s="61" t="s">
        <v>166</v>
      </c>
    </row>
    <row r="33" spans="1:13" x14ac:dyDescent="0.15">
      <c r="A33" s="59" t="s">
        <v>110</v>
      </c>
      <c r="B33" s="61" t="s">
        <v>126</v>
      </c>
      <c r="C33" s="61" t="s">
        <v>167</v>
      </c>
    </row>
    <row r="34" spans="1:13" x14ac:dyDescent="0.15">
      <c r="A34" s="59" t="s">
        <v>107</v>
      </c>
      <c r="B34" s="61" t="s">
        <v>126</v>
      </c>
      <c r="C34" s="61" t="s">
        <v>168</v>
      </c>
    </row>
    <row r="35" spans="1:13" x14ac:dyDescent="0.15">
      <c r="A35" s="59" t="s">
        <v>106</v>
      </c>
      <c r="B35" s="61" t="s">
        <v>126</v>
      </c>
      <c r="C35" s="61" t="s">
        <v>169</v>
      </c>
    </row>
    <row r="36" spans="1:13" x14ac:dyDescent="0.15">
      <c r="A36" s="59" t="s">
        <v>109</v>
      </c>
      <c r="B36" s="61" t="s">
        <v>126</v>
      </c>
      <c r="C36" s="61" t="s">
        <v>170</v>
      </c>
    </row>
    <row r="37" spans="1:13" x14ac:dyDescent="0.15">
      <c r="A37" s="59" t="s">
        <v>115</v>
      </c>
      <c r="B37" s="61" t="s">
        <v>126</v>
      </c>
      <c r="C37" s="61" t="s">
        <v>171</v>
      </c>
    </row>
    <row r="38" spans="1:13" x14ac:dyDescent="0.15">
      <c r="A38" s="59" t="s">
        <v>111</v>
      </c>
      <c r="B38" s="61" t="s">
        <v>126</v>
      </c>
      <c r="C38" s="61" t="s">
        <v>172</v>
      </c>
    </row>
    <row r="40" spans="1:13" x14ac:dyDescent="0.15">
      <c r="J40" s="75" t="s">
        <v>198</v>
      </c>
      <c r="K40" s="75" t="s">
        <v>175</v>
      </c>
      <c r="M40" s="75" t="s">
        <v>223</v>
      </c>
    </row>
    <row r="41" spans="1:13" x14ac:dyDescent="0.15">
      <c r="J41" s="75" t="s">
        <v>199</v>
      </c>
      <c r="K41" s="75" t="s">
        <v>200</v>
      </c>
      <c r="M41" s="61" t="s">
        <v>170</v>
      </c>
    </row>
    <row r="42" spans="1:13" x14ac:dyDescent="0.15">
      <c r="J42" s="75" t="s">
        <v>201</v>
      </c>
      <c r="K42" s="75" t="s">
        <v>202</v>
      </c>
    </row>
    <row r="43" spans="1:13" x14ac:dyDescent="0.15">
      <c r="J43" s="75" t="s">
        <v>203</v>
      </c>
      <c r="K43" s="75" t="s">
        <v>204</v>
      </c>
    </row>
    <row r="44" spans="1:13" x14ac:dyDescent="0.15">
      <c r="J44" s="75" t="s">
        <v>205</v>
      </c>
      <c r="K44" s="75" t="s">
        <v>206</v>
      </c>
    </row>
    <row r="45" spans="1:13" x14ac:dyDescent="0.15">
      <c r="J45" s="75" t="s">
        <v>207</v>
      </c>
      <c r="K45" s="75" t="s">
        <v>208</v>
      </c>
    </row>
    <row r="46" spans="1:13" x14ac:dyDescent="0.15">
      <c r="J46" s="75" t="s">
        <v>209</v>
      </c>
      <c r="K46" s="75" t="s">
        <v>210</v>
      </c>
    </row>
    <row r="47" spans="1:13" x14ac:dyDescent="0.15">
      <c r="J47" s="75" t="s">
        <v>211</v>
      </c>
      <c r="K47" s="75" t="s">
        <v>215</v>
      </c>
    </row>
    <row r="48" spans="1:13" x14ac:dyDescent="0.15">
      <c r="J48" s="75" t="s">
        <v>212</v>
      </c>
      <c r="K48" s="75" t="s">
        <v>216</v>
      </c>
    </row>
    <row r="49" spans="10:11" x14ac:dyDescent="0.15">
      <c r="J49" s="75" t="s">
        <v>213</v>
      </c>
      <c r="K49" s="75" t="s">
        <v>217</v>
      </c>
    </row>
    <row r="50" spans="10:11" x14ac:dyDescent="0.15">
      <c r="J50" s="75" t="s">
        <v>214</v>
      </c>
      <c r="K50" s="75" t="s">
        <v>218</v>
      </c>
    </row>
    <row r="51" spans="10:11" x14ac:dyDescent="0.15">
      <c r="J51" s="75" t="s">
        <v>220</v>
      </c>
      <c r="K51" s="75" t="s">
        <v>219</v>
      </c>
    </row>
    <row r="52" spans="10:11" x14ac:dyDescent="0.15">
      <c r="J52" s="75" t="s">
        <v>221</v>
      </c>
      <c r="K52" s="75" t="s">
        <v>222</v>
      </c>
    </row>
    <row r="53" spans="10:11" x14ac:dyDescent="0.15">
      <c r="J53" s="75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70</v>
      </c>
    </row>
    <row r="2" spans="1:1" x14ac:dyDescent="0.15">
      <c r="A2" t="s">
        <v>71</v>
      </c>
    </row>
    <row r="3" spans="1:1" x14ac:dyDescent="0.15">
      <c r="A3" t="s">
        <v>72</v>
      </c>
    </row>
    <row r="4" spans="1:1" x14ac:dyDescent="0.15">
      <c r="A4" t="s">
        <v>73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/>
  </sheetViews>
  <sheetFormatPr baseColWidth="12" defaultRowHeight="15" x14ac:dyDescent="0.15"/>
  <cols>
    <col min="1" max="1" width="13" style="17"/>
    <col min="2" max="2" width="26.59765625" style="17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43</v>
      </c>
      <c r="B1" s="15" t="s">
        <v>31</v>
      </c>
      <c r="C1" s="15" t="s">
        <v>32</v>
      </c>
      <c r="D1" s="15" t="s">
        <v>33</v>
      </c>
      <c r="E1" s="15" t="s">
        <v>34</v>
      </c>
      <c r="F1" s="15" t="s">
        <v>35</v>
      </c>
      <c r="G1" s="15" t="s">
        <v>36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82" t="s">
        <v>230</v>
      </c>
      <c r="B2" s="56" t="s">
        <v>95</v>
      </c>
      <c r="C2" s="47" t="str">
        <f>RIGHT(F2,6)</f>
        <v>597100</v>
      </c>
      <c r="D2" s="18" t="s">
        <v>37</v>
      </c>
      <c r="E2" s="16" t="str">
        <f t="shared" ref="E2" si="0">B2&amp;C2&amp;D2</f>
        <v>gacha_select_tables_597100.tmp</v>
      </c>
      <c r="F2" s="109" t="s">
        <v>249</v>
      </c>
      <c r="G2" s="46" t="s">
        <v>77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2" t="s">
        <v>230</v>
      </c>
      <c r="B3" s="85" t="s">
        <v>231</v>
      </c>
      <c r="C3" s="47" t="str">
        <f t="shared" ref="C3:C8" si="1">RIGHT(F3,6)</f>
        <v>597101</v>
      </c>
      <c r="D3" s="18" t="s">
        <v>37</v>
      </c>
      <c r="E3" s="16" t="str">
        <f t="shared" ref="E3:E11" si="2">B3&amp;C3&amp;D3</f>
        <v>gacha_settle_tables_597101.tmp</v>
      </c>
      <c r="F3" s="109" t="s">
        <v>250</v>
      </c>
      <c r="G3" s="46" t="s">
        <v>77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82" t="s">
        <v>230</v>
      </c>
      <c r="B4" s="85" t="s">
        <v>231</v>
      </c>
      <c r="C4" s="86" t="str">
        <f t="shared" si="1"/>
        <v>597103</v>
      </c>
      <c r="D4" s="18" t="s">
        <v>232</v>
      </c>
      <c r="E4" s="16" t="str">
        <f t="shared" si="2"/>
        <v>gacha_settle_tables_597103.tmp</v>
      </c>
      <c r="F4" s="109" t="s">
        <v>251</v>
      </c>
      <c r="G4" s="46" t="s">
        <v>77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78" t="s">
        <v>226</v>
      </c>
      <c r="B5" s="85" t="s">
        <v>231</v>
      </c>
      <c r="C5" s="86" t="str">
        <f t="shared" ref="C5" si="3">RIGHT(F5,6)</f>
        <v>544105</v>
      </c>
      <c r="D5" s="18" t="s">
        <v>38</v>
      </c>
      <c r="E5" s="16" t="str">
        <f t="shared" ref="E5" si="4">B5&amp;C5&amp;D5</f>
        <v>gacha_settle_tables_544105.tmp</v>
      </c>
      <c r="F5" s="89" t="s">
        <v>237</v>
      </c>
      <c r="G5" s="46" t="s">
        <v>76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78" t="s">
        <v>226</v>
      </c>
      <c r="B6" s="56" t="s">
        <v>95</v>
      </c>
      <c r="C6" s="47" t="str">
        <f t="shared" si="1"/>
        <v>363104</v>
      </c>
      <c r="D6" s="18" t="s">
        <v>37</v>
      </c>
      <c r="E6" s="16" t="str">
        <f t="shared" ref="E6:E8" si="5">B6&amp;C6&amp;D6</f>
        <v>gacha_select_tables_363104.tmp</v>
      </c>
      <c r="F6" s="81" t="s">
        <v>227</v>
      </c>
      <c r="G6" s="46" t="s">
        <v>76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78" t="s">
        <v>226</v>
      </c>
      <c r="B7" s="56" t="s">
        <v>95</v>
      </c>
      <c r="C7" s="47" t="str">
        <f t="shared" ref="C7" si="6">RIGHT(F7,6)</f>
        <v>363105</v>
      </c>
      <c r="D7" s="18" t="s">
        <v>37</v>
      </c>
      <c r="E7" s="16" t="str">
        <f t="shared" ref="E7" si="7">B7&amp;C7&amp;D7</f>
        <v>gacha_select_tables_363105.tmp</v>
      </c>
      <c r="F7" s="81" t="s">
        <v>228</v>
      </c>
      <c r="G7" s="46" t="s">
        <v>76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78" t="s">
        <v>226</v>
      </c>
      <c r="B8" s="56" t="s">
        <v>95</v>
      </c>
      <c r="C8" s="47" t="str">
        <f t="shared" si="1"/>
        <v>363100</v>
      </c>
      <c r="D8" s="18" t="s">
        <v>37</v>
      </c>
      <c r="E8" s="16" t="str">
        <f t="shared" si="5"/>
        <v>gacha_select_tables_363100.tmp</v>
      </c>
      <c r="F8" s="81" t="s">
        <v>229</v>
      </c>
      <c r="G8" s="46" t="s">
        <v>76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5" t="s">
        <v>248</v>
      </c>
      <c r="B9" s="26" t="s">
        <v>42</v>
      </c>
      <c r="C9" s="31">
        <v>597</v>
      </c>
      <c r="D9" s="18" t="s">
        <v>38</v>
      </c>
      <c r="E9" s="16" t="str">
        <f t="shared" si="2"/>
        <v>gacha_bonus_tables_597.tmp</v>
      </c>
      <c r="F9" s="18" t="s">
        <v>39</v>
      </c>
      <c r="G9" s="20" t="s">
        <v>10</v>
      </c>
      <c r="H9" s="22" t="s">
        <v>13</v>
      </c>
      <c r="I9" s="20" t="s">
        <v>11</v>
      </c>
      <c r="J9" s="19"/>
      <c r="K9" s="19"/>
      <c r="L9" s="19"/>
      <c r="M9" s="19"/>
      <c r="N9" s="19"/>
      <c r="O9" s="19"/>
    </row>
    <row r="10" spans="1:21" x14ac:dyDescent="0.15">
      <c r="A10" s="106" t="s">
        <v>248</v>
      </c>
      <c r="B10" s="18" t="s">
        <v>40</v>
      </c>
      <c r="C10" s="31">
        <v>597</v>
      </c>
      <c r="D10" s="18" t="s">
        <v>38</v>
      </c>
      <c r="E10" s="16" t="str">
        <f t="shared" si="2"/>
        <v>gifts_tmp_597.tmp</v>
      </c>
      <c r="F10" s="18" t="s">
        <v>39</v>
      </c>
      <c r="G10" s="22" t="s">
        <v>14</v>
      </c>
      <c r="H10" s="23" t="s">
        <v>22</v>
      </c>
      <c r="I10" s="22" t="s">
        <v>15</v>
      </c>
      <c r="J10" s="22" t="s">
        <v>16</v>
      </c>
      <c r="K10" s="22" t="s">
        <v>16</v>
      </c>
      <c r="L10" s="22" t="s">
        <v>17</v>
      </c>
      <c r="M10" s="22" t="s">
        <v>17</v>
      </c>
      <c r="N10" s="22" t="s">
        <v>17</v>
      </c>
      <c r="O10" s="48" t="s">
        <v>7</v>
      </c>
      <c r="P10" s="48" t="s">
        <v>9</v>
      </c>
      <c r="Q10" s="48" t="s">
        <v>6</v>
      </c>
      <c r="R10" s="48" t="s">
        <v>78</v>
      </c>
      <c r="S10" s="48" t="s">
        <v>8</v>
      </c>
      <c r="T10" s="48" t="s">
        <v>79</v>
      </c>
      <c r="U10" s="48" t="s">
        <v>5</v>
      </c>
    </row>
    <row r="11" spans="1:21" x14ac:dyDescent="0.15">
      <c r="A11" s="106" t="s">
        <v>248</v>
      </c>
      <c r="B11" s="18" t="s">
        <v>41</v>
      </c>
      <c r="C11" s="31">
        <v>597</v>
      </c>
      <c r="D11" s="18" t="s">
        <v>38</v>
      </c>
      <c r="E11" s="16" t="str">
        <f t="shared" si="2"/>
        <v>gifts_i18n_597.tmp</v>
      </c>
      <c r="F11" s="18" t="s">
        <v>39</v>
      </c>
      <c r="G11" s="22" t="s">
        <v>12</v>
      </c>
      <c r="H11" s="24" t="s">
        <v>18</v>
      </c>
      <c r="I11" s="24" t="s">
        <v>19</v>
      </c>
      <c r="J11" s="24" t="s">
        <v>20</v>
      </c>
      <c r="K11" s="24" t="s">
        <v>21</v>
      </c>
      <c r="L11" s="25"/>
      <c r="M11" s="22"/>
      <c r="N11" s="22"/>
      <c r="O11" s="18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>
      <selection activeCell="H52" sqref="H52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597100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 t="shared" ref="V2:V16" si="0">SUMIF(Q:Q,U2,N:N)</f>
        <v>0</v>
      </c>
    </row>
    <row r="3" spans="1:22" x14ac:dyDescent="0.15">
      <c r="H3" s="68" t="s">
        <v>196</v>
      </c>
      <c r="L3" s="55"/>
      <c r="M3" s="36" t="e">
        <f>VLOOKUP(L3,[1]characters!$A:$C,3,FALSE)</f>
        <v>#N/A</v>
      </c>
      <c r="N3" s="58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VLOOKUP(L3,tables_597100!B:C,2,FALSE)</f>
        <v>#N/A</v>
      </c>
      <c r="R3" s="57">
        <f t="shared" ref="R3:R20" si="1">N3*A$39</f>
        <v>0</v>
      </c>
      <c r="S3">
        <v>190</v>
      </c>
      <c r="U3" s="32" t="s">
        <v>176</v>
      </c>
      <c r="V3" s="49">
        <f t="shared" si="0"/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194</v>
      </c>
      <c r="I4" t="s">
        <v>195</v>
      </c>
      <c r="L4" s="55"/>
      <c r="M4" s="36" t="e">
        <f>VLOOKUP(L4,[1]characters!$A:$C,3,FALSE)</f>
        <v>#N/A</v>
      </c>
      <c r="N4" s="58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VLOOKUP(L4,tables_597100!B:C,2,FALSE)</f>
        <v>#N/A</v>
      </c>
      <c r="R4" s="57">
        <f t="shared" si="1"/>
        <v>0</v>
      </c>
      <c r="S4">
        <v>191</v>
      </c>
      <c r="U4" s="32" t="s">
        <v>82</v>
      </c>
      <c r="V4" s="49">
        <f t="shared" si="0"/>
        <v>0</v>
      </c>
    </row>
    <row r="5" spans="1:22" x14ac:dyDescent="0.15">
      <c r="A5" s="32" t="s">
        <v>60</v>
      </c>
      <c r="B5" s="66">
        <f>1-B6-B7</f>
        <v>0</v>
      </c>
      <c r="D5" t="s">
        <v>186</v>
      </c>
      <c r="E5" s="40">
        <f>(B11-H5)/(F5-I5)</f>
        <v>6.6666666666666675E-4</v>
      </c>
      <c r="F5">
        <f>COUNTIF(tables_597100!C:C,input_597100!A28)+COUNTIF(tables_597100!C:C,input_597100!A30)+COUNTIF(input_597100!Q:Q,input_597100!A32)+COUNTIF(input_597100!Q:Q,input_597100!A33)+COUNTIF(input_597100!Q:Q,input_597100!A34)-COUNTIF(input_597100!Q:Q,input_597100!A28)</f>
        <v>75</v>
      </c>
      <c r="H5" s="76">
        <v>0</v>
      </c>
      <c r="I5" s="30"/>
      <c r="L5" s="55"/>
      <c r="M5" s="36" t="e">
        <f>VLOOKUP(L5,[1]characters!$A:$C,3,FALSE)</f>
        <v>#N/A</v>
      </c>
      <c r="N5" s="58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VLOOKUP(L5,tables_597100!B:C,2,FALSE)</f>
        <v>#N/A</v>
      </c>
      <c r="R5" s="57">
        <f t="shared" si="1"/>
        <v>0</v>
      </c>
      <c r="S5">
        <v>192</v>
      </c>
      <c r="U5" s="32" t="s">
        <v>83</v>
      </c>
      <c r="V5" s="49">
        <f t="shared" si="0"/>
        <v>0</v>
      </c>
    </row>
    <row r="6" spans="1:22" x14ac:dyDescent="0.15">
      <c r="A6" s="32" t="s">
        <v>61</v>
      </c>
      <c r="B6" s="66">
        <v>0.9</v>
      </c>
      <c r="D6" t="s">
        <v>187</v>
      </c>
      <c r="E6" s="71">
        <f>(B10-H6)/(F6-I6)</f>
        <v>9.7938144329896906E-3</v>
      </c>
      <c r="F6">
        <f>COUNTIF(tables_597100!C:C,input_597100!A25)+COUNTIF(tables_597100!C:C,input_597100!A18)+COUNTIF(tables_597100!C:C,input_597100!A20)+COUNTIF(tables_597100!C:C,input_597100!A22)+COUNTIF(Q:Q,A23)</f>
        <v>97</v>
      </c>
      <c r="H6" s="80">
        <v>0</v>
      </c>
      <c r="I6" s="30"/>
      <c r="L6" s="55"/>
      <c r="M6" s="36" t="e">
        <f>VLOOKUP(L6,[1]characters!$A:$C,3,FALSE)</f>
        <v>#N/A</v>
      </c>
      <c r="N6" s="58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VLOOKUP(L6,tables_597100!B:C,2,FALSE)</f>
        <v>#N/A</v>
      </c>
      <c r="R6" s="57">
        <f t="shared" si="1"/>
        <v>0</v>
      </c>
      <c r="S6">
        <v>596</v>
      </c>
      <c r="U6" s="32" t="s">
        <v>84</v>
      </c>
      <c r="V6" s="49">
        <f t="shared" si="0"/>
        <v>0</v>
      </c>
    </row>
    <row r="7" spans="1:22" x14ac:dyDescent="0.15">
      <c r="A7" s="32" t="s">
        <v>62</v>
      </c>
      <c r="B7" s="66">
        <v>0.1</v>
      </c>
      <c r="L7" s="55"/>
      <c r="M7" s="36" t="e">
        <f>VLOOKUP(L7,[1]characters!$A:$C,3,FALSE)</f>
        <v>#N/A</v>
      </c>
      <c r="N7" s="58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VLOOKUP(L7,tables_597100!B:C,2,FALSE)</f>
        <v>#N/A</v>
      </c>
      <c r="R7" s="57">
        <f t="shared" si="1"/>
        <v>0</v>
      </c>
      <c r="S7">
        <v>597</v>
      </c>
      <c r="U7" s="32" t="s">
        <v>181</v>
      </c>
      <c r="V7" s="49">
        <f t="shared" si="0"/>
        <v>0</v>
      </c>
    </row>
    <row r="8" spans="1:22" x14ac:dyDescent="0.15">
      <c r="A8" s="52"/>
      <c r="B8" s="66"/>
      <c r="E8" s="71"/>
      <c r="L8" s="55"/>
      <c r="M8" s="36" t="e">
        <f>VLOOKUP(L8,[1]characters!$A:$C,3,FALSE)</f>
        <v>#N/A</v>
      </c>
      <c r="N8" s="58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VLOOKUP(L8,tables_597100!B:C,2,FALSE)</f>
        <v>#N/A</v>
      </c>
      <c r="R8" s="57">
        <f t="shared" si="1"/>
        <v>0</v>
      </c>
      <c r="S8">
        <v>598</v>
      </c>
      <c r="U8" s="32" t="s">
        <v>182</v>
      </c>
      <c r="V8" s="49">
        <f t="shared" si="0"/>
        <v>0</v>
      </c>
    </row>
    <row r="9" spans="1:22" x14ac:dyDescent="0.15">
      <c r="A9" s="34" t="s">
        <v>46</v>
      </c>
      <c r="B9" s="34"/>
      <c r="L9" s="79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VLOOKUP(L9,tables_597100!B:C,2,FALSE)</f>
        <v>#N/A</v>
      </c>
      <c r="R9" s="57">
        <f t="shared" si="1"/>
        <v>0</v>
      </c>
      <c r="S9">
        <v>390</v>
      </c>
      <c r="U9" s="32" t="s">
        <v>178</v>
      </c>
      <c r="V9" s="49">
        <f t="shared" si="0"/>
        <v>0</v>
      </c>
    </row>
    <row r="10" spans="1:22" x14ac:dyDescent="0.15">
      <c r="A10" s="32" t="s">
        <v>81</v>
      </c>
      <c r="B10" s="67">
        <f>1-B11</f>
        <v>0.95</v>
      </c>
      <c r="C10" t="s">
        <v>193</v>
      </c>
      <c r="L10" s="79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VLOOKUP(L10,tables_597100!B:C,2,FALSE)</f>
        <v>#N/A</v>
      </c>
      <c r="R10" s="57">
        <f t="shared" si="1"/>
        <v>0</v>
      </c>
      <c r="S10">
        <v>391</v>
      </c>
      <c r="U10" s="32" t="s">
        <v>179</v>
      </c>
      <c r="V10" s="49">
        <f t="shared" si="0"/>
        <v>0</v>
      </c>
    </row>
    <row r="11" spans="1:22" x14ac:dyDescent="0.15">
      <c r="A11" s="32" t="s">
        <v>48</v>
      </c>
      <c r="B11" s="72">
        <v>0.05</v>
      </c>
      <c r="C11" t="s">
        <v>234</v>
      </c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VLOOKUP(L11,tables_597100!B:C,2,FALSE)</f>
        <v>#N/A</v>
      </c>
      <c r="R11" s="57">
        <f t="shared" si="1"/>
        <v>0</v>
      </c>
      <c r="S11">
        <v>811</v>
      </c>
      <c r="U11" s="32" t="s">
        <v>180</v>
      </c>
      <c r="V11" s="49">
        <f t="shared" si="0"/>
        <v>0</v>
      </c>
    </row>
    <row r="12" spans="1:22" x14ac:dyDescent="0.15">
      <c r="A12" s="32" t="s">
        <v>47</v>
      </c>
      <c r="B12" s="67">
        <v>0</v>
      </c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VLOOKUP(L12,tables_597100!B:C,2,FALSE)</f>
        <v>#N/A</v>
      </c>
      <c r="R12" s="57">
        <f t="shared" si="1"/>
        <v>0</v>
      </c>
      <c r="S12">
        <v>496</v>
      </c>
      <c r="U12" s="32" t="s">
        <v>91</v>
      </c>
      <c r="V12" s="49">
        <f t="shared" si="0"/>
        <v>0</v>
      </c>
    </row>
    <row r="13" spans="1:22" x14ac:dyDescent="0.15"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VLOOKUP(L13,tables_597100!B:C,2,FALSE)</f>
        <v>#N/A</v>
      </c>
      <c r="R13" s="57">
        <f t="shared" si="1"/>
        <v>0</v>
      </c>
      <c r="S13">
        <v>497</v>
      </c>
      <c r="U13" s="32" t="s">
        <v>92</v>
      </c>
      <c r="V13" s="49">
        <f t="shared" si="0"/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VLOOKUP(L14,tables_597100!B:C,2,FALSE)</f>
        <v>#N/A</v>
      </c>
      <c r="R14" s="57">
        <f t="shared" si="1"/>
        <v>0</v>
      </c>
      <c r="S14">
        <v>498</v>
      </c>
      <c r="U14" s="32" t="s">
        <v>184</v>
      </c>
      <c r="V14" s="49">
        <f t="shared" si="0"/>
        <v>0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VLOOKUP(L15,tables_597100!B:C,2,FALSE)</f>
        <v>#N/A</v>
      </c>
      <c r="R15" s="57">
        <f t="shared" si="1"/>
        <v>0</v>
      </c>
      <c r="S15">
        <v>395</v>
      </c>
      <c r="U15" s="32" t="s">
        <v>183</v>
      </c>
      <c r="V15" s="49">
        <f t="shared" si="0"/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197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VLOOKUP(L16,tables_597100!B:C,2,FALSE)</f>
        <v>#N/A</v>
      </c>
      <c r="R16" s="57">
        <f t="shared" si="1"/>
        <v>0</v>
      </c>
      <c r="S16">
        <v>396</v>
      </c>
      <c r="U16" s="32" t="s">
        <v>93</v>
      </c>
      <c r="V16" s="49">
        <f t="shared" si="0"/>
        <v>0</v>
      </c>
    </row>
    <row r="17" spans="1:19" x14ac:dyDescent="0.15">
      <c r="A17" s="32" t="s">
        <v>175</v>
      </c>
      <c r="B17" s="74">
        <f>E17*E6-B18</f>
        <v>0</v>
      </c>
      <c r="C17" s="77">
        <f t="shared" ref="C17:C34" si="2">SUMIF(Q:Q,A17,N:N)</f>
        <v>0</v>
      </c>
      <c r="D17" s="69">
        <f t="shared" ref="D17:D35" si="3">B17-C17</f>
        <v>0</v>
      </c>
      <c r="E17">
        <f>COUNTIF(tables_597100!C:C,input_597100!A17)-COUNTIF(Q:Q,A17)</f>
        <v>20</v>
      </c>
      <c r="F17" s="40">
        <f>IFERROR(B17/E17,0)</f>
        <v>0</v>
      </c>
      <c r="G17">
        <f t="shared" ref="G17:G28" si="4">A$39*B17</f>
        <v>0</v>
      </c>
      <c r="H17">
        <f t="shared" ref="H17:H34" si="5">IFERROR(ROUND(G17/E17,5),0)</f>
        <v>0</v>
      </c>
      <c r="I17">
        <f t="shared" ref="I17:I34" si="6">MOD(H17,1)</f>
        <v>0</v>
      </c>
      <c r="J17">
        <f t="shared" ref="J17:J34" si="7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VLOOKUP(L17,tables_597100!B:C,2,FALSE)</f>
        <v>#N/A</v>
      </c>
      <c r="R17" s="57">
        <f t="shared" si="1"/>
        <v>0</v>
      </c>
      <c r="S17">
        <v>397</v>
      </c>
    </row>
    <row r="18" spans="1:19" x14ac:dyDescent="0.15">
      <c r="A18" s="32" t="s">
        <v>176</v>
      </c>
      <c r="B18" s="51">
        <f>E18*E6*SUM(B6:B7)</f>
        <v>0.19587628865979381</v>
      </c>
      <c r="C18" s="77">
        <f t="shared" si="2"/>
        <v>0</v>
      </c>
      <c r="D18" s="69">
        <f t="shared" si="3"/>
        <v>0.19587628865979381</v>
      </c>
      <c r="E18">
        <f>COUNTIF(tables_597100!C:C,input_597100!A18)-COUNTIF(Q:Q,A18)</f>
        <v>20</v>
      </c>
      <c r="F18" s="40">
        <f>IFERROR(B18/E18,0)</f>
        <v>9.7938144329896906E-3</v>
      </c>
      <c r="G18">
        <f t="shared" si="4"/>
        <v>28500000</v>
      </c>
      <c r="H18">
        <f t="shared" si="5"/>
        <v>1425000</v>
      </c>
      <c r="I18">
        <f t="shared" si="6"/>
        <v>0</v>
      </c>
      <c r="J18">
        <f t="shared" si="7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VLOOKUP(L18,tables_597100!B:C,2,FALSE)</f>
        <v>#N/A</v>
      </c>
      <c r="R18" s="57">
        <f t="shared" si="1"/>
        <v>0</v>
      </c>
      <c r="S18">
        <v>324</v>
      </c>
    </row>
    <row r="19" spans="1:19" x14ac:dyDescent="0.15">
      <c r="A19" s="32" t="s">
        <v>82</v>
      </c>
      <c r="B19" s="51">
        <f>E$6*E19*B$5</f>
        <v>0</v>
      </c>
      <c r="C19" s="77">
        <f t="shared" si="2"/>
        <v>0</v>
      </c>
      <c r="D19" s="69">
        <f t="shared" si="3"/>
        <v>0</v>
      </c>
      <c r="E19">
        <f>COUNTIF(tables_597100!C:C,input_597100!A19)-COUNTIF(Q:Q,A19)</f>
        <v>52</v>
      </c>
      <c r="F19" s="40">
        <f t="shared" ref="F19:F34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VLOOKUP(L19,tables_597100!B:C,2,FALSE)</f>
        <v>#N/A</v>
      </c>
      <c r="R19" s="57">
        <f t="shared" si="1"/>
        <v>0</v>
      </c>
      <c r="S19">
        <v>325</v>
      </c>
    </row>
    <row r="20" spans="1:19" x14ac:dyDescent="0.15">
      <c r="A20" s="32" t="s">
        <v>83</v>
      </c>
      <c r="B20" s="84">
        <f>E$6*E20-B19-B21</f>
        <v>0.47283917525773189</v>
      </c>
      <c r="C20" s="77">
        <f t="shared" si="2"/>
        <v>0</v>
      </c>
      <c r="D20" s="69">
        <f t="shared" si="3"/>
        <v>0.47283917525773189</v>
      </c>
      <c r="E20">
        <f>COUNTIF(tables_597100!C:C,input_597100!A20)-COUNTIF(Q:Q,A20)</f>
        <v>52</v>
      </c>
      <c r="F20" s="40">
        <f t="shared" si="8"/>
        <v>9.0930610626486896E-3</v>
      </c>
      <c r="G20">
        <f t="shared" si="4"/>
        <v>68798099.999999985</v>
      </c>
      <c r="H20">
        <f t="shared" si="5"/>
        <v>1323040.3846199999</v>
      </c>
      <c r="I20">
        <f t="shared" si="6"/>
        <v>0.38461999990977347</v>
      </c>
      <c r="J20">
        <f t="shared" si="7"/>
        <v>2.5999688009843123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VLOOKUP(L20,tables_597100!B:C,2,FALSE)</f>
        <v>#N/A</v>
      </c>
      <c r="R20" s="57">
        <f t="shared" si="1"/>
        <v>0</v>
      </c>
      <c r="S20">
        <v>809</v>
      </c>
    </row>
    <row r="21" spans="1:19" x14ac:dyDescent="0.15">
      <c r="A21" s="32" t="s">
        <v>84</v>
      </c>
      <c r="B21" s="51">
        <f>B7-B23-B26-B28-B29-B30</f>
        <v>3.6439175257731965E-2</v>
      </c>
      <c r="C21" s="77">
        <f t="shared" si="2"/>
        <v>0</v>
      </c>
      <c r="D21" s="69">
        <f t="shared" si="3"/>
        <v>3.6439175257731965E-2</v>
      </c>
      <c r="E21">
        <f>COUNTIF(tables_597100!C:C,input_597100!A21)-COUNTIF(Q:Q,A21)</f>
        <v>52</v>
      </c>
      <c r="F21" s="40">
        <f t="shared" si="8"/>
        <v>7.0075337034099933E-4</v>
      </c>
      <c r="G21">
        <f t="shared" si="4"/>
        <v>5301900.0000000009</v>
      </c>
      <c r="H21">
        <f t="shared" si="5"/>
        <v>101959.61538</v>
      </c>
      <c r="I21">
        <f t="shared" si="6"/>
        <v>0.61538000000291504</v>
      </c>
      <c r="J21">
        <f t="shared" si="7"/>
        <v>1.6250121875837094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0.17922680412371134</v>
      </c>
      <c r="C22" s="77">
        <f t="shared" si="2"/>
        <v>0</v>
      </c>
      <c r="D22" s="69">
        <f t="shared" si="3"/>
        <v>0.17922680412371134</v>
      </c>
      <c r="E22">
        <f>COUNTIF(tables_597100!C:C,input_597100!A22)-COUNTIF(Q:Q,A22)</f>
        <v>21</v>
      </c>
      <c r="F22" s="40">
        <f t="shared" si="8"/>
        <v>8.534609720176731E-3</v>
      </c>
      <c r="G22">
        <f t="shared" si="4"/>
        <v>26077500</v>
      </c>
      <c r="H22">
        <f t="shared" si="5"/>
        <v>1241785.71429</v>
      </c>
      <c r="I22">
        <f t="shared" si="6"/>
        <v>0.71429000003263354</v>
      </c>
      <c r="J22">
        <f t="shared" si="7"/>
        <v>1.3999915999864387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</f>
        <v>2.6443298969072167E-2</v>
      </c>
      <c r="C23" s="77">
        <f t="shared" si="2"/>
        <v>0</v>
      </c>
      <c r="D23" s="69">
        <f t="shared" si="3"/>
        <v>2.6443298969072167E-2</v>
      </c>
      <c r="E23">
        <f>COUNTIF(tables_597100!C:C,input_597100!A23)-COUNTIF(Q:Q,A23)</f>
        <v>27</v>
      </c>
      <c r="F23" s="40">
        <f t="shared" si="8"/>
        <v>9.7938144329896924E-4</v>
      </c>
      <c r="G23">
        <f t="shared" si="4"/>
        <v>3847500.0000000005</v>
      </c>
      <c r="H23">
        <f t="shared" si="5"/>
        <v>142500</v>
      </c>
      <c r="I23">
        <f t="shared" si="6"/>
        <v>0</v>
      </c>
      <c r="J23">
        <f t="shared" si="7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0</v>
      </c>
      <c r="C24" s="77">
        <f t="shared" si="2"/>
        <v>0</v>
      </c>
      <c r="D24" s="69">
        <f t="shared" si="3"/>
        <v>0</v>
      </c>
      <c r="E24">
        <f>COUNTIF(tables_597100!C:C,input_597100!A24)-COUNTIF(Q:Q,A24)</f>
        <v>4</v>
      </c>
      <c r="F24" s="40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3.5257731958762889E-2</v>
      </c>
      <c r="C25" s="77">
        <f t="shared" si="2"/>
        <v>0</v>
      </c>
      <c r="D25" s="69">
        <f t="shared" si="3"/>
        <v>3.5257731958762889E-2</v>
      </c>
      <c r="E25">
        <f>COUNTIF(tables_597100!C:C,input_597100!A25)-COUNTIF(Q:Q,A25)</f>
        <v>4</v>
      </c>
      <c r="F25" s="40">
        <f t="shared" si="8"/>
        <v>8.8144329896907223E-3</v>
      </c>
      <c r="G25">
        <f t="shared" si="4"/>
        <v>5130000</v>
      </c>
      <c r="H25">
        <f t="shared" si="5"/>
        <v>1282500</v>
      </c>
      <c r="I25">
        <f t="shared" si="6"/>
        <v>0</v>
      </c>
      <c r="J25">
        <f t="shared" si="7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3.9175257731958761E-3</v>
      </c>
      <c r="C26" s="77">
        <f t="shared" si="2"/>
        <v>0</v>
      </c>
      <c r="D26" s="69">
        <f t="shared" si="3"/>
        <v>3.9175257731958761E-3</v>
      </c>
      <c r="E26">
        <f>COUNTIF(tables_597100!C:C,input_597100!A26)-COUNTIF(Q:Q,A26)</f>
        <v>4</v>
      </c>
      <c r="F26" s="40">
        <f t="shared" si="8"/>
        <v>9.7938144329896902E-4</v>
      </c>
      <c r="G26">
        <f t="shared" si="4"/>
        <v>570000</v>
      </c>
      <c r="H26">
        <f t="shared" si="5"/>
        <v>142500</v>
      </c>
      <c r="I26">
        <f t="shared" si="6"/>
        <v>0</v>
      </c>
      <c r="J26">
        <f t="shared" si="7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91</v>
      </c>
      <c r="B27" s="51">
        <f>E$5*E27*(B$5+B$6)</f>
        <v>1.6800000000000002E-2</v>
      </c>
      <c r="C27" s="77">
        <f t="shared" si="2"/>
        <v>0</v>
      </c>
      <c r="D27" s="69">
        <f t="shared" si="3"/>
        <v>1.6800000000000002E-2</v>
      </c>
      <c r="E27">
        <f>COUNTIF(tables_597100!C:C,input_597100!A27)-COUNTIF(Q:Q,A27)</f>
        <v>28</v>
      </c>
      <c r="F27" s="40">
        <f>IFERROR(B27/E27,0)</f>
        <v>6.0000000000000006E-4</v>
      </c>
      <c r="G27">
        <f t="shared" si="4"/>
        <v>2444400.0000000005</v>
      </c>
      <c r="H27">
        <f t="shared" si="5"/>
        <v>87300</v>
      </c>
      <c r="I27">
        <f t="shared" si="6"/>
        <v>0</v>
      </c>
      <c r="J27">
        <f t="shared" si="7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92</v>
      </c>
      <c r="B28" s="51">
        <f>E$5*E28*B$7</f>
        <v>1.8666666666666669E-3</v>
      </c>
      <c r="C28" s="77">
        <f t="shared" si="2"/>
        <v>0</v>
      </c>
      <c r="D28" s="69">
        <f t="shared" si="3"/>
        <v>1.8666666666666669E-3</v>
      </c>
      <c r="E28">
        <f>COUNTIF(tables_597100!C:C,input_597100!A28)-COUNTIF(Q:Q,A28)</f>
        <v>28</v>
      </c>
      <c r="F28" s="40">
        <f t="shared" si="8"/>
        <v>6.666666666666667E-5</v>
      </c>
      <c r="G28">
        <f t="shared" si="4"/>
        <v>271600</v>
      </c>
      <c r="H28">
        <f t="shared" si="5"/>
        <v>9700</v>
      </c>
      <c r="I28">
        <f t="shared" si="6"/>
        <v>0</v>
      </c>
      <c r="J28">
        <f t="shared" si="7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32" t="s">
        <v>236</v>
      </c>
      <c r="B29" s="51">
        <f>E$5*E29</f>
        <v>0</v>
      </c>
      <c r="C29" s="77">
        <f t="shared" si="2"/>
        <v>0</v>
      </c>
      <c r="D29" s="69"/>
      <c r="E29">
        <f>COUNTIF(tables_597100!C:C,input_597100!A29)-COUNTIF(Q:Q,A29)</f>
        <v>0</v>
      </c>
      <c r="F29" s="40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2"/>
      <c r="M29" s="52"/>
      <c r="N29" s="53"/>
      <c r="O29" s="52"/>
      <c r="P29" s="52"/>
      <c r="Q29" s="52"/>
      <c r="R29" s="54"/>
    </row>
    <row r="30" spans="1:19" ht="15" customHeight="1" x14ac:dyDescent="0.15">
      <c r="A30" s="32" t="s">
        <v>184</v>
      </c>
      <c r="B30" s="51">
        <f>E$5*E30</f>
        <v>3.1333333333333338E-2</v>
      </c>
      <c r="C30" s="77">
        <f t="shared" si="2"/>
        <v>0</v>
      </c>
      <c r="D30" s="69"/>
      <c r="E30">
        <f>COUNTIF(tables_597100!C:C,input_597100!A30)-COUNTIF(Q:Q,A30)</f>
        <v>47</v>
      </c>
      <c r="F30" s="40">
        <f t="shared" si="9"/>
        <v>6.6666666666666675E-4</v>
      </c>
      <c r="G30">
        <f t="shared" si="10"/>
        <v>4559000.0000000009</v>
      </c>
      <c r="H30">
        <f t="shared" si="11"/>
        <v>97000</v>
      </c>
      <c r="I30">
        <f t="shared" si="12"/>
        <v>0</v>
      </c>
      <c r="J30">
        <f t="shared" si="13"/>
        <v>1</v>
      </c>
      <c r="L30" s="52"/>
      <c r="M30" s="52"/>
      <c r="N30" s="53"/>
      <c r="O30" s="52"/>
      <c r="P30" s="52"/>
      <c r="Q30" s="52"/>
      <c r="R30" s="54"/>
    </row>
    <row r="31" spans="1:19" ht="15" customHeight="1" x14ac:dyDescent="0.15">
      <c r="A31" s="32" t="s">
        <v>238</v>
      </c>
      <c r="B31" s="51">
        <f>E$5*E31*0.4</f>
        <v>0</v>
      </c>
      <c r="C31" s="77">
        <f t="shared" si="2"/>
        <v>0</v>
      </c>
      <c r="D31" s="69"/>
      <c r="E31">
        <f>COUNTIF(tables_597100!C:C,input_597100!A31)-COUNTIF(Q:Q,A31)</f>
        <v>0</v>
      </c>
      <c r="F31" s="40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2" t="s">
        <v>224</v>
      </c>
      <c r="B32" s="51">
        <f>E$5*E32</f>
        <v>0</v>
      </c>
      <c r="C32" s="77">
        <f t="shared" si="2"/>
        <v>0</v>
      </c>
      <c r="D32" s="69">
        <f t="shared" si="3"/>
        <v>0</v>
      </c>
      <c r="E32">
        <f>COUNTIF(tables_597100!C:C,input_597100!A32)-COUNTIF(Q:Q,A32)</f>
        <v>0</v>
      </c>
      <c r="F32" s="40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2"/>
      <c r="M32" s="52"/>
      <c r="N32" s="53"/>
      <c r="O32" s="52"/>
      <c r="P32" s="52"/>
      <c r="Q32" s="52"/>
      <c r="R32" s="54"/>
    </row>
    <row r="33" spans="1:18" x14ac:dyDescent="0.15">
      <c r="A33" s="32" t="s">
        <v>225</v>
      </c>
      <c r="B33" s="51">
        <f>E$5*E33</f>
        <v>0</v>
      </c>
      <c r="C33" s="77">
        <f t="shared" si="2"/>
        <v>0</v>
      </c>
      <c r="D33" s="69">
        <f t="shared" si="3"/>
        <v>0</v>
      </c>
      <c r="E33">
        <f>COUNTIF(tables_597100!C:C,input_597100!A33)-COUNTIF(Q:Q,A33)</f>
        <v>0</v>
      </c>
      <c r="F33" s="40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2"/>
      <c r="M33" s="52"/>
      <c r="N33" s="53"/>
      <c r="O33" s="52"/>
      <c r="P33" s="52"/>
      <c r="Q33" s="52"/>
      <c r="R33" s="54"/>
    </row>
    <row r="34" spans="1:18" x14ac:dyDescent="0.15">
      <c r="A34" s="32" t="s">
        <v>235</v>
      </c>
      <c r="B34" s="51">
        <f>E$5*E34</f>
        <v>0</v>
      </c>
      <c r="C34" s="77">
        <f t="shared" si="2"/>
        <v>0</v>
      </c>
      <c r="D34" s="69">
        <f t="shared" si="3"/>
        <v>0</v>
      </c>
      <c r="E34">
        <f>COUNTIF(tables_597100!C:C,input_597100!A34)-COUNTIF(Q:Q,A34)</f>
        <v>0</v>
      </c>
      <c r="F34" s="40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2"/>
      <c r="M34" s="52"/>
      <c r="N34" s="53"/>
      <c r="O34" s="52"/>
      <c r="P34" s="52"/>
      <c r="Q34" s="52"/>
      <c r="R34" s="54"/>
    </row>
    <row r="35" spans="1:18" x14ac:dyDescent="0.15">
      <c r="A35" s="38" t="s">
        <v>51</v>
      </c>
      <c r="B35" s="92">
        <f>SUM(B17:B34)</f>
        <v>1</v>
      </c>
      <c r="C35" s="93">
        <f>SUM(C19:C34)</f>
        <v>0</v>
      </c>
      <c r="D35" s="39">
        <f t="shared" si="3"/>
        <v>1</v>
      </c>
      <c r="L35" s="52"/>
      <c r="M35" s="52"/>
      <c r="N35" s="52"/>
      <c r="O35" s="52"/>
      <c r="P35" s="52"/>
      <c r="Q35" s="52"/>
      <c r="R35" s="54"/>
    </row>
    <row r="37" spans="1:18" x14ac:dyDescent="0.15">
      <c r="E37" s="50"/>
      <c r="F37" s="50"/>
    </row>
    <row r="38" spans="1:18" x14ac:dyDescent="0.15">
      <c r="A38" t="s">
        <v>65</v>
      </c>
    </row>
    <row r="39" spans="1:18" x14ac:dyDescent="0.15">
      <c r="A39" s="30">
        <f>LCM(F5-I5,F6-I6)*1000*2*2*5</f>
        <v>145500000</v>
      </c>
    </row>
    <row r="41" spans="1:18" x14ac:dyDescent="0.15">
      <c r="A41" s="44" t="s">
        <v>68</v>
      </c>
    </row>
    <row r="42" spans="1:18" x14ac:dyDescent="0.15">
      <c r="A42" s="32" t="s">
        <v>52</v>
      </c>
      <c r="B42" t="s">
        <v>66</v>
      </c>
      <c r="C42" t="s">
        <v>85</v>
      </c>
      <c r="E42" t="s">
        <v>86</v>
      </c>
      <c r="F42" t="s">
        <v>2</v>
      </c>
      <c r="G42" t="s">
        <v>55</v>
      </c>
    </row>
    <row r="43" spans="1:18" x14ac:dyDescent="0.15">
      <c r="A43" s="32" t="s">
        <v>88</v>
      </c>
      <c r="B43">
        <f ca="1">SUMIF(tables_597100!C:C,input_597100!A43,tables_597100!O:O)</f>
        <v>0</v>
      </c>
      <c r="C43" s="49">
        <f t="shared" ref="C43:C49" ca="1" si="19">B43/B$50</f>
        <v>0</v>
      </c>
      <c r="E43">
        <v>3</v>
      </c>
      <c r="F43">
        <f ca="1">SUMIF(tables_597100!J:J,input_597100!E43,tables_597100!O:O)</f>
        <v>0</v>
      </c>
      <c r="G43">
        <f ca="1">F43/A39</f>
        <v>0</v>
      </c>
    </row>
    <row r="44" spans="1:18" x14ac:dyDescent="0.15">
      <c r="A44" s="32" t="s">
        <v>89</v>
      </c>
      <c r="B44">
        <f ca="1">SUMIF(tables_597100!C:C,input_597100!A44,tables_597100!O:O)</f>
        <v>68798100.000240073</v>
      </c>
      <c r="C44" s="49">
        <f t="shared" ca="1" si="19"/>
        <v>0.89562200583524276</v>
      </c>
      <c r="E44">
        <v>4</v>
      </c>
      <c r="F44">
        <f ca="1">SUMIF(tables_597100!J:J,input_597100!E44,tables_597100!O:O)</f>
        <v>130950000.00032984</v>
      </c>
      <c r="G44">
        <f ca="1">F44/A39</f>
        <v>0.90000000000226688</v>
      </c>
    </row>
    <row r="45" spans="1:18" x14ac:dyDescent="0.15">
      <c r="A45" s="32" t="s">
        <v>91</v>
      </c>
      <c r="B45">
        <f ca="1">SUMIF(tables_597100!C:C,input_597100!A45,tables_597100!O:O)</f>
        <v>2444400</v>
      </c>
      <c r="C45" s="49">
        <f t="shared" ca="1" si="19"/>
        <v>3.1821495521766267E-2</v>
      </c>
      <c r="E45">
        <v>5</v>
      </c>
      <c r="F45">
        <f ca="1">SUMIF(tables_597100!J:J,input_597100!E45,tables_597100!O:O)</f>
        <v>14549999.999760004</v>
      </c>
      <c r="G45" s="91">
        <f ca="1">F45/A39</f>
        <v>9.9999999998350547E-2</v>
      </c>
      <c r="J45">
        <f>16.4-0.35</f>
        <v>16.049999999999997</v>
      </c>
    </row>
    <row r="46" spans="1:18" x14ac:dyDescent="0.15">
      <c r="A46" s="32" t="s">
        <v>94</v>
      </c>
      <c r="B46">
        <f>SUMIF(tables_597100!C:C,input_597100!A46,tables_597100!O:O)</f>
        <v>0</v>
      </c>
      <c r="C46" s="49">
        <f t="shared" ca="1" si="19"/>
        <v>0</v>
      </c>
      <c r="F46" s="50"/>
    </row>
    <row r="47" spans="1:18" x14ac:dyDescent="0.15">
      <c r="A47" s="32" t="s">
        <v>90</v>
      </c>
      <c r="B47">
        <f ca="1">SUMIF(tables_597100!C:C,input_597100!A47,tables_597100!O:O)</f>
        <v>5301899.999760001</v>
      </c>
      <c r="C47" s="49">
        <f t="shared" ca="1" si="19"/>
        <v>6.9020776918350291E-2</v>
      </c>
      <c r="E47" t="s">
        <v>46</v>
      </c>
      <c r="F47" s="50"/>
    </row>
    <row r="48" spans="1:18" x14ac:dyDescent="0.15">
      <c r="A48" s="32" t="s">
        <v>92</v>
      </c>
      <c r="B48">
        <f ca="1">SUMIF(tables_597100!C:C,input_597100!A48,tables_597100!O:O)</f>
        <v>271600</v>
      </c>
      <c r="C48" s="49">
        <f t="shared" ca="1" si="19"/>
        <v>3.5357217246406963E-3</v>
      </c>
      <c r="E48" t="s">
        <v>189</v>
      </c>
      <c r="F48" s="50">
        <f ca="1">SUMIF(tables_597100!I:I,input_597100!E48,tables_597100!P:P)</f>
        <v>0.20175257731946306</v>
      </c>
    </row>
    <row r="49" spans="1:7" x14ac:dyDescent="0.15">
      <c r="A49" s="32" t="s">
        <v>93</v>
      </c>
      <c r="B49">
        <f>SUMIF(tables_597100!C:C,input_597100!A49,tables_597100!O:O)</f>
        <v>0</v>
      </c>
      <c r="C49" s="49">
        <f t="shared" ca="1" si="19"/>
        <v>0</v>
      </c>
      <c r="E49" t="s">
        <v>190</v>
      </c>
      <c r="F49" s="50">
        <f ca="1">SUMIF(tables_597100!I:I,input_597100!E49,tables_597100!P:P)</f>
        <v>0.1958762886596728</v>
      </c>
    </row>
    <row r="50" spans="1:7" x14ac:dyDescent="0.15">
      <c r="A50" s="38" t="s">
        <v>51</v>
      </c>
      <c r="B50">
        <f ca="1">SUM(B43:B49)</f>
        <v>76816000.000000075</v>
      </c>
      <c r="C50" s="50">
        <f ca="1">SUM(C43:C49)</f>
        <v>1</v>
      </c>
      <c r="E50" t="s">
        <v>191</v>
      </c>
      <c r="F50" s="50">
        <f ca="1">SUMIF(tables_597100!I:I,input_597100!E50,tables_597100!P:P)</f>
        <v>0.55237113402089588</v>
      </c>
    </row>
    <row r="51" spans="1:7" x14ac:dyDescent="0.15">
      <c r="E51" t="s">
        <v>192</v>
      </c>
      <c r="F51" s="50">
        <f ca="1">SUMIF(tables_597100!I:I,input_597100!E51,tables_597100!P:P)</f>
        <v>4.3333333333306481E-2</v>
      </c>
      <c r="G51" s="50"/>
    </row>
    <row r="52" spans="1:7" x14ac:dyDescent="0.15">
      <c r="E52" t="s">
        <v>233</v>
      </c>
      <c r="F52" s="50">
        <f ca="1">SUMIF(tables_597100!I:I,input_597100!E52,tables_597100!P:P)</f>
        <v>6.6666666666625497E-3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21" activePane="bottomLeft" state="frozen"/>
      <selection activeCell="H276" sqref="H276"/>
      <selection pane="bottomLeft" activeCell="P360" sqref="P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input_597100!A$2</f>
        <v>597100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IFERROR(VLOOKUP(B2,input_597100!L:R,7,FALSE),VLOOKUP(tables_597100!C2,input_597100!A:H,8,FALSE))</f>
        <v>0</v>
      </c>
      <c r="P2" s="43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input_597100!A$2</f>
        <v>597100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IFERROR(VLOOKUP(B3,input_597100!L:R,7,FALSE),VLOOKUP(tables_597100!C3,input_597100!A:H,8,FALSE))</f>
        <v>1425000</v>
      </c>
      <c r="P3" s="43">
        <f t="shared" ca="1" si="1"/>
        <v>9.7938144329836434E-3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input_597100!A$2</f>
        <v>597100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IFERROR(VLOOKUP(B4,input_597100!L:R,7,FALSE),VLOOKUP(tables_597100!C4,input_597100!A:H,8,FALSE))</f>
        <v>0</v>
      </c>
      <c r="P4" s="43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input_597100!A$2</f>
        <v>597100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IFERROR(VLOOKUP(B5,input_597100!L:R,7,FALSE),VLOOKUP(tables_597100!C5,input_597100!A:H,8,FALSE))</f>
        <v>1425000</v>
      </c>
      <c r="P5" s="43">
        <f t="shared" ca="1" si="1"/>
        <v>9.7938144329836434E-3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input_597100!A$2</f>
        <v>597100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IFERROR(VLOOKUP(B6,input_597100!L:R,7,FALSE),VLOOKUP(tables_597100!C6,input_597100!A:H,8,FALSE))</f>
        <v>0</v>
      </c>
      <c r="P6" s="43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input_597100!A$2</f>
        <v>597100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IFERROR(VLOOKUP(B7,input_597100!L:R,7,FALSE),VLOOKUP(tables_597100!C7,input_597100!A:H,8,FALSE))</f>
        <v>1425000</v>
      </c>
      <c r="P7" s="43">
        <f t="shared" ca="1" si="1"/>
        <v>9.7938144329836434E-3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input_597100!A$2</f>
        <v>597100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IFERROR(VLOOKUP(B8,input_597100!L:R,7,FALSE),VLOOKUP(tables_597100!C8,input_597100!A:H,8,FALSE))</f>
        <v>0</v>
      </c>
      <c r="P8" s="43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input_597100!A$2</f>
        <v>597100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IFERROR(VLOOKUP(B9,input_597100!L:R,7,FALSE),VLOOKUP(tables_597100!C9,input_597100!A:H,8,FALSE))</f>
        <v>1425000</v>
      </c>
      <c r="P9" s="43">
        <f t="shared" ca="1" si="1"/>
        <v>9.7938144329836434E-3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input_597100!A$2</f>
        <v>597100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IFERROR(VLOOKUP(B10,input_597100!L:R,7,FALSE),VLOOKUP(tables_597100!C10,input_597100!A:H,8,FALSE))</f>
        <v>0</v>
      </c>
      <c r="P10" s="43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input_597100!A$2</f>
        <v>597100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IFERROR(VLOOKUP(B11,input_597100!L:R,7,FALSE),VLOOKUP(tables_597100!C11,input_597100!A:H,8,FALSE))</f>
        <v>1425000</v>
      </c>
      <c r="P11" s="43">
        <f t="shared" ca="1" si="1"/>
        <v>9.7938144329836434E-3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input_597100!A$2</f>
        <v>597100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IFERROR(VLOOKUP(B12,input_597100!L:R,7,FALSE),VLOOKUP(tables_597100!C12,input_597100!A:H,8,FALSE))</f>
        <v>0</v>
      </c>
      <c r="P12" s="43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input_597100!A$2</f>
        <v>597100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IFERROR(VLOOKUP(B13,input_597100!L:R,7,FALSE),VLOOKUP(tables_597100!C13,input_597100!A:H,8,FALSE))</f>
        <v>1425000</v>
      </c>
      <c r="P13" s="43">
        <f t="shared" ca="1" si="1"/>
        <v>9.7938144329836434E-3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input_597100!A$2</f>
        <v>597100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IFERROR(VLOOKUP(B14,input_597100!L:R,7,FALSE),VLOOKUP(tables_597100!C14,input_597100!A:H,8,FALSE))</f>
        <v>0</v>
      </c>
      <c r="P14" s="43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input_597100!A$2</f>
        <v>597100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IFERROR(VLOOKUP(B15,input_597100!L:R,7,FALSE),VLOOKUP(tables_597100!C15,input_597100!A:H,8,FALSE))</f>
        <v>1425000</v>
      </c>
      <c r="P15" s="43">
        <f t="shared" ca="1" si="1"/>
        <v>9.7938144329836434E-3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input_597100!A$2</f>
        <v>597100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IFERROR(VLOOKUP(B16,input_597100!L:R,7,FALSE),VLOOKUP(tables_597100!C16,input_597100!A:H,8,FALSE))</f>
        <v>0</v>
      </c>
      <c r="P16" s="43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input_597100!A$2</f>
        <v>597100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IFERROR(VLOOKUP(B17,input_597100!L:R,7,FALSE),VLOOKUP(tables_597100!C17,input_597100!A:H,8,FALSE))</f>
        <v>1425000</v>
      </c>
      <c r="P17" s="43">
        <f t="shared" ca="1" si="1"/>
        <v>9.7938144329836434E-3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input_597100!A$2</f>
        <v>597100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IFERROR(VLOOKUP(B18,input_597100!L:R,7,FALSE),VLOOKUP(tables_597100!C18,input_597100!A:H,8,FALSE))</f>
        <v>0</v>
      </c>
      <c r="P18" s="43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input_597100!A$2</f>
        <v>597100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IFERROR(VLOOKUP(B19,input_597100!L:R,7,FALSE),VLOOKUP(tables_597100!C19,input_597100!A:H,8,FALSE))</f>
        <v>1425000</v>
      </c>
      <c r="P19" s="43">
        <f t="shared" ca="1" si="1"/>
        <v>9.7938144329836434E-3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input_597100!A$2</f>
        <v>597100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IFERROR(VLOOKUP(B20,input_597100!L:R,7,FALSE),VLOOKUP(tables_597100!C20,input_597100!A:H,8,FALSE))</f>
        <v>0</v>
      </c>
      <c r="P20" s="43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input_597100!A$2</f>
        <v>597100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IFERROR(VLOOKUP(B21,input_597100!L:R,7,FALSE),VLOOKUP(tables_597100!C21,input_597100!A:H,8,FALSE))</f>
        <v>1425000</v>
      </c>
      <c r="P21" s="43">
        <f t="shared" ca="1" si="1"/>
        <v>9.7938144329836434E-3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input_597100!A$2</f>
        <v>597100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IFERROR(VLOOKUP(B22,input_597100!L:R,7,FALSE),VLOOKUP(tables_597100!C22,input_597100!A:H,8,FALSE))</f>
        <v>0</v>
      </c>
      <c r="P22" s="43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input_597100!A$2</f>
        <v>597100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IFERROR(VLOOKUP(B23,input_597100!L:R,7,FALSE),VLOOKUP(tables_597100!C23,input_597100!A:H,8,FALSE))</f>
        <v>1425000</v>
      </c>
      <c r="P23" s="43">
        <f t="shared" ca="1" si="1"/>
        <v>9.7938144329836434E-3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input_597100!A$2</f>
        <v>597100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IFERROR(VLOOKUP(B24,input_597100!L:R,7,FALSE),VLOOKUP(tables_597100!C24,input_597100!A:H,8,FALSE))</f>
        <v>0</v>
      </c>
      <c r="P24" s="43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input_597100!A$2</f>
        <v>597100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IFERROR(VLOOKUP(B25,input_597100!L:R,7,FALSE),VLOOKUP(tables_597100!C25,input_597100!A:H,8,FALSE))</f>
        <v>1425000</v>
      </c>
      <c r="P25" s="43">
        <f t="shared" ca="1" si="1"/>
        <v>9.7938144329836434E-3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input_597100!A$2</f>
        <v>597100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IFERROR(VLOOKUP(B26,input_597100!L:R,7,FALSE),VLOOKUP(tables_597100!C26,input_597100!A:H,8,FALSE))</f>
        <v>0</v>
      </c>
      <c r="P26" s="43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input_597100!A$2</f>
        <v>597100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IFERROR(VLOOKUP(B27,input_597100!L:R,7,FALSE),VLOOKUP(tables_597100!C27,input_597100!A:H,8,FALSE))</f>
        <v>1425000</v>
      </c>
      <c r="P27" s="43">
        <f t="shared" ca="1" si="1"/>
        <v>9.7938144329836434E-3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input_597100!A$2</f>
        <v>597100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IFERROR(VLOOKUP(B28,input_597100!L:R,7,FALSE),VLOOKUP(tables_597100!C28,input_597100!A:H,8,FALSE))</f>
        <v>0</v>
      </c>
      <c r="P28" s="43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input_597100!A$2</f>
        <v>597100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IFERROR(VLOOKUP(B29,input_597100!L:R,7,FALSE),VLOOKUP(tables_597100!C29,input_597100!A:H,8,FALSE))</f>
        <v>1425000</v>
      </c>
      <c r="P29" s="43">
        <f t="shared" ca="1" si="1"/>
        <v>9.7938144329836434E-3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input_597100!A$2</f>
        <v>597100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IFERROR(VLOOKUP(B30,input_597100!L:R,7,FALSE),VLOOKUP(tables_597100!C30,input_597100!A:H,8,FALSE))</f>
        <v>0</v>
      </c>
      <c r="P30" s="43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input_597100!A$2</f>
        <v>597100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IFERROR(VLOOKUP(B31,input_597100!L:R,7,FALSE),VLOOKUP(tables_597100!C31,input_597100!A:H,8,FALSE))</f>
        <v>1425000</v>
      </c>
      <c r="P31" s="43">
        <f t="shared" ca="1" si="1"/>
        <v>9.7938144329836434E-3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input_597100!A$2</f>
        <v>597100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IFERROR(VLOOKUP(B32,input_597100!L:R,7,FALSE),VLOOKUP(tables_597100!C32,input_597100!A:H,8,FALSE))</f>
        <v>0</v>
      </c>
      <c r="P32" s="43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input_597100!A$2</f>
        <v>597100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IFERROR(VLOOKUP(B33,input_597100!L:R,7,FALSE),VLOOKUP(tables_597100!C33,input_597100!A:H,8,FALSE))</f>
        <v>1425000</v>
      </c>
      <c r="P33" s="43">
        <f t="shared" ca="1" si="1"/>
        <v>9.7938144329836434E-3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input_597100!A$2</f>
        <v>597100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IFERROR(VLOOKUP(B34,input_597100!L:R,7,FALSE),VLOOKUP(tables_597100!C34,input_597100!A:H,8,FALSE))</f>
        <v>0</v>
      </c>
      <c r="P34" s="43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input_597100!A$2</f>
        <v>597100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IFERROR(VLOOKUP(B35,input_597100!L:R,7,FALSE),VLOOKUP(tables_597100!C35,input_597100!A:H,8,FALSE))</f>
        <v>1425000</v>
      </c>
      <c r="P35" s="43">
        <f t="shared" ca="1" si="1"/>
        <v>9.7938144329836434E-3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input_597100!A$2</f>
        <v>597100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IFERROR(VLOOKUP(B36,input_597100!L:R,7,FALSE),VLOOKUP(tables_597100!C36,input_597100!A:H,8,FALSE))</f>
        <v>0</v>
      </c>
      <c r="P36" s="43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input_597100!A$2</f>
        <v>597100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IFERROR(VLOOKUP(B37,input_597100!L:R,7,FALSE),VLOOKUP(tables_597100!C37,input_597100!A:H,8,FALSE))</f>
        <v>1425000</v>
      </c>
      <c r="P37" s="43">
        <f t="shared" ca="1" si="1"/>
        <v>9.7938144329836434E-3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input_597100!A$2</f>
        <v>597100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IFERROR(VLOOKUP(B38,input_597100!L:R,7,FALSE),VLOOKUP(tables_597100!C38,input_597100!A:H,8,FALSE))</f>
        <v>0</v>
      </c>
      <c r="P38" s="43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input_597100!A$2</f>
        <v>597100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IFERROR(VLOOKUP(B39,input_597100!L:R,7,FALSE),VLOOKUP(tables_597100!C39,input_597100!A:H,8,FALSE))</f>
        <v>1425000</v>
      </c>
      <c r="P39" s="43">
        <f t="shared" ca="1" si="1"/>
        <v>9.7938144329836434E-3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input_597100!A$2</f>
        <v>597100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IFERROR(VLOOKUP(B40,input_597100!L:R,7,FALSE),VLOOKUP(tables_597100!C40,input_597100!A:H,8,FALSE))</f>
        <v>0</v>
      </c>
      <c r="P40" s="43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input_597100!A$2</f>
        <v>597100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IFERROR(VLOOKUP(B41,input_597100!L:R,7,FALSE),VLOOKUP(tables_597100!C41,input_597100!A:H,8,FALSE))</f>
        <v>1425000</v>
      </c>
      <c r="P41" s="43">
        <f t="shared" ca="1" si="1"/>
        <v>9.7938144329836434E-3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input_597100!A$2</f>
        <v>597100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IFERROR(VLOOKUP(B42,input_597100!L:R,7,FALSE),VLOOKUP(tables_597100!C42,input_597100!A:H,8,FALSE))</f>
        <v>0</v>
      </c>
      <c r="P42" s="43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input_597100!A$2</f>
        <v>597100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IFERROR(VLOOKUP(B43,input_597100!L:R,7,FALSE),VLOOKUP(tables_597100!C43,input_597100!A:H,8,FALSE))</f>
        <v>1282500</v>
      </c>
      <c r="P43" s="43">
        <f t="shared" ca="1" si="1"/>
        <v>8.8144329896852787E-3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2" customHeight="1" x14ac:dyDescent="0.15">
      <c r="A44" s="2" t="str">
        <f ca="1">input_597100!A$2</f>
        <v>597100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IFERROR(VLOOKUP(B44,input_597100!L:R,7,FALSE),VLOOKUP(tables_597100!C44,input_597100!A:H,8,FALSE))</f>
        <v>142500</v>
      </c>
      <c r="P44" s="43">
        <f t="shared" ca="1" si="1"/>
        <v>9.7938144329836425E-4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input_597100!A$2</f>
        <v>597100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IFERROR(VLOOKUP(B45,input_597100!L:R,7,FALSE),VLOOKUP(tables_597100!C45,input_597100!A:H,8,FALSE))</f>
        <v>0</v>
      </c>
      <c r="P45" s="43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input_597100!A$2</f>
        <v>597100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IFERROR(VLOOKUP(B46,input_597100!L:R,7,FALSE),VLOOKUP(tables_597100!C46,input_597100!A:H,8,FALSE))</f>
        <v>1282500</v>
      </c>
      <c r="P46" s="43">
        <f t="shared" ca="1" si="1"/>
        <v>8.8144329896852787E-3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input_597100!A$2</f>
        <v>597100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IFERROR(VLOOKUP(B47,input_597100!L:R,7,FALSE),VLOOKUP(tables_597100!C47,input_597100!A:H,8,FALSE))</f>
        <v>142500</v>
      </c>
      <c r="P47" s="43">
        <f t="shared" ca="1" si="1"/>
        <v>9.7938144329836425E-4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input_597100!A$2</f>
        <v>597100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IFERROR(VLOOKUP(B48,input_597100!L:R,7,FALSE),VLOOKUP(tables_597100!C48,input_597100!A:H,8,FALSE))</f>
        <v>0</v>
      </c>
      <c r="P48" s="43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input_597100!A$2</f>
        <v>597100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IFERROR(VLOOKUP(B49,input_597100!L:R,7,FALSE),VLOOKUP(tables_597100!C49,input_597100!A:H,8,FALSE))</f>
        <v>1282500</v>
      </c>
      <c r="P49" s="43">
        <f t="shared" ca="1" si="1"/>
        <v>8.8144329896852787E-3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input_597100!A$2</f>
        <v>597100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IFERROR(VLOOKUP(B50,input_597100!L:R,7,FALSE),VLOOKUP(tables_597100!C50,input_597100!A:H,8,FALSE))</f>
        <v>142500</v>
      </c>
      <c r="P50" s="43">
        <f t="shared" ca="1" si="1"/>
        <v>9.7938144329836425E-4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input_597100!A$2</f>
        <v>597100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IFERROR(VLOOKUP(B51,input_597100!L:R,7,FALSE),VLOOKUP(tables_597100!C51,input_597100!A:H,8,FALSE))</f>
        <v>0</v>
      </c>
      <c r="P51" s="43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input_597100!A$2</f>
        <v>597100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IFERROR(VLOOKUP(B52,input_597100!L:R,7,FALSE),VLOOKUP(tables_597100!C52,input_597100!A:H,8,FALSE))</f>
        <v>1323040.3846199999</v>
      </c>
      <c r="P52" s="43">
        <f t="shared" ca="1" si="1"/>
        <v>9.0930610626747971E-3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input_597100!A$2</f>
        <v>597100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IFERROR(VLOOKUP(B53,input_597100!L:R,7,FALSE),VLOOKUP(tables_597100!C53,input_597100!A:H,8,FALSE))</f>
        <v>101959.61538</v>
      </c>
      <c r="P53" s="43">
        <f t="shared" ca="1" si="1"/>
        <v>7.0075337030884558E-4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input_597100!A$2</f>
        <v>597100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IFERROR(VLOOKUP(B54,input_597100!L:R,7,FALSE),VLOOKUP(tables_597100!C54,input_597100!A:H,8,FALSE))</f>
        <v>0</v>
      </c>
      <c r="P54" s="43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input_597100!A$2</f>
        <v>597100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IFERROR(VLOOKUP(B55,input_597100!L:R,7,FALSE),VLOOKUP(tables_597100!C55,input_597100!A:H,8,FALSE))</f>
        <v>1323040.3846199999</v>
      </c>
      <c r="P55" s="43">
        <f t="shared" ca="1" si="1"/>
        <v>9.0930610626747971E-3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input_597100!A$2</f>
        <v>597100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IFERROR(VLOOKUP(B56,input_597100!L:R,7,FALSE),VLOOKUP(tables_597100!C56,input_597100!A:H,8,FALSE))</f>
        <v>101959.61538</v>
      </c>
      <c r="P56" s="43">
        <f t="shared" ca="1" si="1"/>
        <v>7.0075337030884558E-4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input_597100!A$2</f>
        <v>597100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IFERROR(VLOOKUP(B57,input_597100!L:R,7,FALSE),VLOOKUP(tables_597100!C57,input_597100!A:H,8,FALSE))</f>
        <v>0</v>
      </c>
      <c r="P57" s="43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input_597100!A$2</f>
        <v>597100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IFERROR(VLOOKUP(B58,input_597100!L:R,7,FALSE),VLOOKUP(tables_597100!C58,input_597100!A:H,8,FALSE))</f>
        <v>1323040.3846199999</v>
      </c>
      <c r="P58" s="43">
        <f t="shared" ca="1" si="1"/>
        <v>9.0930610626747971E-3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input_597100!A$2</f>
        <v>597100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IFERROR(VLOOKUP(B59,input_597100!L:R,7,FALSE),VLOOKUP(tables_597100!C59,input_597100!A:H,8,FALSE))</f>
        <v>101959.61538</v>
      </c>
      <c r="P59" s="43">
        <f t="shared" ca="1" si="1"/>
        <v>7.0075337030884558E-4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input_597100!A$2</f>
        <v>597100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IFERROR(VLOOKUP(B60,input_597100!L:R,7,FALSE),VLOOKUP(tables_597100!C60,input_597100!A:H,8,FALSE))</f>
        <v>0</v>
      </c>
      <c r="P60" s="43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input_597100!A$2</f>
        <v>597100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IFERROR(VLOOKUP(B61,input_597100!L:R,7,FALSE),VLOOKUP(tables_597100!C61,input_597100!A:H,8,FALSE))</f>
        <v>1323040.3846199999</v>
      </c>
      <c r="P61" s="43">
        <f t="shared" ca="1" si="1"/>
        <v>9.0930610626747971E-3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input_597100!A$2</f>
        <v>597100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IFERROR(VLOOKUP(B62,input_597100!L:R,7,FALSE),VLOOKUP(tables_597100!C62,input_597100!A:H,8,FALSE))</f>
        <v>101959.61538</v>
      </c>
      <c r="P62" s="43">
        <f t="shared" ca="1" si="1"/>
        <v>7.0075337030884558E-4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input_597100!A$2</f>
        <v>597100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IFERROR(VLOOKUP(B63,input_597100!L:R,7,FALSE),VLOOKUP(tables_597100!C63,input_597100!A:H,8,FALSE))</f>
        <v>0</v>
      </c>
      <c r="P63" s="43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input_597100!A$2</f>
        <v>597100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IFERROR(VLOOKUP(B64,input_597100!L:R,7,FALSE),VLOOKUP(tables_597100!C64,input_597100!A:H,8,FALSE))</f>
        <v>1323040.3846199999</v>
      </c>
      <c r="P64" s="43">
        <f t="shared" ca="1" si="1"/>
        <v>9.0930610626747971E-3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input_597100!A$2</f>
        <v>597100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IFERROR(VLOOKUP(B65,input_597100!L:R,7,FALSE),VLOOKUP(tables_597100!C65,input_597100!A:H,8,FALSE))</f>
        <v>101959.61538</v>
      </c>
      <c r="P65" s="43">
        <f t="shared" ca="1" si="1"/>
        <v>7.0075337030884558E-4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input_597100!A$2</f>
        <v>597100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IFERROR(VLOOKUP(B66,input_597100!L:R,7,FALSE),VLOOKUP(tables_597100!C66,input_597100!A:H,8,FALSE))</f>
        <v>0</v>
      </c>
      <c r="P66" s="43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input_597100!A$2</f>
        <v>597100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IFERROR(VLOOKUP(B67,input_597100!L:R,7,FALSE),VLOOKUP(tables_597100!C67,input_597100!A:H,8,FALSE))</f>
        <v>1323040.3846199999</v>
      </c>
      <c r="P67" s="43">
        <f t="shared" ca="1" si="4"/>
        <v>9.0930610626747971E-3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input_597100!A$2</f>
        <v>597100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IFERROR(VLOOKUP(B68,input_597100!L:R,7,FALSE),VLOOKUP(tables_597100!C68,input_597100!A:H,8,FALSE))</f>
        <v>101959.61538</v>
      </c>
      <c r="P68" s="43">
        <f t="shared" ca="1" si="4"/>
        <v>7.0075337030884558E-4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input_597100!A$2</f>
        <v>597100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IFERROR(VLOOKUP(B69,input_597100!L:R,7,FALSE),VLOOKUP(tables_597100!C69,input_597100!A:H,8,FALSE))</f>
        <v>0</v>
      </c>
      <c r="P69" s="43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input_597100!A$2</f>
        <v>597100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IFERROR(VLOOKUP(B70,input_597100!L:R,7,FALSE),VLOOKUP(tables_597100!C70,input_597100!A:H,8,FALSE))</f>
        <v>1323040.3846199999</v>
      </c>
      <c r="P70" s="43">
        <f t="shared" ca="1" si="4"/>
        <v>9.0930610626747971E-3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input_597100!A$2</f>
        <v>597100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IFERROR(VLOOKUP(B71,input_597100!L:R,7,FALSE),VLOOKUP(tables_597100!C71,input_597100!A:H,8,FALSE))</f>
        <v>101959.61538</v>
      </c>
      <c r="P71" s="43">
        <f t="shared" ca="1" si="4"/>
        <v>7.0075337030884558E-4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input_597100!A$2</f>
        <v>597100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IFERROR(VLOOKUP(B72,input_597100!L:R,7,FALSE),VLOOKUP(tables_597100!C72,input_597100!A:H,8,FALSE))</f>
        <v>0</v>
      </c>
      <c r="P72" s="43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input_597100!A$2</f>
        <v>597100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IFERROR(VLOOKUP(B73,input_597100!L:R,7,FALSE),VLOOKUP(tables_597100!C73,input_597100!A:H,8,FALSE))</f>
        <v>1323040.3846199999</v>
      </c>
      <c r="P73" s="43">
        <f t="shared" ca="1" si="4"/>
        <v>9.0930610626747971E-3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input_597100!A$2</f>
        <v>597100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IFERROR(VLOOKUP(B74,input_597100!L:R,7,FALSE),VLOOKUP(tables_597100!C74,input_597100!A:H,8,FALSE))</f>
        <v>101959.61538</v>
      </c>
      <c r="P74" s="43">
        <f t="shared" ca="1" si="4"/>
        <v>7.0075337030884558E-4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input_597100!A$2</f>
        <v>597100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IFERROR(VLOOKUP(B75,input_597100!L:R,7,FALSE),VLOOKUP(tables_597100!C75,input_597100!A:H,8,FALSE))</f>
        <v>0</v>
      </c>
      <c r="P75" s="43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input_597100!A$2</f>
        <v>597100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IFERROR(VLOOKUP(B76,input_597100!L:R,7,FALSE),VLOOKUP(tables_597100!C76,input_597100!A:H,8,FALSE))</f>
        <v>1323040.3846199999</v>
      </c>
      <c r="P76" s="43">
        <f t="shared" ca="1" si="4"/>
        <v>9.0930610626747971E-3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input_597100!A$2</f>
        <v>597100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IFERROR(VLOOKUP(B77,input_597100!L:R,7,FALSE),VLOOKUP(tables_597100!C77,input_597100!A:H,8,FALSE))</f>
        <v>101959.61538</v>
      </c>
      <c r="P77" s="43">
        <f t="shared" ca="1" si="4"/>
        <v>7.0075337030884558E-4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input_597100!A$2</f>
        <v>597100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IFERROR(VLOOKUP(B78,input_597100!L:R,7,FALSE),VLOOKUP(tables_597100!C78,input_597100!A:H,8,FALSE))</f>
        <v>0</v>
      </c>
      <c r="P78" s="43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input_597100!A$2</f>
        <v>597100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IFERROR(VLOOKUP(B79,input_597100!L:R,7,FALSE),VLOOKUP(tables_597100!C79,input_597100!A:H,8,FALSE))</f>
        <v>1323040.3846199999</v>
      </c>
      <c r="P79" s="43">
        <f t="shared" ca="1" si="4"/>
        <v>9.0930610626747971E-3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input_597100!A$2</f>
        <v>597100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IFERROR(VLOOKUP(B80,input_597100!L:R,7,FALSE),VLOOKUP(tables_597100!C80,input_597100!A:H,8,FALSE))</f>
        <v>101959.61538</v>
      </c>
      <c r="P80" s="43">
        <f t="shared" ca="1" si="4"/>
        <v>7.0075337030884558E-4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input_597100!A$2</f>
        <v>597100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IFERROR(VLOOKUP(B81,input_597100!L:R,7,FALSE),VLOOKUP(tables_597100!C81,input_597100!A:H,8,FALSE))</f>
        <v>0</v>
      </c>
      <c r="P81" s="43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input_597100!A$2</f>
        <v>597100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IFERROR(VLOOKUP(B82,input_597100!L:R,7,FALSE),VLOOKUP(tables_597100!C82,input_597100!A:H,8,FALSE))</f>
        <v>1323040.3846199999</v>
      </c>
      <c r="P82" s="43">
        <f t="shared" ca="1" si="4"/>
        <v>9.0930610626747971E-3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input_597100!A$2</f>
        <v>597100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IFERROR(VLOOKUP(B83,input_597100!L:R,7,FALSE),VLOOKUP(tables_597100!C83,input_597100!A:H,8,FALSE))</f>
        <v>101959.61538</v>
      </c>
      <c r="P83" s="43">
        <f t="shared" ca="1" si="4"/>
        <v>7.0075337030884558E-4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input_597100!A$2</f>
        <v>597100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IFERROR(VLOOKUP(B84,input_597100!L:R,7,FALSE),VLOOKUP(tables_597100!C84,input_597100!A:H,8,FALSE))</f>
        <v>0</v>
      </c>
      <c r="P84" s="43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input_597100!A$2</f>
        <v>597100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IFERROR(VLOOKUP(B85,input_597100!L:R,7,FALSE),VLOOKUP(tables_597100!C85,input_597100!A:H,8,FALSE))</f>
        <v>1323040.3846199999</v>
      </c>
      <c r="P85" s="43">
        <f t="shared" ca="1" si="4"/>
        <v>9.0930610626747971E-3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input_597100!A$2</f>
        <v>597100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IFERROR(VLOOKUP(B86,input_597100!L:R,7,FALSE),VLOOKUP(tables_597100!C86,input_597100!A:H,8,FALSE))</f>
        <v>101959.61538</v>
      </c>
      <c r="P86" s="43">
        <f t="shared" ca="1" si="4"/>
        <v>7.0075337030884558E-4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input_597100!A$2</f>
        <v>597100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IFERROR(VLOOKUP(B87,input_597100!L:R,7,FALSE),VLOOKUP(tables_597100!C87,input_597100!A:H,8,FALSE))</f>
        <v>0</v>
      </c>
      <c r="P87" s="43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input_597100!A$2</f>
        <v>597100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IFERROR(VLOOKUP(B88,input_597100!L:R,7,FALSE),VLOOKUP(tables_597100!C88,input_597100!A:H,8,FALSE))</f>
        <v>1323040.3846199999</v>
      </c>
      <c r="P88" s="43">
        <f t="shared" ca="1" si="4"/>
        <v>9.0930610626747971E-3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input_597100!A$2</f>
        <v>597100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IFERROR(VLOOKUP(B89,input_597100!L:R,7,FALSE),VLOOKUP(tables_597100!C89,input_597100!A:H,8,FALSE))</f>
        <v>101959.61538</v>
      </c>
      <c r="P89" s="43">
        <f t="shared" ca="1" si="4"/>
        <v>7.0075337030884558E-4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input_597100!A$2</f>
        <v>597100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IFERROR(VLOOKUP(B90,input_597100!L:R,7,FALSE),VLOOKUP(tables_597100!C90,input_597100!A:H,8,FALSE))</f>
        <v>0</v>
      </c>
      <c r="P90" s="43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input_597100!A$2</f>
        <v>597100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IFERROR(VLOOKUP(B91,input_597100!L:R,7,FALSE),VLOOKUP(tables_597100!C91,input_597100!A:H,8,FALSE))</f>
        <v>1323040.3846199999</v>
      </c>
      <c r="P91" s="43">
        <f t="shared" ca="1" si="4"/>
        <v>9.0930610626747971E-3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input_597100!A$2</f>
        <v>597100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IFERROR(VLOOKUP(B92,input_597100!L:R,7,FALSE),VLOOKUP(tables_597100!C92,input_597100!A:H,8,FALSE))</f>
        <v>101959.61538</v>
      </c>
      <c r="P92" s="43">
        <f t="shared" ca="1" si="4"/>
        <v>7.0075337030884558E-4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input_597100!A$2</f>
        <v>597100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IFERROR(VLOOKUP(B93,input_597100!L:R,7,FALSE),VLOOKUP(tables_597100!C93,input_597100!A:H,8,FALSE))</f>
        <v>0</v>
      </c>
      <c r="P93" s="43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input_597100!A$2</f>
        <v>597100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IFERROR(VLOOKUP(B94,input_597100!L:R,7,FALSE),VLOOKUP(tables_597100!C94,input_597100!A:H,8,FALSE))</f>
        <v>1323040.3846199999</v>
      </c>
      <c r="P94" s="43">
        <f t="shared" ca="1" si="4"/>
        <v>9.0930610626747971E-3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input_597100!A$2</f>
        <v>597100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IFERROR(VLOOKUP(B95,input_597100!L:R,7,FALSE),VLOOKUP(tables_597100!C95,input_597100!A:H,8,FALSE))</f>
        <v>101959.61538</v>
      </c>
      <c r="P95" s="43">
        <f t="shared" ca="1" si="4"/>
        <v>7.0075337030884558E-4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input_597100!A$2</f>
        <v>597100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IFERROR(VLOOKUP(B96,input_597100!L:R,7,FALSE),VLOOKUP(tables_597100!C96,input_597100!A:H,8,FALSE))</f>
        <v>0</v>
      </c>
      <c r="P96" s="43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input_597100!A$2</f>
        <v>597100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IFERROR(VLOOKUP(B97,input_597100!L:R,7,FALSE),VLOOKUP(tables_597100!C97,input_597100!A:H,8,FALSE))</f>
        <v>1323040.3846199999</v>
      </c>
      <c r="P97" s="43">
        <f t="shared" ca="1" si="4"/>
        <v>9.0930610626747971E-3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input_597100!A$2</f>
        <v>597100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IFERROR(VLOOKUP(B98,input_597100!L:R,7,FALSE),VLOOKUP(tables_597100!C98,input_597100!A:H,8,FALSE))</f>
        <v>101959.61538</v>
      </c>
      <c r="P98" s="43">
        <f t="shared" ca="1" si="4"/>
        <v>7.0075337030884558E-4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input_597100!A$2</f>
        <v>597100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IFERROR(VLOOKUP(B99,input_597100!L:R,7,FALSE),VLOOKUP(tables_597100!C99,input_597100!A:H,8,FALSE))</f>
        <v>0</v>
      </c>
      <c r="P99" s="43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input_597100!A$2</f>
        <v>597100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IFERROR(VLOOKUP(B100,input_597100!L:R,7,FALSE),VLOOKUP(tables_597100!C100,input_597100!A:H,8,FALSE))</f>
        <v>1323040.3846199999</v>
      </c>
      <c r="P100" s="43">
        <f t="shared" ca="1" si="4"/>
        <v>9.0930610626747971E-3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input_597100!A$2</f>
        <v>597100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IFERROR(VLOOKUP(B101,input_597100!L:R,7,FALSE),VLOOKUP(tables_597100!C101,input_597100!A:H,8,FALSE))</f>
        <v>101959.61538</v>
      </c>
      <c r="P101" s="43">
        <f t="shared" ca="1" si="4"/>
        <v>7.0075337030884558E-4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input_597100!A$2</f>
        <v>597100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IFERROR(VLOOKUP(B102,input_597100!L:R,7,FALSE),VLOOKUP(tables_597100!C102,input_597100!A:H,8,FALSE))</f>
        <v>0</v>
      </c>
      <c r="P102" s="43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input_597100!A$2</f>
        <v>597100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IFERROR(VLOOKUP(B103,input_597100!L:R,7,FALSE),VLOOKUP(tables_597100!C103,input_597100!A:H,8,FALSE))</f>
        <v>1323040.3846199999</v>
      </c>
      <c r="P103" s="43">
        <f t="shared" ca="1" si="4"/>
        <v>9.0930610626747971E-3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input_597100!A$2</f>
        <v>597100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IFERROR(VLOOKUP(B104,input_597100!L:R,7,FALSE),VLOOKUP(tables_597100!C104,input_597100!A:H,8,FALSE))</f>
        <v>101959.61538</v>
      </c>
      <c r="P104" s="43">
        <f t="shared" ca="1" si="4"/>
        <v>7.0075337030884558E-4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input_597100!A$2</f>
        <v>597100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IFERROR(VLOOKUP(B105,input_597100!L:R,7,FALSE),VLOOKUP(tables_597100!C105,input_597100!A:H,8,FALSE))</f>
        <v>0</v>
      </c>
      <c r="P105" s="43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input_597100!A$2</f>
        <v>597100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IFERROR(VLOOKUP(B106,input_597100!L:R,7,FALSE),VLOOKUP(tables_597100!C106,input_597100!A:H,8,FALSE))</f>
        <v>1323040.3846199999</v>
      </c>
      <c r="P106" s="43">
        <f t="shared" ca="1" si="4"/>
        <v>9.0930610626747971E-3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input_597100!A$2</f>
        <v>597100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IFERROR(VLOOKUP(B107,input_597100!L:R,7,FALSE),VLOOKUP(tables_597100!C107,input_597100!A:H,8,FALSE))</f>
        <v>101959.61538</v>
      </c>
      <c r="P107" s="43">
        <f t="shared" ca="1" si="4"/>
        <v>7.0075337030884558E-4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input_597100!A$2</f>
        <v>597100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IFERROR(VLOOKUP(B108,input_597100!L:R,7,FALSE),VLOOKUP(tables_597100!C108,input_597100!A:H,8,FALSE))</f>
        <v>0</v>
      </c>
      <c r="P108" s="43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input_597100!A$2</f>
        <v>597100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IFERROR(VLOOKUP(B109,input_597100!L:R,7,FALSE),VLOOKUP(tables_597100!C109,input_597100!A:H,8,FALSE))</f>
        <v>1323040.3846199999</v>
      </c>
      <c r="P109" s="43">
        <f t="shared" ca="1" si="4"/>
        <v>9.0930610626747971E-3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input_597100!A$2</f>
        <v>597100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IFERROR(VLOOKUP(B110,input_597100!L:R,7,FALSE),VLOOKUP(tables_597100!C110,input_597100!A:H,8,FALSE))</f>
        <v>101959.61538</v>
      </c>
      <c r="P110" s="43">
        <f t="shared" ca="1" si="4"/>
        <v>7.0075337030884558E-4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input_597100!A$2</f>
        <v>597100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IFERROR(VLOOKUP(B111,input_597100!L:R,7,FALSE),VLOOKUP(tables_597100!C111,input_597100!A:H,8,FALSE))</f>
        <v>0</v>
      </c>
      <c r="P111" s="43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input_597100!A$2</f>
        <v>597100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IFERROR(VLOOKUP(B112,input_597100!L:R,7,FALSE),VLOOKUP(tables_597100!C112,input_597100!A:H,8,FALSE))</f>
        <v>1282500</v>
      </c>
      <c r="P112" s="43">
        <f t="shared" ca="1" si="4"/>
        <v>8.8144329896852787E-3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input_597100!A$2</f>
        <v>597100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IFERROR(VLOOKUP(B113,input_597100!L:R,7,FALSE),VLOOKUP(tables_597100!C113,input_597100!A:H,8,FALSE))</f>
        <v>142500</v>
      </c>
      <c r="P113" s="43">
        <f t="shared" ca="1" si="4"/>
        <v>9.7938144329836425E-4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input_597100!A$2</f>
        <v>597100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IFERROR(VLOOKUP(B114,input_597100!L:R,7,FALSE),VLOOKUP(tables_597100!C114,input_597100!A:H,8,FALSE))</f>
        <v>0</v>
      </c>
      <c r="P114" s="43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input_597100!A$2</f>
        <v>597100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IFERROR(VLOOKUP(B115,input_597100!L:R,7,FALSE),VLOOKUP(tables_597100!C115,input_597100!A:H,8,FALSE))</f>
        <v>1323040.3846199999</v>
      </c>
      <c r="P115" s="43">
        <f t="shared" ca="1" si="4"/>
        <v>9.0930610626747971E-3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input_597100!A$2</f>
        <v>597100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IFERROR(VLOOKUP(B116,input_597100!L:R,7,FALSE),VLOOKUP(tables_597100!C116,input_597100!A:H,8,FALSE))</f>
        <v>101959.61538</v>
      </c>
      <c r="P116" s="43">
        <f t="shared" ca="1" si="4"/>
        <v>7.0075337030884558E-4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input_597100!A$2</f>
        <v>597100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IFERROR(VLOOKUP(B117,input_597100!L:R,7,FALSE),VLOOKUP(tables_597100!C117,input_597100!A:H,8,FALSE))</f>
        <v>0</v>
      </c>
      <c r="P117" s="43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input_597100!A$2</f>
        <v>597100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IFERROR(VLOOKUP(B118,input_597100!L:R,7,FALSE),VLOOKUP(tables_597100!C118,input_597100!A:H,8,FALSE))</f>
        <v>1323040.3846199999</v>
      </c>
      <c r="P118" s="43">
        <f t="shared" ca="1" si="4"/>
        <v>9.0930610626747971E-3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input_597100!A$2</f>
        <v>597100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IFERROR(VLOOKUP(B119,input_597100!L:R,7,FALSE),VLOOKUP(tables_597100!C119,input_597100!A:H,8,FALSE))</f>
        <v>101959.61538</v>
      </c>
      <c r="P119" s="43">
        <f t="shared" ca="1" si="4"/>
        <v>7.0075337030884558E-4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input_597100!A$2</f>
        <v>597100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IFERROR(VLOOKUP(B120,input_597100!L:R,7,FALSE),VLOOKUP(tables_597100!C120,input_597100!A:H,8,FALSE))</f>
        <v>0</v>
      </c>
      <c r="P120" s="43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input_597100!A$2</f>
        <v>597100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IFERROR(VLOOKUP(B121,input_597100!L:R,7,FALSE),VLOOKUP(tables_597100!C121,input_597100!A:H,8,FALSE))</f>
        <v>1323040.3846199999</v>
      </c>
      <c r="P121" s="43">
        <f t="shared" ca="1" si="4"/>
        <v>9.0930610626747971E-3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input_597100!A$2</f>
        <v>597100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IFERROR(VLOOKUP(B122,input_597100!L:R,7,FALSE),VLOOKUP(tables_597100!C122,input_597100!A:H,8,FALSE))</f>
        <v>101959.61538</v>
      </c>
      <c r="P122" s="43">
        <f t="shared" ca="1" si="4"/>
        <v>7.0075337030884558E-4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input_597100!A$2</f>
        <v>597100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IFERROR(VLOOKUP(B123,input_597100!L:R,7,FALSE),VLOOKUP(tables_597100!C123,input_597100!A:H,8,FALSE))</f>
        <v>0</v>
      </c>
      <c r="P123" s="43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input_597100!A$2</f>
        <v>597100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IFERROR(VLOOKUP(B124,input_597100!L:R,7,FALSE),VLOOKUP(tables_597100!C124,input_597100!A:H,8,FALSE))</f>
        <v>1323040.3846199999</v>
      </c>
      <c r="P124" s="43">
        <f t="shared" ca="1" si="4"/>
        <v>9.0930610626747971E-3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input_597100!A$2</f>
        <v>597100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IFERROR(VLOOKUP(B125,input_597100!L:R,7,FALSE),VLOOKUP(tables_597100!C125,input_597100!A:H,8,FALSE))</f>
        <v>101959.61538</v>
      </c>
      <c r="P125" s="43">
        <f t="shared" ca="1" si="4"/>
        <v>7.0075337030884558E-4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input_597100!A$2</f>
        <v>597100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IFERROR(VLOOKUP(B126,input_597100!L:R,7,FALSE),VLOOKUP(tables_597100!C126,input_597100!A:H,8,FALSE))</f>
        <v>0</v>
      </c>
      <c r="P126" s="43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input_597100!A$2</f>
        <v>597100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IFERROR(VLOOKUP(B127,input_597100!L:R,7,FALSE),VLOOKUP(tables_597100!C127,input_597100!A:H,8,FALSE))</f>
        <v>1323040.3846199999</v>
      </c>
      <c r="P127" s="43">
        <f t="shared" ca="1" si="4"/>
        <v>9.0930610626747971E-3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input_597100!A$2</f>
        <v>597100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IFERROR(VLOOKUP(B128,input_597100!L:R,7,FALSE),VLOOKUP(tables_597100!C128,input_597100!A:H,8,FALSE))</f>
        <v>101959.61538</v>
      </c>
      <c r="P128" s="43">
        <f t="shared" ca="1" si="4"/>
        <v>7.0075337030884558E-4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input_597100!A$2</f>
        <v>597100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IFERROR(VLOOKUP(B129,input_597100!L:R,7,FALSE),VLOOKUP(tables_597100!C129,input_597100!A:H,8,FALSE))</f>
        <v>0</v>
      </c>
      <c r="P129" s="43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input_597100!A$2</f>
        <v>597100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IFERROR(VLOOKUP(B130,input_597100!L:R,7,FALSE),VLOOKUP(tables_597100!C130,input_597100!A:H,8,FALSE))</f>
        <v>1323040.3846199999</v>
      </c>
      <c r="P130" s="43">
        <f t="shared" ref="P130:P193" ca="1" si="7">O130/SUM(O:O)</f>
        <v>9.0930610626747971E-3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input_597100!A$2</f>
        <v>597100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IFERROR(VLOOKUP(B131,input_597100!L:R,7,FALSE),VLOOKUP(tables_597100!C131,input_597100!A:H,8,FALSE))</f>
        <v>101959.61538</v>
      </c>
      <c r="P131" s="43">
        <f t="shared" ca="1" si="7"/>
        <v>7.0075337030884558E-4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input_597100!A$2</f>
        <v>597100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IFERROR(VLOOKUP(B132,input_597100!L:R,7,FALSE),VLOOKUP(tables_597100!C132,input_597100!A:H,8,FALSE))</f>
        <v>0</v>
      </c>
      <c r="P132" s="43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input_597100!A$2</f>
        <v>597100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IFERROR(VLOOKUP(B133,input_597100!L:R,7,FALSE),VLOOKUP(tables_597100!C133,input_597100!A:H,8,FALSE))</f>
        <v>1323040.3846199999</v>
      </c>
      <c r="P133" s="43">
        <f t="shared" ca="1" si="7"/>
        <v>9.0930610626747971E-3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input_597100!A$2</f>
        <v>597100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IFERROR(VLOOKUP(B134,input_597100!L:R,7,FALSE),VLOOKUP(tables_597100!C134,input_597100!A:H,8,FALSE))</f>
        <v>101959.61538</v>
      </c>
      <c r="P134" s="43">
        <f t="shared" ca="1" si="7"/>
        <v>7.0075337030884558E-4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input_597100!A$2</f>
        <v>597100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IFERROR(VLOOKUP(B135,input_597100!L:R,7,FALSE),VLOOKUP(tables_597100!C135,input_597100!A:H,8,FALSE))</f>
        <v>0</v>
      </c>
      <c r="P135" s="43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input_597100!A$2</f>
        <v>597100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IFERROR(VLOOKUP(B136,input_597100!L:R,7,FALSE),VLOOKUP(tables_597100!C136,input_597100!A:H,8,FALSE))</f>
        <v>1323040.3846199999</v>
      </c>
      <c r="P136" s="43">
        <f t="shared" ca="1" si="7"/>
        <v>9.0930610626747971E-3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input_597100!A$2</f>
        <v>597100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IFERROR(VLOOKUP(B137,input_597100!L:R,7,FALSE),VLOOKUP(tables_597100!C137,input_597100!A:H,8,FALSE))</f>
        <v>101959.61538</v>
      </c>
      <c r="P137" s="43">
        <f t="shared" ca="1" si="7"/>
        <v>7.0075337030884558E-4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input_597100!A$2</f>
        <v>597100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IFERROR(VLOOKUP(B138,input_597100!L:R,7,FALSE),VLOOKUP(tables_597100!C138,input_597100!A:H,8,FALSE))</f>
        <v>87300</v>
      </c>
      <c r="P138" s="43">
        <f t="shared" ca="1" si="7"/>
        <v>5.9999999999962948E-4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input_597100!A$2</f>
        <v>597100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IFERROR(VLOOKUP(B139,input_597100!L:R,7,FALSE),VLOOKUP(tables_597100!C139,input_597100!A:H,8,FALSE))</f>
        <v>9700</v>
      </c>
      <c r="P139" s="43">
        <f t="shared" ca="1" si="7"/>
        <v>6.6666666666625497E-5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input_597100!A$2</f>
        <v>597100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IFERROR(VLOOKUP(B140,input_597100!L:R,7,FALSE),VLOOKUP(tables_597100!C140,input_597100!A:H,8,FALSE))</f>
        <v>87300</v>
      </c>
      <c r="P140" s="43">
        <f t="shared" ca="1" si="7"/>
        <v>5.9999999999962948E-4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input_597100!A$2</f>
        <v>597100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IFERROR(VLOOKUP(B141,input_597100!L:R,7,FALSE),VLOOKUP(tables_597100!C141,input_597100!A:H,8,FALSE))</f>
        <v>9700</v>
      </c>
      <c r="P141" s="43">
        <f t="shared" ca="1" si="7"/>
        <v>6.6666666666625497E-5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input_597100!A$2</f>
        <v>597100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IFERROR(VLOOKUP(B142,input_597100!L:R,7,FALSE),VLOOKUP(tables_597100!C142,input_597100!A:H,8,FALSE))</f>
        <v>87300</v>
      </c>
      <c r="P142" s="43">
        <f t="shared" ca="1" si="7"/>
        <v>5.9999999999962948E-4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input_597100!A$2</f>
        <v>597100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IFERROR(VLOOKUP(B143,input_597100!L:R,7,FALSE),VLOOKUP(tables_597100!C143,input_597100!A:H,8,FALSE))</f>
        <v>9700</v>
      </c>
      <c r="P143" s="43">
        <f t="shared" ca="1" si="7"/>
        <v>6.6666666666625497E-5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input_597100!A$2</f>
        <v>597100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IFERROR(VLOOKUP(B144,input_597100!L:R,7,FALSE),VLOOKUP(tables_597100!C144,input_597100!A:H,8,FALSE))</f>
        <v>87300</v>
      </c>
      <c r="P144" s="43">
        <f t="shared" ca="1" si="7"/>
        <v>5.9999999999962948E-4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input_597100!A$2</f>
        <v>597100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IFERROR(VLOOKUP(B145,input_597100!L:R,7,FALSE),VLOOKUP(tables_597100!C145,input_597100!A:H,8,FALSE))</f>
        <v>9700</v>
      </c>
      <c r="P145" s="43">
        <f t="shared" ca="1" si="7"/>
        <v>6.6666666666625497E-5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input_597100!A$2</f>
        <v>597100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IFERROR(VLOOKUP(B146,input_597100!L:R,7,FALSE),VLOOKUP(tables_597100!C146,input_597100!A:H,8,FALSE))</f>
        <v>0</v>
      </c>
      <c r="P146" s="43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input_597100!A$2</f>
        <v>597100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IFERROR(VLOOKUP(B147,input_597100!L:R,7,FALSE),VLOOKUP(tables_597100!C147,input_597100!A:H,8,FALSE))</f>
        <v>1323040.3846199999</v>
      </c>
      <c r="P147" s="43">
        <f t="shared" ca="1" si="7"/>
        <v>9.0930610626747971E-3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input_597100!A$2</f>
        <v>597100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IFERROR(VLOOKUP(B148,input_597100!L:R,7,FALSE),VLOOKUP(tables_597100!C148,input_597100!A:H,8,FALSE))</f>
        <v>101959.61538</v>
      </c>
      <c r="P148" s="43">
        <f t="shared" ca="1" si="7"/>
        <v>7.0075337030884558E-4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input_597100!A$2</f>
        <v>597100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IFERROR(VLOOKUP(B149,input_597100!L:R,7,FALSE),VLOOKUP(tables_597100!C149,input_597100!A:H,8,FALSE))</f>
        <v>87300</v>
      </c>
      <c r="P149" s="43">
        <f t="shared" ca="1" si="7"/>
        <v>5.9999999999962948E-4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input_597100!A$2</f>
        <v>597100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IFERROR(VLOOKUP(B150,input_597100!L:R,7,FALSE),VLOOKUP(tables_597100!C150,input_597100!A:H,8,FALSE))</f>
        <v>9700</v>
      </c>
      <c r="P150" s="43">
        <f t="shared" ca="1" si="7"/>
        <v>6.6666666666625497E-5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input_597100!A$2</f>
        <v>597100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IFERROR(VLOOKUP(B151,input_597100!L:R,7,FALSE),VLOOKUP(tables_597100!C151,input_597100!A:H,8,FALSE))</f>
        <v>87300</v>
      </c>
      <c r="P151" s="43">
        <f t="shared" ca="1" si="7"/>
        <v>5.9999999999962948E-4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input_597100!A$2</f>
        <v>597100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IFERROR(VLOOKUP(B152,input_597100!L:R,7,FALSE),VLOOKUP(tables_597100!C152,input_597100!A:H,8,FALSE))</f>
        <v>9700</v>
      </c>
      <c r="P152" s="43">
        <f t="shared" ca="1" si="7"/>
        <v>6.6666666666625497E-5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input_597100!A$2</f>
        <v>597100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IFERROR(VLOOKUP(B153,input_597100!L:R,7,FALSE),VLOOKUP(tables_597100!C153,input_597100!A:H,8,FALSE))</f>
        <v>0</v>
      </c>
      <c r="P153" s="43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input_597100!A$2</f>
        <v>597100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IFERROR(VLOOKUP(B154,input_597100!L:R,7,FALSE),VLOOKUP(tables_597100!C154,input_597100!A:H,8,FALSE))</f>
        <v>1323040.3846199999</v>
      </c>
      <c r="P154" s="43">
        <f t="shared" ca="1" si="7"/>
        <v>9.0930610626747971E-3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input_597100!A$2</f>
        <v>597100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IFERROR(VLOOKUP(B155,input_597100!L:R,7,FALSE),VLOOKUP(tables_597100!C155,input_597100!A:H,8,FALSE))</f>
        <v>101959.61538</v>
      </c>
      <c r="P155" s="43">
        <f t="shared" ca="1" si="7"/>
        <v>7.0075337030884558E-4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input_597100!A$2</f>
        <v>597100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IFERROR(VLOOKUP(B156,input_597100!L:R,7,FALSE),VLOOKUP(tables_597100!C156,input_597100!A:H,8,FALSE))</f>
        <v>87300</v>
      </c>
      <c r="P156" s="43">
        <f t="shared" ca="1" si="7"/>
        <v>5.9999999999962948E-4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input_597100!A$2</f>
        <v>597100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IFERROR(VLOOKUP(B157,input_597100!L:R,7,FALSE),VLOOKUP(tables_597100!C157,input_597100!A:H,8,FALSE))</f>
        <v>9700</v>
      </c>
      <c r="P157" s="43">
        <f t="shared" ca="1" si="7"/>
        <v>6.6666666666625497E-5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input_597100!A$2</f>
        <v>597100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IFERROR(VLOOKUP(B158,input_597100!L:R,7,FALSE),VLOOKUP(tables_597100!C158,input_597100!A:H,8,FALSE))</f>
        <v>0</v>
      </c>
      <c r="P158" s="43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input_597100!A$2</f>
        <v>597100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IFERROR(VLOOKUP(B159,input_597100!L:R,7,FALSE),VLOOKUP(tables_597100!C159,input_597100!A:H,8,FALSE))</f>
        <v>1323040.3846199999</v>
      </c>
      <c r="P159" s="43">
        <f t="shared" ca="1" si="7"/>
        <v>9.0930610626747971E-3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input_597100!A$2</f>
        <v>597100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IFERROR(VLOOKUP(B160,input_597100!L:R,7,FALSE),VLOOKUP(tables_597100!C160,input_597100!A:H,8,FALSE))</f>
        <v>101959.61538</v>
      </c>
      <c r="P160" s="43">
        <f t="shared" ca="1" si="7"/>
        <v>7.0075337030884558E-4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input_597100!A$2</f>
        <v>597100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IFERROR(VLOOKUP(B161,input_597100!L:R,7,FALSE),VLOOKUP(tables_597100!C161,input_597100!A:H,8,FALSE))</f>
        <v>0</v>
      </c>
      <c r="P161" s="43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input_597100!A$2</f>
        <v>597100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IFERROR(VLOOKUP(B162,input_597100!L:R,7,FALSE),VLOOKUP(tables_597100!C162,input_597100!A:H,8,FALSE))</f>
        <v>1323040.3846199999</v>
      </c>
      <c r="P162" s="43">
        <f t="shared" ca="1" si="7"/>
        <v>9.0930610626747971E-3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input_597100!A$2</f>
        <v>597100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IFERROR(VLOOKUP(B163,input_597100!L:R,7,FALSE),VLOOKUP(tables_597100!C163,input_597100!A:H,8,FALSE))</f>
        <v>101959.61538</v>
      </c>
      <c r="P163" s="43">
        <f t="shared" ca="1" si="7"/>
        <v>7.0075337030884558E-4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input_597100!A$2</f>
        <v>597100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IFERROR(VLOOKUP(B164,input_597100!L:R,7,FALSE),VLOOKUP(tables_597100!C164,input_597100!A:H,8,FALSE))</f>
        <v>87300</v>
      </c>
      <c r="P164" s="43">
        <f t="shared" ca="1" si="7"/>
        <v>5.9999999999962948E-4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input_597100!A$2</f>
        <v>597100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IFERROR(VLOOKUP(B165,input_597100!L:R,7,FALSE),VLOOKUP(tables_597100!C165,input_597100!A:H,8,FALSE))</f>
        <v>9700</v>
      </c>
      <c r="P165" s="43">
        <f t="shared" ca="1" si="7"/>
        <v>6.6666666666625497E-5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input_597100!A$2</f>
        <v>597100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IFERROR(VLOOKUP(B166,input_597100!L:R,7,FALSE),VLOOKUP(tables_597100!C166,input_597100!A:H,8,FALSE))</f>
        <v>0</v>
      </c>
      <c r="P166" s="43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input_597100!A$2</f>
        <v>597100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IFERROR(VLOOKUP(B167,input_597100!L:R,7,FALSE),VLOOKUP(tables_597100!C167,input_597100!A:H,8,FALSE))</f>
        <v>1323040.3846199999</v>
      </c>
      <c r="P167" s="43">
        <f t="shared" ca="1" si="7"/>
        <v>9.0930610626747971E-3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input_597100!A$2</f>
        <v>597100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IFERROR(VLOOKUP(B168,input_597100!L:R,7,FALSE),VLOOKUP(tables_597100!C168,input_597100!A:H,8,FALSE))</f>
        <v>101959.61538</v>
      </c>
      <c r="P168" s="43">
        <f t="shared" ca="1" si="7"/>
        <v>7.0075337030884558E-4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input_597100!A$2</f>
        <v>597100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IFERROR(VLOOKUP(B169,input_597100!L:R,7,FALSE),VLOOKUP(tables_597100!C169,input_597100!A:H,8,FALSE))</f>
        <v>87300</v>
      </c>
      <c r="P169" s="43">
        <f t="shared" ca="1" si="7"/>
        <v>5.9999999999962948E-4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input_597100!A$2</f>
        <v>597100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IFERROR(VLOOKUP(B170,input_597100!L:R,7,FALSE),VLOOKUP(tables_597100!C170,input_597100!A:H,8,FALSE))</f>
        <v>9700</v>
      </c>
      <c r="P170" s="43">
        <f t="shared" ca="1" si="7"/>
        <v>6.6666666666625497E-5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input_597100!A$2</f>
        <v>597100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IFERROR(VLOOKUP(B171,input_597100!L:R,7,FALSE),VLOOKUP(tables_597100!C171,input_597100!A:H,8,FALSE))</f>
        <v>0</v>
      </c>
      <c r="P171" s="43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input_597100!A$2</f>
        <v>597100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IFERROR(VLOOKUP(B172,input_597100!L:R,7,FALSE),VLOOKUP(tables_597100!C172,input_597100!A:H,8,FALSE))</f>
        <v>1323040.3846199999</v>
      </c>
      <c r="P172" s="43">
        <f t="shared" ca="1" si="7"/>
        <v>9.0930610626747971E-3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input_597100!A$2</f>
        <v>597100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IFERROR(VLOOKUP(B173,input_597100!L:R,7,FALSE),VLOOKUP(tables_597100!C173,input_597100!A:H,8,FALSE))</f>
        <v>101959.61538</v>
      </c>
      <c r="P173" s="43">
        <f t="shared" ca="1" si="7"/>
        <v>7.0075337030884558E-4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input_597100!A$2</f>
        <v>597100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IFERROR(VLOOKUP(B174,input_597100!L:R,7,FALSE),VLOOKUP(tables_597100!C174,input_597100!A:H,8,FALSE))</f>
        <v>87300</v>
      </c>
      <c r="P174" s="43">
        <f t="shared" ca="1" si="7"/>
        <v>5.9999999999962948E-4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input_597100!A$2</f>
        <v>597100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IFERROR(VLOOKUP(B175,input_597100!L:R,7,FALSE),VLOOKUP(tables_597100!C175,input_597100!A:H,8,FALSE))</f>
        <v>9700</v>
      </c>
      <c r="P175" s="43">
        <f t="shared" ca="1" si="7"/>
        <v>6.6666666666625497E-5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input_597100!A$2</f>
        <v>597100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IFERROR(VLOOKUP(B176,input_597100!L:R,7,FALSE),VLOOKUP(tables_597100!C176,input_597100!A:H,8,FALSE))</f>
        <v>87300</v>
      </c>
      <c r="P176" s="43">
        <f t="shared" ca="1" si="7"/>
        <v>5.9999999999962948E-4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input_597100!A$2</f>
        <v>597100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IFERROR(VLOOKUP(B177,input_597100!L:R,7,FALSE),VLOOKUP(tables_597100!C177,input_597100!A:H,8,FALSE))</f>
        <v>9700</v>
      </c>
      <c r="P177" s="43">
        <f t="shared" ca="1" si="7"/>
        <v>6.6666666666625497E-5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input_597100!A$2</f>
        <v>597100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IFERROR(VLOOKUP(B178,input_597100!L:R,7,FALSE),VLOOKUP(tables_597100!C178,input_597100!A:H,8,FALSE))</f>
        <v>0</v>
      </c>
      <c r="P178" s="43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input_597100!A$2</f>
        <v>597100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IFERROR(VLOOKUP(B179,input_597100!L:R,7,FALSE),VLOOKUP(tables_597100!C179,input_597100!A:H,8,FALSE))</f>
        <v>1323040.3846199999</v>
      </c>
      <c r="P179" s="43">
        <f t="shared" ca="1" si="7"/>
        <v>9.0930610626747971E-3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input_597100!A$2</f>
        <v>597100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IFERROR(VLOOKUP(B180,input_597100!L:R,7,FALSE),VLOOKUP(tables_597100!C180,input_597100!A:H,8,FALSE))</f>
        <v>101959.61538</v>
      </c>
      <c r="P180" s="43">
        <f t="shared" ca="1" si="7"/>
        <v>7.0075337030884558E-4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input_597100!A$2</f>
        <v>597100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IFERROR(VLOOKUP(B181,input_597100!L:R,7,FALSE),VLOOKUP(tables_597100!C181,input_597100!A:H,8,FALSE))</f>
        <v>0</v>
      </c>
      <c r="P181" s="43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input_597100!A$2</f>
        <v>597100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IFERROR(VLOOKUP(B182,input_597100!L:R,7,FALSE),VLOOKUP(tables_597100!C182,input_597100!A:H,8,FALSE))</f>
        <v>1323040.3846199999</v>
      </c>
      <c r="P182" s="43">
        <f t="shared" ca="1" si="7"/>
        <v>9.0930610626747971E-3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input_597100!A$2</f>
        <v>597100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IFERROR(VLOOKUP(B183,input_597100!L:R,7,FALSE),VLOOKUP(tables_597100!C183,input_597100!A:H,8,FALSE))</f>
        <v>101959.61538</v>
      </c>
      <c r="P183" s="43">
        <f t="shared" ca="1" si="7"/>
        <v>7.0075337030884558E-4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input_597100!A$2</f>
        <v>597100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IFERROR(VLOOKUP(B184,input_597100!L:R,7,FALSE),VLOOKUP(tables_597100!C184,input_597100!A:H,8,FALSE))</f>
        <v>87300</v>
      </c>
      <c r="P184" s="43">
        <f t="shared" ca="1" si="7"/>
        <v>5.9999999999962948E-4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input_597100!A$2</f>
        <v>597100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IFERROR(VLOOKUP(B185,input_597100!L:R,7,FALSE),VLOOKUP(tables_597100!C185,input_597100!A:H,8,FALSE))</f>
        <v>9700</v>
      </c>
      <c r="P185" s="43">
        <f t="shared" ca="1" si="7"/>
        <v>6.6666666666625497E-5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input_597100!A$2</f>
        <v>597100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IFERROR(VLOOKUP(B186,input_597100!L:R,7,FALSE),VLOOKUP(tables_597100!C186,input_597100!A:H,8,FALSE))</f>
        <v>0</v>
      </c>
      <c r="P186" s="43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input_597100!A$2</f>
        <v>597100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IFERROR(VLOOKUP(B187,input_597100!L:R,7,FALSE),VLOOKUP(tables_597100!C187,input_597100!A:H,8,FALSE))</f>
        <v>1323040.3846199999</v>
      </c>
      <c r="P187" s="43">
        <f t="shared" ca="1" si="7"/>
        <v>9.0930610626747971E-3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input_597100!A$2</f>
        <v>597100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IFERROR(VLOOKUP(B188,input_597100!L:R,7,FALSE),VLOOKUP(tables_597100!C188,input_597100!A:H,8,FALSE))</f>
        <v>101959.61538</v>
      </c>
      <c r="P188" s="43">
        <f t="shared" ca="1" si="7"/>
        <v>7.0075337030884558E-4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input_597100!A$2</f>
        <v>597100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IFERROR(VLOOKUP(B189,input_597100!L:R,7,FALSE),VLOOKUP(tables_597100!C189,input_597100!A:H,8,FALSE))</f>
        <v>87300</v>
      </c>
      <c r="P189" s="43">
        <f t="shared" ca="1" si="7"/>
        <v>5.9999999999962948E-4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input_597100!A$2</f>
        <v>597100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IFERROR(VLOOKUP(B190,input_597100!L:R,7,FALSE),VLOOKUP(tables_597100!C190,input_597100!A:H,8,FALSE))</f>
        <v>9700</v>
      </c>
      <c r="P190" s="43">
        <f t="shared" ca="1" si="7"/>
        <v>6.6666666666625497E-5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input_597100!A$2</f>
        <v>597100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IFERROR(VLOOKUP(B191,input_597100!L:R,7,FALSE),VLOOKUP(tables_597100!C191,input_597100!A:H,8,FALSE))</f>
        <v>87300</v>
      </c>
      <c r="P191" s="43">
        <f t="shared" ca="1" si="7"/>
        <v>5.9999999999962948E-4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input_597100!A$2</f>
        <v>597100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IFERROR(VLOOKUP(B192,input_597100!L:R,7,FALSE),VLOOKUP(tables_597100!C192,input_597100!A:H,8,FALSE))</f>
        <v>9700</v>
      </c>
      <c r="P192" s="43">
        <f t="shared" ca="1" si="7"/>
        <v>6.6666666666625497E-5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input_597100!A$2</f>
        <v>597100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IFERROR(VLOOKUP(B193,input_597100!L:R,7,FALSE),VLOOKUP(tables_597100!C193,input_597100!A:H,8,FALSE))</f>
        <v>0</v>
      </c>
      <c r="P193" s="43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input_597100!A$2</f>
        <v>597100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IFERROR(VLOOKUP(B194,input_597100!L:R,7,FALSE),VLOOKUP(tables_597100!C194,input_597100!A:H,8,FALSE))</f>
        <v>1323040.3846199999</v>
      </c>
      <c r="P194" s="43">
        <f t="shared" ref="P194:P257" ca="1" si="10">O194/SUM(O:O)</f>
        <v>9.0930610626747971E-3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input_597100!A$2</f>
        <v>597100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IFERROR(VLOOKUP(B195,input_597100!L:R,7,FALSE),VLOOKUP(tables_597100!C195,input_597100!A:H,8,FALSE))</f>
        <v>101959.61538</v>
      </c>
      <c r="P195" s="43">
        <f t="shared" ca="1" si="10"/>
        <v>7.0075337030884558E-4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input_597100!A$2</f>
        <v>597100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IFERROR(VLOOKUP(B196,input_597100!L:R,7,FALSE),VLOOKUP(tables_597100!C196,input_597100!A:H,8,FALSE))</f>
        <v>87300</v>
      </c>
      <c r="P196" s="43">
        <f t="shared" ca="1" si="10"/>
        <v>5.9999999999962948E-4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input_597100!A$2</f>
        <v>597100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IFERROR(VLOOKUP(B197,input_597100!L:R,7,FALSE),VLOOKUP(tables_597100!C197,input_597100!A:H,8,FALSE))</f>
        <v>9700</v>
      </c>
      <c r="P197" s="43">
        <f t="shared" ca="1" si="10"/>
        <v>6.6666666666625497E-5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input_597100!A$2</f>
        <v>597100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IFERROR(VLOOKUP(B198,input_597100!L:R,7,FALSE),VLOOKUP(tables_597100!C198,input_597100!A:H,8,FALSE))</f>
        <v>0</v>
      </c>
      <c r="P198" s="43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input_597100!A$2</f>
        <v>597100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IFERROR(VLOOKUP(B199,input_597100!L:R,7,FALSE),VLOOKUP(tables_597100!C199,input_597100!A:H,8,FALSE))</f>
        <v>1323040.3846199999</v>
      </c>
      <c r="P199" s="43">
        <f t="shared" ca="1" si="10"/>
        <v>9.0930610626747971E-3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input_597100!A$2</f>
        <v>597100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IFERROR(VLOOKUP(B200,input_597100!L:R,7,FALSE),VLOOKUP(tables_597100!C200,input_597100!A:H,8,FALSE))</f>
        <v>101959.61538</v>
      </c>
      <c r="P200" s="43">
        <f t="shared" ca="1" si="10"/>
        <v>7.0075337030884558E-4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input_597100!A$2</f>
        <v>597100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IFERROR(VLOOKUP(B201,input_597100!L:R,7,FALSE),VLOOKUP(tables_597100!C201,input_597100!A:H,8,FALSE))</f>
        <v>87300</v>
      </c>
      <c r="P201" s="43">
        <f t="shared" ca="1" si="10"/>
        <v>5.9999999999962948E-4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input_597100!A$2</f>
        <v>597100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IFERROR(VLOOKUP(B202,input_597100!L:R,7,FALSE),VLOOKUP(tables_597100!C202,input_597100!A:H,8,FALSE))</f>
        <v>9700</v>
      </c>
      <c r="P202" s="43">
        <f t="shared" ca="1" si="10"/>
        <v>6.6666666666625497E-5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input_597100!A$2</f>
        <v>597100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IFERROR(VLOOKUP(B203,input_597100!L:R,7,FALSE),VLOOKUP(tables_597100!C203,input_597100!A:H,8,FALSE))</f>
        <v>0</v>
      </c>
      <c r="P203" s="43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input_597100!A$2</f>
        <v>597100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IFERROR(VLOOKUP(B204,input_597100!L:R,7,FALSE),VLOOKUP(tables_597100!C204,input_597100!A:H,8,FALSE))</f>
        <v>1323040.3846199999</v>
      </c>
      <c r="P204" s="43">
        <f t="shared" ca="1" si="10"/>
        <v>9.0930610626747971E-3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input_597100!A$2</f>
        <v>597100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IFERROR(VLOOKUP(B205,input_597100!L:R,7,FALSE),VLOOKUP(tables_597100!C205,input_597100!A:H,8,FALSE))</f>
        <v>101959.61538</v>
      </c>
      <c r="P205" s="43">
        <f t="shared" ca="1" si="10"/>
        <v>7.0075337030884558E-4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input_597100!A$2</f>
        <v>597100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IFERROR(VLOOKUP(B206,input_597100!L:R,7,FALSE),VLOOKUP(tables_597100!C206,input_597100!A:H,8,FALSE))</f>
        <v>87300</v>
      </c>
      <c r="P206" s="43">
        <f t="shared" ca="1" si="10"/>
        <v>5.9999999999962948E-4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input_597100!A$2</f>
        <v>597100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IFERROR(VLOOKUP(B207,input_597100!L:R,7,FALSE),VLOOKUP(tables_597100!C207,input_597100!A:H,8,FALSE))</f>
        <v>9700</v>
      </c>
      <c r="P207" s="43">
        <f t="shared" ca="1" si="10"/>
        <v>6.6666666666625497E-5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input_597100!A$2</f>
        <v>597100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IFERROR(VLOOKUP(B208,input_597100!L:R,7,FALSE),VLOOKUP(tables_597100!C208,input_597100!A:H,8,FALSE))</f>
        <v>87300</v>
      </c>
      <c r="P208" s="43">
        <f t="shared" ca="1" si="10"/>
        <v>5.9999999999962948E-4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input_597100!A$2</f>
        <v>597100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IFERROR(VLOOKUP(B209,input_597100!L:R,7,FALSE),VLOOKUP(tables_597100!C209,input_597100!A:H,8,FALSE))</f>
        <v>9700</v>
      </c>
      <c r="P209" s="43">
        <f t="shared" ca="1" si="10"/>
        <v>6.6666666666625497E-5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input_597100!A$2</f>
        <v>597100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IFERROR(VLOOKUP(B210,input_597100!L:R,7,FALSE),VLOOKUP(tables_597100!C210,input_597100!A:H,8,FALSE))</f>
        <v>0</v>
      </c>
      <c r="P210" s="43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input_597100!A$2</f>
        <v>597100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IFERROR(VLOOKUP(B211,input_597100!L:R,7,FALSE),VLOOKUP(tables_597100!C211,input_597100!A:H,8,FALSE))</f>
        <v>1323040.3846199999</v>
      </c>
      <c r="P211" s="43">
        <f t="shared" ca="1" si="10"/>
        <v>9.0930610626747971E-3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input_597100!A$2</f>
        <v>597100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IFERROR(VLOOKUP(B212,input_597100!L:R,7,FALSE),VLOOKUP(tables_597100!C212,input_597100!A:H,8,FALSE))</f>
        <v>101959.61538</v>
      </c>
      <c r="P212" s="43">
        <f t="shared" ca="1" si="10"/>
        <v>7.0075337030884558E-4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input_597100!A$2</f>
        <v>597100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IFERROR(VLOOKUP(B213,input_597100!L:R,7,FALSE),VLOOKUP(tables_597100!C213,input_597100!A:H,8,FALSE))</f>
        <v>87300</v>
      </c>
      <c r="P213" s="43">
        <f t="shared" ca="1" si="10"/>
        <v>5.9999999999962948E-4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input_597100!A$2</f>
        <v>597100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IFERROR(VLOOKUP(B214,input_597100!L:R,7,FALSE),VLOOKUP(tables_597100!C214,input_597100!A:H,8,FALSE))</f>
        <v>9700</v>
      </c>
      <c r="P214" s="43">
        <f t="shared" ca="1" si="10"/>
        <v>6.6666666666625497E-5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input_597100!A$2</f>
        <v>597100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IFERROR(VLOOKUP(B215,input_597100!L:R,7,FALSE),VLOOKUP(tables_597100!C215,input_597100!A:H,8,FALSE))</f>
        <v>142500</v>
      </c>
      <c r="P215" s="43">
        <f t="shared" ca="1" si="10"/>
        <v>9.7938144329836425E-4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input_597100!A$2</f>
        <v>597100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IFERROR(VLOOKUP(B216,input_597100!L:R,7,FALSE),VLOOKUP(tables_597100!C216,input_597100!A:H,8,FALSE))</f>
        <v>142500</v>
      </c>
      <c r="P216" s="43">
        <f t="shared" ca="1" si="10"/>
        <v>9.7938144329836425E-4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input_597100!A$2</f>
        <v>597100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IFERROR(VLOOKUP(B217,input_597100!L:R,7,FALSE),VLOOKUP(tables_597100!C217,input_597100!A:H,8,FALSE))</f>
        <v>142500</v>
      </c>
      <c r="P217" s="43">
        <f t="shared" ca="1" si="10"/>
        <v>9.7938144329836425E-4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input_597100!A$2</f>
        <v>597100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IFERROR(VLOOKUP(B218,input_597100!L:R,7,FALSE),VLOOKUP(tables_597100!C218,input_597100!A:H,8,FALSE))</f>
        <v>142500</v>
      </c>
      <c r="P218" s="43">
        <f t="shared" ca="1" si="10"/>
        <v>9.7938144329836425E-4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input_597100!A$2</f>
        <v>597100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IFERROR(VLOOKUP(B219,input_597100!L:R,7,FALSE),VLOOKUP(tables_597100!C219,input_597100!A:H,8,FALSE))</f>
        <v>142500</v>
      </c>
      <c r="P219" s="43">
        <f t="shared" ca="1" si="10"/>
        <v>9.7938144329836425E-4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input_597100!A$2</f>
        <v>597100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IFERROR(VLOOKUP(B220,input_597100!L:R,7,FALSE),VLOOKUP(tables_597100!C220,input_597100!A:H,8,FALSE))</f>
        <v>142500</v>
      </c>
      <c r="P220" s="43">
        <f t="shared" ca="1" si="10"/>
        <v>9.7938144329836425E-4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input_597100!A$2</f>
        <v>597100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IFERROR(VLOOKUP(B221,input_597100!L:R,7,FALSE),VLOOKUP(tables_597100!C221,input_597100!A:H,8,FALSE))</f>
        <v>87300</v>
      </c>
      <c r="P221" s="43">
        <f t="shared" ca="1" si="10"/>
        <v>5.9999999999962948E-4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input_597100!A$2</f>
        <v>597100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IFERROR(VLOOKUP(B222,input_597100!L:R,7,FALSE),VLOOKUP(tables_597100!C222,input_597100!A:H,8,FALSE))</f>
        <v>9700</v>
      </c>
      <c r="P222" s="43">
        <f t="shared" ca="1" si="10"/>
        <v>6.6666666666625497E-5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input_597100!A$2</f>
        <v>597100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IFERROR(VLOOKUP(B223,input_597100!L:R,7,FALSE),VLOOKUP(tables_597100!C223,input_597100!A:H,8,FALSE))</f>
        <v>0</v>
      </c>
      <c r="P223" s="43">
        <f t="shared" ca="1" si="10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input_597100!A$2</f>
        <v>597100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IFERROR(VLOOKUP(B224,input_597100!L:R,7,FALSE),VLOOKUP(tables_597100!C224,input_597100!A:H,8,FALSE))</f>
        <v>1323040.3846199999</v>
      </c>
      <c r="P224" s="43">
        <f t="shared" ca="1" si="10"/>
        <v>9.0930610626747971E-3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input_597100!A$2</f>
        <v>597100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IFERROR(VLOOKUP(B225,input_597100!L:R,7,FALSE),VLOOKUP(tables_597100!C225,input_597100!A:H,8,FALSE))</f>
        <v>101959.61538</v>
      </c>
      <c r="P225" s="43">
        <f t="shared" ca="1" si="10"/>
        <v>7.0075337030884558E-4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input_597100!A$2</f>
        <v>597100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IFERROR(VLOOKUP(B226,input_597100!L:R,7,FALSE),VLOOKUP(tables_597100!C226,input_597100!A:H,8,FALSE))</f>
        <v>0</v>
      </c>
      <c r="P226" s="43">
        <f t="shared" ca="1" si="10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input_597100!A$2</f>
        <v>597100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IFERROR(VLOOKUP(B227,input_597100!L:R,7,FALSE),VLOOKUP(tables_597100!C227,input_597100!A:H,8,FALSE))</f>
        <v>1323040.3846199999</v>
      </c>
      <c r="P227" s="43">
        <f t="shared" ca="1" si="10"/>
        <v>9.0930610626747971E-3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input_597100!A$2</f>
        <v>597100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IFERROR(VLOOKUP(B228,input_597100!L:R,7,FALSE),VLOOKUP(tables_597100!C228,input_597100!A:H,8,FALSE))</f>
        <v>101959.61538</v>
      </c>
      <c r="P228" s="43">
        <f t="shared" ca="1" si="10"/>
        <v>7.0075337030884558E-4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input_597100!A$2</f>
        <v>597100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IFERROR(VLOOKUP(B229,input_597100!L:R,7,FALSE),VLOOKUP(tables_597100!C229,input_597100!A:H,8,FALSE))</f>
        <v>87300</v>
      </c>
      <c r="P229" s="43">
        <f t="shared" ca="1" si="10"/>
        <v>5.9999999999962948E-4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input_597100!A$2</f>
        <v>597100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IFERROR(VLOOKUP(B230,input_597100!L:R,7,FALSE),VLOOKUP(tables_597100!C230,input_597100!A:H,8,FALSE))</f>
        <v>9700</v>
      </c>
      <c r="P230" s="43">
        <f t="shared" ca="1" si="10"/>
        <v>6.6666666666625497E-5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input_597100!A$2</f>
        <v>597100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IFERROR(VLOOKUP(B231,input_597100!L:R,7,FALSE),VLOOKUP(tables_597100!C231,input_597100!A:H,8,FALSE))</f>
        <v>0</v>
      </c>
      <c r="P231" s="43">
        <f t="shared" ca="1" si="10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input_597100!A$2</f>
        <v>597100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IFERROR(VLOOKUP(B232,input_597100!L:R,7,FALSE),VLOOKUP(tables_597100!C232,input_597100!A:H,8,FALSE))</f>
        <v>1323040.3846199999</v>
      </c>
      <c r="P232" s="43">
        <f t="shared" ca="1" si="10"/>
        <v>9.0930610626747971E-3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input_597100!A$2</f>
        <v>597100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IFERROR(VLOOKUP(B233,input_597100!L:R,7,FALSE),VLOOKUP(tables_597100!C233,input_597100!A:H,8,FALSE))</f>
        <v>101959.61538</v>
      </c>
      <c r="P233" s="43">
        <f t="shared" ca="1" si="10"/>
        <v>7.0075337030884558E-4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input_597100!A$2</f>
        <v>597100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IFERROR(VLOOKUP(B234,input_597100!L:R,7,FALSE),VLOOKUP(tables_597100!C234,input_597100!A:H,8,FALSE))</f>
        <v>0</v>
      </c>
      <c r="P234" s="43">
        <f t="shared" ca="1" si="10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input_597100!A$2</f>
        <v>597100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IFERROR(VLOOKUP(B235,input_597100!L:R,7,FALSE),VLOOKUP(tables_597100!C235,input_597100!A:H,8,FALSE))</f>
        <v>1323040.3846199999</v>
      </c>
      <c r="P235" s="43">
        <f t="shared" ca="1" si="10"/>
        <v>9.0930610626747971E-3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input_597100!A$2</f>
        <v>597100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IFERROR(VLOOKUP(B236,input_597100!L:R,7,FALSE),VLOOKUP(tables_597100!C236,input_597100!A:H,8,FALSE))</f>
        <v>101959.61538</v>
      </c>
      <c r="P236" s="43">
        <f t="shared" ca="1" si="10"/>
        <v>7.0075337030884558E-4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input_597100!A$2</f>
        <v>597100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IFERROR(VLOOKUP(B237,input_597100!L:R,7,FALSE),VLOOKUP(tables_597100!C237,input_597100!A:H,8,FALSE))</f>
        <v>87300</v>
      </c>
      <c r="P237" s="43">
        <f t="shared" ca="1" si="10"/>
        <v>5.9999999999962948E-4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input_597100!A$2</f>
        <v>597100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IFERROR(VLOOKUP(B238,input_597100!L:R,7,FALSE),VLOOKUP(tables_597100!C238,input_597100!A:H,8,FALSE))</f>
        <v>9700</v>
      </c>
      <c r="P238" s="43">
        <f t="shared" ca="1" si="10"/>
        <v>6.6666666666625497E-5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input_597100!A$2</f>
        <v>597100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IFERROR(VLOOKUP(B239,input_597100!L:R,7,FALSE),VLOOKUP(tables_597100!C239,input_597100!A:H,8,FALSE))</f>
        <v>0</v>
      </c>
      <c r="P239" s="43">
        <f t="shared" ca="1" si="10"/>
        <v>0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input_597100!A$2</f>
        <v>597100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IFERROR(VLOOKUP(B240,input_597100!L:R,7,FALSE),VLOOKUP(tables_597100!C240,input_597100!A:H,8,FALSE))</f>
        <v>1323040.3846199999</v>
      </c>
      <c r="P240" s="43">
        <f t="shared" ca="1" si="10"/>
        <v>9.0930610626747971E-3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input_597100!A$2</f>
        <v>597100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IFERROR(VLOOKUP(B241,input_597100!L:R,7,FALSE),VLOOKUP(tables_597100!C241,input_597100!A:H,8,FALSE))</f>
        <v>101959.61538</v>
      </c>
      <c r="P241" s="43">
        <f t="shared" ca="1" si="10"/>
        <v>7.0075337030884558E-4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input_597100!A$2</f>
        <v>597100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IFERROR(VLOOKUP(B242,input_597100!L:R,7,FALSE),VLOOKUP(tables_597100!C242,input_597100!A:H,8,FALSE))</f>
        <v>87300</v>
      </c>
      <c r="P242" s="43">
        <f t="shared" ca="1" si="10"/>
        <v>5.9999999999962948E-4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input_597100!A$2</f>
        <v>597100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IFERROR(VLOOKUP(B243,input_597100!L:R,7,FALSE),VLOOKUP(tables_597100!C243,input_597100!A:H,8,FALSE))</f>
        <v>9700</v>
      </c>
      <c r="P243" s="43">
        <f t="shared" ca="1" si="10"/>
        <v>6.6666666666625497E-5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input_597100!A$2</f>
        <v>597100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IFERROR(VLOOKUP(B244,input_597100!L:R,7,FALSE),VLOOKUP(tables_597100!C244,input_597100!A:H,8,FALSE))</f>
        <v>87300</v>
      </c>
      <c r="P244" s="43">
        <f t="shared" ca="1" si="10"/>
        <v>5.9999999999962948E-4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input_597100!A$2</f>
        <v>597100</v>
      </c>
      <c r="B245" s="55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IFERROR(VLOOKUP(B245,input_597100!L:R,7,FALSE),VLOOKUP(tables_597100!C245,input_597100!A:H,8,FALSE))</f>
        <v>9700</v>
      </c>
      <c r="P245" s="43">
        <f t="shared" ca="1" si="10"/>
        <v>6.6666666666625497E-5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input_597100!A$2</f>
        <v>597100</v>
      </c>
      <c r="B246" s="55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IFERROR(VLOOKUP(B246,input_597100!L:R,7,FALSE),VLOOKUP(tables_597100!C246,input_597100!A:H,8,FALSE))</f>
        <v>0</v>
      </c>
      <c r="P246" s="43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input_597100!A$2</f>
        <v>597100</v>
      </c>
      <c r="B247" s="55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IFERROR(VLOOKUP(B247,input_597100!L:R,7,FALSE),VLOOKUP(tables_597100!C247,input_597100!A:H,8,FALSE))</f>
        <v>1323040.3846199999</v>
      </c>
      <c r="P247" s="43">
        <f t="shared" ca="1" si="10"/>
        <v>9.0930610626747971E-3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input_597100!A$2</f>
        <v>597100</v>
      </c>
      <c r="B248" s="55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IFERROR(VLOOKUP(B248,input_597100!L:R,7,FALSE),VLOOKUP(tables_597100!C248,input_597100!A:H,8,FALSE))</f>
        <v>101959.61538</v>
      </c>
      <c r="P248" s="43">
        <f t="shared" ca="1" si="10"/>
        <v>7.0075337030884558E-4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input_597100!A$2</f>
        <v>597100</v>
      </c>
      <c r="B249" s="55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IFERROR(VLOOKUP(B249,input_597100!L:R,7,FALSE),VLOOKUP(tables_597100!C249,input_597100!A:H,8,FALSE))</f>
        <v>0</v>
      </c>
      <c r="P249" s="43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input_597100!A$2</f>
        <v>597100</v>
      </c>
      <c r="B250" s="55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IFERROR(VLOOKUP(B250,input_597100!L:R,7,FALSE),VLOOKUP(tables_597100!C250,input_597100!A:H,8,FALSE))</f>
        <v>1323040.3846199999</v>
      </c>
      <c r="P250" s="43">
        <f t="shared" ca="1" si="10"/>
        <v>9.0930610626747971E-3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input_597100!A$2</f>
        <v>597100</v>
      </c>
      <c r="B251" s="55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IFERROR(VLOOKUP(B251,input_597100!L:R,7,FALSE),VLOOKUP(tables_597100!C251,input_597100!A:H,8,FALSE))</f>
        <v>101959.61538</v>
      </c>
      <c r="P251" s="43">
        <f t="shared" ca="1" si="10"/>
        <v>7.0075337030884558E-4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input_597100!A$2</f>
        <v>597100</v>
      </c>
      <c r="B252" s="55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IFERROR(VLOOKUP(B252,input_597100!L:R,7,FALSE),VLOOKUP(tables_597100!C252,input_597100!A:H,8,FALSE))</f>
        <v>0</v>
      </c>
      <c r="P252" s="43">
        <f t="shared" ca="1" si="10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input_597100!A$2</f>
        <v>597100</v>
      </c>
      <c r="B253" s="55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IFERROR(VLOOKUP(B253,input_597100!L:R,7,FALSE),VLOOKUP(tables_597100!C253,input_597100!A:H,8,FALSE))</f>
        <v>1323040.3846199999</v>
      </c>
      <c r="P253" s="43">
        <f t="shared" ca="1" si="10"/>
        <v>9.0930610626747971E-3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input_597100!A$2</f>
        <v>597100</v>
      </c>
      <c r="B254" s="55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IFERROR(VLOOKUP(B254,input_597100!L:R,7,FALSE),VLOOKUP(tables_597100!C254,input_597100!A:H,8,FALSE))</f>
        <v>101959.61538</v>
      </c>
      <c r="P254" s="43">
        <f t="shared" ca="1" si="10"/>
        <v>7.0075337030884558E-4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input_597100!A$2</f>
        <v>597100</v>
      </c>
      <c r="B255" s="55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IFERROR(VLOOKUP(B255,input_597100!L:R,7,FALSE),VLOOKUP(tables_597100!C255,input_597100!A:H,8,FALSE))</f>
        <v>0</v>
      </c>
      <c r="P255" s="43">
        <f t="shared" ca="1" si="10"/>
        <v>0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input_597100!A$2</f>
        <v>597100</v>
      </c>
      <c r="B256" s="55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IFERROR(VLOOKUP(B256,input_597100!L:R,7,FALSE),VLOOKUP(tables_597100!C256,input_597100!A:H,8,FALSE))</f>
        <v>1323040.3846199999</v>
      </c>
      <c r="P256" s="43">
        <f t="shared" ca="1" si="10"/>
        <v>9.0930610626747971E-3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input_597100!A$2</f>
        <v>597100</v>
      </c>
      <c r="B257" s="55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IFERROR(VLOOKUP(B257,input_597100!L:R,7,FALSE),VLOOKUP(tables_597100!C257,input_597100!A:H,8,FALSE))</f>
        <v>101959.61538</v>
      </c>
      <c r="P257" s="43">
        <f t="shared" ca="1" si="10"/>
        <v>7.0075337030884558E-4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input_597100!A$2</f>
        <v>597100</v>
      </c>
      <c r="B258" s="55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IFERROR(VLOOKUP(B258,input_597100!L:R,7,FALSE),VLOOKUP(tables_597100!C258,input_597100!A:H,8,FALSE))</f>
        <v>87300</v>
      </c>
      <c r="P258" s="43">
        <f t="shared" ref="P258:P321" ca="1" si="13">O258/SUM(O:O)</f>
        <v>5.9999999999962948E-4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input_597100!A$2</f>
        <v>597100</v>
      </c>
      <c r="B259" s="55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IFERROR(VLOOKUP(B259,input_597100!L:R,7,FALSE),VLOOKUP(tables_597100!C259,input_597100!A:H,8,FALSE))</f>
        <v>9700</v>
      </c>
      <c r="P259" s="43">
        <f t="shared" ca="1" si="13"/>
        <v>6.6666666666625497E-5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input_597100!A$2</f>
        <v>597100</v>
      </c>
      <c r="B260" s="55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IFERROR(VLOOKUP(B260,input_597100!L:R,7,FALSE),VLOOKUP(tables_597100!C260,input_597100!A:H,8,FALSE))</f>
        <v>87300</v>
      </c>
      <c r="P260" s="43">
        <f t="shared" ca="1" si="13"/>
        <v>5.9999999999962948E-4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input_597100!A$2</f>
        <v>597100</v>
      </c>
      <c r="B261" s="55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IFERROR(VLOOKUP(B261,input_597100!L:R,7,FALSE),VLOOKUP(tables_597100!C261,input_597100!A:H,8,FALSE))</f>
        <v>9700</v>
      </c>
      <c r="P261" s="43">
        <f t="shared" ca="1" si="13"/>
        <v>6.6666666666625497E-5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input_597100!A$2</f>
        <v>597100</v>
      </c>
      <c r="B262" s="55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IFERROR(VLOOKUP(B262,input_597100!L:R,7,FALSE),VLOOKUP(tables_597100!C262,input_597100!A:H,8,FALSE))</f>
        <v>1241785.71429</v>
      </c>
      <c r="P262" s="43">
        <f t="shared" ca="1" si="13"/>
        <v>8.5346097202009148E-3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input_597100!A$2</f>
        <v>597100</v>
      </c>
      <c r="B263" s="55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IFERROR(VLOOKUP(B263,input_597100!L:R,7,FALSE),VLOOKUP(tables_597100!C263,input_597100!A:H,8,FALSE))</f>
        <v>142500</v>
      </c>
      <c r="P263" s="43">
        <f t="shared" ca="1" si="13"/>
        <v>9.7938144329836425E-4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input_597100!A$2</f>
        <v>597100</v>
      </c>
      <c r="B264" s="55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IFERROR(VLOOKUP(B264,input_597100!L:R,7,FALSE),VLOOKUP(tables_597100!C264,input_597100!A:H,8,FALSE))</f>
        <v>1241785.71429</v>
      </c>
      <c r="P264" s="43">
        <f t="shared" ca="1" si="13"/>
        <v>8.5346097202009148E-3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input_597100!A$2</f>
        <v>597100</v>
      </c>
      <c r="B265" s="55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IFERROR(VLOOKUP(B265,input_597100!L:R,7,FALSE),VLOOKUP(tables_597100!C265,input_597100!A:H,8,FALSE))</f>
        <v>142500</v>
      </c>
      <c r="P265" s="43">
        <f t="shared" ca="1" si="13"/>
        <v>9.7938144329836425E-4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input_597100!A$2</f>
        <v>597100</v>
      </c>
      <c r="B266" s="55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IFERROR(VLOOKUP(B266,input_597100!L:R,7,FALSE),VLOOKUP(tables_597100!C266,input_597100!A:H,8,FALSE))</f>
        <v>97000</v>
      </c>
      <c r="P266" s="43">
        <f t="shared" ca="1" si="13"/>
        <v>6.6666666666625497E-4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input_597100!A$2</f>
        <v>597100</v>
      </c>
      <c r="B267" s="55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IFERROR(VLOOKUP(B267,input_597100!L:R,7,FALSE),VLOOKUP(tables_597100!C267,input_597100!A:H,8,FALSE))</f>
        <v>97000</v>
      </c>
      <c r="P267" s="43">
        <f t="shared" ca="1" si="13"/>
        <v>6.6666666666625497E-4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input_597100!A$2</f>
        <v>597100</v>
      </c>
      <c r="B268" s="55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IFERROR(VLOOKUP(B268,input_597100!L:R,7,FALSE),VLOOKUP(tables_597100!C268,input_597100!A:H,8,FALSE))</f>
        <v>97000</v>
      </c>
      <c r="P268" s="43">
        <f t="shared" ca="1" si="13"/>
        <v>6.6666666666625497E-4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input_597100!A$2</f>
        <v>597100</v>
      </c>
      <c r="B269" s="55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IFERROR(VLOOKUP(B269,input_597100!L:R,7,FALSE),VLOOKUP(tables_597100!C269,input_597100!A:H,8,FALSE))</f>
        <v>97000</v>
      </c>
      <c r="P269" s="43">
        <f t="shared" ca="1" si="13"/>
        <v>6.6666666666625497E-4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input_597100!A$2</f>
        <v>597100</v>
      </c>
      <c r="B270" s="55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IFERROR(VLOOKUP(B270,input_597100!L:R,7,FALSE),VLOOKUP(tables_597100!C270,input_597100!A:H,8,FALSE))</f>
        <v>1241785.71429</v>
      </c>
      <c r="P270" s="43">
        <f t="shared" ca="1" si="13"/>
        <v>8.5346097202009148E-3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input_597100!A$2</f>
        <v>597100</v>
      </c>
      <c r="B271" s="73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IFERROR(VLOOKUP(B271,input_597100!L:R,7,FALSE),VLOOKUP(tables_597100!C271,input_597100!A:H,8,FALSE))</f>
        <v>142500</v>
      </c>
      <c r="P271" s="43">
        <f t="shared" ca="1" si="13"/>
        <v>9.7938144329836425E-4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input_597100!A$2</f>
        <v>597100</v>
      </c>
      <c r="B272" s="73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IFERROR(VLOOKUP(B272,input_597100!L:R,7,FALSE),VLOOKUP(tables_597100!C272,input_597100!A:H,8,FALSE))</f>
        <v>1241785.71429</v>
      </c>
      <c r="P272" s="43">
        <f t="shared" ca="1" si="13"/>
        <v>8.5346097202009148E-3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input_597100!A$2</f>
        <v>597100</v>
      </c>
      <c r="B273" s="73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IFERROR(VLOOKUP(B273,input_597100!L:R,7,FALSE),VLOOKUP(tables_597100!C273,input_597100!A:H,8,FALSE))</f>
        <v>142500</v>
      </c>
      <c r="P273" s="43">
        <f t="shared" ca="1" si="13"/>
        <v>9.7938144329836425E-4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input_597100!A$2</f>
        <v>597100</v>
      </c>
      <c r="B274" s="73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IFERROR(VLOOKUP(B274,input_597100!L:R,7,FALSE),VLOOKUP(tables_597100!C274,input_597100!A:H,8,FALSE))</f>
        <v>87300</v>
      </c>
      <c r="P274" s="43">
        <f t="shared" ca="1" si="13"/>
        <v>5.9999999999962948E-4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input_597100!A$2</f>
        <v>597100</v>
      </c>
      <c r="B275" s="73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IFERROR(VLOOKUP(B275,input_597100!L:R,7,FALSE),VLOOKUP(tables_597100!C275,input_597100!A:H,8,FALSE))</f>
        <v>9700</v>
      </c>
      <c r="P275" s="43">
        <f t="shared" ca="1" si="13"/>
        <v>6.6666666666625497E-5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input_597100!A$2</f>
        <v>597100</v>
      </c>
      <c r="B276" s="73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IFERROR(VLOOKUP(B276,input_597100!L:R,7,FALSE),VLOOKUP(tables_597100!C276,input_597100!A:H,8,FALSE))</f>
        <v>87300</v>
      </c>
      <c r="P276" s="43">
        <f t="shared" ca="1" si="13"/>
        <v>5.9999999999962948E-4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input_597100!A$2</f>
        <v>597100</v>
      </c>
      <c r="B277" s="73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IFERROR(VLOOKUP(B277,input_597100!L:R,7,FALSE),VLOOKUP(tables_597100!C277,input_597100!A:H,8,FALSE))</f>
        <v>9700</v>
      </c>
      <c r="P277" s="43">
        <f t="shared" ca="1" si="13"/>
        <v>6.6666666666625497E-5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input_597100!A$2</f>
        <v>597100</v>
      </c>
      <c r="B278" s="73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IFERROR(VLOOKUP(B278,input_597100!L:R,7,FALSE),VLOOKUP(tables_597100!C278,input_597100!A:H,8,FALSE))</f>
        <v>0</v>
      </c>
      <c r="P278" s="43">
        <f t="shared" ca="1" si="13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input_597100!A$2</f>
        <v>597100</v>
      </c>
      <c r="B279" s="73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IFERROR(VLOOKUP(B279,input_597100!L:R,7,FALSE),VLOOKUP(tables_597100!C279,input_597100!A:H,8,FALSE))</f>
        <v>1323040.3846199999</v>
      </c>
      <c r="P279" s="43">
        <f t="shared" ca="1" si="13"/>
        <v>9.0930610626747971E-3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input_597100!A$2</f>
        <v>597100</v>
      </c>
      <c r="B280" s="73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IFERROR(VLOOKUP(B280,input_597100!L:R,7,FALSE),VLOOKUP(tables_597100!C280,input_597100!A:H,8,FALSE))</f>
        <v>101959.61538</v>
      </c>
      <c r="P280" s="43">
        <f t="shared" ca="1" si="13"/>
        <v>7.0075337030884558E-4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input_597100!A$2</f>
        <v>597100</v>
      </c>
      <c r="B281" s="73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IFERROR(VLOOKUP(B281,input_597100!L:R,7,FALSE),VLOOKUP(tables_597100!C281,input_597100!A:H,8,FALSE))</f>
        <v>0</v>
      </c>
      <c r="P281" s="43">
        <f t="shared" ca="1" si="13"/>
        <v>0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input_597100!A$2</f>
        <v>597100</v>
      </c>
      <c r="B282" s="73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IFERROR(VLOOKUP(B282,input_597100!L:R,7,FALSE),VLOOKUP(tables_597100!C282,input_597100!A:H,8,FALSE))</f>
        <v>1323040.3846199999</v>
      </c>
      <c r="P282" s="43">
        <f t="shared" ca="1" si="13"/>
        <v>9.0930610626747971E-3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input_597100!A$2</f>
        <v>597100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IFERROR(VLOOKUP(B283,input_597100!L:R,7,FALSE),VLOOKUP(tables_597100!C283,input_597100!A:H,8,FALSE))</f>
        <v>101959.61538</v>
      </c>
      <c r="P283" s="43">
        <f t="shared" ca="1" si="13"/>
        <v>7.0075337030884558E-4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input_597100!A$2</f>
        <v>597100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IFERROR(VLOOKUP(B284,input_597100!L:R,7,FALSE),VLOOKUP(tables_597100!C284,input_597100!A:H,8,FALSE))</f>
        <v>97000</v>
      </c>
      <c r="P284" s="43">
        <f t="shared" ca="1" si="13"/>
        <v>6.6666666666625497E-4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input_597100!A$2</f>
        <v>597100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IFERROR(VLOOKUP(B285,input_597100!L:R,7,FALSE),VLOOKUP(tables_597100!C285,input_597100!A:H,8,FALSE))</f>
        <v>97000</v>
      </c>
      <c r="P285" s="43">
        <f t="shared" ca="1" si="13"/>
        <v>6.6666666666625497E-4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input_597100!A$2</f>
        <v>597100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IFERROR(VLOOKUP(B286,input_597100!L:R,7,FALSE),VLOOKUP(tables_597100!C286,input_597100!A:H,8,FALSE))</f>
        <v>1241785.71429</v>
      </c>
      <c r="P286" s="43">
        <f t="shared" ca="1" si="13"/>
        <v>8.5346097202009148E-3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input_597100!A$2</f>
        <v>597100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IFERROR(VLOOKUP(B287,input_597100!L:R,7,FALSE),VLOOKUP(tables_597100!C287,input_597100!A:H,8,FALSE))</f>
        <v>142500</v>
      </c>
      <c r="P287" s="43">
        <f t="shared" ca="1" si="13"/>
        <v>9.7938144329836425E-4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input_597100!A$2</f>
        <v>597100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IFERROR(VLOOKUP(B288,input_597100!L:R,7,FALSE),VLOOKUP(tables_597100!C288,input_597100!A:H,8,FALSE))</f>
        <v>1241785.71429</v>
      </c>
      <c r="P288" s="43">
        <f t="shared" ca="1" si="13"/>
        <v>8.5346097202009148E-3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input_597100!A$2</f>
        <v>597100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IFERROR(VLOOKUP(B289,input_597100!L:R,7,FALSE),VLOOKUP(tables_597100!C289,input_597100!A:H,8,FALSE))</f>
        <v>142500</v>
      </c>
      <c r="P289" s="43">
        <f t="shared" ca="1" si="13"/>
        <v>9.7938144329836425E-4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input_597100!A$2</f>
        <v>597100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IFERROR(VLOOKUP(B290,input_597100!L:R,7,FALSE),VLOOKUP(tables_597100!C290,input_597100!A:H,8,FALSE))</f>
        <v>1241785.71429</v>
      </c>
      <c r="P290" s="43">
        <f t="shared" ca="1" si="13"/>
        <v>8.5346097202009148E-3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input_597100!A$2</f>
        <v>597100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IFERROR(VLOOKUP(B291,input_597100!L:R,7,FALSE),VLOOKUP(tables_597100!C291,input_597100!A:H,8,FALSE))</f>
        <v>142500</v>
      </c>
      <c r="P291" s="43">
        <f t="shared" ca="1" si="13"/>
        <v>9.7938144329836425E-4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input_597100!A$2</f>
        <v>597100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IFERROR(VLOOKUP(B292,input_597100!L:R,7,FALSE),VLOOKUP(tables_597100!C292,input_597100!A:H,8,FALSE))</f>
        <v>1241785.71429</v>
      </c>
      <c r="P292" s="43">
        <f t="shared" ca="1" si="13"/>
        <v>8.5346097202009148E-3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input_597100!A$2</f>
        <v>597100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IFERROR(VLOOKUP(B293,input_597100!L:R,7,FALSE),VLOOKUP(tables_597100!C293,input_597100!A:H,8,FALSE))</f>
        <v>142500</v>
      </c>
      <c r="P293" s="43">
        <f t="shared" ca="1" si="13"/>
        <v>9.7938144329836425E-4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input_597100!A$2</f>
        <v>597100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IFERROR(VLOOKUP(B294,input_597100!L:R,7,FALSE),VLOOKUP(tables_597100!C294,input_597100!A:H,8,FALSE))</f>
        <v>97000</v>
      </c>
      <c r="P294" s="43">
        <f t="shared" ca="1" si="13"/>
        <v>6.6666666666625497E-4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input_597100!A$2</f>
        <v>597100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IFERROR(VLOOKUP(B295,input_597100!L:R,7,FALSE),VLOOKUP(tables_597100!C295,input_597100!A:H,8,FALSE))</f>
        <v>97000</v>
      </c>
      <c r="P295" s="43">
        <f t="shared" ca="1" si="13"/>
        <v>6.6666666666625497E-4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input_597100!A$2</f>
        <v>597100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IFERROR(VLOOKUP(B296,input_597100!L:R,7,FALSE),VLOOKUP(tables_597100!C296,input_597100!A:H,8,FALSE))</f>
        <v>97000</v>
      </c>
      <c r="P296" s="43">
        <f t="shared" ca="1" si="13"/>
        <v>6.6666666666625497E-4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input_597100!A$2</f>
        <v>597100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IFERROR(VLOOKUP(B297,input_597100!L:R,7,FALSE),VLOOKUP(tables_597100!C297,input_597100!A:H,8,FALSE))</f>
        <v>1241785.71429</v>
      </c>
      <c r="P297" s="43">
        <f t="shared" ca="1" si="13"/>
        <v>8.5346097202009148E-3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input_597100!A$2</f>
        <v>597100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IFERROR(VLOOKUP(B298,input_597100!L:R,7,FALSE),VLOOKUP(tables_597100!C298,input_597100!A:H,8,FALSE))</f>
        <v>142500</v>
      </c>
      <c r="P298" s="43">
        <f t="shared" ca="1" si="13"/>
        <v>9.7938144329836425E-4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input_597100!A$2</f>
        <v>597100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IFERROR(VLOOKUP(B299,input_597100!L:R,7,FALSE),VLOOKUP(tables_597100!C299,input_597100!A:H,8,FALSE))</f>
        <v>97000</v>
      </c>
      <c r="P299" s="43">
        <f t="shared" ca="1" si="13"/>
        <v>6.6666666666625497E-4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input_597100!A$2</f>
        <v>597100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IFERROR(VLOOKUP(B300,input_597100!L:R,7,FALSE),VLOOKUP(tables_597100!C300,input_597100!A:H,8,FALSE))</f>
        <v>97000</v>
      </c>
      <c r="P300" s="43">
        <f t="shared" ca="1" si="13"/>
        <v>6.6666666666625497E-4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input_597100!A$2</f>
        <v>597100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IFERROR(VLOOKUP(B301,input_597100!L:R,7,FALSE),VLOOKUP(tables_597100!C301,input_597100!A:H,8,FALSE))</f>
        <v>97000</v>
      </c>
      <c r="P301" s="43">
        <f t="shared" ca="1" si="13"/>
        <v>6.6666666666625497E-4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input_597100!A$2</f>
        <v>597100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IFERROR(VLOOKUP(B302,input_597100!L:R,7,FALSE),VLOOKUP(tables_597100!C302,input_597100!A:H,8,FALSE))</f>
        <v>97000</v>
      </c>
      <c r="P302" s="43">
        <f t="shared" ca="1" si="13"/>
        <v>6.6666666666625497E-4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input_597100!A$2</f>
        <v>597100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IFERROR(VLOOKUP(B303,input_597100!L:R,7,FALSE),VLOOKUP(tables_597100!C303,input_597100!A:H,8,FALSE))</f>
        <v>1241785.71429</v>
      </c>
      <c r="P303" s="43">
        <f t="shared" ca="1" si="13"/>
        <v>8.5346097202009148E-3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input_597100!A$2</f>
        <v>597100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IFERROR(VLOOKUP(B304,input_597100!L:R,7,FALSE),VLOOKUP(tables_597100!C304,input_597100!A:H,8,FALSE))</f>
        <v>142500</v>
      </c>
      <c r="P304" s="43">
        <f t="shared" ca="1" si="13"/>
        <v>9.7938144329836425E-4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input_597100!A$2</f>
        <v>597100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IFERROR(VLOOKUP(B305,input_597100!L:R,7,FALSE),VLOOKUP(tables_597100!C305,input_597100!A:H,8,FALSE))</f>
        <v>97000</v>
      </c>
      <c r="P305" s="43">
        <f t="shared" ca="1" si="13"/>
        <v>6.6666666666625497E-4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input_597100!A$2</f>
        <v>597100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IFERROR(VLOOKUP(B306,input_597100!L:R,7,FALSE),VLOOKUP(tables_597100!C306,input_597100!A:H,8,FALSE))</f>
        <v>1241785.71429</v>
      </c>
      <c r="P306" s="43">
        <f t="shared" ca="1" si="13"/>
        <v>8.5346097202009148E-3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input_597100!A$2</f>
        <v>597100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IFERROR(VLOOKUP(B307,input_597100!L:R,7,FALSE),VLOOKUP(tables_597100!C307,input_597100!A:H,8,FALSE))</f>
        <v>142500</v>
      </c>
      <c r="P307" s="43">
        <f t="shared" ca="1" si="13"/>
        <v>9.7938144329836425E-4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input_597100!A$2</f>
        <v>597100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IFERROR(VLOOKUP(B308,input_597100!L:R,7,FALSE),VLOOKUP(tables_597100!C308,input_597100!A:H,8,FALSE))</f>
        <v>97000</v>
      </c>
      <c r="P308" s="43">
        <f t="shared" ca="1" si="13"/>
        <v>6.6666666666625497E-4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input_597100!A$2</f>
        <v>597100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 ca="1">IFERROR(VLOOKUP(B309,input_597100!L:R,7,FALSE),VLOOKUP(tables_597100!C309,input_597100!A:H,8,FALSE))</f>
        <v>97000</v>
      </c>
      <c r="P309" s="43">
        <f t="shared" ca="1" si="13"/>
        <v>6.6666666666625497E-4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input_597100!A$2</f>
        <v>597100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IFERROR(VLOOKUP(B310,input_597100!L:R,7,FALSE),VLOOKUP(tables_597100!C310,input_597100!A:H,8,FALSE))</f>
        <v>97000</v>
      </c>
      <c r="P310" s="43">
        <f t="shared" ca="1" si="13"/>
        <v>6.6666666666625497E-4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input_597100!A$2</f>
        <v>597100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IFERROR(VLOOKUP(B311,input_597100!L:R,7,FALSE),VLOOKUP(tables_597100!C311,input_597100!A:H,8,FALSE))</f>
        <v>1241785.71429</v>
      </c>
      <c r="P311" s="43">
        <f t="shared" ca="1" si="13"/>
        <v>8.5346097202009148E-3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input_597100!A$2</f>
        <v>597100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IFERROR(VLOOKUP(B312,input_597100!L:R,7,FALSE),VLOOKUP(tables_597100!C312,input_597100!A:H,8,FALSE))</f>
        <v>142500</v>
      </c>
      <c r="P312" s="43">
        <f t="shared" ca="1" si="13"/>
        <v>9.7938144329836425E-4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input_597100!A$2</f>
        <v>597100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IFERROR(VLOOKUP(B313,input_597100!L:R,7,FALSE),VLOOKUP(tables_597100!C313,input_597100!A:H,8,FALSE))</f>
        <v>97000</v>
      </c>
      <c r="P313" s="43">
        <f t="shared" ca="1" si="13"/>
        <v>6.6666666666625497E-4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input_597100!A$2</f>
        <v>597100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IFERROR(VLOOKUP(B314,input_597100!L:R,7,FALSE),VLOOKUP(tables_597100!C314,input_597100!A:H,8,FALSE))</f>
        <v>97000</v>
      </c>
      <c r="P314" s="43">
        <f t="shared" ca="1" si="13"/>
        <v>6.6666666666625497E-4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input_597100!A$2</f>
        <v>597100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IFERROR(VLOOKUP(B315,input_597100!L:R,7,FALSE),VLOOKUP(tables_597100!C315,input_597100!A:H,8,FALSE))</f>
        <v>97000</v>
      </c>
      <c r="P315" s="43">
        <f t="shared" ca="1" si="13"/>
        <v>6.6666666666625497E-4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customHeight="1" x14ac:dyDescent="0.15">
      <c r="A316" s="2" t="str">
        <f ca="1">input_597100!A$2</f>
        <v>597100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IFERROR(VLOOKUP(B316,input_597100!L:R,7,FALSE),VLOOKUP(tables_597100!C316,input_597100!A:H,8,FALSE))</f>
        <v>97000</v>
      </c>
      <c r="P316" s="43">
        <f t="shared" ca="1" si="13"/>
        <v>6.6666666666625497E-4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customHeight="1" x14ac:dyDescent="0.15">
      <c r="A317" s="2" t="str">
        <f ca="1">input_597100!A$2</f>
        <v>597100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IFERROR(VLOOKUP(B317,input_597100!L:R,7,FALSE),VLOOKUP(tables_597100!C317,input_597100!A:H,8,FALSE))</f>
        <v>97000</v>
      </c>
      <c r="P317" s="43">
        <f t="shared" ca="1" si="13"/>
        <v>6.6666666666625497E-4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customHeight="1" x14ac:dyDescent="0.15">
      <c r="A318" s="2" t="str">
        <f ca="1">input_597100!A$2</f>
        <v>597100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IFERROR(VLOOKUP(B318,input_597100!L:R,7,FALSE),VLOOKUP(tables_597100!C318,input_597100!A:H,8,FALSE))</f>
        <v>1241785.71429</v>
      </c>
      <c r="P318" s="43">
        <f t="shared" ca="1" si="13"/>
        <v>8.5346097202009148E-3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customHeight="1" x14ac:dyDescent="0.15">
      <c r="A319" s="2" t="str">
        <f ca="1">input_597100!A$2</f>
        <v>597100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IFERROR(VLOOKUP(B319,input_597100!L:R,7,FALSE),VLOOKUP(tables_597100!C319,input_597100!A:H,8,FALSE))</f>
        <v>142500</v>
      </c>
      <c r="P319" s="43">
        <f t="shared" ca="1" si="13"/>
        <v>9.7938144329836425E-4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customHeight="1" x14ac:dyDescent="0.15">
      <c r="A320" s="2" t="str">
        <f ca="1">input_597100!A$2</f>
        <v>597100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IFERROR(VLOOKUP(B320,input_597100!L:R,7,FALSE),VLOOKUP(tables_597100!C320,input_597100!A:H,8,FALSE))</f>
        <v>97000</v>
      </c>
      <c r="P320" s="43">
        <f t="shared" ca="1" si="13"/>
        <v>6.6666666666625497E-4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customHeight="1" x14ac:dyDescent="0.15">
      <c r="A321" s="2" t="str">
        <f ca="1">input_597100!A$2</f>
        <v>597100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IFERROR(VLOOKUP(B321,input_597100!L:R,7,FALSE),VLOOKUP(tables_597100!C321,input_597100!A:H,8,FALSE))</f>
        <v>97000</v>
      </c>
      <c r="P321" s="43">
        <f t="shared" ca="1" si="13"/>
        <v>6.6666666666625497E-4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customHeight="1" x14ac:dyDescent="0.15">
      <c r="A322" s="2" t="str">
        <f ca="1">input_597100!A$2</f>
        <v>597100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IFERROR(VLOOKUP(B322,input_597100!L:R,7,FALSE),VLOOKUP(tables_597100!C322,input_597100!A:H,8,FALSE))</f>
        <v>97000</v>
      </c>
      <c r="P322" s="43">
        <f t="shared" ref="P322:P355" ca="1" si="23">O322/SUM(O:O)</f>
        <v>6.6666666666625497E-4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customHeight="1" x14ac:dyDescent="0.15">
      <c r="A323" s="2" t="str">
        <f ca="1">input_597100!A$2</f>
        <v>597100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IFERROR(VLOOKUP(B323,input_597100!L:R,7,FALSE),VLOOKUP(tables_597100!C323,input_597100!A:H,8,FALSE))</f>
        <v>97000</v>
      </c>
      <c r="P323" s="43">
        <f t="shared" ca="1" si="23"/>
        <v>6.6666666666625497E-4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customHeight="1" x14ac:dyDescent="0.15">
      <c r="A324" s="2" t="str">
        <f ca="1">input_597100!A$2</f>
        <v>597100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IFERROR(VLOOKUP(B324,input_597100!L:R,7,FALSE),VLOOKUP(tables_597100!C324,input_597100!A:H,8,FALSE))</f>
        <v>1241785.71429</v>
      </c>
      <c r="P324" s="43">
        <f t="shared" ca="1" si="23"/>
        <v>8.5346097202009148E-3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customHeight="1" x14ac:dyDescent="0.15">
      <c r="A325" s="2" t="str">
        <f ca="1">input_597100!A$2</f>
        <v>597100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IFERROR(VLOOKUP(B325,input_597100!L:R,7,FALSE),VLOOKUP(tables_597100!C325,input_597100!A:H,8,FALSE))</f>
        <v>142500</v>
      </c>
      <c r="P325" s="43">
        <f t="shared" ca="1" si="23"/>
        <v>9.7938144329836425E-4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customHeight="1" x14ac:dyDescent="0.15">
      <c r="A326" s="2" t="str">
        <f ca="1">input_597100!A$2</f>
        <v>597100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IFERROR(VLOOKUP(B326,input_597100!L:R,7,FALSE),VLOOKUP(tables_597100!C326,input_597100!A:H,8,FALSE))</f>
        <v>1241785.71429</v>
      </c>
      <c r="P326" s="43">
        <f t="shared" ca="1" si="23"/>
        <v>8.5346097202009148E-3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customHeight="1" x14ac:dyDescent="0.15">
      <c r="A327" s="2" t="str">
        <f ca="1">input_597100!A$2</f>
        <v>597100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IFERROR(VLOOKUP(B327,input_597100!L:R,7,FALSE),VLOOKUP(tables_597100!C327,input_597100!A:H,8,FALSE))</f>
        <v>142500</v>
      </c>
      <c r="P327" s="43">
        <f t="shared" ca="1" si="23"/>
        <v>9.7938144329836425E-4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customHeight="1" x14ac:dyDescent="0.15">
      <c r="A328" s="2" t="str">
        <f ca="1">input_597100!A$2</f>
        <v>597100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 ca="1">IFERROR(VLOOKUP(B328,input_597100!L:R,7,FALSE),VLOOKUP(tables_597100!C328,input_597100!A:H,8,FALSE))</f>
        <v>97000</v>
      </c>
      <c r="P328" s="43">
        <f t="shared" ca="1" si="23"/>
        <v>6.6666666666625497E-4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customHeight="1" x14ac:dyDescent="0.15">
      <c r="A329" s="2" t="str">
        <f ca="1">input_597100!A$2</f>
        <v>597100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IFERROR(VLOOKUP(B329,input_597100!L:R,7,FALSE),VLOOKUP(tables_597100!C329,input_597100!A:H,8,FALSE))</f>
        <v>97000</v>
      </c>
      <c r="P329" s="43">
        <f t="shared" ca="1" si="23"/>
        <v>6.6666666666625497E-4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customHeight="1" x14ac:dyDescent="0.15">
      <c r="A330" s="2" t="str">
        <f ca="1">input_597100!A$2</f>
        <v>597100</v>
      </c>
      <c r="B330" s="2">
        <v>1157</v>
      </c>
      <c r="C330" s="7" t="str">
        <f t="shared" si="25"/>
        <v>PremiumSS5R5only</v>
      </c>
      <c r="D330" s="8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IFERROR(VLOOKUP(B330,input_597100!L:R,7,FALSE),VLOOKUP(tables_597100!C330,input_597100!A:H,8,FALSE))</f>
        <v>97000</v>
      </c>
      <c r="P330" s="43">
        <f t="shared" ca="1" si="23"/>
        <v>6.6666666666625497E-4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customHeight="1" x14ac:dyDescent="0.15">
      <c r="A331" s="2" t="str">
        <f ca="1">input_597100!A$2</f>
        <v>597100</v>
      </c>
      <c r="B331" s="55">
        <v>1214</v>
      </c>
      <c r="C331" s="7" t="str">
        <f t="shared" ref="C331:C335" si="26">D331&amp;J331&amp;E331&amp;F331&amp;G331</f>
        <v>PremiumSS5R5only</v>
      </c>
      <c r="D331" s="8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IFERROR(VLOOKUP(B331,input_597100!L:R,7,FALSE),VLOOKUP(tables_597100!C331,input_597100!A:H,8,FALSE))</f>
        <v>97000</v>
      </c>
      <c r="P331" s="43">
        <f t="shared" ca="1" si="23"/>
        <v>6.6666666666625497E-4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customHeight="1" x14ac:dyDescent="0.15">
      <c r="A332" s="2" t="str">
        <f ca="1">input_597100!A$2</f>
        <v>597100</v>
      </c>
      <c r="B332" s="55">
        <v>1212</v>
      </c>
      <c r="C332" s="7" t="str">
        <f t="shared" si="26"/>
        <v>PremiumSS5R5only</v>
      </c>
      <c r="D332" s="8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IFERROR(VLOOKUP(B332,input_597100!L:R,7,FALSE),VLOOKUP(tables_597100!C332,input_597100!A:H,8,FALSE))</f>
        <v>97000</v>
      </c>
      <c r="P332" s="43">
        <f t="shared" ca="1" si="23"/>
        <v>6.6666666666625497E-4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customHeight="1" x14ac:dyDescent="0.15">
      <c r="A333" s="2" t="str">
        <f ca="1">input_597100!A$2</f>
        <v>597100</v>
      </c>
      <c r="B333" s="55">
        <v>1208</v>
      </c>
      <c r="C333" s="7" t="str">
        <f t="shared" si="26"/>
        <v>PremiumSS5R5only</v>
      </c>
      <c r="D333" s="8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IFERROR(VLOOKUP(B333,input_597100!L:R,7,FALSE),VLOOKUP(tables_597100!C333,input_597100!A:H,8,FALSE))</f>
        <v>97000</v>
      </c>
      <c r="P333" s="43">
        <f t="shared" ca="1" si="23"/>
        <v>6.6666666666625497E-4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customHeight="1" x14ac:dyDescent="0.15">
      <c r="A334" s="2" t="str">
        <f ca="1">input_597100!A$2</f>
        <v>597100</v>
      </c>
      <c r="B334" s="83">
        <v>1210</v>
      </c>
      <c r="C334" s="7" t="str">
        <f t="shared" si="26"/>
        <v>Premium4R3less</v>
      </c>
      <c r="D334" s="8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IFERROR(VLOOKUP(B334,input_597100!L:R,7,FALSE),VLOOKUP(tables_597100!C334,input_597100!A:H,8,FALSE))</f>
        <v>1241785.71429</v>
      </c>
      <c r="P334" s="43">
        <f t="shared" ca="1" si="23"/>
        <v>8.5346097202009148E-3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customHeight="1" x14ac:dyDescent="0.15">
      <c r="A335" s="2" t="str">
        <f ca="1">input_597100!A$2</f>
        <v>597100</v>
      </c>
      <c r="B335" s="55">
        <v>1211</v>
      </c>
      <c r="C335" s="7" t="str">
        <f t="shared" si="26"/>
        <v>Premium5R3less</v>
      </c>
      <c r="D335" s="8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IFERROR(VLOOKUP(B335,input_597100!L:R,7,FALSE),VLOOKUP(tables_597100!C335,input_597100!A:H,8,FALSE))</f>
        <v>142500</v>
      </c>
      <c r="P335" s="43">
        <f t="shared" ca="1" si="23"/>
        <v>9.7938144329836425E-4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customHeight="1" x14ac:dyDescent="0.15">
      <c r="A336" s="2" t="str">
        <f ca="1">input_597100!A$2</f>
        <v>597100</v>
      </c>
      <c r="B336" s="2">
        <v>1224</v>
      </c>
      <c r="C336" s="7" t="str">
        <f t="shared" ref="C336:C340" si="28">D336&amp;J336&amp;E336&amp;F336&amp;G336</f>
        <v>Premium4R3less</v>
      </c>
      <c r="D336" s="8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IFERROR(VLOOKUP(B336,input_597100!L:R,7,FALSE),VLOOKUP(tables_597100!C336,input_597100!A:H,8,FALSE))</f>
        <v>1241785.71429</v>
      </c>
      <c r="P336" s="43">
        <f t="shared" ca="1" si="23"/>
        <v>8.5346097202009148E-3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customHeight="1" x14ac:dyDescent="0.15">
      <c r="A337" s="2" t="str">
        <f ca="1">input_597100!A$2</f>
        <v>597100</v>
      </c>
      <c r="B337" s="2">
        <v>1225</v>
      </c>
      <c r="C337" s="7" t="str">
        <f t="shared" si="28"/>
        <v>Premium5R3less</v>
      </c>
      <c r="D337" s="8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IFERROR(VLOOKUP(B337,input_597100!L:R,7,FALSE),VLOOKUP(tables_597100!C337,input_597100!A:H,8,FALSE))</f>
        <v>142500</v>
      </c>
      <c r="P337" s="43">
        <f t="shared" ca="1" si="23"/>
        <v>9.7938144329836425E-4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customHeight="1" x14ac:dyDescent="0.15">
      <c r="A338" s="2" t="str">
        <f ca="1">input_597100!A$2</f>
        <v>597100</v>
      </c>
      <c r="B338" s="2">
        <v>1226</v>
      </c>
      <c r="C338" s="7" t="str">
        <f t="shared" si="28"/>
        <v>PremiumSS5R5only</v>
      </c>
      <c r="D338" s="8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IFERROR(VLOOKUP(B338,input_597100!L:R,7,FALSE),VLOOKUP(tables_597100!C338,input_597100!A:H,8,FALSE))</f>
        <v>97000</v>
      </c>
      <c r="P338" s="43">
        <f t="shared" ca="1" si="23"/>
        <v>6.6666666666625497E-4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customHeight="1" x14ac:dyDescent="0.15">
      <c r="A339" s="2" t="str">
        <f ca="1">input_597100!A$2</f>
        <v>597100</v>
      </c>
      <c r="B339" s="2">
        <v>1228</v>
      </c>
      <c r="C339" s="7" t="str">
        <f t="shared" si="28"/>
        <v>PremiumSS5R5only</v>
      </c>
      <c r="D339" s="8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IFERROR(VLOOKUP(B339,input_597100!L:R,7,FALSE),VLOOKUP(tables_597100!C339,input_597100!A:H,8,FALSE))</f>
        <v>97000</v>
      </c>
      <c r="P339" s="43">
        <f t="shared" ca="1" si="23"/>
        <v>6.6666666666625497E-4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customHeight="1" x14ac:dyDescent="0.15">
      <c r="A340" s="2" t="str">
        <f ca="1">input_597100!A$2</f>
        <v>597100</v>
      </c>
      <c r="B340" s="2">
        <v>1230</v>
      </c>
      <c r="C340" s="7" t="str">
        <f t="shared" si="28"/>
        <v>PremiumSS5R5only</v>
      </c>
      <c r="D340" s="8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IFERROR(VLOOKUP(B340,input_597100!L:R,7,FALSE),VLOOKUP(tables_597100!C340,input_597100!A:H,8,FALSE))</f>
        <v>97000</v>
      </c>
      <c r="P340" s="43">
        <f t="shared" ca="1" si="23"/>
        <v>6.6666666666625497E-4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customHeight="1" x14ac:dyDescent="0.15">
      <c r="A341" s="2" t="str">
        <f ca="1">input_597100!A$2</f>
        <v>597100</v>
      </c>
      <c r="B341" s="88">
        <v>1244</v>
      </c>
      <c r="C341" s="7" t="str">
        <f t="shared" ref="C341:C342" si="30">D341&amp;J341&amp;E341&amp;F341&amp;G341</f>
        <v>PremiumSS5R5only</v>
      </c>
      <c r="D341" s="8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IFERROR(VLOOKUP(B341,input_597100!L:R,7,FALSE),VLOOKUP(tables_597100!C341,input_597100!A:H,8,FALSE))</f>
        <v>97000</v>
      </c>
      <c r="P341" s="43">
        <f t="shared" ca="1" si="23"/>
        <v>6.6666666666625497E-4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customHeight="1" x14ac:dyDescent="0.15">
      <c r="A342" s="2" t="str">
        <f ca="1">input_597100!A$2</f>
        <v>597100</v>
      </c>
      <c r="B342" s="88">
        <v>1246</v>
      </c>
      <c r="C342" s="7" t="str">
        <f t="shared" si="30"/>
        <v>PremiumSS5R5only</v>
      </c>
      <c r="D342" s="8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IFERROR(VLOOKUP(B342,input_597100!L:R,7,FALSE),VLOOKUP(tables_597100!C342,input_597100!A:H,8,FALSE))</f>
        <v>97000</v>
      </c>
      <c r="P342" s="43">
        <f t="shared" ca="1" si="23"/>
        <v>6.6666666666625497E-4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customHeight="1" x14ac:dyDescent="0.15">
      <c r="A343" s="2" t="str">
        <f ca="1">input_597100!A$2</f>
        <v>597100</v>
      </c>
      <c r="B343" s="88">
        <v>1248</v>
      </c>
      <c r="C343" s="7" t="str">
        <f t="shared" ref="C343:C345" si="32">D343&amp;J343&amp;E343&amp;F343&amp;G343</f>
        <v>Premium4R3less</v>
      </c>
      <c r="D343" s="8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IFERROR(VLOOKUP(B343,input_597100!L:R,7,FALSE),VLOOKUP(tables_597100!C343,input_597100!A:H,8,FALSE))</f>
        <v>1241785.71429</v>
      </c>
      <c r="P343" s="43">
        <f t="shared" ca="1" si="23"/>
        <v>8.5346097202009148E-3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customHeight="1" x14ac:dyDescent="0.15">
      <c r="A344" s="2" t="str">
        <f ca="1">input_597100!A$2</f>
        <v>597100</v>
      </c>
      <c r="B344" s="88">
        <v>1249</v>
      </c>
      <c r="C344" s="7" t="str">
        <f t="shared" si="32"/>
        <v>Premium5R3less</v>
      </c>
      <c r="D344" s="8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IFERROR(VLOOKUP(B344,input_597100!L:R,7,FALSE),VLOOKUP(tables_597100!C344,input_597100!A:H,8,FALSE))</f>
        <v>142500</v>
      </c>
      <c r="P344" s="43">
        <f t="shared" ca="1" si="23"/>
        <v>9.7938144329836425E-4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customHeight="1" x14ac:dyDescent="0.15">
      <c r="A345" s="2" t="str">
        <f ca="1">input_597100!A$2</f>
        <v>597100</v>
      </c>
      <c r="B345" s="88">
        <v>1250</v>
      </c>
      <c r="C345" s="7" t="str">
        <f t="shared" si="32"/>
        <v>PremiumSS5R5only</v>
      </c>
      <c r="D345" s="8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 ca="1">IFERROR(VLOOKUP(B345,input_597100!L:R,7,FALSE),VLOOKUP(tables_597100!C345,input_597100!A:H,8,FALSE))</f>
        <v>97000</v>
      </c>
      <c r="P345" s="43">
        <f t="shared" ca="1" si="23"/>
        <v>6.6666666666625497E-4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customHeight="1" x14ac:dyDescent="0.15">
      <c r="A346" s="2" t="str">
        <f ca="1">input_597100!A$2</f>
        <v>597100</v>
      </c>
      <c r="B346" s="90">
        <v>1260</v>
      </c>
      <c r="C346" s="7" t="str">
        <f t="shared" ref="C346" si="34">D346&amp;J346&amp;E346&amp;F346&amp;G346</f>
        <v>PremiumSS5R5only</v>
      </c>
      <c r="D346" s="8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IFERROR(VLOOKUP(B346,input_597100!L:R,7,FALSE),VLOOKUP(tables_597100!C346,input_597100!A:H,8,FALSE))</f>
        <v>97000</v>
      </c>
      <c r="P346" s="43">
        <f t="shared" ca="1" si="23"/>
        <v>6.6666666666625497E-4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customHeight="1" x14ac:dyDescent="0.15">
      <c r="A347" s="2" t="str">
        <f ca="1">input_597100!A$2</f>
        <v>597100</v>
      </c>
      <c r="B347" s="90">
        <v>1262</v>
      </c>
      <c r="C347" s="7" t="str">
        <f t="shared" ref="C347:C350" si="36">D347&amp;J347&amp;E347&amp;F347&amp;G347</f>
        <v>PremiumSS5R5only</v>
      </c>
      <c r="D347" s="87" t="str">
        <f t="shared" ref="D347:D350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IFERROR(VLOOKUP(B347,input_597100!L:R,7,FALSE),VLOOKUP(tables_597100!C347,input_597100!A:H,8,FALSE))</f>
        <v>97000</v>
      </c>
      <c r="P347" s="43">
        <f t="shared" ca="1" si="23"/>
        <v>6.6666666666625497E-4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customHeight="1" x14ac:dyDescent="0.15">
      <c r="A348" s="2" t="str">
        <f ca="1">input_597100!A$2</f>
        <v>597100</v>
      </c>
      <c r="B348" s="90">
        <v>1264</v>
      </c>
      <c r="C348" s="7" t="str">
        <f t="shared" si="36"/>
        <v>PremiumSS5R5only</v>
      </c>
      <c r="D348" s="8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IFERROR(VLOOKUP(B348,input_597100!L:R,7,FALSE),VLOOKUP(tables_597100!C348,input_597100!A:H,8,FALSE))</f>
        <v>97000</v>
      </c>
      <c r="P348" s="43">
        <f t="shared" ca="1" si="23"/>
        <v>6.6666666666625497E-4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customHeight="1" x14ac:dyDescent="0.15">
      <c r="A349" s="2" t="str">
        <f ca="1">input_597100!A$2</f>
        <v>597100</v>
      </c>
      <c r="B349" s="90">
        <v>1266</v>
      </c>
      <c r="C349" s="7" t="str">
        <f t="shared" si="36"/>
        <v>Premium4R3less</v>
      </c>
      <c r="D349" s="8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IFERROR(VLOOKUP(B349,input_597100!L:R,7,FALSE),VLOOKUP(tables_597100!C349,input_597100!A:H,8,FALSE))</f>
        <v>1241785.71429</v>
      </c>
      <c r="P349" s="43">
        <f t="shared" ca="1" si="23"/>
        <v>8.5346097202009148E-3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customHeight="1" x14ac:dyDescent="0.15">
      <c r="A350" s="2" t="str">
        <f ca="1">input_597100!A$2</f>
        <v>597100</v>
      </c>
      <c r="B350" s="90">
        <v>1267</v>
      </c>
      <c r="C350" s="7" t="str">
        <f t="shared" si="36"/>
        <v>Premium5R3less</v>
      </c>
      <c r="D350" s="8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IFERROR(VLOOKUP(B350,input_597100!L:R,7,FALSE),VLOOKUP(tables_597100!C350,input_597100!A:H,8,FALSE))</f>
        <v>142500</v>
      </c>
      <c r="P350" s="43">
        <f t="shared" ca="1" si="23"/>
        <v>9.7938144329836425E-4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customHeight="1" x14ac:dyDescent="0.15">
      <c r="A351" s="2" t="str">
        <f ca="1">input_597100!A$2</f>
        <v>597100</v>
      </c>
      <c r="B351" s="90">
        <v>1332</v>
      </c>
      <c r="C351" s="7" t="str">
        <f t="shared" ref="C351:C353" si="38">D351&amp;J351&amp;E351&amp;F351&amp;G351</f>
        <v>PremiumSS5R5only</v>
      </c>
      <c r="D351" s="87" t="str">
        <f t="shared" ref="D351:D353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 ca="1">IFERROR(VLOOKUP(B351,input_597100!L:R,7,FALSE),VLOOKUP(tables_597100!C351,input_597100!A:H,8,FALSE))</f>
        <v>97000</v>
      </c>
      <c r="P351" s="43">
        <f t="shared" ca="1" si="23"/>
        <v>6.6666666666625497E-4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customHeight="1" x14ac:dyDescent="0.15">
      <c r="A352" s="2" t="str">
        <f ca="1">input_597100!A$2</f>
        <v>597100</v>
      </c>
      <c r="B352" s="90">
        <v>1334</v>
      </c>
      <c r="C352" s="7" t="str">
        <f t="shared" si="38"/>
        <v>Premium4R3less</v>
      </c>
      <c r="D352" s="87" t="str">
        <f t="shared" si="39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IFERROR(VLOOKUP(B352,input_597100!L:R,7,FALSE),VLOOKUP(tables_597100!C352,input_597100!A:H,8,FALSE))</f>
        <v>1241785.71429</v>
      </c>
      <c r="P352" s="43">
        <f t="shared" ca="1" si="23"/>
        <v>8.5346097202009148E-3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customHeight="1" x14ac:dyDescent="0.15">
      <c r="A353" s="2" t="str">
        <f ca="1">input_597100!A$2</f>
        <v>597100</v>
      </c>
      <c r="B353" s="90">
        <v>1335</v>
      </c>
      <c r="C353" s="7" t="str">
        <f t="shared" si="38"/>
        <v>Premium5R3less</v>
      </c>
      <c r="D353" s="87" t="str">
        <f t="shared" si="39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IFERROR(VLOOKUP(B353,input_597100!L:R,7,FALSE),VLOOKUP(tables_597100!C353,input_597100!A:H,8,FALSE))</f>
        <v>142500</v>
      </c>
      <c r="P353" s="43">
        <f t="shared" ca="1" si="23"/>
        <v>9.7938144329836425E-4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customHeight="1" x14ac:dyDescent="0.15">
      <c r="A354" s="2" t="str">
        <f ca="1">input_597100!A$2</f>
        <v>597100</v>
      </c>
      <c r="B354" s="90">
        <v>1336</v>
      </c>
      <c r="C354" s="7" t="str">
        <f>D354&amp;J354&amp;E354&amp;F354&amp;G354</f>
        <v>PremiumSS5R5only</v>
      </c>
      <c r="D354" s="87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IFERROR(VLOOKUP(B354,input_597100!L:R,7,FALSE),VLOOKUP(tables_597100!C354,input_597100!A:H,8,FALSE))</f>
        <v>97000</v>
      </c>
      <c r="P354" s="43">
        <f t="shared" ca="1" si="23"/>
        <v>6.6666666666625497E-4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customHeight="1" x14ac:dyDescent="0.15">
      <c r="A355" s="2" t="str">
        <f ca="1">input_597100!A$2</f>
        <v>597100</v>
      </c>
      <c r="B355" s="90">
        <v>1338</v>
      </c>
      <c r="C355" s="7" t="str">
        <f>D355&amp;J355&amp;E355&amp;F355&amp;G355</f>
        <v>PremiumSS5R5only</v>
      </c>
      <c r="D355" s="87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IFERROR(VLOOKUP(B355,input_597100!L:R,7,FALSE),VLOOKUP(tables_597100!C355,input_597100!A:H,8,FALSE))</f>
        <v>97000</v>
      </c>
      <c r="P355" s="43">
        <f t="shared" ca="1" si="23"/>
        <v>6.6666666666625497E-4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  <row r="356" spans="1:22" ht="21" customHeight="1" x14ac:dyDescent="0.15">
      <c r="A356" s="2" t="str">
        <f ca="1">input_597100!A$2</f>
        <v>597100</v>
      </c>
      <c r="B356" s="5">
        <v>1381</v>
      </c>
      <c r="C356" s="7" t="str">
        <f>D356&amp;J356&amp;E356&amp;F356&amp;G356</f>
        <v>Premium4R3less</v>
      </c>
      <c r="D356" s="87" t="str">
        <f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2">
        <f ca="1">IFERROR(VLOOKUP(B356,input_597100!L:R,7,FALSE),VLOOKUP(tables_597100!C356,input_597100!A:H,8,FALSE))</f>
        <v>1241785.71429</v>
      </c>
      <c r="P356" s="43">
        <f t="shared" ref="P356" ca="1" si="40">O356/SUM(O:O)</f>
        <v>8.5346097202009148E-3</v>
      </c>
      <c r="Q356" s="29">
        <v>1</v>
      </c>
      <c r="R356" s="29">
        <v>0</v>
      </c>
      <c r="S356" s="29">
        <v>0</v>
      </c>
      <c r="T356" s="29">
        <v>0</v>
      </c>
      <c r="U356" s="29">
        <v>0</v>
      </c>
      <c r="V356" s="29">
        <v>1</v>
      </c>
    </row>
    <row r="357" spans="1:22" ht="21" customHeight="1" x14ac:dyDescent="0.15">
      <c r="A357" s="2" t="str">
        <f ca="1">input_597100!A$2</f>
        <v>597100</v>
      </c>
      <c r="B357" s="5">
        <v>1382</v>
      </c>
      <c r="C357" s="7" t="str">
        <f t="shared" ref="C357:C360" si="41">D357&amp;J357&amp;E357&amp;F357&amp;G357</f>
        <v>Premium5R3less</v>
      </c>
      <c r="D357" s="87" t="str">
        <f t="shared" ref="D357:D360" si="42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2">
        <f ca="1">IFERROR(VLOOKUP(B357,input_597100!L:R,7,FALSE),VLOOKUP(tables_597100!C357,input_597100!A:H,8,FALSE))</f>
        <v>142500</v>
      </c>
      <c r="P357" s="43">
        <f t="shared" ref="P357:P360" ca="1" si="43">O357/SUM(O:O)</f>
        <v>9.7938144329836425E-4</v>
      </c>
      <c r="Q357" s="29">
        <v>1</v>
      </c>
      <c r="R357" s="29">
        <v>0</v>
      </c>
      <c r="S357" s="29">
        <v>0</v>
      </c>
      <c r="T357" s="29">
        <v>0</v>
      </c>
      <c r="U357" s="29">
        <v>0</v>
      </c>
      <c r="V357" s="29">
        <v>1</v>
      </c>
    </row>
    <row r="358" spans="1:22" ht="21" customHeight="1" x14ac:dyDescent="0.15">
      <c r="A358" s="2" t="str">
        <f ca="1">input_597100!A$2</f>
        <v>597100</v>
      </c>
      <c r="B358" s="5">
        <v>1383</v>
      </c>
      <c r="C358" s="7" t="str">
        <f t="shared" si="41"/>
        <v>PremiumSS5R5only</v>
      </c>
      <c r="D358" s="87" t="str">
        <f t="shared" si="42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2">
        <f ca="1">IFERROR(VLOOKUP(B358,input_597100!L:R,7,FALSE),VLOOKUP(tables_597100!C358,input_597100!A:H,8,FALSE))</f>
        <v>97000</v>
      </c>
      <c r="P358" s="43">
        <f t="shared" ca="1" si="43"/>
        <v>6.6666666666625497E-4</v>
      </c>
      <c r="Q358" s="29">
        <v>1</v>
      </c>
      <c r="R358" s="29">
        <v>0</v>
      </c>
      <c r="S358" s="29">
        <v>0</v>
      </c>
      <c r="T358" s="29">
        <v>0</v>
      </c>
      <c r="U358" s="29">
        <v>0</v>
      </c>
      <c r="V358" s="29">
        <v>1</v>
      </c>
    </row>
    <row r="359" spans="1:22" ht="21" customHeight="1" x14ac:dyDescent="0.15">
      <c r="A359" s="2" t="str">
        <f ca="1">input_597100!A$2</f>
        <v>597100</v>
      </c>
      <c r="B359" s="5">
        <v>1385</v>
      </c>
      <c r="C359" s="7" t="str">
        <f t="shared" si="41"/>
        <v>PremiumSS5R5only</v>
      </c>
      <c r="D359" s="87" t="str">
        <f t="shared" si="42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2">
        <f ca="1">IFERROR(VLOOKUP(B359,input_597100!L:R,7,FALSE),VLOOKUP(tables_597100!C359,input_597100!A:H,8,FALSE))</f>
        <v>97000</v>
      </c>
      <c r="P359" s="43">
        <f t="shared" ca="1" si="43"/>
        <v>6.6666666666625497E-4</v>
      </c>
      <c r="Q359" s="29">
        <v>1</v>
      </c>
      <c r="R359" s="29">
        <v>0</v>
      </c>
      <c r="S359" s="29">
        <v>0</v>
      </c>
      <c r="T359" s="29">
        <v>0</v>
      </c>
      <c r="U359" s="29">
        <v>0</v>
      </c>
      <c r="V359" s="29">
        <v>1</v>
      </c>
    </row>
    <row r="360" spans="1:22" ht="21" customHeight="1" x14ac:dyDescent="0.15">
      <c r="A360" s="2" t="str">
        <f ca="1">input_597100!A$2</f>
        <v>597100</v>
      </c>
      <c r="B360" s="5">
        <v>1387</v>
      </c>
      <c r="C360" s="7" t="str">
        <f t="shared" si="41"/>
        <v>PremiumSS5R5only</v>
      </c>
      <c r="D360" s="87" t="str">
        <f t="shared" si="42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2">
        <f ca="1">IFERROR(VLOOKUP(B360,input_597100!L:R,7,FALSE),VLOOKUP(tables_597100!C360,input_597100!A:H,8,FALSE))</f>
        <v>97000</v>
      </c>
      <c r="P360" s="43">
        <f t="shared" ca="1" si="43"/>
        <v>6.6666666666625497E-4</v>
      </c>
      <c r="Q360" s="29">
        <v>1</v>
      </c>
      <c r="R360" s="29">
        <v>0</v>
      </c>
      <c r="S360" s="29">
        <v>0</v>
      </c>
      <c r="T360" s="29">
        <v>0</v>
      </c>
      <c r="U360" s="29">
        <v>0</v>
      </c>
      <c r="V360" s="29">
        <v>1</v>
      </c>
    </row>
  </sheetData>
  <autoFilter ref="A1:V355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66"/>
  <sheetViews>
    <sheetView showGridLines="0" zoomScale="75" zoomScaleNormal="75" zoomScalePageLayoutView="75" workbookViewId="0">
      <pane ySplit="1" topLeftCell="A17" activePane="bottomLeft" state="frozen"/>
      <selection activeCell="P347" sqref="P347"/>
      <selection pane="bottomLeft" activeCell="J2" sqref="J2:J6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>
        <v>597101</v>
      </c>
      <c r="B2" s="107">
        <v>733</v>
      </c>
      <c r="C2" s="7" t="str">
        <f t="shared" ref="C2" si="0">D2&amp;J2&amp;E2&amp;F2&amp;G2</f>
        <v>PremiumSS6R5only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2">
        <v>100</v>
      </c>
      <c r="P2" s="43">
        <f t="shared" ref="P2:P33" si="2">O2/SUM(O:O)</f>
        <v>1.5384615384615385E-2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>
        <v>597101</v>
      </c>
      <c r="B3" s="107">
        <v>735</v>
      </c>
      <c r="C3" s="7" t="str">
        <f t="shared" ref="C3:C4" si="3">D3&amp;J3&amp;E3&amp;F3&amp;G3</f>
        <v>PremiumSS6R5only</v>
      </c>
      <c r="D3" s="7" t="str">
        <f t="shared" ref="D3:D4" si="4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v>100</v>
      </c>
      <c r="P3" s="43">
        <f t="shared" si="2"/>
        <v>1.5384615384615385E-2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>
        <v>597101</v>
      </c>
      <c r="B4" s="108">
        <v>743</v>
      </c>
      <c r="C4" s="7" t="str">
        <f t="shared" si="3"/>
        <v>PremiumSS6R5only</v>
      </c>
      <c r="D4" s="7" t="str">
        <f t="shared" si="4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42">
        <v>100</v>
      </c>
      <c r="P4" s="43">
        <f t="shared" si="2"/>
        <v>1.5384615384615385E-2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>
        <v>597101</v>
      </c>
      <c r="B5" s="108">
        <v>745</v>
      </c>
      <c r="C5" s="7" t="str">
        <f t="shared" ref="C5:C13" si="5">D5&amp;J5&amp;E5&amp;F5&amp;G5</f>
        <v>PremiumSS6R5only</v>
      </c>
      <c r="D5" s="7" t="str">
        <f t="shared" ref="D5:D13" si="6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42">
        <v>100</v>
      </c>
      <c r="P5" s="43">
        <f t="shared" si="2"/>
        <v>1.5384615384615385E-2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>
        <v>597101</v>
      </c>
      <c r="B6" s="108">
        <v>809</v>
      </c>
      <c r="C6" s="7" t="str">
        <f t="shared" si="5"/>
        <v>PremiumSS6R5only</v>
      </c>
      <c r="D6" s="7" t="str">
        <f t="shared" si="6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2">
        <v>100</v>
      </c>
      <c r="P6" s="43">
        <f t="shared" si="2"/>
        <v>1.5384615384615385E-2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>
        <v>597101</v>
      </c>
      <c r="B7" s="108">
        <v>811</v>
      </c>
      <c r="C7" s="7" t="str">
        <f t="shared" si="5"/>
        <v>PremiumSS6R5only</v>
      </c>
      <c r="D7" s="7" t="str">
        <f t="shared" si="6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100</v>
      </c>
      <c r="P7" s="43">
        <f t="shared" si="2"/>
        <v>1.5384615384615385E-2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>
        <v>597101</v>
      </c>
      <c r="B8" s="108">
        <v>813</v>
      </c>
      <c r="C8" s="7" t="str">
        <f t="shared" si="5"/>
        <v>PremiumSS6R5only</v>
      </c>
      <c r="D8" s="7" t="str">
        <f t="shared" si="6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v>100</v>
      </c>
      <c r="P8" s="43">
        <f t="shared" si="2"/>
        <v>1.5384615384615385E-2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>
        <v>597101</v>
      </c>
      <c r="B9" s="108">
        <v>815</v>
      </c>
      <c r="C9" s="7" t="str">
        <f t="shared" si="5"/>
        <v>PremiumSS6R5only</v>
      </c>
      <c r="D9" s="7" t="str">
        <f t="shared" si="6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42">
        <v>100</v>
      </c>
      <c r="P9" s="43">
        <f t="shared" si="2"/>
        <v>1.5384615384615385E-2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>
        <v>597101</v>
      </c>
      <c r="B10" s="108">
        <v>817</v>
      </c>
      <c r="C10" s="7" t="str">
        <f t="shared" si="5"/>
        <v>PremiumSS6R5only</v>
      </c>
      <c r="D10" s="7" t="str">
        <f t="shared" si="6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42">
        <v>100</v>
      </c>
      <c r="P10" s="43">
        <f t="shared" si="2"/>
        <v>1.5384615384615385E-2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>
        <v>597101</v>
      </c>
      <c r="B11" s="108">
        <v>819</v>
      </c>
      <c r="C11" s="7" t="str">
        <f t="shared" si="5"/>
        <v>PremiumSS6R5only</v>
      </c>
      <c r="D11" s="7" t="str">
        <f t="shared" si="6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42">
        <v>100</v>
      </c>
      <c r="P11" s="43">
        <f t="shared" si="2"/>
        <v>1.5384615384615385E-2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>
        <v>597101</v>
      </c>
      <c r="B12" s="108">
        <v>821</v>
      </c>
      <c r="C12" s="7" t="str">
        <f t="shared" si="5"/>
        <v>PremiumSS6R5only</v>
      </c>
      <c r="D12" s="7" t="str">
        <f t="shared" si="6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42">
        <v>100</v>
      </c>
      <c r="P12" s="43">
        <f t="shared" si="2"/>
        <v>1.5384615384615385E-2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>
        <v>597101</v>
      </c>
      <c r="B13" s="108">
        <v>823</v>
      </c>
      <c r="C13" s="7" t="str">
        <f t="shared" si="5"/>
        <v>PremiumSS6R5only</v>
      </c>
      <c r="D13" s="7" t="str">
        <f t="shared" si="6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42">
        <v>100</v>
      </c>
      <c r="P13" s="43">
        <f t="shared" si="2"/>
        <v>1.5384615384615385E-2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>
        <v>597101</v>
      </c>
      <c r="B14" s="108">
        <v>825</v>
      </c>
      <c r="C14" s="7" t="str">
        <f t="shared" ref="C14" si="7">D14&amp;J14&amp;E14&amp;F14&amp;G14</f>
        <v>PremiumSS6R5only</v>
      </c>
      <c r="D14" s="7" t="str">
        <f t="shared" ref="D14" si="8">IF(OR(I14="PremiumSS",I14="PremiumSSw"),"PremiumSS",IF(I14="PremiumSSS",I14,IF(I14="PremiumW",IF(J14=5,"premium",I14),"Premium")))</f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42">
        <v>100</v>
      </c>
      <c r="P14" s="43">
        <f t="shared" si="2"/>
        <v>1.5384615384615385E-2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>
        <v>597101</v>
      </c>
      <c r="B15" s="108">
        <v>827</v>
      </c>
      <c r="C15" s="7" t="str">
        <f t="shared" ref="C15:C66" si="9">D15&amp;J15&amp;E15&amp;F15&amp;G15</f>
        <v>PremiumSS6R5only</v>
      </c>
      <c r="D15" s="7" t="str">
        <f t="shared" ref="D15:D66" si="10">IF(OR(I15="PremiumSS",I15="PremiumSSw"),"PremiumSS",IF(I15="PremiumSSS",I15,IF(I15="PremiumW",IF(J15=5,"premium",I15),"Premium")))</f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光神しき彩雲龍 アルフヘイム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dragon</v>
      </c>
      <c r="N15" s="7" t="str">
        <f>VLOOKUP(B15,[1]characters!$A:$G,7,FALSE)</f>
        <v>男性</v>
      </c>
      <c r="O15" s="42">
        <v>100</v>
      </c>
      <c r="P15" s="43">
        <f t="shared" si="2"/>
        <v>1.5384615384615385E-2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>
        <v>597101</v>
      </c>
      <c r="B16" s="108">
        <v>829</v>
      </c>
      <c r="C16" s="7" t="str">
        <f t="shared" si="9"/>
        <v>PremiumSS6R5only</v>
      </c>
      <c r="D16" s="7" t="str">
        <f t="shared" si="10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銃刃乱舞の怪猫 クルミ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42">
        <v>100</v>
      </c>
      <c r="P16" s="43">
        <f t="shared" si="2"/>
        <v>1.5384615384615385E-2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>
        <v>597101</v>
      </c>
      <c r="B17" s="108">
        <v>830</v>
      </c>
      <c r="C17" s="7" t="str">
        <f t="shared" si="9"/>
        <v>PremiumSS6R5only</v>
      </c>
      <c r="D17" s="7" t="str">
        <f t="shared" si="10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清兆の天狗礫 フウガ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balance</v>
      </c>
      <c r="M17" s="7" t="str">
        <f>VLOOKUP(B17,[1]characters!$A:$M,13,FALSE)</f>
        <v>unknown</v>
      </c>
      <c r="N17" s="7" t="str">
        <f>VLOOKUP(B17,[1]characters!$A:$G,7,FALSE)</f>
        <v>男性</v>
      </c>
      <c r="O17" s="42">
        <v>100</v>
      </c>
      <c r="P17" s="43">
        <f t="shared" si="2"/>
        <v>1.5384615384615385E-2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>
        <v>597101</v>
      </c>
      <c r="B18" s="108">
        <v>833</v>
      </c>
      <c r="C18" s="7" t="str">
        <f t="shared" si="9"/>
        <v>PremiumSS6R5only</v>
      </c>
      <c r="D18" s="7" t="str">
        <f t="shared" si="10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維界の復世神 ヴィシュヌ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42">
        <v>100</v>
      </c>
      <c r="P18" s="43">
        <f t="shared" si="2"/>
        <v>1.5384615384615385E-2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ht="21" customHeight="1" x14ac:dyDescent="0.15">
      <c r="A19" s="2">
        <v>597101</v>
      </c>
      <c r="B19" s="108">
        <v>835</v>
      </c>
      <c r="C19" s="7" t="str">
        <f t="shared" si="9"/>
        <v>PremiumSS6R5only</v>
      </c>
      <c r="D19" s="7" t="str">
        <f t="shared" si="10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流奏の鳳楽神 サラスヴァティ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god</v>
      </c>
      <c r="N19" s="7" t="str">
        <f>VLOOKUP(B19,[1]characters!$A:$G,7,FALSE)</f>
        <v>男性</v>
      </c>
      <c r="O19" s="42">
        <v>100</v>
      </c>
      <c r="P19" s="43">
        <f t="shared" si="2"/>
        <v>1.5384615384615385E-2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>
        <v>597101</v>
      </c>
      <c r="B20" s="108">
        <v>838</v>
      </c>
      <c r="C20" s="7" t="str">
        <f t="shared" si="9"/>
        <v>PremiumSS6R5only</v>
      </c>
      <c r="D20" s="7" t="str">
        <f t="shared" si="10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巌鋼の爆烈志士 近藤勇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男性</v>
      </c>
      <c r="O20" s="42">
        <v>100</v>
      </c>
      <c r="P20" s="43">
        <f t="shared" si="2"/>
        <v>1.5384615384615385E-2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>
        <v>597101</v>
      </c>
      <c r="B21" s="108">
        <v>839</v>
      </c>
      <c r="C21" s="7" t="str">
        <f t="shared" si="9"/>
        <v>PremiumSS6R5only</v>
      </c>
      <c r="D21" s="7" t="str">
        <f t="shared" si="10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真覇の勇魔剣 ランスロット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2">
        <v>100</v>
      </c>
      <c r="P21" s="43">
        <f t="shared" si="2"/>
        <v>1.5384615384615385E-2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>
        <v>597101</v>
      </c>
      <c r="B22" s="108">
        <v>849</v>
      </c>
      <c r="C22" s="7" t="str">
        <f t="shared" si="9"/>
        <v>PremiumSS6R5only</v>
      </c>
      <c r="D22" s="7" t="str">
        <f t="shared" si="10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燦然たる天使 メタトロン・ラヴァ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男性</v>
      </c>
      <c r="O22" s="42">
        <v>100</v>
      </c>
      <c r="P22" s="43">
        <f t="shared" si="2"/>
        <v>1.5384615384615385E-2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>
        <v>597101</v>
      </c>
      <c r="B23" s="108">
        <v>851</v>
      </c>
      <c r="C23" s="7" t="str">
        <f t="shared" si="9"/>
        <v>PremiumSS6R5only</v>
      </c>
      <c r="D23" s="7" t="str">
        <f t="shared" si="10"/>
        <v>PremiumSS</v>
      </c>
      <c r="E23" s="7" t="str">
        <f>IF(COUNTIF('R6追加前'!A:A,B23)=0,IF(OR(I23="PremiumSS",I23="PremiumSSw"),"R5only","R3less"),"")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寡黙なる凶王 バアル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42">
        <v>100</v>
      </c>
      <c r="P23" s="43">
        <f t="shared" si="2"/>
        <v>1.5384615384615385E-2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>
        <v>597101</v>
      </c>
      <c r="B24" s="108">
        <v>867</v>
      </c>
      <c r="C24" s="7" t="str">
        <f t="shared" si="9"/>
        <v>PremiumSS6R5only</v>
      </c>
      <c r="D24" s="7" t="str">
        <f t="shared" si="10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華麗なる作戦 白雪姫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42">
        <v>100</v>
      </c>
      <c r="P24" s="43">
        <f t="shared" si="2"/>
        <v>1.5384615384615385E-2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>
        <v>597101</v>
      </c>
      <c r="B25" s="108">
        <v>869</v>
      </c>
      <c r="C25" s="7" t="str">
        <f t="shared" si="9"/>
        <v>PremiumSS6R5only</v>
      </c>
      <c r="D25" s="7" t="str">
        <f t="shared" si="10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 xml:space="preserve">マスター･アラジンと殲滅機兵LAMP 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42">
        <v>100</v>
      </c>
      <c r="P25" s="43">
        <f t="shared" si="2"/>
        <v>1.5384615384615385E-2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>
        <v>597101</v>
      </c>
      <c r="B26" s="108">
        <v>896</v>
      </c>
      <c r="C26" s="7" t="str">
        <f t="shared" si="9"/>
        <v>PremiumSS6R5only</v>
      </c>
      <c r="D26" s="7" t="str">
        <f t="shared" si="10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天衣紡ぐ麗鶴 ハヅル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42">
        <v>100</v>
      </c>
      <c r="P26" s="43">
        <f t="shared" si="2"/>
        <v>1.5384615384615385E-2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>
        <v>597101</v>
      </c>
      <c r="B27" s="108">
        <v>897</v>
      </c>
      <c r="C27" s="7" t="str">
        <f t="shared" si="9"/>
        <v>PremiumSS6R5only</v>
      </c>
      <c r="D27" s="7" t="str">
        <f t="shared" si="10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天跳兎破 イナバ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42">
        <v>100</v>
      </c>
      <c r="P27" s="43">
        <f t="shared" si="2"/>
        <v>1.5384615384615385E-2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>
        <v>597101</v>
      </c>
      <c r="B28" s="108">
        <v>938</v>
      </c>
      <c r="C28" s="7" t="str">
        <f t="shared" si="9"/>
        <v>PremiumSS6R5only</v>
      </c>
      <c r="D28" s="7" t="str">
        <f t="shared" si="10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炎焔宿す革命皇 ナポレオン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100</v>
      </c>
      <c r="P28" s="43">
        <f t="shared" si="2"/>
        <v>1.5384615384615385E-2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>
        <v>597101</v>
      </c>
      <c r="B29" s="108">
        <v>942</v>
      </c>
      <c r="C29" s="7" t="str">
        <f t="shared" si="9"/>
        <v>PremiumSS6R5only</v>
      </c>
      <c r="D29" s="7" t="str">
        <f t="shared" si="10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華戯たる傲妃 アントワネット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100</v>
      </c>
      <c r="P29" s="43">
        <f t="shared" si="2"/>
        <v>1.5384615384615385E-2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>
        <v>597101</v>
      </c>
      <c r="B30" s="108">
        <v>944</v>
      </c>
      <c r="C30" s="7" t="str">
        <f t="shared" si="9"/>
        <v>PremiumSS6R5only</v>
      </c>
      <c r="D30" s="7" t="str">
        <f t="shared" si="10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王敬の執行者 サンソン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100</v>
      </c>
      <c r="P30" s="43">
        <f t="shared" si="2"/>
        <v>1.5384615384615385E-2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>
        <v>597101</v>
      </c>
      <c r="B31" s="108">
        <v>962</v>
      </c>
      <c r="C31" s="7" t="str">
        <f t="shared" si="9"/>
        <v>PremiumSS6R5only</v>
      </c>
      <c r="D31" s="7" t="str">
        <f t="shared" si="10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酩酊する大宴龍 ヤマタノオロチ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green</v>
      </c>
      <c r="L31" s="7" t="str">
        <f>VLOOKUP(B31,[1]characters!$A:$K,11,FALSE)</f>
        <v>hp</v>
      </c>
      <c r="M31" s="7" t="str">
        <f>VLOOKUP(B31,[1]characters!$A:$M,13,FALSE)</f>
        <v>dragon</v>
      </c>
      <c r="N31" s="7" t="str">
        <f>VLOOKUP(B31,[1]characters!$A:$G,7,FALSE)</f>
        <v>男性</v>
      </c>
      <c r="O31" s="42">
        <v>100</v>
      </c>
      <c r="P31" s="43">
        <f t="shared" si="2"/>
        <v>1.5384615384615385E-2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>
        <v>597101</v>
      </c>
      <c r="B32" s="108">
        <v>963</v>
      </c>
      <c r="C32" s="7" t="str">
        <f t="shared" si="9"/>
        <v>PremiumSS6R5only</v>
      </c>
      <c r="D32" s="7" t="str">
        <f t="shared" si="10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天蛇の閃皇貴魔 アスタロト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yellow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100</v>
      </c>
      <c r="P32" s="43">
        <f t="shared" si="2"/>
        <v>1.5384615384615385E-2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>
        <v>597101</v>
      </c>
      <c r="B33" s="108">
        <v>964</v>
      </c>
      <c r="C33" s="7" t="str">
        <f t="shared" si="9"/>
        <v>PremiumSS6R5only</v>
      </c>
      <c r="D33" s="7" t="str">
        <f t="shared" si="10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海破雨散の海龍 リヴァイアサン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blue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男性</v>
      </c>
      <c r="O33" s="42">
        <v>100</v>
      </c>
      <c r="P33" s="43">
        <f t="shared" si="2"/>
        <v>1.5384615384615385E-2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>
        <v>597101</v>
      </c>
      <c r="B34" s="108">
        <v>965</v>
      </c>
      <c r="C34" s="7" t="str">
        <f t="shared" si="9"/>
        <v>PremiumSS6R5only</v>
      </c>
      <c r="D34" s="7" t="str">
        <f t="shared" si="10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穿熱の緋龍王 キング・ドライグ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男性</v>
      </c>
      <c r="O34" s="42">
        <v>100</v>
      </c>
      <c r="P34" s="43">
        <f t="shared" ref="P34:P65" si="11">O34/SUM(O:O)</f>
        <v>1.5384615384615385E-2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>
        <v>597101</v>
      </c>
      <c r="B35" s="108">
        <v>966</v>
      </c>
      <c r="C35" s="7" t="str">
        <f t="shared" si="9"/>
        <v>PremiumSS6R5only</v>
      </c>
      <c r="D35" s="7" t="str">
        <f t="shared" si="10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麗嵐の颯愛志士 土方歳三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男性</v>
      </c>
      <c r="O35" s="42">
        <v>100</v>
      </c>
      <c r="P35" s="43">
        <f t="shared" si="11"/>
        <v>1.5384615384615385E-2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>
        <v>597101</v>
      </c>
      <c r="B36" s="108">
        <v>967</v>
      </c>
      <c r="C36" s="7" t="str">
        <f t="shared" si="9"/>
        <v>PremiumSS6R5only</v>
      </c>
      <c r="D36" s="7" t="str">
        <f t="shared" si="10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討滅の凶妖志士 斎藤一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yellow</v>
      </c>
      <c r="L36" s="7" t="str">
        <f>VLOOKUP(B36,[1]characters!$A:$K,11,FALSE)</f>
        <v>technical</v>
      </c>
      <c r="M36" s="7" t="str">
        <f>VLOOKUP(B36,[1]characters!$A:$M,13,FALSE)</f>
        <v>human</v>
      </c>
      <c r="N36" s="7" t="str">
        <f>VLOOKUP(B36,[1]characters!$A:$G,7,FALSE)</f>
        <v>男性</v>
      </c>
      <c r="O36" s="42">
        <v>100</v>
      </c>
      <c r="P36" s="43">
        <f t="shared" si="11"/>
        <v>1.5384615384615385E-2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>
        <v>597101</v>
      </c>
      <c r="B37" s="108">
        <v>968</v>
      </c>
      <c r="C37" s="7" t="str">
        <f t="shared" si="9"/>
        <v>PremiumSS6R5only</v>
      </c>
      <c r="D37" s="7" t="str">
        <f t="shared" si="10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夢謀の愚幻者 フール</v>
      </c>
      <c r="I37" s="7" t="str">
        <f>VLOOKUP(B37,[1]characters!$A:$J,10,FALSE)</f>
        <v>PremiumSS</v>
      </c>
      <c r="J37" s="7">
        <f>VLOOKUP(B37,[1]characters!$A:$I,9,FALSE)</f>
        <v>6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god</v>
      </c>
      <c r="N37" s="7" t="str">
        <f>VLOOKUP(B37,[1]characters!$A:$G,7,FALSE)</f>
        <v>男性</v>
      </c>
      <c r="O37" s="42">
        <v>100</v>
      </c>
      <c r="P37" s="43">
        <f t="shared" si="11"/>
        <v>1.5384615384615385E-2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>
        <v>597101</v>
      </c>
      <c r="B38" s="108">
        <v>969</v>
      </c>
      <c r="C38" s="7" t="str">
        <f t="shared" si="9"/>
        <v>PremiumSS6R5only</v>
      </c>
      <c r="D38" s="7" t="str">
        <f t="shared" si="10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超排撃の焔砲巨神 ユミル</v>
      </c>
      <c r="I38" s="7" t="str">
        <f>VLOOKUP(B38,[1]characters!$A:$J,10,FALSE)</f>
        <v>PremiumSS</v>
      </c>
      <c r="J38" s="7">
        <f>VLOOKUP(B38,[1]characters!$A:$I,9,FALSE)</f>
        <v>6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machine</v>
      </c>
      <c r="N38" s="7" t="str">
        <f>VLOOKUP(B38,[1]characters!$A:$G,7,FALSE)</f>
        <v>男性</v>
      </c>
      <c r="O38" s="42">
        <v>100</v>
      </c>
      <c r="P38" s="43">
        <f t="shared" si="11"/>
        <v>1.5384615384615385E-2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>
        <v>597101</v>
      </c>
      <c r="B39" s="108">
        <v>970</v>
      </c>
      <c r="C39" s="7" t="str">
        <f t="shared" si="9"/>
        <v>PremiumSS6R5only</v>
      </c>
      <c r="D39" s="7" t="str">
        <f t="shared" si="10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目醒の鋏牙 ラプンツェル</v>
      </c>
      <c r="I39" s="7" t="str">
        <f>VLOOKUP(B39,[1]characters!$A:$J,10,FALSE)</f>
        <v>PremiumSS</v>
      </c>
      <c r="J39" s="7">
        <f>VLOOKUP(B39,[1]characters!$A:$I,9,FALSE)</f>
        <v>6</v>
      </c>
      <c r="K39" s="7" t="str">
        <f>VLOOKUP(B39,[1]characters!$A:$H,8,FALSE)</f>
        <v>yellow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100</v>
      </c>
      <c r="P39" s="43">
        <f t="shared" si="11"/>
        <v>1.5384615384615385E-2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>
        <v>597101</v>
      </c>
      <c r="B40" s="108">
        <v>971</v>
      </c>
      <c r="C40" s="7" t="str">
        <f t="shared" si="9"/>
        <v>PremiumSS6R5only</v>
      </c>
      <c r="D40" s="7" t="str">
        <f t="shared" si="10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機獅蛮勇 ブレイブリー・ライオン</v>
      </c>
      <c r="I40" s="7" t="str">
        <f>VLOOKUP(B40,[1]characters!$A:$J,10,FALSE)</f>
        <v>PremiumSS</v>
      </c>
      <c r="J40" s="7">
        <f>VLOOKUP(B40,[1]characters!$A:$I,9,FALSE)</f>
        <v>6</v>
      </c>
      <c r="K40" s="7" t="str">
        <f>VLOOKUP(B40,[1]characters!$A:$H,8,FALSE)</f>
        <v>yellow</v>
      </c>
      <c r="L40" s="7" t="str">
        <f>VLOOKUP(B40,[1]characters!$A:$K,11,FALSE)</f>
        <v>hp</v>
      </c>
      <c r="M40" s="7" t="str">
        <f>VLOOKUP(B40,[1]characters!$A:$M,13,FALSE)</f>
        <v>animal</v>
      </c>
      <c r="N40" s="7" t="str">
        <f>VLOOKUP(B40,[1]characters!$A:$G,7,FALSE)</f>
        <v>男性</v>
      </c>
      <c r="O40" s="42">
        <v>100</v>
      </c>
      <c r="P40" s="43">
        <f t="shared" si="11"/>
        <v>1.5384615384615385E-2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>
        <v>597101</v>
      </c>
      <c r="B41" s="108">
        <v>1013</v>
      </c>
      <c r="C41" s="7" t="str">
        <f t="shared" si="9"/>
        <v>PremiumSS6R5only</v>
      </c>
      <c r="D41" s="7" t="str">
        <f t="shared" si="10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聖陽昇る緋洸神 ラー</v>
      </c>
      <c r="I41" s="7" t="str">
        <f>VLOOKUP(B41,[1]characters!$A:$J,10,FALSE)</f>
        <v>PremiumSS</v>
      </c>
      <c r="J41" s="7">
        <f>VLOOKUP(B41,[1]characters!$A:$I,9,FALSE)</f>
        <v>6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2">
        <v>100</v>
      </c>
      <c r="P41" s="43">
        <f t="shared" si="11"/>
        <v>1.5384615384615385E-2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>
        <v>597101</v>
      </c>
      <c r="B42" s="108">
        <v>1015</v>
      </c>
      <c r="C42" s="7" t="str">
        <f t="shared" si="9"/>
        <v>PremiumSS6R5only</v>
      </c>
      <c r="D42" s="7" t="str">
        <f t="shared" si="10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繁翠なる蘇聖神 イシス</v>
      </c>
      <c r="I42" s="7" t="str">
        <f>VLOOKUP(B42,[1]characters!$A:$J,10,FALSE)</f>
        <v>PremiumSS</v>
      </c>
      <c r="J42" s="7">
        <f>VLOOKUP(B42,[1]characters!$A:$I,9,FALSE)</f>
        <v>6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v>100</v>
      </c>
      <c r="P42" s="43">
        <f t="shared" si="11"/>
        <v>1.5384615384615385E-2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>
        <v>597101</v>
      </c>
      <c r="B43" s="108">
        <v>1019</v>
      </c>
      <c r="C43" s="7" t="str">
        <f t="shared" si="9"/>
        <v>PremiumSS6R5only</v>
      </c>
      <c r="D43" s="7" t="str">
        <f t="shared" si="10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愛鈴鳴る寵猫神 バステト</v>
      </c>
      <c r="I43" s="7" t="str">
        <f>VLOOKUP(B43,[1]characters!$A:$J,10,FALSE)</f>
        <v>PremiumSS</v>
      </c>
      <c r="J43" s="7">
        <f>VLOOKUP(B43,[1]characters!$A:$I,9,FALSE)</f>
        <v>6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v>100</v>
      </c>
      <c r="P43" s="43">
        <f t="shared" si="11"/>
        <v>1.5384615384615385E-2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>
        <v>597101</v>
      </c>
      <c r="B44" s="108">
        <v>1029</v>
      </c>
      <c r="C44" s="7" t="str">
        <f t="shared" si="9"/>
        <v>PremiumSS6R5only</v>
      </c>
      <c r="D44" s="7" t="str">
        <f t="shared" si="10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天賦の軍才 牛若丸</v>
      </c>
      <c r="I44" s="7" t="str">
        <f>VLOOKUP(B44,[1]characters!$A:$J,10,FALSE)</f>
        <v>PremiumSS</v>
      </c>
      <c r="J44" s="7">
        <f>VLOOKUP(B44,[1]characters!$A:$I,9,FALSE)</f>
        <v>6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2">
        <v>100</v>
      </c>
      <c r="P44" s="43">
        <f t="shared" si="11"/>
        <v>1.5384615384615385E-2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>
        <v>597101</v>
      </c>
      <c r="B45" s="108">
        <v>1032</v>
      </c>
      <c r="C45" s="7" t="str">
        <f t="shared" si="9"/>
        <v>PremiumSS6R5only</v>
      </c>
      <c r="D45" s="7" t="str">
        <f t="shared" si="10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彩気煥発の創作人 紫式部</v>
      </c>
      <c r="I45" s="7" t="str">
        <f>VLOOKUP(B45,[1]characters!$A:$J,10,FALSE)</f>
        <v>PremiumSS</v>
      </c>
      <c r="J45" s="7">
        <f>VLOOKUP(B45,[1]characters!$A:$I,9,FALSE)</f>
        <v>6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2">
        <v>100</v>
      </c>
      <c r="P45" s="43">
        <f t="shared" si="11"/>
        <v>1.5384615384615385E-2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>
        <v>597101</v>
      </c>
      <c r="B46" s="108">
        <v>1034</v>
      </c>
      <c r="C46" s="7" t="str">
        <f t="shared" si="9"/>
        <v>PremiumSS6R5only</v>
      </c>
      <c r="D46" s="7" t="str">
        <f t="shared" si="10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爛漫なる随筆家 清少納言</v>
      </c>
      <c r="I46" s="7" t="str">
        <f>VLOOKUP(B46,[1]characters!$A:$J,10,FALSE)</f>
        <v>PremiumSS</v>
      </c>
      <c r="J46" s="7">
        <f>VLOOKUP(B46,[1]characters!$A:$I,9,FALSE)</f>
        <v>6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2">
        <v>100</v>
      </c>
      <c r="P46" s="43">
        <f t="shared" si="11"/>
        <v>1.5384615384615385E-2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>
        <v>597101</v>
      </c>
      <c r="B47" s="108">
        <v>1070</v>
      </c>
      <c r="C47" s="7" t="str">
        <f t="shared" si="9"/>
        <v>PremiumSS6R5only</v>
      </c>
      <c r="D47" s="7" t="str">
        <f t="shared" si="10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駆脳する造愛 イシュタル</v>
      </c>
      <c r="I47" s="7" t="str">
        <f>VLOOKUP(B47,[1]characters!$A:$J,10,FALSE)</f>
        <v>PremiumSS</v>
      </c>
      <c r="J47" s="7">
        <f>VLOOKUP(B47,[1]characters!$A:$I,9,FALSE)</f>
        <v>6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2">
        <v>100</v>
      </c>
      <c r="P47" s="43">
        <f t="shared" si="11"/>
        <v>1.5384615384615385E-2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>
        <v>597101</v>
      </c>
      <c r="B48" s="108">
        <v>1075</v>
      </c>
      <c r="C48" s="7" t="str">
        <f t="shared" si="9"/>
        <v>PremiumSS6R5only</v>
      </c>
      <c r="D48" s="7" t="str">
        <f t="shared" si="10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虚塔の神王 マルドゥク</v>
      </c>
      <c r="I48" s="7" t="str">
        <f>VLOOKUP(B48,[1]characters!$A:$J,10,FALSE)</f>
        <v>PremiumSS</v>
      </c>
      <c r="J48" s="7">
        <f>VLOOKUP(B48,[1]characters!$A:$I,9,FALSE)</f>
        <v>6</v>
      </c>
      <c r="K48" s="7" t="str">
        <f>VLOOKUP(B48,[1]characters!$A:$H,8,FALSE)</f>
        <v>yellow</v>
      </c>
      <c r="L48" s="7" t="str">
        <f>VLOOKUP(B48,[1]characters!$A:$K,11,FALSE)</f>
        <v>technical</v>
      </c>
      <c r="M48" s="7" t="str">
        <f>VLOOKUP(B48,[1]characters!$A:$M,13,FALSE)</f>
        <v>god</v>
      </c>
      <c r="N48" s="7" t="str">
        <f>VLOOKUP(B48,[1]characters!$A:$G,7,FALSE)</f>
        <v>男性</v>
      </c>
      <c r="O48" s="42">
        <v>100</v>
      </c>
      <c r="P48" s="43">
        <f t="shared" si="11"/>
        <v>1.5384615384615385E-2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>
        <v>597101</v>
      </c>
      <c r="B49" s="108">
        <v>1101</v>
      </c>
      <c r="C49" s="7" t="str">
        <f t="shared" si="9"/>
        <v>PremiumSS6R5only</v>
      </c>
      <c r="D49" s="7" t="str">
        <f t="shared" si="10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浮世万物の筆刻者 北斎</v>
      </c>
      <c r="I49" s="7" t="str">
        <f>VLOOKUP(B49,[1]characters!$A:$J,10,FALSE)</f>
        <v>PremiumSS</v>
      </c>
      <c r="J49" s="7">
        <f>VLOOKUP(B49,[1]characters!$A:$I,9,FALSE)</f>
        <v>6</v>
      </c>
      <c r="K49" s="7" t="str">
        <f>VLOOKUP(B49,[1]characters!$A:$H,8,FALSE)</f>
        <v>red</v>
      </c>
      <c r="L49" s="7" t="str">
        <f>VLOOKUP(B49,[1]characters!$A:$K,11,FALSE)</f>
        <v>attack</v>
      </c>
      <c r="M49" s="7" t="str">
        <f>VLOOKUP(B49,[1]characters!$A:$M,13,FALSE)</f>
        <v>human</v>
      </c>
      <c r="N49" s="7" t="str">
        <f>VLOOKUP(B49,[1]characters!$A:$G,7,FALSE)</f>
        <v>不明</v>
      </c>
      <c r="O49" s="42">
        <v>100</v>
      </c>
      <c r="P49" s="43">
        <f t="shared" si="11"/>
        <v>1.5384615384615385E-2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>
        <v>597101</v>
      </c>
      <c r="B50" s="108">
        <v>1107</v>
      </c>
      <c r="C50" s="7" t="str">
        <f t="shared" si="9"/>
        <v>PremiumSS6R5only</v>
      </c>
      <c r="D50" s="7" t="str">
        <f t="shared" si="10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天浄の鮮風 ラファエロ</v>
      </c>
      <c r="I50" s="7" t="str">
        <f>VLOOKUP(B50,[1]characters!$A:$J,10,FALSE)</f>
        <v>PremiumSS</v>
      </c>
      <c r="J50" s="7">
        <f>VLOOKUP(B50,[1]characters!$A:$I,9,FALSE)</f>
        <v>6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2">
        <v>100</v>
      </c>
      <c r="P50" s="43">
        <f t="shared" si="11"/>
        <v>1.5384615384615385E-2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>
        <v>597101</v>
      </c>
      <c r="B51" s="108">
        <v>1140</v>
      </c>
      <c r="C51" s="7" t="str">
        <f t="shared" si="9"/>
        <v>PremiumSS6R5only</v>
      </c>
      <c r="D51" s="7" t="str">
        <f t="shared" si="10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綱紀粛正の傑璧 趙雲</v>
      </c>
      <c r="I51" s="7" t="str">
        <f>VLOOKUP(B51,[1]characters!$A:$J,10,FALSE)</f>
        <v>PremiumSS</v>
      </c>
      <c r="J51" s="7">
        <f>VLOOKUP(B51,[1]characters!$A:$I,9,FALSE)</f>
        <v>6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samurai</v>
      </c>
      <c r="N51" s="7" t="str">
        <f>VLOOKUP(B51,[1]characters!$A:$G,7,FALSE)</f>
        <v>不明</v>
      </c>
      <c r="O51" s="42">
        <v>100</v>
      </c>
      <c r="P51" s="43">
        <f t="shared" si="11"/>
        <v>1.5384615384615385E-2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>
        <v>597101</v>
      </c>
      <c r="B52" s="108">
        <v>1142</v>
      </c>
      <c r="C52" s="7" t="str">
        <f t="shared" si="9"/>
        <v>PremiumSS6R5only</v>
      </c>
      <c r="D52" s="7" t="str">
        <f t="shared" si="10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蒼明な機鋼士 月英</v>
      </c>
      <c r="I52" s="7" t="str">
        <f>VLOOKUP(B52,[1]characters!$A:$J,10,FALSE)</f>
        <v>PremiumSS</v>
      </c>
      <c r="J52" s="7">
        <f>VLOOKUP(B52,[1]characters!$A:$I,9,FALSE)</f>
        <v>6</v>
      </c>
      <c r="K52" s="7" t="str">
        <f>VLOOKUP(B52,[1]characters!$A:$H,8,FALSE)</f>
        <v>blue</v>
      </c>
      <c r="L52" s="7" t="str">
        <f>VLOOKUP(B52,[1]characters!$A:$K,11,FALSE)</f>
        <v>balance</v>
      </c>
      <c r="M52" s="7" t="str">
        <f>VLOOKUP(B52,[1]characters!$A:$M,13,FALSE)</f>
        <v>human</v>
      </c>
      <c r="N52" s="7" t="str">
        <f>VLOOKUP(B52,[1]characters!$A:$G,7,FALSE)</f>
        <v>不明</v>
      </c>
      <c r="O52" s="42">
        <v>100</v>
      </c>
      <c r="P52" s="43">
        <f t="shared" si="11"/>
        <v>1.5384615384615385E-2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>
        <v>597101</v>
      </c>
      <c r="B53" s="108">
        <v>1156</v>
      </c>
      <c r="C53" s="7" t="str">
        <f t="shared" si="9"/>
        <v>PremiumSS6R5only</v>
      </c>
      <c r="D53" s="7" t="str">
        <f t="shared" si="10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麗逆の武操神 ドゥルガー</v>
      </c>
      <c r="I53" s="7" t="str">
        <f>VLOOKUP(B53,[1]characters!$A:$J,10,FALSE)</f>
        <v>PremiumSS</v>
      </c>
      <c r="J53" s="7">
        <f>VLOOKUP(B53,[1]characters!$A:$I,9,FALSE)</f>
        <v>6</v>
      </c>
      <c r="K53" s="7" t="str">
        <f>VLOOKUP(B53,[1]characters!$A:$H,8,FALSE)</f>
        <v>blue</v>
      </c>
      <c r="L53" s="7" t="str">
        <f>VLOOKUP(B53,[1]characters!$A:$K,11,FALSE)</f>
        <v>balance</v>
      </c>
      <c r="M53" s="7" t="str">
        <f>VLOOKUP(B53,[1]characters!$A:$M,13,FALSE)</f>
        <v>god</v>
      </c>
      <c r="N53" s="7" t="str">
        <f>VLOOKUP(B53,[1]characters!$A:$G,7,FALSE)</f>
        <v>不明</v>
      </c>
      <c r="O53" s="42">
        <v>100</v>
      </c>
      <c r="P53" s="43">
        <f t="shared" si="11"/>
        <v>1.5384615384615385E-2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>
        <v>597101</v>
      </c>
      <c r="B54" s="107">
        <v>1158</v>
      </c>
      <c r="C54" s="7" t="str">
        <f t="shared" si="9"/>
        <v>PremiumSS6R5only</v>
      </c>
      <c r="D54" s="7" t="str">
        <f t="shared" si="10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天英の雷霆神 インドラ</v>
      </c>
      <c r="I54" s="7" t="str">
        <f>VLOOKUP(B54,[1]characters!$A:$J,10,FALSE)</f>
        <v>PremiumSS</v>
      </c>
      <c r="J54" s="7">
        <f>VLOOKUP(B54,[1]characters!$A:$I,9,FALSE)</f>
        <v>6</v>
      </c>
      <c r="K54" s="7" t="str">
        <f>VLOOKUP(B54,[1]characters!$A:$H,8,FALSE)</f>
        <v>yellow</v>
      </c>
      <c r="L54" s="7" t="str">
        <f>VLOOKUP(B54,[1]characters!$A:$K,11,FALSE)</f>
        <v>attack</v>
      </c>
      <c r="M54" s="7" t="str">
        <f>VLOOKUP(B54,[1]characters!$A:$M,13,FALSE)</f>
        <v>god</v>
      </c>
      <c r="N54" s="7" t="str">
        <f>VLOOKUP(B54,[1]characters!$A:$G,7,FALSE)</f>
        <v>不明</v>
      </c>
      <c r="O54" s="42">
        <v>100</v>
      </c>
      <c r="P54" s="43">
        <f t="shared" si="11"/>
        <v>1.5384615384615385E-2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>
        <v>597101</v>
      </c>
      <c r="B55" s="107">
        <v>1209</v>
      </c>
      <c r="C55" s="7" t="str">
        <f t="shared" si="9"/>
        <v>PremiumSS6R5only</v>
      </c>
      <c r="D55" s="7" t="str">
        <f t="shared" si="10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刹那の過罰神 ネメシス</v>
      </c>
      <c r="I55" s="7" t="str">
        <f>VLOOKUP(B55,[1]characters!$A:$J,10,FALSE)</f>
        <v>PremiumSS</v>
      </c>
      <c r="J55" s="7">
        <f>VLOOKUP(B55,[1]characters!$A:$I,9,FALSE)</f>
        <v>6</v>
      </c>
      <c r="K55" s="7" t="str">
        <f>VLOOKUP(B55,[1]characters!$A:$H,8,FALSE)</f>
        <v>red</v>
      </c>
      <c r="L55" s="7" t="str">
        <f>VLOOKUP(B55,[1]characters!$A:$K,11,FALSE)</f>
        <v>hp</v>
      </c>
      <c r="M55" s="7" t="str">
        <f>VLOOKUP(B55,[1]characters!$A:$M,13,FALSE)</f>
        <v>god</v>
      </c>
      <c r="N55" s="7">
        <f>VLOOKUP(B55,[1]characters!$A:$G,7,FALSE)</f>
        <v>0</v>
      </c>
      <c r="O55" s="42">
        <v>100</v>
      </c>
      <c r="P55" s="43">
        <f t="shared" si="11"/>
        <v>1.5384615384615385E-2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>
        <v>597101</v>
      </c>
      <c r="B56" s="107">
        <v>1213</v>
      </c>
      <c r="C56" s="7" t="str">
        <f t="shared" si="9"/>
        <v>PremiumSS6R5only</v>
      </c>
      <c r="D56" s="7" t="str">
        <f t="shared" si="10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能洪の永地神 クロノス</v>
      </c>
      <c r="I56" s="7" t="str">
        <f>VLOOKUP(B56,[1]characters!$A:$J,10,FALSE)</f>
        <v>PremiumSS</v>
      </c>
      <c r="J56" s="7">
        <f>VLOOKUP(B56,[1]characters!$A:$I,9,FALSE)</f>
        <v>6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god</v>
      </c>
      <c r="N56" s="7">
        <f>VLOOKUP(B56,[1]characters!$A:$G,7,FALSE)</f>
        <v>0</v>
      </c>
      <c r="O56" s="42">
        <v>100</v>
      </c>
      <c r="P56" s="43">
        <f t="shared" si="11"/>
        <v>1.5384615384615385E-2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>
        <v>597101</v>
      </c>
      <c r="B57" s="107">
        <v>1227</v>
      </c>
      <c r="C57" s="7" t="str">
        <f t="shared" si="9"/>
        <v>PremiumSS6R5only</v>
      </c>
      <c r="D57" s="7" t="str">
        <f t="shared" si="10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欲望の占猟者 トルストイ</v>
      </c>
      <c r="I57" s="7" t="str">
        <f>VLOOKUP(B57,[1]characters!$A:$J,10,FALSE)</f>
        <v>PremiumSS</v>
      </c>
      <c r="J57" s="7">
        <f>VLOOKUP(B57,[1]characters!$A:$I,9,FALSE)</f>
        <v>6</v>
      </c>
      <c r="K57" s="7" t="str">
        <f>VLOOKUP(B57,[1]characters!$A:$H,8,FALSE)</f>
        <v>green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>
        <f>VLOOKUP(B57,[1]characters!$A:$G,7,FALSE)</f>
        <v>0</v>
      </c>
      <c r="O57" s="42">
        <v>100</v>
      </c>
      <c r="P57" s="43">
        <f t="shared" si="11"/>
        <v>1.5384615384615385E-2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>
        <v>597101</v>
      </c>
      <c r="B58" s="107">
        <v>1231</v>
      </c>
      <c r="C58" s="7" t="str">
        <f t="shared" si="9"/>
        <v>PremiumSS6R5only</v>
      </c>
      <c r="D58" s="7" t="str">
        <f t="shared" si="10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思索する愛猫 夏目漱石</v>
      </c>
      <c r="I58" s="7" t="str">
        <f>VLOOKUP(B58,[1]characters!$A:$J,10,FALSE)</f>
        <v>PremiumSS</v>
      </c>
      <c r="J58" s="7">
        <f>VLOOKUP(B58,[1]characters!$A:$I,9,FALSE)</f>
        <v>6</v>
      </c>
      <c r="K58" s="7" t="str">
        <f>VLOOKUP(B58,[1]characters!$A:$H,8,FALSE)</f>
        <v>yellow</v>
      </c>
      <c r="L58" s="7" t="str">
        <f>VLOOKUP(B58,[1]characters!$A:$K,11,FALSE)</f>
        <v>heal</v>
      </c>
      <c r="M58" s="7" t="str">
        <f>VLOOKUP(B58,[1]characters!$A:$M,13,FALSE)</f>
        <v>animal</v>
      </c>
      <c r="N58" s="7">
        <f>VLOOKUP(B58,[1]characters!$A:$G,7,FALSE)</f>
        <v>0</v>
      </c>
      <c r="O58" s="42">
        <v>100</v>
      </c>
      <c r="P58" s="43">
        <f t="shared" si="11"/>
        <v>1.5384615384615385E-2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>
        <v>597101</v>
      </c>
      <c r="B59" s="107">
        <v>1245</v>
      </c>
      <c r="C59" s="7" t="str">
        <f t="shared" si="9"/>
        <v>PremiumSS6R5only</v>
      </c>
      <c r="D59" s="7" t="str">
        <f t="shared" si="10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甲火の特殊忍 猿飛佐助</v>
      </c>
      <c r="I59" s="7" t="str">
        <f>VLOOKUP(B59,[1]characters!$A:$J,10,FALSE)</f>
        <v>PremiumSS</v>
      </c>
      <c r="J59" s="7">
        <f>VLOOKUP(B59,[1]characters!$A:$I,9,FALSE)</f>
        <v>6</v>
      </c>
      <c r="K59" s="7" t="str">
        <f>VLOOKUP(B59,[1]characters!$A:$H,8,FALSE)</f>
        <v>red</v>
      </c>
      <c r="L59" s="7" t="str">
        <f>VLOOKUP(B59,[1]characters!$A:$K,11,FALSE)</f>
        <v>attack</v>
      </c>
      <c r="M59" s="7" t="str">
        <f>VLOOKUP(B59,[1]characters!$A:$M,13,FALSE)</f>
        <v>human</v>
      </c>
      <c r="N59" s="7">
        <f>VLOOKUP(B59,[1]characters!$A:$G,7,FALSE)</f>
        <v>0</v>
      </c>
      <c r="O59" s="42">
        <v>100</v>
      </c>
      <c r="P59" s="43">
        <f t="shared" si="11"/>
        <v>1.5384615384615385E-2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>
        <v>597101</v>
      </c>
      <c r="B60" s="107">
        <v>1247</v>
      </c>
      <c r="C60" s="7" t="str">
        <f t="shared" si="9"/>
        <v>PremiumSS6R5only</v>
      </c>
      <c r="D60" s="7" t="str">
        <f t="shared" si="10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潜情のくノ一 望月千代女</v>
      </c>
      <c r="I60" s="7" t="str">
        <f>VLOOKUP(B60,[1]characters!$A:$J,10,FALSE)</f>
        <v>PremiumSS</v>
      </c>
      <c r="J60" s="7">
        <f>VLOOKUP(B60,[1]characters!$A:$I,9,FALSE)</f>
        <v>6</v>
      </c>
      <c r="K60" s="7" t="str">
        <f>VLOOKUP(B60,[1]characters!$A:$H,8,FALSE)</f>
        <v>green</v>
      </c>
      <c r="L60" s="7" t="str">
        <f>VLOOKUP(B60,[1]characters!$A:$K,11,FALSE)</f>
        <v>heal</v>
      </c>
      <c r="M60" s="7" t="str">
        <f>VLOOKUP(B60,[1]characters!$A:$M,13,FALSE)</f>
        <v>human</v>
      </c>
      <c r="N60" s="7">
        <f>VLOOKUP(B60,[1]characters!$A:$G,7,FALSE)</f>
        <v>0</v>
      </c>
      <c r="O60" s="42">
        <v>100</v>
      </c>
      <c r="P60" s="43">
        <f t="shared" si="11"/>
        <v>1.5384615384615385E-2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>
        <v>597101</v>
      </c>
      <c r="B61" s="107">
        <v>1261</v>
      </c>
      <c r="C61" s="7" t="str">
        <f t="shared" si="9"/>
        <v>PremiumSS6R5only</v>
      </c>
      <c r="D61" s="7" t="str">
        <f t="shared" si="10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燃雷の鎚撃 トール</v>
      </c>
      <c r="I61" s="7" t="str">
        <f>VLOOKUP(B61,[1]characters!$A:$J,10,FALSE)</f>
        <v>PremiumSS</v>
      </c>
      <c r="J61" s="7">
        <f>VLOOKUP(B61,[1]characters!$A:$I,9,FALSE)</f>
        <v>6</v>
      </c>
      <c r="K61" s="7" t="str">
        <f>VLOOKUP(B61,[1]characters!$A:$H,8,FALSE)</f>
        <v>red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42">
        <v>100</v>
      </c>
      <c r="P61" s="43">
        <f t="shared" si="11"/>
        <v>1.5384615384615385E-2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>
        <v>597101</v>
      </c>
      <c r="B62" s="107">
        <v>1265</v>
      </c>
      <c r="C62" s="7" t="str">
        <f t="shared" si="9"/>
        <v>PremiumSS6R5only</v>
      </c>
      <c r="D62" s="7" t="str">
        <f t="shared" si="10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静観する世限者 ウルズ</v>
      </c>
      <c r="I62" s="7" t="str">
        <f>VLOOKUP(B62,[1]characters!$A:$J,10,FALSE)</f>
        <v>PremiumSS</v>
      </c>
      <c r="J62" s="7">
        <f>VLOOKUP(B62,[1]characters!$A:$I,9,FALSE)</f>
        <v>6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god</v>
      </c>
      <c r="N62" s="7">
        <f>VLOOKUP(B62,[1]characters!$A:$G,7,FALSE)</f>
        <v>0</v>
      </c>
      <c r="O62" s="42">
        <v>100</v>
      </c>
      <c r="P62" s="43">
        <f t="shared" si="11"/>
        <v>1.5384615384615385E-2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>
        <v>597101</v>
      </c>
      <c r="B63" s="108">
        <v>1337</v>
      </c>
      <c r="C63" s="7" t="str">
        <f t="shared" si="9"/>
        <v>PremiumSS6R5only</v>
      </c>
      <c r="D63" s="7" t="str">
        <f t="shared" si="10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成命の綜父神 イザナギ</v>
      </c>
      <c r="I63" s="7" t="str">
        <f>VLOOKUP(B63,[1]characters!$A:$J,10,FALSE)</f>
        <v>PremiumSS</v>
      </c>
      <c r="J63" s="7">
        <f>VLOOKUP(B63,[1]characters!$A:$I,9,FALSE)</f>
        <v>6</v>
      </c>
      <c r="K63" s="7" t="str">
        <f>VLOOKUP(B63,[1]characters!$A:$H,8,FALSE)</f>
        <v>blue</v>
      </c>
      <c r="L63" s="7" t="str">
        <f>VLOOKUP(B63,[1]characters!$A:$K,11,FALSE)</f>
        <v>technical</v>
      </c>
      <c r="M63" s="7" t="str">
        <f>VLOOKUP(B63,[1]characters!$A:$M,13,FALSE)</f>
        <v>god</v>
      </c>
      <c r="N63" s="7">
        <f>VLOOKUP(B63,[1]characters!$A:$G,7,FALSE)</f>
        <v>0</v>
      </c>
      <c r="O63" s="42">
        <v>100</v>
      </c>
      <c r="P63" s="43">
        <f t="shared" si="11"/>
        <v>1.5384615384615385E-2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>
        <v>597101</v>
      </c>
      <c r="B64" s="108">
        <v>1339</v>
      </c>
      <c r="C64" s="7" t="str">
        <f t="shared" si="9"/>
        <v>PremiumSS6R5only</v>
      </c>
      <c r="D64" s="7" t="str">
        <f t="shared" si="10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復古の舞芸神 アメノウズメ</v>
      </c>
      <c r="I64" s="7" t="str">
        <f>VLOOKUP(B64,[1]characters!$A:$J,10,FALSE)</f>
        <v>PremiumSS</v>
      </c>
      <c r="J64" s="7">
        <f>VLOOKUP(B64,[1]characters!$A:$I,9,FALSE)</f>
        <v>6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god</v>
      </c>
      <c r="N64" s="7">
        <f>VLOOKUP(B64,[1]characters!$A:$G,7,FALSE)</f>
        <v>0</v>
      </c>
      <c r="O64" s="42">
        <v>100</v>
      </c>
      <c r="P64" s="43">
        <f t="shared" si="11"/>
        <v>1.5384615384615385E-2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>
        <v>597101</v>
      </c>
      <c r="B65" s="5">
        <v>1384</v>
      </c>
      <c r="C65" s="7" t="str">
        <f t="shared" si="9"/>
        <v>PremiumSS6R5only</v>
      </c>
      <c r="D65" s="7" t="str">
        <f t="shared" si="10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獲宝の航界者 シンドバッド</v>
      </c>
      <c r="I65" s="7" t="str">
        <f>VLOOKUP(B65,[1]characters!$A:$J,10,FALSE)</f>
        <v>PremiumSS</v>
      </c>
      <c r="J65" s="7">
        <f>VLOOKUP(B65,[1]characters!$A:$I,9,FALSE)</f>
        <v>6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hero</v>
      </c>
      <c r="N65" s="7">
        <f>VLOOKUP(B65,[1]characters!$A:$G,7,FALSE)</f>
        <v>0</v>
      </c>
      <c r="O65" s="42">
        <v>100</v>
      </c>
      <c r="P65" s="43">
        <f t="shared" si="11"/>
        <v>1.5384615384615385E-2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ht="21" customHeight="1" x14ac:dyDescent="0.15">
      <c r="A66" s="2">
        <v>597101</v>
      </c>
      <c r="B66" s="6">
        <v>1388</v>
      </c>
      <c r="C66" s="7" t="str">
        <f t="shared" si="9"/>
        <v>PremiumSS6R5only</v>
      </c>
      <c r="D66" s="7" t="str">
        <f t="shared" si="10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讃勇の銃士長 ダルタニャン</v>
      </c>
      <c r="I66" s="7" t="str">
        <f>VLOOKUP(B66,[1]characters!$A:$J,10,FALSE)</f>
        <v>PremiumSS</v>
      </c>
      <c r="J66" s="7">
        <f>VLOOKUP(B66,[1]characters!$A:$I,9,FALSE)</f>
        <v>6</v>
      </c>
      <c r="K66" s="7" t="str">
        <f>VLOOKUP(B66,[1]characters!$A:$H,8,FALSE)</f>
        <v>yellow</v>
      </c>
      <c r="L66" s="7" t="str">
        <f>VLOOKUP(B66,[1]characters!$A:$K,11,FALSE)</f>
        <v>attack</v>
      </c>
      <c r="M66" s="7" t="str">
        <f>VLOOKUP(B66,[1]characters!$A:$M,13,FALSE)</f>
        <v>hero</v>
      </c>
      <c r="N66" s="7">
        <f>VLOOKUP(B66,[1]characters!$A:$G,7,FALSE)</f>
        <v>0</v>
      </c>
      <c r="O66" s="42">
        <v>100</v>
      </c>
      <c r="P66" s="43">
        <f t="shared" ref="P66:P97" si="12">O66/SUM(O:O)</f>
        <v>1.5384615384615385E-2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</sheetData>
  <autoFilter ref="A1:V66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>
    <tabColor rgb="FF0000FF"/>
    <outlinePr summaryBelow="0" summaryRight="0"/>
  </sheetPr>
  <dimension ref="A1:V11"/>
  <sheetViews>
    <sheetView showGridLines="0" zoomScale="90" zoomScaleNormal="75" zoomScalePageLayoutView="75" workbookViewId="0">
      <pane ySplit="1" topLeftCell="A2" activePane="bottomLeft" state="frozen"/>
      <selection activeCell="P347" sqref="P347"/>
      <selection pane="bottomLeft" activeCell="H2" sqref="H2:H1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>
        <v>597103</v>
      </c>
      <c r="B2" s="108">
        <v>1073</v>
      </c>
      <c r="C2" s="7" t="str">
        <f t="shared" ref="C2:C7" si="0">D2&amp;J2&amp;E2&amp;F2&amp;G2</f>
        <v>PremiumSS6R5only</v>
      </c>
      <c r="D2" s="7" t="str">
        <f t="shared" ref="D2:D7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静穏なる獣勇 エンキドゥ</v>
      </c>
      <c r="I2" s="7" t="str">
        <f>VLOOKUP(B2,[1]characters!$A:$J,10,FALSE)</f>
        <v>PremiumSSw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2">
        <v>100</v>
      </c>
      <c r="P2" s="43">
        <f t="shared" ref="P2:P11" si="2">O2/SUM(O:O)</f>
        <v>0.1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>
        <v>597103</v>
      </c>
      <c r="B3" s="108">
        <v>1103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舞台裏の鼠展 ドガ</v>
      </c>
      <c r="I3" s="7" t="str">
        <f>VLOOKUP(B3,[1]characters!$A:$J,10,FALSE)</f>
        <v>PremiumSSw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不明</v>
      </c>
      <c r="O3" s="42">
        <v>100</v>
      </c>
      <c r="P3" s="43">
        <f t="shared" si="2"/>
        <v>0.1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>
        <v>597103</v>
      </c>
      <c r="B4" s="108">
        <v>1138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神算鬼謀の宰相 諸葛亮</v>
      </c>
      <c r="I4" s="7" t="str">
        <f>VLOOKUP(B4,[1]characters!$A:$J,10,FALSE)</f>
        <v>PremiumSSw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technical</v>
      </c>
      <c r="M4" s="7" t="str">
        <f>VLOOKUP(B4,[1]characters!$A:$M,13,FALSE)</f>
        <v>samurai</v>
      </c>
      <c r="N4" s="7" t="str">
        <f>VLOOKUP(B4,[1]characters!$A:$G,7,FALSE)</f>
        <v>不明</v>
      </c>
      <c r="O4" s="42">
        <v>100</v>
      </c>
      <c r="P4" s="43">
        <f t="shared" si="2"/>
        <v>0.1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>
        <v>597103</v>
      </c>
      <c r="B5" s="108">
        <v>1154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幸吹の蓮華粧 ラクシュミー</v>
      </c>
      <c r="I5" s="7" t="str">
        <f>VLOOKUP(B5,[1]characters!$A:$J,10,FALSE)</f>
        <v>PremiumSSw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不明</v>
      </c>
      <c r="O5" s="42">
        <v>100</v>
      </c>
      <c r="P5" s="43">
        <f t="shared" si="2"/>
        <v>0.1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>
        <v>597103</v>
      </c>
      <c r="B6" s="107">
        <v>1215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穿潮の雷月神 アルテミス</v>
      </c>
      <c r="I6" s="7" t="str">
        <f>VLOOKUP(B6,[1]characters!$A:$J,10,FALSE)</f>
        <v>PremiumSSw</v>
      </c>
      <c r="J6" s="7">
        <f>VLOOKUP(B6,[1]characters!$A:$I,9,FALSE)</f>
        <v>6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god</v>
      </c>
      <c r="N6" s="7">
        <f>VLOOKUP(B6,[1]characters!$A:$G,7,FALSE)</f>
        <v>0</v>
      </c>
      <c r="O6" s="42">
        <v>100</v>
      </c>
      <c r="P6" s="43">
        <f t="shared" si="2"/>
        <v>0.1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>
        <v>597103</v>
      </c>
      <c r="B7" s="107">
        <v>1229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羅生の鬼我 芥川龍之介</v>
      </c>
      <c r="I7" s="7" t="str">
        <f>VLOOKUP(B7,[1]characters!$A:$J,10,FALSE)</f>
        <v>PremiumSSw</v>
      </c>
      <c r="J7" s="7">
        <f>VLOOKUP(B7,[1]characters!$A:$I,9,FALSE)</f>
        <v>6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human</v>
      </c>
      <c r="N7" s="7">
        <f>VLOOKUP(B7,[1]characters!$A:$G,7,FALSE)</f>
        <v>0</v>
      </c>
      <c r="O7" s="42">
        <v>100</v>
      </c>
      <c r="P7" s="43">
        <f t="shared" si="2"/>
        <v>0.1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>
        <v>597103</v>
      </c>
      <c r="B8" s="107">
        <v>1251</v>
      </c>
      <c r="C8" s="7" t="str">
        <f t="shared" ref="C8:C11" si="3">D8&amp;J8&amp;E8&amp;F8&amp;G8</f>
        <v>PremiumSS6R5only</v>
      </c>
      <c r="D8" s="7" t="str">
        <f t="shared" ref="D8:D11" si="4">IF(OR(I8="PremiumSS",I8="PremiumSSw"),"PremiumSS",IF(I8="PremiumSSS",I8,IF(I8="PremiumW",IF(J8=5,"premium",I8),"Premium")))</f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錯槍の英勇 真田幸村</v>
      </c>
      <c r="I8" s="7" t="str">
        <f>VLOOKUP(B8,[1]characters!$A:$J,10,FALSE)</f>
        <v>PremiumSSw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>
        <f>VLOOKUP(B8,[1]characters!$A:$G,7,FALSE)</f>
        <v>0</v>
      </c>
      <c r="O8" s="42">
        <v>100</v>
      </c>
      <c r="P8" s="43">
        <f t="shared" si="2"/>
        <v>0.1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>
        <v>597103</v>
      </c>
      <c r="B9" s="107">
        <v>1263</v>
      </c>
      <c r="C9" s="7" t="str">
        <f t="shared" si="3"/>
        <v>PremiumSS6R5only</v>
      </c>
      <c r="D9" s="7" t="str">
        <f t="shared" si="4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純朴なる檻理人 イズン</v>
      </c>
      <c r="I9" s="7" t="str">
        <f>VLOOKUP(B9,[1]characters!$A:$J,10,FALSE)</f>
        <v>PremiumSSw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heal</v>
      </c>
      <c r="M9" s="7" t="str">
        <f>VLOOKUP(B9,[1]characters!$A:$M,13,FALSE)</f>
        <v>god</v>
      </c>
      <c r="N9" s="7">
        <f>VLOOKUP(B9,[1]characters!$A:$G,7,FALSE)</f>
        <v>0</v>
      </c>
      <c r="O9" s="42">
        <v>100</v>
      </c>
      <c r="P9" s="43">
        <f t="shared" si="2"/>
        <v>0.1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>
        <v>597103</v>
      </c>
      <c r="B10" s="108">
        <v>1333</v>
      </c>
      <c r="C10" s="7" t="str">
        <f t="shared" si="3"/>
        <v>PremiumSS6R5only</v>
      </c>
      <c r="D10" s="7" t="str">
        <f t="shared" si="4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神心を射る穂神 クシナダヒメ</v>
      </c>
      <c r="I10" s="7" t="str">
        <f>VLOOKUP(B10,[1]characters!$A:$J,10,FALSE)</f>
        <v>PremiumSSw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god</v>
      </c>
      <c r="N10" s="7">
        <f>VLOOKUP(B10,[1]characters!$A:$G,7,FALSE)</f>
        <v>0</v>
      </c>
      <c r="O10" s="42">
        <v>100</v>
      </c>
      <c r="P10" s="43">
        <f t="shared" si="2"/>
        <v>0.1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>
        <v>597103</v>
      </c>
      <c r="B11" s="5">
        <v>1386</v>
      </c>
      <c r="C11" s="7" t="str">
        <f t="shared" si="3"/>
        <v>PremiumSS6R5only</v>
      </c>
      <c r="D11" s="7" t="str">
        <f t="shared" si="4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荊棘の覚醒姫 いばら姫</v>
      </c>
      <c r="I11" s="7" t="str">
        <f>VLOOKUP(B11,[1]characters!$A:$J,10,FALSE)</f>
        <v>PremiumSSw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attack</v>
      </c>
      <c r="M11" s="7" t="str">
        <f>VLOOKUP(B11,[1]characters!$A:$M,13,FALSE)</f>
        <v>fantasy</v>
      </c>
      <c r="N11" s="7">
        <f>VLOOKUP(B11,[1]characters!$A:$G,7,FALSE)</f>
        <v>0</v>
      </c>
      <c r="O11" s="42">
        <v>100</v>
      </c>
      <c r="P11" s="43">
        <f t="shared" si="2"/>
        <v>0.1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</sheetData>
  <autoFilter ref="A1:V1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9"/>
  <sheetViews>
    <sheetView showGridLines="0" tabSelected="1" zoomScale="133" zoomScaleNormal="133" zoomScalePageLayoutView="133" workbookViewId="0">
      <pane ySplit="1" topLeftCell="A2" activePane="bottomLeft" state="frozen"/>
      <selection activeCell="M24" sqref="M24"/>
      <selection pane="bottomLeft" activeCell="A4" sqref="A4"/>
    </sheetView>
  </sheetViews>
  <sheetFormatPr baseColWidth="12" defaultRowHeight="21" customHeight="1" x14ac:dyDescent="0.15"/>
  <cols>
    <col min="1" max="1" width="14.59765625" style="99" bestFit="1" customWidth="1"/>
    <col min="2" max="2" width="14.19921875" style="99" bestFit="1" customWidth="1"/>
    <col min="3" max="4" width="14.19921875" style="99" customWidth="1"/>
    <col min="5" max="5" width="16.3984375" style="99" customWidth="1"/>
    <col min="6" max="6" width="8.59765625" style="99" bestFit="1" customWidth="1"/>
    <col min="14" max="14" width="8.59765625" style="99" bestFit="1" customWidth="1"/>
    <col min="15" max="15" width="19.59765625" style="99" bestFit="1" customWidth="1"/>
    <col min="16" max="16" width="22.796875" style="99" bestFit="1" customWidth="1"/>
    <col min="17" max="17" width="48.59765625" style="99" customWidth="1"/>
    <col min="18" max="16384" width="13" style="99"/>
  </cols>
  <sheetData>
    <row r="1" spans="1:17" ht="21" customHeight="1" x14ac:dyDescent="0.15">
      <c r="A1" s="94" t="s">
        <v>10</v>
      </c>
      <c r="B1" s="95" t="s">
        <v>12</v>
      </c>
      <c r="C1" s="96" t="s">
        <v>22</v>
      </c>
      <c r="D1" s="96" t="s">
        <v>15</v>
      </c>
      <c r="E1" s="96" t="s">
        <v>17</v>
      </c>
      <c r="F1" s="94" t="s">
        <v>2</v>
      </c>
      <c r="G1" s="97" t="s">
        <v>239</v>
      </c>
      <c r="H1" s="97" t="s">
        <v>240</v>
      </c>
      <c r="I1" s="98" t="s">
        <v>241</v>
      </c>
      <c r="J1" s="98" t="s">
        <v>242</v>
      </c>
      <c r="K1" s="98" t="s">
        <v>243</v>
      </c>
      <c r="L1" s="98" t="s">
        <v>244</v>
      </c>
      <c r="M1" s="98" t="s">
        <v>245</v>
      </c>
      <c r="N1" s="94" t="s">
        <v>18</v>
      </c>
      <c r="O1" s="94" t="s">
        <v>19</v>
      </c>
      <c r="P1" s="94" t="s">
        <v>246</v>
      </c>
      <c r="Q1" s="94" t="s">
        <v>21</v>
      </c>
    </row>
    <row r="2" spans="1:17" ht="28" x14ac:dyDescent="0.15">
      <c r="A2" s="100">
        <v>597101</v>
      </c>
      <c r="B2" s="101" t="str">
        <f>A2&amp;1</f>
        <v>5971011</v>
      </c>
      <c r="C2" s="102" t="s">
        <v>252</v>
      </c>
      <c r="D2" s="102">
        <v>613</v>
      </c>
      <c r="E2" s="102">
        <v>10</v>
      </c>
      <c r="F2" s="102">
        <v>1</v>
      </c>
      <c r="G2" s="103">
        <v>0</v>
      </c>
      <c r="H2" s="103">
        <v>0</v>
      </c>
      <c r="I2" s="103">
        <v>0</v>
      </c>
      <c r="J2" s="103">
        <v>0</v>
      </c>
      <c r="K2" s="103">
        <v>1</v>
      </c>
      <c r="L2" s="103">
        <v>1</v>
      </c>
      <c r="M2" s="103">
        <v>1</v>
      </c>
      <c r="N2" s="102" t="s">
        <v>247</v>
      </c>
      <c r="O2" s="102" t="s">
        <v>254</v>
      </c>
      <c r="P2" s="102" t="s">
        <v>253</v>
      </c>
      <c r="Q2" s="104" t="s">
        <v>257</v>
      </c>
    </row>
    <row r="3" spans="1:17" ht="28" x14ac:dyDescent="0.15">
      <c r="A3" s="100">
        <v>597102</v>
      </c>
      <c r="B3" s="101" t="str">
        <f>A3&amp;1</f>
        <v>5971021</v>
      </c>
      <c r="C3" s="102" t="s">
        <v>252</v>
      </c>
      <c r="D3" s="103">
        <v>611</v>
      </c>
      <c r="E3" s="103">
        <v>10</v>
      </c>
      <c r="F3" s="102">
        <v>1</v>
      </c>
      <c r="G3" s="103">
        <v>0</v>
      </c>
      <c r="H3" s="103">
        <v>0</v>
      </c>
      <c r="I3" s="103">
        <v>0</v>
      </c>
      <c r="J3" s="103">
        <v>0</v>
      </c>
      <c r="K3" s="103">
        <v>1</v>
      </c>
      <c r="L3" s="103">
        <v>1</v>
      </c>
      <c r="M3" s="103">
        <v>1</v>
      </c>
      <c r="N3" s="102" t="s">
        <v>247</v>
      </c>
      <c r="O3" s="102" t="s">
        <v>256</v>
      </c>
      <c r="P3" s="102" t="s">
        <v>253</v>
      </c>
      <c r="Q3" s="104" t="s">
        <v>258</v>
      </c>
    </row>
    <row r="4" spans="1:17" ht="28" x14ac:dyDescent="0.15">
      <c r="A4" s="100">
        <v>597103</v>
      </c>
      <c r="B4" s="101" t="str">
        <f>A4&amp;1</f>
        <v>5971031</v>
      </c>
      <c r="C4" s="102" t="s">
        <v>252</v>
      </c>
      <c r="D4" s="103">
        <v>612</v>
      </c>
      <c r="E4" s="103">
        <v>10</v>
      </c>
      <c r="F4" s="102">
        <v>1</v>
      </c>
      <c r="G4" s="103">
        <v>0</v>
      </c>
      <c r="H4" s="103">
        <v>0</v>
      </c>
      <c r="I4" s="103">
        <v>0</v>
      </c>
      <c r="J4" s="103">
        <v>0</v>
      </c>
      <c r="K4" s="103">
        <v>1</v>
      </c>
      <c r="L4" s="103">
        <v>1</v>
      </c>
      <c r="M4" s="103">
        <v>1</v>
      </c>
      <c r="N4" s="102" t="s">
        <v>247</v>
      </c>
      <c r="O4" s="102" t="s">
        <v>255</v>
      </c>
      <c r="P4" s="102" t="s">
        <v>253</v>
      </c>
      <c r="Q4" s="104" t="s">
        <v>259</v>
      </c>
    </row>
    <row r="5" spans="1:17" customFormat="1" ht="21" customHeight="1" x14ac:dyDescent="0.15"/>
    <row r="6" spans="1:17" customFormat="1" ht="21" customHeight="1" x14ac:dyDescent="0.15"/>
    <row r="7" spans="1:17" ht="21" customHeight="1" x14ac:dyDescent="0.15">
      <c r="O7"/>
    </row>
    <row r="8" spans="1:17" ht="21" customHeight="1" x14ac:dyDescent="0.15">
      <c r="O8"/>
    </row>
    <row r="9" spans="1:17" ht="21" customHeight="1" x14ac:dyDescent="0.15">
      <c r="O9"/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7" t="s">
        <v>53</v>
      </c>
      <c r="B1" s="37"/>
    </row>
    <row r="2" spans="1:2" x14ac:dyDescent="0.15">
      <c r="A2" s="32" t="s">
        <v>1</v>
      </c>
      <c r="B2" s="36" t="s">
        <v>57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2">
        <v>169</v>
      </c>
      <c r="B6" s="36" t="str">
        <f>VLOOKUP(A6,[1]characters!$A:$C,3,FALSE)</f>
        <v>オセ</v>
      </c>
    </row>
    <row r="7" spans="1:2" x14ac:dyDescent="0.15">
      <c r="A7" s="32">
        <v>170</v>
      </c>
      <c r="B7" s="36" t="str">
        <f>VLOOKUP(A7,[1]characters!$A:$C,3,FALSE)</f>
        <v>識徒 オセ</v>
      </c>
    </row>
    <row r="8" spans="1:2" x14ac:dyDescent="0.15">
      <c r="A8" s="32">
        <v>171</v>
      </c>
      <c r="B8" s="36" t="str">
        <f>VLOOKUP(A8,[1]characters!$A:$C,3,FALSE)</f>
        <v>精解の預知者 オセ</v>
      </c>
    </row>
    <row r="9" spans="1:2" x14ac:dyDescent="0.15">
      <c r="A9" s="32">
        <v>172</v>
      </c>
      <c r="B9" s="36" t="str">
        <f>VLOOKUP(A9,[1]characters!$A:$C,3,FALSE)</f>
        <v>フォルネウス</v>
      </c>
    </row>
    <row r="10" spans="1:2" x14ac:dyDescent="0.15">
      <c r="A10" s="32">
        <v>173</v>
      </c>
      <c r="B10" s="36" t="str">
        <f>VLOOKUP(A10,[1]characters!$A:$C,3,FALSE)</f>
        <v>公爵 フォルネウス</v>
      </c>
    </row>
    <row r="11" spans="1:2" x14ac:dyDescent="0.15">
      <c r="A11" s="32">
        <v>174</v>
      </c>
      <c r="B11" s="36" t="str">
        <f>VLOOKUP(A11,[1]characters!$A:$C,3,FALSE)</f>
        <v>偽愛の大公爵 フォルネウス</v>
      </c>
    </row>
    <row r="12" spans="1:2" x14ac:dyDescent="0.15">
      <c r="A12" s="32">
        <v>235</v>
      </c>
      <c r="B12" s="36" t="str">
        <f>VLOOKUP(A12,[1]characters!$A:$C,3,FALSE)</f>
        <v>イザナミ</v>
      </c>
    </row>
    <row r="13" spans="1:2" x14ac:dyDescent="0.15">
      <c r="A13" s="32">
        <v>236</v>
      </c>
      <c r="B13" s="36" t="str">
        <f>VLOOKUP(A13,[1]characters!$A:$C,3,FALSE)</f>
        <v>神産 イザナミ</v>
      </c>
    </row>
    <row r="14" spans="1:2" x14ac:dyDescent="0.15">
      <c r="A14" s="32">
        <v>237</v>
      </c>
      <c r="B14" s="36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input_597100</vt:lpstr>
      <vt:lpstr>tables_597100</vt:lpstr>
      <vt:lpstr>tables_settle_597101</vt:lpstr>
      <vt:lpstr>tables_settle_597103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2017-05-17T12:44:46Z</dcterms:modified>
</cp:coreProperties>
</file>